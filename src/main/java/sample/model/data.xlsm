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T_development\Java_all\Java-Job\generatorSF\src\main\java\sample\model\"/>
    </mc:Choice>
  </mc:AlternateContent>
  <xr:revisionPtr revIDLastSave="0" documentId="13_ncr:1_{0A41CB91-9CAD-4F8D-B9E1-24F10D5B8037}" xr6:coauthVersionLast="40" xr6:coauthVersionMax="40" xr10:uidLastSave="{00000000-0000-0000-0000-000000000000}"/>
  <bookViews>
    <workbookView xWindow="-120" yWindow="-16320" windowWidth="29040" windowHeight="15840" activeTab="1" xr2:uid="{00000000-000D-0000-FFFF-FFFF00000000}"/>
  </bookViews>
  <sheets>
    <sheet name="FS_input_data" sheetId="3" r:id="rId1"/>
    <sheet name="Export" sheetId="1" r:id="rId2"/>
  </sheets>
  <definedNames>
    <definedName name="_xlnm._FilterDatabase" localSheetId="1" hidden="1">Export!$A$1:$L$8348</definedName>
    <definedName name="_xlnm._FilterDatabase" localSheetId="0" hidden="1">FS_input_data!$A$1:$N$647</definedName>
    <definedName name="AS2DocOpenMode" hidden="1">"AS2DocumentEdit"</definedName>
    <definedName name="capital_xml">FS_input_data!$G$307</definedName>
    <definedName name="CF_xml">FS_input_data!$G$398</definedName>
    <definedName name="FS_input_noty">FS_input_data!$C$458:$N$648</definedName>
    <definedName name="RP_tax">FS_input_data!$A$458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50" i="1" l="1"/>
  <c r="G1549" i="1"/>
  <c r="G1548" i="1"/>
  <c r="G1547" i="1"/>
  <c r="G1546" i="1"/>
  <c r="G1545" i="1"/>
  <c r="G1544" i="1"/>
  <c r="G1543" i="1"/>
  <c r="G1542" i="1"/>
  <c r="G1541" i="1"/>
  <c r="G1540" i="1"/>
  <c r="G1539" i="1"/>
  <c r="G7776" i="1"/>
  <c r="G7737" i="1"/>
  <c r="G7670" i="1"/>
  <c r="G7651" i="1"/>
  <c r="G7660" i="1"/>
  <c r="G7661" i="1"/>
  <c r="G7662" i="1"/>
  <c r="G7663" i="1"/>
  <c r="G7664" i="1"/>
  <c r="G7665" i="1"/>
  <c r="G7666" i="1"/>
  <c r="G7659" i="1"/>
  <c r="G7627" i="1"/>
  <c r="G7628" i="1"/>
  <c r="G7629" i="1"/>
  <c r="G7630" i="1"/>
  <c r="G7631" i="1"/>
  <c r="G7632" i="1"/>
  <c r="G7633" i="1"/>
  <c r="G7626" i="1"/>
  <c r="G7616" i="1"/>
  <c r="G7617" i="1"/>
  <c r="G7618" i="1"/>
  <c r="G7619" i="1"/>
  <c r="G7620" i="1"/>
  <c r="G7621" i="1"/>
  <c r="G7622" i="1"/>
  <c r="G7623" i="1"/>
  <c r="G7624" i="1"/>
  <c r="G7625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2" i="1"/>
  <c r="G7653" i="1"/>
  <c r="G7654" i="1"/>
  <c r="G7655" i="1"/>
  <c r="G7656" i="1"/>
  <c r="G7657" i="1"/>
  <c r="G7658" i="1"/>
  <c r="G7667" i="1"/>
  <c r="G7668" i="1"/>
  <c r="G7615" i="1"/>
  <c r="G7614" i="1"/>
  <c r="G7613" i="1"/>
  <c r="G7606" i="1"/>
  <c r="G7607" i="1"/>
  <c r="G7608" i="1"/>
  <c r="G7609" i="1"/>
  <c r="G7610" i="1"/>
  <c r="G7611" i="1"/>
  <c r="G7612" i="1"/>
  <c r="G7605" i="1"/>
  <c r="G7604" i="1"/>
  <c r="G7603" i="1"/>
  <c r="G7602" i="1"/>
  <c r="G7601" i="1"/>
  <c r="G7600" i="1"/>
  <c r="G7599" i="1"/>
  <c r="G7598" i="1"/>
  <c r="G7597" i="1"/>
  <c r="G7596" i="1"/>
  <c r="G7595" i="1"/>
  <c r="G7594" i="1"/>
  <c r="G7593" i="1"/>
  <c r="G7592" i="1"/>
  <c r="G7591" i="1"/>
  <c r="G7584" i="1"/>
  <c r="G7585" i="1"/>
  <c r="G7586" i="1"/>
  <c r="G7587" i="1"/>
  <c r="G7588" i="1"/>
  <c r="G7589" i="1"/>
  <c r="G7590" i="1"/>
  <c r="G7583" i="1"/>
  <c r="G7582" i="1"/>
  <c r="G7581" i="1"/>
  <c r="G7580" i="1"/>
  <c r="G7579" i="1"/>
  <c r="G7578" i="1"/>
  <c r="G7577" i="1"/>
  <c r="G7576" i="1"/>
  <c r="G7575" i="1"/>
  <c r="G7574" i="1"/>
  <c r="G7573" i="1"/>
  <c r="G7572" i="1"/>
  <c r="G7571" i="1"/>
  <c r="G7570" i="1"/>
  <c r="G7569" i="1"/>
  <c r="G7562" i="1"/>
  <c r="G7563" i="1"/>
  <c r="G7564" i="1"/>
  <c r="G7565" i="1"/>
  <c r="G7566" i="1"/>
  <c r="G7567" i="1"/>
  <c r="G7568" i="1"/>
  <c r="G7561" i="1"/>
  <c r="G7560" i="1"/>
  <c r="G7559" i="1"/>
  <c r="G7558" i="1"/>
  <c r="G7557" i="1"/>
  <c r="G7556" i="1"/>
  <c r="G7555" i="1"/>
  <c r="G7554" i="1"/>
  <c r="G7553" i="1"/>
  <c r="G7552" i="1"/>
  <c r="G7551" i="1"/>
  <c r="G7550" i="1"/>
  <c r="G7549" i="1"/>
  <c r="G7548" i="1"/>
  <c r="G7547" i="1"/>
  <c r="G7540" i="1"/>
  <c r="G7541" i="1"/>
  <c r="G7542" i="1"/>
  <c r="G7543" i="1"/>
  <c r="G7544" i="1"/>
  <c r="G7545" i="1"/>
  <c r="G7546" i="1"/>
  <c r="G7539" i="1"/>
  <c r="G7538" i="1"/>
  <c r="G7537" i="1"/>
  <c r="G7536" i="1"/>
  <c r="G7535" i="1"/>
  <c r="G7534" i="1"/>
  <c r="G7533" i="1"/>
  <c r="G7532" i="1"/>
  <c r="G7531" i="1"/>
  <c r="G7530" i="1"/>
  <c r="G7529" i="1"/>
  <c r="G7528" i="1"/>
  <c r="G7527" i="1"/>
  <c r="G7526" i="1"/>
  <c r="G7525" i="1"/>
  <c r="G7518" i="1"/>
  <c r="G7519" i="1"/>
  <c r="G7520" i="1"/>
  <c r="G7521" i="1"/>
  <c r="G7522" i="1"/>
  <c r="G7523" i="1"/>
  <c r="G7524" i="1"/>
  <c r="G7517" i="1"/>
  <c r="G7516" i="1"/>
  <c r="G7515" i="1"/>
  <c r="G7514" i="1"/>
  <c r="G7513" i="1"/>
  <c r="G7512" i="1"/>
  <c r="G7511" i="1"/>
  <c r="G7510" i="1"/>
  <c r="G7509" i="1"/>
  <c r="G7508" i="1"/>
  <c r="G7507" i="1"/>
  <c r="G7506" i="1"/>
  <c r="G7505" i="1"/>
  <c r="G7504" i="1"/>
  <c r="G7503" i="1"/>
  <c r="G7496" i="1"/>
  <c r="G7497" i="1"/>
  <c r="G7498" i="1"/>
  <c r="G7499" i="1"/>
  <c r="G7500" i="1"/>
  <c r="G7501" i="1"/>
  <c r="G7502" i="1"/>
  <c r="G7495" i="1"/>
  <c r="G7494" i="1"/>
  <c r="G7493" i="1"/>
  <c r="G7492" i="1"/>
  <c r="G7491" i="1"/>
  <c r="G7490" i="1"/>
  <c r="G7489" i="1"/>
  <c r="G7488" i="1"/>
  <c r="G7487" i="1"/>
  <c r="G7486" i="1"/>
  <c r="G7485" i="1"/>
  <c r="G7484" i="1"/>
  <c r="G7483" i="1"/>
  <c r="G7482" i="1"/>
  <c r="G7481" i="1"/>
  <c r="G7474" i="1"/>
  <c r="G7475" i="1"/>
  <c r="G7476" i="1"/>
  <c r="G7477" i="1"/>
  <c r="G7478" i="1"/>
  <c r="G7479" i="1"/>
  <c r="G7480" i="1"/>
  <c r="G7473" i="1"/>
  <c r="G7472" i="1"/>
  <c r="G7471" i="1"/>
  <c r="G7470" i="1"/>
  <c r="G7469" i="1"/>
  <c r="G7468" i="1"/>
  <c r="G7467" i="1"/>
  <c r="G7466" i="1"/>
  <c r="G7465" i="1"/>
  <c r="G7464" i="1"/>
  <c r="G7463" i="1"/>
  <c r="G7462" i="1"/>
  <c r="G7461" i="1"/>
  <c r="G7460" i="1"/>
  <c r="G7459" i="1"/>
  <c r="G7452" i="1"/>
  <c r="G7453" i="1"/>
  <c r="G7454" i="1"/>
  <c r="G7455" i="1"/>
  <c r="G7456" i="1"/>
  <c r="G7457" i="1"/>
  <c r="G7458" i="1"/>
  <c r="G7451" i="1"/>
  <c r="G7450" i="1"/>
  <c r="G7449" i="1"/>
  <c r="G7448" i="1"/>
  <c r="G7447" i="1"/>
  <c r="G7446" i="1"/>
  <c r="G7445" i="1"/>
  <c r="G7444" i="1"/>
  <c r="G7443" i="1"/>
  <c r="G7442" i="1"/>
  <c r="G7441" i="1"/>
  <c r="G7440" i="1"/>
  <c r="G7439" i="1"/>
  <c r="G7438" i="1"/>
  <c r="G7437" i="1"/>
  <c r="G7430" i="1"/>
  <c r="G7431" i="1"/>
  <c r="G7432" i="1"/>
  <c r="G7433" i="1"/>
  <c r="G7434" i="1"/>
  <c r="G7435" i="1"/>
  <c r="G7436" i="1"/>
  <c r="G7429" i="1"/>
  <c r="G7428" i="1"/>
  <c r="G7427" i="1"/>
  <c r="G7426" i="1"/>
  <c r="G7425" i="1"/>
  <c r="G7424" i="1"/>
  <c r="G7423" i="1"/>
  <c r="G7422" i="1"/>
  <c r="G7421" i="1"/>
  <c r="G7420" i="1"/>
  <c r="G7419" i="1"/>
  <c r="G7418" i="1"/>
  <c r="G7417" i="1"/>
  <c r="G7416" i="1"/>
  <c r="G7415" i="1"/>
  <c r="G7408" i="1"/>
  <c r="G7409" i="1"/>
  <c r="G7410" i="1"/>
  <c r="G7411" i="1"/>
  <c r="G7412" i="1"/>
  <c r="G7413" i="1"/>
  <c r="G7414" i="1"/>
  <c r="G7407" i="1"/>
  <c r="G7406" i="1"/>
  <c r="G7405" i="1"/>
  <c r="G7404" i="1"/>
  <c r="G7403" i="1"/>
  <c r="G7402" i="1"/>
  <c r="G7401" i="1"/>
  <c r="G7400" i="1"/>
  <c r="G7399" i="1"/>
  <c r="G7398" i="1"/>
  <c r="G7397" i="1"/>
  <c r="G7396" i="1"/>
  <c r="G7395" i="1"/>
  <c r="G7394" i="1"/>
  <c r="G7393" i="1"/>
  <c r="G7386" i="1"/>
  <c r="G7387" i="1"/>
  <c r="G7388" i="1"/>
  <c r="G7389" i="1"/>
  <c r="G7390" i="1"/>
  <c r="G7391" i="1"/>
  <c r="G7392" i="1"/>
  <c r="G7385" i="1"/>
  <c r="G7384" i="1"/>
  <c r="G7383" i="1"/>
  <c r="G7382" i="1"/>
  <c r="G7381" i="1"/>
  <c r="G7380" i="1"/>
  <c r="G7379" i="1"/>
  <c r="G7378" i="1"/>
  <c r="G7377" i="1"/>
  <c r="G7376" i="1"/>
  <c r="G7375" i="1"/>
  <c r="G7374" i="1"/>
  <c r="G7373" i="1"/>
  <c r="G7372" i="1"/>
  <c r="G7371" i="1"/>
  <c r="G7364" i="1"/>
  <c r="G7365" i="1"/>
  <c r="G7366" i="1"/>
  <c r="G7367" i="1"/>
  <c r="G7368" i="1"/>
  <c r="G7369" i="1"/>
  <c r="G7370" i="1"/>
  <c r="G7363" i="1"/>
  <c r="G7362" i="1"/>
  <c r="G7361" i="1"/>
  <c r="G7360" i="1"/>
  <c r="G7359" i="1"/>
  <c r="G7358" i="1"/>
  <c r="G7357" i="1"/>
  <c r="G7356" i="1"/>
  <c r="G7355" i="1"/>
  <c r="G7354" i="1"/>
  <c r="G7353" i="1"/>
  <c r="G7352" i="1"/>
  <c r="G7351" i="1"/>
  <c r="G7350" i="1"/>
  <c r="G7349" i="1"/>
  <c r="G7342" i="1"/>
  <c r="G7343" i="1"/>
  <c r="G7344" i="1"/>
  <c r="G7345" i="1"/>
  <c r="G7346" i="1"/>
  <c r="G7347" i="1"/>
  <c r="G7348" i="1"/>
  <c r="G7341" i="1"/>
  <c r="G7340" i="1"/>
  <c r="G7339" i="1"/>
  <c r="G7338" i="1"/>
  <c r="G7337" i="1"/>
  <c r="G7336" i="1"/>
  <c r="G7335" i="1"/>
  <c r="G7334" i="1"/>
  <c r="G7333" i="1"/>
  <c r="G7332" i="1"/>
  <c r="G7331" i="1"/>
  <c r="G7330" i="1"/>
  <c r="G7329" i="1"/>
  <c r="G7328" i="1"/>
  <c r="G7327" i="1"/>
  <c r="G7320" i="1"/>
  <c r="G7321" i="1"/>
  <c r="G7322" i="1"/>
  <c r="G7323" i="1"/>
  <c r="G7324" i="1"/>
  <c r="G7325" i="1"/>
  <c r="G7326" i="1"/>
  <c r="G7319" i="1"/>
  <c r="G7318" i="1"/>
  <c r="G7317" i="1"/>
  <c r="G7316" i="1"/>
  <c r="G7315" i="1"/>
  <c r="G7314" i="1"/>
  <c r="G7313" i="1"/>
  <c r="G7312" i="1"/>
  <c r="G7311" i="1"/>
  <c r="G7310" i="1"/>
  <c r="G7309" i="1"/>
  <c r="G7308" i="1"/>
  <c r="G7307" i="1"/>
  <c r="G7306" i="1"/>
  <c r="G7305" i="1"/>
  <c r="G7298" i="1"/>
  <c r="G7299" i="1"/>
  <c r="G7300" i="1"/>
  <c r="G7301" i="1"/>
  <c r="G7302" i="1"/>
  <c r="G7303" i="1"/>
  <c r="G7304" i="1"/>
  <c r="G7297" i="1"/>
  <c r="G7296" i="1"/>
  <c r="G7295" i="1"/>
  <c r="G7294" i="1"/>
  <c r="G7293" i="1"/>
  <c r="G7292" i="1"/>
  <c r="G7291" i="1"/>
  <c r="G7290" i="1"/>
  <c r="G7289" i="1"/>
  <c r="G7288" i="1"/>
  <c r="G7287" i="1"/>
  <c r="G7286" i="1"/>
  <c r="G7285" i="1"/>
  <c r="G7284" i="1"/>
  <c r="G7283" i="1"/>
  <c r="G7276" i="1"/>
  <c r="G7277" i="1"/>
  <c r="G7278" i="1"/>
  <c r="G7279" i="1"/>
  <c r="G7280" i="1"/>
  <c r="G7281" i="1"/>
  <c r="G7282" i="1"/>
  <c r="G7275" i="1"/>
  <c r="G7274" i="1"/>
  <c r="G7273" i="1"/>
  <c r="G7272" i="1"/>
  <c r="G7271" i="1"/>
  <c r="G7270" i="1"/>
  <c r="G7269" i="1"/>
  <c r="G7268" i="1"/>
  <c r="G7267" i="1"/>
  <c r="G7266" i="1"/>
  <c r="G7265" i="1"/>
  <c r="G7264" i="1"/>
  <c r="G7263" i="1"/>
  <c r="G7262" i="1"/>
  <c r="G7261" i="1"/>
  <c r="G7254" i="1"/>
  <c r="G7255" i="1"/>
  <c r="G7256" i="1"/>
  <c r="G7257" i="1"/>
  <c r="G7258" i="1"/>
  <c r="G7259" i="1"/>
  <c r="G7260" i="1"/>
  <c r="G7253" i="1"/>
  <c r="G7252" i="1"/>
  <c r="G7251" i="1"/>
  <c r="G7250" i="1"/>
  <c r="G7249" i="1"/>
  <c r="G7248" i="1"/>
  <c r="G7247" i="1"/>
  <c r="G7246" i="1"/>
  <c r="G7245" i="1"/>
  <c r="G7244" i="1"/>
  <c r="G7243" i="1"/>
  <c r="G7242" i="1"/>
  <c r="G7241" i="1"/>
  <c r="G7240" i="1"/>
  <c r="G7239" i="1"/>
  <c r="G7232" i="1"/>
  <c r="G7233" i="1"/>
  <c r="G7234" i="1"/>
  <c r="G7235" i="1"/>
  <c r="G7236" i="1"/>
  <c r="G7237" i="1"/>
  <c r="G7238" i="1"/>
  <c r="G7231" i="1"/>
  <c r="G7230" i="1"/>
  <c r="G7229" i="1"/>
  <c r="G7228" i="1"/>
  <c r="G7227" i="1"/>
  <c r="G7226" i="1"/>
  <c r="G7225" i="1"/>
  <c r="G7224" i="1"/>
  <c r="G7223" i="1"/>
  <c r="G7222" i="1"/>
  <c r="G7221" i="1"/>
  <c r="G7220" i="1"/>
  <c r="G7219" i="1"/>
  <c r="G7218" i="1"/>
  <c r="G7217" i="1"/>
  <c r="G7210" i="1"/>
  <c r="G7211" i="1"/>
  <c r="G7212" i="1"/>
  <c r="G7213" i="1"/>
  <c r="G7214" i="1"/>
  <c r="G7215" i="1"/>
  <c r="G7216" i="1"/>
  <c r="G7209" i="1"/>
  <c r="G7208" i="1"/>
  <c r="G7207" i="1"/>
  <c r="G7206" i="1"/>
  <c r="G7205" i="1"/>
  <c r="G7204" i="1"/>
  <c r="G7203" i="1"/>
  <c r="G7202" i="1"/>
  <c r="G7201" i="1"/>
  <c r="G7200" i="1"/>
  <c r="G7199" i="1"/>
  <c r="G7198" i="1"/>
  <c r="G7197" i="1"/>
  <c r="G7188" i="1"/>
  <c r="G7189" i="1"/>
  <c r="G7190" i="1"/>
  <c r="G7191" i="1"/>
  <c r="G7192" i="1"/>
  <c r="G7193" i="1"/>
  <c r="G7194" i="1"/>
  <c r="G7187" i="1"/>
  <c r="G7167" i="1"/>
  <c r="G7168" i="1"/>
  <c r="G7169" i="1"/>
  <c r="G7170" i="1"/>
  <c r="G7171" i="1"/>
  <c r="G7172" i="1"/>
  <c r="G7173" i="1"/>
  <c r="G7166" i="1"/>
  <c r="G7147" i="1"/>
  <c r="G7148" i="1"/>
  <c r="G7149" i="1"/>
  <c r="G7150" i="1"/>
  <c r="G7151" i="1"/>
  <c r="G7152" i="1"/>
  <c r="G7153" i="1"/>
  <c r="G7146" i="1"/>
  <c r="G7138" i="1"/>
  <c r="G7139" i="1"/>
  <c r="G7140" i="1"/>
  <c r="G7141" i="1"/>
  <c r="G7142" i="1"/>
  <c r="G7143" i="1"/>
  <c r="G7144" i="1"/>
  <c r="G7145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95" i="1"/>
  <c r="G7196" i="1"/>
  <c r="G7137" i="1"/>
  <c r="G7136" i="1"/>
  <c r="G8331" i="1"/>
  <c r="G8325" i="1"/>
  <c r="G8326" i="1"/>
  <c r="G8327" i="1"/>
  <c r="G8328" i="1"/>
  <c r="G8329" i="1"/>
  <c r="G8330" i="1"/>
  <c r="G8324" i="1"/>
  <c r="I625" i="3"/>
  <c r="G8316" i="1"/>
  <c r="G8317" i="1"/>
  <c r="G8318" i="1"/>
  <c r="G8319" i="1"/>
  <c r="G8320" i="1"/>
  <c r="G8321" i="1"/>
  <c r="G8322" i="1"/>
  <c r="G8323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15" i="1"/>
  <c r="G6482" i="1"/>
  <c r="G6483" i="1"/>
  <c r="G6484" i="1"/>
  <c r="G6485" i="1"/>
  <c r="G6486" i="1"/>
  <c r="G6487" i="1"/>
  <c r="G6488" i="1"/>
  <c r="G6481" i="1"/>
  <c r="G6449" i="1"/>
  <c r="G6450" i="1"/>
  <c r="G6451" i="1"/>
  <c r="G6452" i="1"/>
  <c r="G6453" i="1"/>
  <c r="G6454" i="1"/>
  <c r="G6455" i="1"/>
  <c r="G6448" i="1"/>
  <c r="G6429" i="1"/>
  <c r="G6430" i="1"/>
  <c r="G6431" i="1"/>
  <c r="G6432" i="1"/>
  <c r="G6433" i="1"/>
  <c r="G6434" i="1"/>
  <c r="G6435" i="1"/>
  <c r="G6428" i="1"/>
  <c r="G6420" i="1"/>
  <c r="G6421" i="1"/>
  <c r="G6422" i="1"/>
  <c r="G6423" i="1"/>
  <c r="G6424" i="1"/>
  <c r="G6425" i="1"/>
  <c r="G6426" i="1"/>
  <c r="G6427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9" i="1"/>
  <c r="G6490" i="1"/>
  <c r="G6419" i="1"/>
  <c r="G3990" i="1"/>
  <c r="G3948" i="1"/>
  <c r="G3988" i="1"/>
  <c r="G3989" i="1"/>
  <c r="G3991" i="1"/>
  <c r="G3992" i="1"/>
  <c r="G3993" i="1"/>
  <c r="G3994" i="1"/>
  <c r="G3987" i="1"/>
  <c r="G3955" i="1"/>
  <c r="G3956" i="1"/>
  <c r="G3957" i="1"/>
  <c r="G3958" i="1"/>
  <c r="G3959" i="1"/>
  <c r="G3960" i="1"/>
  <c r="G3961" i="1"/>
  <c r="G3954" i="1"/>
  <c r="G3935" i="1"/>
  <c r="G3936" i="1"/>
  <c r="G3937" i="1"/>
  <c r="G3938" i="1"/>
  <c r="G3939" i="1"/>
  <c r="G3940" i="1"/>
  <c r="G3941" i="1"/>
  <c r="G3934" i="1"/>
  <c r="G3926" i="1"/>
  <c r="G3927" i="1"/>
  <c r="G3928" i="1"/>
  <c r="G3929" i="1"/>
  <c r="G3930" i="1"/>
  <c r="G3931" i="1"/>
  <c r="G3932" i="1"/>
  <c r="G3933" i="1"/>
  <c r="G3942" i="1"/>
  <c r="G3943" i="1"/>
  <c r="G3944" i="1"/>
  <c r="G3945" i="1"/>
  <c r="G3946" i="1"/>
  <c r="G3947" i="1"/>
  <c r="G3949" i="1"/>
  <c r="G3950" i="1"/>
  <c r="G3951" i="1"/>
  <c r="G3952" i="1"/>
  <c r="G3953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95" i="1"/>
  <c r="G3996" i="1"/>
  <c r="G3925" i="1"/>
  <c r="G5764" i="1"/>
  <c r="G5765" i="1"/>
  <c r="G5766" i="1"/>
  <c r="G5767" i="1"/>
  <c r="G5768" i="1"/>
  <c r="G5769" i="1"/>
  <c r="G5770" i="1"/>
  <c r="G5763" i="1"/>
  <c r="G5731" i="1"/>
  <c r="G5732" i="1"/>
  <c r="G5733" i="1"/>
  <c r="G5734" i="1"/>
  <c r="G5735" i="1"/>
  <c r="G5736" i="1"/>
  <c r="G5737" i="1"/>
  <c r="G5730" i="1"/>
  <c r="G5711" i="1"/>
  <c r="G5712" i="1"/>
  <c r="G5713" i="1"/>
  <c r="G5714" i="1"/>
  <c r="G5715" i="1"/>
  <c r="G5716" i="1"/>
  <c r="G5717" i="1"/>
  <c r="G5710" i="1"/>
  <c r="G5702" i="1"/>
  <c r="G5703" i="1"/>
  <c r="G5704" i="1"/>
  <c r="G5705" i="1"/>
  <c r="G5706" i="1"/>
  <c r="G5707" i="1"/>
  <c r="G5708" i="1"/>
  <c r="G5709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71" i="1"/>
  <c r="G5772" i="1"/>
  <c r="G5701" i="1"/>
  <c r="G4706" i="1"/>
  <c r="G4707" i="1"/>
  <c r="G4708" i="1"/>
  <c r="G4709" i="1"/>
  <c r="G4710" i="1"/>
  <c r="G4711" i="1"/>
  <c r="G4712" i="1"/>
  <c r="G4705" i="1"/>
  <c r="G4673" i="1"/>
  <c r="G4674" i="1"/>
  <c r="G4675" i="1"/>
  <c r="G4676" i="1"/>
  <c r="G4677" i="1"/>
  <c r="G4678" i="1"/>
  <c r="G4679" i="1"/>
  <c r="G4672" i="1"/>
  <c r="G4653" i="1"/>
  <c r="G4654" i="1"/>
  <c r="G4655" i="1"/>
  <c r="G4656" i="1"/>
  <c r="G4657" i="1"/>
  <c r="G4658" i="1"/>
  <c r="G4659" i="1"/>
  <c r="G4652" i="1"/>
  <c r="G4650" i="1"/>
  <c r="G4644" i="1"/>
  <c r="G4713" i="1"/>
  <c r="G4645" i="1"/>
  <c r="G4646" i="1"/>
  <c r="G4647" i="1"/>
  <c r="G4648" i="1"/>
  <c r="G4649" i="1"/>
  <c r="G4651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14" i="1"/>
  <c r="G4643" i="1"/>
  <c r="G8314" i="1"/>
  <c r="G8313" i="1"/>
  <c r="G8306" i="1"/>
  <c r="G8307" i="1"/>
  <c r="G8308" i="1"/>
  <c r="G8309" i="1"/>
  <c r="G8310" i="1"/>
  <c r="G8311" i="1"/>
  <c r="G8312" i="1"/>
  <c r="G8305" i="1"/>
  <c r="G8304" i="1"/>
  <c r="G8303" i="1"/>
  <c r="G8302" i="1"/>
  <c r="G8301" i="1"/>
  <c r="G8300" i="1"/>
  <c r="G8299" i="1"/>
  <c r="G8298" i="1"/>
  <c r="G8297" i="1"/>
  <c r="G8296" i="1"/>
  <c r="G8295" i="1"/>
  <c r="G8294" i="1"/>
  <c r="G8293" i="1"/>
  <c r="G8292" i="1"/>
  <c r="G8291" i="1"/>
  <c r="G8290" i="1"/>
  <c r="G8289" i="1"/>
  <c r="G8288" i="1"/>
  <c r="G8287" i="1"/>
  <c r="G8286" i="1"/>
  <c r="G8285" i="1"/>
  <c r="G8284" i="1"/>
  <c r="G8283" i="1"/>
  <c r="G8282" i="1"/>
  <c r="G8281" i="1"/>
  <c r="G8280" i="1"/>
  <c r="G8279" i="1"/>
  <c r="G8272" i="1"/>
  <c r="G8273" i="1"/>
  <c r="G8274" i="1"/>
  <c r="G8275" i="1"/>
  <c r="G8276" i="1"/>
  <c r="G8277" i="1"/>
  <c r="G8278" i="1"/>
  <c r="G8271" i="1"/>
  <c r="G8270" i="1"/>
  <c r="G8269" i="1"/>
  <c r="G8268" i="1"/>
  <c r="G8267" i="1"/>
  <c r="G8266" i="1"/>
  <c r="G8265" i="1"/>
  <c r="G8264" i="1"/>
  <c r="G8263" i="1"/>
  <c r="G8262" i="1"/>
  <c r="G8261" i="1"/>
  <c r="G8260" i="1"/>
  <c r="G8259" i="1"/>
  <c r="G8258" i="1"/>
  <c r="G8257" i="1"/>
  <c r="G8256" i="1"/>
  <c r="G8255" i="1"/>
  <c r="G8254" i="1"/>
  <c r="G8253" i="1"/>
  <c r="G8252" i="1"/>
  <c r="G8251" i="1"/>
  <c r="G8250" i="1"/>
  <c r="G8249" i="1"/>
  <c r="G8248" i="1"/>
  <c r="G8247" i="1"/>
  <c r="G8246" i="1"/>
  <c r="G8245" i="1"/>
  <c r="G8238" i="1"/>
  <c r="G8239" i="1"/>
  <c r="G8240" i="1"/>
  <c r="G8241" i="1"/>
  <c r="G8242" i="1"/>
  <c r="G8243" i="1"/>
  <c r="G8244" i="1"/>
  <c r="G8237" i="1"/>
  <c r="G8236" i="1"/>
  <c r="G8235" i="1"/>
  <c r="G8234" i="1"/>
  <c r="G8233" i="1"/>
  <c r="G8232" i="1"/>
  <c r="G8231" i="1"/>
  <c r="G8230" i="1"/>
  <c r="G8229" i="1"/>
  <c r="G8228" i="1"/>
  <c r="G8227" i="1"/>
  <c r="G8226" i="1"/>
  <c r="G8225" i="1"/>
  <c r="G8224" i="1"/>
  <c r="G8223" i="1"/>
  <c r="G8222" i="1"/>
  <c r="G8221" i="1"/>
  <c r="G8220" i="1"/>
  <c r="G8219" i="1"/>
  <c r="G8218" i="1"/>
  <c r="G8217" i="1"/>
  <c r="G8216" i="1"/>
  <c r="G8215" i="1"/>
  <c r="G8214" i="1"/>
  <c r="G8213" i="1"/>
  <c r="G8212" i="1"/>
  <c r="G8211" i="1"/>
  <c r="G8204" i="1"/>
  <c r="G8205" i="1"/>
  <c r="G8206" i="1"/>
  <c r="G8207" i="1"/>
  <c r="G8208" i="1"/>
  <c r="G8209" i="1"/>
  <c r="G8210" i="1"/>
  <c r="G8203" i="1"/>
  <c r="G8202" i="1"/>
  <c r="G8201" i="1"/>
  <c r="G8200" i="1"/>
  <c r="G8199" i="1"/>
  <c r="G8198" i="1"/>
  <c r="G8197" i="1"/>
  <c r="G8196" i="1"/>
  <c r="G8195" i="1"/>
  <c r="G8194" i="1"/>
  <c r="G8193" i="1"/>
  <c r="G8192" i="1"/>
  <c r="G8191" i="1"/>
  <c r="G8190" i="1"/>
  <c r="G8189" i="1"/>
  <c r="G8188" i="1"/>
  <c r="G8187" i="1"/>
  <c r="G8186" i="1"/>
  <c r="G8185" i="1"/>
  <c r="G8184" i="1"/>
  <c r="G8183" i="1"/>
  <c r="G8182" i="1"/>
  <c r="G8181" i="1"/>
  <c r="G8180" i="1"/>
  <c r="G8179" i="1"/>
  <c r="G8178" i="1"/>
  <c r="G8177" i="1"/>
  <c r="G8170" i="1"/>
  <c r="G8171" i="1"/>
  <c r="G8172" i="1"/>
  <c r="G8173" i="1"/>
  <c r="G8174" i="1"/>
  <c r="G8175" i="1"/>
  <c r="G8176" i="1"/>
  <c r="G8169" i="1"/>
  <c r="G8168" i="1"/>
  <c r="G8167" i="1"/>
  <c r="G8166" i="1"/>
  <c r="G8165" i="1"/>
  <c r="G8164" i="1"/>
  <c r="G8163" i="1"/>
  <c r="G8162" i="1"/>
  <c r="G8161" i="1"/>
  <c r="G8160" i="1"/>
  <c r="G8159" i="1"/>
  <c r="G8158" i="1"/>
  <c r="G8157" i="1"/>
  <c r="G8156" i="1"/>
  <c r="G8155" i="1"/>
  <c r="G8154" i="1"/>
  <c r="G8153" i="1"/>
  <c r="G8152" i="1"/>
  <c r="G8151" i="1"/>
  <c r="G8150" i="1"/>
  <c r="G8149" i="1"/>
  <c r="G8148" i="1"/>
  <c r="G8147" i="1"/>
  <c r="G8146" i="1"/>
  <c r="G8145" i="1"/>
  <c r="G8144" i="1"/>
  <c r="G8143" i="1"/>
  <c r="G8136" i="1"/>
  <c r="G8137" i="1"/>
  <c r="G8138" i="1"/>
  <c r="G8139" i="1"/>
  <c r="G8140" i="1"/>
  <c r="G8141" i="1"/>
  <c r="G8142" i="1"/>
  <c r="G8135" i="1"/>
  <c r="G8134" i="1"/>
  <c r="G8133" i="1"/>
  <c r="G8132" i="1"/>
  <c r="G8131" i="1"/>
  <c r="G8130" i="1"/>
  <c r="G8129" i="1"/>
  <c r="G8128" i="1"/>
  <c r="G8127" i="1"/>
  <c r="G8126" i="1"/>
  <c r="G8125" i="1"/>
  <c r="G8124" i="1"/>
  <c r="G8123" i="1"/>
  <c r="G8122" i="1"/>
  <c r="G8121" i="1"/>
  <c r="G8120" i="1"/>
  <c r="G8119" i="1"/>
  <c r="G8118" i="1"/>
  <c r="G8117" i="1"/>
  <c r="G8116" i="1"/>
  <c r="G8115" i="1"/>
  <c r="G8114" i="1"/>
  <c r="G8113" i="1"/>
  <c r="G8112" i="1"/>
  <c r="G8111" i="1"/>
  <c r="G8110" i="1"/>
  <c r="G8109" i="1"/>
  <c r="G8102" i="1"/>
  <c r="G8103" i="1"/>
  <c r="G8104" i="1"/>
  <c r="G8105" i="1"/>
  <c r="G8106" i="1"/>
  <c r="G8107" i="1"/>
  <c r="G8108" i="1"/>
  <c r="G8101" i="1"/>
  <c r="G8100" i="1"/>
  <c r="G8099" i="1"/>
  <c r="G8098" i="1"/>
  <c r="G8097" i="1"/>
  <c r="G8096" i="1"/>
  <c r="G8095" i="1"/>
  <c r="G8094" i="1"/>
  <c r="G8093" i="1"/>
  <c r="G8092" i="1"/>
  <c r="G8091" i="1"/>
  <c r="G8090" i="1"/>
  <c r="G8089" i="1"/>
  <c r="G8088" i="1"/>
  <c r="G8087" i="1"/>
  <c r="G8086" i="1"/>
  <c r="G8085" i="1"/>
  <c r="G8084" i="1"/>
  <c r="G8083" i="1"/>
  <c r="G8082" i="1"/>
  <c r="G8081" i="1"/>
  <c r="G8080" i="1"/>
  <c r="G8079" i="1"/>
  <c r="G8078" i="1"/>
  <c r="G8077" i="1"/>
  <c r="G8076" i="1"/>
  <c r="G8075" i="1"/>
  <c r="G8068" i="1"/>
  <c r="G8069" i="1"/>
  <c r="G8070" i="1"/>
  <c r="G8071" i="1"/>
  <c r="G8072" i="1"/>
  <c r="G8073" i="1"/>
  <c r="G8074" i="1"/>
  <c r="G8067" i="1"/>
  <c r="G8066" i="1"/>
  <c r="G8065" i="1"/>
  <c r="G8064" i="1"/>
  <c r="G8063" i="1"/>
  <c r="G8062" i="1"/>
  <c r="G8061" i="1"/>
  <c r="G8060" i="1"/>
  <c r="G8059" i="1"/>
  <c r="G8058" i="1"/>
  <c r="G8057" i="1"/>
  <c r="G8056" i="1"/>
  <c r="G8055" i="1"/>
  <c r="G8054" i="1"/>
  <c r="G8053" i="1"/>
  <c r="G8052" i="1"/>
  <c r="G8051" i="1"/>
  <c r="G8050" i="1"/>
  <c r="G8049" i="1"/>
  <c r="G8048" i="1"/>
  <c r="G8047" i="1"/>
  <c r="G8046" i="1"/>
  <c r="G8045" i="1"/>
  <c r="G8044" i="1"/>
  <c r="G8043" i="1"/>
  <c r="G8042" i="1"/>
  <c r="G8041" i="1"/>
  <c r="G8034" i="1"/>
  <c r="G8035" i="1"/>
  <c r="G8036" i="1"/>
  <c r="G8037" i="1"/>
  <c r="G8038" i="1"/>
  <c r="G8039" i="1"/>
  <c r="G8040" i="1"/>
  <c r="G8033" i="1"/>
  <c r="G8032" i="1"/>
  <c r="G8031" i="1"/>
  <c r="G8030" i="1"/>
  <c r="G8029" i="1"/>
  <c r="G8028" i="1"/>
  <c r="G8027" i="1"/>
  <c r="G8026" i="1"/>
  <c r="G8025" i="1"/>
  <c r="G8024" i="1"/>
  <c r="G8023" i="1"/>
  <c r="G8022" i="1"/>
  <c r="G8021" i="1"/>
  <c r="G8020" i="1"/>
  <c r="G8019" i="1"/>
  <c r="G8018" i="1"/>
  <c r="G8017" i="1"/>
  <c r="G8016" i="1"/>
  <c r="G8015" i="1"/>
  <c r="G8014" i="1"/>
  <c r="G8013" i="1"/>
  <c r="G8012" i="1"/>
  <c r="G8011" i="1"/>
  <c r="G8010" i="1"/>
  <c r="G8009" i="1"/>
  <c r="G8008" i="1"/>
  <c r="G8007" i="1"/>
  <c r="G8000" i="1"/>
  <c r="G8001" i="1"/>
  <c r="G8002" i="1"/>
  <c r="G8003" i="1"/>
  <c r="G8004" i="1"/>
  <c r="G8005" i="1"/>
  <c r="G8006" i="1"/>
  <c r="G7999" i="1"/>
  <c r="G7998" i="1"/>
  <c r="G7997" i="1"/>
  <c r="G7996" i="1"/>
  <c r="G7995" i="1"/>
  <c r="G7994" i="1"/>
  <c r="G7993" i="1"/>
  <c r="G7992" i="1"/>
  <c r="G7991" i="1"/>
  <c r="G7990" i="1"/>
  <c r="G7989" i="1"/>
  <c r="G7988" i="1"/>
  <c r="G7987" i="1"/>
  <c r="G7986" i="1"/>
  <c r="G7985" i="1"/>
  <c r="G7984" i="1"/>
  <c r="G7983" i="1"/>
  <c r="G7982" i="1"/>
  <c r="G7981" i="1"/>
  <c r="G7980" i="1"/>
  <c r="G7979" i="1"/>
  <c r="G7978" i="1"/>
  <c r="G7977" i="1"/>
  <c r="G7976" i="1"/>
  <c r="G7975" i="1"/>
  <c r="G7974" i="1"/>
  <c r="G7973" i="1"/>
  <c r="G7966" i="1"/>
  <c r="G7967" i="1"/>
  <c r="G7968" i="1"/>
  <c r="G7969" i="1"/>
  <c r="G7970" i="1"/>
  <c r="G7971" i="1"/>
  <c r="G7972" i="1"/>
  <c r="G7965" i="1"/>
  <c r="G7964" i="1"/>
  <c r="G7963" i="1"/>
  <c r="G7962" i="1"/>
  <c r="G7961" i="1"/>
  <c r="G7960" i="1"/>
  <c r="G7959" i="1"/>
  <c r="G7958" i="1"/>
  <c r="G7957" i="1"/>
  <c r="G7956" i="1"/>
  <c r="G7955" i="1"/>
  <c r="G7954" i="1"/>
  <c r="G7953" i="1"/>
  <c r="G7952" i="1"/>
  <c r="G7951" i="1"/>
  <c r="G7950" i="1"/>
  <c r="G7949" i="1"/>
  <c r="G7948" i="1"/>
  <c r="G7947" i="1"/>
  <c r="G7946" i="1"/>
  <c r="G7945" i="1"/>
  <c r="G7944" i="1"/>
  <c r="G7943" i="1"/>
  <c r="G7942" i="1"/>
  <c r="G7941" i="1"/>
  <c r="G7940" i="1"/>
  <c r="G7939" i="1"/>
  <c r="G7932" i="1"/>
  <c r="G7933" i="1"/>
  <c r="G7934" i="1"/>
  <c r="G7935" i="1"/>
  <c r="G7936" i="1"/>
  <c r="G7937" i="1"/>
  <c r="G7938" i="1"/>
  <c r="G7931" i="1"/>
  <c r="G7930" i="1"/>
  <c r="G7929" i="1"/>
  <c r="G7928" i="1"/>
  <c r="G7927" i="1"/>
  <c r="G7926" i="1"/>
  <c r="G7925" i="1"/>
  <c r="G7924" i="1"/>
  <c r="G7923" i="1"/>
  <c r="G7922" i="1"/>
  <c r="G7921" i="1"/>
  <c r="G7920" i="1"/>
  <c r="G7919" i="1"/>
  <c r="G7918" i="1"/>
  <c r="G7917" i="1"/>
  <c r="G7916" i="1"/>
  <c r="G7915" i="1"/>
  <c r="G7914" i="1"/>
  <c r="G7913" i="1"/>
  <c r="G7912" i="1"/>
  <c r="G7911" i="1"/>
  <c r="G7910" i="1"/>
  <c r="G7909" i="1"/>
  <c r="G7908" i="1"/>
  <c r="G7907" i="1"/>
  <c r="G7906" i="1"/>
  <c r="G7905" i="1"/>
  <c r="G7898" i="1"/>
  <c r="G7899" i="1"/>
  <c r="G7900" i="1"/>
  <c r="G7901" i="1"/>
  <c r="G7902" i="1"/>
  <c r="G7903" i="1"/>
  <c r="G7904" i="1"/>
  <c r="G7897" i="1"/>
  <c r="G7896" i="1"/>
  <c r="G7895" i="1"/>
  <c r="G7894" i="1"/>
  <c r="G7893" i="1"/>
  <c r="G7892" i="1"/>
  <c r="G7891" i="1"/>
  <c r="G7890" i="1"/>
  <c r="G7889" i="1"/>
  <c r="G7888" i="1"/>
  <c r="G7887" i="1"/>
  <c r="G7886" i="1"/>
  <c r="G7885" i="1"/>
  <c r="G7884" i="1"/>
  <c r="G7883" i="1"/>
  <c r="G7882" i="1"/>
  <c r="G7881" i="1"/>
  <c r="G7880" i="1"/>
  <c r="G7879" i="1"/>
  <c r="G7878" i="1"/>
  <c r="G7877" i="1"/>
  <c r="G7876" i="1"/>
  <c r="G7875" i="1"/>
  <c r="G7874" i="1"/>
  <c r="G7873" i="1"/>
  <c r="G7872" i="1"/>
  <c r="G7871" i="1"/>
  <c r="G7864" i="1"/>
  <c r="G7865" i="1"/>
  <c r="G7866" i="1"/>
  <c r="G7867" i="1"/>
  <c r="G7868" i="1"/>
  <c r="G7869" i="1"/>
  <c r="G7870" i="1"/>
  <c r="G7863" i="1"/>
  <c r="G7862" i="1"/>
  <c r="G7861" i="1"/>
  <c r="G7860" i="1"/>
  <c r="G7859" i="1"/>
  <c r="G7858" i="1"/>
  <c r="G7857" i="1"/>
  <c r="G7856" i="1"/>
  <c r="G7855" i="1"/>
  <c r="G7854" i="1"/>
  <c r="G7853" i="1"/>
  <c r="G7852" i="1"/>
  <c r="G7851" i="1"/>
  <c r="G7850" i="1"/>
  <c r="G7849" i="1"/>
  <c r="G7848" i="1"/>
  <c r="G7847" i="1"/>
  <c r="G7846" i="1"/>
  <c r="G7845" i="1"/>
  <c r="G7844" i="1"/>
  <c r="G7843" i="1"/>
  <c r="G7842" i="1"/>
  <c r="G7841" i="1"/>
  <c r="G7840" i="1"/>
  <c r="G7839" i="1"/>
  <c r="G7838" i="1"/>
  <c r="G7837" i="1"/>
  <c r="G7830" i="1"/>
  <c r="G7831" i="1"/>
  <c r="G7832" i="1"/>
  <c r="G7833" i="1"/>
  <c r="G7834" i="1"/>
  <c r="G7835" i="1"/>
  <c r="G7836" i="1"/>
  <c r="G7829" i="1"/>
  <c r="G7828" i="1"/>
  <c r="G7827" i="1"/>
  <c r="G7826" i="1"/>
  <c r="G7825" i="1"/>
  <c r="G7824" i="1"/>
  <c r="G7823" i="1"/>
  <c r="G7822" i="1"/>
  <c r="G7821" i="1"/>
  <c r="G7820" i="1"/>
  <c r="G7819" i="1"/>
  <c r="G7818" i="1"/>
  <c r="G7817" i="1"/>
  <c r="G7816" i="1"/>
  <c r="G7815" i="1"/>
  <c r="G7814" i="1"/>
  <c r="G7813" i="1"/>
  <c r="G7812" i="1"/>
  <c r="G7811" i="1"/>
  <c r="G7810" i="1"/>
  <c r="G7809" i="1"/>
  <c r="G7808" i="1"/>
  <c r="G7807" i="1"/>
  <c r="G7806" i="1"/>
  <c r="G7805" i="1"/>
  <c r="G7804" i="1"/>
  <c r="G7803" i="1"/>
  <c r="G7796" i="1"/>
  <c r="G7797" i="1"/>
  <c r="G7798" i="1"/>
  <c r="G7799" i="1"/>
  <c r="G7800" i="1"/>
  <c r="G7801" i="1"/>
  <c r="G7802" i="1"/>
  <c r="G7795" i="1"/>
  <c r="G7794" i="1"/>
  <c r="G7793" i="1"/>
  <c r="G7792" i="1"/>
  <c r="G7791" i="1"/>
  <c r="G7790" i="1"/>
  <c r="G7789" i="1"/>
  <c r="G7788" i="1"/>
  <c r="G7787" i="1"/>
  <c r="G7786" i="1"/>
  <c r="G7785" i="1"/>
  <c r="G7784" i="1"/>
  <c r="G7783" i="1"/>
  <c r="G7782" i="1"/>
  <c r="G7781" i="1"/>
  <c r="G7780" i="1"/>
  <c r="G7779" i="1"/>
  <c r="G7778" i="1"/>
  <c r="G7777" i="1"/>
  <c r="G7775" i="1"/>
  <c r="G7774" i="1"/>
  <c r="G7773" i="1"/>
  <c r="G7772" i="1"/>
  <c r="G7771" i="1"/>
  <c r="G7770" i="1"/>
  <c r="G7769" i="1"/>
  <c r="G7762" i="1"/>
  <c r="G7763" i="1"/>
  <c r="G7764" i="1"/>
  <c r="G7765" i="1"/>
  <c r="G7766" i="1"/>
  <c r="G7767" i="1"/>
  <c r="G7768" i="1"/>
  <c r="G7761" i="1"/>
  <c r="G7760" i="1"/>
  <c r="G7759" i="1"/>
  <c r="G7758" i="1"/>
  <c r="G7757" i="1"/>
  <c r="G7756" i="1"/>
  <c r="G7755" i="1"/>
  <c r="G7754" i="1"/>
  <c r="G7753" i="1"/>
  <c r="G7752" i="1"/>
  <c r="G7751" i="1"/>
  <c r="G7750" i="1"/>
  <c r="G7749" i="1"/>
  <c r="G7748" i="1"/>
  <c r="G7747" i="1"/>
  <c r="G7746" i="1"/>
  <c r="G7745" i="1"/>
  <c r="G7744" i="1"/>
  <c r="G7743" i="1"/>
  <c r="G7742" i="1"/>
  <c r="G7741" i="1"/>
  <c r="G7740" i="1"/>
  <c r="G7739" i="1"/>
  <c r="G7738" i="1"/>
  <c r="G7736" i="1"/>
  <c r="G7735" i="1"/>
  <c r="G7728" i="1"/>
  <c r="G7729" i="1"/>
  <c r="G7730" i="1"/>
  <c r="G7731" i="1"/>
  <c r="G7732" i="1"/>
  <c r="G7733" i="1"/>
  <c r="G7734" i="1"/>
  <c r="G7727" i="1"/>
  <c r="G7726" i="1"/>
  <c r="G7725" i="1"/>
  <c r="G7724" i="1"/>
  <c r="G7723" i="1"/>
  <c r="G7722" i="1"/>
  <c r="G7721" i="1"/>
  <c r="G7720" i="1"/>
  <c r="G7719" i="1"/>
  <c r="G7718" i="1"/>
  <c r="G7717" i="1"/>
  <c r="G7716" i="1"/>
  <c r="G7715" i="1"/>
  <c r="G7714" i="1"/>
  <c r="G7713" i="1"/>
  <c r="G7712" i="1"/>
  <c r="G7711" i="1"/>
  <c r="G7710" i="1"/>
  <c r="G7709" i="1"/>
  <c r="G7708" i="1"/>
  <c r="G7707" i="1"/>
  <c r="G7706" i="1"/>
  <c r="G7705" i="1"/>
  <c r="G7704" i="1"/>
  <c r="G7703" i="1"/>
  <c r="G7702" i="1"/>
  <c r="G7701" i="1"/>
  <c r="G7694" i="1"/>
  <c r="G7695" i="1"/>
  <c r="G7696" i="1"/>
  <c r="G7697" i="1"/>
  <c r="G7698" i="1"/>
  <c r="G7699" i="1"/>
  <c r="G7700" i="1"/>
  <c r="G7693" i="1"/>
  <c r="G7692" i="1"/>
  <c r="G7691" i="1"/>
  <c r="G7690" i="1"/>
  <c r="G7689" i="1"/>
  <c r="G7688" i="1"/>
  <c r="G7687" i="1"/>
  <c r="G7686" i="1"/>
  <c r="G7685" i="1"/>
  <c r="G7684" i="1"/>
  <c r="G7683" i="1"/>
  <c r="G7682" i="1"/>
  <c r="G7681" i="1"/>
  <c r="G7680" i="1"/>
  <c r="G7679" i="1"/>
  <c r="G7678" i="1"/>
  <c r="G7677" i="1"/>
  <c r="G7676" i="1"/>
  <c r="G7675" i="1"/>
  <c r="G7674" i="1"/>
  <c r="G7673" i="1"/>
  <c r="G7672" i="1"/>
  <c r="G7671" i="1"/>
  <c r="G7669" i="1"/>
  <c r="G7135" i="1"/>
  <c r="G7128" i="1"/>
  <c r="G7129" i="1"/>
  <c r="G7130" i="1"/>
  <c r="G7131" i="1"/>
  <c r="G7132" i="1"/>
  <c r="G7133" i="1"/>
  <c r="G7134" i="1"/>
  <c r="G7127" i="1"/>
  <c r="G7126" i="1"/>
  <c r="G7125" i="1"/>
  <c r="G7124" i="1"/>
  <c r="G7123" i="1"/>
  <c r="G7122" i="1"/>
  <c r="G7121" i="1"/>
  <c r="G7120" i="1"/>
  <c r="G7119" i="1"/>
  <c r="G7118" i="1"/>
  <c r="G7117" i="1"/>
  <c r="G7116" i="1"/>
  <c r="G7115" i="1"/>
  <c r="G7114" i="1"/>
  <c r="G7113" i="1"/>
  <c r="G7112" i="1"/>
  <c r="G7111" i="1"/>
  <c r="G7110" i="1"/>
  <c r="G7109" i="1"/>
  <c r="G7108" i="1"/>
  <c r="G7107" i="1"/>
  <c r="G7106" i="1"/>
  <c r="G7105" i="1"/>
  <c r="G7104" i="1"/>
  <c r="G7103" i="1"/>
  <c r="G7102" i="1"/>
  <c r="G7101" i="1"/>
  <c r="G7094" i="1"/>
  <c r="G7095" i="1"/>
  <c r="G7096" i="1"/>
  <c r="G7097" i="1"/>
  <c r="G7098" i="1"/>
  <c r="G7099" i="1"/>
  <c r="G7100" i="1"/>
  <c r="G7093" i="1"/>
  <c r="G7092" i="1"/>
  <c r="G7091" i="1"/>
  <c r="G7090" i="1"/>
  <c r="G7089" i="1"/>
  <c r="G7088" i="1"/>
  <c r="G7087" i="1"/>
  <c r="G7086" i="1"/>
  <c r="G7085" i="1"/>
  <c r="G7084" i="1"/>
  <c r="G7083" i="1"/>
  <c r="G7082" i="1"/>
  <c r="G7081" i="1"/>
  <c r="G7080" i="1"/>
  <c r="G7079" i="1"/>
  <c r="G7078" i="1"/>
  <c r="G7077" i="1"/>
  <c r="G7076" i="1"/>
  <c r="G7075" i="1"/>
  <c r="G7074" i="1"/>
  <c r="G7073" i="1"/>
  <c r="G7072" i="1"/>
  <c r="G7071" i="1"/>
  <c r="G7070" i="1"/>
  <c r="G7069" i="1"/>
  <c r="G7039" i="1"/>
  <c r="G7049" i="1"/>
  <c r="G7068" i="1"/>
  <c r="G7067" i="1"/>
  <c r="G7060" i="1"/>
  <c r="G7061" i="1"/>
  <c r="G7062" i="1"/>
  <c r="G7063" i="1"/>
  <c r="G7064" i="1"/>
  <c r="G7065" i="1"/>
  <c r="G7066" i="1"/>
  <c r="G7059" i="1"/>
  <c r="G7058" i="1"/>
  <c r="G7057" i="1"/>
  <c r="G7056" i="1"/>
  <c r="G7055" i="1"/>
  <c r="G7054" i="1"/>
  <c r="G7053" i="1"/>
  <c r="G7052" i="1"/>
  <c r="G7051" i="1"/>
  <c r="G7050" i="1"/>
  <c r="G7048" i="1"/>
  <c r="G7047" i="1"/>
  <c r="G7046" i="1"/>
  <c r="G7045" i="1"/>
  <c r="G7044" i="1"/>
  <c r="G7043" i="1"/>
  <c r="G7042" i="1"/>
  <c r="G7041" i="1"/>
  <c r="G7040" i="1"/>
  <c r="G7038" i="1"/>
  <c r="G7037" i="1"/>
  <c r="G7036" i="1"/>
  <c r="G7035" i="1"/>
  <c r="G7034" i="1"/>
  <c r="G7033" i="1"/>
  <c r="G7026" i="1"/>
  <c r="G7027" i="1"/>
  <c r="G7028" i="1"/>
  <c r="G7029" i="1"/>
  <c r="G7030" i="1"/>
  <c r="G7031" i="1"/>
  <c r="G7032" i="1"/>
  <c r="G7025" i="1"/>
  <c r="G7024" i="1"/>
  <c r="G7023" i="1"/>
  <c r="G7022" i="1"/>
  <c r="G7021" i="1"/>
  <c r="G7020" i="1"/>
  <c r="G7019" i="1"/>
  <c r="G7018" i="1"/>
  <c r="G7017" i="1"/>
  <c r="G7016" i="1"/>
  <c r="G7015" i="1"/>
  <c r="G7014" i="1"/>
  <c r="G7013" i="1"/>
  <c r="G7012" i="1"/>
  <c r="G7011" i="1"/>
  <c r="G7010" i="1"/>
  <c r="G7009" i="1"/>
  <c r="G7008" i="1"/>
  <c r="G7007" i="1"/>
  <c r="G7006" i="1"/>
  <c r="G7005" i="1"/>
  <c r="G7004" i="1"/>
  <c r="G7003" i="1"/>
  <c r="G7002" i="1"/>
  <c r="G7001" i="1"/>
  <c r="G7000" i="1"/>
  <c r="G6999" i="1"/>
  <c r="G6992" i="1"/>
  <c r="G6993" i="1"/>
  <c r="G6994" i="1"/>
  <c r="G6995" i="1"/>
  <c r="G6996" i="1"/>
  <c r="G6997" i="1"/>
  <c r="G6998" i="1"/>
  <c r="G6991" i="1"/>
  <c r="G6990" i="1"/>
  <c r="G6989" i="1"/>
  <c r="G6988" i="1"/>
  <c r="G6987" i="1"/>
  <c r="G6986" i="1"/>
  <c r="G6985" i="1"/>
  <c r="G6984" i="1"/>
  <c r="G6983" i="1"/>
  <c r="G6982" i="1"/>
  <c r="G6981" i="1"/>
  <c r="G6980" i="1"/>
  <c r="G6979" i="1"/>
  <c r="G6978" i="1"/>
  <c r="G6977" i="1"/>
  <c r="G6976" i="1"/>
  <c r="G6975" i="1"/>
  <c r="G6974" i="1"/>
  <c r="G6973" i="1"/>
  <c r="G6972" i="1"/>
  <c r="G6971" i="1"/>
  <c r="G6970" i="1"/>
  <c r="G6969" i="1"/>
  <c r="G6968" i="1"/>
  <c r="G6967" i="1"/>
  <c r="G6966" i="1"/>
  <c r="G6965" i="1"/>
  <c r="G6958" i="1"/>
  <c r="G6959" i="1"/>
  <c r="G6960" i="1"/>
  <c r="G6961" i="1"/>
  <c r="G6962" i="1"/>
  <c r="G6963" i="1"/>
  <c r="G6964" i="1"/>
  <c r="G6957" i="1"/>
  <c r="G6956" i="1"/>
  <c r="G6955" i="1"/>
  <c r="G6954" i="1"/>
  <c r="G6953" i="1"/>
  <c r="G6952" i="1"/>
  <c r="G6951" i="1"/>
  <c r="G6950" i="1"/>
  <c r="G6949" i="1"/>
  <c r="G6948" i="1"/>
  <c r="G6947" i="1"/>
  <c r="G6946" i="1"/>
  <c r="G6945" i="1"/>
  <c r="G6944" i="1"/>
  <c r="G6943" i="1"/>
  <c r="G6942" i="1"/>
  <c r="G6941" i="1"/>
  <c r="G6940" i="1"/>
  <c r="G6939" i="1"/>
  <c r="G6938" i="1"/>
  <c r="G6937" i="1"/>
  <c r="G6936" i="1"/>
  <c r="G6935" i="1"/>
  <c r="G6934" i="1"/>
  <c r="G6933" i="1"/>
  <c r="G6932" i="1"/>
  <c r="G6931" i="1"/>
  <c r="G6924" i="1"/>
  <c r="G6925" i="1"/>
  <c r="G6926" i="1"/>
  <c r="G6927" i="1"/>
  <c r="G6928" i="1"/>
  <c r="G6929" i="1"/>
  <c r="G6930" i="1"/>
  <c r="G6923" i="1"/>
  <c r="G6922" i="1"/>
  <c r="G6921" i="1"/>
  <c r="G6920" i="1"/>
  <c r="G6919" i="1"/>
  <c r="G6918" i="1"/>
  <c r="G6917" i="1"/>
  <c r="G6916" i="1"/>
  <c r="G6915" i="1"/>
  <c r="G6914" i="1"/>
  <c r="G6913" i="1"/>
  <c r="G6912" i="1"/>
  <c r="G6911" i="1"/>
  <c r="G6910" i="1"/>
  <c r="G6909" i="1"/>
  <c r="G6908" i="1"/>
  <c r="G6907" i="1"/>
  <c r="G6906" i="1"/>
  <c r="G6905" i="1"/>
  <c r="G6904" i="1"/>
  <c r="G6903" i="1"/>
  <c r="G6902" i="1"/>
  <c r="G6901" i="1"/>
  <c r="G6900" i="1"/>
  <c r="G6899" i="1"/>
  <c r="G6898" i="1"/>
  <c r="G6897" i="1"/>
  <c r="G6890" i="1"/>
  <c r="G6891" i="1"/>
  <c r="G6892" i="1"/>
  <c r="G6893" i="1"/>
  <c r="G6894" i="1"/>
  <c r="G6895" i="1"/>
  <c r="G6896" i="1"/>
  <c r="G6889" i="1"/>
  <c r="G6888" i="1"/>
  <c r="G6887" i="1"/>
  <c r="G6886" i="1"/>
  <c r="G6885" i="1"/>
  <c r="G6884" i="1"/>
  <c r="G6883" i="1"/>
  <c r="G6882" i="1"/>
  <c r="G6881" i="1"/>
  <c r="G6880" i="1"/>
  <c r="G6879" i="1"/>
  <c r="G6878" i="1"/>
  <c r="G6877" i="1"/>
  <c r="G6876" i="1"/>
  <c r="G6875" i="1"/>
  <c r="G6874" i="1"/>
  <c r="G6873" i="1"/>
  <c r="G6872" i="1"/>
  <c r="G6871" i="1"/>
  <c r="G6870" i="1"/>
  <c r="G6869" i="1"/>
  <c r="G6868" i="1"/>
  <c r="G6867" i="1"/>
  <c r="G6866" i="1"/>
  <c r="G6865" i="1"/>
  <c r="G6864" i="1"/>
  <c r="G6863" i="1"/>
  <c r="G6856" i="1"/>
  <c r="G6857" i="1"/>
  <c r="G6858" i="1"/>
  <c r="G6859" i="1"/>
  <c r="G6860" i="1"/>
  <c r="G6861" i="1"/>
  <c r="G6862" i="1"/>
  <c r="G6855" i="1"/>
  <c r="G6854" i="1"/>
  <c r="G6853" i="1"/>
  <c r="G6852" i="1"/>
  <c r="G6851" i="1"/>
  <c r="G6850" i="1"/>
  <c r="G6849" i="1"/>
  <c r="G6848" i="1"/>
  <c r="G6847" i="1"/>
  <c r="G6846" i="1"/>
  <c r="G6845" i="1"/>
  <c r="G6844" i="1"/>
  <c r="G6843" i="1"/>
  <c r="G6842" i="1"/>
  <c r="G6841" i="1"/>
  <c r="G6840" i="1"/>
  <c r="G6839" i="1"/>
  <c r="G6838" i="1"/>
  <c r="G6837" i="1"/>
  <c r="G6836" i="1"/>
  <c r="G6835" i="1"/>
  <c r="G6834" i="1"/>
  <c r="G6833" i="1"/>
  <c r="G6832" i="1"/>
  <c r="G6831" i="1"/>
  <c r="G6830" i="1"/>
  <c r="G6829" i="1"/>
  <c r="G6822" i="1"/>
  <c r="G6823" i="1"/>
  <c r="G6824" i="1"/>
  <c r="G6825" i="1"/>
  <c r="G6826" i="1"/>
  <c r="G6827" i="1"/>
  <c r="G6828" i="1"/>
  <c r="G6821" i="1"/>
  <c r="G6820" i="1"/>
  <c r="G6819" i="1"/>
  <c r="G6818" i="1"/>
  <c r="G6817" i="1"/>
  <c r="G6816" i="1"/>
  <c r="G6815" i="1"/>
  <c r="G6814" i="1"/>
  <c r="G6813" i="1"/>
  <c r="G6812" i="1"/>
  <c r="G6811" i="1"/>
  <c r="G6810" i="1"/>
  <c r="G6809" i="1"/>
  <c r="G6808" i="1"/>
  <c r="G6807" i="1"/>
  <c r="G6806" i="1"/>
  <c r="G6805" i="1"/>
  <c r="G6804" i="1"/>
  <c r="G6803" i="1"/>
  <c r="G6802" i="1"/>
  <c r="G6801" i="1"/>
  <c r="G6800" i="1"/>
  <c r="G6799" i="1"/>
  <c r="G6798" i="1"/>
  <c r="G6797" i="1"/>
  <c r="G6796" i="1"/>
  <c r="G6795" i="1"/>
  <c r="G6788" i="1"/>
  <c r="G6789" i="1"/>
  <c r="G6790" i="1"/>
  <c r="G6791" i="1"/>
  <c r="G6792" i="1"/>
  <c r="G6793" i="1"/>
  <c r="G6794" i="1"/>
  <c r="G6787" i="1"/>
  <c r="G6786" i="1"/>
  <c r="G6785" i="1"/>
  <c r="G6784" i="1"/>
  <c r="G6783" i="1"/>
  <c r="G6782" i="1"/>
  <c r="G6781" i="1"/>
  <c r="G6780" i="1"/>
  <c r="G6779" i="1"/>
  <c r="G6778" i="1"/>
  <c r="G6777" i="1"/>
  <c r="G6776" i="1"/>
  <c r="G6775" i="1"/>
  <c r="G6774" i="1"/>
  <c r="G6773" i="1"/>
  <c r="G6772" i="1"/>
  <c r="G6771" i="1"/>
  <c r="G6770" i="1"/>
  <c r="G6769" i="1"/>
  <c r="G6768" i="1"/>
  <c r="G6767" i="1"/>
  <c r="G6766" i="1"/>
  <c r="G6765" i="1"/>
  <c r="G6764" i="1"/>
  <c r="G6763" i="1"/>
  <c r="G6762" i="1"/>
  <c r="G6761" i="1"/>
  <c r="G6754" i="1"/>
  <c r="G6755" i="1"/>
  <c r="G6756" i="1"/>
  <c r="G6757" i="1"/>
  <c r="G6758" i="1"/>
  <c r="G6759" i="1"/>
  <c r="G6760" i="1"/>
  <c r="G6753" i="1"/>
  <c r="G6752" i="1"/>
  <c r="G6751" i="1"/>
  <c r="G6750" i="1"/>
  <c r="G6749" i="1"/>
  <c r="G6748" i="1"/>
  <c r="G6747" i="1"/>
  <c r="G6746" i="1"/>
  <c r="G6745" i="1"/>
  <c r="G6744" i="1"/>
  <c r="G6743" i="1"/>
  <c r="G6742" i="1"/>
  <c r="G6741" i="1"/>
  <c r="G6740" i="1"/>
  <c r="G6739" i="1"/>
  <c r="G6738" i="1"/>
  <c r="G6737" i="1"/>
  <c r="G6736" i="1"/>
  <c r="G6735" i="1"/>
  <c r="G6734" i="1"/>
  <c r="G6733" i="1"/>
  <c r="G6732" i="1"/>
  <c r="G6731" i="1"/>
  <c r="G6730" i="1"/>
  <c r="G6729" i="1"/>
  <c r="G6728" i="1"/>
  <c r="G6727" i="1"/>
  <c r="G6720" i="1"/>
  <c r="G6721" i="1"/>
  <c r="G6722" i="1"/>
  <c r="G6723" i="1"/>
  <c r="G6724" i="1"/>
  <c r="G6725" i="1"/>
  <c r="G6726" i="1"/>
  <c r="G6719" i="1"/>
  <c r="G6718" i="1"/>
  <c r="G6717" i="1"/>
  <c r="G6716" i="1"/>
  <c r="G6715" i="1"/>
  <c r="G6714" i="1"/>
  <c r="G6713" i="1"/>
  <c r="G6712" i="1"/>
  <c r="G6711" i="1"/>
  <c r="G6710" i="1"/>
  <c r="G6709" i="1"/>
  <c r="G6708" i="1"/>
  <c r="G6707" i="1"/>
  <c r="G6706" i="1"/>
  <c r="G6705" i="1"/>
  <c r="G6704" i="1"/>
  <c r="G6703" i="1"/>
  <c r="G6702" i="1"/>
  <c r="G6701" i="1"/>
  <c r="G6700" i="1"/>
  <c r="G6699" i="1"/>
  <c r="G6698" i="1"/>
  <c r="G6697" i="1"/>
  <c r="G6696" i="1"/>
  <c r="G6695" i="1"/>
  <c r="G6694" i="1"/>
  <c r="G6693" i="1"/>
  <c r="G6686" i="1"/>
  <c r="G6687" i="1"/>
  <c r="G6688" i="1"/>
  <c r="G6689" i="1"/>
  <c r="G6690" i="1"/>
  <c r="G6691" i="1"/>
  <c r="G6692" i="1"/>
  <c r="G6685" i="1"/>
  <c r="G6684" i="1"/>
  <c r="G6683" i="1"/>
  <c r="G6682" i="1"/>
  <c r="G6681" i="1"/>
  <c r="G6680" i="1"/>
  <c r="G6679" i="1"/>
  <c r="G6678" i="1"/>
  <c r="G6677" i="1"/>
  <c r="G6676" i="1"/>
  <c r="G6675" i="1"/>
  <c r="G6674" i="1"/>
  <c r="G6673" i="1"/>
  <c r="G6672" i="1"/>
  <c r="G6671" i="1"/>
  <c r="G6670" i="1"/>
  <c r="G6669" i="1"/>
  <c r="G6668" i="1"/>
  <c r="G6667" i="1"/>
  <c r="G6666" i="1"/>
  <c r="G6665" i="1"/>
  <c r="G6664" i="1"/>
  <c r="G6663" i="1"/>
  <c r="G6662" i="1"/>
  <c r="G6661" i="1"/>
  <c r="G6660" i="1"/>
  <c r="G6659" i="1"/>
  <c r="G6652" i="1"/>
  <c r="G6653" i="1"/>
  <c r="G6654" i="1"/>
  <c r="G6655" i="1"/>
  <c r="G6656" i="1"/>
  <c r="G6657" i="1"/>
  <c r="G6658" i="1"/>
  <c r="G6651" i="1"/>
  <c r="G6650" i="1"/>
  <c r="G6649" i="1"/>
  <c r="G6648" i="1"/>
  <c r="G6647" i="1"/>
  <c r="G6646" i="1"/>
  <c r="G6645" i="1"/>
  <c r="G6644" i="1"/>
  <c r="G6643" i="1"/>
  <c r="G6642" i="1"/>
  <c r="G6641" i="1"/>
  <c r="G6640" i="1"/>
  <c r="G6639" i="1"/>
  <c r="G6638" i="1"/>
  <c r="G6637" i="1"/>
  <c r="G6636" i="1"/>
  <c r="G6635" i="1"/>
  <c r="G6634" i="1"/>
  <c r="G6633" i="1"/>
  <c r="G6632" i="1"/>
  <c r="G6631" i="1"/>
  <c r="G6630" i="1"/>
  <c r="G6629" i="1"/>
  <c r="G6628" i="1"/>
  <c r="G6627" i="1"/>
  <c r="G6626" i="1"/>
  <c r="G6625" i="1"/>
  <c r="G6618" i="1"/>
  <c r="G6619" i="1"/>
  <c r="G6620" i="1"/>
  <c r="G6621" i="1"/>
  <c r="G6622" i="1"/>
  <c r="G6623" i="1"/>
  <c r="G6624" i="1"/>
  <c r="G6617" i="1"/>
  <c r="G6616" i="1"/>
  <c r="G6615" i="1"/>
  <c r="G6614" i="1"/>
  <c r="G6613" i="1"/>
  <c r="G6612" i="1"/>
  <c r="G6611" i="1"/>
  <c r="G6610" i="1"/>
  <c r="G6609" i="1"/>
  <c r="G6608" i="1"/>
  <c r="G6607" i="1"/>
  <c r="G6606" i="1"/>
  <c r="G6605" i="1"/>
  <c r="G6604" i="1"/>
  <c r="G6603" i="1"/>
  <c r="G6602" i="1"/>
  <c r="G6601" i="1"/>
  <c r="G6600" i="1"/>
  <c r="G6599" i="1"/>
  <c r="G6598" i="1"/>
  <c r="G6597" i="1"/>
  <c r="G6596" i="1"/>
  <c r="G6595" i="1"/>
  <c r="G6594" i="1"/>
  <c r="G6593" i="1"/>
  <c r="G6592" i="1"/>
  <c r="G6591" i="1"/>
  <c r="G6584" i="1"/>
  <c r="G6585" i="1"/>
  <c r="G6586" i="1"/>
  <c r="G6587" i="1"/>
  <c r="G6588" i="1"/>
  <c r="G6589" i="1"/>
  <c r="G6590" i="1"/>
  <c r="G6583" i="1"/>
  <c r="G6582" i="1"/>
  <c r="G6581" i="1"/>
  <c r="G6580" i="1"/>
  <c r="G6579" i="1"/>
  <c r="G6578" i="1"/>
  <c r="G6577" i="1"/>
  <c r="G6576" i="1"/>
  <c r="G6575" i="1"/>
  <c r="G6574" i="1"/>
  <c r="G6573" i="1"/>
  <c r="G6572" i="1"/>
  <c r="G6571" i="1"/>
  <c r="G6570" i="1"/>
  <c r="G6569" i="1"/>
  <c r="G6568" i="1"/>
  <c r="G6567" i="1"/>
  <c r="G6566" i="1"/>
  <c r="G6565" i="1"/>
  <c r="G6564" i="1"/>
  <c r="G6563" i="1"/>
  <c r="G6562" i="1"/>
  <c r="G6561" i="1"/>
  <c r="G6560" i="1"/>
  <c r="G6559" i="1"/>
  <c r="G6558" i="1"/>
  <c r="G6557" i="1"/>
  <c r="G6550" i="1"/>
  <c r="G6551" i="1"/>
  <c r="G6552" i="1"/>
  <c r="G6553" i="1"/>
  <c r="G6554" i="1"/>
  <c r="G6555" i="1"/>
  <c r="G6556" i="1"/>
  <c r="G6549" i="1"/>
  <c r="G6548" i="1"/>
  <c r="G6547" i="1"/>
  <c r="G6546" i="1"/>
  <c r="G6545" i="1"/>
  <c r="G6544" i="1"/>
  <c r="G6543" i="1"/>
  <c r="G6542" i="1"/>
  <c r="G6541" i="1"/>
  <c r="G6540" i="1"/>
  <c r="G6539" i="1"/>
  <c r="G6538" i="1"/>
  <c r="G6537" i="1"/>
  <c r="G6536" i="1"/>
  <c r="G6535" i="1"/>
  <c r="G6534" i="1"/>
  <c r="G6533" i="1"/>
  <c r="G6532" i="1"/>
  <c r="G6531" i="1"/>
  <c r="G6530" i="1"/>
  <c r="G6529" i="1"/>
  <c r="G6528" i="1"/>
  <c r="G6527" i="1"/>
  <c r="G6526" i="1"/>
  <c r="G6525" i="1"/>
  <c r="G6524" i="1"/>
  <c r="G6523" i="1"/>
  <c r="G6516" i="1"/>
  <c r="G6517" i="1"/>
  <c r="G6518" i="1"/>
  <c r="G6519" i="1"/>
  <c r="G6520" i="1"/>
  <c r="G6521" i="1"/>
  <c r="G6522" i="1"/>
  <c r="G6515" i="1"/>
  <c r="G6514" i="1"/>
  <c r="G6513" i="1"/>
  <c r="G6512" i="1"/>
  <c r="G6511" i="1"/>
  <c r="G6510" i="1"/>
  <c r="G6509" i="1"/>
  <c r="G6508" i="1"/>
  <c r="G6507" i="1"/>
  <c r="G6506" i="1"/>
  <c r="G6505" i="1"/>
  <c r="G6504" i="1"/>
  <c r="G6503" i="1"/>
  <c r="G6502" i="1"/>
  <c r="G6501" i="1"/>
  <c r="G6500" i="1"/>
  <c r="G6499" i="1"/>
  <c r="G6498" i="1"/>
  <c r="G6497" i="1"/>
  <c r="G6496" i="1"/>
  <c r="G6495" i="1"/>
  <c r="G6494" i="1"/>
  <c r="G6493" i="1"/>
  <c r="G6492" i="1"/>
  <c r="G6491" i="1"/>
  <c r="G6418" i="1"/>
  <c r="G6417" i="1"/>
  <c r="G6410" i="1"/>
  <c r="G6411" i="1"/>
  <c r="G6412" i="1"/>
  <c r="G6413" i="1"/>
  <c r="G6414" i="1"/>
  <c r="G6415" i="1"/>
  <c r="G6416" i="1"/>
  <c r="G6409" i="1"/>
  <c r="G6408" i="1"/>
  <c r="G6407" i="1"/>
  <c r="G6406" i="1"/>
  <c r="G6405" i="1"/>
  <c r="G6404" i="1"/>
  <c r="G6403" i="1"/>
  <c r="G6402" i="1"/>
  <c r="G6401" i="1"/>
  <c r="G6400" i="1"/>
  <c r="G6399" i="1"/>
  <c r="G6398" i="1"/>
  <c r="G6397" i="1"/>
  <c r="G6396" i="1"/>
  <c r="G6395" i="1"/>
  <c r="G6394" i="1"/>
  <c r="G6393" i="1"/>
  <c r="G6392" i="1"/>
  <c r="G6391" i="1"/>
  <c r="G6390" i="1"/>
  <c r="G6389" i="1"/>
  <c r="G6388" i="1"/>
  <c r="G6387" i="1"/>
  <c r="G6386" i="1"/>
  <c r="G6385" i="1"/>
  <c r="G6384" i="1"/>
  <c r="G6383" i="1"/>
  <c r="G6376" i="1"/>
  <c r="G6377" i="1"/>
  <c r="G6378" i="1"/>
  <c r="G6379" i="1"/>
  <c r="G6380" i="1"/>
  <c r="G6381" i="1"/>
  <c r="G6382" i="1"/>
  <c r="G6375" i="1"/>
  <c r="G6374" i="1"/>
  <c r="G6373" i="1"/>
  <c r="G6372" i="1"/>
  <c r="G6371" i="1"/>
  <c r="G6370" i="1"/>
  <c r="G6369" i="1"/>
  <c r="G6368" i="1"/>
  <c r="G6367" i="1"/>
  <c r="G6366" i="1"/>
  <c r="G6365" i="1"/>
  <c r="G6364" i="1"/>
  <c r="G6363" i="1"/>
  <c r="G6362" i="1"/>
  <c r="G6361" i="1"/>
  <c r="G6360" i="1"/>
  <c r="G6359" i="1"/>
  <c r="G6358" i="1"/>
  <c r="G6357" i="1"/>
  <c r="G6356" i="1"/>
  <c r="G6355" i="1"/>
  <c r="G6354" i="1"/>
  <c r="G6353" i="1"/>
  <c r="G6352" i="1"/>
  <c r="G6351" i="1"/>
  <c r="G6350" i="1"/>
  <c r="G6349" i="1"/>
  <c r="G6342" i="1"/>
  <c r="G6343" i="1"/>
  <c r="G6344" i="1"/>
  <c r="G6345" i="1"/>
  <c r="G6346" i="1"/>
  <c r="G6347" i="1"/>
  <c r="G6348" i="1"/>
  <c r="G6341" i="1"/>
  <c r="G6340" i="1"/>
  <c r="G6339" i="1"/>
  <c r="G6338" i="1"/>
  <c r="G6337" i="1"/>
  <c r="G6336" i="1"/>
  <c r="G6335" i="1"/>
  <c r="G6334" i="1"/>
  <c r="G6333" i="1"/>
  <c r="G6332" i="1"/>
  <c r="G6331" i="1"/>
  <c r="G6330" i="1"/>
  <c r="G6329" i="1"/>
  <c r="G6328" i="1"/>
  <c r="G6327" i="1"/>
  <c r="G6326" i="1"/>
  <c r="G6325" i="1"/>
  <c r="G6324" i="1"/>
  <c r="G6323" i="1"/>
  <c r="G6322" i="1"/>
  <c r="G6321" i="1"/>
  <c r="G6320" i="1"/>
  <c r="G6319" i="1"/>
  <c r="G6318" i="1"/>
  <c r="G6317" i="1"/>
  <c r="G6316" i="1"/>
  <c r="G6315" i="1"/>
  <c r="G6308" i="1"/>
  <c r="G6309" i="1"/>
  <c r="G6310" i="1"/>
  <c r="G6311" i="1"/>
  <c r="G6312" i="1"/>
  <c r="G6313" i="1"/>
  <c r="G6314" i="1"/>
  <c r="G6307" i="1"/>
  <c r="G6306" i="1"/>
  <c r="G6305" i="1"/>
  <c r="G6304" i="1"/>
  <c r="G6303" i="1"/>
  <c r="G6302" i="1"/>
  <c r="G6301" i="1"/>
  <c r="G6300" i="1"/>
  <c r="G6299" i="1"/>
  <c r="G6298" i="1"/>
  <c r="G6297" i="1"/>
  <c r="G6296" i="1"/>
  <c r="G6295" i="1"/>
  <c r="G6294" i="1"/>
  <c r="G6293" i="1"/>
  <c r="G6292" i="1"/>
  <c r="G6291" i="1"/>
  <c r="G6290" i="1"/>
  <c r="G6289" i="1"/>
  <c r="G6288" i="1"/>
  <c r="G6287" i="1"/>
  <c r="G6286" i="1"/>
  <c r="G6285" i="1"/>
  <c r="G6284" i="1"/>
  <c r="G6283" i="1"/>
  <c r="G6282" i="1"/>
  <c r="G6281" i="1"/>
  <c r="G6274" i="1"/>
  <c r="G6275" i="1"/>
  <c r="G6276" i="1"/>
  <c r="G6277" i="1"/>
  <c r="G6278" i="1"/>
  <c r="G6279" i="1"/>
  <c r="G6280" i="1"/>
  <c r="G6273" i="1"/>
  <c r="G6272" i="1"/>
  <c r="G6271" i="1"/>
  <c r="G6270" i="1"/>
  <c r="G6269" i="1"/>
  <c r="G6268" i="1"/>
  <c r="G6267" i="1"/>
  <c r="G6266" i="1"/>
  <c r="G6265" i="1"/>
  <c r="G6264" i="1"/>
  <c r="G6263" i="1"/>
  <c r="G6262" i="1"/>
  <c r="G6261" i="1"/>
  <c r="G6260" i="1"/>
  <c r="G6259" i="1"/>
  <c r="G6258" i="1"/>
  <c r="G6257" i="1"/>
  <c r="G6256" i="1"/>
  <c r="G6255" i="1"/>
  <c r="G6254" i="1"/>
  <c r="G6253" i="1"/>
  <c r="G6252" i="1"/>
  <c r="G6251" i="1"/>
  <c r="G6250" i="1"/>
  <c r="G6249" i="1"/>
  <c r="G6248" i="1"/>
  <c r="G6247" i="1"/>
  <c r="G6240" i="1"/>
  <c r="G6241" i="1"/>
  <c r="G6242" i="1"/>
  <c r="G6243" i="1"/>
  <c r="G6244" i="1"/>
  <c r="G6245" i="1"/>
  <c r="G6246" i="1"/>
  <c r="G6239" i="1"/>
  <c r="G6238" i="1"/>
  <c r="G6237" i="1"/>
  <c r="G6236" i="1"/>
  <c r="G6235" i="1"/>
  <c r="G6234" i="1"/>
  <c r="G6233" i="1"/>
  <c r="G6232" i="1"/>
  <c r="G6231" i="1"/>
  <c r="G6230" i="1"/>
  <c r="G6229" i="1"/>
  <c r="G6228" i="1"/>
  <c r="G6227" i="1"/>
  <c r="G6226" i="1"/>
  <c r="G6225" i="1"/>
  <c r="G6224" i="1"/>
  <c r="G6223" i="1"/>
  <c r="G6222" i="1"/>
  <c r="G6221" i="1"/>
  <c r="G6220" i="1"/>
  <c r="G6219" i="1"/>
  <c r="G6218" i="1"/>
  <c r="G6217" i="1"/>
  <c r="G6216" i="1"/>
  <c r="G6215" i="1"/>
  <c r="G6214" i="1"/>
  <c r="G6213" i="1"/>
  <c r="G6206" i="1"/>
  <c r="G6207" i="1"/>
  <c r="G6208" i="1"/>
  <c r="G6209" i="1"/>
  <c r="G6210" i="1"/>
  <c r="G6211" i="1"/>
  <c r="G6212" i="1"/>
  <c r="G6205" i="1"/>
  <c r="G6204" i="1"/>
  <c r="G6203" i="1"/>
  <c r="G6202" i="1"/>
  <c r="G6201" i="1"/>
  <c r="G6200" i="1"/>
  <c r="G6199" i="1"/>
  <c r="G6198" i="1"/>
  <c r="G6197" i="1"/>
  <c r="G6196" i="1"/>
  <c r="G6195" i="1"/>
  <c r="G6194" i="1"/>
  <c r="G6193" i="1"/>
  <c r="G6192" i="1"/>
  <c r="G6191" i="1"/>
  <c r="G6190" i="1"/>
  <c r="G6189" i="1"/>
  <c r="G6188" i="1"/>
  <c r="G6187" i="1"/>
  <c r="G6186" i="1"/>
  <c r="G6185" i="1"/>
  <c r="G6184" i="1"/>
  <c r="G6183" i="1"/>
  <c r="G6182" i="1"/>
  <c r="G6181" i="1"/>
  <c r="G6180" i="1"/>
  <c r="G6179" i="1"/>
  <c r="G6172" i="1"/>
  <c r="G6173" i="1"/>
  <c r="G6174" i="1"/>
  <c r="G6175" i="1"/>
  <c r="G6176" i="1"/>
  <c r="G6177" i="1"/>
  <c r="G6178" i="1"/>
  <c r="G6171" i="1"/>
  <c r="G6170" i="1"/>
  <c r="G6169" i="1"/>
  <c r="G6168" i="1"/>
  <c r="G6167" i="1"/>
  <c r="G6166" i="1"/>
  <c r="G6165" i="1"/>
  <c r="G6164" i="1"/>
  <c r="G6163" i="1"/>
  <c r="G6162" i="1"/>
  <c r="G6161" i="1"/>
  <c r="G6160" i="1"/>
  <c r="G6159" i="1"/>
  <c r="G6158" i="1"/>
  <c r="G6157" i="1"/>
  <c r="G6156" i="1"/>
  <c r="G6155" i="1"/>
  <c r="G6154" i="1"/>
  <c r="G6153" i="1"/>
  <c r="G6152" i="1"/>
  <c r="G6151" i="1"/>
  <c r="G6150" i="1"/>
  <c r="G6149" i="1"/>
  <c r="G6148" i="1"/>
  <c r="G6147" i="1"/>
  <c r="G6146" i="1"/>
  <c r="G6145" i="1"/>
  <c r="G6138" i="1"/>
  <c r="G6139" i="1"/>
  <c r="G6140" i="1"/>
  <c r="G6141" i="1"/>
  <c r="G6142" i="1"/>
  <c r="G6143" i="1"/>
  <c r="G6144" i="1"/>
  <c r="G6137" i="1"/>
  <c r="G6136" i="1"/>
  <c r="G6135" i="1"/>
  <c r="G6134" i="1"/>
  <c r="G6133" i="1"/>
  <c r="G6132" i="1"/>
  <c r="G6131" i="1"/>
  <c r="G6130" i="1"/>
  <c r="G6129" i="1"/>
  <c r="G6128" i="1"/>
  <c r="G6127" i="1"/>
  <c r="G6126" i="1"/>
  <c r="G6125" i="1"/>
  <c r="G6124" i="1"/>
  <c r="G6123" i="1"/>
  <c r="G6122" i="1"/>
  <c r="G6121" i="1"/>
  <c r="G6120" i="1"/>
  <c r="G6119" i="1"/>
  <c r="G6118" i="1"/>
  <c r="G6117" i="1"/>
  <c r="G6116" i="1"/>
  <c r="G6115" i="1"/>
  <c r="G6114" i="1"/>
  <c r="G6113" i="1"/>
  <c r="G6112" i="1"/>
  <c r="G6111" i="1"/>
  <c r="G6104" i="1"/>
  <c r="G6105" i="1"/>
  <c r="G6106" i="1"/>
  <c r="G6107" i="1"/>
  <c r="G6108" i="1"/>
  <c r="G6109" i="1"/>
  <c r="G6110" i="1"/>
  <c r="G6103" i="1"/>
  <c r="G6102" i="1"/>
  <c r="G6101" i="1"/>
  <c r="G6100" i="1"/>
  <c r="G6099" i="1"/>
  <c r="G6098" i="1"/>
  <c r="G6097" i="1"/>
  <c r="G6096" i="1"/>
  <c r="G6095" i="1"/>
  <c r="G6094" i="1"/>
  <c r="G6093" i="1"/>
  <c r="G6092" i="1"/>
  <c r="G6091" i="1"/>
  <c r="G6090" i="1"/>
  <c r="G6089" i="1"/>
  <c r="G6088" i="1"/>
  <c r="G6087" i="1"/>
  <c r="G6086" i="1"/>
  <c r="G6085" i="1"/>
  <c r="G6084" i="1"/>
  <c r="G6083" i="1"/>
  <c r="G6082" i="1"/>
  <c r="G6081" i="1"/>
  <c r="G6080" i="1"/>
  <c r="G6079" i="1"/>
  <c r="G6078" i="1"/>
  <c r="G6077" i="1"/>
  <c r="G6070" i="1"/>
  <c r="G6071" i="1"/>
  <c r="G6072" i="1"/>
  <c r="G6073" i="1"/>
  <c r="G6074" i="1"/>
  <c r="G6075" i="1"/>
  <c r="G6076" i="1"/>
  <c r="G6069" i="1"/>
  <c r="G6068" i="1"/>
  <c r="G6067" i="1"/>
  <c r="G6066" i="1"/>
  <c r="G6065" i="1"/>
  <c r="G6064" i="1"/>
  <c r="G6063" i="1"/>
  <c r="G6062" i="1"/>
  <c r="G6061" i="1"/>
  <c r="G6060" i="1"/>
  <c r="G6059" i="1"/>
  <c r="G6058" i="1"/>
  <c r="G6057" i="1"/>
  <c r="G6056" i="1"/>
  <c r="G6055" i="1"/>
  <c r="G6054" i="1"/>
  <c r="G6053" i="1"/>
  <c r="G6052" i="1"/>
  <c r="G6051" i="1"/>
  <c r="G6050" i="1"/>
  <c r="G6049" i="1"/>
  <c r="G6048" i="1"/>
  <c r="G6047" i="1"/>
  <c r="G6046" i="1"/>
  <c r="G6045" i="1"/>
  <c r="G6044" i="1"/>
  <c r="G6043" i="1"/>
  <c r="G6036" i="1"/>
  <c r="G6037" i="1"/>
  <c r="G6038" i="1"/>
  <c r="G6039" i="1"/>
  <c r="G6040" i="1"/>
  <c r="G6041" i="1"/>
  <c r="G6042" i="1"/>
  <c r="G6035" i="1"/>
  <c r="G6034" i="1"/>
  <c r="G6033" i="1"/>
  <c r="G6032" i="1"/>
  <c r="G6031" i="1"/>
  <c r="G6030" i="1"/>
  <c r="G6029" i="1"/>
  <c r="G6028" i="1"/>
  <c r="G6027" i="1"/>
  <c r="G6026" i="1"/>
  <c r="G6025" i="1"/>
  <c r="G6024" i="1"/>
  <c r="G6023" i="1"/>
  <c r="G6022" i="1"/>
  <c r="G6021" i="1"/>
  <c r="G6020" i="1"/>
  <c r="G6019" i="1"/>
  <c r="G6018" i="1"/>
  <c r="G6017" i="1"/>
  <c r="G6016" i="1"/>
  <c r="G6015" i="1"/>
  <c r="G6014" i="1"/>
  <c r="G6013" i="1"/>
  <c r="G6012" i="1"/>
  <c r="G6011" i="1"/>
  <c r="G6010" i="1"/>
  <c r="G6009" i="1"/>
  <c r="G6002" i="1"/>
  <c r="G6003" i="1"/>
  <c r="G6004" i="1"/>
  <c r="G6005" i="1"/>
  <c r="G6006" i="1"/>
  <c r="G6007" i="1"/>
  <c r="G6008" i="1"/>
  <c r="G6001" i="1"/>
  <c r="G6000" i="1"/>
  <c r="G5999" i="1"/>
  <c r="G5998" i="1"/>
  <c r="G5997" i="1"/>
  <c r="G5996" i="1"/>
  <c r="G5995" i="1"/>
  <c r="G5994" i="1"/>
  <c r="G5993" i="1"/>
  <c r="G5992" i="1"/>
  <c r="G5991" i="1"/>
  <c r="G5990" i="1"/>
  <c r="G5989" i="1"/>
  <c r="G5988" i="1"/>
  <c r="G5987" i="1"/>
  <c r="G5986" i="1"/>
  <c r="G5985" i="1"/>
  <c r="G5984" i="1"/>
  <c r="G5983" i="1"/>
  <c r="G5982" i="1"/>
  <c r="G5981" i="1"/>
  <c r="G5980" i="1"/>
  <c r="G5979" i="1"/>
  <c r="G5978" i="1"/>
  <c r="G5977" i="1"/>
  <c r="G5976" i="1"/>
  <c r="G5975" i="1"/>
  <c r="G5968" i="1"/>
  <c r="G5969" i="1"/>
  <c r="G5970" i="1"/>
  <c r="G5971" i="1"/>
  <c r="G5972" i="1"/>
  <c r="G5973" i="1"/>
  <c r="G5974" i="1"/>
  <c r="G5967" i="1"/>
  <c r="G5966" i="1"/>
  <c r="G5965" i="1"/>
  <c r="G5964" i="1"/>
  <c r="G5963" i="1"/>
  <c r="G5962" i="1"/>
  <c r="G5961" i="1"/>
  <c r="G5960" i="1"/>
  <c r="G5959" i="1"/>
  <c r="G5958" i="1"/>
  <c r="G5957" i="1"/>
  <c r="G5956" i="1"/>
  <c r="G5955" i="1"/>
  <c r="G5954" i="1"/>
  <c r="G5953" i="1"/>
  <c r="G5952" i="1"/>
  <c r="G5951" i="1"/>
  <c r="G5950" i="1"/>
  <c r="G5949" i="1"/>
  <c r="G5948" i="1"/>
  <c r="G5947" i="1"/>
  <c r="G5946" i="1"/>
  <c r="G5945" i="1"/>
  <c r="G5944" i="1"/>
  <c r="G5943" i="1"/>
  <c r="G5942" i="1"/>
  <c r="G5941" i="1"/>
  <c r="G5934" i="1"/>
  <c r="G5935" i="1"/>
  <c r="G5936" i="1"/>
  <c r="G5937" i="1"/>
  <c r="G5938" i="1"/>
  <c r="G5939" i="1"/>
  <c r="G5940" i="1"/>
  <c r="G5933" i="1"/>
  <c r="G5932" i="1"/>
  <c r="G5931" i="1"/>
  <c r="G5930" i="1"/>
  <c r="G5929" i="1"/>
  <c r="G5928" i="1"/>
  <c r="G5927" i="1"/>
  <c r="G5926" i="1"/>
  <c r="G5925" i="1"/>
  <c r="G5924" i="1"/>
  <c r="G5923" i="1"/>
  <c r="G5922" i="1"/>
  <c r="G5921" i="1"/>
  <c r="G5920" i="1"/>
  <c r="G5919" i="1"/>
  <c r="G5918" i="1"/>
  <c r="G5917" i="1"/>
  <c r="G5916" i="1"/>
  <c r="G5915" i="1"/>
  <c r="G5914" i="1"/>
  <c r="G5913" i="1"/>
  <c r="G5912" i="1"/>
  <c r="G5911" i="1"/>
  <c r="G5910" i="1"/>
  <c r="G5909" i="1"/>
  <c r="G5908" i="1"/>
  <c r="G5907" i="1"/>
  <c r="G5900" i="1"/>
  <c r="G5901" i="1"/>
  <c r="G5902" i="1"/>
  <c r="G5903" i="1"/>
  <c r="G5904" i="1"/>
  <c r="G5905" i="1"/>
  <c r="G5906" i="1"/>
  <c r="G5899" i="1"/>
  <c r="G5898" i="1"/>
  <c r="G5897" i="1"/>
  <c r="G5896" i="1"/>
  <c r="G5895" i="1"/>
  <c r="G5894" i="1"/>
  <c r="G5893" i="1"/>
  <c r="G5892" i="1"/>
  <c r="G5891" i="1"/>
  <c r="G5890" i="1"/>
  <c r="G5889" i="1"/>
  <c r="G5888" i="1"/>
  <c r="G5887" i="1"/>
  <c r="G5886" i="1"/>
  <c r="G5885" i="1"/>
  <c r="G5884" i="1"/>
  <c r="G5883" i="1"/>
  <c r="G5882" i="1"/>
  <c r="G5881" i="1"/>
  <c r="G5880" i="1"/>
  <c r="G5879" i="1"/>
  <c r="G5878" i="1"/>
  <c r="G5877" i="1"/>
  <c r="G5876" i="1"/>
  <c r="G5875" i="1"/>
  <c r="G5874" i="1"/>
  <c r="G5873" i="1"/>
  <c r="G5866" i="1"/>
  <c r="G5867" i="1"/>
  <c r="G5868" i="1"/>
  <c r="G5869" i="1"/>
  <c r="G5870" i="1"/>
  <c r="G5871" i="1"/>
  <c r="G5872" i="1"/>
  <c r="G5865" i="1"/>
  <c r="G5864" i="1"/>
  <c r="G5863" i="1"/>
  <c r="G5862" i="1"/>
  <c r="G5861" i="1"/>
  <c r="G5860" i="1"/>
  <c r="G5859" i="1"/>
  <c r="G5858" i="1"/>
  <c r="G5857" i="1"/>
  <c r="G5856" i="1"/>
  <c r="G5855" i="1"/>
  <c r="G5854" i="1"/>
  <c r="G5853" i="1"/>
  <c r="G5852" i="1"/>
  <c r="G5851" i="1"/>
  <c r="G5850" i="1"/>
  <c r="G5849" i="1"/>
  <c r="G5848" i="1"/>
  <c r="G5847" i="1"/>
  <c r="G5846" i="1"/>
  <c r="G5845" i="1"/>
  <c r="G5844" i="1"/>
  <c r="G5843" i="1"/>
  <c r="G5842" i="1"/>
  <c r="G5841" i="1"/>
  <c r="G5840" i="1"/>
  <c r="G5839" i="1"/>
  <c r="G5832" i="1"/>
  <c r="G5833" i="1"/>
  <c r="G5834" i="1"/>
  <c r="G5835" i="1"/>
  <c r="G5836" i="1"/>
  <c r="G5837" i="1"/>
  <c r="G5838" i="1"/>
  <c r="G5831" i="1"/>
  <c r="G5830" i="1"/>
  <c r="G5829" i="1"/>
  <c r="G5828" i="1"/>
  <c r="G5827" i="1"/>
  <c r="G5826" i="1"/>
  <c r="G5825" i="1"/>
  <c r="G5824" i="1"/>
  <c r="G5823" i="1"/>
  <c r="G5822" i="1"/>
  <c r="G5821" i="1"/>
  <c r="G5820" i="1"/>
  <c r="G5819" i="1"/>
  <c r="G5818" i="1"/>
  <c r="G5817" i="1"/>
  <c r="G5816" i="1"/>
  <c r="G5815" i="1"/>
  <c r="G5814" i="1"/>
  <c r="G5813" i="1"/>
  <c r="G5812" i="1"/>
  <c r="G5811" i="1"/>
  <c r="G5810" i="1"/>
  <c r="G5809" i="1"/>
  <c r="G5808" i="1"/>
  <c r="G5807" i="1"/>
  <c r="G5806" i="1"/>
  <c r="G5805" i="1"/>
  <c r="G5798" i="1"/>
  <c r="G5799" i="1"/>
  <c r="G5800" i="1"/>
  <c r="G5801" i="1"/>
  <c r="G5802" i="1"/>
  <c r="G5803" i="1"/>
  <c r="G5804" i="1"/>
  <c r="G5797" i="1"/>
  <c r="G5796" i="1"/>
  <c r="G5795" i="1"/>
  <c r="G5794" i="1"/>
  <c r="G5793" i="1"/>
  <c r="G5792" i="1"/>
  <c r="G5791" i="1"/>
  <c r="G5790" i="1"/>
  <c r="G5789" i="1"/>
  <c r="G5788" i="1"/>
  <c r="G5787" i="1"/>
  <c r="G5786" i="1"/>
  <c r="G5785" i="1"/>
  <c r="G5784" i="1"/>
  <c r="G5783" i="1"/>
  <c r="G5782" i="1"/>
  <c r="G5781" i="1"/>
  <c r="G5780" i="1"/>
  <c r="G5779" i="1"/>
  <c r="G5778" i="1"/>
  <c r="G5777" i="1"/>
  <c r="G5776" i="1"/>
  <c r="G5775" i="1"/>
  <c r="G5774" i="1"/>
  <c r="G5773" i="1"/>
  <c r="G5700" i="1"/>
  <c r="G5699" i="1"/>
  <c r="G5692" i="1"/>
  <c r="G5693" i="1"/>
  <c r="G5694" i="1"/>
  <c r="G5695" i="1"/>
  <c r="G5696" i="1"/>
  <c r="G5697" i="1"/>
  <c r="G5698" i="1"/>
  <c r="G5691" i="1"/>
  <c r="G5690" i="1"/>
  <c r="G5689" i="1"/>
  <c r="G5688" i="1"/>
  <c r="G5687" i="1"/>
  <c r="G5686" i="1"/>
  <c r="G5685" i="1"/>
  <c r="G5684" i="1"/>
  <c r="G5683" i="1"/>
  <c r="G5682" i="1"/>
  <c r="G5681" i="1"/>
  <c r="G5680" i="1"/>
  <c r="G5679" i="1"/>
  <c r="G5678" i="1"/>
  <c r="G5677" i="1"/>
  <c r="G5676" i="1"/>
  <c r="G5675" i="1"/>
  <c r="G5674" i="1"/>
  <c r="G5673" i="1"/>
  <c r="G5672" i="1"/>
  <c r="G5671" i="1"/>
  <c r="G5670" i="1"/>
  <c r="G5669" i="1"/>
  <c r="G5668" i="1"/>
  <c r="G5667" i="1"/>
  <c r="G5666" i="1"/>
  <c r="G5665" i="1"/>
  <c r="G5658" i="1"/>
  <c r="G5659" i="1"/>
  <c r="G5660" i="1"/>
  <c r="G5661" i="1"/>
  <c r="G5662" i="1"/>
  <c r="G5663" i="1"/>
  <c r="G5664" i="1"/>
  <c r="G5657" i="1"/>
  <c r="G5656" i="1"/>
  <c r="G5655" i="1"/>
  <c r="G5654" i="1"/>
  <c r="G5653" i="1"/>
  <c r="G5652" i="1"/>
  <c r="G5651" i="1"/>
  <c r="G5650" i="1"/>
  <c r="G5649" i="1"/>
  <c r="G5648" i="1"/>
  <c r="G5647" i="1"/>
  <c r="G5646" i="1"/>
  <c r="G5645" i="1"/>
  <c r="G5644" i="1"/>
  <c r="G5643" i="1"/>
  <c r="G5642" i="1"/>
  <c r="G5641" i="1"/>
  <c r="G5640" i="1"/>
  <c r="G5639" i="1"/>
  <c r="G5638" i="1"/>
  <c r="G5637" i="1"/>
  <c r="G5636" i="1"/>
  <c r="G5635" i="1"/>
  <c r="G5634" i="1"/>
  <c r="G5633" i="1"/>
  <c r="G5632" i="1"/>
  <c r="G5631" i="1"/>
  <c r="G5624" i="1"/>
  <c r="G5625" i="1"/>
  <c r="G5626" i="1"/>
  <c r="G5627" i="1"/>
  <c r="G5628" i="1"/>
  <c r="G5629" i="1"/>
  <c r="G5630" i="1"/>
  <c r="G5623" i="1"/>
  <c r="G5622" i="1"/>
  <c r="G5621" i="1"/>
  <c r="G5620" i="1"/>
  <c r="G5619" i="1"/>
  <c r="G5618" i="1"/>
  <c r="G5617" i="1"/>
  <c r="G5616" i="1"/>
  <c r="G5615" i="1"/>
  <c r="G5614" i="1"/>
  <c r="G5613" i="1"/>
  <c r="G5612" i="1"/>
  <c r="G5611" i="1"/>
  <c r="G5610" i="1"/>
  <c r="G5609" i="1"/>
  <c r="G5608" i="1"/>
  <c r="G5607" i="1"/>
  <c r="G5606" i="1"/>
  <c r="G5605" i="1"/>
  <c r="G5604" i="1"/>
  <c r="G5603" i="1"/>
  <c r="G5602" i="1"/>
  <c r="G5601" i="1"/>
  <c r="G5600" i="1"/>
  <c r="G5599" i="1"/>
  <c r="G5598" i="1"/>
  <c r="G5597" i="1"/>
  <c r="G5590" i="1"/>
  <c r="G5591" i="1"/>
  <c r="G5592" i="1"/>
  <c r="G5593" i="1"/>
  <c r="G5594" i="1"/>
  <c r="G5595" i="1"/>
  <c r="G5596" i="1"/>
  <c r="G5589" i="1"/>
  <c r="G5588" i="1"/>
  <c r="G5587" i="1"/>
  <c r="G5586" i="1"/>
  <c r="G5585" i="1"/>
  <c r="G5584" i="1"/>
  <c r="G5583" i="1"/>
  <c r="G5582" i="1"/>
  <c r="G5581" i="1"/>
  <c r="G5580" i="1"/>
  <c r="G5579" i="1"/>
  <c r="G5578" i="1"/>
  <c r="G5577" i="1"/>
  <c r="G5576" i="1"/>
  <c r="G5575" i="1"/>
  <c r="G5574" i="1"/>
  <c r="G5573" i="1"/>
  <c r="G5572" i="1"/>
  <c r="G5571" i="1"/>
  <c r="G5570" i="1"/>
  <c r="G5569" i="1"/>
  <c r="G5568" i="1"/>
  <c r="G5567" i="1"/>
  <c r="G5566" i="1"/>
  <c r="G5565" i="1"/>
  <c r="G5564" i="1"/>
  <c r="G5563" i="1"/>
  <c r="G5556" i="1"/>
  <c r="G5557" i="1"/>
  <c r="G5558" i="1"/>
  <c r="G5559" i="1"/>
  <c r="G5560" i="1"/>
  <c r="G5561" i="1"/>
  <c r="G5562" i="1"/>
  <c r="G5555" i="1"/>
  <c r="G5554" i="1"/>
  <c r="G5553" i="1"/>
  <c r="G5552" i="1"/>
  <c r="G5551" i="1"/>
  <c r="G5550" i="1"/>
  <c r="G5549" i="1"/>
  <c r="G5548" i="1"/>
  <c r="G5547" i="1"/>
  <c r="G5546" i="1"/>
  <c r="G5545" i="1"/>
  <c r="G5544" i="1"/>
  <c r="G5543" i="1"/>
  <c r="G5542" i="1"/>
  <c r="G5541" i="1"/>
  <c r="G5540" i="1"/>
  <c r="G5539" i="1"/>
  <c r="G5538" i="1"/>
  <c r="G5537" i="1"/>
  <c r="G5536" i="1"/>
  <c r="G5535" i="1"/>
  <c r="G5534" i="1"/>
  <c r="G5533" i="1"/>
  <c r="G5532" i="1"/>
  <c r="G5531" i="1"/>
  <c r="G5530" i="1"/>
  <c r="G5529" i="1"/>
  <c r="G5522" i="1"/>
  <c r="G5523" i="1"/>
  <c r="G5524" i="1"/>
  <c r="G5525" i="1"/>
  <c r="G5526" i="1"/>
  <c r="G5527" i="1"/>
  <c r="G5528" i="1"/>
  <c r="G5521" i="1"/>
  <c r="G5520" i="1"/>
  <c r="G5519" i="1"/>
  <c r="G5518" i="1"/>
  <c r="G5517" i="1"/>
  <c r="G5516" i="1"/>
  <c r="G5515" i="1"/>
  <c r="G5514" i="1"/>
  <c r="G5513" i="1"/>
  <c r="G5512" i="1"/>
  <c r="G5511" i="1"/>
  <c r="G5510" i="1"/>
  <c r="G5509" i="1"/>
  <c r="G5508" i="1"/>
  <c r="G5507" i="1"/>
  <c r="G5506" i="1"/>
  <c r="G5505" i="1"/>
  <c r="G5504" i="1"/>
  <c r="G5503" i="1"/>
  <c r="G5502" i="1"/>
  <c r="G5501" i="1"/>
  <c r="G5500" i="1"/>
  <c r="G5499" i="1"/>
  <c r="G5498" i="1"/>
  <c r="G5497" i="1"/>
  <c r="G5496" i="1"/>
  <c r="G5495" i="1"/>
  <c r="G5488" i="1"/>
  <c r="G5489" i="1"/>
  <c r="G5490" i="1"/>
  <c r="G5491" i="1"/>
  <c r="G5492" i="1"/>
  <c r="G5493" i="1"/>
  <c r="G5494" i="1"/>
  <c r="G5487" i="1"/>
  <c r="G5486" i="1"/>
  <c r="G5485" i="1"/>
  <c r="G5484" i="1"/>
  <c r="G5483" i="1"/>
  <c r="G5482" i="1"/>
  <c r="G5481" i="1"/>
  <c r="G5480" i="1"/>
  <c r="G5479" i="1"/>
  <c r="G5478" i="1"/>
  <c r="G5477" i="1"/>
  <c r="G5476" i="1"/>
  <c r="G5475" i="1"/>
  <c r="G5474" i="1"/>
  <c r="G5473" i="1"/>
  <c r="G5472" i="1"/>
  <c r="G5471" i="1"/>
  <c r="G5470" i="1"/>
  <c r="G5469" i="1"/>
  <c r="G5468" i="1"/>
  <c r="G5467" i="1"/>
  <c r="G5466" i="1"/>
  <c r="G5465" i="1"/>
  <c r="G5464" i="1"/>
  <c r="G5463" i="1"/>
  <c r="G5462" i="1"/>
  <c r="G5461" i="1"/>
  <c r="G5454" i="1"/>
  <c r="G5455" i="1"/>
  <c r="G5456" i="1"/>
  <c r="G5457" i="1"/>
  <c r="G5458" i="1"/>
  <c r="G5459" i="1"/>
  <c r="G5460" i="1"/>
  <c r="G5453" i="1"/>
  <c r="G5452" i="1"/>
  <c r="G5451" i="1"/>
  <c r="G5450" i="1"/>
  <c r="G5449" i="1"/>
  <c r="G5448" i="1"/>
  <c r="G5447" i="1"/>
  <c r="G5446" i="1"/>
  <c r="G5445" i="1"/>
  <c r="G5444" i="1"/>
  <c r="G5443" i="1"/>
  <c r="G5442" i="1"/>
  <c r="G5441" i="1"/>
  <c r="G5440" i="1"/>
  <c r="G5439" i="1"/>
  <c r="G5438" i="1"/>
  <c r="G5437" i="1"/>
  <c r="G5436" i="1"/>
  <c r="G5435" i="1"/>
  <c r="G5434" i="1"/>
  <c r="G5433" i="1"/>
  <c r="G5432" i="1"/>
  <c r="G5431" i="1"/>
  <c r="G5430" i="1"/>
  <c r="G5429" i="1"/>
  <c r="G5428" i="1"/>
  <c r="G5427" i="1"/>
  <c r="G5420" i="1"/>
  <c r="G5421" i="1"/>
  <c r="G5422" i="1"/>
  <c r="G5423" i="1"/>
  <c r="G5424" i="1"/>
  <c r="G5425" i="1"/>
  <c r="G5426" i="1"/>
  <c r="G5419" i="1"/>
  <c r="G5418" i="1"/>
  <c r="G5417" i="1"/>
  <c r="G5416" i="1"/>
  <c r="G5415" i="1"/>
  <c r="G5414" i="1"/>
  <c r="G5413" i="1"/>
  <c r="G5412" i="1"/>
  <c r="G5411" i="1"/>
  <c r="G5410" i="1"/>
  <c r="G5409" i="1"/>
  <c r="G5408" i="1"/>
  <c r="G5407" i="1"/>
  <c r="G5406" i="1"/>
  <c r="G5405" i="1"/>
  <c r="G5404" i="1"/>
  <c r="G5403" i="1"/>
  <c r="G5402" i="1"/>
  <c r="G5401" i="1"/>
  <c r="G5400" i="1"/>
  <c r="G5399" i="1"/>
  <c r="G5398" i="1"/>
  <c r="G5397" i="1"/>
  <c r="G5396" i="1"/>
  <c r="G5395" i="1"/>
  <c r="G5394" i="1"/>
  <c r="G5393" i="1"/>
  <c r="G5386" i="1"/>
  <c r="G5387" i="1"/>
  <c r="G5388" i="1"/>
  <c r="G5389" i="1"/>
  <c r="G5390" i="1"/>
  <c r="G5391" i="1"/>
  <c r="G5392" i="1"/>
  <c r="G5385" i="1"/>
  <c r="G5384" i="1"/>
  <c r="G5383" i="1"/>
  <c r="G5382" i="1"/>
  <c r="G5381" i="1"/>
  <c r="G5380" i="1"/>
  <c r="G5379" i="1"/>
  <c r="G5378" i="1"/>
  <c r="G5377" i="1"/>
  <c r="G5376" i="1"/>
  <c r="G5375" i="1"/>
  <c r="G5374" i="1"/>
  <c r="G5373" i="1"/>
  <c r="G5372" i="1"/>
  <c r="G5371" i="1"/>
  <c r="G5370" i="1"/>
  <c r="G5369" i="1"/>
  <c r="G5368" i="1"/>
  <c r="G5367" i="1"/>
  <c r="G5366" i="1"/>
  <c r="G5365" i="1"/>
  <c r="G5364" i="1"/>
  <c r="G5363" i="1"/>
  <c r="G5362" i="1"/>
  <c r="G5361" i="1"/>
  <c r="G5360" i="1"/>
  <c r="G5359" i="1"/>
  <c r="G5352" i="1"/>
  <c r="G5353" i="1"/>
  <c r="G5354" i="1"/>
  <c r="G5355" i="1"/>
  <c r="G5356" i="1"/>
  <c r="G5357" i="1"/>
  <c r="G5358" i="1"/>
  <c r="G5351" i="1"/>
  <c r="G5350" i="1"/>
  <c r="G5349" i="1"/>
  <c r="G5348" i="1"/>
  <c r="G5347" i="1"/>
  <c r="G5346" i="1"/>
  <c r="G5345" i="1"/>
  <c r="G5344" i="1"/>
  <c r="G5343" i="1"/>
  <c r="G5342" i="1"/>
  <c r="G5341" i="1"/>
  <c r="G5340" i="1"/>
  <c r="G5339" i="1"/>
  <c r="G5338" i="1"/>
  <c r="G5337" i="1"/>
  <c r="G5336" i="1"/>
  <c r="G5335" i="1"/>
  <c r="G5334" i="1"/>
  <c r="G5333" i="1"/>
  <c r="G5332" i="1"/>
  <c r="G5331" i="1"/>
  <c r="G5330" i="1"/>
  <c r="G5329" i="1"/>
  <c r="G5328" i="1"/>
  <c r="G5327" i="1"/>
  <c r="G5326" i="1"/>
  <c r="G5325" i="1"/>
  <c r="G5318" i="1"/>
  <c r="G5319" i="1"/>
  <c r="G5320" i="1"/>
  <c r="G5321" i="1"/>
  <c r="G5322" i="1"/>
  <c r="G5323" i="1"/>
  <c r="G5324" i="1"/>
  <c r="G5317" i="1"/>
  <c r="G5316" i="1"/>
  <c r="G5315" i="1"/>
  <c r="G5314" i="1"/>
  <c r="G5313" i="1"/>
  <c r="G5312" i="1"/>
  <c r="G5311" i="1"/>
  <c r="G5310" i="1"/>
  <c r="G5309" i="1"/>
  <c r="G5308" i="1"/>
  <c r="G5307" i="1"/>
  <c r="G5306" i="1"/>
  <c r="G5305" i="1"/>
  <c r="G5304" i="1"/>
  <c r="G5303" i="1"/>
  <c r="G5302" i="1"/>
  <c r="G5301" i="1"/>
  <c r="G5300" i="1"/>
  <c r="G5299" i="1"/>
  <c r="G5298" i="1"/>
  <c r="G5297" i="1"/>
  <c r="G5296" i="1"/>
  <c r="G5295" i="1"/>
  <c r="G5294" i="1"/>
  <c r="G5293" i="1"/>
  <c r="G5292" i="1"/>
  <c r="G5291" i="1"/>
  <c r="G5284" i="1"/>
  <c r="G5285" i="1"/>
  <c r="G5286" i="1"/>
  <c r="G5287" i="1"/>
  <c r="G5288" i="1"/>
  <c r="G5289" i="1"/>
  <c r="G5290" i="1"/>
  <c r="G5283" i="1"/>
  <c r="G5282" i="1"/>
  <c r="G5281" i="1"/>
  <c r="G5280" i="1"/>
  <c r="G5279" i="1"/>
  <c r="G5278" i="1"/>
  <c r="G5277" i="1"/>
  <c r="G5276" i="1"/>
  <c r="G5275" i="1"/>
  <c r="G5274" i="1"/>
  <c r="G5273" i="1"/>
  <c r="G5272" i="1"/>
  <c r="G5271" i="1"/>
  <c r="G5270" i="1"/>
  <c r="G5269" i="1"/>
  <c r="G5268" i="1"/>
  <c r="G5267" i="1"/>
  <c r="G5266" i="1"/>
  <c r="G5265" i="1"/>
  <c r="G5264" i="1"/>
  <c r="G5263" i="1"/>
  <c r="G5262" i="1"/>
  <c r="G5261" i="1"/>
  <c r="G5260" i="1"/>
  <c r="G5259" i="1"/>
  <c r="G5258" i="1"/>
  <c r="G5257" i="1"/>
  <c r="G5250" i="1"/>
  <c r="G5251" i="1"/>
  <c r="G5252" i="1"/>
  <c r="G5253" i="1"/>
  <c r="G5254" i="1"/>
  <c r="G5255" i="1"/>
  <c r="G5256" i="1"/>
  <c r="G5249" i="1"/>
  <c r="G5248" i="1"/>
  <c r="G5247" i="1"/>
  <c r="G5246" i="1"/>
  <c r="G5245" i="1"/>
  <c r="G5244" i="1"/>
  <c r="G5243" i="1"/>
  <c r="G5242" i="1"/>
  <c r="G5241" i="1"/>
  <c r="G5240" i="1"/>
  <c r="G5239" i="1"/>
  <c r="G5238" i="1"/>
  <c r="G5237" i="1"/>
  <c r="G5236" i="1"/>
  <c r="G5235" i="1"/>
  <c r="G5234" i="1"/>
  <c r="G5233" i="1"/>
  <c r="G5232" i="1"/>
  <c r="G5231" i="1"/>
  <c r="G5230" i="1"/>
  <c r="G5229" i="1"/>
  <c r="G5228" i="1"/>
  <c r="G5227" i="1"/>
  <c r="G5226" i="1"/>
  <c r="G5225" i="1"/>
  <c r="G5224" i="1"/>
  <c r="G5223" i="1"/>
  <c r="G5216" i="1"/>
  <c r="G5217" i="1"/>
  <c r="G5218" i="1"/>
  <c r="G5219" i="1"/>
  <c r="G5220" i="1"/>
  <c r="G5221" i="1"/>
  <c r="G5222" i="1"/>
  <c r="G5215" i="1"/>
  <c r="G5214" i="1"/>
  <c r="G5213" i="1"/>
  <c r="G5212" i="1"/>
  <c r="G5211" i="1"/>
  <c r="G5210" i="1"/>
  <c r="G5209" i="1"/>
  <c r="G5208" i="1"/>
  <c r="G5207" i="1"/>
  <c r="G5206" i="1"/>
  <c r="G5205" i="1"/>
  <c r="G5204" i="1"/>
  <c r="G5203" i="1"/>
  <c r="G5202" i="1"/>
  <c r="G5201" i="1"/>
  <c r="G5200" i="1"/>
  <c r="G5199" i="1"/>
  <c r="G5198" i="1"/>
  <c r="G5197" i="1"/>
  <c r="G5196" i="1"/>
  <c r="G5195" i="1"/>
  <c r="G5194" i="1"/>
  <c r="G5193" i="1"/>
  <c r="G5192" i="1"/>
  <c r="G5191" i="1"/>
  <c r="G5190" i="1"/>
  <c r="G5189" i="1"/>
  <c r="G5182" i="1"/>
  <c r="G5183" i="1"/>
  <c r="G5184" i="1"/>
  <c r="G5185" i="1"/>
  <c r="G5186" i="1"/>
  <c r="G5187" i="1"/>
  <c r="G5188" i="1"/>
  <c r="G5181" i="1"/>
  <c r="G5180" i="1"/>
  <c r="G5179" i="1"/>
  <c r="G5178" i="1"/>
  <c r="G5177" i="1"/>
  <c r="G5176" i="1"/>
  <c r="G5175" i="1"/>
  <c r="G5174" i="1"/>
  <c r="G5173" i="1"/>
  <c r="G5172" i="1"/>
  <c r="G5171" i="1"/>
  <c r="G5170" i="1"/>
  <c r="G5169" i="1"/>
  <c r="G5168" i="1"/>
  <c r="G5167" i="1"/>
  <c r="G5166" i="1"/>
  <c r="G5165" i="1"/>
  <c r="G5164" i="1"/>
  <c r="G5163" i="1"/>
  <c r="G5162" i="1"/>
  <c r="G5161" i="1"/>
  <c r="G5160" i="1"/>
  <c r="G5159" i="1"/>
  <c r="G5158" i="1"/>
  <c r="G5157" i="1"/>
  <c r="G5156" i="1"/>
  <c r="G5155" i="1"/>
  <c r="G5148" i="1"/>
  <c r="G5149" i="1"/>
  <c r="G5150" i="1"/>
  <c r="G5151" i="1"/>
  <c r="G5152" i="1"/>
  <c r="G5153" i="1"/>
  <c r="G5154" i="1"/>
  <c r="G5147" i="1"/>
  <c r="G5146" i="1"/>
  <c r="G5145" i="1"/>
  <c r="G5144" i="1"/>
  <c r="G5143" i="1"/>
  <c r="G5142" i="1"/>
  <c r="G5141" i="1"/>
  <c r="G5140" i="1"/>
  <c r="G5139" i="1"/>
  <c r="G5138" i="1"/>
  <c r="G5137" i="1"/>
  <c r="G5136" i="1"/>
  <c r="G5135" i="1"/>
  <c r="G5134" i="1"/>
  <c r="G5133" i="1"/>
  <c r="G5132" i="1"/>
  <c r="G5131" i="1"/>
  <c r="G5130" i="1"/>
  <c r="G5129" i="1"/>
  <c r="G5128" i="1"/>
  <c r="G5127" i="1"/>
  <c r="G5126" i="1"/>
  <c r="G5125" i="1"/>
  <c r="G5124" i="1"/>
  <c r="G5123" i="1"/>
  <c r="G5122" i="1"/>
  <c r="G5121" i="1"/>
  <c r="G5114" i="1"/>
  <c r="G5115" i="1"/>
  <c r="G5116" i="1"/>
  <c r="G5117" i="1"/>
  <c r="G5118" i="1"/>
  <c r="G5119" i="1"/>
  <c r="G5120" i="1"/>
  <c r="G5113" i="1"/>
  <c r="G5112" i="1"/>
  <c r="G5111" i="1"/>
  <c r="G5110" i="1"/>
  <c r="G5109" i="1"/>
  <c r="G5108" i="1"/>
  <c r="G5107" i="1"/>
  <c r="G5106" i="1"/>
  <c r="G5105" i="1"/>
  <c r="G5104" i="1"/>
  <c r="G5103" i="1"/>
  <c r="G5102" i="1"/>
  <c r="G5101" i="1"/>
  <c r="G5100" i="1"/>
  <c r="G5099" i="1"/>
  <c r="G5098" i="1"/>
  <c r="G5097" i="1"/>
  <c r="G5096" i="1"/>
  <c r="G5095" i="1"/>
  <c r="G5094" i="1"/>
  <c r="G5093" i="1"/>
  <c r="G5092" i="1"/>
  <c r="G5091" i="1"/>
  <c r="G5090" i="1"/>
  <c r="G5089" i="1"/>
  <c r="G5088" i="1"/>
  <c r="G5087" i="1"/>
  <c r="G5080" i="1"/>
  <c r="G5081" i="1"/>
  <c r="G5082" i="1"/>
  <c r="G5083" i="1"/>
  <c r="G5084" i="1"/>
  <c r="G5085" i="1"/>
  <c r="G5086" i="1"/>
  <c r="G5079" i="1"/>
  <c r="G5078" i="1"/>
  <c r="G5077" i="1"/>
  <c r="G5076" i="1"/>
  <c r="G5075" i="1"/>
  <c r="G5074" i="1"/>
  <c r="G5073" i="1"/>
  <c r="G5072" i="1"/>
  <c r="G5071" i="1"/>
  <c r="G5070" i="1"/>
  <c r="G5069" i="1"/>
  <c r="G5068" i="1"/>
  <c r="G5067" i="1"/>
  <c r="G5066" i="1"/>
  <c r="G5065" i="1"/>
  <c r="G5064" i="1"/>
  <c r="G5063" i="1"/>
  <c r="G5062" i="1"/>
  <c r="G5061" i="1"/>
  <c r="G5060" i="1"/>
  <c r="G5059" i="1"/>
  <c r="G5058" i="1"/>
  <c r="G5057" i="1"/>
  <c r="G5056" i="1"/>
  <c r="G5055" i="1"/>
  <c r="G5054" i="1"/>
  <c r="G5053" i="1"/>
  <c r="G5046" i="1"/>
  <c r="G5047" i="1"/>
  <c r="G5048" i="1"/>
  <c r="G5049" i="1"/>
  <c r="G5050" i="1"/>
  <c r="G5051" i="1"/>
  <c r="G5052" i="1"/>
  <c r="G5045" i="1"/>
  <c r="G5044" i="1"/>
  <c r="G5043" i="1"/>
  <c r="G5042" i="1"/>
  <c r="G5041" i="1"/>
  <c r="G5040" i="1"/>
  <c r="G5039" i="1"/>
  <c r="G5038" i="1"/>
  <c r="G5037" i="1"/>
  <c r="G5036" i="1"/>
  <c r="G5035" i="1"/>
  <c r="G5034" i="1"/>
  <c r="G5033" i="1"/>
  <c r="G5032" i="1"/>
  <c r="G5031" i="1"/>
  <c r="G5030" i="1"/>
  <c r="G5029" i="1"/>
  <c r="G5028" i="1"/>
  <c r="G5027" i="1"/>
  <c r="G5026" i="1"/>
  <c r="G5025" i="1"/>
  <c r="G5024" i="1"/>
  <c r="G5023" i="1"/>
  <c r="G5022" i="1"/>
  <c r="G5021" i="1"/>
  <c r="G5020" i="1"/>
  <c r="G5019" i="1"/>
  <c r="G5012" i="1"/>
  <c r="G5013" i="1"/>
  <c r="G5014" i="1"/>
  <c r="G5015" i="1"/>
  <c r="G5016" i="1"/>
  <c r="G5017" i="1"/>
  <c r="G5018" i="1"/>
  <c r="G5011" i="1"/>
  <c r="G5010" i="1"/>
  <c r="G5009" i="1"/>
  <c r="G5008" i="1"/>
  <c r="G5007" i="1"/>
  <c r="G5006" i="1"/>
  <c r="G5005" i="1"/>
  <c r="G5004" i="1"/>
  <c r="G5003" i="1"/>
  <c r="G5002" i="1"/>
  <c r="G5001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78" i="1"/>
  <c r="G4979" i="1"/>
  <c r="G4980" i="1"/>
  <c r="G4981" i="1"/>
  <c r="G4982" i="1"/>
  <c r="G4983" i="1"/>
  <c r="G4984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44" i="1"/>
  <c r="G4945" i="1"/>
  <c r="G4946" i="1"/>
  <c r="G4947" i="1"/>
  <c r="G4948" i="1"/>
  <c r="G4949" i="1"/>
  <c r="G4950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0" i="1"/>
  <c r="G4911" i="1"/>
  <c r="G4912" i="1"/>
  <c r="G4913" i="1"/>
  <c r="G4914" i="1"/>
  <c r="G4915" i="1"/>
  <c r="G4916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76" i="1"/>
  <c r="G4877" i="1"/>
  <c r="G4878" i="1"/>
  <c r="G4879" i="1"/>
  <c r="G4880" i="1"/>
  <c r="G4881" i="1"/>
  <c r="G4882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2" i="1"/>
  <c r="G4843" i="1"/>
  <c r="G4844" i="1"/>
  <c r="G4845" i="1"/>
  <c r="G4846" i="1"/>
  <c r="G4847" i="1"/>
  <c r="G4848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08" i="1"/>
  <c r="G4809" i="1"/>
  <c r="G4810" i="1"/>
  <c r="G4811" i="1"/>
  <c r="G4812" i="1"/>
  <c r="G4813" i="1"/>
  <c r="G4814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74" i="1"/>
  <c r="G4775" i="1"/>
  <c r="G4776" i="1"/>
  <c r="G4777" i="1"/>
  <c r="G4778" i="1"/>
  <c r="G4779" i="1"/>
  <c r="G4780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0" i="1"/>
  <c r="G4741" i="1"/>
  <c r="G4742" i="1"/>
  <c r="G4743" i="1"/>
  <c r="G4744" i="1"/>
  <c r="G4745" i="1"/>
  <c r="G4746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642" i="1"/>
  <c r="G4641" i="1"/>
  <c r="G4634" i="1"/>
  <c r="G4635" i="1"/>
  <c r="G4636" i="1"/>
  <c r="G4637" i="1"/>
  <c r="G4638" i="1"/>
  <c r="G4639" i="1"/>
  <c r="G4640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0" i="1"/>
  <c r="G4601" i="1"/>
  <c r="G4602" i="1"/>
  <c r="G4603" i="1"/>
  <c r="G4604" i="1"/>
  <c r="G4605" i="1"/>
  <c r="G4606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66" i="1"/>
  <c r="G4567" i="1"/>
  <c r="G4568" i="1"/>
  <c r="G4569" i="1"/>
  <c r="G4570" i="1"/>
  <c r="G4571" i="1"/>
  <c r="G4572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2" i="1"/>
  <c r="G4533" i="1"/>
  <c r="G4534" i="1"/>
  <c r="G4535" i="1"/>
  <c r="G4536" i="1"/>
  <c r="G4537" i="1"/>
  <c r="G4538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498" i="1"/>
  <c r="G4499" i="1"/>
  <c r="G4500" i="1"/>
  <c r="G4501" i="1"/>
  <c r="G4502" i="1"/>
  <c r="G4503" i="1"/>
  <c r="G4504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64" i="1"/>
  <c r="G4465" i="1"/>
  <c r="G4466" i="1"/>
  <c r="G4467" i="1"/>
  <c r="G4468" i="1"/>
  <c r="G4469" i="1"/>
  <c r="G4470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0" i="1"/>
  <c r="G4431" i="1"/>
  <c r="G4432" i="1"/>
  <c r="G4433" i="1"/>
  <c r="G4434" i="1"/>
  <c r="G4435" i="1"/>
  <c r="G4436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396" i="1"/>
  <c r="G4397" i="1"/>
  <c r="G4398" i="1"/>
  <c r="G4399" i="1"/>
  <c r="G4400" i="1"/>
  <c r="G4401" i="1"/>
  <c r="G4402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2" i="1"/>
  <c r="G4363" i="1"/>
  <c r="G4364" i="1"/>
  <c r="G4365" i="1"/>
  <c r="G4366" i="1"/>
  <c r="G4367" i="1"/>
  <c r="G4368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28" i="1"/>
  <c r="G4329" i="1"/>
  <c r="G4330" i="1"/>
  <c r="G4331" i="1"/>
  <c r="G4332" i="1"/>
  <c r="G4333" i="1"/>
  <c r="G4334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294" i="1"/>
  <c r="G4295" i="1"/>
  <c r="G4296" i="1"/>
  <c r="G4297" i="1"/>
  <c r="G4298" i="1"/>
  <c r="G4299" i="1"/>
  <c r="G4300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0" i="1"/>
  <c r="G4261" i="1"/>
  <c r="G4262" i="1"/>
  <c r="G4263" i="1"/>
  <c r="G4264" i="1"/>
  <c r="G4265" i="1"/>
  <c r="G4266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26" i="1"/>
  <c r="G4227" i="1"/>
  <c r="G4228" i="1"/>
  <c r="G4229" i="1"/>
  <c r="G4230" i="1"/>
  <c r="G4231" i="1"/>
  <c r="G4232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2" i="1"/>
  <c r="G4193" i="1"/>
  <c r="G4194" i="1"/>
  <c r="G4195" i="1"/>
  <c r="G4196" i="1"/>
  <c r="G4197" i="1"/>
  <c r="G4198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58" i="1"/>
  <c r="G4159" i="1"/>
  <c r="G4160" i="1"/>
  <c r="G4161" i="1"/>
  <c r="G4162" i="1"/>
  <c r="G4163" i="1"/>
  <c r="G4164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24" i="1"/>
  <c r="G4125" i="1"/>
  <c r="G4126" i="1"/>
  <c r="G4127" i="1"/>
  <c r="G4128" i="1"/>
  <c r="G4129" i="1"/>
  <c r="G4130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0" i="1"/>
  <c r="G4091" i="1"/>
  <c r="G4092" i="1"/>
  <c r="G4093" i="1"/>
  <c r="G4094" i="1"/>
  <c r="G4095" i="1"/>
  <c r="G4096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56" i="1"/>
  <c r="G4057" i="1"/>
  <c r="G4058" i="1"/>
  <c r="G4059" i="1"/>
  <c r="G4060" i="1"/>
  <c r="G4061" i="1"/>
  <c r="G4062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2" i="1"/>
  <c r="G4023" i="1"/>
  <c r="G4024" i="1"/>
  <c r="G4025" i="1"/>
  <c r="G4026" i="1"/>
  <c r="G4027" i="1"/>
  <c r="G4028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24" i="1"/>
  <c r="G3923" i="1"/>
  <c r="G3916" i="1"/>
  <c r="G3917" i="1"/>
  <c r="G3918" i="1"/>
  <c r="G3919" i="1"/>
  <c r="G3920" i="1"/>
  <c r="G3921" i="1"/>
  <c r="G3922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2" i="1"/>
  <c r="G3883" i="1"/>
  <c r="G3884" i="1"/>
  <c r="G3885" i="1"/>
  <c r="G3886" i="1"/>
  <c r="G3887" i="1"/>
  <c r="G3888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48" i="1"/>
  <c r="G3849" i="1"/>
  <c r="G3850" i="1"/>
  <c r="G3851" i="1"/>
  <c r="G3852" i="1"/>
  <c r="G3853" i="1"/>
  <c r="G3854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14" i="1"/>
  <c r="G3815" i="1"/>
  <c r="G3816" i="1"/>
  <c r="G3817" i="1"/>
  <c r="G3818" i="1"/>
  <c r="G3819" i="1"/>
  <c r="G3820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0" i="1"/>
  <c r="G3781" i="1"/>
  <c r="G3782" i="1"/>
  <c r="G3783" i="1"/>
  <c r="G3784" i="1"/>
  <c r="G3785" i="1"/>
  <c r="G3786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46" i="1"/>
  <c r="G3747" i="1"/>
  <c r="G3748" i="1"/>
  <c r="G3749" i="1"/>
  <c r="G3750" i="1"/>
  <c r="G3751" i="1"/>
  <c r="G3752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2" i="1"/>
  <c r="G3713" i="1"/>
  <c r="G3714" i="1"/>
  <c r="G3715" i="1"/>
  <c r="G3716" i="1"/>
  <c r="G3717" i="1"/>
  <c r="G3718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78" i="1"/>
  <c r="G3679" i="1"/>
  <c r="G3680" i="1"/>
  <c r="G3681" i="1"/>
  <c r="G3682" i="1"/>
  <c r="G3683" i="1"/>
  <c r="G3684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44" i="1"/>
  <c r="G3645" i="1"/>
  <c r="G3646" i="1"/>
  <c r="G3647" i="1"/>
  <c r="G3648" i="1"/>
  <c r="G3649" i="1"/>
  <c r="G3650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0" i="1"/>
  <c r="G3611" i="1"/>
  <c r="G3612" i="1"/>
  <c r="G3613" i="1"/>
  <c r="G3614" i="1"/>
  <c r="G3615" i="1"/>
  <c r="G3616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L2731" i="1"/>
  <c r="G2530" i="1"/>
  <c r="G3504" i="1"/>
  <c r="G3567" i="1"/>
  <c r="G3584" i="1"/>
  <c r="G3583" i="1"/>
  <c r="G3573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8" i="1"/>
  <c r="G3569" i="1"/>
  <c r="G3570" i="1"/>
  <c r="G3571" i="1"/>
  <c r="G3572" i="1"/>
  <c r="G3574" i="1"/>
  <c r="G3550" i="1"/>
  <c r="G3549" i="1"/>
  <c r="G3540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17" i="1"/>
  <c r="G3516" i="1"/>
  <c r="G3515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5" i="1"/>
  <c r="G3506" i="1"/>
  <c r="G3483" i="1"/>
  <c r="G3482" i="1"/>
  <c r="G3481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49" i="1"/>
  <c r="G3448" i="1"/>
  <c r="G3447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15" i="1"/>
  <c r="G3414" i="1"/>
  <c r="G3413" i="1"/>
  <c r="G3404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381" i="1"/>
  <c r="G3380" i="1"/>
  <c r="G3379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47" i="1"/>
  <c r="G3344" i="1"/>
  <c r="G3343" i="1"/>
  <c r="G3342" i="1"/>
  <c r="G3341" i="1"/>
  <c r="G3340" i="1"/>
  <c r="G3339" i="1"/>
  <c r="G3338" i="1"/>
  <c r="G3337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45" i="1"/>
  <c r="G3346" i="1"/>
  <c r="G3313" i="1"/>
  <c r="G3312" i="1"/>
  <c r="G3311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279" i="1"/>
  <c r="G3278" i="1"/>
  <c r="G3277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45" i="1"/>
  <c r="G3244" i="1"/>
  <c r="G3235" i="1"/>
  <c r="G3226" i="1"/>
  <c r="G3225" i="1"/>
  <c r="G3224" i="1"/>
  <c r="G3207" i="1"/>
  <c r="G3229" i="1"/>
  <c r="G3230" i="1"/>
  <c r="G3231" i="1"/>
  <c r="G3232" i="1"/>
  <c r="G3233" i="1"/>
  <c r="G3234" i="1"/>
  <c r="G3227" i="1"/>
  <c r="G3228" i="1"/>
  <c r="G3208" i="1"/>
  <c r="G3209" i="1"/>
  <c r="G3210" i="1"/>
  <c r="G3211" i="1"/>
  <c r="G3212" i="1"/>
  <c r="G3213" i="1"/>
  <c r="G3214" i="1"/>
  <c r="G3215" i="1"/>
  <c r="G3206" i="1"/>
  <c r="G3200" i="1"/>
  <c r="G3205" i="1"/>
  <c r="G3189" i="1"/>
  <c r="G3105" i="1"/>
  <c r="C2100" i="1"/>
  <c r="C2102" i="1"/>
  <c r="G2103" i="1"/>
  <c r="C2089" i="1"/>
  <c r="C2091" i="1"/>
  <c r="G2093" i="1"/>
  <c r="C1584" i="1"/>
  <c r="C1586" i="1"/>
  <c r="G1589" i="1"/>
  <c r="C1575" i="1"/>
  <c r="C1577" i="1"/>
  <c r="G1581" i="1"/>
  <c r="G1582" i="1"/>
  <c r="G1580" i="1"/>
  <c r="C2120" i="1"/>
  <c r="C2122" i="1"/>
  <c r="G2124" i="1"/>
  <c r="G2119" i="1"/>
  <c r="G2120" i="1"/>
  <c r="G2121" i="1"/>
  <c r="G2122" i="1"/>
  <c r="G2123" i="1"/>
  <c r="G2125" i="1"/>
  <c r="C2114" i="1"/>
  <c r="C2116" i="1"/>
  <c r="G2114" i="1"/>
  <c r="G2115" i="1"/>
  <c r="G2116" i="1"/>
  <c r="G2117" i="1"/>
  <c r="G2118" i="1"/>
  <c r="G2113" i="1"/>
  <c r="C2106" i="1"/>
  <c r="C2108" i="1"/>
  <c r="G2106" i="1"/>
  <c r="G2107" i="1"/>
  <c r="G2108" i="1"/>
  <c r="G2109" i="1"/>
  <c r="G2110" i="1"/>
  <c r="G2111" i="1"/>
  <c r="G2112" i="1"/>
  <c r="G2105" i="1"/>
  <c r="G2100" i="1"/>
  <c r="G2101" i="1"/>
  <c r="G2102" i="1"/>
  <c r="G2104" i="1"/>
  <c r="G2099" i="1"/>
  <c r="G2094" i="1"/>
  <c r="G2095" i="1"/>
  <c r="G2096" i="1"/>
  <c r="G2097" i="1"/>
  <c r="G2098" i="1"/>
  <c r="G2089" i="1"/>
  <c r="G2090" i="1"/>
  <c r="G2091" i="1"/>
  <c r="G2092" i="1"/>
  <c r="G2088" i="1"/>
  <c r="C2082" i="1"/>
  <c r="C2084" i="1"/>
  <c r="G2082" i="1"/>
  <c r="G2083" i="1"/>
  <c r="G2084" i="1"/>
  <c r="G2085" i="1"/>
  <c r="G2086" i="1"/>
  <c r="G2087" i="1"/>
  <c r="G2081" i="1"/>
  <c r="C2076" i="1"/>
  <c r="C2078" i="1"/>
  <c r="G2076" i="1"/>
  <c r="G2077" i="1"/>
  <c r="G2078" i="1"/>
  <c r="G2079" i="1"/>
  <c r="G2080" i="1"/>
  <c r="G2075" i="1"/>
  <c r="C2067" i="1"/>
  <c r="C2069" i="1"/>
  <c r="G2064" i="1"/>
  <c r="G2065" i="1"/>
  <c r="G2066" i="1"/>
  <c r="G2067" i="1"/>
  <c r="G2068" i="1"/>
  <c r="G2069" i="1"/>
  <c r="G2070" i="1"/>
  <c r="G2071" i="1"/>
  <c r="G2072" i="1"/>
  <c r="G2073" i="1"/>
  <c r="G2074" i="1"/>
  <c r="G2063" i="1"/>
  <c r="C2057" i="1"/>
  <c r="C2059" i="1"/>
  <c r="G2054" i="1"/>
  <c r="G2055" i="1"/>
  <c r="G2056" i="1"/>
  <c r="G2057" i="1"/>
  <c r="G2058" i="1"/>
  <c r="G2059" i="1"/>
  <c r="G2060" i="1"/>
  <c r="G2061" i="1"/>
  <c r="G2062" i="1"/>
  <c r="G2053" i="1"/>
  <c r="C2047" i="1"/>
  <c r="C2049" i="1"/>
  <c r="G2044" i="1"/>
  <c r="G2045" i="1"/>
  <c r="G2046" i="1"/>
  <c r="G2047" i="1"/>
  <c r="G2048" i="1"/>
  <c r="G2049" i="1"/>
  <c r="G2050" i="1"/>
  <c r="G2051" i="1"/>
  <c r="G2052" i="1"/>
  <c r="G2043" i="1"/>
  <c r="C2039" i="1"/>
  <c r="C2041" i="1"/>
  <c r="G2039" i="1"/>
  <c r="G2040" i="1"/>
  <c r="G2041" i="1"/>
  <c r="G2042" i="1"/>
  <c r="G2038" i="1"/>
  <c r="C2031" i="1"/>
  <c r="C2033" i="1"/>
  <c r="G2028" i="1"/>
  <c r="G2029" i="1"/>
  <c r="G2030" i="1"/>
  <c r="G2031" i="1"/>
  <c r="G2032" i="1"/>
  <c r="G2033" i="1"/>
  <c r="G2034" i="1"/>
  <c r="G2035" i="1"/>
  <c r="G2036" i="1"/>
  <c r="G2037" i="1"/>
  <c r="G2027" i="1"/>
  <c r="C2021" i="1"/>
  <c r="C2023" i="1"/>
  <c r="G2018" i="1"/>
  <c r="G2019" i="1"/>
  <c r="G2020" i="1"/>
  <c r="G2021" i="1"/>
  <c r="G2022" i="1"/>
  <c r="G2023" i="1"/>
  <c r="G2024" i="1"/>
  <c r="G2025" i="1"/>
  <c r="G2026" i="1"/>
  <c r="G2017" i="1"/>
  <c r="C2011" i="1"/>
  <c r="C2013" i="1"/>
  <c r="G2008" i="1"/>
  <c r="G2009" i="1"/>
  <c r="G2010" i="1"/>
  <c r="G2011" i="1"/>
  <c r="G2012" i="1"/>
  <c r="G2013" i="1"/>
  <c r="G2014" i="1"/>
  <c r="G2015" i="1"/>
  <c r="G2016" i="1"/>
  <c r="G2007" i="1"/>
  <c r="C2002" i="1"/>
  <c r="C2004" i="1"/>
  <c r="G2002" i="1"/>
  <c r="G2003" i="1"/>
  <c r="G2004" i="1"/>
  <c r="G2005" i="1"/>
  <c r="G2006" i="1"/>
  <c r="G2001" i="1"/>
  <c r="C1997" i="1"/>
  <c r="C1999" i="1"/>
  <c r="G1997" i="1"/>
  <c r="G1998" i="1"/>
  <c r="G1999" i="1"/>
  <c r="G2000" i="1"/>
  <c r="G1996" i="1"/>
  <c r="C1992" i="1"/>
  <c r="C1994" i="1"/>
  <c r="G1992" i="1"/>
  <c r="G1993" i="1"/>
  <c r="G1994" i="1"/>
  <c r="G1995" i="1"/>
  <c r="G1991" i="1"/>
  <c r="C1985" i="1"/>
  <c r="C1987" i="1"/>
  <c r="G1985" i="1"/>
  <c r="G1986" i="1"/>
  <c r="G1987" i="1"/>
  <c r="G1988" i="1"/>
  <c r="G1989" i="1"/>
  <c r="G1990" i="1"/>
  <c r="G1984" i="1"/>
  <c r="C1979" i="1"/>
  <c r="C1981" i="1"/>
  <c r="G1979" i="1"/>
  <c r="G1980" i="1"/>
  <c r="G1981" i="1"/>
  <c r="G1982" i="1"/>
  <c r="G1983" i="1"/>
  <c r="G1978" i="1"/>
  <c r="C1974" i="1"/>
  <c r="C1976" i="1"/>
  <c r="G1974" i="1"/>
  <c r="G1975" i="1"/>
  <c r="G1976" i="1"/>
  <c r="G1977" i="1"/>
  <c r="G1973" i="1"/>
  <c r="C1968" i="1"/>
  <c r="C1970" i="1"/>
  <c r="G1968" i="1"/>
  <c r="G1969" i="1"/>
  <c r="G1970" i="1"/>
  <c r="G1971" i="1"/>
  <c r="G1972" i="1"/>
  <c r="G1967" i="1"/>
  <c r="C1959" i="1"/>
  <c r="C1961" i="1"/>
  <c r="G1956" i="1"/>
  <c r="G1957" i="1"/>
  <c r="G1958" i="1"/>
  <c r="G1959" i="1"/>
  <c r="G1960" i="1"/>
  <c r="G1961" i="1"/>
  <c r="G1962" i="1"/>
  <c r="G1963" i="1"/>
  <c r="G1964" i="1"/>
  <c r="G1965" i="1"/>
  <c r="G1966" i="1"/>
  <c r="G1955" i="1"/>
  <c r="C1949" i="1"/>
  <c r="C1951" i="1"/>
  <c r="G1946" i="1"/>
  <c r="G1947" i="1"/>
  <c r="G1948" i="1"/>
  <c r="G1949" i="1"/>
  <c r="G1950" i="1"/>
  <c r="G1951" i="1"/>
  <c r="G1952" i="1"/>
  <c r="G1953" i="1"/>
  <c r="G1954" i="1"/>
  <c r="G1945" i="1"/>
  <c r="C1939" i="1"/>
  <c r="C1941" i="1"/>
  <c r="G1936" i="1"/>
  <c r="G1937" i="1"/>
  <c r="G1938" i="1"/>
  <c r="G1939" i="1"/>
  <c r="G1940" i="1"/>
  <c r="G1941" i="1"/>
  <c r="G1942" i="1"/>
  <c r="G1943" i="1"/>
  <c r="G1944" i="1"/>
  <c r="G1935" i="1"/>
  <c r="C1931" i="1"/>
  <c r="C1933" i="1"/>
  <c r="G1931" i="1"/>
  <c r="G1932" i="1"/>
  <c r="G1933" i="1"/>
  <c r="G1934" i="1"/>
  <c r="G1930" i="1"/>
  <c r="C1923" i="1"/>
  <c r="C1925" i="1"/>
  <c r="G1920" i="1"/>
  <c r="G1921" i="1"/>
  <c r="G1922" i="1"/>
  <c r="G1923" i="1"/>
  <c r="G1924" i="1"/>
  <c r="G1925" i="1"/>
  <c r="G1926" i="1"/>
  <c r="G1927" i="1"/>
  <c r="G1928" i="1"/>
  <c r="G1929" i="1"/>
  <c r="G1919" i="1"/>
  <c r="C1913" i="1"/>
  <c r="C1915" i="1"/>
  <c r="G1910" i="1"/>
  <c r="G1911" i="1"/>
  <c r="G1912" i="1"/>
  <c r="G1913" i="1"/>
  <c r="G1914" i="1"/>
  <c r="G1915" i="1"/>
  <c r="G1916" i="1"/>
  <c r="G1917" i="1"/>
  <c r="G1918" i="1"/>
  <c r="G1909" i="1"/>
  <c r="C1903" i="1"/>
  <c r="C1905" i="1"/>
  <c r="G1900" i="1"/>
  <c r="G1901" i="1"/>
  <c r="G1902" i="1"/>
  <c r="G1903" i="1"/>
  <c r="G1904" i="1"/>
  <c r="G1905" i="1"/>
  <c r="G1906" i="1"/>
  <c r="G1907" i="1"/>
  <c r="G1908" i="1"/>
  <c r="G1899" i="1"/>
  <c r="C1894" i="1"/>
  <c r="C1896" i="1"/>
  <c r="G1894" i="1"/>
  <c r="G1895" i="1"/>
  <c r="G1896" i="1"/>
  <c r="G1897" i="1"/>
  <c r="G1898" i="1"/>
  <c r="G1893" i="1"/>
  <c r="C1889" i="1"/>
  <c r="C1891" i="1"/>
  <c r="G1889" i="1"/>
  <c r="G1890" i="1"/>
  <c r="G1891" i="1"/>
  <c r="G1892" i="1"/>
  <c r="G1888" i="1"/>
  <c r="C1884" i="1"/>
  <c r="C1886" i="1"/>
  <c r="G1884" i="1"/>
  <c r="G1885" i="1"/>
  <c r="G1886" i="1"/>
  <c r="G1887" i="1"/>
  <c r="G1883" i="1"/>
  <c r="C1877" i="1"/>
  <c r="C1879" i="1"/>
  <c r="G1877" i="1"/>
  <c r="G1878" i="1"/>
  <c r="G1879" i="1"/>
  <c r="G1880" i="1"/>
  <c r="G1881" i="1"/>
  <c r="G1882" i="1"/>
  <c r="G1876" i="1"/>
  <c r="C1871" i="1"/>
  <c r="C1873" i="1"/>
  <c r="G1871" i="1"/>
  <c r="G1872" i="1"/>
  <c r="G1873" i="1"/>
  <c r="G1874" i="1"/>
  <c r="G1875" i="1"/>
  <c r="G1870" i="1"/>
  <c r="C1866" i="1"/>
  <c r="C1868" i="1"/>
  <c r="G1866" i="1"/>
  <c r="G1867" i="1"/>
  <c r="G1868" i="1"/>
  <c r="G1869" i="1"/>
  <c r="G1865" i="1"/>
  <c r="C1861" i="1"/>
  <c r="C1863" i="1"/>
  <c r="G1861" i="1"/>
  <c r="G1862" i="1"/>
  <c r="G1863" i="1"/>
  <c r="G1864" i="1"/>
  <c r="G1860" i="1"/>
  <c r="C1854" i="1"/>
  <c r="C1856" i="1"/>
  <c r="G1854" i="1"/>
  <c r="G1855" i="1"/>
  <c r="G1856" i="1"/>
  <c r="G1857" i="1"/>
  <c r="G1858" i="1"/>
  <c r="G1859" i="1"/>
  <c r="G1853" i="1"/>
  <c r="C1845" i="1"/>
  <c r="C1847" i="1"/>
  <c r="G1842" i="1"/>
  <c r="G1843" i="1"/>
  <c r="G1844" i="1"/>
  <c r="G1845" i="1"/>
  <c r="G1846" i="1"/>
  <c r="G1847" i="1"/>
  <c r="G1848" i="1"/>
  <c r="G1849" i="1"/>
  <c r="G1850" i="1"/>
  <c r="G1851" i="1"/>
  <c r="G1852" i="1"/>
  <c r="G1841" i="1"/>
  <c r="C1835" i="1"/>
  <c r="C1837" i="1"/>
  <c r="G1832" i="1"/>
  <c r="G1833" i="1"/>
  <c r="G1834" i="1"/>
  <c r="G1835" i="1"/>
  <c r="G1836" i="1"/>
  <c r="G1837" i="1"/>
  <c r="G1838" i="1"/>
  <c r="G1839" i="1"/>
  <c r="G1840" i="1"/>
  <c r="G1831" i="1"/>
  <c r="C1825" i="1"/>
  <c r="C1827" i="1"/>
  <c r="G1822" i="1"/>
  <c r="G1823" i="1"/>
  <c r="G1824" i="1"/>
  <c r="G1825" i="1"/>
  <c r="G1826" i="1"/>
  <c r="G1827" i="1"/>
  <c r="G1828" i="1"/>
  <c r="G1829" i="1"/>
  <c r="G1830" i="1"/>
  <c r="G1821" i="1"/>
  <c r="C1817" i="1"/>
  <c r="C1819" i="1"/>
  <c r="G1817" i="1"/>
  <c r="G1818" i="1"/>
  <c r="G1819" i="1"/>
  <c r="G1820" i="1"/>
  <c r="G1816" i="1"/>
  <c r="C1809" i="1"/>
  <c r="C1811" i="1"/>
  <c r="G1806" i="1"/>
  <c r="G1807" i="1"/>
  <c r="G1808" i="1"/>
  <c r="G1809" i="1"/>
  <c r="G1810" i="1"/>
  <c r="G1811" i="1"/>
  <c r="G1812" i="1"/>
  <c r="G1813" i="1"/>
  <c r="G1814" i="1"/>
  <c r="G1815" i="1"/>
  <c r="G1805" i="1"/>
  <c r="C1799" i="1"/>
  <c r="C1801" i="1"/>
  <c r="G1796" i="1"/>
  <c r="G1797" i="1"/>
  <c r="G1798" i="1"/>
  <c r="G1799" i="1"/>
  <c r="G1800" i="1"/>
  <c r="G1801" i="1"/>
  <c r="G1802" i="1"/>
  <c r="G1803" i="1"/>
  <c r="G1804" i="1"/>
  <c r="G1795" i="1"/>
  <c r="C1789" i="1"/>
  <c r="C1791" i="1"/>
  <c r="G1786" i="1"/>
  <c r="G1787" i="1"/>
  <c r="G1788" i="1"/>
  <c r="G1789" i="1"/>
  <c r="G1790" i="1"/>
  <c r="G1791" i="1"/>
  <c r="G1792" i="1"/>
  <c r="G1793" i="1"/>
  <c r="G1794" i="1"/>
  <c r="G1785" i="1"/>
  <c r="C1781" i="1"/>
  <c r="C1783" i="1"/>
  <c r="G1782" i="1"/>
  <c r="G1783" i="1"/>
  <c r="G1784" i="1"/>
  <c r="G1780" i="1"/>
  <c r="G1781" i="1"/>
  <c r="C1776" i="1"/>
  <c r="C1778" i="1"/>
  <c r="G1776" i="1"/>
  <c r="G1777" i="1"/>
  <c r="G1778" i="1"/>
  <c r="G1779" i="1"/>
  <c r="G1775" i="1"/>
  <c r="C1771" i="1"/>
  <c r="C1773" i="1"/>
  <c r="G1771" i="1"/>
  <c r="G1772" i="1"/>
  <c r="G1773" i="1"/>
  <c r="G1774" i="1"/>
  <c r="G1770" i="1"/>
  <c r="C1764" i="1"/>
  <c r="C1766" i="1"/>
  <c r="G1764" i="1"/>
  <c r="G1765" i="1"/>
  <c r="G1766" i="1"/>
  <c r="G1767" i="1"/>
  <c r="G1768" i="1"/>
  <c r="G1769" i="1"/>
  <c r="G1763" i="1"/>
  <c r="C1755" i="1"/>
  <c r="C1757" i="1"/>
  <c r="G1762" i="1"/>
  <c r="G1761" i="1"/>
  <c r="G1758" i="1"/>
  <c r="G1753" i="1"/>
  <c r="G1754" i="1"/>
  <c r="G1755" i="1"/>
  <c r="G1756" i="1"/>
  <c r="G1757" i="1"/>
  <c r="G1759" i="1"/>
  <c r="G1760" i="1"/>
  <c r="G1752" i="1"/>
  <c r="C1745" i="1"/>
  <c r="C1747" i="1"/>
  <c r="G1743" i="1"/>
  <c r="G1744" i="1"/>
  <c r="G1745" i="1"/>
  <c r="G1746" i="1"/>
  <c r="G1747" i="1"/>
  <c r="G1748" i="1"/>
  <c r="G1749" i="1"/>
  <c r="G1750" i="1"/>
  <c r="G1751" i="1"/>
  <c r="G1742" i="1"/>
  <c r="C1735" i="1"/>
  <c r="C1737" i="1"/>
  <c r="G1733" i="1"/>
  <c r="G1734" i="1"/>
  <c r="G1735" i="1"/>
  <c r="G1736" i="1"/>
  <c r="G1737" i="1"/>
  <c r="G1738" i="1"/>
  <c r="G1739" i="1"/>
  <c r="G1740" i="1"/>
  <c r="G1741" i="1"/>
  <c r="G1732" i="1"/>
  <c r="C1726" i="1"/>
  <c r="C1728" i="1"/>
  <c r="G1726" i="1"/>
  <c r="G1727" i="1"/>
  <c r="G1728" i="1"/>
  <c r="G1729" i="1"/>
  <c r="G1730" i="1"/>
  <c r="G1731" i="1"/>
  <c r="G1725" i="1"/>
  <c r="C1721" i="1"/>
  <c r="C1723" i="1"/>
  <c r="G1721" i="1"/>
  <c r="G1722" i="1"/>
  <c r="G1723" i="1"/>
  <c r="G1724" i="1"/>
  <c r="G1720" i="1"/>
  <c r="C1715" i="1"/>
  <c r="C1717" i="1"/>
  <c r="G1715" i="1"/>
  <c r="G1716" i="1"/>
  <c r="G1717" i="1"/>
  <c r="G1718" i="1"/>
  <c r="G1719" i="1"/>
  <c r="G1714" i="1"/>
  <c r="C1710" i="1"/>
  <c r="C1712" i="1"/>
  <c r="G1710" i="1"/>
  <c r="G1711" i="1"/>
  <c r="G1712" i="1"/>
  <c r="G1713" i="1"/>
  <c r="G1709" i="1"/>
  <c r="C1705" i="1"/>
  <c r="C1707" i="1"/>
  <c r="G1705" i="1"/>
  <c r="G1706" i="1"/>
  <c r="G1707" i="1"/>
  <c r="G1708" i="1"/>
  <c r="G1704" i="1"/>
  <c r="C1698" i="1"/>
  <c r="C1700" i="1"/>
  <c r="G1698" i="1"/>
  <c r="G1699" i="1"/>
  <c r="G1700" i="1"/>
  <c r="G1701" i="1"/>
  <c r="G1702" i="1"/>
  <c r="G1703" i="1"/>
  <c r="G1697" i="1"/>
  <c r="C1689" i="1"/>
  <c r="C1691" i="1"/>
  <c r="G1686" i="1"/>
  <c r="G1687" i="1"/>
  <c r="G1688" i="1"/>
  <c r="G1689" i="1"/>
  <c r="G1690" i="1"/>
  <c r="G1691" i="1"/>
  <c r="G1692" i="1"/>
  <c r="G1693" i="1"/>
  <c r="G1694" i="1"/>
  <c r="G1695" i="1"/>
  <c r="G1696" i="1"/>
  <c r="G1685" i="1"/>
  <c r="C1679" i="1"/>
  <c r="C1681" i="1"/>
  <c r="G1683" i="1"/>
  <c r="G1676" i="1"/>
  <c r="G1677" i="1"/>
  <c r="G1678" i="1"/>
  <c r="G1679" i="1"/>
  <c r="G1680" i="1"/>
  <c r="G1681" i="1"/>
  <c r="G1682" i="1"/>
  <c r="G1684" i="1"/>
  <c r="G1675" i="1"/>
  <c r="C1669" i="1"/>
  <c r="C1671" i="1"/>
  <c r="G1666" i="1"/>
  <c r="G1667" i="1"/>
  <c r="G1668" i="1"/>
  <c r="G1669" i="1"/>
  <c r="G1670" i="1"/>
  <c r="G1671" i="1"/>
  <c r="G1672" i="1"/>
  <c r="G1673" i="1"/>
  <c r="G1674" i="1"/>
  <c r="G1665" i="1"/>
  <c r="C1660" i="1"/>
  <c r="C1662" i="1"/>
  <c r="G1660" i="1"/>
  <c r="G1661" i="1"/>
  <c r="G1662" i="1"/>
  <c r="G1663" i="1"/>
  <c r="G1664" i="1"/>
  <c r="G1659" i="1"/>
  <c r="C1655" i="1"/>
  <c r="C1657" i="1"/>
  <c r="G1655" i="1"/>
  <c r="G1656" i="1"/>
  <c r="G1657" i="1"/>
  <c r="G1658" i="1"/>
  <c r="G1654" i="1"/>
  <c r="C1647" i="1"/>
  <c r="C1649" i="1"/>
  <c r="G1644" i="1"/>
  <c r="G1645" i="1"/>
  <c r="G1646" i="1"/>
  <c r="G1647" i="1"/>
  <c r="G1648" i="1"/>
  <c r="G1649" i="1"/>
  <c r="G1650" i="1"/>
  <c r="G1651" i="1"/>
  <c r="G1652" i="1"/>
  <c r="G1653" i="1"/>
  <c r="G1643" i="1"/>
  <c r="C1637" i="1"/>
  <c r="C1639" i="1"/>
  <c r="G1642" i="1"/>
  <c r="G1634" i="1"/>
  <c r="G1635" i="1"/>
  <c r="G1636" i="1"/>
  <c r="G1637" i="1"/>
  <c r="G1638" i="1"/>
  <c r="G1639" i="1"/>
  <c r="G1640" i="1"/>
  <c r="G1641" i="1"/>
  <c r="G1633" i="1"/>
  <c r="C1627" i="1"/>
  <c r="C1629" i="1"/>
  <c r="G1624" i="1"/>
  <c r="G1625" i="1"/>
  <c r="G1626" i="1"/>
  <c r="G1627" i="1"/>
  <c r="G1628" i="1"/>
  <c r="G1629" i="1"/>
  <c r="G1630" i="1"/>
  <c r="G1631" i="1"/>
  <c r="G1632" i="1"/>
  <c r="G1623" i="1"/>
  <c r="C1618" i="1"/>
  <c r="C1620" i="1"/>
  <c r="G1618" i="1"/>
  <c r="G1619" i="1"/>
  <c r="G1620" i="1"/>
  <c r="G1621" i="1"/>
  <c r="G1622" i="1"/>
  <c r="G1617" i="1"/>
  <c r="C1612" i="1"/>
  <c r="C1614" i="1"/>
  <c r="G1612" i="1"/>
  <c r="G1613" i="1"/>
  <c r="G1614" i="1"/>
  <c r="G1615" i="1"/>
  <c r="G1616" i="1"/>
  <c r="G1611" i="1"/>
  <c r="C1606" i="1"/>
  <c r="C1608" i="1"/>
  <c r="G1610" i="1"/>
  <c r="G1606" i="1"/>
  <c r="G1607" i="1"/>
  <c r="G1608" i="1"/>
  <c r="G1609" i="1"/>
  <c r="G1605" i="1"/>
  <c r="G3582" i="1"/>
  <c r="G3581" i="1"/>
  <c r="G3580" i="1"/>
  <c r="G3579" i="1"/>
  <c r="G3578" i="1"/>
  <c r="G3577" i="1"/>
  <c r="G3576" i="1"/>
  <c r="G3575" i="1"/>
  <c r="G3548" i="1"/>
  <c r="G3547" i="1"/>
  <c r="G3546" i="1"/>
  <c r="G3545" i="1"/>
  <c r="G3544" i="1"/>
  <c r="G3543" i="1"/>
  <c r="G3542" i="1"/>
  <c r="G3541" i="1"/>
  <c r="G3514" i="1"/>
  <c r="G3513" i="1"/>
  <c r="G3512" i="1"/>
  <c r="G3511" i="1"/>
  <c r="G3510" i="1"/>
  <c r="G3509" i="1"/>
  <c r="G3508" i="1"/>
  <c r="G3507" i="1"/>
  <c r="G3480" i="1"/>
  <c r="G3479" i="1"/>
  <c r="G3478" i="1"/>
  <c r="G3477" i="1"/>
  <c r="G3476" i="1"/>
  <c r="G3475" i="1"/>
  <c r="G3474" i="1"/>
  <c r="G3473" i="1"/>
  <c r="G3446" i="1"/>
  <c r="G3445" i="1"/>
  <c r="G3444" i="1"/>
  <c r="G3443" i="1"/>
  <c r="G3442" i="1"/>
  <c r="G3441" i="1"/>
  <c r="G3440" i="1"/>
  <c r="G3439" i="1"/>
  <c r="G3412" i="1"/>
  <c r="G3411" i="1"/>
  <c r="G3410" i="1"/>
  <c r="G3409" i="1"/>
  <c r="G3408" i="1"/>
  <c r="G3407" i="1"/>
  <c r="G3406" i="1"/>
  <c r="G3405" i="1"/>
  <c r="G3378" i="1"/>
  <c r="G3377" i="1"/>
  <c r="G3376" i="1"/>
  <c r="G3375" i="1"/>
  <c r="G3374" i="1"/>
  <c r="G3373" i="1"/>
  <c r="G3372" i="1"/>
  <c r="G3371" i="1"/>
  <c r="G3310" i="1"/>
  <c r="G3309" i="1"/>
  <c r="G3308" i="1"/>
  <c r="G3307" i="1"/>
  <c r="G3306" i="1"/>
  <c r="G3305" i="1"/>
  <c r="G3304" i="1"/>
  <c r="G3303" i="1"/>
  <c r="G3276" i="1"/>
  <c r="G3275" i="1"/>
  <c r="G3274" i="1"/>
  <c r="G3273" i="1"/>
  <c r="G3272" i="1"/>
  <c r="G3271" i="1"/>
  <c r="G3270" i="1"/>
  <c r="G3269" i="1"/>
  <c r="G3243" i="1"/>
  <c r="G3242" i="1"/>
  <c r="G3241" i="1"/>
  <c r="G3240" i="1"/>
  <c r="G3239" i="1"/>
  <c r="G3238" i="1"/>
  <c r="G3237" i="1"/>
  <c r="G3236" i="1"/>
  <c r="C1601" i="1"/>
  <c r="C1603" i="1"/>
  <c r="G1601" i="1"/>
  <c r="G1602" i="1"/>
  <c r="G1603" i="1"/>
  <c r="G1604" i="1"/>
  <c r="G1600" i="1"/>
  <c r="C1596" i="1"/>
  <c r="C1598" i="1"/>
  <c r="G1596" i="1"/>
  <c r="G1597" i="1"/>
  <c r="G1598" i="1"/>
  <c r="G1599" i="1"/>
  <c r="G1595" i="1"/>
  <c r="C1591" i="1"/>
  <c r="C1593" i="1"/>
  <c r="G1590" i="1"/>
  <c r="G1591" i="1"/>
  <c r="G1592" i="1"/>
  <c r="G1593" i="1"/>
  <c r="G1594" i="1"/>
  <c r="G1588" i="1"/>
  <c r="G1584" i="1"/>
  <c r="G1585" i="1"/>
  <c r="G1586" i="1"/>
  <c r="G1587" i="1"/>
  <c r="G1583" i="1"/>
  <c r="G1572" i="1"/>
  <c r="G1573" i="1"/>
  <c r="G1574" i="1"/>
  <c r="G1575" i="1"/>
  <c r="G1576" i="1"/>
  <c r="G1577" i="1"/>
  <c r="G1578" i="1"/>
  <c r="G1579" i="1"/>
  <c r="G1571" i="1"/>
  <c r="C1555" i="1"/>
  <c r="C1557" i="1"/>
  <c r="G1551" i="1"/>
  <c r="C1533" i="1"/>
  <c r="C1535" i="1"/>
  <c r="G1529" i="1"/>
  <c r="G1530" i="1"/>
  <c r="G1531" i="1"/>
  <c r="G1532" i="1"/>
  <c r="G1533" i="1"/>
  <c r="G1534" i="1"/>
  <c r="G1535" i="1"/>
  <c r="G1536" i="1"/>
  <c r="G1537" i="1"/>
  <c r="G1538" i="1"/>
  <c r="C1565" i="1"/>
  <c r="C1567" i="1"/>
  <c r="G1562" i="1"/>
  <c r="G1563" i="1"/>
  <c r="G1564" i="1"/>
  <c r="G1565" i="1"/>
  <c r="G1566" i="1"/>
  <c r="G1567" i="1"/>
  <c r="G1568" i="1"/>
  <c r="G1569" i="1"/>
  <c r="G1570" i="1"/>
  <c r="G1561" i="1"/>
  <c r="G1552" i="1"/>
  <c r="G1553" i="1"/>
  <c r="G1554" i="1"/>
  <c r="G1555" i="1"/>
  <c r="G1556" i="1"/>
  <c r="G1557" i="1"/>
  <c r="G1558" i="1"/>
  <c r="G1559" i="1"/>
  <c r="G1560" i="1"/>
  <c r="G3216" i="1"/>
  <c r="G3217" i="1"/>
  <c r="G3218" i="1"/>
  <c r="G3219" i="1"/>
  <c r="G3220" i="1"/>
  <c r="G3221" i="1"/>
  <c r="G3222" i="1"/>
  <c r="G3223" i="1"/>
  <c r="G3193" i="1"/>
  <c r="G3070" i="1"/>
  <c r="G3066" i="1"/>
  <c r="G2773" i="1"/>
  <c r="G2556" i="1"/>
  <c r="G3203" i="1"/>
  <c r="G3198" i="1"/>
  <c r="G3199" i="1"/>
  <c r="G3201" i="1"/>
  <c r="G3202" i="1"/>
  <c r="G3204" i="1"/>
  <c r="G3197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90" i="1"/>
  <c r="G3191" i="1"/>
  <c r="G3192" i="1"/>
  <c r="G3194" i="1"/>
  <c r="G3195" i="1"/>
  <c r="G3196" i="1"/>
  <c r="G3173" i="1"/>
  <c r="G3163" i="1"/>
  <c r="G3164" i="1"/>
  <c r="G3165" i="1"/>
  <c r="G3166" i="1"/>
  <c r="G3167" i="1"/>
  <c r="G3168" i="1"/>
  <c r="G3169" i="1"/>
  <c r="G3170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71" i="1"/>
  <c r="G3172" i="1"/>
  <c r="G3139" i="1"/>
  <c r="G3130" i="1"/>
  <c r="G3131" i="1"/>
  <c r="G3132" i="1"/>
  <c r="G3133" i="1"/>
  <c r="G3134" i="1"/>
  <c r="G3135" i="1"/>
  <c r="G3136" i="1"/>
  <c r="G3129" i="1"/>
  <c r="G3110" i="1"/>
  <c r="G3138" i="1"/>
  <c r="G3106" i="1"/>
  <c r="G3107" i="1"/>
  <c r="G3108" i="1"/>
  <c r="G3109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37" i="1"/>
  <c r="G3096" i="1"/>
  <c r="G3097" i="1"/>
  <c r="G3098" i="1"/>
  <c r="G3099" i="1"/>
  <c r="G3100" i="1"/>
  <c r="G3101" i="1"/>
  <c r="G3102" i="1"/>
  <c r="G3095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103" i="1"/>
  <c r="G3104" i="1"/>
  <c r="G3071" i="1"/>
  <c r="G3062" i="1"/>
  <c r="G3063" i="1"/>
  <c r="G3064" i="1"/>
  <c r="G3065" i="1"/>
  <c r="G3067" i="1"/>
  <c r="G3068" i="1"/>
  <c r="G3061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9" i="1"/>
  <c r="G3037" i="1"/>
  <c r="G3028" i="1"/>
  <c r="G3029" i="1"/>
  <c r="G3030" i="1"/>
  <c r="G3031" i="1"/>
  <c r="G3032" i="1"/>
  <c r="G3033" i="1"/>
  <c r="G3034" i="1"/>
  <c r="G3027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35" i="1"/>
  <c r="G3036" i="1"/>
  <c r="G3003" i="1"/>
  <c r="G2993" i="1"/>
  <c r="G2994" i="1"/>
  <c r="G2995" i="1"/>
  <c r="G2996" i="1"/>
  <c r="G2997" i="1"/>
  <c r="G2998" i="1"/>
  <c r="G2999" i="1"/>
  <c r="G3000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3001" i="1"/>
  <c r="G3002" i="1"/>
  <c r="G2969" i="1"/>
  <c r="G2960" i="1"/>
  <c r="G2961" i="1"/>
  <c r="G2962" i="1"/>
  <c r="G2963" i="1"/>
  <c r="G2964" i="1"/>
  <c r="G2965" i="1"/>
  <c r="G2966" i="1"/>
  <c r="G2959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67" i="1"/>
  <c r="G2968" i="1"/>
  <c r="G2935" i="1"/>
  <c r="G2932" i="1"/>
  <c r="G2926" i="1"/>
  <c r="G2927" i="1"/>
  <c r="G2928" i="1"/>
  <c r="G2929" i="1"/>
  <c r="G2930" i="1"/>
  <c r="G2931" i="1"/>
  <c r="G2925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33" i="1"/>
  <c r="G2934" i="1"/>
  <c r="G2901" i="1"/>
  <c r="G2902" i="1"/>
  <c r="G2892" i="1"/>
  <c r="G2893" i="1"/>
  <c r="G2894" i="1"/>
  <c r="G2895" i="1"/>
  <c r="G2896" i="1"/>
  <c r="G2897" i="1"/>
  <c r="G2898" i="1"/>
  <c r="G2891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9" i="1"/>
  <c r="G2900" i="1"/>
  <c r="G2867" i="1"/>
  <c r="G2858" i="1"/>
  <c r="G2859" i="1"/>
  <c r="G2860" i="1"/>
  <c r="G2861" i="1"/>
  <c r="G2862" i="1"/>
  <c r="G2863" i="1"/>
  <c r="G2864" i="1"/>
  <c r="G2857" i="1"/>
  <c r="G2865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66" i="1"/>
  <c r="G2833" i="1"/>
  <c r="G2824" i="1"/>
  <c r="G2825" i="1"/>
  <c r="G2826" i="1"/>
  <c r="G2827" i="1"/>
  <c r="G2828" i="1"/>
  <c r="G2829" i="1"/>
  <c r="G2830" i="1"/>
  <c r="G2823" i="1"/>
  <c r="G2790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31" i="1"/>
  <c r="G2832" i="1"/>
  <c r="G2799" i="1"/>
  <c r="G2798" i="1"/>
  <c r="G2797" i="1"/>
  <c r="G2791" i="1"/>
  <c r="G2792" i="1"/>
  <c r="G2793" i="1"/>
  <c r="G2794" i="1"/>
  <c r="G2795" i="1"/>
  <c r="G2796" i="1"/>
  <c r="G2789" i="1"/>
  <c r="G2766" i="1"/>
  <c r="G2767" i="1"/>
  <c r="G2768" i="1"/>
  <c r="G2769" i="1"/>
  <c r="G2770" i="1"/>
  <c r="G2771" i="1"/>
  <c r="G2772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65" i="1"/>
  <c r="G2756" i="1"/>
  <c r="G2757" i="1"/>
  <c r="G2758" i="1"/>
  <c r="G2759" i="1"/>
  <c r="G2760" i="1"/>
  <c r="G2761" i="1"/>
  <c r="G2762" i="1"/>
  <c r="G2755" i="1"/>
  <c r="G2736" i="1"/>
  <c r="G2728" i="1"/>
  <c r="G2732" i="1"/>
  <c r="G2733" i="1"/>
  <c r="G2734" i="1"/>
  <c r="G2735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63" i="1"/>
  <c r="G2764" i="1"/>
  <c r="G2731" i="1"/>
  <c r="G2730" i="1"/>
  <c r="G2688" i="1"/>
  <c r="G2726" i="1"/>
  <c r="G2722" i="1"/>
  <c r="G2723" i="1"/>
  <c r="G2724" i="1"/>
  <c r="G2725" i="1"/>
  <c r="G2727" i="1"/>
  <c r="G2721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9" i="1"/>
  <c r="G2697" i="1"/>
  <c r="G2696" i="1"/>
  <c r="G2695" i="1"/>
  <c r="G2694" i="1"/>
  <c r="G2692" i="1"/>
  <c r="G2689" i="1"/>
  <c r="G2690" i="1"/>
  <c r="G2691" i="1"/>
  <c r="G2693" i="1"/>
  <c r="G2687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63" i="1"/>
  <c r="G2654" i="1"/>
  <c r="G2655" i="1"/>
  <c r="G2656" i="1"/>
  <c r="G2657" i="1"/>
  <c r="G2658" i="1"/>
  <c r="G2659" i="1"/>
  <c r="G2660" i="1"/>
  <c r="G2653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61" i="1"/>
  <c r="G2662" i="1"/>
  <c r="G2629" i="1"/>
  <c r="G2620" i="1"/>
  <c r="G2621" i="1"/>
  <c r="G2622" i="1"/>
  <c r="G2623" i="1"/>
  <c r="G2624" i="1"/>
  <c r="G2625" i="1"/>
  <c r="G2626" i="1"/>
  <c r="G2619" i="1"/>
  <c r="G2595" i="1"/>
  <c r="G258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27" i="1"/>
  <c r="G2628" i="1"/>
  <c r="G2562" i="1"/>
  <c r="G2592" i="1"/>
  <c r="G2591" i="1"/>
  <c r="G2590" i="1"/>
  <c r="G2589" i="1"/>
  <c r="G2588" i="1"/>
  <c r="G2587" i="1"/>
  <c r="G2586" i="1"/>
  <c r="G2594" i="1"/>
  <c r="G2593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1" i="1"/>
  <c r="G2551" i="1"/>
  <c r="G2528" i="1"/>
  <c r="G2527" i="1"/>
  <c r="C1523" i="1"/>
  <c r="C1525" i="1"/>
  <c r="G1519" i="1"/>
  <c r="C1513" i="1"/>
  <c r="C1515" i="1"/>
  <c r="G1509" i="1"/>
  <c r="G1464" i="1"/>
  <c r="G1514" i="1"/>
  <c r="J624" i="3"/>
  <c r="K624" i="3"/>
  <c r="C7623" i="1"/>
  <c r="J460" i="3"/>
  <c r="K460" i="3"/>
  <c r="M460" i="3"/>
  <c r="N460" i="3"/>
  <c r="J461" i="3"/>
  <c r="K461" i="3"/>
  <c r="M461" i="3"/>
  <c r="N461" i="3"/>
  <c r="J462" i="3"/>
  <c r="K462" i="3"/>
  <c r="M462" i="3"/>
  <c r="N462" i="3"/>
  <c r="J463" i="3"/>
  <c r="K463" i="3"/>
  <c r="M463" i="3"/>
  <c r="N463" i="3"/>
  <c r="J464" i="3"/>
  <c r="K464" i="3"/>
  <c r="M464" i="3"/>
  <c r="N464" i="3"/>
  <c r="J465" i="3"/>
  <c r="K465" i="3"/>
  <c r="M465" i="3"/>
  <c r="N465" i="3"/>
  <c r="J466" i="3"/>
  <c r="K466" i="3"/>
  <c r="M466" i="3"/>
  <c r="N466" i="3"/>
  <c r="J467" i="3"/>
  <c r="K467" i="3"/>
  <c r="M467" i="3"/>
  <c r="N467" i="3"/>
  <c r="J468" i="3"/>
  <c r="K468" i="3"/>
  <c r="M468" i="3"/>
  <c r="N468" i="3"/>
  <c r="J469" i="3"/>
  <c r="K469" i="3"/>
  <c r="M469" i="3"/>
  <c r="N469" i="3"/>
  <c r="J470" i="3"/>
  <c r="K470" i="3"/>
  <c r="M470" i="3"/>
  <c r="N470" i="3"/>
  <c r="J471" i="3"/>
  <c r="K471" i="3"/>
  <c r="M471" i="3"/>
  <c r="N471" i="3"/>
  <c r="J472" i="3"/>
  <c r="K472" i="3"/>
  <c r="M472" i="3"/>
  <c r="N472" i="3"/>
  <c r="J473" i="3"/>
  <c r="K473" i="3"/>
  <c r="M473" i="3"/>
  <c r="N473" i="3"/>
  <c r="J474" i="3"/>
  <c r="K474" i="3"/>
  <c r="M474" i="3"/>
  <c r="N474" i="3"/>
  <c r="J475" i="3"/>
  <c r="K475" i="3"/>
  <c r="M475" i="3"/>
  <c r="N475" i="3"/>
  <c r="J476" i="3"/>
  <c r="K476" i="3"/>
  <c r="M476" i="3"/>
  <c r="N476" i="3"/>
  <c r="J477" i="3"/>
  <c r="K477" i="3"/>
  <c r="M477" i="3"/>
  <c r="N477" i="3"/>
  <c r="J478" i="3"/>
  <c r="K478" i="3"/>
  <c r="M478" i="3"/>
  <c r="N478" i="3"/>
  <c r="J479" i="3"/>
  <c r="K479" i="3"/>
  <c r="M479" i="3"/>
  <c r="N479" i="3"/>
  <c r="J480" i="3"/>
  <c r="K480" i="3"/>
  <c r="M480" i="3"/>
  <c r="N480" i="3"/>
  <c r="J481" i="3"/>
  <c r="K481" i="3"/>
  <c r="M481" i="3"/>
  <c r="N481" i="3"/>
  <c r="J482" i="3"/>
  <c r="K482" i="3"/>
  <c r="M482" i="3"/>
  <c r="N482" i="3"/>
  <c r="J483" i="3"/>
  <c r="K483" i="3"/>
  <c r="M483" i="3"/>
  <c r="N483" i="3"/>
  <c r="J484" i="3"/>
  <c r="K484" i="3"/>
  <c r="M484" i="3"/>
  <c r="N484" i="3"/>
  <c r="J485" i="3"/>
  <c r="K485" i="3"/>
  <c r="M485" i="3"/>
  <c r="N485" i="3"/>
  <c r="J486" i="3"/>
  <c r="K486" i="3"/>
  <c r="M486" i="3"/>
  <c r="N486" i="3"/>
  <c r="J487" i="3"/>
  <c r="K487" i="3"/>
  <c r="M487" i="3"/>
  <c r="N487" i="3"/>
  <c r="J488" i="3"/>
  <c r="K488" i="3"/>
  <c r="M488" i="3"/>
  <c r="N488" i="3"/>
  <c r="J489" i="3"/>
  <c r="K489" i="3"/>
  <c r="M489" i="3"/>
  <c r="N489" i="3"/>
  <c r="J490" i="3"/>
  <c r="K490" i="3"/>
  <c r="M490" i="3"/>
  <c r="N490" i="3"/>
  <c r="J491" i="3"/>
  <c r="K491" i="3"/>
  <c r="M491" i="3"/>
  <c r="N491" i="3"/>
  <c r="J492" i="3"/>
  <c r="K492" i="3"/>
  <c r="M492" i="3"/>
  <c r="N492" i="3"/>
  <c r="J493" i="3"/>
  <c r="K493" i="3"/>
  <c r="M493" i="3"/>
  <c r="N493" i="3"/>
  <c r="J494" i="3"/>
  <c r="K494" i="3"/>
  <c r="M494" i="3"/>
  <c r="N494" i="3"/>
  <c r="J495" i="3"/>
  <c r="K495" i="3"/>
  <c r="M495" i="3"/>
  <c r="N495" i="3"/>
  <c r="J496" i="3"/>
  <c r="K496" i="3"/>
  <c r="M496" i="3"/>
  <c r="N496" i="3"/>
  <c r="J497" i="3"/>
  <c r="K497" i="3"/>
  <c r="M497" i="3"/>
  <c r="N497" i="3"/>
  <c r="J498" i="3"/>
  <c r="K498" i="3"/>
  <c r="M498" i="3"/>
  <c r="N498" i="3"/>
  <c r="J499" i="3"/>
  <c r="K499" i="3"/>
  <c r="M499" i="3"/>
  <c r="N499" i="3"/>
  <c r="J500" i="3"/>
  <c r="K500" i="3"/>
  <c r="M500" i="3"/>
  <c r="N500" i="3"/>
  <c r="J501" i="3"/>
  <c r="K501" i="3"/>
  <c r="M501" i="3"/>
  <c r="N501" i="3"/>
  <c r="J502" i="3"/>
  <c r="K502" i="3"/>
  <c r="M502" i="3"/>
  <c r="N502" i="3"/>
  <c r="J503" i="3"/>
  <c r="K503" i="3"/>
  <c r="M503" i="3"/>
  <c r="N503" i="3"/>
  <c r="J504" i="3"/>
  <c r="K504" i="3"/>
  <c r="M504" i="3"/>
  <c r="N504" i="3"/>
  <c r="J505" i="3"/>
  <c r="K505" i="3"/>
  <c r="M505" i="3"/>
  <c r="N505" i="3"/>
  <c r="J506" i="3"/>
  <c r="K506" i="3"/>
  <c r="M506" i="3"/>
  <c r="N506" i="3"/>
  <c r="J507" i="3"/>
  <c r="K507" i="3"/>
  <c r="M507" i="3"/>
  <c r="N507" i="3"/>
  <c r="J508" i="3"/>
  <c r="K508" i="3"/>
  <c r="M508" i="3"/>
  <c r="N508" i="3"/>
  <c r="J509" i="3"/>
  <c r="K509" i="3"/>
  <c r="M509" i="3"/>
  <c r="N509" i="3"/>
  <c r="J510" i="3"/>
  <c r="K510" i="3"/>
  <c r="M510" i="3"/>
  <c r="N510" i="3"/>
  <c r="J511" i="3"/>
  <c r="K511" i="3"/>
  <c r="M511" i="3"/>
  <c r="N511" i="3"/>
  <c r="J512" i="3"/>
  <c r="K512" i="3"/>
  <c r="M512" i="3"/>
  <c r="N512" i="3"/>
  <c r="J513" i="3"/>
  <c r="K513" i="3"/>
  <c r="M513" i="3"/>
  <c r="N513" i="3"/>
  <c r="J514" i="3"/>
  <c r="K514" i="3"/>
  <c r="M514" i="3"/>
  <c r="N514" i="3"/>
  <c r="J515" i="3"/>
  <c r="K515" i="3"/>
  <c r="M515" i="3"/>
  <c r="N515" i="3"/>
  <c r="J516" i="3"/>
  <c r="K516" i="3"/>
  <c r="M516" i="3"/>
  <c r="N516" i="3"/>
  <c r="J517" i="3"/>
  <c r="K517" i="3"/>
  <c r="M517" i="3"/>
  <c r="N517" i="3"/>
  <c r="J518" i="3"/>
  <c r="K518" i="3"/>
  <c r="M518" i="3"/>
  <c r="N518" i="3"/>
  <c r="J519" i="3"/>
  <c r="K519" i="3"/>
  <c r="M519" i="3"/>
  <c r="N519" i="3"/>
  <c r="J520" i="3"/>
  <c r="K520" i="3"/>
  <c r="M520" i="3"/>
  <c r="N520" i="3"/>
  <c r="J521" i="3"/>
  <c r="K521" i="3"/>
  <c r="M521" i="3"/>
  <c r="N521" i="3"/>
  <c r="J522" i="3"/>
  <c r="K522" i="3"/>
  <c r="M522" i="3"/>
  <c r="N522" i="3"/>
  <c r="J523" i="3"/>
  <c r="K523" i="3"/>
  <c r="M523" i="3"/>
  <c r="N523" i="3"/>
  <c r="J524" i="3"/>
  <c r="K524" i="3"/>
  <c r="M524" i="3"/>
  <c r="N524" i="3"/>
  <c r="J525" i="3"/>
  <c r="K525" i="3"/>
  <c r="M525" i="3"/>
  <c r="N525" i="3"/>
  <c r="J526" i="3"/>
  <c r="K526" i="3"/>
  <c r="M526" i="3"/>
  <c r="N526" i="3"/>
  <c r="J527" i="3"/>
  <c r="K527" i="3"/>
  <c r="M527" i="3"/>
  <c r="N527" i="3"/>
  <c r="J528" i="3"/>
  <c r="K528" i="3"/>
  <c r="M528" i="3"/>
  <c r="N528" i="3"/>
  <c r="J529" i="3"/>
  <c r="K529" i="3"/>
  <c r="M529" i="3"/>
  <c r="N529" i="3"/>
  <c r="J530" i="3"/>
  <c r="K530" i="3"/>
  <c r="M530" i="3"/>
  <c r="N530" i="3"/>
  <c r="J531" i="3"/>
  <c r="K531" i="3"/>
  <c r="M531" i="3"/>
  <c r="N531" i="3"/>
  <c r="J532" i="3"/>
  <c r="K532" i="3"/>
  <c r="M532" i="3"/>
  <c r="N532" i="3"/>
  <c r="J533" i="3"/>
  <c r="K533" i="3"/>
  <c r="M533" i="3"/>
  <c r="N533" i="3"/>
  <c r="J534" i="3"/>
  <c r="K534" i="3"/>
  <c r="M534" i="3"/>
  <c r="N534" i="3"/>
  <c r="J535" i="3"/>
  <c r="K535" i="3"/>
  <c r="M535" i="3"/>
  <c r="N535" i="3"/>
  <c r="J536" i="3"/>
  <c r="K536" i="3"/>
  <c r="M536" i="3"/>
  <c r="N536" i="3"/>
  <c r="J537" i="3"/>
  <c r="K537" i="3"/>
  <c r="M537" i="3"/>
  <c r="N537" i="3"/>
  <c r="J538" i="3"/>
  <c r="K538" i="3"/>
  <c r="M538" i="3"/>
  <c r="N538" i="3"/>
  <c r="J539" i="3"/>
  <c r="K539" i="3"/>
  <c r="M539" i="3"/>
  <c r="N539" i="3"/>
  <c r="J540" i="3"/>
  <c r="K540" i="3"/>
  <c r="M540" i="3"/>
  <c r="N540" i="3"/>
  <c r="J541" i="3"/>
  <c r="K541" i="3"/>
  <c r="M541" i="3"/>
  <c r="N541" i="3"/>
  <c r="J542" i="3"/>
  <c r="K542" i="3"/>
  <c r="M542" i="3"/>
  <c r="N542" i="3"/>
  <c r="J543" i="3"/>
  <c r="K543" i="3"/>
  <c r="M543" i="3"/>
  <c r="N543" i="3"/>
  <c r="J544" i="3"/>
  <c r="K544" i="3"/>
  <c r="M544" i="3"/>
  <c r="N544" i="3"/>
  <c r="J545" i="3"/>
  <c r="K545" i="3"/>
  <c r="M545" i="3"/>
  <c r="N545" i="3"/>
  <c r="J546" i="3"/>
  <c r="K546" i="3"/>
  <c r="M546" i="3"/>
  <c r="N546" i="3"/>
  <c r="J547" i="3"/>
  <c r="K547" i="3"/>
  <c r="M547" i="3"/>
  <c r="N547" i="3"/>
  <c r="J548" i="3"/>
  <c r="K548" i="3"/>
  <c r="M548" i="3"/>
  <c r="N548" i="3"/>
  <c r="J549" i="3"/>
  <c r="K549" i="3"/>
  <c r="M549" i="3"/>
  <c r="N549" i="3"/>
  <c r="J550" i="3"/>
  <c r="K550" i="3"/>
  <c r="M550" i="3"/>
  <c r="N550" i="3"/>
  <c r="J551" i="3"/>
  <c r="K551" i="3"/>
  <c r="M551" i="3"/>
  <c r="N551" i="3"/>
  <c r="J552" i="3"/>
  <c r="K552" i="3"/>
  <c r="M552" i="3"/>
  <c r="N552" i="3"/>
  <c r="J553" i="3"/>
  <c r="K553" i="3"/>
  <c r="M553" i="3"/>
  <c r="N553" i="3"/>
  <c r="J554" i="3"/>
  <c r="K554" i="3"/>
  <c r="M554" i="3"/>
  <c r="N554" i="3"/>
  <c r="J555" i="3"/>
  <c r="K555" i="3"/>
  <c r="M555" i="3"/>
  <c r="N555" i="3"/>
  <c r="J556" i="3"/>
  <c r="K556" i="3"/>
  <c r="M556" i="3"/>
  <c r="N556" i="3"/>
  <c r="J557" i="3"/>
  <c r="K557" i="3"/>
  <c r="M557" i="3"/>
  <c r="N557" i="3"/>
  <c r="I558" i="3"/>
  <c r="J558" i="3"/>
  <c r="K558" i="3"/>
  <c r="M558" i="3"/>
  <c r="N558" i="3"/>
  <c r="J559" i="3"/>
  <c r="K559" i="3"/>
  <c r="M559" i="3"/>
  <c r="N559" i="3"/>
  <c r="J560" i="3"/>
  <c r="K560" i="3"/>
  <c r="M560" i="3"/>
  <c r="N560" i="3"/>
  <c r="J561" i="3"/>
  <c r="K561" i="3"/>
  <c r="M561" i="3"/>
  <c r="N561" i="3"/>
  <c r="J562" i="3"/>
  <c r="K562" i="3"/>
  <c r="M562" i="3"/>
  <c r="N562" i="3"/>
  <c r="J563" i="3"/>
  <c r="K563" i="3"/>
  <c r="M563" i="3"/>
  <c r="N563" i="3"/>
  <c r="J564" i="3"/>
  <c r="K564" i="3"/>
  <c r="M564" i="3"/>
  <c r="N564" i="3"/>
  <c r="J565" i="3"/>
  <c r="K565" i="3"/>
  <c r="M565" i="3"/>
  <c r="N565" i="3"/>
  <c r="J566" i="3"/>
  <c r="K566" i="3"/>
  <c r="M566" i="3"/>
  <c r="N566" i="3"/>
  <c r="J567" i="3"/>
  <c r="K567" i="3"/>
  <c r="M567" i="3"/>
  <c r="N567" i="3"/>
  <c r="J568" i="3"/>
  <c r="K568" i="3"/>
  <c r="M568" i="3"/>
  <c r="N568" i="3"/>
  <c r="J569" i="3"/>
  <c r="K569" i="3"/>
  <c r="M569" i="3"/>
  <c r="N569" i="3"/>
  <c r="J570" i="3"/>
  <c r="K570" i="3"/>
  <c r="M570" i="3"/>
  <c r="N570" i="3"/>
  <c r="J571" i="3"/>
  <c r="K571" i="3"/>
  <c r="M571" i="3"/>
  <c r="N571" i="3"/>
  <c r="J572" i="3"/>
  <c r="K572" i="3"/>
  <c r="M572" i="3"/>
  <c r="N572" i="3"/>
  <c r="J573" i="3"/>
  <c r="K573" i="3"/>
  <c r="M573" i="3"/>
  <c r="N573" i="3"/>
  <c r="J574" i="3"/>
  <c r="K574" i="3"/>
  <c r="M574" i="3"/>
  <c r="N574" i="3"/>
  <c r="J575" i="3"/>
  <c r="K575" i="3"/>
  <c r="M575" i="3"/>
  <c r="N575" i="3"/>
  <c r="J576" i="3"/>
  <c r="K576" i="3"/>
  <c r="M576" i="3"/>
  <c r="N576" i="3"/>
  <c r="J577" i="3"/>
  <c r="K577" i="3"/>
  <c r="M577" i="3"/>
  <c r="N577" i="3"/>
  <c r="J578" i="3"/>
  <c r="K578" i="3"/>
  <c r="M578" i="3"/>
  <c r="N578" i="3"/>
  <c r="J579" i="3"/>
  <c r="K579" i="3"/>
  <c r="M579" i="3"/>
  <c r="N579" i="3"/>
  <c r="J580" i="3"/>
  <c r="K580" i="3"/>
  <c r="M580" i="3"/>
  <c r="N580" i="3"/>
  <c r="J581" i="3"/>
  <c r="K581" i="3"/>
  <c r="M581" i="3"/>
  <c r="N581" i="3"/>
  <c r="J582" i="3"/>
  <c r="K582" i="3"/>
  <c r="M582" i="3"/>
  <c r="N582" i="3"/>
  <c r="J583" i="3"/>
  <c r="K583" i="3"/>
  <c r="M583" i="3"/>
  <c r="N583" i="3"/>
  <c r="J584" i="3"/>
  <c r="K584" i="3"/>
  <c r="M584" i="3"/>
  <c r="N584" i="3"/>
  <c r="J585" i="3"/>
  <c r="K585" i="3"/>
  <c r="M585" i="3"/>
  <c r="N585" i="3"/>
  <c r="J586" i="3"/>
  <c r="K586" i="3"/>
  <c r="M586" i="3"/>
  <c r="N586" i="3"/>
  <c r="J587" i="3"/>
  <c r="K587" i="3"/>
  <c r="M587" i="3"/>
  <c r="N587" i="3"/>
  <c r="J588" i="3"/>
  <c r="K588" i="3"/>
  <c r="M588" i="3"/>
  <c r="N588" i="3"/>
  <c r="J589" i="3"/>
  <c r="K589" i="3"/>
  <c r="M589" i="3"/>
  <c r="N589" i="3"/>
  <c r="J590" i="3"/>
  <c r="K590" i="3"/>
  <c r="M590" i="3"/>
  <c r="N590" i="3"/>
  <c r="J591" i="3"/>
  <c r="K591" i="3"/>
  <c r="M591" i="3"/>
  <c r="N591" i="3"/>
  <c r="J592" i="3"/>
  <c r="K592" i="3"/>
  <c r="M592" i="3"/>
  <c r="N592" i="3"/>
  <c r="J593" i="3"/>
  <c r="K593" i="3"/>
  <c r="M593" i="3"/>
  <c r="N593" i="3"/>
  <c r="J594" i="3"/>
  <c r="K594" i="3"/>
  <c r="M594" i="3"/>
  <c r="N594" i="3"/>
  <c r="J595" i="3"/>
  <c r="K595" i="3"/>
  <c r="M595" i="3"/>
  <c r="N595" i="3"/>
  <c r="J596" i="3"/>
  <c r="K596" i="3"/>
  <c r="M596" i="3"/>
  <c r="N596" i="3"/>
  <c r="J597" i="3"/>
  <c r="K597" i="3"/>
  <c r="M597" i="3"/>
  <c r="N597" i="3"/>
  <c r="J598" i="3"/>
  <c r="K598" i="3"/>
  <c r="M598" i="3"/>
  <c r="N598" i="3"/>
  <c r="J599" i="3"/>
  <c r="K599" i="3"/>
  <c r="M599" i="3"/>
  <c r="N599" i="3"/>
  <c r="J600" i="3"/>
  <c r="K600" i="3"/>
  <c r="M600" i="3"/>
  <c r="N600" i="3"/>
  <c r="J601" i="3"/>
  <c r="K601" i="3"/>
  <c r="M601" i="3"/>
  <c r="N601" i="3"/>
  <c r="J602" i="3"/>
  <c r="K602" i="3"/>
  <c r="M602" i="3"/>
  <c r="N602" i="3"/>
  <c r="J603" i="3"/>
  <c r="K603" i="3"/>
  <c r="M603" i="3"/>
  <c r="N603" i="3"/>
  <c r="I604" i="3"/>
  <c r="J604" i="3"/>
  <c r="K604" i="3"/>
  <c r="L604" i="3"/>
  <c r="M604" i="3"/>
  <c r="N604" i="3"/>
  <c r="J605" i="3"/>
  <c r="K605" i="3"/>
  <c r="M605" i="3"/>
  <c r="N605" i="3"/>
  <c r="J606" i="3"/>
  <c r="K606" i="3"/>
  <c r="M606" i="3"/>
  <c r="N606" i="3"/>
  <c r="J607" i="3"/>
  <c r="K607" i="3"/>
  <c r="M607" i="3"/>
  <c r="N607" i="3"/>
  <c r="J608" i="3"/>
  <c r="K608" i="3"/>
  <c r="M608" i="3"/>
  <c r="N608" i="3"/>
  <c r="J609" i="3"/>
  <c r="K609" i="3"/>
  <c r="M609" i="3"/>
  <c r="N609" i="3"/>
  <c r="J610" i="3"/>
  <c r="K610" i="3"/>
  <c r="M610" i="3"/>
  <c r="N610" i="3"/>
  <c r="J611" i="3"/>
  <c r="K611" i="3"/>
  <c r="M611" i="3"/>
  <c r="N611" i="3"/>
  <c r="J612" i="3"/>
  <c r="K612" i="3"/>
  <c r="M612" i="3"/>
  <c r="N612" i="3"/>
  <c r="J613" i="3"/>
  <c r="K613" i="3"/>
  <c r="M613" i="3"/>
  <c r="N613" i="3"/>
  <c r="J614" i="3"/>
  <c r="K614" i="3"/>
  <c r="M614" i="3"/>
  <c r="N614" i="3"/>
  <c r="J615" i="3"/>
  <c r="K615" i="3"/>
  <c r="M615" i="3"/>
  <c r="N615" i="3"/>
  <c r="J616" i="3"/>
  <c r="K616" i="3"/>
  <c r="M616" i="3"/>
  <c r="N616" i="3"/>
  <c r="J617" i="3"/>
  <c r="K617" i="3"/>
  <c r="M617" i="3"/>
  <c r="N617" i="3"/>
  <c r="J618" i="3"/>
  <c r="K618" i="3"/>
  <c r="M618" i="3"/>
  <c r="N618" i="3"/>
  <c r="J619" i="3"/>
  <c r="K619" i="3"/>
  <c r="M619" i="3"/>
  <c r="N619" i="3"/>
  <c r="J620" i="3"/>
  <c r="K620" i="3"/>
  <c r="M620" i="3"/>
  <c r="N620" i="3"/>
  <c r="J621" i="3"/>
  <c r="K621" i="3"/>
  <c r="M621" i="3"/>
  <c r="N621" i="3"/>
  <c r="J622" i="3"/>
  <c r="K622" i="3"/>
  <c r="M622" i="3"/>
  <c r="N622" i="3"/>
  <c r="J623" i="3"/>
  <c r="K623" i="3"/>
  <c r="M623" i="3"/>
  <c r="N623" i="3"/>
  <c r="M624" i="3"/>
  <c r="N624" i="3"/>
  <c r="J625" i="3"/>
  <c r="K625" i="3"/>
  <c r="L625" i="3"/>
  <c r="M625" i="3"/>
  <c r="N625" i="3"/>
  <c r="J626" i="3"/>
  <c r="K626" i="3"/>
  <c r="M626" i="3"/>
  <c r="N626" i="3"/>
  <c r="J627" i="3"/>
  <c r="K627" i="3"/>
  <c r="M627" i="3"/>
  <c r="N627" i="3"/>
  <c r="J628" i="3"/>
  <c r="K628" i="3"/>
  <c r="M628" i="3"/>
  <c r="N628" i="3"/>
  <c r="J629" i="3"/>
  <c r="K629" i="3"/>
  <c r="M629" i="3"/>
  <c r="N629" i="3"/>
  <c r="J630" i="3"/>
  <c r="K630" i="3"/>
  <c r="M630" i="3"/>
  <c r="N630" i="3"/>
  <c r="J631" i="3"/>
  <c r="K631" i="3"/>
  <c r="M631" i="3"/>
  <c r="N631" i="3"/>
  <c r="J632" i="3"/>
  <c r="K632" i="3"/>
  <c r="M632" i="3"/>
  <c r="N632" i="3"/>
  <c r="J633" i="3"/>
  <c r="K633" i="3"/>
  <c r="M633" i="3"/>
  <c r="N633" i="3"/>
  <c r="J634" i="3"/>
  <c r="K634" i="3"/>
  <c r="M634" i="3"/>
  <c r="N634" i="3"/>
  <c r="J635" i="3"/>
  <c r="K635" i="3"/>
  <c r="M635" i="3"/>
  <c r="N635" i="3"/>
  <c r="J636" i="3"/>
  <c r="K636" i="3"/>
  <c r="M636" i="3"/>
  <c r="N636" i="3"/>
  <c r="J637" i="3"/>
  <c r="K637" i="3"/>
  <c r="M637" i="3"/>
  <c r="N637" i="3"/>
  <c r="J638" i="3"/>
  <c r="K638" i="3"/>
  <c r="M638" i="3"/>
  <c r="N638" i="3"/>
  <c r="J639" i="3"/>
  <c r="K639" i="3"/>
  <c r="M639" i="3"/>
  <c r="N639" i="3"/>
  <c r="J640" i="3"/>
  <c r="K640" i="3"/>
  <c r="M640" i="3"/>
  <c r="N640" i="3"/>
  <c r="J641" i="3"/>
  <c r="K641" i="3"/>
  <c r="M641" i="3"/>
  <c r="N641" i="3"/>
  <c r="J642" i="3"/>
  <c r="K642" i="3"/>
  <c r="M642" i="3"/>
  <c r="N642" i="3"/>
  <c r="J643" i="3"/>
  <c r="K643" i="3"/>
  <c r="M643" i="3"/>
  <c r="N643" i="3"/>
  <c r="J644" i="3"/>
  <c r="K644" i="3"/>
  <c r="M644" i="3"/>
  <c r="N644" i="3"/>
  <c r="J645" i="3"/>
  <c r="K645" i="3"/>
  <c r="M645" i="3"/>
  <c r="N645" i="3"/>
  <c r="J646" i="3"/>
  <c r="K646" i="3"/>
  <c r="M646" i="3"/>
  <c r="N646" i="3"/>
  <c r="J647" i="3"/>
  <c r="K647" i="3"/>
  <c r="M647" i="3"/>
  <c r="N647" i="3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48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2558" i="1"/>
  <c r="G2557" i="1"/>
  <c r="G2555" i="1"/>
  <c r="G2554" i="1"/>
  <c r="G2553" i="1"/>
  <c r="G2552" i="1"/>
  <c r="G2525" i="1"/>
  <c r="G2524" i="1"/>
  <c r="G2523" i="1"/>
  <c r="G2522" i="1"/>
  <c r="G2521" i="1"/>
  <c r="G2520" i="1"/>
  <c r="G2519" i="1"/>
  <c r="G2518" i="1"/>
  <c r="G2560" i="1"/>
  <c r="G2559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29" i="1"/>
  <c r="C2528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C208" i="1"/>
  <c r="C8348" i="1"/>
  <c r="C8347" i="1"/>
  <c r="C8346" i="1"/>
  <c r="C8345" i="1"/>
  <c r="C8344" i="1"/>
  <c r="C8343" i="1"/>
  <c r="C8342" i="1"/>
  <c r="C8341" i="1"/>
  <c r="C8340" i="1"/>
  <c r="C8339" i="1"/>
  <c r="C8338" i="1"/>
  <c r="C8337" i="1"/>
  <c r="C8336" i="1"/>
  <c r="C8335" i="1"/>
  <c r="C8334" i="1"/>
  <c r="C8333" i="1"/>
  <c r="C8332" i="1"/>
  <c r="C8331" i="1"/>
  <c r="C8330" i="1"/>
  <c r="C8328" i="1"/>
  <c r="C8326" i="1"/>
  <c r="C8325" i="1"/>
  <c r="C8324" i="1"/>
  <c r="C8323" i="1"/>
  <c r="C8322" i="1"/>
  <c r="C8320" i="1"/>
  <c r="C8318" i="1"/>
  <c r="C8317" i="1"/>
  <c r="C8316" i="1"/>
  <c r="C8315" i="1"/>
  <c r="C8314" i="1"/>
  <c r="C8313" i="1"/>
  <c r="C8312" i="1"/>
  <c r="C8311" i="1"/>
  <c r="C8309" i="1"/>
  <c r="C8307" i="1"/>
  <c r="C8306" i="1"/>
  <c r="C8305" i="1"/>
  <c r="C8304" i="1"/>
  <c r="C8303" i="1"/>
  <c r="C8302" i="1"/>
  <c r="C8301" i="1"/>
  <c r="C8300" i="1"/>
  <c r="C8299" i="1"/>
  <c r="C8298" i="1"/>
  <c r="C8297" i="1"/>
  <c r="C8296" i="1"/>
  <c r="C8295" i="1"/>
  <c r="C8294" i="1"/>
  <c r="C8293" i="1"/>
  <c r="C8292" i="1"/>
  <c r="C8290" i="1"/>
  <c r="C8288" i="1"/>
  <c r="C8287" i="1"/>
  <c r="C8286" i="1"/>
  <c r="C8285" i="1"/>
  <c r="C8284" i="1"/>
  <c r="C8283" i="1"/>
  <c r="C8282" i="1"/>
  <c r="C8281" i="1"/>
  <c r="C8280" i="1"/>
  <c r="C8279" i="1"/>
  <c r="C8278" i="1"/>
  <c r="C8277" i="1"/>
  <c r="C8275" i="1"/>
  <c r="C8273" i="1"/>
  <c r="C8272" i="1"/>
  <c r="C8271" i="1"/>
  <c r="C8270" i="1"/>
  <c r="C8269" i="1"/>
  <c r="C8268" i="1"/>
  <c r="C8267" i="1"/>
  <c r="C8266" i="1"/>
  <c r="C8265" i="1"/>
  <c r="C8264" i="1"/>
  <c r="C8263" i="1"/>
  <c r="C8262" i="1"/>
  <c r="C8261" i="1"/>
  <c r="C8260" i="1"/>
  <c r="C8259" i="1"/>
  <c r="C8258" i="1"/>
  <c r="C8256" i="1"/>
  <c r="C8254" i="1"/>
  <c r="C8253" i="1"/>
  <c r="C8252" i="1"/>
  <c r="C8251" i="1"/>
  <c r="C8250" i="1"/>
  <c r="C8249" i="1"/>
  <c r="C8248" i="1"/>
  <c r="C8247" i="1"/>
  <c r="C8246" i="1"/>
  <c r="C8245" i="1"/>
  <c r="C8244" i="1"/>
  <c r="C8243" i="1"/>
  <c r="C8241" i="1"/>
  <c r="C8239" i="1"/>
  <c r="C8238" i="1"/>
  <c r="C8237" i="1"/>
  <c r="C8236" i="1"/>
  <c r="C8235" i="1"/>
  <c r="C8234" i="1"/>
  <c r="C8233" i="1"/>
  <c r="C8232" i="1"/>
  <c r="C8231" i="1"/>
  <c r="C8230" i="1"/>
  <c r="C8229" i="1"/>
  <c r="C8228" i="1"/>
  <c r="C8227" i="1"/>
  <c r="C8226" i="1"/>
  <c r="C8225" i="1"/>
  <c r="C8224" i="1"/>
  <c r="C8222" i="1"/>
  <c r="C8220" i="1"/>
  <c r="C8219" i="1"/>
  <c r="C8218" i="1"/>
  <c r="C8217" i="1"/>
  <c r="C8216" i="1"/>
  <c r="C8215" i="1"/>
  <c r="C8214" i="1"/>
  <c r="C8213" i="1"/>
  <c r="C8212" i="1"/>
  <c r="C8211" i="1"/>
  <c r="C8210" i="1"/>
  <c r="C8209" i="1"/>
  <c r="C8207" i="1"/>
  <c r="C8205" i="1"/>
  <c r="C8204" i="1"/>
  <c r="C8203" i="1"/>
  <c r="C8202" i="1"/>
  <c r="C8201" i="1"/>
  <c r="C8200" i="1"/>
  <c r="C8199" i="1"/>
  <c r="C8198" i="1"/>
  <c r="C8197" i="1"/>
  <c r="C8196" i="1"/>
  <c r="C8195" i="1"/>
  <c r="C8194" i="1"/>
  <c r="C8193" i="1"/>
  <c r="C8192" i="1"/>
  <c r="C8191" i="1"/>
  <c r="C8190" i="1"/>
  <c r="C8188" i="1"/>
  <c r="C8186" i="1"/>
  <c r="C8185" i="1"/>
  <c r="C8184" i="1"/>
  <c r="C8183" i="1"/>
  <c r="C8182" i="1"/>
  <c r="C8181" i="1"/>
  <c r="C8180" i="1"/>
  <c r="C8179" i="1"/>
  <c r="C8178" i="1"/>
  <c r="C8177" i="1"/>
  <c r="C8176" i="1"/>
  <c r="C8175" i="1"/>
  <c r="C8173" i="1"/>
  <c r="C8171" i="1"/>
  <c r="C8170" i="1"/>
  <c r="C8169" i="1"/>
  <c r="C8168" i="1"/>
  <c r="C8167" i="1"/>
  <c r="C8166" i="1"/>
  <c r="C8165" i="1"/>
  <c r="C8164" i="1"/>
  <c r="C8163" i="1"/>
  <c r="C8162" i="1"/>
  <c r="C8161" i="1"/>
  <c r="C8160" i="1"/>
  <c r="C8159" i="1"/>
  <c r="C8158" i="1"/>
  <c r="C8157" i="1"/>
  <c r="C8156" i="1"/>
  <c r="C8154" i="1"/>
  <c r="C8152" i="1"/>
  <c r="C8151" i="1"/>
  <c r="C8150" i="1"/>
  <c r="C8149" i="1"/>
  <c r="C8148" i="1"/>
  <c r="C8147" i="1"/>
  <c r="C8146" i="1"/>
  <c r="C8145" i="1"/>
  <c r="C8144" i="1"/>
  <c r="C8143" i="1"/>
  <c r="C8142" i="1"/>
  <c r="C8141" i="1"/>
  <c r="C8139" i="1"/>
  <c r="C8137" i="1"/>
  <c r="C8136" i="1"/>
  <c r="C8135" i="1"/>
  <c r="C8134" i="1"/>
  <c r="C8133" i="1"/>
  <c r="C8132" i="1"/>
  <c r="C8131" i="1"/>
  <c r="C8130" i="1"/>
  <c r="C8129" i="1"/>
  <c r="C8128" i="1"/>
  <c r="C8127" i="1"/>
  <c r="C8126" i="1"/>
  <c r="C8125" i="1"/>
  <c r="C8124" i="1"/>
  <c r="C8123" i="1"/>
  <c r="C8122" i="1"/>
  <c r="C8120" i="1"/>
  <c r="C8118" i="1"/>
  <c r="C8117" i="1"/>
  <c r="C8116" i="1"/>
  <c r="C8115" i="1"/>
  <c r="C8114" i="1"/>
  <c r="C8113" i="1"/>
  <c r="C8112" i="1"/>
  <c r="C8111" i="1"/>
  <c r="C8110" i="1"/>
  <c r="C8109" i="1"/>
  <c r="C8108" i="1"/>
  <c r="C8107" i="1"/>
  <c r="C8105" i="1"/>
  <c r="C8103" i="1"/>
  <c r="C8102" i="1"/>
  <c r="C8101" i="1"/>
  <c r="C8100" i="1"/>
  <c r="C8099" i="1"/>
  <c r="C8098" i="1"/>
  <c r="C8097" i="1"/>
  <c r="C8096" i="1"/>
  <c r="C8095" i="1"/>
  <c r="C8094" i="1"/>
  <c r="C8093" i="1"/>
  <c r="C8092" i="1"/>
  <c r="C8091" i="1"/>
  <c r="C8090" i="1"/>
  <c r="C8089" i="1"/>
  <c r="C8088" i="1"/>
  <c r="C8086" i="1"/>
  <c r="C8084" i="1"/>
  <c r="C8083" i="1"/>
  <c r="C8082" i="1"/>
  <c r="C8081" i="1"/>
  <c r="C8080" i="1"/>
  <c r="C8079" i="1"/>
  <c r="C8078" i="1"/>
  <c r="C8077" i="1"/>
  <c r="C8076" i="1"/>
  <c r="C8075" i="1"/>
  <c r="C8074" i="1"/>
  <c r="C8073" i="1"/>
  <c r="C8071" i="1"/>
  <c r="C8069" i="1"/>
  <c r="C8068" i="1"/>
  <c r="C8067" i="1"/>
  <c r="C8066" i="1"/>
  <c r="C8065" i="1"/>
  <c r="C8064" i="1"/>
  <c r="C8063" i="1"/>
  <c r="C8062" i="1"/>
  <c r="C8061" i="1"/>
  <c r="C8060" i="1"/>
  <c r="C8059" i="1"/>
  <c r="C8058" i="1"/>
  <c r="C8057" i="1"/>
  <c r="C8056" i="1"/>
  <c r="C8055" i="1"/>
  <c r="C8054" i="1"/>
  <c r="C8052" i="1"/>
  <c r="C8050" i="1"/>
  <c r="C8049" i="1"/>
  <c r="C8048" i="1"/>
  <c r="C8047" i="1"/>
  <c r="C8046" i="1"/>
  <c r="C8045" i="1"/>
  <c r="C8044" i="1"/>
  <c r="C8043" i="1"/>
  <c r="C8042" i="1"/>
  <c r="C8041" i="1"/>
  <c r="C8040" i="1"/>
  <c r="C8039" i="1"/>
  <c r="C8037" i="1"/>
  <c r="C8035" i="1"/>
  <c r="C8034" i="1"/>
  <c r="C8033" i="1"/>
  <c r="C8032" i="1"/>
  <c r="C8031" i="1"/>
  <c r="C8030" i="1"/>
  <c r="C8029" i="1"/>
  <c r="C8028" i="1"/>
  <c r="C8027" i="1"/>
  <c r="C8026" i="1"/>
  <c r="C8025" i="1"/>
  <c r="C8024" i="1"/>
  <c r="C8023" i="1"/>
  <c r="C8022" i="1"/>
  <c r="C8021" i="1"/>
  <c r="C8020" i="1"/>
  <c r="C8018" i="1"/>
  <c r="C8016" i="1"/>
  <c r="C8015" i="1"/>
  <c r="C8014" i="1"/>
  <c r="C8013" i="1"/>
  <c r="C8012" i="1"/>
  <c r="C8011" i="1"/>
  <c r="C8010" i="1"/>
  <c r="C8009" i="1"/>
  <c r="C8008" i="1"/>
  <c r="C8007" i="1"/>
  <c r="C8006" i="1"/>
  <c r="C8005" i="1"/>
  <c r="C8003" i="1"/>
  <c r="C8001" i="1"/>
  <c r="C8000" i="1"/>
  <c r="C7999" i="1"/>
  <c r="C7998" i="1"/>
  <c r="C7997" i="1"/>
  <c r="C7996" i="1"/>
  <c r="C7995" i="1"/>
  <c r="C7994" i="1"/>
  <c r="C7993" i="1"/>
  <c r="C7992" i="1"/>
  <c r="C7991" i="1"/>
  <c r="C7990" i="1"/>
  <c r="C7989" i="1"/>
  <c r="C7988" i="1"/>
  <c r="C7987" i="1"/>
  <c r="C7986" i="1"/>
  <c r="C7984" i="1"/>
  <c r="C7982" i="1"/>
  <c r="C7981" i="1"/>
  <c r="C7980" i="1"/>
  <c r="C7979" i="1"/>
  <c r="C7978" i="1"/>
  <c r="C7977" i="1"/>
  <c r="C7976" i="1"/>
  <c r="C7975" i="1"/>
  <c r="C7974" i="1"/>
  <c r="C7973" i="1"/>
  <c r="C7972" i="1"/>
  <c r="C7971" i="1"/>
  <c r="C7969" i="1"/>
  <c r="C7967" i="1"/>
  <c r="C7966" i="1"/>
  <c r="C7965" i="1"/>
  <c r="C7964" i="1"/>
  <c r="C7963" i="1"/>
  <c r="C7962" i="1"/>
  <c r="C7961" i="1"/>
  <c r="C7960" i="1"/>
  <c r="C7959" i="1"/>
  <c r="C7958" i="1"/>
  <c r="C7957" i="1"/>
  <c r="C7956" i="1"/>
  <c r="C7955" i="1"/>
  <c r="C7954" i="1"/>
  <c r="C7953" i="1"/>
  <c r="C7952" i="1"/>
  <c r="C7950" i="1"/>
  <c r="C7948" i="1"/>
  <c r="C7947" i="1"/>
  <c r="C7946" i="1"/>
  <c r="C7945" i="1"/>
  <c r="C7944" i="1"/>
  <c r="C7943" i="1"/>
  <c r="C7942" i="1"/>
  <c r="C7941" i="1"/>
  <c r="C7940" i="1"/>
  <c r="C7939" i="1"/>
  <c r="C7938" i="1"/>
  <c r="C7937" i="1"/>
  <c r="C7935" i="1"/>
  <c r="C7933" i="1"/>
  <c r="C7932" i="1"/>
  <c r="C7931" i="1"/>
  <c r="C7930" i="1"/>
  <c r="C7929" i="1"/>
  <c r="C7928" i="1"/>
  <c r="C7927" i="1"/>
  <c r="C7926" i="1"/>
  <c r="C7925" i="1"/>
  <c r="C7924" i="1"/>
  <c r="C7923" i="1"/>
  <c r="C7922" i="1"/>
  <c r="C7921" i="1"/>
  <c r="C7920" i="1"/>
  <c r="C7919" i="1"/>
  <c r="C7918" i="1"/>
  <c r="C7916" i="1"/>
  <c r="C7914" i="1"/>
  <c r="C7913" i="1"/>
  <c r="C7912" i="1"/>
  <c r="C7911" i="1"/>
  <c r="C7910" i="1"/>
  <c r="C7909" i="1"/>
  <c r="C7908" i="1"/>
  <c r="C7907" i="1"/>
  <c r="C7906" i="1"/>
  <c r="C7905" i="1"/>
  <c r="C7904" i="1"/>
  <c r="C7903" i="1"/>
  <c r="C7901" i="1"/>
  <c r="C7899" i="1"/>
  <c r="C7898" i="1"/>
  <c r="C7897" i="1"/>
  <c r="C7896" i="1"/>
  <c r="C7895" i="1"/>
  <c r="C7894" i="1"/>
  <c r="C7893" i="1"/>
  <c r="C7892" i="1"/>
  <c r="C7891" i="1"/>
  <c r="C7890" i="1"/>
  <c r="C7889" i="1"/>
  <c r="C7888" i="1"/>
  <c r="C7887" i="1"/>
  <c r="C7886" i="1"/>
  <c r="C7885" i="1"/>
  <c r="C7884" i="1"/>
  <c r="C7882" i="1"/>
  <c r="C7880" i="1"/>
  <c r="C7879" i="1"/>
  <c r="C7878" i="1"/>
  <c r="C7877" i="1"/>
  <c r="C7876" i="1"/>
  <c r="C7875" i="1"/>
  <c r="C7874" i="1"/>
  <c r="C7873" i="1"/>
  <c r="C7872" i="1"/>
  <c r="C7871" i="1"/>
  <c r="C7870" i="1"/>
  <c r="C7869" i="1"/>
  <c r="C7867" i="1"/>
  <c r="C7865" i="1"/>
  <c r="C7864" i="1"/>
  <c r="C7863" i="1"/>
  <c r="C7862" i="1"/>
  <c r="C7861" i="1"/>
  <c r="C7860" i="1"/>
  <c r="C7859" i="1"/>
  <c r="C7858" i="1"/>
  <c r="C7857" i="1"/>
  <c r="C7856" i="1"/>
  <c r="C7855" i="1"/>
  <c r="C7854" i="1"/>
  <c r="C7853" i="1"/>
  <c r="C7852" i="1"/>
  <c r="C7851" i="1"/>
  <c r="C7850" i="1"/>
  <c r="C7848" i="1"/>
  <c r="C7846" i="1"/>
  <c r="C7845" i="1"/>
  <c r="C7844" i="1"/>
  <c r="C7843" i="1"/>
  <c r="C7842" i="1"/>
  <c r="C7841" i="1"/>
  <c r="C7840" i="1"/>
  <c r="C7839" i="1"/>
  <c r="C7838" i="1"/>
  <c r="C7837" i="1"/>
  <c r="C7836" i="1"/>
  <c r="C7835" i="1"/>
  <c r="C7833" i="1"/>
  <c r="C7831" i="1"/>
  <c r="C7830" i="1"/>
  <c r="C7829" i="1"/>
  <c r="C7828" i="1"/>
  <c r="C7827" i="1"/>
  <c r="C7826" i="1"/>
  <c r="C7825" i="1"/>
  <c r="C7824" i="1"/>
  <c r="C7823" i="1"/>
  <c r="C7822" i="1"/>
  <c r="C7821" i="1"/>
  <c r="C7820" i="1"/>
  <c r="C7819" i="1"/>
  <c r="C7818" i="1"/>
  <c r="C7817" i="1"/>
  <c r="C7816" i="1"/>
  <c r="C7814" i="1"/>
  <c r="C7812" i="1"/>
  <c r="C7811" i="1"/>
  <c r="C7810" i="1"/>
  <c r="C7809" i="1"/>
  <c r="C7808" i="1"/>
  <c r="C7807" i="1"/>
  <c r="C7806" i="1"/>
  <c r="C7805" i="1"/>
  <c r="C7804" i="1"/>
  <c r="C7803" i="1"/>
  <c r="C7802" i="1"/>
  <c r="C7801" i="1"/>
  <c r="C7799" i="1"/>
  <c r="C7797" i="1"/>
  <c r="C7796" i="1"/>
  <c r="C7795" i="1"/>
  <c r="C7794" i="1"/>
  <c r="C7793" i="1"/>
  <c r="C7792" i="1"/>
  <c r="C7791" i="1"/>
  <c r="C7790" i="1"/>
  <c r="C7789" i="1"/>
  <c r="C7788" i="1"/>
  <c r="C7787" i="1"/>
  <c r="C7786" i="1"/>
  <c r="C7785" i="1"/>
  <c r="C7784" i="1"/>
  <c r="C7783" i="1"/>
  <c r="C7782" i="1"/>
  <c r="C7780" i="1"/>
  <c r="C7778" i="1"/>
  <c r="C7777" i="1"/>
  <c r="C7776" i="1"/>
  <c r="C7775" i="1"/>
  <c r="C7774" i="1"/>
  <c r="C7773" i="1"/>
  <c r="C7772" i="1"/>
  <c r="C7771" i="1"/>
  <c r="C7770" i="1"/>
  <c r="C7769" i="1"/>
  <c r="C7768" i="1"/>
  <c r="C7767" i="1"/>
  <c r="C7765" i="1"/>
  <c r="C7763" i="1"/>
  <c r="C7762" i="1"/>
  <c r="C7761" i="1"/>
  <c r="C7760" i="1"/>
  <c r="C7759" i="1"/>
  <c r="C7758" i="1"/>
  <c r="C7757" i="1"/>
  <c r="C7756" i="1"/>
  <c r="C7755" i="1"/>
  <c r="C7754" i="1"/>
  <c r="C7753" i="1"/>
  <c r="C7752" i="1"/>
  <c r="C7751" i="1"/>
  <c r="C7750" i="1"/>
  <c r="C7749" i="1"/>
  <c r="C7748" i="1"/>
  <c r="C7746" i="1"/>
  <c r="C7744" i="1"/>
  <c r="C7743" i="1"/>
  <c r="C7742" i="1"/>
  <c r="C7741" i="1"/>
  <c r="C7740" i="1"/>
  <c r="C7739" i="1"/>
  <c r="C7738" i="1"/>
  <c r="C7737" i="1"/>
  <c r="C7736" i="1"/>
  <c r="C7735" i="1"/>
  <c r="C7734" i="1"/>
  <c r="C7733" i="1"/>
  <c r="C7731" i="1"/>
  <c r="C7729" i="1"/>
  <c r="C7728" i="1"/>
  <c r="C7727" i="1"/>
  <c r="C7726" i="1"/>
  <c r="C7725" i="1"/>
  <c r="C7724" i="1"/>
  <c r="C7723" i="1"/>
  <c r="C7722" i="1"/>
  <c r="C7721" i="1"/>
  <c r="C7720" i="1"/>
  <c r="C7719" i="1"/>
  <c r="C7718" i="1"/>
  <c r="C7717" i="1"/>
  <c r="C7716" i="1"/>
  <c r="C7715" i="1"/>
  <c r="C7714" i="1"/>
  <c r="C7712" i="1"/>
  <c r="C7710" i="1"/>
  <c r="C7709" i="1"/>
  <c r="C7708" i="1"/>
  <c r="C7707" i="1"/>
  <c r="C7706" i="1"/>
  <c r="C7705" i="1"/>
  <c r="C7704" i="1"/>
  <c r="C7703" i="1"/>
  <c r="C7702" i="1"/>
  <c r="C7701" i="1"/>
  <c r="C7700" i="1"/>
  <c r="C7699" i="1"/>
  <c r="C7697" i="1"/>
  <c r="C7695" i="1"/>
  <c r="C7694" i="1"/>
  <c r="C7693" i="1"/>
  <c r="C7692" i="1"/>
  <c r="C7691" i="1"/>
  <c r="C7690" i="1"/>
  <c r="C7689" i="1"/>
  <c r="C7688" i="1"/>
  <c r="C7687" i="1"/>
  <c r="C7686" i="1"/>
  <c r="C7685" i="1"/>
  <c r="C7684" i="1"/>
  <c r="C7683" i="1"/>
  <c r="C7682" i="1"/>
  <c r="C7681" i="1"/>
  <c r="C7680" i="1"/>
  <c r="C7678" i="1"/>
  <c r="C7676" i="1"/>
  <c r="C7675" i="1"/>
  <c r="C7674" i="1"/>
  <c r="C7673" i="1"/>
  <c r="C7672" i="1"/>
  <c r="C7671" i="1"/>
  <c r="C7670" i="1"/>
  <c r="C7669" i="1"/>
  <c r="C7668" i="1"/>
  <c r="C7667" i="1"/>
  <c r="C7666" i="1"/>
  <c r="C7665" i="1"/>
  <c r="C7663" i="1"/>
  <c r="C7661" i="1"/>
  <c r="C7660" i="1"/>
  <c r="C7659" i="1"/>
  <c r="C7658" i="1"/>
  <c r="C7657" i="1"/>
  <c r="C7656" i="1"/>
  <c r="C7655" i="1"/>
  <c r="C7654" i="1"/>
  <c r="C7653" i="1"/>
  <c r="C7652" i="1"/>
  <c r="C7651" i="1"/>
  <c r="C7650" i="1"/>
  <c r="C7649" i="1"/>
  <c r="C7648" i="1"/>
  <c r="C7647" i="1"/>
  <c r="C7646" i="1"/>
  <c r="C7644" i="1"/>
  <c r="C7642" i="1"/>
  <c r="C7641" i="1"/>
  <c r="C7640" i="1"/>
  <c r="C7639" i="1"/>
  <c r="C7638" i="1"/>
  <c r="C7637" i="1"/>
  <c r="C7636" i="1"/>
  <c r="C7635" i="1"/>
  <c r="C7634" i="1"/>
  <c r="C7633" i="1"/>
  <c r="C7632" i="1"/>
  <c r="C7630" i="1"/>
  <c r="C7628" i="1"/>
  <c r="C7627" i="1"/>
  <c r="C7626" i="1"/>
  <c r="C7625" i="1"/>
  <c r="C7624" i="1"/>
  <c r="C7622" i="1"/>
  <c r="C7620" i="1"/>
  <c r="C7619" i="1"/>
  <c r="C7618" i="1"/>
  <c r="C7617" i="1"/>
  <c r="C7616" i="1"/>
  <c r="C7615" i="1"/>
  <c r="C7614" i="1"/>
  <c r="C7613" i="1"/>
  <c r="C7612" i="1"/>
  <c r="C7611" i="1"/>
  <c r="C7610" i="1"/>
  <c r="C7609" i="1"/>
  <c r="C7608" i="1"/>
  <c r="C7607" i="1"/>
  <c r="C7606" i="1"/>
  <c r="C7605" i="1"/>
  <c r="C7604" i="1"/>
  <c r="C7603" i="1"/>
  <c r="C7602" i="1"/>
  <c r="C7601" i="1"/>
  <c r="C7599" i="1"/>
  <c r="C7597" i="1"/>
  <c r="C7596" i="1"/>
  <c r="C7595" i="1"/>
  <c r="C7594" i="1"/>
  <c r="C7593" i="1"/>
  <c r="C7592" i="1"/>
  <c r="C7591" i="1"/>
  <c r="C7590" i="1"/>
  <c r="C7589" i="1"/>
  <c r="C7588" i="1"/>
  <c r="C7587" i="1"/>
  <c r="C7585" i="1"/>
  <c r="C7583" i="1"/>
  <c r="C7582" i="1"/>
  <c r="C7581" i="1"/>
  <c r="C7580" i="1"/>
  <c r="C7579" i="1"/>
  <c r="C7578" i="1"/>
  <c r="C7577" i="1"/>
  <c r="C7576" i="1"/>
  <c r="C7575" i="1"/>
  <c r="C7574" i="1"/>
  <c r="C7573" i="1"/>
  <c r="C7572" i="1"/>
  <c r="C7571" i="1"/>
  <c r="C7570" i="1"/>
  <c r="C7569" i="1"/>
  <c r="C7568" i="1"/>
  <c r="C7567" i="1"/>
  <c r="C7565" i="1"/>
  <c r="C7563" i="1"/>
  <c r="C7562" i="1"/>
  <c r="C7561" i="1"/>
  <c r="C7560" i="1"/>
  <c r="C7559" i="1"/>
  <c r="C7557" i="1"/>
  <c r="C7555" i="1"/>
  <c r="C7554" i="1"/>
  <c r="C7553" i="1"/>
  <c r="C7552" i="1"/>
  <c r="C7551" i="1"/>
  <c r="C7550" i="1"/>
  <c r="C7549" i="1"/>
  <c r="C7548" i="1"/>
  <c r="C7547" i="1"/>
  <c r="C7546" i="1"/>
  <c r="C7545" i="1"/>
  <c r="C7543" i="1"/>
  <c r="C7541" i="1"/>
  <c r="C7540" i="1"/>
  <c r="C7539" i="1"/>
  <c r="C7538" i="1"/>
  <c r="C7537" i="1"/>
  <c r="C7535" i="1"/>
  <c r="C7533" i="1"/>
  <c r="C7532" i="1"/>
  <c r="C7531" i="1"/>
  <c r="C7530" i="1"/>
  <c r="C7529" i="1"/>
  <c r="C7528" i="1"/>
  <c r="C7527" i="1"/>
  <c r="C7526" i="1"/>
  <c r="C7525" i="1"/>
  <c r="C7524" i="1"/>
  <c r="C7523" i="1"/>
  <c r="C7521" i="1"/>
  <c r="C7519" i="1"/>
  <c r="C7518" i="1"/>
  <c r="C7517" i="1"/>
  <c r="C7516" i="1"/>
  <c r="C7515" i="1"/>
  <c r="C7513" i="1"/>
  <c r="C7511" i="1"/>
  <c r="C7510" i="1"/>
  <c r="C7509" i="1"/>
  <c r="C7508" i="1"/>
  <c r="C7507" i="1"/>
  <c r="C7506" i="1"/>
  <c r="C7505" i="1"/>
  <c r="C7504" i="1"/>
  <c r="C7503" i="1"/>
  <c r="C7502" i="1"/>
  <c r="C7501" i="1"/>
  <c r="C7499" i="1"/>
  <c r="C7497" i="1"/>
  <c r="C7496" i="1"/>
  <c r="C7495" i="1"/>
  <c r="C7494" i="1"/>
  <c r="C7493" i="1"/>
  <c r="C7491" i="1"/>
  <c r="C7489" i="1"/>
  <c r="C7488" i="1"/>
  <c r="C7487" i="1"/>
  <c r="C7486" i="1"/>
  <c r="C7485" i="1"/>
  <c r="C7484" i="1"/>
  <c r="C7483" i="1"/>
  <c r="C7482" i="1"/>
  <c r="C7481" i="1"/>
  <c r="C7480" i="1"/>
  <c r="C7479" i="1"/>
  <c r="C7477" i="1"/>
  <c r="C7475" i="1"/>
  <c r="C7474" i="1"/>
  <c r="C7473" i="1"/>
  <c r="C7472" i="1"/>
  <c r="C7471" i="1"/>
  <c r="C7469" i="1"/>
  <c r="C7467" i="1"/>
  <c r="C7466" i="1"/>
  <c r="C7465" i="1"/>
  <c r="C7464" i="1"/>
  <c r="C7463" i="1"/>
  <c r="C7462" i="1"/>
  <c r="C7461" i="1"/>
  <c r="C7460" i="1"/>
  <c r="C7459" i="1"/>
  <c r="C7458" i="1"/>
  <c r="C7457" i="1"/>
  <c r="C7455" i="1"/>
  <c r="C7453" i="1"/>
  <c r="C7452" i="1"/>
  <c r="C7451" i="1"/>
  <c r="C7450" i="1"/>
  <c r="C7449" i="1"/>
  <c r="C7447" i="1"/>
  <c r="C7445" i="1"/>
  <c r="C7444" i="1"/>
  <c r="C7443" i="1"/>
  <c r="C7442" i="1"/>
  <c r="C7441" i="1"/>
  <c r="C7440" i="1"/>
  <c r="C7439" i="1"/>
  <c r="C7438" i="1"/>
  <c r="C7437" i="1"/>
  <c r="C7436" i="1"/>
  <c r="C7435" i="1"/>
  <c r="C7433" i="1"/>
  <c r="C7431" i="1"/>
  <c r="C7430" i="1"/>
  <c r="C7429" i="1"/>
  <c r="C7428" i="1"/>
  <c r="C7427" i="1"/>
  <c r="C7425" i="1"/>
  <c r="C7423" i="1"/>
  <c r="C7422" i="1"/>
  <c r="C7421" i="1"/>
  <c r="C7420" i="1"/>
  <c r="C7419" i="1"/>
  <c r="C7418" i="1"/>
  <c r="C7417" i="1"/>
  <c r="C7416" i="1"/>
  <c r="C7415" i="1"/>
  <c r="C7414" i="1"/>
  <c r="C7413" i="1"/>
  <c r="C7411" i="1"/>
  <c r="C7409" i="1"/>
  <c r="C7408" i="1"/>
  <c r="C7407" i="1"/>
  <c r="C7406" i="1"/>
  <c r="C7405" i="1"/>
  <c r="C7403" i="1"/>
  <c r="C7401" i="1"/>
  <c r="C7400" i="1"/>
  <c r="C7399" i="1"/>
  <c r="C7398" i="1"/>
  <c r="C7397" i="1"/>
  <c r="C7396" i="1"/>
  <c r="C7395" i="1"/>
  <c r="C7394" i="1"/>
  <c r="C7393" i="1"/>
  <c r="C7392" i="1"/>
  <c r="C7391" i="1"/>
  <c r="C7389" i="1"/>
  <c r="C7387" i="1"/>
  <c r="C7386" i="1"/>
  <c r="C7385" i="1"/>
  <c r="C7384" i="1"/>
  <c r="C7383" i="1"/>
  <c r="C7381" i="1"/>
  <c r="C7379" i="1"/>
  <c r="C7378" i="1"/>
  <c r="C7377" i="1"/>
  <c r="C7376" i="1"/>
  <c r="C7375" i="1"/>
  <c r="C7374" i="1"/>
  <c r="C7373" i="1"/>
  <c r="C7372" i="1"/>
  <c r="C7371" i="1"/>
  <c r="C7370" i="1"/>
  <c r="C7369" i="1"/>
  <c r="C7367" i="1"/>
  <c r="C7365" i="1"/>
  <c r="C7364" i="1"/>
  <c r="C7363" i="1"/>
  <c r="C7362" i="1"/>
  <c r="C7361" i="1"/>
  <c r="C7359" i="1"/>
  <c r="C7357" i="1"/>
  <c r="C7356" i="1"/>
  <c r="C7355" i="1"/>
  <c r="C7354" i="1"/>
  <c r="C7353" i="1"/>
  <c r="C7352" i="1"/>
  <c r="C7351" i="1"/>
  <c r="C7350" i="1"/>
  <c r="C7349" i="1"/>
  <c r="C7348" i="1"/>
  <c r="C7347" i="1"/>
  <c r="C7345" i="1"/>
  <c r="C7343" i="1"/>
  <c r="C7342" i="1"/>
  <c r="C7341" i="1"/>
  <c r="C7340" i="1"/>
  <c r="C7339" i="1"/>
  <c r="C7337" i="1"/>
  <c r="C7335" i="1"/>
  <c r="C7334" i="1"/>
  <c r="C7333" i="1"/>
  <c r="C7332" i="1"/>
  <c r="C7331" i="1"/>
  <c r="C7330" i="1"/>
  <c r="C7329" i="1"/>
  <c r="C7328" i="1"/>
  <c r="C7327" i="1"/>
  <c r="C7326" i="1"/>
  <c r="C7325" i="1"/>
  <c r="C7323" i="1"/>
  <c r="C7321" i="1"/>
  <c r="C7320" i="1"/>
  <c r="C7319" i="1"/>
  <c r="C7318" i="1"/>
  <c r="C7317" i="1"/>
  <c r="C7315" i="1"/>
  <c r="C7313" i="1"/>
  <c r="C7312" i="1"/>
  <c r="C7311" i="1"/>
  <c r="C7310" i="1"/>
  <c r="C7309" i="1"/>
  <c r="C7308" i="1"/>
  <c r="C7307" i="1"/>
  <c r="C7306" i="1"/>
  <c r="C7305" i="1"/>
  <c r="C7304" i="1"/>
  <c r="C7303" i="1"/>
  <c r="C7301" i="1"/>
  <c r="C7299" i="1"/>
  <c r="C7298" i="1"/>
  <c r="C7297" i="1"/>
  <c r="C7296" i="1"/>
  <c r="C7295" i="1"/>
  <c r="C7293" i="1"/>
  <c r="C7291" i="1"/>
  <c r="C7290" i="1"/>
  <c r="C7289" i="1"/>
  <c r="C7288" i="1"/>
  <c r="C7287" i="1"/>
  <c r="C7286" i="1"/>
  <c r="C7285" i="1"/>
  <c r="C7284" i="1"/>
  <c r="C7283" i="1"/>
  <c r="C7282" i="1"/>
  <c r="C7281" i="1"/>
  <c r="C7279" i="1"/>
  <c r="C7277" i="1"/>
  <c r="C7276" i="1"/>
  <c r="C7275" i="1"/>
  <c r="C7274" i="1"/>
  <c r="C7273" i="1"/>
  <c r="C7271" i="1"/>
  <c r="C7269" i="1"/>
  <c r="C7268" i="1"/>
  <c r="C7267" i="1"/>
  <c r="C7266" i="1"/>
  <c r="C7265" i="1"/>
  <c r="C7264" i="1"/>
  <c r="C7263" i="1"/>
  <c r="C7262" i="1"/>
  <c r="C7261" i="1"/>
  <c r="C7260" i="1"/>
  <c r="C7259" i="1"/>
  <c r="C7257" i="1"/>
  <c r="C7255" i="1"/>
  <c r="C7254" i="1"/>
  <c r="C7253" i="1"/>
  <c r="C7252" i="1"/>
  <c r="C7251" i="1"/>
  <c r="C7249" i="1"/>
  <c r="C7247" i="1"/>
  <c r="C7246" i="1"/>
  <c r="C7245" i="1"/>
  <c r="C7244" i="1"/>
  <c r="C7243" i="1"/>
  <c r="C7242" i="1"/>
  <c r="C7241" i="1"/>
  <c r="C7240" i="1"/>
  <c r="C7239" i="1"/>
  <c r="C7238" i="1"/>
  <c r="C7237" i="1"/>
  <c r="C7235" i="1"/>
  <c r="C7233" i="1"/>
  <c r="C7232" i="1"/>
  <c r="C7231" i="1"/>
  <c r="C7230" i="1"/>
  <c r="C7229" i="1"/>
  <c r="C7227" i="1"/>
  <c r="C7225" i="1"/>
  <c r="C7224" i="1"/>
  <c r="C7223" i="1"/>
  <c r="C7222" i="1"/>
  <c r="C7221" i="1"/>
  <c r="C7220" i="1"/>
  <c r="C7219" i="1"/>
  <c r="C7218" i="1"/>
  <c r="C7217" i="1"/>
  <c r="C7216" i="1"/>
  <c r="C7215" i="1"/>
  <c r="C7213" i="1"/>
  <c r="C7211" i="1"/>
  <c r="C7210" i="1"/>
  <c r="C7209" i="1"/>
  <c r="C7208" i="1"/>
  <c r="C7207" i="1"/>
  <c r="C7205" i="1"/>
  <c r="C7203" i="1"/>
  <c r="C7202" i="1"/>
  <c r="C7201" i="1"/>
  <c r="C7200" i="1"/>
  <c r="C7199" i="1"/>
  <c r="C7198" i="1"/>
  <c r="C7197" i="1"/>
  <c r="C7196" i="1"/>
  <c r="C7195" i="1"/>
  <c r="C7194" i="1"/>
  <c r="C7193" i="1"/>
  <c r="C7191" i="1"/>
  <c r="C7189" i="1"/>
  <c r="C7188" i="1"/>
  <c r="C7187" i="1"/>
  <c r="C7186" i="1"/>
  <c r="C7185" i="1"/>
  <c r="C7183" i="1"/>
  <c r="C7181" i="1"/>
  <c r="C7180" i="1"/>
  <c r="C7179" i="1"/>
  <c r="C7178" i="1"/>
  <c r="C7177" i="1"/>
  <c r="C7176" i="1"/>
  <c r="C7175" i="1"/>
  <c r="C7174" i="1"/>
  <c r="C7173" i="1"/>
  <c r="C7172" i="1"/>
  <c r="C7170" i="1"/>
  <c r="C7168" i="1"/>
  <c r="C7167" i="1"/>
  <c r="C7166" i="1"/>
  <c r="C7165" i="1"/>
  <c r="C7164" i="1"/>
  <c r="C7162" i="1"/>
  <c r="C7160" i="1"/>
  <c r="C7159" i="1"/>
  <c r="C7158" i="1"/>
  <c r="C7157" i="1"/>
  <c r="C7156" i="1"/>
  <c r="C7155" i="1"/>
  <c r="C7154" i="1"/>
  <c r="C7153" i="1"/>
  <c r="C7152" i="1"/>
  <c r="C7150" i="1"/>
  <c r="C7148" i="1"/>
  <c r="C7147" i="1"/>
  <c r="C7146" i="1"/>
  <c r="C7145" i="1"/>
  <c r="C7144" i="1"/>
  <c r="C7142" i="1"/>
  <c r="C7140" i="1"/>
  <c r="C7139" i="1"/>
  <c r="C7138" i="1"/>
  <c r="C7137" i="1"/>
  <c r="C7136" i="1"/>
  <c r="C7135" i="1"/>
  <c r="C7134" i="1"/>
  <c r="C7133" i="1"/>
  <c r="C7131" i="1"/>
  <c r="C7129" i="1"/>
  <c r="C7128" i="1"/>
  <c r="C7127" i="1"/>
  <c r="C7126" i="1"/>
  <c r="C7125" i="1"/>
  <c r="C7124" i="1"/>
  <c r="C7123" i="1"/>
  <c r="C7122" i="1"/>
  <c r="C7121" i="1"/>
  <c r="C7120" i="1"/>
  <c r="C7119" i="1"/>
  <c r="C7118" i="1"/>
  <c r="C7117" i="1"/>
  <c r="C7116" i="1"/>
  <c r="C7115" i="1"/>
  <c r="C7114" i="1"/>
  <c r="C7112" i="1"/>
  <c r="C7110" i="1"/>
  <c r="C7109" i="1"/>
  <c r="C7108" i="1"/>
  <c r="C7107" i="1"/>
  <c r="C7106" i="1"/>
  <c r="C7105" i="1"/>
  <c r="C7104" i="1"/>
  <c r="C7103" i="1"/>
  <c r="C7102" i="1"/>
  <c r="C7101" i="1"/>
  <c r="C7100" i="1"/>
  <c r="C7099" i="1"/>
  <c r="C7097" i="1"/>
  <c r="C7095" i="1"/>
  <c r="C7094" i="1"/>
  <c r="C7093" i="1"/>
  <c r="C7092" i="1"/>
  <c r="C7091" i="1"/>
  <c r="C7090" i="1"/>
  <c r="C7089" i="1"/>
  <c r="C7088" i="1"/>
  <c r="C7087" i="1"/>
  <c r="C7086" i="1"/>
  <c r="C7085" i="1"/>
  <c r="C7084" i="1"/>
  <c r="C7083" i="1"/>
  <c r="C7082" i="1"/>
  <c r="C7081" i="1"/>
  <c r="C7080" i="1"/>
  <c r="C7078" i="1"/>
  <c r="C7076" i="1"/>
  <c r="C7075" i="1"/>
  <c r="C7074" i="1"/>
  <c r="C7073" i="1"/>
  <c r="C7072" i="1"/>
  <c r="C7071" i="1"/>
  <c r="C7070" i="1"/>
  <c r="C7069" i="1"/>
  <c r="C7068" i="1"/>
  <c r="C7067" i="1"/>
  <c r="C7066" i="1"/>
  <c r="C7065" i="1"/>
  <c r="C7063" i="1"/>
  <c r="C7061" i="1"/>
  <c r="C7060" i="1"/>
  <c r="C7059" i="1"/>
  <c r="C7058" i="1"/>
  <c r="C7057" i="1"/>
  <c r="C7056" i="1"/>
  <c r="C7055" i="1"/>
  <c r="C7054" i="1"/>
  <c r="C7053" i="1"/>
  <c r="C7052" i="1"/>
  <c r="C7051" i="1"/>
  <c r="C7050" i="1"/>
  <c r="C7049" i="1"/>
  <c r="C7048" i="1"/>
  <c r="C7047" i="1"/>
  <c r="C7046" i="1"/>
  <c r="C7044" i="1"/>
  <c r="C7042" i="1"/>
  <c r="C7041" i="1"/>
  <c r="C7040" i="1"/>
  <c r="C7039" i="1"/>
  <c r="C7038" i="1"/>
  <c r="C7037" i="1"/>
  <c r="C7036" i="1"/>
  <c r="C7035" i="1"/>
  <c r="C7034" i="1"/>
  <c r="C7033" i="1"/>
  <c r="C7032" i="1"/>
  <c r="C7031" i="1"/>
  <c r="C7029" i="1"/>
  <c r="C7027" i="1"/>
  <c r="C7026" i="1"/>
  <c r="C7025" i="1"/>
  <c r="C7024" i="1"/>
  <c r="C7023" i="1"/>
  <c r="C7022" i="1"/>
  <c r="C7021" i="1"/>
  <c r="C7020" i="1"/>
  <c r="C7019" i="1"/>
  <c r="C7018" i="1"/>
  <c r="C7017" i="1"/>
  <c r="C7016" i="1"/>
  <c r="C7015" i="1"/>
  <c r="C7014" i="1"/>
  <c r="C7013" i="1"/>
  <c r="C7012" i="1"/>
  <c r="C7010" i="1"/>
  <c r="C7008" i="1"/>
  <c r="C7007" i="1"/>
  <c r="C7006" i="1"/>
  <c r="C7005" i="1"/>
  <c r="C7004" i="1"/>
  <c r="C7003" i="1"/>
  <c r="C7002" i="1"/>
  <c r="C7001" i="1"/>
  <c r="C7000" i="1"/>
  <c r="C6999" i="1"/>
  <c r="C6998" i="1"/>
  <c r="C6997" i="1"/>
  <c r="C6995" i="1"/>
  <c r="C6993" i="1"/>
  <c r="C6992" i="1"/>
  <c r="C6991" i="1"/>
  <c r="C6990" i="1"/>
  <c r="C6989" i="1"/>
  <c r="C6988" i="1"/>
  <c r="C6987" i="1"/>
  <c r="C6986" i="1"/>
  <c r="C6985" i="1"/>
  <c r="C6984" i="1"/>
  <c r="C6983" i="1"/>
  <c r="C6982" i="1"/>
  <c r="C6981" i="1"/>
  <c r="C6980" i="1"/>
  <c r="C6979" i="1"/>
  <c r="C6978" i="1"/>
  <c r="C6976" i="1"/>
  <c r="C6974" i="1"/>
  <c r="C6973" i="1"/>
  <c r="C6972" i="1"/>
  <c r="C6971" i="1"/>
  <c r="C6970" i="1"/>
  <c r="C6969" i="1"/>
  <c r="C6968" i="1"/>
  <c r="C6967" i="1"/>
  <c r="C6966" i="1"/>
  <c r="C6965" i="1"/>
  <c r="C6964" i="1"/>
  <c r="C6963" i="1"/>
  <c r="C6961" i="1"/>
  <c r="C6959" i="1"/>
  <c r="C6958" i="1"/>
  <c r="C6957" i="1"/>
  <c r="C6956" i="1"/>
  <c r="C6955" i="1"/>
  <c r="C6954" i="1"/>
  <c r="C6953" i="1"/>
  <c r="C6952" i="1"/>
  <c r="C6951" i="1"/>
  <c r="C6950" i="1"/>
  <c r="C6949" i="1"/>
  <c r="C6948" i="1"/>
  <c r="C6947" i="1"/>
  <c r="C6946" i="1"/>
  <c r="C6945" i="1"/>
  <c r="C6944" i="1"/>
  <c r="C6942" i="1"/>
  <c r="C6940" i="1"/>
  <c r="C6939" i="1"/>
  <c r="C6938" i="1"/>
  <c r="C6937" i="1"/>
  <c r="C6936" i="1"/>
  <c r="C6935" i="1"/>
  <c r="C6934" i="1"/>
  <c r="C6933" i="1"/>
  <c r="C6932" i="1"/>
  <c r="C6931" i="1"/>
  <c r="C6930" i="1"/>
  <c r="C6929" i="1"/>
  <c r="C6927" i="1"/>
  <c r="C6925" i="1"/>
  <c r="C6924" i="1"/>
  <c r="C6923" i="1"/>
  <c r="C6922" i="1"/>
  <c r="C6921" i="1"/>
  <c r="C6920" i="1"/>
  <c r="C6919" i="1"/>
  <c r="C6918" i="1"/>
  <c r="C6917" i="1"/>
  <c r="C6916" i="1"/>
  <c r="C6915" i="1"/>
  <c r="C6914" i="1"/>
  <c r="C6913" i="1"/>
  <c r="C6912" i="1"/>
  <c r="C6911" i="1"/>
  <c r="C6910" i="1"/>
  <c r="C6908" i="1"/>
  <c r="C6906" i="1"/>
  <c r="C6905" i="1"/>
  <c r="C6904" i="1"/>
  <c r="C6903" i="1"/>
  <c r="C6902" i="1"/>
  <c r="C6901" i="1"/>
  <c r="C6900" i="1"/>
  <c r="C6899" i="1"/>
  <c r="C6898" i="1"/>
  <c r="C6897" i="1"/>
  <c r="C6896" i="1"/>
  <c r="C6895" i="1"/>
  <c r="C6893" i="1"/>
  <c r="C6891" i="1"/>
  <c r="C6890" i="1"/>
  <c r="C6889" i="1"/>
  <c r="C6888" i="1"/>
  <c r="C6887" i="1"/>
  <c r="C6886" i="1"/>
  <c r="C6885" i="1"/>
  <c r="C6884" i="1"/>
  <c r="C6883" i="1"/>
  <c r="C6882" i="1"/>
  <c r="C6881" i="1"/>
  <c r="C6880" i="1"/>
  <c r="C6879" i="1"/>
  <c r="C6878" i="1"/>
  <c r="C6877" i="1"/>
  <c r="C6876" i="1"/>
  <c r="C6874" i="1"/>
  <c r="C6872" i="1"/>
  <c r="C6871" i="1"/>
  <c r="C6870" i="1"/>
  <c r="C6869" i="1"/>
  <c r="C6868" i="1"/>
  <c r="C6867" i="1"/>
  <c r="C6866" i="1"/>
  <c r="C6865" i="1"/>
  <c r="C6864" i="1"/>
  <c r="C6863" i="1"/>
  <c r="C6862" i="1"/>
  <c r="C6861" i="1"/>
  <c r="C6859" i="1"/>
  <c r="C6857" i="1"/>
  <c r="C6856" i="1"/>
  <c r="C6855" i="1"/>
  <c r="C6854" i="1"/>
  <c r="C6853" i="1"/>
  <c r="C6852" i="1"/>
  <c r="C6851" i="1"/>
  <c r="C6850" i="1"/>
  <c r="C6849" i="1"/>
  <c r="C6848" i="1"/>
  <c r="C6847" i="1"/>
  <c r="C6846" i="1"/>
  <c r="C6845" i="1"/>
  <c r="C6844" i="1"/>
  <c r="C6843" i="1"/>
  <c r="C6842" i="1"/>
  <c r="C6840" i="1"/>
  <c r="C6838" i="1"/>
  <c r="C6837" i="1"/>
  <c r="C6836" i="1"/>
  <c r="C6835" i="1"/>
  <c r="C6834" i="1"/>
  <c r="C6833" i="1"/>
  <c r="C6832" i="1"/>
  <c r="C6831" i="1"/>
  <c r="C6830" i="1"/>
  <c r="C6829" i="1"/>
  <c r="C6828" i="1"/>
  <c r="C6827" i="1"/>
  <c r="C6825" i="1"/>
  <c r="C6823" i="1"/>
  <c r="C6822" i="1"/>
  <c r="C6821" i="1"/>
  <c r="C6820" i="1"/>
  <c r="C6819" i="1"/>
  <c r="C6818" i="1"/>
  <c r="C6817" i="1"/>
  <c r="C6816" i="1"/>
  <c r="C6815" i="1"/>
  <c r="C6814" i="1"/>
  <c r="C6813" i="1"/>
  <c r="C6812" i="1"/>
  <c r="C6811" i="1"/>
  <c r="C6810" i="1"/>
  <c r="C6809" i="1"/>
  <c r="C6808" i="1"/>
  <c r="C6806" i="1"/>
  <c r="C6804" i="1"/>
  <c r="C6803" i="1"/>
  <c r="C6802" i="1"/>
  <c r="C6801" i="1"/>
  <c r="C6800" i="1"/>
  <c r="C6799" i="1"/>
  <c r="C6798" i="1"/>
  <c r="C6797" i="1"/>
  <c r="C6796" i="1"/>
  <c r="C6795" i="1"/>
  <c r="C6794" i="1"/>
  <c r="C6793" i="1"/>
  <c r="C6791" i="1"/>
  <c r="C6789" i="1"/>
  <c r="C6788" i="1"/>
  <c r="C6787" i="1"/>
  <c r="C6786" i="1"/>
  <c r="C6785" i="1"/>
  <c r="C6784" i="1"/>
  <c r="C6783" i="1"/>
  <c r="C6782" i="1"/>
  <c r="C6781" i="1"/>
  <c r="C6780" i="1"/>
  <c r="C6779" i="1"/>
  <c r="C6778" i="1"/>
  <c r="C6777" i="1"/>
  <c r="C6776" i="1"/>
  <c r="C6775" i="1"/>
  <c r="C6774" i="1"/>
  <c r="C6772" i="1"/>
  <c r="C6770" i="1"/>
  <c r="C6769" i="1"/>
  <c r="C6768" i="1"/>
  <c r="C6767" i="1"/>
  <c r="C6766" i="1"/>
  <c r="C6765" i="1"/>
  <c r="C6764" i="1"/>
  <c r="C6763" i="1"/>
  <c r="C6762" i="1"/>
  <c r="C6761" i="1"/>
  <c r="C6760" i="1"/>
  <c r="C6759" i="1"/>
  <c r="C6757" i="1"/>
  <c r="C6755" i="1"/>
  <c r="C6754" i="1"/>
  <c r="C6753" i="1"/>
  <c r="C6752" i="1"/>
  <c r="C6751" i="1"/>
  <c r="C6750" i="1"/>
  <c r="C6749" i="1"/>
  <c r="C6748" i="1"/>
  <c r="C6747" i="1"/>
  <c r="C6746" i="1"/>
  <c r="C6745" i="1"/>
  <c r="C6744" i="1"/>
  <c r="C6743" i="1"/>
  <c r="C6742" i="1"/>
  <c r="C6741" i="1"/>
  <c r="C6740" i="1"/>
  <c r="C6738" i="1"/>
  <c r="C6736" i="1"/>
  <c r="C6735" i="1"/>
  <c r="C6734" i="1"/>
  <c r="C6733" i="1"/>
  <c r="C6732" i="1"/>
  <c r="C6731" i="1"/>
  <c r="C6730" i="1"/>
  <c r="C6729" i="1"/>
  <c r="C6728" i="1"/>
  <c r="C6727" i="1"/>
  <c r="C6726" i="1"/>
  <c r="C6725" i="1"/>
  <c r="C6723" i="1"/>
  <c r="C6721" i="1"/>
  <c r="C6720" i="1"/>
  <c r="C6719" i="1"/>
  <c r="C6718" i="1"/>
  <c r="C6717" i="1"/>
  <c r="C6716" i="1"/>
  <c r="C6715" i="1"/>
  <c r="C6714" i="1"/>
  <c r="C6713" i="1"/>
  <c r="C6712" i="1"/>
  <c r="C6711" i="1"/>
  <c r="C6710" i="1"/>
  <c r="C6709" i="1"/>
  <c r="C6708" i="1"/>
  <c r="C6707" i="1"/>
  <c r="C6706" i="1"/>
  <c r="C6704" i="1"/>
  <c r="C6702" i="1"/>
  <c r="C6701" i="1"/>
  <c r="C6700" i="1"/>
  <c r="C6699" i="1"/>
  <c r="C6698" i="1"/>
  <c r="C6697" i="1"/>
  <c r="C6696" i="1"/>
  <c r="C6695" i="1"/>
  <c r="C6694" i="1"/>
  <c r="C6693" i="1"/>
  <c r="C6692" i="1"/>
  <c r="C6691" i="1"/>
  <c r="C6689" i="1"/>
  <c r="C6687" i="1"/>
  <c r="C6686" i="1"/>
  <c r="C6685" i="1"/>
  <c r="C6684" i="1"/>
  <c r="C6683" i="1"/>
  <c r="C6682" i="1"/>
  <c r="C6681" i="1"/>
  <c r="C6680" i="1"/>
  <c r="C6679" i="1"/>
  <c r="C6678" i="1"/>
  <c r="C6677" i="1"/>
  <c r="C6676" i="1"/>
  <c r="C6675" i="1"/>
  <c r="C6674" i="1"/>
  <c r="C6673" i="1"/>
  <c r="C6672" i="1"/>
  <c r="C6670" i="1"/>
  <c r="C6668" i="1"/>
  <c r="C6667" i="1"/>
  <c r="C6666" i="1"/>
  <c r="C6665" i="1"/>
  <c r="C6664" i="1"/>
  <c r="C6663" i="1"/>
  <c r="C6662" i="1"/>
  <c r="C6661" i="1"/>
  <c r="C6660" i="1"/>
  <c r="C6659" i="1"/>
  <c r="C6658" i="1"/>
  <c r="C6657" i="1"/>
  <c r="C6655" i="1"/>
  <c r="C6653" i="1"/>
  <c r="C6652" i="1"/>
  <c r="C6651" i="1"/>
  <c r="C6650" i="1"/>
  <c r="C6649" i="1"/>
  <c r="C6648" i="1"/>
  <c r="C6647" i="1"/>
  <c r="C6646" i="1"/>
  <c r="C6645" i="1"/>
  <c r="C6644" i="1"/>
  <c r="C6643" i="1"/>
  <c r="C6642" i="1"/>
  <c r="C6641" i="1"/>
  <c r="C6640" i="1"/>
  <c r="C6639" i="1"/>
  <c r="C6638" i="1"/>
  <c r="C6636" i="1"/>
  <c r="C6634" i="1"/>
  <c r="C6633" i="1"/>
  <c r="C6632" i="1"/>
  <c r="C6631" i="1"/>
  <c r="C6630" i="1"/>
  <c r="C6629" i="1"/>
  <c r="C6628" i="1"/>
  <c r="C6627" i="1"/>
  <c r="C6626" i="1"/>
  <c r="C6625" i="1"/>
  <c r="C6624" i="1"/>
  <c r="C6623" i="1"/>
  <c r="C6621" i="1"/>
  <c r="C6619" i="1"/>
  <c r="C6618" i="1"/>
  <c r="C6617" i="1"/>
  <c r="C6616" i="1"/>
  <c r="C6615" i="1"/>
  <c r="C6614" i="1"/>
  <c r="C6613" i="1"/>
  <c r="C6612" i="1"/>
  <c r="C6611" i="1"/>
  <c r="C6610" i="1"/>
  <c r="C6609" i="1"/>
  <c r="C6608" i="1"/>
  <c r="C6607" i="1"/>
  <c r="C6606" i="1"/>
  <c r="C6605" i="1"/>
  <c r="C6604" i="1"/>
  <c r="C6602" i="1"/>
  <c r="C6600" i="1"/>
  <c r="C6599" i="1"/>
  <c r="C6598" i="1"/>
  <c r="C6597" i="1"/>
  <c r="C6596" i="1"/>
  <c r="C6595" i="1"/>
  <c r="C6594" i="1"/>
  <c r="C6593" i="1"/>
  <c r="C6592" i="1"/>
  <c r="C6591" i="1"/>
  <c r="C6590" i="1"/>
  <c r="C6589" i="1"/>
  <c r="C6587" i="1"/>
  <c r="C6585" i="1"/>
  <c r="C6584" i="1"/>
  <c r="C6583" i="1"/>
  <c r="C6582" i="1"/>
  <c r="C6581" i="1"/>
  <c r="C6580" i="1"/>
  <c r="C6579" i="1"/>
  <c r="C6578" i="1"/>
  <c r="C6577" i="1"/>
  <c r="C6576" i="1"/>
  <c r="C6575" i="1"/>
  <c r="C6574" i="1"/>
  <c r="C6573" i="1"/>
  <c r="C6572" i="1"/>
  <c r="C6571" i="1"/>
  <c r="C6570" i="1"/>
  <c r="C6568" i="1"/>
  <c r="C6566" i="1"/>
  <c r="C6565" i="1"/>
  <c r="C6564" i="1"/>
  <c r="C6563" i="1"/>
  <c r="C6562" i="1"/>
  <c r="C6561" i="1"/>
  <c r="C6560" i="1"/>
  <c r="C6559" i="1"/>
  <c r="C6558" i="1"/>
  <c r="C6557" i="1"/>
  <c r="C6556" i="1"/>
  <c r="C6555" i="1"/>
  <c r="C6553" i="1"/>
  <c r="C6551" i="1"/>
  <c r="C6550" i="1"/>
  <c r="C6549" i="1"/>
  <c r="C6548" i="1"/>
  <c r="C6547" i="1"/>
  <c r="C6546" i="1"/>
  <c r="C6545" i="1"/>
  <c r="C6544" i="1"/>
  <c r="C6543" i="1"/>
  <c r="C6542" i="1"/>
  <c r="C6541" i="1"/>
  <c r="C6540" i="1"/>
  <c r="C6539" i="1"/>
  <c r="C6538" i="1"/>
  <c r="C6537" i="1"/>
  <c r="C6536" i="1"/>
  <c r="C6534" i="1"/>
  <c r="C6532" i="1"/>
  <c r="C6531" i="1"/>
  <c r="C6530" i="1"/>
  <c r="C6529" i="1"/>
  <c r="C6528" i="1"/>
  <c r="C6527" i="1"/>
  <c r="C6526" i="1"/>
  <c r="C6525" i="1"/>
  <c r="C6524" i="1"/>
  <c r="C6523" i="1"/>
  <c r="C6522" i="1"/>
  <c r="C6521" i="1"/>
  <c r="C6519" i="1"/>
  <c r="C6517" i="1"/>
  <c r="C6516" i="1"/>
  <c r="C6515" i="1"/>
  <c r="C6514" i="1"/>
  <c r="C6513" i="1"/>
  <c r="C6512" i="1"/>
  <c r="C6511" i="1"/>
  <c r="C6510" i="1"/>
  <c r="C6509" i="1"/>
  <c r="C6508" i="1"/>
  <c r="C6507" i="1"/>
  <c r="C6506" i="1"/>
  <c r="C6505" i="1"/>
  <c r="C6504" i="1"/>
  <c r="C6503" i="1"/>
  <c r="C6502" i="1"/>
  <c r="C6500" i="1"/>
  <c r="C6498" i="1"/>
  <c r="C6497" i="1"/>
  <c r="C6496" i="1"/>
  <c r="C6495" i="1"/>
  <c r="C6494" i="1"/>
  <c r="C6493" i="1"/>
  <c r="C6492" i="1"/>
  <c r="C6491" i="1"/>
  <c r="C6490" i="1"/>
  <c r="C6489" i="1"/>
  <c r="C6488" i="1"/>
  <c r="C6487" i="1"/>
  <c r="C6485" i="1"/>
  <c r="C6483" i="1"/>
  <c r="C6482" i="1"/>
  <c r="C6481" i="1"/>
  <c r="C6480" i="1"/>
  <c r="C6479" i="1"/>
  <c r="C6478" i="1"/>
  <c r="C6477" i="1"/>
  <c r="C6476" i="1"/>
  <c r="C6475" i="1"/>
  <c r="C6474" i="1"/>
  <c r="C6473" i="1"/>
  <c r="C6472" i="1"/>
  <c r="C6471" i="1"/>
  <c r="C6470" i="1"/>
  <c r="C6469" i="1"/>
  <c r="C6468" i="1"/>
  <c r="C6466" i="1"/>
  <c r="C6464" i="1"/>
  <c r="C6463" i="1"/>
  <c r="C6462" i="1"/>
  <c r="C6461" i="1"/>
  <c r="C6460" i="1"/>
  <c r="C6459" i="1"/>
  <c r="C6458" i="1"/>
  <c r="C6457" i="1"/>
  <c r="C6456" i="1"/>
  <c r="C6455" i="1"/>
  <c r="C6454" i="1"/>
  <c r="C6452" i="1"/>
  <c r="C6450" i="1"/>
  <c r="C6449" i="1"/>
  <c r="C6448" i="1"/>
  <c r="C6447" i="1"/>
  <c r="C6446" i="1"/>
  <c r="C6444" i="1"/>
  <c r="C6442" i="1"/>
  <c r="C6441" i="1"/>
  <c r="C6440" i="1"/>
  <c r="C6439" i="1"/>
  <c r="C6438" i="1"/>
  <c r="C6437" i="1"/>
  <c r="C6436" i="1"/>
  <c r="C6435" i="1"/>
  <c r="C6434" i="1"/>
  <c r="C6432" i="1"/>
  <c r="C6430" i="1"/>
  <c r="C6429" i="1"/>
  <c r="C6428" i="1"/>
  <c r="C6427" i="1"/>
  <c r="C6426" i="1"/>
  <c r="C6424" i="1"/>
  <c r="C6422" i="1"/>
  <c r="C6421" i="1"/>
  <c r="C6420" i="1"/>
  <c r="C6419" i="1"/>
  <c r="C6418" i="1"/>
  <c r="C6417" i="1"/>
  <c r="C6416" i="1"/>
  <c r="C6415" i="1"/>
  <c r="C6413" i="1"/>
  <c r="C6411" i="1"/>
  <c r="C6410" i="1"/>
  <c r="C6409" i="1"/>
  <c r="C6408" i="1"/>
  <c r="C6407" i="1"/>
  <c r="C6406" i="1"/>
  <c r="C6405" i="1"/>
  <c r="C6404" i="1"/>
  <c r="C6403" i="1"/>
  <c r="C6402" i="1"/>
  <c r="C6401" i="1"/>
  <c r="C6400" i="1"/>
  <c r="C6399" i="1"/>
  <c r="C6398" i="1"/>
  <c r="C6397" i="1"/>
  <c r="C6396" i="1"/>
  <c r="C6394" i="1"/>
  <c r="C6392" i="1"/>
  <c r="C6391" i="1"/>
  <c r="C6390" i="1"/>
  <c r="C6389" i="1"/>
  <c r="C6388" i="1"/>
  <c r="C6387" i="1"/>
  <c r="C6386" i="1"/>
  <c r="C6385" i="1"/>
  <c r="C6384" i="1"/>
  <c r="C6383" i="1"/>
  <c r="C6382" i="1"/>
  <c r="C6381" i="1"/>
  <c r="C6379" i="1"/>
  <c r="C6377" i="1"/>
  <c r="C6376" i="1"/>
  <c r="C6375" i="1"/>
  <c r="C6374" i="1"/>
  <c r="C6373" i="1"/>
  <c r="C6372" i="1"/>
  <c r="C6371" i="1"/>
  <c r="C6370" i="1"/>
  <c r="C6369" i="1"/>
  <c r="C6368" i="1"/>
  <c r="C6367" i="1"/>
  <c r="C6366" i="1"/>
  <c r="C6365" i="1"/>
  <c r="C6364" i="1"/>
  <c r="C6363" i="1"/>
  <c r="C6362" i="1"/>
  <c r="C6360" i="1"/>
  <c r="C6358" i="1"/>
  <c r="C6357" i="1"/>
  <c r="C6356" i="1"/>
  <c r="C6355" i="1"/>
  <c r="C6354" i="1"/>
  <c r="C6353" i="1"/>
  <c r="C6352" i="1"/>
  <c r="C6351" i="1"/>
  <c r="C6350" i="1"/>
  <c r="C6349" i="1"/>
  <c r="C6348" i="1"/>
  <c r="C6347" i="1"/>
  <c r="C6345" i="1"/>
  <c r="C6343" i="1"/>
  <c r="C6342" i="1"/>
  <c r="C6341" i="1"/>
  <c r="C6340" i="1"/>
  <c r="C6339" i="1"/>
  <c r="C6338" i="1"/>
  <c r="C6337" i="1"/>
  <c r="C6336" i="1"/>
  <c r="C6335" i="1"/>
  <c r="C6334" i="1"/>
  <c r="C6333" i="1"/>
  <c r="C6332" i="1"/>
  <c r="C6331" i="1"/>
  <c r="C6330" i="1"/>
  <c r="C6329" i="1"/>
  <c r="C6328" i="1"/>
  <c r="C6326" i="1"/>
  <c r="C6324" i="1"/>
  <c r="C6323" i="1"/>
  <c r="C6322" i="1"/>
  <c r="C6321" i="1"/>
  <c r="C6320" i="1"/>
  <c r="C6319" i="1"/>
  <c r="C6318" i="1"/>
  <c r="C6317" i="1"/>
  <c r="C6316" i="1"/>
  <c r="C6315" i="1"/>
  <c r="C6314" i="1"/>
  <c r="C6313" i="1"/>
  <c r="C6311" i="1"/>
  <c r="C6309" i="1"/>
  <c r="C6308" i="1"/>
  <c r="C6307" i="1"/>
  <c r="C6306" i="1"/>
  <c r="C6305" i="1"/>
  <c r="C6304" i="1"/>
  <c r="C6303" i="1"/>
  <c r="C6302" i="1"/>
  <c r="C6301" i="1"/>
  <c r="C6300" i="1"/>
  <c r="C6299" i="1"/>
  <c r="C6298" i="1"/>
  <c r="C6297" i="1"/>
  <c r="C6296" i="1"/>
  <c r="C6295" i="1"/>
  <c r="C6294" i="1"/>
  <c r="C6292" i="1"/>
  <c r="C6290" i="1"/>
  <c r="C6289" i="1"/>
  <c r="C6288" i="1"/>
  <c r="C6287" i="1"/>
  <c r="C6286" i="1"/>
  <c r="C6285" i="1"/>
  <c r="C6284" i="1"/>
  <c r="C6283" i="1"/>
  <c r="C6282" i="1"/>
  <c r="C6281" i="1"/>
  <c r="C6280" i="1"/>
  <c r="C6279" i="1"/>
  <c r="C6277" i="1"/>
  <c r="C6275" i="1"/>
  <c r="C6274" i="1"/>
  <c r="C6273" i="1"/>
  <c r="C6272" i="1"/>
  <c r="C6271" i="1"/>
  <c r="C6270" i="1"/>
  <c r="C6269" i="1"/>
  <c r="C6268" i="1"/>
  <c r="C6267" i="1"/>
  <c r="C6266" i="1"/>
  <c r="C6265" i="1"/>
  <c r="C6264" i="1"/>
  <c r="C6263" i="1"/>
  <c r="C6262" i="1"/>
  <c r="C6261" i="1"/>
  <c r="C6260" i="1"/>
  <c r="C6258" i="1"/>
  <c r="C6256" i="1"/>
  <c r="C6255" i="1"/>
  <c r="C6254" i="1"/>
  <c r="C6253" i="1"/>
  <c r="C6252" i="1"/>
  <c r="C6251" i="1"/>
  <c r="C6250" i="1"/>
  <c r="C6249" i="1"/>
  <c r="C6248" i="1"/>
  <c r="C6247" i="1"/>
  <c r="C6246" i="1"/>
  <c r="C6245" i="1"/>
  <c r="C6243" i="1"/>
  <c r="C6241" i="1"/>
  <c r="C6240" i="1"/>
  <c r="C6239" i="1"/>
  <c r="C6238" i="1"/>
  <c r="C6237" i="1"/>
  <c r="C6236" i="1"/>
  <c r="C6235" i="1"/>
  <c r="C6234" i="1"/>
  <c r="C6233" i="1"/>
  <c r="C6232" i="1"/>
  <c r="C6231" i="1"/>
  <c r="C6230" i="1"/>
  <c r="C6229" i="1"/>
  <c r="C6228" i="1"/>
  <c r="C6227" i="1"/>
  <c r="C6226" i="1"/>
  <c r="C6224" i="1"/>
  <c r="C6222" i="1"/>
  <c r="C6221" i="1"/>
  <c r="C6220" i="1"/>
  <c r="C6219" i="1"/>
  <c r="C6218" i="1"/>
  <c r="C6217" i="1"/>
  <c r="C6216" i="1"/>
  <c r="C6215" i="1"/>
  <c r="C6214" i="1"/>
  <c r="C6213" i="1"/>
  <c r="C6212" i="1"/>
  <c r="C6211" i="1"/>
  <c r="C6209" i="1"/>
  <c r="C6207" i="1"/>
  <c r="C6206" i="1"/>
  <c r="C6205" i="1"/>
  <c r="C6204" i="1"/>
  <c r="C6203" i="1"/>
  <c r="C6202" i="1"/>
  <c r="C6201" i="1"/>
  <c r="C6200" i="1"/>
  <c r="C6199" i="1"/>
  <c r="C6198" i="1"/>
  <c r="C6197" i="1"/>
  <c r="C6196" i="1"/>
  <c r="C6195" i="1"/>
  <c r="C6194" i="1"/>
  <c r="C6193" i="1"/>
  <c r="C6192" i="1"/>
  <c r="C6190" i="1"/>
  <c r="C6188" i="1"/>
  <c r="C6187" i="1"/>
  <c r="C6186" i="1"/>
  <c r="C6185" i="1"/>
  <c r="C6184" i="1"/>
  <c r="C6183" i="1"/>
  <c r="C6182" i="1"/>
  <c r="C6181" i="1"/>
  <c r="C6180" i="1"/>
  <c r="C6179" i="1"/>
  <c r="C6178" i="1"/>
  <c r="C6177" i="1"/>
  <c r="C6175" i="1"/>
  <c r="C6173" i="1"/>
  <c r="C6172" i="1"/>
  <c r="C6171" i="1"/>
  <c r="C6170" i="1"/>
  <c r="C6169" i="1"/>
  <c r="C6168" i="1"/>
  <c r="C6167" i="1"/>
  <c r="C6166" i="1"/>
  <c r="C6165" i="1"/>
  <c r="C6164" i="1"/>
  <c r="C6163" i="1"/>
  <c r="C6162" i="1"/>
  <c r="C6161" i="1"/>
  <c r="C6160" i="1"/>
  <c r="C6159" i="1"/>
  <c r="C6158" i="1"/>
  <c r="C6156" i="1"/>
  <c r="C6154" i="1"/>
  <c r="C6153" i="1"/>
  <c r="C6152" i="1"/>
  <c r="C6151" i="1"/>
  <c r="C6150" i="1"/>
  <c r="C6149" i="1"/>
  <c r="C6148" i="1"/>
  <c r="C6147" i="1"/>
  <c r="C6146" i="1"/>
  <c r="C6145" i="1"/>
  <c r="C6144" i="1"/>
  <c r="C6143" i="1"/>
  <c r="C6141" i="1"/>
  <c r="C6139" i="1"/>
  <c r="C6138" i="1"/>
  <c r="C6137" i="1"/>
  <c r="C6136" i="1"/>
  <c r="C6135" i="1"/>
  <c r="C6134" i="1"/>
  <c r="C6133" i="1"/>
  <c r="C6132" i="1"/>
  <c r="C6131" i="1"/>
  <c r="C6130" i="1"/>
  <c r="C6129" i="1"/>
  <c r="C6128" i="1"/>
  <c r="C6127" i="1"/>
  <c r="C6126" i="1"/>
  <c r="C6125" i="1"/>
  <c r="C6124" i="1"/>
  <c r="C6122" i="1"/>
  <c r="C6120" i="1"/>
  <c r="C6119" i="1"/>
  <c r="C6118" i="1"/>
  <c r="C6117" i="1"/>
  <c r="C6116" i="1"/>
  <c r="C6115" i="1"/>
  <c r="C6114" i="1"/>
  <c r="C6113" i="1"/>
  <c r="C6112" i="1"/>
  <c r="C6111" i="1"/>
  <c r="C6110" i="1"/>
  <c r="C6109" i="1"/>
  <c r="C6107" i="1"/>
  <c r="C6105" i="1"/>
  <c r="C6104" i="1"/>
  <c r="C6103" i="1"/>
  <c r="C6102" i="1"/>
  <c r="C6101" i="1"/>
  <c r="C6100" i="1"/>
  <c r="C6099" i="1"/>
  <c r="C6098" i="1"/>
  <c r="C6097" i="1"/>
  <c r="C6096" i="1"/>
  <c r="C6095" i="1"/>
  <c r="C6094" i="1"/>
  <c r="C6093" i="1"/>
  <c r="C6092" i="1"/>
  <c r="C6091" i="1"/>
  <c r="C6090" i="1"/>
  <c r="C6088" i="1"/>
  <c r="C6086" i="1"/>
  <c r="C6085" i="1"/>
  <c r="C6084" i="1"/>
  <c r="C6083" i="1"/>
  <c r="C6082" i="1"/>
  <c r="C6081" i="1"/>
  <c r="C6080" i="1"/>
  <c r="C6079" i="1"/>
  <c r="C6078" i="1"/>
  <c r="C6077" i="1"/>
  <c r="C6076" i="1"/>
  <c r="C6075" i="1"/>
  <c r="C6073" i="1"/>
  <c r="C6071" i="1"/>
  <c r="C6070" i="1"/>
  <c r="C6069" i="1"/>
  <c r="C6068" i="1"/>
  <c r="C6067" i="1"/>
  <c r="C6066" i="1"/>
  <c r="C6065" i="1"/>
  <c r="C6064" i="1"/>
  <c r="C6063" i="1"/>
  <c r="C6062" i="1"/>
  <c r="C6061" i="1"/>
  <c r="C6060" i="1"/>
  <c r="C6059" i="1"/>
  <c r="C6058" i="1"/>
  <c r="C6057" i="1"/>
  <c r="C6056" i="1"/>
  <c r="C6054" i="1"/>
  <c r="C6052" i="1"/>
  <c r="C6051" i="1"/>
  <c r="C6050" i="1"/>
  <c r="C6049" i="1"/>
  <c r="C6048" i="1"/>
  <c r="C6047" i="1"/>
  <c r="C6046" i="1"/>
  <c r="C6045" i="1"/>
  <c r="C6044" i="1"/>
  <c r="C6043" i="1"/>
  <c r="C6042" i="1"/>
  <c r="C6041" i="1"/>
  <c r="C6039" i="1"/>
  <c r="C6037" i="1"/>
  <c r="C6036" i="1"/>
  <c r="C6035" i="1"/>
  <c r="C6034" i="1"/>
  <c r="C6033" i="1"/>
  <c r="C6032" i="1"/>
  <c r="C6031" i="1"/>
  <c r="C6030" i="1"/>
  <c r="C6029" i="1"/>
  <c r="C6028" i="1"/>
  <c r="C6027" i="1"/>
  <c r="C6026" i="1"/>
  <c r="C6025" i="1"/>
  <c r="C6024" i="1"/>
  <c r="C6023" i="1"/>
  <c r="C6022" i="1"/>
  <c r="C6020" i="1"/>
  <c r="C6018" i="1"/>
  <c r="C6017" i="1"/>
  <c r="C6016" i="1"/>
  <c r="C6015" i="1"/>
  <c r="C6014" i="1"/>
  <c r="C6013" i="1"/>
  <c r="C6012" i="1"/>
  <c r="C6011" i="1"/>
  <c r="C6010" i="1"/>
  <c r="C6009" i="1"/>
  <c r="C6008" i="1"/>
  <c r="C6007" i="1"/>
  <c r="C6005" i="1"/>
  <c r="C6003" i="1"/>
  <c r="C6002" i="1"/>
  <c r="C6001" i="1"/>
  <c r="C6000" i="1"/>
  <c r="C5999" i="1"/>
  <c r="C5998" i="1"/>
  <c r="C5997" i="1"/>
  <c r="C5996" i="1"/>
  <c r="C5995" i="1"/>
  <c r="C5994" i="1"/>
  <c r="C5993" i="1"/>
  <c r="C5992" i="1"/>
  <c r="C5991" i="1"/>
  <c r="C5990" i="1"/>
  <c r="C5989" i="1"/>
  <c r="C5988" i="1"/>
  <c r="C5986" i="1"/>
  <c r="C5984" i="1"/>
  <c r="C5983" i="1"/>
  <c r="C5982" i="1"/>
  <c r="C5981" i="1"/>
  <c r="C5980" i="1"/>
  <c r="C5979" i="1"/>
  <c r="C5978" i="1"/>
  <c r="C5977" i="1"/>
  <c r="C5976" i="1"/>
  <c r="C5975" i="1"/>
  <c r="C5974" i="1"/>
  <c r="C5973" i="1"/>
  <c r="C5971" i="1"/>
  <c r="C5969" i="1"/>
  <c r="C5968" i="1"/>
  <c r="C5967" i="1"/>
  <c r="C5966" i="1"/>
  <c r="C5965" i="1"/>
  <c r="C5964" i="1"/>
  <c r="C5963" i="1"/>
  <c r="C5962" i="1"/>
  <c r="C5961" i="1"/>
  <c r="C5960" i="1"/>
  <c r="C5959" i="1"/>
  <c r="C5958" i="1"/>
  <c r="C5957" i="1"/>
  <c r="C5956" i="1"/>
  <c r="C5955" i="1"/>
  <c r="C5954" i="1"/>
  <c r="C5952" i="1"/>
  <c r="C5950" i="1"/>
  <c r="C5949" i="1"/>
  <c r="C5948" i="1"/>
  <c r="C5947" i="1"/>
  <c r="C5946" i="1"/>
  <c r="C5945" i="1"/>
  <c r="C5944" i="1"/>
  <c r="C5943" i="1"/>
  <c r="C5942" i="1"/>
  <c r="C5941" i="1"/>
  <c r="C5940" i="1"/>
  <c r="C5939" i="1"/>
  <c r="C5937" i="1"/>
  <c r="C5935" i="1"/>
  <c r="C5934" i="1"/>
  <c r="C5933" i="1"/>
  <c r="C5932" i="1"/>
  <c r="C5931" i="1"/>
  <c r="C5930" i="1"/>
  <c r="C5929" i="1"/>
  <c r="C5928" i="1"/>
  <c r="C5927" i="1"/>
  <c r="C5926" i="1"/>
  <c r="C5925" i="1"/>
  <c r="C5924" i="1"/>
  <c r="C5923" i="1"/>
  <c r="C5922" i="1"/>
  <c r="C5921" i="1"/>
  <c r="C5920" i="1"/>
  <c r="C5918" i="1"/>
  <c r="C5916" i="1"/>
  <c r="C5915" i="1"/>
  <c r="C5914" i="1"/>
  <c r="C5913" i="1"/>
  <c r="C5912" i="1"/>
  <c r="C5911" i="1"/>
  <c r="C5910" i="1"/>
  <c r="C5909" i="1"/>
  <c r="C5908" i="1"/>
  <c r="C5907" i="1"/>
  <c r="C5906" i="1"/>
  <c r="C5905" i="1"/>
  <c r="C5903" i="1"/>
  <c r="C5901" i="1"/>
  <c r="C5900" i="1"/>
  <c r="C5899" i="1"/>
  <c r="C5898" i="1"/>
  <c r="C5897" i="1"/>
  <c r="C5896" i="1"/>
  <c r="C5895" i="1"/>
  <c r="C5894" i="1"/>
  <c r="C5893" i="1"/>
  <c r="C5892" i="1"/>
  <c r="C5891" i="1"/>
  <c r="C5890" i="1"/>
  <c r="C5889" i="1"/>
  <c r="C5888" i="1"/>
  <c r="C5887" i="1"/>
  <c r="C5886" i="1"/>
  <c r="C5884" i="1"/>
  <c r="C5882" i="1"/>
  <c r="C5881" i="1"/>
  <c r="C5880" i="1"/>
  <c r="C5879" i="1"/>
  <c r="C5878" i="1"/>
  <c r="C5877" i="1"/>
  <c r="C5876" i="1"/>
  <c r="C5875" i="1"/>
  <c r="C5874" i="1"/>
  <c r="C5873" i="1"/>
  <c r="C5872" i="1"/>
  <c r="C5871" i="1"/>
  <c r="C5869" i="1"/>
  <c r="C5867" i="1"/>
  <c r="C5866" i="1"/>
  <c r="C5865" i="1"/>
  <c r="C5864" i="1"/>
  <c r="C5863" i="1"/>
  <c r="C5862" i="1"/>
  <c r="C5861" i="1"/>
  <c r="C5860" i="1"/>
  <c r="C5859" i="1"/>
  <c r="C5858" i="1"/>
  <c r="C5857" i="1"/>
  <c r="C5856" i="1"/>
  <c r="C5855" i="1"/>
  <c r="C5854" i="1"/>
  <c r="C5853" i="1"/>
  <c r="C5852" i="1"/>
  <c r="C5850" i="1"/>
  <c r="C5848" i="1"/>
  <c r="C5847" i="1"/>
  <c r="C5846" i="1"/>
  <c r="C5845" i="1"/>
  <c r="C5844" i="1"/>
  <c r="C5843" i="1"/>
  <c r="C5842" i="1"/>
  <c r="C5841" i="1"/>
  <c r="C5840" i="1"/>
  <c r="C5839" i="1"/>
  <c r="C5838" i="1"/>
  <c r="C5837" i="1"/>
  <c r="C5835" i="1"/>
  <c r="C5833" i="1"/>
  <c r="C5832" i="1"/>
  <c r="C5831" i="1"/>
  <c r="C5830" i="1"/>
  <c r="C5829" i="1"/>
  <c r="C5828" i="1"/>
  <c r="C5827" i="1"/>
  <c r="C5826" i="1"/>
  <c r="C5825" i="1"/>
  <c r="C5824" i="1"/>
  <c r="C5823" i="1"/>
  <c r="C5822" i="1"/>
  <c r="C5821" i="1"/>
  <c r="C5820" i="1"/>
  <c r="C5819" i="1"/>
  <c r="C5818" i="1"/>
  <c r="C5816" i="1"/>
  <c r="C5814" i="1"/>
  <c r="C5813" i="1"/>
  <c r="C5812" i="1"/>
  <c r="C5811" i="1"/>
  <c r="C5810" i="1"/>
  <c r="C5809" i="1"/>
  <c r="C5808" i="1"/>
  <c r="C5807" i="1"/>
  <c r="C5806" i="1"/>
  <c r="C5805" i="1"/>
  <c r="C5804" i="1"/>
  <c r="C5803" i="1"/>
  <c r="C5801" i="1"/>
  <c r="C5799" i="1"/>
  <c r="C5798" i="1"/>
  <c r="C5797" i="1"/>
  <c r="C5796" i="1"/>
  <c r="C5795" i="1"/>
  <c r="C5794" i="1"/>
  <c r="C5793" i="1"/>
  <c r="C5792" i="1"/>
  <c r="C5791" i="1"/>
  <c r="C5790" i="1"/>
  <c r="C5789" i="1"/>
  <c r="C5788" i="1"/>
  <c r="C5787" i="1"/>
  <c r="C5786" i="1"/>
  <c r="C5785" i="1"/>
  <c r="C5784" i="1"/>
  <c r="C5782" i="1"/>
  <c r="C5780" i="1"/>
  <c r="C5779" i="1"/>
  <c r="C5778" i="1"/>
  <c r="C5777" i="1"/>
  <c r="C5776" i="1"/>
  <c r="C5775" i="1"/>
  <c r="C5774" i="1"/>
  <c r="C5773" i="1"/>
  <c r="C5772" i="1"/>
  <c r="C5771" i="1"/>
  <c r="C5770" i="1"/>
  <c r="C5769" i="1"/>
  <c r="C5767" i="1"/>
  <c r="C5765" i="1"/>
  <c r="C5764" i="1"/>
  <c r="C5763" i="1"/>
  <c r="C5762" i="1"/>
  <c r="C5761" i="1"/>
  <c r="C5760" i="1"/>
  <c r="C5759" i="1"/>
  <c r="C5758" i="1"/>
  <c r="C5757" i="1"/>
  <c r="C5756" i="1"/>
  <c r="C5755" i="1"/>
  <c r="C5754" i="1"/>
  <c r="C5753" i="1"/>
  <c r="C5752" i="1"/>
  <c r="C5751" i="1"/>
  <c r="C5750" i="1"/>
  <c r="C5748" i="1"/>
  <c r="C5746" i="1"/>
  <c r="C5745" i="1"/>
  <c r="C5744" i="1"/>
  <c r="C5743" i="1"/>
  <c r="C5742" i="1"/>
  <c r="C5741" i="1"/>
  <c r="C5740" i="1"/>
  <c r="C5739" i="1"/>
  <c r="C5738" i="1"/>
  <c r="C5737" i="1"/>
  <c r="C5736" i="1"/>
  <c r="C5734" i="1"/>
  <c r="C5732" i="1"/>
  <c r="C5731" i="1"/>
  <c r="C5730" i="1"/>
  <c r="C5729" i="1"/>
  <c r="C5728" i="1"/>
  <c r="C5726" i="1"/>
  <c r="C5724" i="1"/>
  <c r="C5723" i="1"/>
  <c r="C5722" i="1"/>
  <c r="C5721" i="1"/>
  <c r="C5720" i="1"/>
  <c r="C5719" i="1"/>
  <c r="C5718" i="1"/>
  <c r="C5717" i="1"/>
  <c r="C5716" i="1"/>
  <c r="C5714" i="1"/>
  <c r="C5712" i="1"/>
  <c r="C5711" i="1"/>
  <c r="C5710" i="1"/>
  <c r="C5709" i="1"/>
  <c r="C5708" i="1"/>
  <c r="C5706" i="1"/>
  <c r="C5704" i="1"/>
  <c r="C5703" i="1"/>
  <c r="C5702" i="1"/>
  <c r="C5701" i="1"/>
  <c r="C5700" i="1"/>
  <c r="C5699" i="1"/>
  <c r="C5698" i="1"/>
  <c r="C5697" i="1"/>
  <c r="C5695" i="1"/>
  <c r="C5693" i="1"/>
  <c r="C5692" i="1"/>
  <c r="C5691" i="1"/>
  <c r="C5690" i="1"/>
  <c r="C5689" i="1"/>
  <c r="C5688" i="1"/>
  <c r="C5687" i="1"/>
  <c r="C5686" i="1"/>
  <c r="C5685" i="1"/>
  <c r="C5684" i="1"/>
  <c r="C5683" i="1"/>
  <c r="C5682" i="1"/>
  <c r="C5681" i="1"/>
  <c r="C5680" i="1"/>
  <c r="C5679" i="1"/>
  <c r="C5678" i="1"/>
  <c r="C5676" i="1"/>
  <c r="C5674" i="1"/>
  <c r="C5673" i="1"/>
  <c r="C5672" i="1"/>
  <c r="C5671" i="1"/>
  <c r="C5670" i="1"/>
  <c r="C5669" i="1"/>
  <c r="C5668" i="1"/>
  <c r="C5667" i="1"/>
  <c r="C5666" i="1"/>
  <c r="C5665" i="1"/>
  <c r="C5664" i="1"/>
  <c r="C5663" i="1"/>
  <c r="C5661" i="1"/>
  <c r="C5659" i="1"/>
  <c r="C5658" i="1"/>
  <c r="C5657" i="1"/>
  <c r="C5656" i="1"/>
  <c r="C5655" i="1"/>
  <c r="C5654" i="1"/>
  <c r="C5653" i="1"/>
  <c r="C5652" i="1"/>
  <c r="C5651" i="1"/>
  <c r="C5650" i="1"/>
  <c r="C5649" i="1"/>
  <c r="C5648" i="1"/>
  <c r="C5647" i="1"/>
  <c r="C5646" i="1"/>
  <c r="C5645" i="1"/>
  <c r="C5644" i="1"/>
  <c r="C5642" i="1"/>
  <c r="C5640" i="1"/>
  <c r="C5639" i="1"/>
  <c r="C5638" i="1"/>
  <c r="C5637" i="1"/>
  <c r="C5636" i="1"/>
  <c r="C5635" i="1"/>
  <c r="C5634" i="1"/>
  <c r="C5633" i="1"/>
  <c r="C5632" i="1"/>
  <c r="C5631" i="1"/>
  <c r="C5630" i="1"/>
  <c r="C5629" i="1"/>
  <c r="C5627" i="1"/>
  <c r="C5625" i="1"/>
  <c r="C5624" i="1"/>
  <c r="C5623" i="1"/>
  <c r="C5622" i="1"/>
  <c r="C5621" i="1"/>
  <c r="C5620" i="1"/>
  <c r="C5619" i="1"/>
  <c r="C5618" i="1"/>
  <c r="C5617" i="1"/>
  <c r="C5616" i="1"/>
  <c r="C5615" i="1"/>
  <c r="C5614" i="1"/>
  <c r="C5613" i="1"/>
  <c r="C5612" i="1"/>
  <c r="C5611" i="1"/>
  <c r="C5610" i="1"/>
  <c r="C5608" i="1"/>
  <c r="C5606" i="1"/>
  <c r="C5605" i="1"/>
  <c r="C5604" i="1"/>
  <c r="C5603" i="1"/>
  <c r="C5602" i="1"/>
  <c r="C5601" i="1"/>
  <c r="C5600" i="1"/>
  <c r="C5599" i="1"/>
  <c r="C5598" i="1"/>
  <c r="C5597" i="1"/>
  <c r="C5596" i="1"/>
  <c r="C5595" i="1"/>
  <c r="C5593" i="1"/>
  <c r="C5591" i="1"/>
  <c r="C5590" i="1"/>
  <c r="C5589" i="1"/>
  <c r="C5588" i="1"/>
  <c r="C5587" i="1"/>
  <c r="C5586" i="1"/>
  <c r="C5585" i="1"/>
  <c r="C5584" i="1"/>
  <c r="C5583" i="1"/>
  <c r="C5582" i="1"/>
  <c r="C5581" i="1"/>
  <c r="C5580" i="1"/>
  <c r="C5579" i="1"/>
  <c r="C5578" i="1"/>
  <c r="C5577" i="1"/>
  <c r="C5576" i="1"/>
  <c r="C5574" i="1"/>
  <c r="C5572" i="1"/>
  <c r="C5571" i="1"/>
  <c r="C5570" i="1"/>
  <c r="C5569" i="1"/>
  <c r="C5568" i="1"/>
  <c r="C5567" i="1"/>
  <c r="C5566" i="1"/>
  <c r="C5565" i="1"/>
  <c r="C5564" i="1"/>
  <c r="C5563" i="1"/>
  <c r="C5562" i="1"/>
  <c r="C5561" i="1"/>
  <c r="C5559" i="1"/>
  <c r="C5557" i="1"/>
  <c r="C5556" i="1"/>
  <c r="C5555" i="1"/>
  <c r="C5554" i="1"/>
  <c r="C5553" i="1"/>
  <c r="C5552" i="1"/>
  <c r="C5551" i="1"/>
  <c r="C5550" i="1"/>
  <c r="C5549" i="1"/>
  <c r="C5548" i="1"/>
  <c r="C5547" i="1"/>
  <c r="C5546" i="1"/>
  <c r="C5545" i="1"/>
  <c r="C5544" i="1"/>
  <c r="C5543" i="1"/>
  <c r="C5542" i="1"/>
  <c r="C5540" i="1"/>
  <c r="C5538" i="1"/>
  <c r="C5537" i="1"/>
  <c r="C5536" i="1"/>
  <c r="C5535" i="1"/>
  <c r="C5534" i="1"/>
  <c r="C5533" i="1"/>
  <c r="C5532" i="1"/>
  <c r="C5531" i="1"/>
  <c r="C5530" i="1"/>
  <c r="C5529" i="1"/>
  <c r="C5528" i="1"/>
  <c r="C5527" i="1"/>
  <c r="C5525" i="1"/>
  <c r="C5523" i="1"/>
  <c r="C5522" i="1"/>
  <c r="C5521" i="1"/>
  <c r="C5520" i="1"/>
  <c r="C5519" i="1"/>
  <c r="C5518" i="1"/>
  <c r="C5517" i="1"/>
  <c r="C5516" i="1"/>
  <c r="C5515" i="1"/>
  <c r="C5514" i="1"/>
  <c r="C5513" i="1"/>
  <c r="C5512" i="1"/>
  <c r="C5511" i="1"/>
  <c r="C5510" i="1"/>
  <c r="C5509" i="1"/>
  <c r="C5508" i="1"/>
  <c r="C5506" i="1"/>
  <c r="C5504" i="1"/>
  <c r="C5503" i="1"/>
  <c r="C5502" i="1"/>
  <c r="C5501" i="1"/>
  <c r="C5500" i="1"/>
  <c r="C5499" i="1"/>
  <c r="C5498" i="1"/>
  <c r="C5497" i="1"/>
  <c r="C5496" i="1"/>
  <c r="C5495" i="1"/>
  <c r="C5494" i="1"/>
  <c r="C5493" i="1"/>
  <c r="C5491" i="1"/>
  <c r="C5489" i="1"/>
  <c r="C5488" i="1"/>
  <c r="C5487" i="1"/>
  <c r="C5486" i="1"/>
  <c r="C5485" i="1"/>
  <c r="C5484" i="1"/>
  <c r="C5483" i="1"/>
  <c r="C5482" i="1"/>
  <c r="C5481" i="1"/>
  <c r="C5480" i="1"/>
  <c r="C5479" i="1"/>
  <c r="C5478" i="1"/>
  <c r="C5477" i="1"/>
  <c r="C5476" i="1"/>
  <c r="C5475" i="1"/>
  <c r="C5474" i="1"/>
  <c r="C5472" i="1"/>
  <c r="C5470" i="1"/>
  <c r="C5469" i="1"/>
  <c r="C5468" i="1"/>
  <c r="C5467" i="1"/>
  <c r="C5466" i="1"/>
  <c r="C5465" i="1"/>
  <c r="C5464" i="1"/>
  <c r="C5463" i="1"/>
  <c r="C5462" i="1"/>
  <c r="C5461" i="1"/>
  <c r="C5460" i="1"/>
  <c r="C5459" i="1"/>
  <c r="C5457" i="1"/>
  <c r="C5455" i="1"/>
  <c r="C5454" i="1"/>
  <c r="C5453" i="1"/>
  <c r="C5452" i="1"/>
  <c r="C5451" i="1"/>
  <c r="C5450" i="1"/>
  <c r="C5449" i="1"/>
  <c r="C5448" i="1"/>
  <c r="C5447" i="1"/>
  <c r="C5446" i="1"/>
  <c r="C5445" i="1"/>
  <c r="C5444" i="1"/>
  <c r="C5443" i="1"/>
  <c r="C5442" i="1"/>
  <c r="C5441" i="1"/>
  <c r="C5440" i="1"/>
  <c r="C5438" i="1"/>
  <c r="C5436" i="1"/>
  <c r="C5435" i="1"/>
  <c r="C5434" i="1"/>
  <c r="C5433" i="1"/>
  <c r="C5432" i="1"/>
  <c r="C5431" i="1"/>
  <c r="C5430" i="1"/>
  <c r="C5429" i="1"/>
  <c r="C5428" i="1"/>
  <c r="C5427" i="1"/>
  <c r="C5426" i="1"/>
  <c r="C5425" i="1"/>
  <c r="C5423" i="1"/>
  <c r="C5421" i="1"/>
  <c r="C5420" i="1"/>
  <c r="C5419" i="1"/>
  <c r="C5418" i="1"/>
  <c r="C5417" i="1"/>
  <c r="C5416" i="1"/>
  <c r="C5415" i="1"/>
  <c r="C5414" i="1"/>
  <c r="C5413" i="1"/>
  <c r="C5412" i="1"/>
  <c r="C5411" i="1"/>
  <c r="C5410" i="1"/>
  <c r="C5409" i="1"/>
  <c r="C5408" i="1"/>
  <c r="C5407" i="1"/>
  <c r="C5406" i="1"/>
  <c r="C5404" i="1"/>
  <c r="C5402" i="1"/>
  <c r="C5401" i="1"/>
  <c r="C5400" i="1"/>
  <c r="C5399" i="1"/>
  <c r="C5398" i="1"/>
  <c r="C5397" i="1"/>
  <c r="C5396" i="1"/>
  <c r="C5395" i="1"/>
  <c r="C5394" i="1"/>
  <c r="C5393" i="1"/>
  <c r="C5392" i="1"/>
  <c r="C5391" i="1"/>
  <c r="C5389" i="1"/>
  <c r="C5387" i="1"/>
  <c r="C5386" i="1"/>
  <c r="C5385" i="1"/>
  <c r="C5384" i="1"/>
  <c r="C5383" i="1"/>
  <c r="C5382" i="1"/>
  <c r="C5381" i="1"/>
  <c r="C5380" i="1"/>
  <c r="C5379" i="1"/>
  <c r="C5378" i="1"/>
  <c r="C5377" i="1"/>
  <c r="C5376" i="1"/>
  <c r="C5375" i="1"/>
  <c r="C5374" i="1"/>
  <c r="C5373" i="1"/>
  <c r="C5372" i="1"/>
  <c r="C5370" i="1"/>
  <c r="C5368" i="1"/>
  <c r="C5367" i="1"/>
  <c r="C5366" i="1"/>
  <c r="C5365" i="1"/>
  <c r="C5364" i="1"/>
  <c r="C5363" i="1"/>
  <c r="C5362" i="1"/>
  <c r="C5361" i="1"/>
  <c r="C5360" i="1"/>
  <c r="C5359" i="1"/>
  <c r="C5358" i="1"/>
  <c r="C5357" i="1"/>
  <c r="C5355" i="1"/>
  <c r="C5353" i="1"/>
  <c r="C5352" i="1"/>
  <c r="C5351" i="1"/>
  <c r="C5350" i="1"/>
  <c r="C5349" i="1"/>
  <c r="C5348" i="1"/>
  <c r="C5347" i="1"/>
  <c r="C5346" i="1"/>
  <c r="C5345" i="1"/>
  <c r="C5344" i="1"/>
  <c r="C5343" i="1"/>
  <c r="C5342" i="1"/>
  <c r="C5341" i="1"/>
  <c r="C5340" i="1"/>
  <c r="C5339" i="1"/>
  <c r="C5338" i="1"/>
  <c r="C5336" i="1"/>
  <c r="C5334" i="1"/>
  <c r="C5333" i="1"/>
  <c r="C5332" i="1"/>
  <c r="C5331" i="1"/>
  <c r="C5330" i="1"/>
  <c r="C5329" i="1"/>
  <c r="C5328" i="1"/>
  <c r="C5327" i="1"/>
  <c r="C5326" i="1"/>
  <c r="C5325" i="1"/>
  <c r="C5324" i="1"/>
  <c r="C5323" i="1"/>
  <c r="C5321" i="1"/>
  <c r="C5319" i="1"/>
  <c r="C5318" i="1"/>
  <c r="C5317" i="1"/>
  <c r="C5316" i="1"/>
  <c r="C5315" i="1"/>
  <c r="C5314" i="1"/>
  <c r="C5313" i="1"/>
  <c r="C5312" i="1"/>
  <c r="C5311" i="1"/>
  <c r="C5310" i="1"/>
  <c r="C5309" i="1"/>
  <c r="C5308" i="1"/>
  <c r="C5307" i="1"/>
  <c r="C5306" i="1"/>
  <c r="C5305" i="1"/>
  <c r="C5304" i="1"/>
  <c r="C5302" i="1"/>
  <c r="C5300" i="1"/>
  <c r="C5299" i="1"/>
  <c r="C5298" i="1"/>
  <c r="C5297" i="1"/>
  <c r="C5296" i="1"/>
  <c r="C5295" i="1"/>
  <c r="C5294" i="1"/>
  <c r="C5293" i="1"/>
  <c r="C5292" i="1"/>
  <c r="C5291" i="1"/>
  <c r="C5290" i="1"/>
  <c r="C5289" i="1"/>
  <c r="C5287" i="1"/>
  <c r="C5285" i="1"/>
  <c r="C5284" i="1"/>
  <c r="C5283" i="1"/>
  <c r="C5282" i="1"/>
  <c r="C5281" i="1"/>
  <c r="C5280" i="1"/>
  <c r="C5279" i="1"/>
  <c r="C5278" i="1"/>
  <c r="C5277" i="1"/>
  <c r="C5276" i="1"/>
  <c r="C5275" i="1"/>
  <c r="C5274" i="1"/>
  <c r="C5273" i="1"/>
  <c r="C5272" i="1"/>
  <c r="C5271" i="1"/>
  <c r="C5270" i="1"/>
  <c r="C5268" i="1"/>
  <c r="C5266" i="1"/>
  <c r="C5265" i="1"/>
  <c r="C5264" i="1"/>
  <c r="C5263" i="1"/>
  <c r="C5262" i="1"/>
  <c r="C5261" i="1"/>
  <c r="C5260" i="1"/>
  <c r="C5259" i="1"/>
  <c r="C5258" i="1"/>
  <c r="C5257" i="1"/>
  <c r="C5256" i="1"/>
  <c r="C5255" i="1"/>
  <c r="C5253" i="1"/>
  <c r="C5251" i="1"/>
  <c r="C5250" i="1"/>
  <c r="C5249" i="1"/>
  <c r="C5248" i="1"/>
  <c r="C5247" i="1"/>
  <c r="C5246" i="1"/>
  <c r="C5245" i="1"/>
  <c r="C5244" i="1"/>
  <c r="C5243" i="1"/>
  <c r="C5242" i="1"/>
  <c r="C5241" i="1"/>
  <c r="C5240" i="1"/>
  <c r="C5239" i="1"/>
  <c r="C5238" i="1"/>
  <c r="C5237" i="1"/>
  <c r="C5236" i="1"/>
  <c r="C5234" i="1"/>
  <c r="C5232" i="1"/>
  <c r="C5231" i="1"/>
  <c r="C5230" i="1"/>
  <c r="C5229" i="1"/>
  <c r="C5228" i="1"/>
  <c r="C5227" i="1"/>
  <c r="C5226" i="1"/>
  <c r="C5225" i="1"/>
  <c r="C5224" i="1"/>
  <c r="C5223" i="1"/>
  <c r="C5222" i="1"/>
  <c r="C5221" i="1"/>
  <c r="C5219" i="1"/>
  <c r="C5217" i="1"/>
  <c r="C5216" i="1"/>
  <c r="C5215" i="1"/>
  <c r="C5214" i="1"/>
  <c r="C5213" i="1"/>
  <c r="C5212" i="1"/>
  <c r="C5211" i="1"/>
  <c r="C5210" i="1"/>
  <c r="C5209" i="1"/>
  <c r="C5208" i="1"/>
  <c r="C5207" i="1"/>
  <c r="C5206" i="1"/>
  <c r="C5205" i="1"/>
  <c r="C5204" i="1"/>
  <c r="C5203" i="1"/>
  <c r="C5202" i="1"/>
  <c r="C5200" i="1"/>
  <c r="C5198" i="1"/>
  <c r="C5197" i="1"/>
  <c r="C5196" i="1"/>
  <c r="C5195" i="1"/>
  <c r="C5194" i="1"/>
  <c r="C5193" i="1"/>
  <c r="C5192" i="1"/>
  <c r="C5191" i="1"/>
  <c r="C5190" i="1"/>
  <c r="C5189" i="1"/>
  <c r="C5188" i="1"/>
  <c r="C5187" i="1"/>
  <c r="C5185" i="1"/>
  <c r="C5183" i="1"/>
  <c r="C5182" i="1"/>
  <c r="C5181" i="1"/>
  <c r="C5180" i="1"/>
  <c r="C5179" i="1"/>
  <c r="C5178" i="1"/>
  <c r="C5177" i="1"/>
  <c r="C5176" i="1"/>
  <c r="C5175" i="1"/>
  <c r="C5174" i="1"/>
  <c r="C5173" i="1"/>
  <c r="C5172" i="1"/>
  <c r="C5171" i="1"/>
  <c r="C5170" i="1"/>
  <c r="C5169" i="1"/>
  <c r="C5168" i="1"/>
  <c r="C5166" i="1"/>
  <c r="C5164" i="1"/>
  <c r="C5163" i="1"/>
  <c r="C5162" i="1"/>
  <c r="C5161" i="1"/>
  <c r="C5160" i="1"/>
  <c r="C5159" i="1"/>
  <c r="C5158" i="1"/>
  <c r="C5157" i="1"/>
  <c r="C5156" i="1"/>
  <c r="C5155" i="1"/>
  <c r="C5154" i="1"/>
  <c r="C5153" i="1"/>
  <c r="C5151" i="1"/>
  <c r="C5149" i="1"/>
  <c r="C5148" i="1"/>
  <c r="C5147" i="1"/>
  <c r="C5146" i="1"/>
  <c r="C5145" i="1"/>
  <c r="C5144" i="1"/>
  <c r="C5143" i="1"/>
  <c r="C5142" i="1"/>
  <c r="C5141" i="1"/>
  <c r="C5140" i="1"/>
  <c r="C5139" i="1"/>
  <c r="C5138" i="1"/>
  <c r="C5137" i="1"/>
  <c r="C5136" i="1"/>
  <c r="C5135" i="1"/>
  <c r="C5134" i="1"/>
  <c r="C5132" i="1"/>
  <c r="C5130" i="1"/>
  <c r="C5129" i="1"/>
  <c r="C5128" i="1"/>
  <c r="C5127" i="1"/>
  <c r="C5126" i="1"/>
  <c r="C5125" i="1"/>
  <c r="C5124" i="1"/>
  <c r="C5123" i="1"/>
  <c r="C5122" i="1"/>
  <c r="C5121" i="1"/>
  <c r="C5120" i="1"/>
  <c r="C5119" i="1"/>
  <c r="C5117" i="1"/>
  <c r="C5115" i="1"/>
  <c r="C5114" i="1"/>
  <c r="C5113" i="1"/>
  <c r="C5112" i="1"/>
  <c r="C5111" i="1"/>
  <c r="C5110" i="1"/>
  <c r="C5109" i="1"/>
  <c r="C5108" i="1"/>
  <c r="C5107" i="1"/>
  <c r="C5106" i="1"/>
  <c r="C5105" i="1"/>
  <c r="C5104" i="1"/>
  <c r="C5103" i="1"/>
  <c r="C5102" i="1"/>
  <c r="C5101" i="1"/>
  <c r="C5100" i="1"/>
  <c r="C5098" i="1"/>
  <c r="C5096" i="1"/>
  <c r="C5095" i="1"/>
  <c r="C5094" i="1"/>
  <c r="C5093" i="1"/>
  <c r="C5092" i="1"/>
  <c r="C5091" i="1"/>
  <c r="C5090" i="1"/>
  <c r="C5089" i="1"/>
  <c r="C5088" i="1"/>
  <c r="C5087" i="1"/>
  <c r="C5086" i="1"/>
  <c r="C5085" i="1"/>
  <c r="C5083" i="1"/>
  <c r="C5081" i="1"/>
  <c r="C5080" i="1"/>
  <c r="C5079" i="1"/>
  <c r="C5078" i="1"/>
  <c r="C5077" i="1"/>
  <c r="C5076" i="1"/>
  <c r="C5075" i="1"/>
  <c r="C5074" i="1"/>
  <c r="C5073" i="1"/>
  <c r="C5072" i="1"/>
  <c r="C5071" i="1"/>
  <c r="C5070" i="1"/>
  <c r="C5069" i="1"/>
  <c r="C5068" i="1"/>
  <c r="C5067" i="1"/>
  <c r="C5066" i="1"/>
  <c r="C5064" i="1"/>
  <c r="C5062" i="1"/>
  <c r="C5061" i="1"/>
  <c r="C5060" i="1"/>
  <c r="C5059" i="1"/>
  <c r="C5058" i="1"/>
  <c r="C5057" i="1"/>
  <c r="C5056" i="1"/>
  <c r="C5055" i="1"/>
  <c r="C5054" i="1"/>
  <c r="C5053" i="1"/>
  <c r="C5052" i="1"/>
  <c r="C5051" i="1"/>
  <c r="C5049" i="1"/>
  <c r="C5047" i="1"/>
  <c r="C5046" i="1"/>
  <c r="C5045" i="1"/>
  <c r="C5044" i="1"/>
  <c r="C5043" i="1"/>
  <c r="C5042" i="1"/>
  <c r="C5041" i="1"/>
  <c r="C5040" i="1"/>
  <c r="C5039" i="1"/>
  <c r="C5038" i="1"/>
  <c r="C5037" i="1"/>
  <c r="C5036" i="1"/>
  <c r="C5035" i="1"/>
  <c r="C5034" i="1"/>
  <c r="C5033" i="1"/>
  <c r="C5032" i="1"/>
  <c r="C5030" i="1"/>
  <c r="C5028" i="1"/>
  <c r="C5027" i="1"/>
  <c r="C5026" i="1"/>
  <c r="C5025" i="1"/>
  <c r="C5024" i="1"/>
  <c r="C5023" i="1"/>
  <c r="C5022" i="1"/>
  <c r="C5021" i="1"/>
  <c r="C5020" i="1"/>
  <c r="C5019" i="1"/>
  <c r="C5018" i="1"/>
  <c r="C5017" i="1"/>
  <c r="C5015" i="1"/>
  <c r="C5013" i="1"/>
  <c r="C5012" i="1"/>
  <c r="C5011" i="1"/>
  <c r="C5010" i="1"/>
  <c r="C5009" i="1"/>
  <c r="C5008" i="1"/>
  <c r="C5007" i="1"/>
  <c r="C5006" i="1"/>
  <c r="C5005" i="1"/>
  <c r="C5004" i="1"/>
  <c r="C5003" i="1"/>
  <c r="C5002" i="1"/>
  <c r="C5001" i="1"/>
  <c r="C5000" i="1"/>
  <c r="C4999" i="1"/>
  <c r="C4998" i="1"/>
  <c r="C4996" i="1"/>
  <c r="C4994" i="1"/>
  <c r="C4993" i="1"/>
  <c r="C4992" i="1"/>
  <c r="C4991" i="1"/>
  <c r="C4990" i="1"/>
  <c r="C4989" i="1"/>
  <c r="C4988" i="1"/>
  <c r="C4987" i="1"/>
  <c r="C4986" i="1"/>
  <c r="C4985" i="1"/>
  <c r="C4984" i="1"/>
  <c r="C4983" i="1"/>
  <c r="C4981" i="1"/>
  <c r="C4979" i="1"/>
  <c r="C4978" i="1"/>
  <c r="C4977" i="1"/>
  <c r="C4976" i="1"/>
  <c r="C4975" i="1"/>
  <c r="C4974" i="1"/>
  <c r="C4973" i="1"/>
  <c r="C4972" i="1"/>
  <c r="C4971" i="1"/>
  <c r="C4970" i="1"/>
  <c r="C4969" i="1"/>
  <c r="C4968" i="1"/>
  <c r="C4967" i="1"/>
  <c r="C4966" i="1"/>
  <c r="C4965" i="1"/>
  <c r="C4964" i="1"/>
  <c r="C4962" i="1"/>
  <c r="C4960" i="1"/>
  <c r="C4959" i="1"/>
  <c r="C4958" i="1"/>
  <c r="C4957" i="1"/>
  <c r="C4956" i="1"/>
  <c r="C4955" i="1"/>
  <c r="C4954" i="1"/>
  <c r="C4953" i="1"/>
  <c r="C4952" i="1"/>
  <c r="C4951" i="1"/>
  <c r="C4950" i="1"/>
  <c r="C4949" i="1"/>
  <c r="C4947" i="1"/>
  <c r="C4945" i="1"/>
  <c r="C4944" i="1"/>
  <c r="C4943" i="1"/>
  <c r="C4942" i="1"/>
  <c r="C4941" i="1"/>
  <c r="C4940" i="1"/>
  <c r="C4939" i="1"/>
  <c r="C4938" i="1"/>
  <c r="C4937" i="1"/>
  <c r="C4936" i="1"/>
  <c r="C4935" i="1"/>
  <c r="C4934" i="1"/>
  <c r="C4933" i="1"/>
  <c r="C4932" i="1"/>
  <c r="C4931" i="1"/>
  <c r="C4930" i="1"/>
  <c r="C4928" i="1"/>
  <c r="C4926" i="1"/>
  <c r="C4925" i="1"/>
  <c r="C4924" i="1"/>
  <c r="C4923" i="1"/>
  <c r="C4922" i="1"/>
  <c r="C4921" i="1"/>
  <c r="C4920" i="1"/>
  <c r="C4919" i="1"/>
  <c r="C4918" i="1"/>
  <c r="C4917" i="1"/>
  <c r="C4916" i="1"/>
  <c r="C4915" i="1"/>
  <c r="C4913" i="1"/>
  <c r="C4911" i="1"/>
  <c r="C4910" i="1"/>
  <c r="C4909" i="1"/>
  <c r="C4908" i="1"/>
  <c r="C4907" i="1"/>
  <c r="C4906" i="1"/>
  <c r="C4905" i="1"/>
  <c r="C4904" i="1"/>
  <c r="C4903" i="1"/>
  <c r="C4902" i="1"/>
  <c r="C4901" i="1"/>
  <c r="C4900" i="1"/>
  <c r="C4899" i="1"/>
  <c r="C4898" i="1"/>
  <c r="C4897" i="1"/>
  <c r="C4896" i="1"/>
  <c r="C4894" i="1"/>
  <c r="C4892" i="1"/>
  <c r="C4891" i="1"/>
  <c r="C4890" i="1"/>
  <c r="C4889" i="1"/>
  <c r="C4888" i="1"/>
  <c r="C4887" i="1"/>
  <c r="C4886" i="1"/>
  <c r="C4885" i="1"/>
  <c r="C4884" i="1"/>
  <c r="C4883" i="1"/>
  <c r="C4882" i="1"/>
  <c r="C4881" i="1"/>
  <c r="C4879" i="1"/>
  <c r="C4877" i="1"/>
  <c r="C4876" i="1"/>
  <c r="C4875" i="1"/>
  <c r="C4874" i="1"/>
  <c r="C4873" i="1"/>
  <c r="C4872" i="1"/>
  <c r="C4871" i="1"/>
  <c r="C4870" i="1"/>
  <c r="C4869" i="1"/>
  <c r="C4868" i="1"/>
  <c r="C4867" i="1"/>
  <c r="C4866" i="1"/>
  <c r="C4865" i="1"/>
  <c r="C4864" i="1"/>
  <c r="C4863" i="1"/>
  <c r="C4862" i="1"/>
  <c r="C4860" i="1"/>
  <c r="C4858" i="1"/>
  <c r="C4857" i="1"/>
  <c r="C4856" i="1"/>
  <c r="C4855" i="1"/>
  <c r="C4854" i="1"/>
  <c r="C4853" i="1"/>
  <c r="C4852" i="1"/>
  <c r="C4851" i="1"/>
  <c r="C4850" i="1"/>
  <c r="C4849" i="1"/>
  <c r="C4848" i="1"/>
  <c r="C4847" i="1"/>
  <c r="C4845" i="1"/>
  <c r="C4843" i="1"/>
  <c r="C4842" i="1"/>
  <c r="C4841" i="1"/>
  <c r="C4840" i="1"/>
  <c r="C4839" i="1"/>
  <c r="C4838" i="1"/>
  <c r="C4837" i="1"/>
  <c r="C4836" i="1"/>
  <c r="C4835" i="1"/>
  <c r="C4834" i="1"/>
  <c r="C4833" i="1"/>
  <c r="C4832" i="1"/>
  <c r="C4831" i="1"/>
  <c r="C4830" i="1"/>
  <c r="C4829" i="1"/>
  <c r="C4828" i="1"/>
  <c r="C4826" i="1"/>
  <c r="C4824" i="1"/>
  <c r="C4823" i="1"/>
  <c r="C4822" i="1"/>
  <c r="C4821" i="1"/>
  <c r="C4820" i="1"/>
  <c r="C4819" i="1"/>
  <c r="C4818" i="1"/>
  <c r="C4817" i="1"/>
  <c r="C4816" i="1"/>
  <c r="C4815" i="1"/>
  <c r="C4814" i="1"/>
  <c r="C4813" i="1"/>
  <c r="C4811" i="1"/>
  <c r="C4809" i="1"/>
  <c r="C4808" i="1"/>
  <c r="C4807" i="1"/>
  <c r="C4806" i="1"/>
  <c r="C4805" i="1"/>
  <c r="C4804" i="1"/>
  <c r="C4803" i="1"/>
  <c r="C4802" i="1"/>
  <c r="C4801" i="1"/>
  <c r="C4800" i="1"/>
  <c r="C4799" i="1"/>
  <c r="C4798" i="1"/>
  <c r="C4797" i="1"/>
  <c r="C4796" i="1"/>
  <c r="C4795" i="1"/>
  <c r="C4794" i="1"/>
  <c r="C4792" i="1"/>
  <c r="C4790" i="1"/>
  <c r="C4789" i="1"/>
  <c r="C4788" i="1"/>
  <c r="C4787" i="1"/>
  <c r="C4786" i="1"/>
  <c r="C4785" i="1"/>
  <c r="C4784" i="1"/>
  <c r="C4783" i="1"/>
  <c r="C4782" i="1"/>
  <c r="C4781" i="1"/>
  <c r="C4780" i="1"/>
  <c r="C4779" i="1"/>
  <c r="C4777" i="1"/>
  <c r="C4775" i="1"/>
  <c r="C4774" i="1"/>
  <c r="C4773" i="1"/>
  <c r="C4772" i="1"/>
  <c r="C4771" i="1"/>
  <c r="C4770" i="1"/>
  <c r="C4769" i="1"/>
  <c r="C4768" i="1"/>
  <c r="C4767" i="1"/>
  <c r="C4766" i="1"/>
  <c r="C4765" i="1"/>
  <c r="C4764" i="1"/>
  <c r="C4763" i="1"/>
  <c r="C4762" i="1"/>
  <c r="C4761" i="1"/>
  <c r="C4760" i="1"/>
  <c r="C4758" i="1"/>
  <c r="C4756" i="1"/>
  <c r="C4755" i="1"/>
  <c r="C4754" i="1"/>
  <c r="C4753" i="1"/>
  <c r="C4752" i="1"/>
  <c r="C4751" i="1"/>
  <c r="C4750" i="1"/>
  <c r="C4749" i="1"/>
  <c r="C4748" i="1"/>
  <c r="C4747" i="1"/>
  <c r="C4746" i="1"/>
  <c r="C4745" i="1"/>
  <c r="C4743" i="1"/>
  <c r="C4741" i="1"/>
  <c r="C4740" i="1"/>
  <c r="C4739" i="1"/>
  <c r="C4738" i="1"/>
  <c r="C4737" i="1"/>
  <c r="C4736" i="1"/>
  <c r="C4735" i="1"/>
  <c r="C4734" i="1"/>
  <c r="C4733" i="1"/>
  <c r="C4732" i="1"/>
  <c r="C4731" i="1"/>
  <c r="C4730" i="1"/>
  <c r="C4729" i="1"/>
  <c r="C4728" i="1"/>
  <c r="C4727" i="1"/>
  <c r="C4726" i="1"/>
  <c r="C4724" i="1"/>
  <c r="C4722" i="1"/>
  <c r="C4721" i="1"/>
  <c r="C4720" i="1"/>
  <c r="C4719" i="1"/>
  <c r="C4718" i="1"/>
  <c r="C4717" i="1"/>
  <c r="C4716" i="1"/>
  <c r="C4715" i="1"/>
  <c r="C4714" i="1"/>
  <c r="C4713" i="1"/>
  <c r="C4712" i="1"/>
  <c r="C4711" i="1"/>
  <c r="C4709" i="1"/>
  <c r="C4707" i="1"/>
  <c r="C4706" i="1"/>
  <c r="C4705" i="1"/>
  <c r="C4704" i="1"/>
  <c r="C4703" i="1"/>
  <c r="C4702" i="1"/>
  <c r="C4701" i="1"/>
  <c r="C4700" i="1"/>
  <c r="C4699" i="1"/>
  <c r="C4698" i="1"/>
  <c r="C4697" i="1"/>
  <c r="C4696" i="1"/>
  <c r="C4695" i="1"/>
  <c r="C4694" i="1"/>
  <c r="C4693" i="1"/>
  <c r="C4692" i="1"/>
  <c r="C4690" i="1"/>
  <c r="C4688" i="1"/>
  <c r="C4687" i="1"/>
  <c r="C4686" i="1"/>
  <c r="C4685" i="1"/>
  <c r="C4684" i="1"/>
  <c r="C4683" i="1"/>
  <c r="C4682" i="1"/>
  <c r="C4681" i="1"/>
  <c r="C4680" i="1"/>
  <c r="C4679" i="1"/>
  <c r="C4678" i="1"/>
  <c r="C4676" i="1"/>
  <c r="C4674" i="1"/>
  <c r="C4673" i="1"/>
  <c r="C4672" i="1"/>
  <c r="C4671" i="1"/>
  <c r="C4670" i="1"/>
  <c r="C4668" i="1"/>
  <c r="C4666" i="1"/>
  <c r="C4665" i="1"/>
  <c r="C4664" i="1"/>
  <c r="C4663" i="1"/>
  <c r="C4662" i="1"/>
  <c r="C4661" i="1"/>
  <c r="C4660" i="1"/>
  <c r="C4659" i="1"/>
  <c r="C4658" i="1"/>
  <c r="C4656" i="1"/>
  <c r="C4654" i="1"/>
  <c r="C4653" i="1"/>
  <c r="C4652" i="1"/>
  <c r="C4651" i="1"/>
  <c r="C4650" i="1"/>
  <c r="C4648" i="1"/>
  <c r="C4646" i="1"/>
  <c r="C4645" i="1"/>
  <c r="C4644" i="1"/>
  <c r="C4643" i="1"/>
  <c r="C4642" i="1"/>
  <c r="C4641" i="1"/>
  <c r="C4640" i="1"/>
  <c r="C4639" i="1"/>
  <c r="C4637" i="1"/>
  <c r="C4635" i="1"/>
  <c r="C4634" i="1"/>
  <c r="C4633" i="1"/>
  <c r="C4632" i="1"/>
  <c r="C4631" i="1"/>
  <c r="C4630" i="1"/>
  <c r="C4629" i="1"/>
  <c r="C4628" i="1"/>
  <c r="C4627" i="1"/>
  <c r="C4626" i="1"/>
  <c r="C4625" i="1"/>
  <c r="C4624" i="1"/>
  <c r="C4623" i="1"/>
  <c r="C4622" i="1"/>
  <c r="C4621" i="1"/>
  <c r="C4620" i="1"/>
  <c r="C4618" i="1"/>
  <c r="C4616" i="1"/>
  <c r="C4615" i="1"/>
  <c r="C4614" i="1"/>
  <c r="C4613" i="1"/>
  <c r="C4612" i="1"/>
  <c r="C4611" i="1"/>
  <c r="C4610" i="1"/>
  <c r="C4609" i="1"/>
  <c r="C4608" i="1"/>
  <c r="C4607" i="1"/>
  <c r="C4606" i="1"/>
  <c r="C4605" i="1"/>
  <c r="C4603" i="1"/>
  <c r="C4601" i="1"/>
  <c r="C4600" i="1"/>
  <c r="C4599" i="1"/>
  <c r="C4598" i="1"/>
  <c r="C4597" i="1"/>
  <c r="C4596" i="1"/>
  <c r="C4595" i="1"/>
  <c r="C4594" i="1"/>
  <c r="C4593" i="1"/>
  <c r="C4592" i="1"/>
  <c r="C4591" i="1"/>
  <c r="C4590" i="1"/>
  <c r="C4589" i="1"/>
  <c r="C4588" i="1"/>
  <c r="C4587" i="1"/>
  <c r="C4586" i="1"/>
  <c r="C4584" i="1"/>
  <c r="C4582" i="1"/>
  <c r="C4581" i="1"/>
  <c r="C4580" i="1"/>
  <c r="C4579" i="1"/>
  <c r="C4578" i="1"/>
  <c r="C4577" i="1"/>
  <c r="C4576" i="1"/>
  <c r="C4575" i="1"/>
  <c r="C4574" i="1"/>
  <c r="C4573" i="1"/>
  <c r="C4572" i="1"/>
  <c r="C4571" i="1"/>
  <c r="C4569" i="1"/>
  <c r="C4567" i="1"/>
  <c r="C4566" i="1"/>
  <c r="C4565" i="1"/>
  <c r="C4564" i="1"/>
  <c r="C4563" i="1"/>
  <c r="C4562" i="1"/>
  <c r="C4561" i="1"/>
  <c r="C4560" i="1"/>
  <c r="C4559" i="1"/>
  <c r="C4558" i="1"/>
  <c r="C4557" i="1"/>
  <c r="C4556" i="1"/>
  <c r="C4555" i="1"/>
  <c r="C4554" i="1"/>
  <c r="C4553" i="1"/>
  <c r="C4552" i="1"/>
  <c r="C4550" i="1"/>
  <c r="C4548" i="1"/>
  <c r="C4547" i="1"/>
  <c r="C4546" i="1"/>
  <c r="C4545" i="1"/>
  <c r="C4544" i="1"/>
  <c r="C4543" i="1"/>
  <c r="C4542" i="1"/>
  <c r="C4541" i="1"/>
  <c r="C4540" i="1"/>
  <c r="C4539" i="1"/>
  <c r="C4538" i="1"/>
  <c r="C4537" i="1"/>
  <c r="C4535" i="1"/>
  <c r="C4533" i="1"/>
  <c r="C4532" i="1"/>
  <c r="C4531" i="1"/>
  <c r="C4530" i="1"/>
  <c r="C4529" i="1"/>
  <c r="C4528" i="1"/>
  <c r="C4527" i="1"/>
  <c r="C4526" i="1"/>
  <c r="C4525" i="1"/>
  <c r="C4524" i="1"/>
  <c r="C4523" i="1"/>
  <c r="C4522" i="1"/>
  <c r="C4521" i="1"/>
  <c r="C4520" i="1"/>
  <c r="C4519" i="1"/>
  <c r="C4518" i="1"/>
  <c r="C4516" i="1"/>
  <c r="C4514" i="1"/>
  <c r="C4513" i="1"/>
  <c r="C4512" i="1"/>
  <c r="C4511" i="1"/>
  <c r="C4510" i="1"/>
  <c r="C4509" i="1"/>
  <c r="C4508" i="1"/>
  <c r="C4507" i="1"/>
  <c r="C4506" i="1"/>
  <c r="C4505" i="1"/>
  <c r="C4504" i="1"/>
  <c r="C4503" i="1"/>
  <c r="C4501" i="1"/>
  <c r="C4499" i="1"/>
  <c r="C4498" i="1"/>
  <c r="C4497" i="1"/>
  <c r="C4496" i="1"/>
  <c r="C4495" i="1"/>
  <c r="C4494" i="1"/>
  <c r="C4493" i="1"/>
  <c r="C4492" i="1"/>
  <c r="C4491" i="1"/>
  <c r="C4490" i="1"/>
  <c r="C4489" i="1"/>
  <c r="C4488" i="1"/>
  <c r="C4487" i="1"/>
  <c r="C4486" i="1"/>
  <c r="C4485" i="1"/>
  <c r="C4484" i="1"/>
  <c r="C4482" i="1"/>
  <c r="C4480" i="1"/>
  <c r="C4479" i="1"/>
  <c r="C4478" i="1"/>
  <c r="C4477" i="1"/>
  <c r="C4476" i="1"/>
  <c r="C4475" i="1"/>
  <c r="C4474" i="1"/>
  <c r="C4473" i="1"/>
  <c r="C4472" i="1"/>
  <c r="C4471" i="1"/>
  <c r="C4470" i="1"/>
  <c r="C4469" i="1"/>
  <c r="C4467" i="1"/>
  <c r="C4465" i="1"/>
  <c r="C4464" i="1"/>
  <c r="C4463" i="1"/>
  <c r="C4462" i="1"/>
  <c r="C4461" i="1"/>
  <c r="C4460" i="1"/>
  <c r="C4459" i="1"/>
  <c r="C4458" i="1"/>
  <c r="C4457" i="1"/>
  <c r="C4456" i="1"/>
  <c r="C4455" i="1"/>
  <c r="C4454" i="1"/>
  <c r="C4453" i="1"/>
  <c r="C4452" i="1"/>
  <c r="C4451" i="1"/>
  <c r="C4450" i="1"/>
  <c r="C4448" i="1"/>
  <c r="C4446" i="1"/>
  <c r="C4445" i="1"/>
  <c r="C4444" i="1"/>
  <c r="C4443" i="1"/>
  <c r="C4442" i="1"/>
  <c r="C4441" i="1"/>
  <c r="C4440" i="1"/>
  <c r="C4439" i="1"/>
  <c r="C4438" i="1"/>
  <c r="C4437" i="1"/>
  <c r="C4436" i="1"/>
  <c r="C4435" i="1"/>
  <c r="C4433" i="1"/>
  <c r="C4431" i="1"/>
  <c r="C4430" i="1"/>
  <c r="C4429" i="1"/>
  <c r="C4428" i="1"/>
  <c r="C4427" i="1"/>
  <c r="C4426" i="1"/>
  <c r="C4425" i="1"/>
  <c r="C4424" i="1"/>
  <c r="C4423" i="1"/>
  <c r="C4422" i="1"/>
  <c r="C4421" i="1"/>
  <c r="C4420" i="1"/>
  <c r="C4419" i="1"/>
  <c r="C4418" i="1"/>
  <c r="C4417" i="1"/>
  <c r="C4416" i="1"/>
  <c r="C4414" i="1"/>
  <c r="C4412" i="1"/>
  <c r="C4411" i="1"/>
  <c r="C4410" i="1"/>
  <c r="C4409" i="1"/>
  <c r="C4408" i="1"/>
  <c r="C4407" i="1"/>
  <c r="C4406" i="1"/>
  <c r="C4405" i="1"/>
  <c r="C4404" i="1"/>
  <c r="C4403" i="1"/>
  <c r="C4402" i="1"/>
  <c r="C4401" i="1"/>
  <c r="C4399" i="1"/>
  <c r="C4397" i="1"/>
  <c r="C4396" i="1"/>
  <c r="C4395" i="1"/>
  <c r="C4394" i="1"/>
  <c r="C4393" i="1"/>
  <c r="C4392" i="1"/>
  <c r="C4391" i="1"/>
  <c r="C4390" i="1"/>
  <c r="C4389" i="1"/>
  <c r="C4388" i="1"/>
  <c r="C4387" i="1"/>
  <c r="C4386" i="1"/>
  <c r="C4385" i="1"/>
  <c r="C4384" i="1"/>
  <c r="C4383" i="1"/>
  <c r="C4382" i="1"/>
  <c r="C4380" i="1"/>
  <c r="C4378" i="1"/>
  <c r="C4377" i="1"/>
  <c r="C4376" i="1"/>
  <c r="C4375" i="1"/>
  <c r="C4374" i="1"/>
  <c r="C4373" i="1"/>
  <c r="C4372" i="1"/>
  <c r="C4371" i="1"/>
  <c r="C4370" i="1"/>
  <c r="C4369" i="1"/>
  <c r="C4368" i="1"/>
  <c r="C4367" i="1"/>
  <c r="C4365" i="1"/>
  <c r="C4363" i="1"/>
  <c r="C4362" i="1"/>
  <c r="C4361" i="1"/>
  <c r="C4360" i="1"/>
  <c r="C4359" i="1"/>
  <c r="C4358" i="1"/>
  <c r="C4357" i="1"/>
  <c r="C4356" i="1"/>
  <c r="C4355" i="1"/>
  <c r="C4354" i="1"/>
  <c r="C4353" i="1"/>
  <c r="C4352" i="1"/>
  <c r="C4351" i="1"/>
  <c r="C4350" i="1"/>
  <c r="C4349" i="1"/>
  <c r="C4348" i="1"/>
  <c r="C4346" i="1"/>
  <c r="C4344" i="1"/>
  <c r="C4343" i="1"/>
  <c r="C4342" i="1"/>
  <c r="C4341" i="1"/>
  <c r="C4340" i="1"/>
  <c r="C4339" i="1"/>
  <c r="C4338" i="1"/>
  <c r="C4337" i="1"/>
  <c r="C4336" i="1"/>
  <c r="C4335" i="1"/>
  <c r="C4334" i="1"/>
  <c r="C4333" i="1"/>
  <c r="C4331" i="1"/>
  <c r="C4329" i="1"/>
  <c r="C4328" i="1"/>
  <c r="C4327" i="1"/>
  <c r="C4326" i="1"/>
  <c r="C4325" i="1"/>
  <c r="C4324" i="1"/>
  <c r="C4323" i="1"/>
  <c r="C4322" i="1"/>
  <c r="C4321" i="1"/>
  <c r="C4320" i="1"/>
  <c r="C4319" i="1"/>
  <c r="C4318" i="1"/>
  <c r="C4317" i="1"/>
  <c r="C4316" i="1"/>
  <c r="C4315" i="1"/>
  <c r="C4314" i="1"/>
  <c r="C4312" i="1"/>
  <c r="C4310" i="1"/>
  <c r="C4309" i="1"/>
  <c r="C4308" i="1"/>
  <c r="C4307" i="1"/>
  <c r="C4306" i="1"/>
  <c r="C4305" i="1"/>
  <c r="C4304" i="1"/>
  <c r="C4303" i="1"/>
  <c r="C4302" i="1"/>
  <c r="C4301" i="1"/>
  <c r="C4300" i="1"/>
  <c r="C4299" i="1"/>
  <c r="C4297" i="1"/>
  <c r="C4295" i="1"/>
  <c r="C4294" i="1"/>
  <c r="C4293" i="1"/>
  <c r="C4292" i="1"/>
  <c r="C4291" i="1"/>
  <c r="C4290" i="1"/>
  <c r="C4289" i="1"/>
  <c r="C4288" i="1"/>
  <c r="C4287" i="1"/>
  <c r="C4286" i="1"/>
  <c r="C4285" i="1"/>
  <c r="C4284" i="1"/>
  <c r="C4283" i="1"/>
  <c r="C4282" i="1"/>
  <c r="C4281" i="1"/>
  <c r="C4280" i="1"/>
  <c r="C4278" i="1"/>
  <c r="C4276" i="1"/>
  <c r="C4275" i="1"/>
  <c r="C4274" i="1"/>
  <c r="C4273" i="1"/>
  <c r="C4272" i="1"/>
  <c r="C4271" i="1"/>
  <c r="C4270" i="1"/>
  <c r="C4269" i="1"/>
  <c r="C4268" i="1"/>
  <c r="C4267" i="1"/>
  <c r="C4266" i="1"/>
  <c r="C4265" i="1"/>
  <c r="C4263" i="1"/>
  <c r="C4261" i="1"/>
  <c r="C4260" i="1"/>
  <c r="C4259" i="1"/>
  <c r="C4258" i="1"/>
  <c r="C4257" i="1"/>
  <c r="C4256" i="1"/>
  <c r="C4255" i="1"/>
  <c r="C4254" i="1"/>
  <c r="C4253" i="1"/>
  <c r="C4252" i="1"/>
  <c r="C4251" i="1"/>
  <c r="C4250" i="1"/>
  <c r="C4249" i="1"/>
  <c r="C4248" i="1"/>
  <c r="C4247" i="1"/>
  <c r="C4246" i="1"/>
  <c r="C4244" i="1"/>
  <c r="C4242" i="1"/>
  <c r="C4241" i="1"/>
  <c r="C4240" i="1"/>
  <c r="C4239" i="1"/>
  <c r="C4238" i="1"/>
  <c r="C4237" i="1"/>
  <c r="C4236" i="1"/>
  <c r="C4235" i="1"/>
  <c r="C4234" i="1"/>
  <c r="C4233" i="1"/>
  <c r="C4232" i="1"/>
  <c r="C4231" i="1"/>
  <c r="C4229" i="1"/>
  <c r="C4227" i="1"/>
  <c r="C4226" i="1"/>
  <c r="C4225" i="1"/>
  <c r="C4224" i="1"/>
  <c r="C4223" i="1"/>
  <c r="C4222" i="1"/>
  <c r="C4221" i="1"/>
  <c r="C4220" i="1"/>
  <c r="C4219" i="1"/>
  <c r="C4218" i="1"/>
  <c r="C4217" i="1"/>
  <c r="C4216" i="1"/>
  <c r="C4215" i="1"/>
  <c r="C4214" i="1"/>
  <c r="C4213" i="1"/>
  <c r="C4212" i="1"/>
  <c r="C4210" i="1"/>
  <c r="C4208" i="1"/>
  <c r="C4207" i="1"/>
  <c r="C4206" i="1"/>
  <c r="C4205" i="1"/>
  <c r="C4204" i="1"/>
  <c r="C4203" i="1"/>
  <c r="C4202" i="1"/>
  <c r="C4201" i="1"/>
  <c r="C4200" i="1"/>
  <c r="C4199" i="1"/>
  <c r="C4198" i="1"/>
  <c r="C4197" i="1"/>
  <c r="C4195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6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1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2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7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8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3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4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59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0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5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6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1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2" i="1"/>
  <c r="C3970" i="1"/>
  <c r="C3969" i="1"/>
  <c r="C3968" i="1"/>
  <c r="C3967" i="1"/>
  <c r="C3966" i="1"/>
  <c r="C3965" i="1"/>
  <c r="C3964" i="1"/>
  <c r="C3963" i="1"/>
  <c r="C3962" i="1"/>
  <c r="C3961" i="1"/>
  <c r="C3960" i="1"/>
  <c r="C3958" i="1"/>
  <c r="C3956" i="1"/>
  <c r="C3955" i="1"/>
  <c r="C3954" i="1"/>
  <c r="C3953" i="1"/>
  <c r="C3952" i="1"/>
  <c r="C3950" i="1"/>
  <c r="C3948" i="1"/>
  <c r="C3947" i="1"/>
  <c r="C3946" i="1"/>
  <c r="C3945" i="1"/>
  <c r="C3944" i="1"/>
  <c r="C3943" i="1"/>
  <c r="C3942" i="1"/>
  <c r="C3941" i="1"/>
  <c r="C3940" i="1"/>
  <c r="C3938" i="1"/>
  <c r="C3936" i="1"/>
  <c r="C3935" i="1"/>
  <c r="C3934" i="1"/>
  <c r="C3933" i="1"/>
  <c r="C3932" i="1"/>
  <c r="C3930" i="1"/>
  <c r="C3928" i="1"/>
  <c r="C3927" i="1"/>
  <c r="C3926" i="1"/>
  <c r="C3925" i="1"/>
  <c r="C3924" i="1"/>
  <c r="C3923" i="1"/>
  <c r="C3922" i="1"/>
  <c r="C3921" i="1"/>
  <c r="C3919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0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5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6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1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2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7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8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3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4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49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0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5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6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1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2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7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8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3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4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79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0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5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6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1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2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7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8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3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4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09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0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5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6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1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2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7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8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3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4" i="1"/>
  <c r="C3252" i="1"/>
  <c r="C3251" i="1"/>
  <c r="C3250" i="1"/>
  <c r="C3249" i="1"/>
  <c r="C3248" i="1"/>
  <c r="C3247" i="1"/>
  <c r="C3246" i="1"/>
  <c r="C3245" i="1"/>
  <c r="C3244" i="1"/>
  <c r="C3243" i="1"/>
  <c r="C3242" i="1"/>
  <c r="C3240" i="1"/>
  <c r="C3238" i="1"/>
  <c r="C3237" i="1"/>
  <c r="C3236" i="1"/>
  <c r="C3235" i="1"/>
  <c r="C3234" i="1"/>
  <c r="C3232" i="1"/>
  <c r="C3230" i="1"/>
  <c r="C3229" i="1"/>
  <c r="C3228" i="1"/>
  <c r="C3227" i="1"/>
  <c r="C3226" i="1"/>
  <c r="C3225" i="1"/>
  <c r="C3224" i="1"/>
  <c r="C3223" i="1"/>
  <c r="C3222" i="1"/>
  <c r="C3220" i="1"/>
  <c r="C3218" i="1"/>
  <c r="C3217" i="1"/>
  <c r="C3216" i="1"/>
  <c r="C3215" i="1"/>
  <c r="C3214" i="1"/>
  <c r="C3212" i="1"/>
  <c r="C3210" i="1"/>
  <c r="C3209" i="1"/>
  <c r="C3208" i="1"/>
  <c r="C3207" i="1"/>
  <c r="C3206" i="1"/>
  <c r="C3205" i="1"/>
  <c r="C3204" i="1"/>
  <c r="C3203" i="1"/>
  <c r="C3201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2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7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8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3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4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099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0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5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6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1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2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7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8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3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4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29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0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5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6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1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2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7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8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3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4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59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0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5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6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1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2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7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8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3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4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89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0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5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6" i="1"/>
  <c r="C2534" i="1"/>
  <c r="C2533" i="1"/>
  <c r="C2532" i="1"/>
  <c r="C2531" i="1"/>
  <c r="C2530" i="1"/>
  <c r="C2529" i="1"/>
  <c r="C2527" i="1"/>
  <c r="C2526" i="1"/>
  <c r="C2525" i="1"/>
  <c r="C2524" i="1"/>
  <c r="C2522" i="1"/>
  <c r="C2520" i="1"/>
  <c r="C2519" i="1"/>
  <c r="C2518" i="1"/>
  <c r="C2517" i="1"/>
  <c r="C2516" i="1"/>
  <c r="C2514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1" i="1"/>
  <c r="C2119" i="1"/>
  <c r="C2118" i="1"/>
  <c r="C2117" i="1"/>
  <c r="C2115" i="1"/>
  <c r="C2113" i="1"/>
  <c r="C2112" i="1"/>
  <c r="C2111" i="1"/>
  <c r="C2110" i="1"/>
  <c r="C2109" i="1"/>
  <c r="C2107" i="1"/>
  <c r="C2105" i="1"/>
  <c r="C2104" i="1"/>
  <c r="C2103" i="1"/>
  <c r="C2101" i="1"/>
  <c r="C2099" i="1"/>
  <c r="C2098" i="1"/>
  <c r="C2097" i="1"/>
  <c r="C2096" i="1"/>
  <c r="C2095" i="1"/>
  <c r="C2094" i="1"/>
  <c r="C2093" i="1"/>
  <c r="C2092" i="1"/>
  <c r="C2090" i="1"/>
  <c r="C2088" i="1"/>
  <c r="C2087" i="1"/>
  <c r="C2086" i="1"/>
  <c r="C2085" i="1"/>
  <c r="C2083" i="1"/>
  <c r="C2081" i="1"/>
  <c r="C2080" i="1"/>
  <c r="C2079" i="1"/>
  <c r="C2077" i="1"/>
  <c r="C2075" i="1"/>
  <c r="C2074" i="1"/>
  <c r="C2073" i="1"/>
  <c r="C2072" i="1"/>
  <c r="C2071" i="1"/>
  <c r="C2070" i="1"/>
  <c r="C2068" i="1"/>
  <c r="C2066" i="1"/>
  <c r="C2065" i="1"/>
  <c r="C2064" i="1"/>
  <c r="C2063" i="1"/>
  <c r="C2062" i="1"/>
  <c r="C2061" i="1"/>
  <c r="C2060" i="1"/>
  <c r="C2058" i="1"/>
  <c r="C2056" i="1"/>
  <c r="C2055" i="1"/>
  <c r="C2054" i="1"/>
  <c r="C2053" i="1"/>
  <c r="C2052" i="1"/>
  <c r="C2051" i="1"/>
  <c r="C2050" i="1"/>
  <c r="C2048" i="1"/>
  <c r="C2046" i="1"/>
  <c r="C2045" i="1"/>
  <c r="C2044" i="1"/>
  <c r="C2043" i="1"/>
  <c r="C2042" i="1"/>
  <c r="C2040" i="1"/>
  <c r="C2038" i="1"/>
  <c r="C2037" i="1"/>
  <c r="C2036" i="1"/>
  <c r="C2035" i="1"/>
  <c r="C2034" i="1"/>
  <c r="C2032" i="1"/>
  <c r="C2030" i="1"/>
  <c r="C2029" i="1"/>
  <c r="C2028" i="1"/>
  <c r="C2027" i="1"/>
  <c r="C2026" i="1"/>
  <c r="C2025" i="1"/>
  <c r="C2024" i="1"/>
  <c r="C2022" i="1"/>
  <c r="C2020" i="1"/>
  <c r="C2019" i="1"/>
  <c r="C2018" i="1"/>
  <c r="C2017" i="1"/>
  <c r="C2016" i="1"/>
  <c r="C2015" i="1"/>
  <c r="C2014" i="1"/>
  <c r="C2012" i="1"/>
  <c r="C2010" i="1"/>
  <c r="C2009" i="1"/>
  <c r="C2008" i="1"/>
  <c r="C2007" i="1"/>
  <c r="C2006" i="1"/>
  <c r="C2005" i="1"/>
  <c r="C2003" i="1"/>
  <c r="C2001" i="1"/>
  <c r="C2000" i="1"/>
  <c r="C1998" i="1"/>
  <c r="C1996" i="1"/>
  <c r="C1995" i="1"/>
  <c r="C1993" i="1"/>
  <c r="C1991" i="1"/>
  <c r="C1990" i="1"/>
  <c r="C1989" i="1"/>
  <c r="C1988" i="1"/>
  <c r="C1986" i="1"/>
  <c r="C1984" i="1"/>
  <c r="C1983" i="1"/>
  <c r="C1982" i="1"/>
  <c r="C1980" i="1"/>
  <c r="C1978" i="1"/>
  <c r="C1977" i="1"/>
  <c r="C1975" i="1"/>
  <c r="C1973" i="1"/>
  <c r="C1972" i="1"/>
  <c r="C1971" i="1"/>
  <c r="C1969" i="1"/>
  <c r="C1967" i="1"/>
  <c r="C1966" i="1"/>
  <c r="C1965" i="1"/>
  <c r="C1964" i="1"/>
  <c r="C1963" i="1"/>
  <c r="C1962" i="1"/>
  <c r="C1960" i="1"/>
  <c r="C1958" i="1"/>
  <c r="C1957" i="1"/>
  <c r="C1956" i="1"/>
  <c r="C1955" i="1"/>
  <c r="C1954" i="1"/>
  <c r="C1953" i="1"/>
  <c r="C1952" i="1"/>
  <c r="C1950" i="1"/>
  <c r="C1948" i="1"/>
  <c r="C1947" i="1"/>
  <c r="C1946" i="1"/>
  <c r="C1945" i="1"/>
  <c r="C1944" i="1"/>
  <c r="C1943" i="1"/>
  <c r="C1942" i="1"/>
  <c r="C1940" i="1"/>
  <c r="C1938" i="1"/>
  <c r="C1937" i="1"/>
  <c r="C1936" i="1"/>
  <c r="C1935" i="1"/>
  <c r="C1934" i="1"/>
  <c r="C1932" i="1"/>
  <c r="C1930" i="1"/>
  <c r="C1929" i="1"/>
  <c r="C1928" i="1"/>
  <c r="C1927" i="1"/>
  <c r="C1926" i="1"/>
  <c r="C1924" i="1"/>
  <c r="C1922" i="1"/>
  <c r="C1921" i="1"/>
  <c r="C1920" i="1"/>
  <c r="C1919" i="1"/>
  <c r="C1918" i="1"/>
  <c r="C1917" i="1"/>
  <c r="C1916" i="1"/>
  <c r="C1914" i="1"/>
  <c r="C1912" i="1"/>
  <c r="C1911" i="1"/>
  <c r="C1910" i="1"/>
  <c r="C1909" i="1"/>
  <c r="C1908" i="1"/>
  <c r="C1907" i="1"/>
  <c r="C1906" i="1"/>
  <c r="C1904" i="1"/>
  <c r="C1902" i="1"/>
  <c r="C1901" i="1"/>
  <c r="C1900" i="1"/>
  <c r="C1899" i="1"/>
  <c r="C1898" i="1"/>
  <c r="C1897" i="1"/>
  <c r="C1895" i="1"/>
  <c r="C1893" i="1"/>
  <c r="C1892" i="1"/>
  <c r="C1890" i="1"/>
  <c r="C1888" i="1"/>
  <c r="C1887" i="1"/>
  <c r="C1885" i="1"/>
  <c r="C1883" i="1"/>
  <c r="C1882" i="1"/>
  <c r="C1881" i="1"/>
  <c r="C1880" i="1"/>
  <c r="C1878" i="1"/>
  <c r="C1876" i="1"/>
  <c r="C1875" i="1"/>
  <c r="C1874" i="1"/>
  <c r="C1872" i="1"/>
  <c r="C1870" i="1"/>
  <c r="C1869" i="1"/>
  <c r="C1867" i="1"/>
  <c r="C1865" i="1"/>
  <c r="C1864" i="1"/>
  <c r="C1862" i="1"/>
  <c r="C1860" i="1"/>
  <c r="C1859" i="1"/>
  <c r="C1858" i="1"/>
  <c r="C1857" i="1"/>
  <c r="C1855" i="1"/>
  <c r="C1853" i="1"/>
  <c r="C1852" i="1"/>
  <c r="C1851" i="1"/>
  <c r="C1850" i="1"/>
  <c r="C1849" i="1"/>
  <c r="C1848" i="1"/>
  <c r="C1846" i="1"/>
  <c r="C1844" i="1"/>
  <c r="C1843" i="1"/>
  <c r="C1842" i="1"/>
  <c r="C1841" i="1"/>
  <c r="C1840" i="1"/>
  <c r="C1839" i="1"/>
  <c r="C1838" i="1"/>
  <c r="C1836" i="1"/>
  <c r="C1834" i="1"/>
  <c r="C1833" i="1"/>
  <c r="C1832" i="1"/>
  <c r="C1831" i="1"/>
  <c r="C1830" i="1"/>
  <c r="C1829" i="1"/>
  <c r="C1828" i="1"/>
  <c r="C1826" i="1"/>
  <c r="C1824" i="1"/>
  <c r="C1823" i="1"/>
  <c r="C1822" i="1"/>
  <c r="C1821" i="1"/>
  <c r="C1820" i="1"/>
  <c r="C1818" i="1"/>
  <c r="C1816" i="1"/>
  <c r="C1815" i="1"/>
  <c r="C1814" i="1"/>
  <c r="C1813" i="1"/>
  <c r="C1812" i="1"/>
  <c r="C1810" i="1"/>
  <c r="C1808" i="1"/>
  <c r="C1807" i="1"/>
  <c r="C1806" i="1"/>
  <c r="C1805" i="1"/>
  <c r="C1804" i="1"/>
  <c r="C1803" i="1"/>
  <c r="C1802" i="1"/>
  <c r="C1800" i="1"/>
  <c r="C1798" i="1"/>
  <c r="C1797" i="1"/>
  <c r="C1796" i="1"/>
  <c r="C1795" i="1"/>
  <c r="C1794" i="1"/>
  <c r="C1793" i="1"/>
  <c r="C1792" i="1"/>
  <c r="C1790" i="1"/>
  <c r="C1788" i="1"/>
  <c r="C1787" i="1"/>
  <c r="C1786" i="1"/>
  <c r="C1785" i="1"/>
  <c r="C1784" i="1"/>
  <c r="C1782" i="1"/>
  <c r="C1780" i="1"/>
  <c r="C1779" i="1"/>
  <c r="C1777" i="1"/>
  <c r="C1775" i="1"/>
  <c r="C1774" i="1"/>
  <c r="C1772" i="1"/>
  <c r="C1770" i="1"/>
  <c r="C1769" i="1"/>
  <c r="C1768" i="1"/>
  <c r="C1767" i="1"/>
  <c r="C1765" i="1"/>
  <c r="C1763" i="1"/>
  <c r="C1762" i="1"/>
  <c r="C1761" i="1"/>
  <c r="C1760" i="1"/>
  <c r="C1759" i="1"/>
  <c r="C1758" i="1"/>
  <c r="C1756" i="1"/>
  <c r="C1754" i="1"/>
  <c r="C1753" i="1"/>
  <c r="C1752" i="1"/>
  <c r="C1751" i="1"/>
  <c r="C1750" i="1"/>
  <c r="C1749" i="1"/>
  <c r="C1748" i="1"/>
  <c r="C1746" i="1"/>
  <c r="C1744" i="1"/>
  <c r="C1743" i="1"/>
  <c r="C1742" i="1"/>
  <c r="C1741" i="1"/>
  <c r="C1740" i="1"/>
  <c r="C1739" i="1"/>
  <c r="C1738" i="1"/>
  <c r="C1736" i="1"/>
  <c r="C1734" i="1"/>
  <c r="C1733" i="1"/>
  <c r="C1732" i="1"/>
  <c r="C1731" i="1"/>
  <c r="C1730" i="1"/>
  <c r="C1729" i="1"/>
  <c r="C1727" i="1"/>
  <c r="C1725" i="1"/>
  <c r="C1724" i="1"/>
  <c r="C1722" i="1"/>
  <c r="C1720" i="1"/>
  <c r="C1719" i="1"/>
  <c r="C1718" i="1"/>
  <c r="C1716" i="1"/>
  <c r="C1714" i="1"/>
  <c r="C1713" i="1"/>
  <c r="C1711" i="1"/>
  <c r="C1709" i="1"/>
  <c r="C1708" i="1"/>
  <c r="C1706" i="1"/>
  <c r="C1704" i="1"/>
  <c r="C1703" i="1"/>
  <c r="C1702" i="1"/>
  <c r="C1701" i="1"/>
  <c r="C1699" i="1"/>
  <c r="C1697" i="1"/>
  <c r="C1696" i="1"/>
  <c r="C1695" i="1"/>
  <c r="C1694" i="1"/>
  <c r="C1693" i="1"/>
  <c r="C1692" i="1"/>
  <c r="C1690" i="1"/>
  <c r="C1688" i="1"/>
  <c r="C1687" i="1"/>
  <c r="C1686" i="1"/>
  <c r="C1685" i="1"/>
  <c r="C1684" i="1"/>
  <c r="C1683" i="1"/>
  <c r="C1682" i="1"/>
  <c r="C1680" i="1"/>
  <c r="C1678" i="1"/>
  <c r="C1677" i="1"/>
  <c r="C1676" i="1"/>
  <c r="C1675" i="1"/>
  <c r="C1674" i="1"/>
  <c r="C1673" i="1"/>
  <c r="C1672" i="1"/>
  <c r="C1670" i="1"/>
  <c r="C1668" i="1"/>
  <c r="C1667" i="1"/>
  <c r="C1666" i="1"/>
  <c r="C1665" i="1"/>
  <c r="C1664" i="1"/>
  <c r="C1663" i="1"/>
  <c r="C1661" i="1"/>
  <c r="C1659" i="1"/>
  <c r="C1658" i="1"/>
  <c r="C1656" i="1"/>
  <c r="C1654" i="1"/>
  <c r="C1653" i="1"/>
  <c r="C1652" i="1"/>
  <c r="C1651" i="1"/>
  <c r="C1650" i="1"/>
  <c r="C1648" i="1"/>
  <c r="C1646" i="1"/>
  <c r="C1645" i="1"/>
  <c r="C1644" i="1"/>
  <c r="C1643" i="1"/>
  <c r="C1642" i="1"/>
  <c r="C1641" i="1"/>
  <c r="C1640" i="1"/>
  <c r="C1638" i="1"/>
  <c r="C1636" i="1"/>
  <c r="C1635" i="1"/>
  <c r="C1634" i="1"/>
  <c r="C1633" i="1"/>
  <c r="C1632" i="1"/>
  <c r="C1631" i="1"/>
  <c r="C1630" i="1"/>
  <c r="C1628" i="1"/>
  <c r="C1626" i="1"/>
  <c r="C1625" i="1"/>
  <c r="C1624" i="1"/>
  <c r="C1623" i="1"/>
  <c r="C1622" i="1"/>
  <c r="C1621" i="1"/>
  <c r="C1619" i="1"/>
  <c r="C1617" i="1"/>
  <c r="C1616" i="1"/>
  <c r="C1615" i="1"/>
  <c r="C1613" i="1"/>
  <c r="C1611" i="1"/>
  <c r="C1610" i="1"/>
  <c r="C1609" i="1"/>
  <c r="C1607" i="1"/>
  <c r="C1605" i="1"/>
  <c r="C1604" i="1"/>
  <c r="C1602" i="1"/>
  <c r="C1600" i="1"/>
  <c r="C1599" i="1"/>
  <c r="C1597" i="1"/>
  <c r="C1595" i="1"/>
  <c r="C1594" i="1"/>
  <c r="C1592" i="1"/>
  <c r="C1590" i="1"/>
  <c r="C1589" i="1"/>
  <c r="C1588" i="1"/>
  <c r="C1587" i="1"/>
  <c r="C1585" i="1"/>
  <c r="C1583" i="1"/>
  <c r="C1582" i="1"/>
  <c r="C1581" i="1"/>
  <c r="C1580" i="1"/>
  <c r="C1579" i="1"/>
  <c r="C1578" i="1"/>
  <c r="C1576" i="1"/>
  <c r="C1574" i="1"/>
  <c r="C1573" i="1"/>
  <c r="C1572" i="1"/>
  <c r="C1571" i="1"/>
  <c r="C1570" i="1"/>
  <c r="C1569" i="1"/>
  <c r="C1568" i="1"/>
  <c r="C1566" i="1"/>
  <c r="C1564" i="1"/>
  <c r="C1563" i="1"/>
  <c r="C1562" i="1"/>
  <c r="C1561" i="1"/>
  <c r="C1560" i="1"/>
  <c r="C1559" i="1"/>
  <c r="C1558" i="1"/>
  <c r="C1556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4" i="1"/>
  <c r="C1532" i="1"/>
  <c r="C1531" i="1"/>
  <c r="C1530" i="1"/>
  <c r="C1529" i="1"/>
  <c r="C1528" i="1"/>
  <c r="C1527" i="1"/>
  <c r="C1526" i="1"/>
  <c r="C1524" i="1"/>
  <c r="C1522" i="1"/>
  <c r="C1521" i="1"/>
  <c r="C1520" i="1"/>
  <c r="C1519" i="1"/>
  <c r="C1518" i="1"/>
  <c r="C1517" i="1"/>
  <c r="C1516" i="1"/>
  <c r="C1514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G97" i="1"/>
  <c r="G1518" i="1"/>
  <c r="G1510" i="1"/>
  <c r="G1517" i="1"/>
  <c r="G1513" i="1"/>
  <c r="G1516" i="1"/>
  <c r="G1512" i="1"/>
  <c r="G1515" i="1"/>
  <c r="G1511" i="1"/>
  <c r="G1526" i="1"/>
  <c r="G1522" i="1"/>
  <c r="G1525" i="1"/>
  <c r="G1521" i="1"/>
  <c r="G1528" i="1"/>
  <c r="G1524" i="1"/>
  <c r="G1520" i="1"/>
  <c r="G1527" i="1"/>
  <c r="G1523" i="1"/>
  <c r="G101" i="1"/>
  <c r="G100" i="1"/>
  <c r="G99" i="1"/>
  <c r="G102" i="1"/>
  <c r="G98" i="1"/>
  <c r="L10" i="1"/>
  <c r="L21" i="1"/>
  <c r="L3" i="1"/>
  <c r="L4" i="1"/>
  <c r="L5" i="1"/>
  <c r="L6" i="1"/>
  <c r="L7" i="1"/>
  <c r="L8" i="1"/>
  <c r="L9" i="1"/>
  <c r="L11" i="1"/>
  <c r="L12" i="1"/>
  <c r="L13" i="1"/>
  <c r="L14" i="1"/>
  <c r="L15" i="1"/>
  <c r="L16" i="1"/>
  <c r="L17" i="1"/>
  <c r="L18" i="1"/>
  <c r="L19" i="1"/>
  <c r="L20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2" i="1"/>
  <c r="C7629" i="1"/>
  <c r="C7621" i="1"/>
  <c r="C7631" i="1"/>
  <c r="O289" i="1"/>
  <c r="O288" i="1"/>
  <c r="O287" i="1"/>
  <c r="O286" i="1"/>
  <c r="O285" i="1"/>
  <c r="O284" i="1"/>
  <c r="O283" i="1"/>
  <c r="O282" i="1"/>
  <c r="O281" i="1"/>
  <c r="O280" i="1"/>
  <c r="O279" i="1"/>
  <c r="A3" i="1"/>
  <c r="A4" i="1"/>
  <c r="C8308" i="1"/>
  <c r="C8289" i="1"/>
  <c r="C8274" i="1"/>
  <c r="C8255" i="1"/>
  <c r="C8240" i="1"/>
  <c r="C8221" i="1"/>
  <c r="C8206" i="1"/>
  <c r="C8187" i="1"/>
  <c r="C8172" i="1"/>
  <c r="C8153" i="1"/>
  <c r="C8138" i="1"/>
  <c r="C8119" i="1"/>
  <c r="C8104" i="1"/>
  <c r="C8085" i="1"/>
  <c r="C8070" i="1"/>
  <c r="C8051" i="1"/>
  <c r="C8036" i="1"/>
  <c r="C8017" i="1"/>
  <c r="C8002" i="1"/>
  <c r="C7983" i="1"/>
  <c r="C7968" i="1"/>
  <c r="C7949" i="1"/>
  <c r="C7934" i="1"/>
  <c r="C7915" i="1"/>
  <c r="C7900" i="1"/>
  <c r="C7881" i="1"/>
  <c r="C7866" i="1"/>
  <c r="C7847" i="1"/>
  <c r="C7832" i="1"/>
  <c r="C7813" i="1"/>
  <c r="C7798" i="1"/>
  <c r="C7779" i="1"/>
  <c r="C7764" i="1"/>
  <c r="C7745" i="1"/>
  <c r="C7730" i="1"/>
  <c r="C7711" i="1"/>
  <c r="C7696" i="1"/>
  <c r="C7677" i="1"/>
  <c r="C7662" i="1"/>
  <c r="C7643" i="1"/>
  <c r="C7598" i="1"/>
  <c r="C7584" i="1"/>
  <c r="C7564" i="1"/>
  <c r="C7556" i="1"/>
  <c r="C7542" i="1"/>
  <c r="C7534" i="1"/>
  <c r="C7520" i="1"/>
  <c r="C7512" i="1"/>
  <c r="C7498" i="1"/>
  <c r="C7490" i="1"/>
  <c r="C7476" i="1"/>
  <c r="C7468" i="1"/>
  <c r="C7454" i="1"/>
  <c r="C7446" i="1"/>
  <c r="C7432" i="1"/>
  <c r="C7424" i="1"/>
  <c r="C7410" i="1"/>
  <c r="C7402" i="1"/>
  <c r="C7388" i="1"/>
  <c r="C7380" i="1"/>
  <c r="C7366" i="1"/>
  <c r="C7358" i="1"/>
  <c r="C7344" i="1"/>
  <c r="C7336" i="1"/>
  <c r="C7322" i="1"/>
  <c r="C7314" i="1"/>
  <c r="C7300" i="1"/>
  <c r="C7292" i="1"/>
  <c r="C7278" i="1"/>
  <c r="C7270" i="1"/>
  <c r="C7256" i="1"/>
  <c r="C7248" i="1"/>
  <c r="C7234" i="1"/>
  <c r="C7226" i="1"/>
  <c r="C7212" i="1"/>
  <c r="C7204" i="1"/>
  <c r="C7169" i="1"/>
  <c r="C7161" i="1"/>
  <c r="C6451" i="1"/>
  <c r="C6443" i="1"/>
  <c r="C7149" i="1"/>
  <c r="C7141" i="1"/>
  <c r="C7130" i="1"/>
  <c r="C7111" i="1"/>
  <c r="C7096" i="1"/>
  <c r="C7077" i="1"/>
  <c r="C7062" i="1"/>
  <c r="C7043" i="1"/>
  <c r="C7028" i="1"/>
  <c r="C7009" i="1"/>
  <c r="C6994" i="1"/>
  <c r="C6960" i="1"/>
  <c r="C6941" i="1"/>
  <c r="C6926" i="1"/>
  <c r="C6907" i="1"/>
  <c r="C6892" i="1"/>
  <c r="C6873" i="1"/>
  <c r="C6858" i="1"/>
  <c r="C6839" i="1"/>
  <c r="C6824" i="1"/>
  <c r="C6805" i="1"/>
  <c r="C6790" i="1"/>
  <c r="C6771" i="1"/>
  <c r="C6756" i="1"/>
  <c r="C6737" i="1"/>
  <c r="C6722" i="1"/>
  <c r="C6703" i="1"/>
  <c r="C6688" i="1"/>
  <c r="C6669" i="1"/>
  <c r="C6654" i="1"/>
  <c r="C6635" i="1"/>
  <c r="C6620" i="1"/>
  <c r="C6601" i="1"/>
  <c r="C6586" i="1"/>
  <c r="C6567" i="1"/>
  <c r="C6552" i="1"/>
  <c r="C6533" i="1"/>
  <c r="C6518" i="1"/>
  <c r="C6499" i="1"/>
  <c r="C6484" i="1"/>
  <c r="C6465" i="1"/>
  <c r="C5733" i="1"/>
  <c r="C5725" i="1"/>
  <c r="C6431" i="1"/>
  <c r="C6423" i="1"/>
  <c r="C6412" i="1"/>
  <c r="C6393" i="1"/>
  <c r="C6378" i="1"/>
  <c r="C6359" i="1"/>
  <c r="C6344" i="1"/>
  <c r="C6325" i="1"/>
  <c r="C6310" i="1"/>
  <c r="C6291" i="1"/>
  <c r="C6276" i="1"/>
  <c r="C6257" i="1"/>
  <c r="C6242" i="1"/>
  <c r="C6223" i="1"/>
  <c r="C6208" i="1"/>
  <c r="C6189" i="1"/>
  <c r="C6174" i="1"/>
  <c r="C6155" i="1"/>
  <c r="C6140" i="1"/>
  <c r="C6121" i="1"/>
  <c r="C6106" i="1"/>
  <c r="C6087" i="1"/>
  <c r="C6072" i="1"/>
  <c r="C6053" i="1"/>
  <c r="C6038" i="1"/>
  <c r="C6019" i="1"/>
  <c r="C6004" i="1"/>
  <c r="C5985" i="1"/>
  <c r="C5970" i="1"/>
  <c r="C5951" i="1"/>
  <c r="C5936" i="1"/>
  <c r="C5917" i="1"/>
  <c r="C5902" i="1"/>
  <c r="C5883" i="1"/>
  <c r="C5868" i="1"/>
  <c r="C5849" i="1"/>
  <c r="C5834" i="1"/>
  <c r="C5815" i="1"/>
  <c r="C5800" i="1"/>
  <c r="C5781" i="1"/>
  <c r="C5766" i="1"/>
  <c r="C4675" i="1"/>
  <c r="C4667" i="1"/>
  <c r="C5713" i="1"/>
  <c r="C5705" i="1"/>
  <c r="C5694" i="1"/>
  <c r="C5675" i="1"/>
  <c r="C5660" i="1"/>
  <c r="C5641" i="1"/>
  <c r="C5626" i="1"/>
  <c r="C5607" i="1"/>
  <c r="C5592" i="1"/>
  <c r="C5573" i="1"/>
  <c r="C5558" i="1"/>
  <c r="C5539" i="1"/>
  <c r="C5524" i="1"/>
  <c r="C5505" i="1"/>
  <c r="C5490" i="1"/>
  <c r="C5471" i="1"/>
  <c r="C5456" i="1"/>
  <c r="C5437" i="1"/>
  <c r="C5422" i="1"/>
  <c r="C5403" i="1"/>
  <c r="C5388" i="1"/>
  <c r="C5369" i="1"/>
  <c r="C5354" i="1"/>
  <c r="C5335" i="1"/>
  <c r="C5320" i="1"/>
  <c r="C5301" i="1"/>
  <c r="C5286" i="1"/>
  <c r="C5267" i="1"/>
  <c r="C5252" i="1"/>
  <c r="C5233" i="1"/>
  <c r="C5218" i="1"/>
  <c r="C5199" i="1"/>
  <c r="C5184" i="1"/>
  <c r="C5150" i="1"/>
  <c r="C5131" i="1"/>
  <c r="C5116" i="1"/>
  <c r="C5097" i="1"/>
  <c r="C5082" i="1"/>
  <c r="C5063" i="1"/>
  <c r="C5048" i="1"/>
  <c r="C5029" i="1"/>
  <c r="C5014" i="1"/>
  <c r="C4995" i="1"/>
  <c r="C4980" i="1"/>
  <c r="C4961" i="1"/>
  <c r="C4946" i="1"/>
  <c r="C4927" i="1"/>
  <c r="C4912" i="1"/>
  <c r="C4893" i="1"/>
  <c r="C4878" i="1"/>
  <c r="C4859" i="1"/>
  <c r="C4844" i="1"/>
  <c r="C4825" i="1"/>
  <c r="C4810" i="1"/>
  <c r="C4791" i="1"/>
  <c r="C4776" i="1"/>
  <c r="C4757" i="1"/>
  <c r="C4742" i="1"/>
  <c r="C4723" i="1"/>
  <c r="C4708" i="1"/>
  <c r="C4689" i="1"/>
  <c r="C3957" i="1"/>
  <c r="C3949" i="1"/>
  <c r="C4655" i="1"/>
  <c r="C4647" i="1"/>
  <c r="C4636" i="1"/>
  <c r="C4617" i="1"/>
  <c r="C4602" i="1"/>
  <c r="C4583" i="1"/>
  <c r="C4568" i="1"/>
  <c r="C4549" i="1"/>
  <c r="C4534" i="1"/>
  <c r="C4515" i="1"/>
  <c r="C4500" i="1"/>
  <c r="C4481" i="1"/>
  <c r="C4466" i="1"/>
  <c r="C4447" i="1"/>
  <c r="C4432" i="1"/>
  <c r="C4413" i="1"/>
  <c r="C4398" i="1"/>
  <c r="C4379" i="1"/>
  <c r="C4364" i="1"/>
  <c r="C4345" i="1"/>
  <c r="C4330" i="1"/>
  <c r="C4311" i="1"/>
  <c r="C4296" i="1"/>
  <c r="C4277" i="1"/>
  <c r="C4262" i="1"/>
  <c r="C4243" i="1"/>
  <c r="C4228" i="1"/>
  <c r="C4209" i="1"/>
  <c r="C4194" i="1"/>
  <c r="C4175" i="1"/>
  <c r="C4160" i="1"/>
  <c r="C4141" i="1"/>
  <c r="C4126" i="1"/>
  <c r="C4092" i="1"/>
  <c r="C4073" i="1"/>
  <c r="C4058" i="1"/>
  <c r="C4039" i="1"/>
  <c r="C4024" i="1"/>
  <c r="C4005" i="1"/>
  <c r="C3990" i="1"/>
  <c r="C3971" i="1"/>
  <c r="C3239" i="1"/>
  <c r="C3231" i="1"/>
  <c r="C3937" i="1"/>
  <c r="C3929" i="1"/>
  <c r="C3918" i="1"/>
  <c r="C3899" i="1"/>
  <c r="C3884" i="1"/>
  <c r="C3865" i="1"/>
  <c r="C3850" i="1"/>
  <c r="C3831" i="1"/>
  <c r="C3816" i="1"/>
  <c r="C3797" i="1"/>
  <c r="C3782" i="1"/>
  <c r="C3763" i="1"/>
  <c r="C3748" i="1"/>
  <c r="C3729" i="1"/>
  <c r="C3714" i="1"/>
  <c r="C3695" i="1"/>
  <c r="C3680" i="1"/>
  <c r="C3661" i="1"/>
  <c r="C3646" i="1"/>
  <c r="C3627" i="1"/>
  <c r="C3612" i="1"/>
  <c r="C3593" i="1"/>
  <c r="C3578" i="1"/>
  <c r="C3559" i="1"/>
  <c r="C3544" i="1"/>
  <c r="C3525" i="1"/>
  <c r="C3510" i="1"/>
  <c r="C3491" i="1"/>
  <c r="C3476" i="1"/>
  <c r="C3457" i="1"/>
  <c r="C3442" i="1"/>
  <c r="C3423" i="1"/>
  <c r="C3408" i="1"/>
  <c r="C3389" i="1"/>
  <c r="C3374" i="1"/>
  <c r="C3355" i="1"/>
  <c r="C3340" i="1"/>
  <c r="C3321" i="1"/>
  <c r="C3306" i="1"/>
  <c r="C3287" i="1"/>
  <c r="C3272" i="1"/>
  <c r="C3253" i="1"/>
  <c r="C2521" i="1"/>
  <c r="C2513" i="1"/>
  <c r="C3219" i="1"/>
  <c r="C3211" i="1"/>
  <c r="C3200" i="1"/>
  <c r="C3181" i="1"/>
  <c r="C3166" i="1"/>
  <c r="C3147" i="1"/>
  <c r="C3132" i="1"/>
  <c r="C3113" i="1"/>
  <c r="C3098" i="1"/>
  <c r="C3064" i="1"/>
  <c r="C3045" i="1"/>
  <c r="C3030" i="1"/>
  <c r="C3011" i="1"/>
  <c r="C2996" i="1"/>
  <c r="C2977" i="1"/>
  <c r="C2962" i="1"/>
  <c r="C2943" i="1"/>
  <c r="C2928" i="1"/>
  <c r="C2909" i="1"/>
  <c r="C2894" i="1"/>
  <c r="C2875" i="1"/>
  <c r="C2860" i="1"/>
  <c r="C2841" i="1"/>
  <c r="C2826" i="1"/>
  <c r="C2807" i="1"/>
  <c r="C2792" i="1"/>
  <c r="C2773" i="1"/>
  <c r="C2758" i="1"/>
  <c r="C2739" i="1"/>
  <c r="C2724" i="1"/>
  <c r="C2705" i="1"/>
  <c r="C2690" i="1"/>
  <c r="C2671" i="1"/>
  <c r="C2656" i="1"/>
  <c r="C2637" i="1"/>
  <c r="C2622" i="1"/>
  <c r="C2603" i="1"/>
  <c r="C2588" i="1"/>
  <c r="C2569" i="1"/>
  <c r="C2554" i="1"/>
  <c r="C2535" i="1"/>
  <c r="C3081" i="1"/>
  <c r="C3079" i="1"/>
  <c r="C4109" i="1"/>
  <c r="C4107" i="1"/>
  <c r="C5167" i="1"/>
  <c r="C5165" i="1"/>
  <c r="C6977" i="1"/>
  <c r="C6975" i="1"/>
  <c r="C4649" i="1"/>
  <c r="C7747" i="1"/>
  <c r="C5303" i="1"/>
  <c r="C3595" i="1"/>
  <c r="C5707" i="1"/>
  <c r="C4245" i="1"/>
  <c r="C3323" i="1"/>
  <c r="C3867" i="1"/>
  <c r="C4895" i="1"/>
  <c r="C5439" i="1"/>
  <c r="C7190" i="1"/>
  <c r="C8291" i="1"/>
  <c r="C3213" i="1"/>
  <c r="C3731" i="1"/>
  <c r="C4759" i="1"/>
  <c r="C4381" i="1"/>
  <c r="C3459" i="1"/>
  <c r="C3973" i="1"/>
  <c r="C4517" i="1"/>
  <c r="C5031" i="1"/>
  <c r="C5458" i="1"/>
  <c r="C5575" i="1"/>
  <c r="C5727" i="1"/>
  <c r="C7500" i="1"/>
  <c r="C2658" i="1"/>
  <c r="C2794" i="1"/>
  <c r="C2930" i="1"/>
  <c r="C3047" i="1"/>
  <c r="C2523" i="1"/>
  <c r="C3289" i="1"/>
  <c r="C3342" i="1"/>
  <c r="C4162" i="1"/>
  <c r="C4347" i="1"/>
  <c r="C5220" i="1"/>
  <c r="C5405" i="1"/>
  <c r="C7586" i="1"/>
  <c r="C8121" i="1"/>
  <c r="C2673" i="1"/>
  <c r="C2809" i="1"/>
  <c r="C3013" i="1"/>
  <c r="C3255" i="1"/>
  <c r="C3425" i="1"/>
  <c r="C3784" i="1"/>
  <c r="C3233" i="1"/>
  <c r="C4298" i="1"/>
  <c r="C4483" i="1"/>
  <c r="C4812" i="1"/>
  <c r="C4997" i="1"/>
  <c r="C5356" i="1"/>
  <c r="C5541" i="1"/>
  <c r="C5817" i="1"/>
  <c r="C5885" i="1"/>
  <c r="C5953" i="1"/>
  <c r="C6021" i="1"/>
  <c r="C6225" i="1"/>
  <c r="C6293" i="1"/>
  <c r="C6860" i="1"/>
  <c r="C6928" i="1"/>
  <c r="C7045" i="1"/>
  <c r="C7113" i="1"/>
  <c r="C7346" i="1"/>
  <c r="C7390" i="1"/>
  <c r="C7936" i="1"/>
  <c r="C8004" i="1"/>
  <c r="C3149" i="1"/>
  <c r="C3391" i="1"/>
  <c r="C3512" i="1"/>
  <c r="C3697" i="1"/>
  <c r="C4026" i="1"/>
  <c r="C4211" i="1"/>
  <c r="C4570" i="1"/>
  <c r="C4725" i="1"/>
  <c r="C5084" i="1"/>
  <c r="C5269" i="1"/>
  <c r="C5628" i="1"/>
  <c r="C5783" i="1"/>
  <c r="C5851" i="1"/>
  <c r="C5919" i="1"/>
  <c r="C5987" i="1"/>
  <c r="C6055" i="1"/>
  <c r="C6622" i="1"/>
  <c r="C6690" i="1"/>
  <c r="C7192" i="1"/>
  <c r="C7236" i="1"/>
  <c r="C8174" i="1"/>
  <c r="C8242" i="1"/>
  <c r="C2590" i="1"/>
  <c r="C2726" i="1"/>
  <c r="C2862" i="1"/>
  <c r="C2998" i="1"/>
  <c r="C3100" i="1"/>
  <c r="C3648" i="1"/>
  <c r="C3833" i="1"/>
  <c r="C3959" i="1"/>
  <c r="C4861" i="1"/>
  <c r="C4677" i="1"/>
  <c r="C6346" i="1"/>
  <c r="C6414" i="1"/>
  <c r="C6501" i="1"/>
  <c r="C6569" i="1"/>
  <c r="C7151" i="1"/>
  <c r="C7171" i="1"/>
  <c r="C7426" i="1"/>
  <c r="C7470" i="1"/>
  <c r="C7544" i="1"/>
  <c r="C8053" i="1"/>
  <c r="C2537" i="1"/>
  <c r="C2605" i="1"/>
  <c r="C2741" i="1"/>
  <c r="C2877" i="1"/>
  <c r="C2945" i="1"/>
  <c r="C3134" i="1"/>
  <c r="C3183" i="1"/>
  <c r="C3221" i="1"/>
  <c r="C3376" i="1"/>
  <c r="C3561" i="1"/>
  <c r="C3920" i="1"/>
  <c r="C4075" i="1"/>
  <c r="C4434" i="1"/>
  <c r="C4619" i="1"/>
  <c r="C4948" i="1"/>
  <c r="C5133" i="1"/>
  <c r="C5492" i="1"/>
  <c r="C5677" i="1"/>
  <c r="C6108" i="1"/>
  <c r="C6176" i="1"/>
  <c r="C6739" i="1"/>
  <c r="C6807" i="1"/>
  <c r="C7272" i="1"/>
  <c r="C7316" i="1"/>
  <c r="C8327" i="1"/>
  <c r="C7698" i="1"/>
  <c r="C7815" i="1"/>
  <c r="C7883" i="1"/>
  <c r="C3614" i="1"/>
  <c r="C3750" i="1"/>
  <c r="C3992" i="1"/>
  <c r="C4264" i="1"/>
  <c r="C4536" i="1"/>
  <c r="C4778" i="1"/>
  <c r="C5050" i="1"/>
  <c r="C5322" i="1"/>
  <c r="C5594" i="1"/>
  <c r="C6123" i="1"/>
  <c r="C6758" i="1"/>
  <c r="C6826" i="1"/>
  <c r="C6875" i="1"/>
  <c r="C6943" i="1"/>
  <c r="C6996" i="1"/>
  <c r="C7064" i="1"/>
  <c r="C6445" i="1"/>
  <c r="C7360" i="1"/>
  <c r="C7404" i="1"/>
  <c r="C7434" i="1"/>
  <c r="C7478" i="1"/>
  <c r="C7514" i="1"/>
  <c r="C7558" i="1"/>
  <c r="C7645" i="1"/>
  <c r="C7713" i="1"/>
  <c r="C7766" i="1"/>
  <c r="C7834" i="1"/>
  <c r="C7951" i="1"/>
  <c r="C8072" i="1"/>
  <c r="C8189" i="1"/>
  <c r="C8310" i="1"/>
  <c r="C2556" i="1"/>
  <c r="C2692" i="1"/>
  <c r="C2760" i="1"/>
  <c r="C2828" i="1"/>
  <c r="C2896" i="1"/>
  <c r="C2964" i="1"/>
  <c r="C3066" i="1"/>
  <c r="C3444" i="1"/>
  <c r="C3663" i="1"/>
  <c r="C3716" i="1"/>
  <c r="C3931" i="1"/>
  <c r="C3241" i="1"/>
  <c r="C4177" i="1"/>
  <c r="C4230" i="1"/>
  <c r="C4449" i="1"/>
  <c r="C4502" i="1"/>
  <c r="C4691" i="1"/>
  <c r="C4744" i="1"/>
  <c r="C4963" i="1"/>
  <c r="C5016" i="1"/>
  <c r="C5099" i="1"/>
  <c r="C5152" i="1"/>
  <c r="C5371" i="1"/>
  <c r="C5424" i="1"/>
  <c r="C5643" i="1"/>
  <c r="C5696" i="1"/>
  <c r="C5747" i="1"/>
  <c r="C6074" i="1"/>
  <c r="C6142" i="1"/>
  <c r="C6191" i="1"/>
  <c r="C6259" i="1"/>
  <c r="C6380" i="1"/>
  <c r="C6433" i="1"/>
  <c r="C6467" i="1"/>
  <c r="C6535" i="1"/>
  <c r="C6588" i="1"/>
  <c r="C6656" i="1"/>
  <c r="C6705" i="1"/>
  <c r="C6773" i="1"/>
  <c r="C6894" i="1"/>
  <c r="C6962" i="1"/>
  <c r="C7011" i="1"/>
  <c r="C7079" i="1"/>
  <c r="C7132" i="1"/>
  <c r="C6453" i="1"/>
  <c r="C7182" i="1"/>
  <c r="C7214" i="1"/>
  <c r="C7294" i="1"/>
  <c r="C7324" i="1"/>
  <c r="C7368" i="1"/>
  <c r="C7448" i="1"/>
  <c r="C7492" i="1"/>
  <c r="C7522" i="1"/>
  <c r="C7566" i="1"/>
  <c r="C7600" i="1"/>
  <c r="C8319" i="1"/>
  <c r="C7664" i="1"/>
  <c r="C7732" i="1"/>
  <c r="C7781" i="1"/>
  <c r="C7849" i="1"/>
  <c r="C7902" i="1"/>
  <c r="C7970" i="1"/>
  <c r="C8019" i="1"/>
  <c r="C8087" i="1"/>
  <c r="C8208" i="1"/>
  <c r="C8276" i="1"/>
  <c r="C3478" i="1"/>
  <c r="C3886" i="1"/>
  <c r="C4128" i="1"/>
  <c r="C4400" i="1"/>
  <c r="C4657" i="1"/>
  <c r="C4914" i="1"/>
  <c r="C5186" i="1"/>
  <c r="C5715" i="1"/>
  <c r="C6244" i="1"/>
  <c r="C6312" i="1"/>
  <c r="C6361" i="1"/>
  <c r="C6425" i="1"/>
  <c r="C5735" i="1"/>
  <c r="C6520" i="1"/>
  <c r="C6637" i="1"/>
  <c r="C7206" i="1"/>
  <c r="C7250" i="1"/>
  <c r="C7280" i="1"/>
  <c r="C8140" i="1"/>
  <c r="C8257" i="1"/>
  <c r="C2624" i="1"/>
  <c r="C3202" i="1"/>
  <c r="C3308" i="1"/>
  <c r="C3527" i="1"/>
  <c r="C3580" i="1"/>
  <c r="C3799" i="1"/>
  <c r="C3852" i="1"/>
  <c r="C4041" i="1"/>
  <c r="C4094" i="1"/>
  <c r="C4313" i="1"/>
  <c r="C4366" i="1"/>
  <c r="C4585" i="1"/>
  <c r="C4638" i="1"/>
  <c r="C4827" i="1"/>
  <c r="C4880" i="1"/>
  <c r="C5235" i="1"/>
  <c r="C5288" i="1"/>
  <c r="C5507" i="1"/>
  <c r="C5560" i="1"/>
  <c r="C2571" i="1"/>
  <c r="C2639" i="1"/>
  <c r="C2707" i="1"/>
  <c r="C2775" i="1"/>
  <c r="C2843" i="1"/>
  <c r="C2911" i="1"/>
  <c r="C2979" i="1"/>
  <c r="C3032" i="1"/>
  <c r="C3115" i="1"/>
  <c r="C3168" i="1"/>
  <c r="C2515" i="1"/>
  <c r="C3274" i="1"/>
  <c r="C3357" i="1"/>
  <c r="C3410" i="1"/>
  <c r="C3493" i="1"/>
  <c r="C3546" i="1"/>
  <c r="C3629" i="1"/>
  <c r="C3682" i="1"/>
  <c r="C3765" i="1"/>
  <c r="C3818" i="1"/>
  <c r="C3901" i="1"/>
  <c r="C3939" i="1"/>
  <c r="C4007" i="1"/>
  <c r="C4060" i="1"/>
  <c r="C4143" i="1"/>
  <c r="C4196" i="1"/>
  <c r="C4279" i="1"/>
  <c r="C4332" i="1"/>
  <c r="C4415" i="1"/>
  <c r="C4468" i="1"/>
  <c r="C4551" i="1"/>
  <c r="C4604" i="1"/>
  <c r="C3951" i="1"/>
  <c r="C4710" i="1"/>
  <c r="C4793" i="1"/>
  <c r="C4846" i="1"/>
  <c r="C4929" i="1"/>
  <c r="C4982" i="1"/>
  <c r="C5065" i="1"/>
  <c r="C5118" i="1"/>
  <c r="C5201" i="1"/>
  <c r="C5254" i="1"/>
  <c r="C5337" i="1"/>
  <c r="C5390" i="1"/>
  <c r="C5473" i="1"/>
  <c r="C5526" i="1"/>
  <c r="C5609" i="1"/>
  <c r="C5662" i="1"/>
  <c r="C4669" i="1"/>
  <c r="C5768" i="1"/>
  <c r="C5802" i="1"/>
  <c r="C5836" i="1"/>
  <c r="C5870" i="1"/>
  <c r="C5904" i="1"/>
  <c r="C5938" i="1"/>
  <c r="C5972" i="1"/>
  <c r="C6006" i="1"/>
  <c r="C6040" i="1"/>
  <c r="C6089" i="1"/>
  <c r="C6157" i="1"/>
  <c r="C6210" i="1"/>
  <c r="C6278" i="1"/>
  <c r="C6327" i="1"/>
  <c r="C6395" i="1"/>
  <c r="C6486" i="1"/>
  <c r="C6554" i="1"/>
  <c r="C6603" i="1"/>
  <c r="C6671" i="1"/>
  <c r="C6724" i="1"/>
  <c r="C6792" i="1"/>
  <c r="C6841" i="1"/>
  <c r="C6909" i="1"/>
  <c r="C7030" i="1"/>
  <c r="C7098" i="1"/>
  <c r="C7143" i="1"/>
  <c r="C7163" i="1"/>
  <c r="C7228" i="1"/>
  <c r="C7258" i="1"/>
  <c r="C7302" i="1"/>
  <c r="C7338" i="1"/>
  <c r="C7382" i="1"/>
  <c r="C7412" i="1"/>
  <c r="C7456" i="1"/>
  <c r="C7536" i="1"/>
  <c r="C7679" i="1"/>
  <c r="C7800" i="1"/>
  <c r="C7868" i="1"/>
  <c r="C7917" i="1"/>
  <c r="C7985" i="1"/>
  <c r="C8038" i="1"/>
  <c r="C8106" i="1"/>
  <c r="C8155" i="1"/>
  <c r="C8223" i="1"/>
  <c r="A5" i="1"/>
  <c r="C5749" i="1"/>
  <c r="C8321" i="1"/>
  <c r="C7184" i="1"/>
  <c r="C8329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20190204_dith - Copy" type="4" refreshedVersion="0" background="1">
    <webPr xml="1" sourceData="1" parsePre="1" consecutive="1" url="C:\Users\tjagodzinski\Desktop\SF_XML\20190204_dith - Copy.xml" htmlTables="1"/>
  </connection>
</connections>
</file>

<file path=xl/sharedStrings.xml><?xml version="1.0" encoding="utf-8"?>
<sst xmlns="http://schemas.openxmlformats.org/spreadsheetml/2006/main" count="38594" uniqueCount="2253">
  <si>
    <t>?xml version="1.0" encoding="UTF-8"?</t>
  </si>
  <si>
    <t>Naglowek</t>
  </si>
  <si>
    <t>dtsf:OkresOd</t>
  </si>
  <si>
    <t>/dtsf:OkresOd</t>
  </si>
  <si>
    <t>dtsf:OkresDo</t>
  </si>
  <si>
    <t>/dtsf:OkresDo</t>
  </si>
  <si>
    <t>dtsf:DataSporzadzenia</t>
  </si>
  <si>
    <t>/dtsf:DataSporzadzenia</t>
  </si>
  <si>
    <t>jin:KodSprawozdania kodSystemowy="SFJINZ (1)" wersjaSchemy="1-0E"</t>
  </si>
  <si>
    <t>/jin:KodSprawozdania</t>
  </si>
  <si>
    <t>jin:WariantSprawozdania</t>
  </si>
  <si>
    <t>/jin:WariantSprawozdania</t>
  </si>
  <si>
    <t>/Naglowek</t>
  </si>
  <si>
    <t>WprowadzenieDoSprawozdaniaFinansowego</t>
  </si>
  <si>
    <t>P_1</t>
  </si>
  <si>
    <t>P_1A</t>
  </si>
  <si>
    <t>dtsf:NazwaFirmy</t>
  </si>
  <si>
    <t>/dtsf:NazwaFirmy</t>
  </si>
  <si>
    <t>dtsf:Siedziba</t>
  </si>
  <si>
    <t>dtsf:Wojewodztwo</t>
  </si>
  <si>
    <t>/dtsf:Wojewodztwo</t>
  </si>
  <si>
    <t>dtsf:Powiat</t>
  </si>
  <si>
    <t>/dtsf:Powiat</t>
  </si>
  <si>
    <t>dtsf:Gmina</t>
  </si>
  <si>
    <t>/dtsf:Gmina</t>
  </si>
  <si>
    <t>dtsf:Miejscowosc</t>
  </si>
  <si>
    <t>/dtsf:Miejscowosc</t>
  </si>
  <si>
    <t>/dtsf:Siedziba</t>
  </si>
  <si>
    <t>/P_1A</t>
  </si>
  <si>
    <t>P_1B</t>
  </si>
  <si>
    <t>dtsf:Adres</t>
  </si>
  <si>
    <t>etd:KodKraju</t>
  </si>
  <si>
    <t>/etd:KodKraju</t>
  </si>
  <si>
    <t>etd:Wojewodztwo</t>
  </si>
  <si>
    <t>/etd:Wojewodztwo</t>
  </si>
  <si>
    <t>etd:Powiat</t>
  </si>
  <si>
    <t>/etd:Powiat</t>
  </si>
  <si>
    <t>etd:Gmina</t>
  </si>
  <si>
    <t>/etd:Gmina</t>
  </si>
  <si>
    <t>etd:Ulica</t>
  </si>
  <si>
    <t>/etd:Ulica</t>
  </si>
  <si>
    <t>etd:NrDomu</t>
  </si>
  <si>
    <t>/etd:NrDomu</t>
  </si>
  <si>
    <t>etd:NrLokalu</t>
  </si>
  <si>
    <t>/etd:NrLokalu</t>
  </si>
  <si>
    <t>etd:Miejscowosc</t>
  </si>
  <si>
    <t>/etd:Miejscowosc</t>
  </si>
  <si>
    <t>etd:KodPocztowy</t>
  </si>
  <si>
    <t>/etd:KodPocztowy</t>
  </si>
  <si>
    <t>etd:Poczta</t>
  </si>
  <si>
    <t>/etd:Poczta</t>
  </si>
  <si>
    <t>/dtsf:Adres</t>
  </si>
  <si>
    <t>dtsf:AdresPrzedsiebiorcyZagranicznego</t>
  </si>
  <si>
    <t>/dtsf:AdresPrzedsiebiorcyZagranicznego</t>
  </si>
  <si>
    <t>/P_1B</t>
  </si>
  <si>
    <t>P_1C</t>
  </si>
  <si>
    <t>dtsf:KodPKD</t>
  </si>
  <si>
    <t>/dtsf:KodPKD</t>
  </si>
  <si>
    <t>/P_1C</t>
  </si>
  <si>
    <t>P_1D</t>
  </si>
  <si>
    <t>dtsf:KRS</t>
  </si>
  <si>
    <t>/dtsf:KRS</t>
  </si>
  <si>
    <t>/P_1D</t>
  </si>
  <si>
    <t>/P_1</t>
  </si>
  <si>
    <t>P_2</t>
  </si>
  <si>
    <t>dtsf:DataOd</t>
  </si>
  <si>
    <t>/dtsf:DataOd</t>
  </si>
  <si>
    <t>dtsf:DataDoOpis</t>
  </si>
  <si>
    <t>/dtsf:DataDoOpis</t>
  </si>
  <si>
    <t>/P_2</t>
  </si>
  <si>
    <t>P_3</t>
  </si>
  <si>
    <t>dtsf:DataDo</t>
  </si>
  <si>
    <t>/dtsf:DataDo</t>
  </si>
  <si>
    <t>/P_3</t>
  </si>
  <si>
    <t>P_4</t>
  </si>
  <si>
    <t>/P_4</t>
  </si>
  <si>
    <t>P_5</t>
  </si>
  <si>
    <t>P_5A</t>
  </si>
  <si>
    <t>/P_5A</t>
  </si>
  <si>
    <t>P_5B</t>
  </si>
  <si>
    <t>/P_5B</t>
  </si>
  <si>
    <t>P_5C</t>
  </si>
  <si>
    <t>/P_5C</t>
  </si>
  <si>
    <t>/P_5</t>
  </si>
  <si>
    <t>P_6</t>
  </si>
  <si>
    <t>P_6A</t>
  </si>
  <si>
    <t>/P_6A</t>
  </si>
  <si>
    <t>P_6B</t>
  </si>
  <si>
    <t>/P_6B</t>
  </si>
  <si>
    <t>/P_6</t>
  </si>
  <si>
    <t>P_7</t>
  </si>
  <si>
    <t>P_7A</t>
  </si>
  <si>
    <t>/P_7A</t>
  </si>
  <si>
    <t>P_7B</t>
  </si>
  <si>
    <t>/P_7B</t>
  </si>
  <si>
    <t>P_7C</t>
  </si>
  <si>
    <t>/P_7C</t>
  </si>
  <si>
    <t>P_7D</t>
  </si>
  <si>
    <t>/P_7D</t>
  </si>
  <si>
    <t>/P_7</t>
  </si>
  <si>
    <t>P_8</t>
  </si>
  <si>
    <t>dtsf:NazwaPozycji</t>
  </si>
  <si>
    <t>/dtsf:NazwaPozycji</t>
  </si>
  <si>
    <t>dtsf:Opis</t>
  </si>
  <si>
    <t>/dtsf:Opis</t>
  </si>
  <si>
    <t>/P_8</t>
  </si>
  <si>
    <t>/WprowadzenieDoSprawozdaniaFinansowego</t>
  </si>
  <si>
    <t>Bilans</t>
  </si>
  <si>
    <t>jin:Aktywa</t>
  </si>
  <si>
    <t>dtsf:KwotaA</t>
  </si>
  <si>
    <t>/dtsf:KwotaA</t>
  </si>
  <si>
    <t>dtsf:KwotaB</t>
  </si>
  <si>
    <t>/dtsf:KwotaB</t>
  </si>
  <si>
    <t>jin:Aktywa_A</t>
  </si>
  <si>
    <t>jin:Aktywa_A_I</t>
  </si>
  <si>
    <t>jin:Aktywa_A_I_1</t>
  </si>
  <si>
    <t>/jin:Aktywa_A_I_1</t>
  </si>
  <si>
    <t>jin:Aktywa_A_I_2</t>
  </si>
  <si>
    <t>/jin:Aktywa_A_I_2</t>
  </si>
  <si>
    <t>jin:Aktywa_A_I_3</t>
  </si>
  <si>
    <t>/jin:Aktywa_A_I_3</t>
  </si>
  <si>
    <t>jin:Aktywa_A_I_4</t>
  </si>
  <si>
    <t>/jin:Aktywa_A_I_4</t>
  </si>
  <si>
    <t>/jin:Aktywa_A_I</t>
  </si>
  <si>
    <t>jin:Aktywa_A_II</t>
  </si>
  <si>
    <t>jin:Aktywa_A_II_1</t>
  </si>
  <si>
    <t>jin:Aktywa_A_II_1_A</t>
  </si>
  <si>
    <t>/jin:Aktywa_A_II_1_A</t>
  </si>
  <si>
    <t>jin:Aktywa_A_II_1_B</t>
  </si>
  <si>
    <t>/jin:Aktywa_A_II_1_B</t>
  </si>
  <si>
    <t>jin:Aktywa_A_II_1_C</t>
  </si>
  <si>
    <t>/jin:Aktywa_A_II_1_C</t>
  </si>
  <si>
    <t>jin:Aktywa_A_II_1_D</t>
  </si>
  <si>
    <t>/jin:Aktywa_A_II_1_D</t>
  </si>
  <si>
    <t>jin:Aktywa_A_II_1_E</t>
  </si>
  <si>
    <t>/jin:Aktywa_A_II_1_E</t>
  </si>
  <si>
    <t>/jin:Aktywa_A_II_1</t>
  </si>
  <si>
    <t>jin:Aktywa_A_II_2</t>
  </si>
  <si>
    <t>/jin:Aktywa_A_II_2</t>
  </si>
  <si>
    <t>jin:Aktywa_A_II_3</t>
  </si>
  <si>
    <t>/jin:Aktywa_A_II_3</t>
  </si>
  <si>
    <t>/jin:Aktywa_A_II</t>
  </si>
  <si>
    <t>jin:Aktywa_A_III</t>
  </si>
  <si>
    <t>jin:Aktywa_A_III_1</t>
  </si>
  <si>
    <t>/jin:Aktywa_A_III_1</t>
  </si>
  <si>
    <t>jin:Aktywa_A_III_2</t>
  </si>
  <si>
    <t>/jin:Aktywa_A_III_2</t>
  </si>
  <si>
    <t>jin:Aktywa_A_III_3</t>
  </si>
  <si>
    <t>/jin:Aktywa_A_III_3</t>
  </si>
  <si>
    <t>/jin:Aktywa_A_III</t>
  </si>
  <si>
    <t>jin:Aktywa_A_IV</t>
  </si>
  <si>
    <t>jin:Aktywa_A_IV_1</t>
  </si>
  <si>
    <t>/jin:Aktywa_A_IV_1</t>
  </si>
  <si>
    <t>jin:Aktywa_A_IV_2</t>
  </si>
  <si>
    <t>/jin:Aktywa_A_IV_2</t>
  </si>
  <si>
    <t>jin:Aktywa_A_IV_3</t>
  </si>
  <si>
    <t>jin:Aktywa_A_IV_3_A</t>
  </si>
  <si>
    <t>jin:Aktywa_A_IV_3_A_1</t>
  </si>
  <si>
    <t>/jin:Aktywa_A_IV_3_A_1</t>
  </si>
  <si>
    <t>jin:Aktywa_A_IV_3_A_2</t>
  </si>
  <si>
    <t>/jin:Aktywa_A_IV_3_A_2</t>
  </si>
  <si>
    <t>jin:Aktywa_A_IV_3_A_3</t>
  </si>
  <si>
    <t>/jin:Aktywa_A_IV_3_A_3</t>
  </si>
  <si>
    <t>jin:Aktywa_A_IV_3_A_4</t>
  </si>
  <si>
    <t>/jin:Aktywa_A_IV_3_A_4</t>
  </si>
  <si>
    <t>/jin:Aktywa_A_IV_3_A</t>
  </si>
  <si>
    <t>jin:Aktywa_A_IV_3_B</t>
  </si>
  <si>
    <t>jin:Aktywa_A_IV_3_B_1</t>
  </si>
  <si>
    <t>/jin:Aktywa_A_IV_3_B_1</t>
  </si>
  <si>
    <t>jin:Aktywa_A_IV_3_B_2</t>
  </si>
  <si>
    <t>/jin:Aktywa_A_IV_3_B_2</t>
  </si>
  <si>
    <t>jin:Aktywa_A_IV_3_B_3</t>
  </si>
  <si>
    <t>/jin:Aktywa_A_IV_3_B_3</t>
  </si>
  <si>
    <t>jin:Aktywa_A_IV_3_B_4</t>
  </si>
  <si>
    <t>/jin:Aktywa_A_IV_3_B_4</t>
  </si>
  <si>
    <t>/jin:Aktywa_A_IV_3_B</t>
  </si>
  <si>
    <t>jin:Aktywa_A_IV_3_C</t>
  </si>
  <si>
    <t>jin:Aktywa_A_IV_3_C_1</t>
  </si>
  <si>
    <t>/jin:Aktywa_A_IV_3_C_1</t>
  </si>
  <si>
    <t>jin:Aktywa_A_IV_3_C_2</t>
  </si>
  <si>
    <t>/jin:Aktywa_A_IV_3_C_2</t>
  </si>
  <si>
    <t>jin:Aktywa_A_IV_3_C_3</t>
  </si>
  <si>
    <t>/jin:Aktywa_A_IV_3_C_3</t>
  </si>
  <si>
    <t>jin:Aktywa_A_IV_3_C_4</t>
  </si>
  <si>
    <t>/jin:Aktywa_A_IV_3_C_4</t>
  </si>
  <si>
    <t>/jin:Aktywa_A_IV_3_C</t>
  </si>
  <si>
    <t>/jin:Aktywa_A_IV_3</t>
  </si>
  <si>
    <t>jin:Aktywa_A_IV_4</t>
  </si>
  <si>
    <t>/jin:Aktywa_A_IV_4</t>
  </si>
  <si>
    <t>/jin:Aktywa_A_IV</t>
  </si>
  <si>
    <t>jin:Aktywa_A_V</t>
  </si>
  <si>
    <t>jin:Aktywa_A_V_1</t>
  </si>
  <si>
    <t>/jin:Aktywa_A_V_1</t>
  </si>
  <si>
    <t>jin:Aktywa_A_V_2</t>
  </si>
  <si>
    <t>/jin:Aktywa_A_V_2</t>
  </si>
  <si>
    <t>/jin:Aktywa_A_V</t>
  </si>
  <si>
    <t>/jin:Aktywa_A</t>
  </si>
  <si>
    <t>jin:Aktywa_B</t>
  </si>
  <si>
    <t>jin:Aktywa_B_I</t>
  </si>
  <si>
    <t>jin:Aktywa_B_I_1</t>
  </si>
  <si>
    <t>/jin:Aktywa_B_I_1</t>
  </si>
  <si>
    <t>jin:Aktywa_B_I_2</t>
  </si>
  <si>
    <t>/jin:Aktywa_B_I_2</t>
  </si>
  <si>
    <t>jin:Aktywa_B_I_3</t>
  </si>
  <si>
    <t>/jin:Aktywa_B_I_3</t>
  </si>
  <si>
    <t>jin:Aktywa_B_I_4</t>
  </si>
  <si>
    <t>/jin:Aktywa_B_I_4</t>
  </si>
  <si>
    <t>jin:Aktywa_B_I_5</t>
  </si>
  <si>
    <t>/jin:Aktywa_B_I_5</t>
  </si>
  <si>
    <t>/jin:Aktywa_B_I</t>
  </si>
  <si>
    <t>jin:Aktywa_B_II</t>
  </si>
  <si>
    <t>jin:Aktywa_B_II_1</t>
  </si>
  <si>
    <t>jin:Aktywa_B_II_1_A</t>
  </si>
  <si>
    <t>jin:Aktywa_B_II_1_A_1</t>
  </si>
  <si>
    <t>/jin:Aktywa_B_II_1_A_1</t>
  </si>
  <si>
    <t>jin:Aktywa_B_II_1_A_2</t>
  </si>
  <si>
    <t>/jin:Aktywa_B_II_1_A_2</t>
  </si>
  <si>
    <t>/jin:Aktywa_B_II_1_A</t>
  </si>
  <si>
    <t>jin:Aktywa_B_II_1_B</t>
  </si>
  <si>
    <t>/jin:Aktywa_B_II_1_B</t>
  </si>
  <si>
    <t>/jin:Aktywa_B_II_1</t>
  </si>
  <si>
    <t>jin:Aktywa_B_II_2</t>
  </si>
  <si>
    <t>jin:Aktywa_B_II_2_A</t>
  </si>
  <si>
    <t>jin:Aktywa_B_II_2_A_1</t>
  </si>
  <si>
    <t>/jin:Aktywa_B_II_2_A_1</t>
  </si>
  <si>
    <t>jin:Aktywa_B_II_2_A_2</t>
  </si>
  <si>
    <t>/jin:Aktywa_B_II_2_A_2</t>
  </si>
  <si>
    <t>/jin:Aktywa_B_II_2_A</t>
  </si>
  <si>
    <t>jin:Aktywa_B_II_2_B</t>
  </si>
  <si>
    <t>/jin:Aktywa_B_II_2_B</t>
  </si>
  <si>
    <t>/jin:Aktywa_B_II_2</t>
  </si>
  <si>
    <t>jin:Aktywa_B_II_3</t>
  </si>
  <si>
    <t>jin:Aktywa_B_II_3_A</t>
  </si>
  <si>
    <t>jin:Aktywa_B_II_3_A_1</t>
  </si>
  <si>
    <t>/jin:Aktywa_B_II_3_A_1</t>
  </si>
  <si>
    <t>jin:Aktywa_B_II_3_A_2</t>
  </si>
  <si>
    <t>/jin:Aktywa_B_II_3_A_2</t>
  </si>
  <si>
    <t>/jin:Aktywa_B_II_3_A</t>
  </si>
  <si>
    <t>jin:Aktywa_B_II_3_B</t>
  </si>
  <si>
    <t>/jin:Aktywa_B_II_3_B</t>
  </si>
  <si>
    <t>jin:Aktywa_B_II_3_C</t>
  </si>
  <si>
    <t>/jin:Aktywa_B_II_3_C</t>
  </si>
  <si>
    <t>jin:Aktywa_B_II_3_D</t>
  </si>
  <si>
    <t>/jin:Aktywa_B_II_3_D</t>
  </si>
  <si>
    <t>/jin:Aktywa_B_II_3</t>
  </si>
  <si>
    <t>/jin:Aktywa_B_II</t>
  </si>
  <si>
    <t>jin:Aktywa_B_III</t>
  </si>
  <si>
    <t>jin:Aktywa_B_III_1</t>
  </si>
  <si>
    <t>jin:Aktywa_B_III_1_A</t>
  </si>
  <si>
    <t>jin:Aktywa_B_III_1_A_1</t>
  </si>
  <si>
    <t>/jin:Aktywa_B_III_1_A_1</t>
  </si>
  <si>
    <t>jin:Aktywa_B_III_1_A_2</t>
  </si>
  <si>
    <t>/jin:Aktywa_B_III_1_A_2</t>
  </si>
  <si>
    <t>jin:Aktywa_B_III_1_A_3</t>
  </si>
  <si>
    <t>/jin:Aktywa_B_III_1_A_3</t>
  </si>
  <si>
    <t>jin:Aktywa_B_III_1_A_4</t>
  </si>
  <si>
    <t>/jin:Aktywa_B_III_1_A_4</t>
  </si>
  <si>
    <t>/jin:Aktywa_B_III_1_A</t>
  </si>
  <si>
    <t>jin:Aktywa_B_III_1_B</t>
  </si>
  <si>
    <t>jin:Aktywa_B_III_1_B_1</t>
  </si>
  <si>
    <t>/jin:Aktywa_B_III_1_B_1</t>
  </si>
  <si>
    <t>jin:Aktywa_B_III_1_B_2</t>
  </si>
  <si>
    <t>/jin:Aktywa_B_III_1_B_2</t>
  </si>
  <si>
    <t>jin:Aktywa_B_III_1_B_3</t>
  </si>
  <si>
    <t>/jin:Aktywa_B_III_1_B_3</t>
  </si>
  <si>
    <t>jin:Aktywa_B_III_1_B_4</t>
  </si>
  <si>
    <t>/jin:Aktywa_B_III_1_B_4</t>
  </si>
  <si>
    <t>/jin:Aktywa_B_III_1_B</t>
  </si>
  <si>
    <t>jin:Aktywa_B_III_1_C</t>
  </si>
  <si>
    <t>jin:Aktywa_B_III_1_C_1</t>
  </si>
  <si>
    <t>/jin:Aktywa_B_III_1_C_1</t>
  </si>
  <si>
    <t>jin:Aktywa_B_III_1_C_2</t>
  </si>
  <si>
    <t>/jin:Aktywa_B_III_1_C_2</t>
  </si>
  <si>
    <t>jin:Aktywa_B_III_1_C_3</t>
  </si>
  <si>
    <t>/jin:Aktywa_B_III_1_C_3</t>
  </si>
  <si>
    <t>/jin:Aktywa_B_III_1_C</t>
  </si>
  <si>
    <t>/jin:Aktywa_B_III_1</t>
  </si>
  <si>
    <t>jin:Aktywa_B_III_2</t>
  </si>
  <si>
    <t>/jin:Aktywa_B_III_2</t>
  </si>
  <si>
    <t>/jin:Aktywa_B_III</t>
  </si>
  <si>
    <t>jin:Aktywa_B_IV</t>
  </si>
  <si>
    <t>/jin:Aktywa_B_IV</t>
  </si>
  <si>
    <t>/jin:Aktywa_B</t>
  </si>
  <si>
    <t>jin:Aktywa_C</t>
  </si>
  <si>
    <t>/jin:Aktywa_C</t>
  </si>
  <si>
    <t>jin:Aktywa_D</t>
  </si>
  <si>
    <t>/jin:Aktywa_D</t>
  </si>
  <si>
    <t>/jin:Aktywa</t>
  </si>
  <si>
    <t>jin:Pasywa</t>
  </si>
  <si>
    <t>jin:Pasywa_A</t>
  </si>
  <si>
    <t>jin:Pasywa_A_I</t>
  </si>
  <si>
    <t>/jin:Pasywa_A_I</t>
  </si>
  <si>
    <t>jin:Pasywa_A_II</t>
  </si>
  <si>
    <t>jin:Pasywa_A_II_1</t>
  </si>
  <si>
    <t>/jin:Pasywa_A_II_1</t>
  </si>
  <si>
    <t>/jin:Pasywa_A_II</t>
  </si>
  <si>
    <t>jin:Pasywa_A_III</t>
  </si>
  <si>
    <t>jin:Pasywa_A_III_1</t>
  </si>
  <si>
    <t>/jin:Pasywa_A_III_1</t>
  </si>
  <si>
    <t>/jin:Pasywa_A_III</t>
  </si>
  <si>
    <t>jin:Pasywa_A_IV</t>
  </si>
  <si>
    <t>jin:Pasywa_A_IV_1</t>
  </si>
  <si>
    <t>/jin:Pasywa_A_IV_1</t>
  </si>
  <si>
    <t>jin:Pasywa_A_IV_2</t>
  </si>
  <si>
    <t>/jin:Pasywa_A_IV_2</t>
  </si>
  <si>
    <t>/jin:Pasywa_A_IV</t>
  </si>
  <si>
    <t>jin:Pasywa_A_V</t>
  </si>
  <si>
    <t>/jin:Pasywa_A_V</t>
  </si>
  <si>
    <t>jin:Pasywa_A_VI</t>
  </si>
  <si>
    <t>/jin:Pasywa_A_VI</t>
  </si>
  <si>
    <t>jin:Pasywa_A_VII</t>
  </si>
  <si>
    <t>/jin:Pasywa_A_VII</t>
  </si>
  <si>
    <t>/jin:Pasywa_A</t>
  </si>
  <si>
    <t>jin:Pasywa_B</t>
  </si>
  <si>
    <t>jin:Pasywa_B_I</t>
  </si>
  <si>
    <t>jin:Pasywa_B_I_1</t>
  </si>
  <si>
    <t>/jin:Pasywa_B_I_1</t>
  </si>
  <si>
    <t>jin:Pasywa_B_I_2</t>
  </si>
  <si>
    <t>jin:Pasywa_B_I_2_1</t>
  </si>
  <si>
    <t>/jin:Pasywa_B_I_2_1</t>
  </si>
  <si>
    <t>jin:Pasywa_B_I_2_2</t>
  </si>
  <si>
    <t>/jin:Pasywa_B_I_2_2</t>
  </si>
  <si>
    <t>/jin:Pasywa_B_I_2</t>
  </si>
  <si>
    <t>jin:Pasywa_B_I_3</t>
  </si>
  <si>
    <t>jin:Pasywa_B_I_3_1</t>
  </si>
  <si>
    <t>/jin:Pasywa_B_I_3_1</t>
  </si>
  <si>
    <t>jin:Pasywa_B_I_3_2</t>
  </si>
  <si>
    <t>/jin:Pasywa_B_I_3_2</t>
  </si>
  <si>
    <t>/jin:Pasywa_B_I_3</t>
  </si>
  <si>
    <t>/jin:Pasywa_B_I</t>
  </si>
  <si>
    <t>jin:Pasywa_B_II</t>
  </si>
  <si>
    <t>jin:Pasywa_B_II_1</t>
  </si>
  <si>
    <t>/jin:Pasywa_B_II_1</t>
  </si>
  <si>
    <t>jin:Pasywa_B_II_2</t>
  </si>
  <si>
    <t>/jin:Pasywa_B_II_2</t>
  </si>
  <si>
    <t>jin:Pasywa_B_II_3</t>
  </si>
  <si>
    <t>jin:Pasywa_B_II_3_A</t>
  </si>
  <si>
    <t>/jin:Pasywa_B_II_3_A</t>
  </si>
  <si>
    <t>jin:Pasywa_B_II_3_B</t>
  </si>
  <si>
    <t>/jin:Pasywa_B_II_3_B</t>
  </si>
  <si>
    <t>jin:Pasywa_B_II_3_C</t>
  </si>
  <si>
    <t>/jin:Pasywa_B_II_3_C</t>
  </si>
  <si>
    <t>jin:Pasywa_B_II_3_D</t>
  </si>
  <si>
    <t>/jin:Pasywa_B_II_3_D</t>
  </si>
  <si>
    <t>jin:Pasywa_B_II_3_E</t>
  </si>
  <si>
    <t>/jin:Pasywa_B_II_3_E</t>
  </si>
  <si>
    <t>/jin:Pasywa_B_II_3</t>
  </si>
  <si>
    <t>/jin:Pasywa_B_II</t>
  </si>
  <si>
    <t>jin:Pasywa_B_III</t>
  </si>
  <si>
    <t>jin:Pasywa_B_III_1</t>
  </si>
  <si>
    <t>jin:Pasywa_B_III_1_A</t>
  </si>
  <si>
    <t>jin:Pasywa_B_III_1_A_1</t>
  </si>
  <si>
    <t>/jin:Pasywa_B_III_1_A_1</t>
  </si>
  <si>
    <t>jin:Pasywa_B_III_1_A_2</t>
  </si>
  <si>
    <t>/jin:Pasywa_B_III_1_A_2</t>
  </si>
  <si>
    <t>/jin:Pasywa_B_III_1_A</t>
  </si>
  <si>
    <t>jin:Pasywa_B_III_1_B</t>
  </si>
  <si>
    <t>/jin:Pasywa_B_III_1_B</t>
  </si>
  <si>
    <t>/jin:Pasywa_B_III_1</t>
  </si>
  <si>
    <t>jin:Pasywa_B_III_2</t>
  </si>
  <si>
    <t>jin:Pasywa_B_III_2_A</t>
  </si>
  <si>
    <t>jin:Pasywa_B_III_2_A_1</t>
  </si>
  <si>
    <t>/jin:Pasywa_B_III_2_A_1</t>
  </si>
  <si>
    <t>jin:Pasywa_B_III_2_A_2</t>
  </si>
  <si>
    <t>/jin:Pasywa_B_III_2_A_2</t>
  </si>
  <si>
    <t>/jin:Pasywa_B_III_2_A</t>
  </si>
  <si>
    <t>jin:Pasywa_B_III_2_B</t>
  </si>
  <si>
    <t>/jin:Pasywa_B_III_2_B</t>
  </si>
  <si>
    <t>/jin:Pasywa_B_III_2</t>
  </si>
  <si>
    <t>jin:Pasywa_B_III_3</t>
  </si>
  <si>
    <t>jin:Pasywa_B_III_3_A</t>
  </si>
  <si>
    <t>/jin:Pasywa_B_III_3_A</t>
  </si>
  <si>
    <t>jin:Pasywa_B_III_3_B</t>
  </si>
  <si>
    <t>/jin:Pasywa_B_III_3_B</t>
  </si>
  <si>
    <t>jin:Pasywa_B_III_3_C</t>
  </si>
  <si>
    <t>/jin:Pasywa_B_III_3_C</t>
  </si>
  <si>
    <t>jin:Pasywa_B_III_3_D</t>
  </si>
  <si>
    <t>jin:Pasywa_B_III_3_D_1</t>
  </si>
  <si>
    <t>/jin:Pasywa_B_III_3_D_1</t>
  </si>
  <si>
    <t>jin:Pasywa_B_III_3_D_2</t>
  </si>
  <si>
    <t>/jin:Pasywa_B_III_3_D_2</t>
  </si>
  <si>
    <t>/jin:Pasywa_B_III_3_D</t>
  </si>
  <si>
    <t>jin:Pasywa_B_III_3_E</t>
  </si>
  <si>
    <t>/jin:Pasywa_B_III_3_E</t>
  </si>
  <si>
    <t>jin:Pasywa_B_III_3_F</t>
  </si>
  <si>
    <t>/jin:Pasywa_B_III_3_F</t>
  </si>
  <si>
    <t>jin:Pasywa_B_III_3_G</t>
  </si>
  <si>
    <t>/jin:Pasywa_B_III_3_G</t>
  </si>
  <si>
    <t>jin:Pasywa_B_III_3_H</t>
  </si>
  <si>
    <t>/jin:Pasywa_B_III_3_H</t>
  </si>
  <si>
    <t>jin:Pasywa_B_III_3_I</t>
  </si>
  <si>
    <t>/jin:Pasywa_B_III_3_I</t>
  </si>
  <si>
    <t>/jin:Pasywa_B_III_3</t>
  </si>
  <si>
    <t>jin:Pasywa_B_III_4</t>
  </si>
  <si>
    <t>/jin:Pasywa_B_III_4</t>
  </si>
  <si>
    <t>/jin:Pasywa_B_III</t>
  </si>
  <si>
    <t>jin:Pasywa_B_IV</t>
  </si>
  <si>
    <t>jin:Pasywa_B_IV_1</t>
  </si>
  <si>
    <t>/jin:Pasywa_B_IV_1</t>
  </si>
  <si>
    <t>jin:Pasywa_B_IV_2</t>
  </si>
  <si>
    <t>jin:Pasywa_B_IV_2_1</t>
  </si>
  <si>
    <t>/jin:Pasywa_B_IV_2_1</t>
  </si>
  <si>
    <t>jin:Pasywa_B_IV_2_2</t>
  </si>
  <si>
    <t>/jin:Pasywa_B_IV_2_2</t>
  </si>
  <si>
    <t>/jin:Pasywa_B_IV_2</t>
  </si>
  <si>
    <t>/jin:Pasywa_B_IV</t>
  </si>
  <si>
    <t>/jin:Pasywa_B</t>
  </si>
  <si>
    <t>/jin:Pasywa</t>
  </si>
  <si>
    <t>/Bilans</t>
  </si>
  <si>
    <t>RZiS</t>
  </si>
  <si>
    <t>jin:RZiSPor</t>
  </si>
  <si>
    <t>jin:A</t>
  </si>
  <si>
    <t>jin:A_J</t>
  </si>
  <si>
    <t>/jin:A_J</t>
  </si>
  <si>
    <t>jin:A_I</t>
  </si>
  <si>
    <t>/jin:A_I</t>
  </si>
  <si>
    <t>jin:A_II</t>
  </si>
  <si>
    <t>/jin:A_II</t>
  </si>
  <si>
    <t>jin:A_III</t>
  </si>
  <si>
    <t>/jin:A_III</t>
  </si>
  <si>
    <t>jin:A_IV</t>
  </si>
  <si>
    <t>/jin:A_IV</t>
  </si>
  <si>
    <t>/jin:A</t>
  </si>
  <si>
    <t>jin:B</t>
  </si>
  <si>
    <t>jin:B_I</t>
  </si>
  <si>
    <t>/jin:B_I</t>
  </si>
  <si>
    <t>jin:B_II</t>
  </si>
  <si>
    <t>/jin:B_II</t>
  </si>
  <si>
    <t>jin:B_III</t>
  </si>
  <si>
    <t>/jin:B_III</t>
  </si>
  <si>
    <t>jin:B_IV</t>
  </si>
  <si>
    <t>jin:B_IV_1</t>
  </si>
  <si>
    <t>/jin:B_IV_1</t>
  </si>
  <si>
    <t>/jin:B_IV</t>
  </si>
  <si>
    <t>jin:B_V</t>
  </si>
  <si>
    <t>/jin:B_V</t>
  </si>
  <si>
    <t>jin:B_VI</t>
  </si>
  <si>
    <t>jin:B_VI_1</t>
  </si>
  <si>
    <t>/jin:B_VI_1</t>
  </si>
  <si>
    <t>/jin:B_VI</t>
  </si>
  <si>
    <t>jin:B_VII</t>
  </si>
  <si>
    <t>/jin:B_VII</t>
  </si>
  <si>
    <t>jin:B_VIII</t>
  </si>
  <si>
    <t>/jin:B_VIII</t>
  </si>
  <si>
    <t>/jin:B</t>
  </si>
  <si>
    <t>jin:C</t>
  </si>
  <si>
    <t>/jin:C</t>
  </si>
  <si>
    <t>jin:D</t>
  </si>
  <si>
    <t>jin:D_I</t>
  </si>
  <si>
    <t>/jin:D_I</t>
  </si>
  <si>
    <t>jin:D_II</t>
  </si>
  <si>
    <t>/jin:D_II</t>
  </si>
  <si>
    <t>jin:D_III</t>
  </si>
  <si>
    <t>/jin:D_III</t>
  </si>
  <si>
    <t>jin:D_IV</t>
  </si>
  <si>
    <t>/jin:D_IV</t>
  </si>
  <si>
    <t>/jin:D</t>
  </si>
  <si>
    <t>jin:E</t>
  </si>
  <si>
    <t>jin:E_I</t>
  </si>
  <si>
    <t>/jin:E_I</t>
  </si>
  <si>
    <t>jin:E_II</t>
  </si>
  <si>
    <t>/jin:E_II</t>
  </si>
  <si>
    <t>jin:E_III</t>
  </si>
  <si>
    <t>/jin:E_III</t>
  </si>
  <si>
    <t>/jin:E</t>
  </si>
  <si>
    <t>jin:F</t>
  </si>
  <si>
    <t>/jin:F</t>
  </si>
  <si>
    <t>jin:G</t>
  </si>
  <si>
    <t>jin:G_I</t>
  </si>
  <si>
    <t>jin:G_I_A</t>
  </si>
  <si>
    <t>jin:G_I_A_1</t>
  </si>
  <si>
    <t>/jin:G_I_A_1</t>
  </si>
  <si>
    <t>/jin:G_I_A</t>
  </si>
  <si>
    <t>jin:G_I_B</t>
  </si>
  <si>
    <t>jin:G_I_B_1</t>
  </si>
  <si>
    <t>/jin:G_I_B_1</t>
  </si>
  <si>
    <t>/jin:G_I_B</t>
  </si>
  <si>
    <t>/jin:G_I</t>
  </si>
  <si>
    <t>jin:G_II</t>
  </si>
  <si>
    <t>jin:G_II_J</t>
  </si>
  <si>
    <t>/jin:G_II_J</t>
  </si>
  <si>
    <t>/jin:G_II</t>
  </si>
  <si>
    <t>jin:G_III</t>
  </si>
  <si>
    <t>jin:G_III_J</t>
  </si>
  <si>
    <t>/jin:G_III_J</t>
  </si>
  <si>
    <t>/jin:G_III</t>
  </si>
  <si>
    <t>jin:G_IV</t>
  </si>
  <si>
    <t>/jin:G_IV</t>
  </si>
  <si>
    <t>jin:G_V</t>
  </si>
  <si>
    <t>/jin:G_V</t>
  </si>
  <si>
    <t>/jin:G</t>
  </si>
  <si>
    <t>jin:H</t>
  </si>
  <si>
    <t>jin:H_I</t>
  </si>
  <si>
    <t>jin:H_I_J</t>
  </si>
  <si>
    <t>/jin:H_I_J</t>
  </si>
  <si>
    <t>/jin:H_I</t>
  </si>
  <si>
    <t>jin:H_II</t>
  </si>
  <si>
    <t>jin:H_II_J</t>
  </si>
  <si>
    <t>/jin:H_II_J</t>
  </si>
  <si>
    <t>/jin:H_II</t>
  </si>
  <si>
    <t>jin:H_III</t>
  </si>
  <si>
    <t>/jin:H_III</t>
  </si>
  <si>
    <t>jin:H_IV</t>
  </si>
  <si>
    <t>/jin:H_IV</t>
  </si>
  <si>
    <t>/jin:H</t>
  </si>
  <si>
    <t>jin:I</t>
  </si>
  <si>
    <t>/jin:I</t>
  </si>
  <si>
    <t>jin:J</t>
  </si>
  <si>
    <t>/jin:J</t>
  </si>
  <si>
    <t>jin:K</t>
  </si>
  <si>
    <t>/jin:K</t>
  </si>
  <si>
    <t>jin:L</t>
  </si>
  <si>
    <t>/jin:L</t>
  </si>
  <si>
    <t>/jin:RZiSPor</t>
  </si>
  <si>
    <t>/RZiS</t>
  </si>
  <si>
    <t>ZestZmianWKapitale</t>
  </si>
  <si>
    <t>jin:I_1</t>
  </si>
  <si>
    <t>/jin:I_1</t>
  </si>
  <si>
    <t>jin:I_2</t>
  </si>
  <si>
    <t>/jin:I_2</t>
  </si>
  <si>
    <t>jin:IA</t>
  </si>
  <si>
    <t>jin:IA_1</t>
  </si>
  <si>
    <t>jin:IA_1_1</t>
  </si>
  <si>
    <t>jin:IA_1_1_A</t>
  </si>
  <si>
    <t>jin:IA_1_1_A_1</t>
  </si>
  <si>
    <t>/jin:IA_1_1_A_1</t>
  </si>
  <si>
    <t>jin:PozycjaUszczegolawiajaca_2</t>
  </si>
  <si>
    <t>dtsf:KwotyPozycji</t>
  </si>
  <si>
    <t>/dtsf:KwotyPozycji</t>
  </si>
  <si>
    <t>/jin:PozycjaUszczegolawiajaca_2</t>
  </si>
  <si>
    <t>/jin:IA_1_1_A</t>
  </si>
  <si>
    <t>jin:IA_1_1_B</t>
  </si>
  <si>
    <t>jin:IA_1_1_B_1</t>
  </si>
  <si>
    <t>/jin:IA_1_1_B_1</t>
  </si>
  <si>
    <t>/jin:IA_1_1_B</t>
  </si>
  <si>
    <t>/jin:IA_1_1</t>
  </si>
  <si>
    <t>jin:IA_1_2</t>
  </si>
  <si>
    <t>/jin:IA_1_2</t>
  </si>
  <si>
    <t>/jin:IA_1</t>
  </si>
  <si>
    <t>jin:IA_2</t>
  </si>
  <si>
    <t>jin:IA_2_1</t>
  </si>
  <si>
    <t>jin:IA_2_1_A</t>
  </si>
  <si>
    <t>jin:IA_2_1_A_1</t>
  </si>
  <si>
    <t>/jin:IA_2_1_A_1</t>
  </si>
  <si>
    <t>jin:IA_2_1_A_2</t>
  </si>
  <si>
    <t>/jin:IA_2_1_A_2</t>
  </si>
  <si>
    <t>jin:IA_2_1_A_3</t>
  </si>
  <si>
    <t>/jin:IA_2_1_A_3</t>
  </si>
  <si>
    <t>jin:PozycjaUszczegolawiajaca_4</t>
  </si>
  <si>
    <t>/jin:PozycjaUszczegolawiajaca_4</t>
  </si>
  <si>
    <t>/jin:IA_2_1_A</t>
  </si>
  <si>
    <t>jin:IA_2_1_B</t>
  </si>
  <si>
    <t>jin:IA_2_1_B_1</t>
  </si>
  <si>
    <t>/jin:IA_2_1_B_1</t>
  </si>
  <si>
    <t>/jin:IA_2_1_B</t>
  </si>
  <si>
    <t>/jin:IA_2_1</t>
  </si>
  <si>
    <t>jin:IA_2_2</t>
  </si>
  <si>
    <t>/jin:IA_2_2</t>
  </si>
  <si>
    <t>/jin:IA_2</t>
  </si>
  <si>
    <t>jin:IA_3</t>
  </si>
  <si>
    <t>jin:IA_3_1</t>
  </si>
  <si>
    <t>jin:IA_3_1_A</t>
  </si>
  <si>
    <t>/jin:IA_3_1_A</t>
  </si>
  <si>
    <t>jin:IA_3_1_B</t>
  </si>
  <si>
    <t>jin:IA_3_1_B_1</t>
  </si>
  <si>
    <t>/jin:IA_3_1_B_1</t>
  </si>
  <si>
    <t>/jin:IA_3_1_B</t>
  </si>
  <si>
    <t>/jin:IA_3_1</t>
  </si>
  <si>
    <t>jin:IA_3_2</t>
  </si>
  <si>
    <t>/jin:IA_3_2</t>
  </si>
  <si>
    <t>/jin:IA_3</t>
  </si>
  <si>
    <t>jin:IA_4</t>
  </si>
  <si>
    <t>jin:IA_4_1</t>
  </si>
  <si>
    <t>jin:IA_4_1_A</t>
  </si>
  <si>
    <t>dtsf:PozycjaUszczegolawiajaca</t>
  </si>
  <si>
    <t>/dtsf:PozycjaUszczegolawiajaca</t>
  </si>
  <si>
    <t>/jin:IA_4_1_A</t>
  </si>
  <si>
    <t>jin:IA_4_1_B</t>
  </si>
  <si>
    <t>/jin:IA_4_1_B</t>
  </si>
  <si>
    <t>/jin:IA_4_1</t>
  </si>
  <si>
    <t>jin:IA_4_2</t>
  </si>
  <si>
    <t>/jin:IA_4_2</t>
  </si>
  <si>
    <t>/jin:IA_4</t>
  </si>
  <si>
    <t>jin:IA_5</t>
  </si>
  <si>
    <t>jin:IA_5_1</t>
  </si>
  <si>
    <t>jin:IA_5_1_1</t>
  </si>
  <si>
    <t>/jin:IA_5_1_1</t>
  </si>
  <si>
    <t>jin:IA_5_1_2</t>
  </si>
  <si>
    <t>/jin:IA_5_1_2</t>
  </si>
  <si>
    <t>/jin:IA_5_1</t>
  </si>
  <si>
    <t>jin:IA_5_2</t>
  </si>
  <si>
    <t>jin:IA_5_2_A</t>
  </si>
  <si>
    <t>jin:IA_5_2_A_1</t>
  </si>
  <si>
    <t>/jin:IA_5_2_A_1</t>
  </si>
  <si>
    <t>/jin:IA_5_2_A</t>
  </si>
  <si>
    <t>jin:IA_5_2_B</t>
  </si>
  <si>
    <t>/jin:IA_5_2_B</t>
  </si>
  <si>
    <t>/jin:IA_5_2</t>
  </si>
  <si>
    <t>jin:IA_5_3</t>
  </si>
  <si>
    <t>/jin:IA_5_3</t>
  </si>
  <si>
    <t>jin:IA_5_4</t>
  </si>
  <si>
    <t>jin:IA_5_4_1</t>
  </si>
  <si>
    <t>/jin:IA_5_4_1</t>
  </si>
  <si>
    <t>jin:IA_5_4_2</t>
  </si>
  <si>
    <t>/jin:IA_5_4_2</t>
  </si>
  <si>
    <t>/jin:IA_5_4</t>
  </si>
  <si>
    <t>jin:IA_5_5</t>
  </si>
  <si>
    <t>jin:IA_5_5_A</t>
  </si>
  <si>
    <t>jin:IA_5_5_A_1</t>
  </si>
  <si>
    <t>/jin:IA_5_5_A_1</t>
  </si>
  <si>
    <t>/jin:IA_5_5_A</t>
  </si>
  <si>
    <t>jin:IA_5_5_B</t>
  </si>
  <si>
    <t>/jin:IA_5_5_B</t>
  </si>
  <si>
    <t>/jin:IA_5_5</t>
  </si>
  <si>
    <t>jin:IA_5_6</t>
  </si>
  <si>
    <t>/jin:IA_5_6</t>
  </si>
  <si>
    <t>jin:IA_5_7</t>
  </si>
  <si>
    <t>/jin:IA_5_7</t>
  </si>
  <si>
    <t>/jin:IA_5</t>
  </si>
  <si>
    <t>jin:IA_6</t>
  </si>
  <si>
    <t>jin:IA_6_A</t>
  </si>
  <si>
    <t>/jin:IA_6_A</t>
  </si>
  <si>
    <t>jin:IA_6_B</t>
  </si>
  <si>
    <t>/jin:IA_6_B</t>
  </si>
  <si>
    <t>jin:IA_6_C</t>
  </si>
  <si>
    <t>/jin:IA_6_C</t>
  </si>
  <si>
    <t>/jin:IA_6</t>
  </si>
  <si>
    <t>/jin:IA</t>
  </si>
  <si>
    <t>jin:II</t>
  </si>
  <si>
    <t>/jin:II</t>
  </si>
  <si>
    <t>jin:III</t>
  </si>
  <si>
    <t>/jin:III</t>
  </si>
  <si>
    <t>/ZestZmianWKapitale</t>
  </si>
  <si>
    <t>RachPrzeplywow</t>
  </si>
  <si>
    <t>jin:PrzeplywyPosr</t>
  </si>
  <si>
    <t>jin:A_II_1</t>
  </si>
  <si>
    <t>/jin:A_II_1</t>
  </si>
  <si>
    <t>jin:A_II_2</t>
  </si>
  <si>
    <t>/jin:A_II_2</t>
  </si>
  <si>
    <t>jin:A_II_3</t>
  </si>
  <si>
    <t>/jin:A_II_3</t>
  </si>
  <si>
    <t>jin:A_II_4</t>
  </si>
  <si>
    <t>/jin:A_II_4</t>
  </si>
  <si>
    <t>jin:A_II_5</t>
  </si>
  <si>
    <t>/jin:A_II_5</t>
  </si>
  <si>
    <t>jin:A_II_6</t>
  </si>
  <si>
    <t>/jin:A_II_6</t>
  </si>
  <si>
    <t>jin:A_II_7</t>
  </si>
  <si>
    <t>/jin:A_II_7</t>
  </si>
  <si>
    <t>jin:A_II_8</t>
  </si>
  <si>
    <t>/jin:A_II_8</t>
  </si>
  <si>
    <t>jin:A_II_9</t>
  </si>
  <si>
    <t>/jin:A_II_9</t>
  </si>
  <si>
    <t>jin:A_II_10</t>
  </si>
  <si>
    <t>/jin:A_II_10</t>
  </si>
  <si>
    <t>jin:B_I_1</t>
  </si>
  <si>
    <t>/jin:B_I_1</t>
  </si>
  <si>
    <t>jin:B_I_2</t>
  </si>
  <si>
    <t>/jin:B_I_2</t>
  </si>
  <si>
    <t>jin:B_I_3</t>
  </si>
  <si>
    <t>jin:B_I_3_A</t>
  </si>
  <si>
    <t>/jin:B_I_3_A</t>
  </si>
  <si>
    <t>jin:B_I_3_B</t>
  </si>
  <si>
    <t>jin:B_I_3_B_1</t>
  </si>
  <si>
    <t>/jin:B_I_3_B_1</t>
  </si>
  <si>
    <t>jin:B_I_3_B_2</t>
  </si>
  <si>
    <t>/jin:B_I_3_B_2</t>
  </si>
  <si>
    <t>jin:B_I_3_B_3</t>
  </si>
  <si>
    <t>/jin:B_I_3_B_3</t>
  </si>
  <si>
    <t>jin:B_I_3_B_4</t>
  </si>
  <si>
    <t>/jin:B_I_3_B_4</t>
  </si>
  <si>
    <t>jin:B_I_3_B_5</t>
  </si>
  <si>
    <t>/jin:B_I_3_B_5</t>
  </si>
  <si>
    <t>/jin:B_I_3_B</t>
  </si>
  <si>
    <t>/jin:B_I_3</t>
  </si>
  <si>
    <t>jin:B_I_4</t>
  </si>
  <si>
    <t>/jin:B_I_4</t>
  </si>
  <si>
    <t>jin:B_II_1</t>
  </si>
  <si>
    <t>/jin:B_II_1</t>
  </si>
  <si>
    <t>jin:B_II_2</t>
  </si>
  <si>
    <t>/jin:B_II_2</t>
  </si>
  <si>
    <t>jin:B_II_3</t>
  </si>
  <si>
    <t>jin:B_II_3_A</t>
  </si>
  <si>
    <t>/jin:B_II_3_A</t>
  </si>
  <si>
    <t>jin:B_II_3_B</t>
  </si>
  <si>
    <t>jin:B_II_3_B_1</t>
  </si>
  <si>
    <t>/jin:B_II_3_B_1</t>
  </si>
  <si>
    <t>jin:B_II_3_B_2</t>
  </si>
  <si>
    <t>/jin:B_II_3_B_2</t>
  </si>
  <si>
    <t>/jin:B_II_3_B</t>
  </si>
  <si>
    <t>/jin:B_II_3</t>
  </si>
  <si>
    <t>jin:B_II_4</t>
  </si>
  <si>
    <t>/jin:B_II_4</t>
  </si>
  <si>
    <t>jin:C_I</t>
  </si>
  <si>
    <t>jin:C_I_1</t>
  </si>
  <si>
    <t>/jin:C_I_1</t>
  </si>
  <si>
    <t>jin:C_I_2</t>
  </si>
  <si>
    <t>/jin:C_I_2</t>
  </si>
  <si>
    <t>jin:C_I_3</t>
  </si>
  <si>
    <t>/jin:C_I_3</t>
  </si>
  <si>
    <t>jin:C_I_4</t>
  </si>
  <si>
    <t>/jin:C_I_4</t>
  </si>
  <si>
    <t>/jin:C_I</t>
  </si>
  <si>
    <t>jin:C_II</t>
  </si>
  <si>
    <t>jin:C_II_1</t>
  </si>
  <si>
    <t>/jin:C_II_1</t>
  </si>
  <si>
    <t>jin:C_II_2</t>
  </si>
  <si>
    <t>/jin:C_II_2</t>
  </si>
  <si>
    <t>jin:C_II_3</t>
  </si>
  <si>
    <t>/jin:C_II_3</t>
  </si>
  <si>
    <t>jin:C_II_4</t>
  </si>
  <si>
    <t>/jin:C_II_4</t>
  </si>
  <si>
    <t>jin:C_II_5</t>
  </si>
  <si>
    <t>/jin:C_II_5</t>
  </si>
  <si>
    <t>jin:C_II_6</t>
  </si>
  <si>
    <t>/jin:C_II_6</t>
  </si>
  <si>
    <t>jin:C_II_7</t>
  </si>
  <si>
    <t>/jin:C_II_7</t>
  </si>
  <si>
    <t>jin:C_II_8</t>
  </si>
  <si>
    <t>/jin:C_II_8</t>
  </si>
  <si>
    <t>jin:C_II_9</t>
  </si>
  <si>
    <t>/jin:C_II_9</t>
  </si>
  <si>
    <t>/jin:C_II</t>
  </si>
  <si>
    <t>jin:C_III</t>
  </si>
  <si>
    <t>/jin:C_III</t>
  </si>
  <si>
    <t>jin:E_1</t>
  </si>
  <si>
    <t>/jin:E_1</t>
  </si>
  <si>
    <t>jin:G_1</t>
  </si>
  <si>
    <t>/jin:G_1</t>
  </si>
  <si>
    <t>/jin:PrzeplywyPosr</t>
  </si>
  <si>
    <t>/RachPrzeplywow</t>
  </si>
  <si>
    <t>DodatkoweInformacjeIObjasnieniaJednstkaInna</t>
  </si>
  <si>
    <t>DodatkoweInformacjeIObjasnienia</t>
  </si>
  <si>
    <t>dtsf:Plik</t>
  </si>
  <si>
    <t>dtsf:Nazwa</t>
  </si>
  <si>
    <t>/dtsf:Nazwa</t>
  </si>
  <si>
    <t>dtsf:Zawartosc</t>
  </si>
  <si>
    <t>/dtsf:Zawartosc</t>
  </si>
  <si>
    <t>/dtsf:Plik</t>
  </si>
  <si>
    <t>/DodatkoweInformacjeIObjasnienia</t>
  </si>
  <si>
    <t>InformacjaDodatkowaDotyczacaPodatkuDochodowego</t>
  </si>
  <si>
    <t>dtsf:P_ID_1</t>
  </si>
  <si>
    <t>dtsf:RB</t>
  </si>
  <si>
    <t>/dtsf:RB</t>
  </si>
  <si>
    <t>dtsf:RP</t>
  </si>
  <si>
    <t>/dtsf:RP</t>
  </si>
  <si>
    <t>/dtsf:P_ID_1</t>
  </si>
  <si>
    <t>dtsf:P_ID_2</t>
  </si>
  <si>
    <t>dtsf:Kwota</t>
  </si>
  <si>
    <t>dtsf:KwotaC</t>
  </si>
  <si>
    <t>/dtsf:KwotaC</t>
  </si>
  <si>
    <t>/dtsf:Kwota</t>
  </si>
  <si>
    <t>dtsf:PozycjaUzytkownika</t>
  </si>
  <si>
    <t>dtsf:Kwoty</t>
  </si>
  <si>
    <t>dtsf:PodstawaPrawna</t>
  </si>
  <si>
    <t>dtsf:Art</t>
  </si>
  <si>
    <t>/dtsf:Art</t>
  </si>
  <si>
    <t>dtsf:Ust</t>
  </si>
  <si>
    <t>/dtsf:Ust</t>
  </si>
  <si>
    <t>dtsf:Pkt</t>
  </si>
  <si>
    <t>/dtsf:Pkt</t>
  </si>
  <si>
    <t>dtsf:Lit</t>
  </si>
  <si>
    <t>/dtsf:Lit</t>
  </si>
  <si>
    <t>/dtsf:PodstawaPrawna</t>
  </si>
  <si>
    <t>/dtsf:Kwoty</t>
  </si>
  <si>
    <t>/dtsf:PozycjaUzytkownika</t>
  </si>
  <si>
    <t>dtsf:Pozostale</t>
  </si>
  <si>
    <t>/dtsf:Pozostale</t>
  </si>
  <si>
    <t>/dtsf:P_ID_2</t>
  </si>
  <si>
    <t>dtsf:P_ID_3</t>
  </si>
  <si>
    <t>/dtsf:P_ID_3</t>
  </si>
  <si>
    <t>dtsf:P_ID_4</t>
  </si>
  <si>
    <t>/dtsf:P_ID_4</t>
  </si>
  <si>
    <t>dtsf:P_ID_5</t>
  </si>
  <si>
    <t>/dtsf:P_ID_5</t>
  </si>
  <si>
    <t>dtsf:P_ID_6</t>
  </si>
  <si>
    <t>/dtsf:P_ID_6</t>
  </si>
  <si>
    <t>dtsf:P_ID_7</t>
  </si>
  <si>
    <t>/dtsf:P_ID_7</t>
  </si>
  <si>
    <t>dtsf:P_ID_8</t>
  </si>
  <si>
    <t>/dtsf:P_ID_8</t>
  </si>
  <si>
    <t>dtsf:P_ID_9</t>
  </si>
  <si>
    <t>/dtsf:P_ID_9</t>
  </si>
  <si>
    <t>dtsf:P_ID_10</t>
  </si>
  <si>
    <t>/dtsf:P_ID_10</t>
  </si>
  <si>
    <t>dtsf:P_ID_11</t>
  </si>
  <si>
    <t>/dtsf:P_ID_11</t>
  </si>
  <si>
    <t>/InformacjaDodatkowaDotyczacaPodatkuDochodowego</t>
  </si>
  <si>
    <t>/DodatkoweInformacjeIObjasnieniaJednstkaInna</t>
  </si>
  <si>
    <t>/JednostkaInna</t>
  </si>
  <si>
    <t>-</t>
  </si>
  <si>
    <t>WPROWADZENIA</t>
  </si>
  <si>
    <t>Index</t>
  </si>
  <si>
    <t>P1</t>
  </si>
  <si>
    <t>P_1D_typ</t>
  </si>
  <si>
    <t>KRS</t>
  </si>
  <si>
    <t>0099999999</t>
  </si>
  <si>
    <t>P_1A_ulica</t>
  </si>
  <si>
    <t>ULICA</t>
  </si>
  <si>
    <t>P_1A_nr domu</t>
  </si>
  <si>
    <t>P_1A_nr lokalu</t>
  </si>
  <si>
    <t>P_1A_Miejscowosc</t>
  </si>
  <si>
    <t>Gdansk</t>
  </si>
  <si>
    <t>P_1A_Poczta</t>
  </si>
  <si>
    <t>P_1A_kod_pocztowy</t>
  </si>
  <si>
    <t>80-705</t>
  </si>
  <si>
    <t>P_1A_kod_kraju</t>
  </si>
  <si>
    <t>PL</t>
  </si>
  <si>
    <t>P_1A_gmina</t>
  </si>
  <si>
    <t>GMINA</t>
  </si>
  <si>
    <t>P_1A_powiat</t>
  </si>
  <si>
    <t>POW</t>
  </si>
  <si>
    <t>P_1A_województwo</t>
  </si>
  <si>
    <t>pomorskie</t>
  </si>
  <si>
    <t>P_1b_ulica</t>
  </si>
  <si>
    <t>UL1</t>
  </si>
  <si>
    <t>P_1b_nr_domu</t>
  </si>
  <si>
    <t>NRDOMU1</t>
  </si>
  <si>
    <t>P_1b_nr_lokalu</t>
  </si>
  <si>
    <t>NRLOKALU1</t>
  </si>
  <si>
    <t>P_1b_miejscowosc</t>
  </si>
  <si>
    <t>MI1</t>
  </si>
  <si>
    <t>P_1b_kodpocztowy</t>
  </si>
  <si>
    <t>P_1b_kod_kraju</t>
  </si>
  <si>
    <t>DE</t>
  </si>
  <si>
    <t>P_1C_1</t>
  </si>
  <si>
    <t>0124Z</t>
  </si>
  <si>
    <t>P_1C_2</t>
  </si>
  <si>
    <t>0125Z</t>
  </si>
  <si>
    <t>P_1C_3</t>
  </si>
  <si>
    <t>0126Z</t>
  </si>
  <si>
    <t>P_1C_4</t>
  </si>
  <si>
    <t>0127Z</t>
  </si>
  <si>
    <t>P_1C_5</t>
  </si>
  <si>
    <t>0128Z</t>
  </si>
  <si>
    <t>P_1C_6</t>
  </si>
  <si>
    <t>0129Z</t>
  </si>
  <si>
    <t>P_1C_7</t>
  </si>
  <si>
    <t>0130Z</t>
  </si>
  <si>
    <t>P_1C_8</t>
  </si>
  <si>
    <t>0141Z</t>
  </si>
  <si>
    <t>P_1C_9</t>
  </si>
  <si>
    <t>0142Z</t>
  </si>
  <si>
    <t>P_1C_10</t>
  </si>
  <si>
    <t>0143Z</t>
  </si>
  <si>
    <t>P_3_od</t>
  </si>
  <si>
    <t>P_3_do</t>
  </si>
  <si>
    <t>Header_data_sporządzenia</t>
  </si>
  <si>
    <t>P_4_mj</t>
  </si>
  <si>
    <t>tak</t>
  </si>
  <si>
    <t>nie</t>
  </si>
  <si>
    <t>P5C5</t>
  </si>
  <si>
    <t>P_2A</t>
  </si>
  <si>
    <t>P_2B</t>
  </si>
  <si>
    <t>P2B2</t>
  </si>
  <si>
    <t>NIE</t>
  </si>
  <si>
    <t>P6B6</t>
  </si>
  <si>
    <t>P7A7</t>
  </si>
  <si>
    <t>P_8_7a_1</t>
  </si>
  <si>
    <t>7A18_7a_1</t>
  </si>
  <si>
    <t>P_8_7a_2</t>
  </si>
  <si>
    <t>7A28_7a_2</t>
  </si>
  <si>
    <t>P_8_7a_3</t>
  </si>
  <si>
    <t>7A38_7a_3</t>
  </si>
  <si>
    <t>P_8_7a_4</t>
  </si>
  <si>
    <t>7A48_7a_4</t>
  </si>
  <si>
    <t>P_8_7a_5</t>
  </si>
  <si>
    <t>7A58_7a_5</t>
  </si>
  <si>
    <t>P_8_7a_6</t>
  </si>
  <si>
    <t>7A68_7a_6</t>
  </si>
  <si>
    <t>P_8_7a_7</t>
  </si>
  <si>
    <t>7A78_7a_7</t>
  </si>
  <si>
    <t>P_8_7a_8</t>
  </si>
  <si>
    <t>7A88_7a_8</t>
  </si>
  <si>
    <t>P_8_7a_9</t>
  </si>
  <si>
    <t>7A98_7a_9</t>
  </si>
  <si>
    <t>P7B7</t>
  </si>
  <si>
    <t>P_8_7B_1</t>
  </si>
  <si>
    <t>7B18_7B_1</t>
  </si>
  <si>
    <t>P_8_7B_2</t>
  </si>
  <si>
    <t>7B28_7B_2</t>
  </si>
  <si>
    <t>P_8_7B_3</t>
  </si>
  <si>
    <t>7B38_7B_3</t>
  </si>
  <si>
    <t>P_8_7B_4</t>
  </si>
  <si>
    <t>7B48_7B_4</t>
  </si>
  <si>
    <t>P_8_7B_5</t>
  </si>
  <si>
    <t>7B58_7B_5</t>
  </si>
  <si>
    <t>P_8_7B_6</t>
  </si>
  <si>
    <t>7B68_7B_6</t>
  </si>
  <si>
    <t>P_8_7B_7</t>
  </si>
  <si>
    <t>7B78_7B_7</t>
  </si>
  <si>
    <t>P_8_7B_8</t>
  </si>
  <si>
    <t>7B88_7B_8</t>
  </si>
  <si>
    <t>P_8_7B_9</t>
  </si>
  <si>
    <t>7B98_7B_9</t>
  </si>
  <si>
    <t>P7C7</t>
  </si>
  <si>
    <t>P_8_7C_1</t>
  </si>
  <si>
    <t>7C18_7C_1</t>
  </si>
  <si>
    <t>P_8_7C_2</t>
  </si>
  <si>
    <t>7C28_7C_2</t>
  </si>
  <si>
    <t>P_8_7C_3</t>
  </si>
  <si>
    <t>7C38_7C_3</t>
  </si>
  <si>
    <t>P_8_7C_4</t>
  </si>
  <si>
    <t>7C48_7C_4</t>
  </si>
  <si>
    <t>P_8_7C_5</t>
  </si>
  <si>
    <t>7C58_7C_5</t>
  </si>
  <si>
    <t>P_8_7C_6</t>
  </si>
  <si>
    <t>7C68_7C_6</t>
  </si>
  <si>
    <t>P_8_7C_7</t>
  </si>
  <si>
    <t>7C78_7C_7</t>
  </si>
  <si>
    <t>P_8_7C_8</t>
  </si>
  <si>
    <t>7C88_7C_8</t>
  </si>
  <si>
    <t>P_8_7C_9</t>
  </si>
  <si>
    <t>7C98_7C_9</t>
  </si>
  <si>
    <t>P7D7</t>
  </si>
  <si>
    <t>P_8_7D_1</t>
  </si>
  <si>
    <t>7D18_7D_1</t>
  </si>
  <si>
    <t>P_8_7D_2</t>
  </si>
  <si>
    <t>7D28_7D_2</t>
  </si>
  <si>
    <t>P_8_7D_3</t>
  </si>
  <si>
    <t>7D38_7D_3</t>
  </si>
  <si>
    <t>P_8_7D_4</t>
  </si>
  <si>
    <t>7D48_7D_4</t>
  </si>
  <si>
    <t>P_8_7D_5</t>
  </si>
  <si>
    <t>7D58_7D_5</t>
  </si>
  <si>
    <t>P_8_7D_6</t>
  </si>
  <si>
    <t>7D68_7D_6</t>
  </si>
  <si>
    <t>P_8_7D_7</t>
  </si>
  <si>
    <t>7D78_7D_7</t>
  </si>
  <si>
    <t>P_8_7D_8</t>
  </si>
  <si>
    <t>7D88_7D_8</t>
  </si>
  <si>
    <t>P_8_7D_9</t>
  </si>
  <si>
    <t>7D98_7D_9</t>
  </si>
  <si>
    <t>P_8_1_Nazwa</t>
  </si>
  <si>
    <t>1NAZWA8_1</t>
  </si>
  <si>
    <t>P_8_1_Opis_1</t>
  </si>
  <si>
    <t>OPIS18_1_Opis_1</t>
  </si>
  <si>
    <t>P_8_1_Opis_2</t>
  </si>
  <si>
    <t>OPIS28_1_Opis_2</t>
  </si>
  <si>
    <t>P_8_1_Opis_3</t>
  </si>
  <si>
    <t>OPIS38_1_Opis_3</t>
  </si>
  <si>
    <t>P_8_1_Opis_4</t>
  </si>
  <si>
    <t>OPIS48_1_Opis_4</t>
  </si>
  <si>
    <t>P_8_1_Opis_5</t>
  </si>
  <si>
    <t>OPIS58_1_Opis_5</t>
  </si>
  <si>
    <t>P_8_2_Nazwa</t>
  </si>
  <si>
    <t>2NAZWA8_2</t>
  </si>
  <si>
    <t>P_8_2_Opis_2</t>
  </si>
  <si>
    <t>P_8_2_Opis_1</t>
  </si>
  <si>
    <t>OPIS28_2_Opis_1</t>
  </si>
  <si>
    <t>OPIS28_2_Opis_2</t>
  </si>
  <si>
    <t>P_8_2_Opis_3</t>
  </si>
  <si>
    <t>OPIS38_2_Opis_3</t>
  </si>
  <si>
    <t>P_8_2_Opis_4</t>
  </si>
  <si>
    <t>OPIS48_2_Opis_4</t>
  </si>
  <si>
    <t>P_8_2_Opis_5</t>
  </si>
  <si>
    <t>OPIS58_2_Opis_5</t>
  </si>
  <si>
    <t>P_8_3_Nazwa</t>
  </si>
  <si>
    <t>3NAZWA8_3</t>
  </si>
  <si>
    <t>P_8_3_Opis_1</t>
  </si>
  <si>
    <t>OPIS18_3_Opis_1</t>
  </si>
  <si>
    <t>P_8_3_Opis_2</t>
  </si>
  <si>
    <t>OPIS28_3_Opis_2</t>
  </si>
  <si>
    <t>P_8_3_Opis_3</t>
  </si>
  <si>
    <t>OPIS38_3_Opis_3</t>
  </si>
  <si>
    <t>P_8_3_Opis_4</t>
  </si>
  <si>
    <t>OPIS48_3_Opis_4</t>
  </si>
  <si>
    <t>P_8_3_Opis_5</t>
  </si>
  <si>
    <t>OPIS58_3_Opis_5</t>
  </si>
  <si>
    <t>P_8_4_Nazwa</t>
  </si>
  <si>
    <t>4NAZWA8_4</t>
  </si>
  <si>
    <t>P_8_4_Opis_1</t>
  </si>
  <si>
    <t>OPIS18_4_Opis_1</t>
  </si>
  <si>
    <t>P_8_4_Opis_2</t>
  </si>
  <si>
    <t>OPIS28_4_Opis_2</t>
  </si>
  <si>
    <t>P_8_4_Opis_3</t>
  </si>
  <si>
    <t>OPIS38_4_Opis_3</t>
  </si>
  <si>
    <t>P_8_4_Opis_4</t>
  </si>
  <si>
    <t>OPIS48_4_Opis_4</t>
  </si>
  <si>
    <t>P_8_4_Opis_5</t>
  </si>
  <si>
    <t>OPIS58_4_Opis_5</t>
  </si>
  <si>
    <t>SF</t>
  </si>
  <si>
    <t>Index FS fiel</t>
  </si>
  <si>
    <t>Idex IMPORt</t>
  </si>
  <si>
    <t>Pozycja</t>
  </si>
  <si>
    <t>AKTYWA</t>
  </si>
  <si>
    <t>A.FA.</t>
  </si>
  <si>
    <t>Aktywa_A</t>
  </si>
  <si>
    <t>A. Aktywa trwałe</t>
  </si>
  <si>
    <t>A.FA.I.</t>
  </si>
  <si>
    <t>Aktywa_A_I</t>
  </si>
  <si>
    <t>I. Wartości niematerialne i prawne</t>
  </si>
  <si>
    <t>A.FA.I.1.</t>
  </si>
  <si>
    <t>Aktywa_A_I_1</t>
  </si>
  <si>
    <t>1. Koszty zakończonych prac rozwojowych</t>
  </si>
  <si>
    <t>A.FA.I.2.</t>
  </si>
  <si>
    <t>Aktywa_A_I_2</t>
  </si>
  <si>
    <t>2. Wartość firmy</t>
  </si>
  <si>
    <t>A.FA.I.3.</t>
  </si>
  <si>
    <t>Aktywa_A_I_3</t>
  </si>
  <si>
    <t>3. Inne wartości niematerialne i prawne</t>
  </si>
  <si>
    <t>A.FA.I.4.</t>
  </si>
  <si>
    <t>Aktywa_A_I_4</t>
  </si>
  <si>
    <t>4. Zaliczki na wartości niematerialne i prawne</t>
  </si>
  <si>
    <t>A.FA.II.</t>
  </si>
  <si>
    <t>Aktywa_A_II</t>
  </si>
  <si>
    <t>II. Rzeczowe aktywa trwałe</t>
  </si>
  <si>
    <t>A.FA.II.1.</t>
  </si>
  <si>
    <t>Aktywa_A_II_1</t>
  </si>
  <si>
    <t>1. Środki trwałe</t>
  </si>
  <si>
    <t>A.FA.II.1.a.</t>
  </si>
  <si>
    <t>Aktywa_A_II_1_A</t>
  </si>
  <si>
    <t>a) grunty (w tym prawo wieczystego użytkowania gruntu)</t>
  </si>
  <si>
    <t>A.FA.II.1.b.</t>
  </si>
  <si>
    <t>Aktywa_A_II_1_B</t>
  </si>
  <si>
    <t>b) budynki, lokale i obiekty inżynierii lądowej i wodnej</t>
  </si>
  <si>
    <t>A.FA.II.1.c.</t>
  </si>
  <si>
    <t>Aktywa_A_II_1_C</t>
  </si>
  <si>
    <t>c) urządzenia techniczne i maszyny</t>
  </si>
  <si>
    <t>A.FA.II.1.d.</t>
  </si>
  <si>
    <t>Aktywa_A_II_1_D</t>
  </si>
  <si>
    <t>d) środki transportu</t>
  </si>
  <si>
    <t>A.FA.II.1.e.</t>
  </si>
  <si>
    <t>Aktywa_A_II_1_E</t>
  </si>
  <si>
    <t>e) inne środki trwałe</t>
  </si>
  <si>
    <t>A.FA.II.2.</t>
  </si>
  <si>
    <t>Aktywa_A_II_2</t>
  </si>
  <si>
    <t>2. Środki trwałe w budowie</t>
  </si>
  <si>
    <t>A.FA.II.3.</t>
  </si>
  <si>
    <t>Aktywa_A_II_3</t>
  </si>
  <si>
    <t>3. Zaliczki na środki trwałe w budowie</t>
  </si>
  <si>
    <t>A.FA.III.</t>
  </si>
  <si>
    <t>Aktywa_A_III</t>
  </si>
  <si>
    <t>III. Należności długoterminowe</t>
  </si>
  <si>
    <t>A.FA.III.1.</t>
  </si>
  <si>
    <t>Aktywa_A_III_1</t>
  </si>
  <si>
    <t>1. Od jednostek powiązanych</t>
  </si>
  <si>
    <t>A.FA.III.2.</t>
  </si>
  <si>
    <t>Aktywa_A_III_2</t>
  </si>
  <si>
    <t>2. Od pozostałych jednostek, w których jednostka posiada zaangażowanie w kapitale</t>
  </si>
  <si>
    <t>A.FA.III.3.</t>
  </si>
  <si>
    <t>Aktywa_A_III_3</t>
  </si>
  <si>
    <t>3. Od pozostałych jednostek</t>
  </si>
  <si>
    <t>A.FA.IV.</t>
  </si>
  <si>
    <t>Aktywa_A_IV</t>
  </si>
  <si>
    <t>IV. Inwestycje długoterminowe</t>
  </si>
  <si>
    <t>A.FA.IV.1.</t>
  </si>
  <si>
    <t>Aktywa_A_IV_1</t>
  </si>
  <si>
    <t>1. Nieruchomości</t>
  </si>
  <si>
    <t>A.FA.IV.2.</t>
  </si>
  <si>
    <t>Aktywa_A_IV_2</t>
  </si>
  <si>
    <t>2. Wartości niematerialne i prawne</t>
  </si>
  <si>
    <t>A.FA.IV.3.</t>
  </si>
  <si>
    <t>Aktywa_A_IV_3</t>
  </si>
  <si>
    <t>3. Długoterminowe aktywa finansowe</t>
  </si>
  <si>
    <t>A.FA.IV.3.a.</t>
  </si>
  <si>
    <t>Aktywa_A_IV_3_A</t>
  </si>
  <si>
    <t>a) w jednostkach powiązanych</t>
  </si>
  <si>
    <t>A.FA.IV.3.a.a1.</t>
  </si>
  <si>
    <t>Aktywa_A_IV_3_A_1</t>
  </si>
  <si>
    <t>- udziały lub akcje</t>
  </si>
  <si>
    <t>A.FA.IV.3.a.a2.</t>
  </si>
  <si>
    <t>Aktywa_A_IV_3_A_2</t>
  </si>
  <si>
    <t>- inne papiery wartościowe</t>
  </si>
  <si>
    <t>A.FA.IV.3.a.a3.</t>
  </si>
  <si>
    <t>Aktywa_A_IV_3_A_3</t>
  </si>
  <si>
    <t>- udzielone pożyczki</t>
  </si>
  <si>
    <t>A.FA.IV.3.a.a4.</t>
  </si>
  <si>
    <t>Aktywa_A_IV_3_A_4</t>
  </si>
  <si>
    <t>- inne długoterminowe aktywa finansowe</t>
  </si>
  <si>
    <t>A.FA.IV.3.b.</t>
  </si>
  <si>
    <t>Aktywa_A_IV_3_B</t>
  </si>
  <si>
    <t>b) w pozostałych jednostkach, w których jednostka posiada zaangażowanie w kapitale</t>
  </si>
  <si>
    <t>A.FA.IV.3.b.b1.</t>
  </si>
  <si>
    <t>Aktywa_A_IV_3_B_1</t>
  </si>
  <si>
    <t>A.FA.IV.3.b.b2.</t>
  </si>
  <si>
    <t>Aktywa_A_IV_3_B_2</t>
  </si>
  <si>
    <t>A.FA.IV.3.b.b3.</t>
  </si>
  <si>
    <t>Aktywa_A_IV_3_B_3</t>
  </si>
  <si>
    <t>A.FA.IV.3.b.b4.</t>
  </si>
  <si>
    <t>Aktywa_A_IV_3_B_4</t>
  </si>
  <si>
    <t>A.FA.IV.3.c.</t>
  </si>
  <si>
    <t>Aktywa_A_IV_3_C</t>
  </si>
  <si>
    <t>c) w pozostałych jednostkach</t>
  </si>
  <si>
    <t>A.FA.IV.3.c.c1.</t>
  </si>
  <si>
    <t>Aktywa_A_IV_3_C_1</t>
  </si>
  <si>
    <t>A.FA.IV.3.c.c2.</t>
  </si>
  <si>
    <t>Aktywa_A_IV_3_C_2</t>
  </si>
  <si>
    <t>A.FA.IV.3.c.c3.</t>
  </si>
  <si>
    <t>Aktywa_A_IV_3_C_3</t>
  </si>
  <si>
    <t>A.FA.IV.3.c.c4.</t>
  </si>
  <si>
    <t>Aktywa_A_IV_3_C_4</t>
  </si>
  <si>
    <t>A.FA.IV.4.</t>
  </si>
  <si>
    <t>Aktywa_A_IV_4</t>
  </si>
  <si>
    <t>4. Inne inwestycje długoterminowe</t>
  </si>
  <si>
    <t>A.FA.V.</t>
  </si>
  <si>
    <t>Aktywa_A_V</t>
  </si>
  <si>
    <t>V. Długoterminowe rozliczenia międzyokresowe</t>
  </si>
  <si>
    <t>A.FA.V.1.</t>
  </si>
  <si>
    <t>Aktywa_A_V_1</t>
  </si>
  <si>
    <t>1. Aktywa z tytułu odroczonego podatku dochodowego</t>
  </si>
  <si>
    <t>A.FA.V.2.</t>
  </si>
  <si>
    <t>Aktywa_A_V_2</t>
  </si>
  <si>
    <t>2. Inne rozliczenia międzyokresowe</t>
  </si>
  <si>
    <t>A.CA.</t>
  </si>
  <si>
    <t>Aktywa_B</t>
  </si>
  <si>
    <t>B. Aktywa obrotowe</t>
  </si>
  <si>
    <t>A.CA.I.</t>
  </si>
  <si>
    <t>Aktywa_B_I</t>
  </si>
  <si>
    <t>I. Zapasy</t>
  </si>
  <si>
    <t>A.CA.I.1.</t>
  </si>
  <si>
    <t>Aktywa_B_I_1</t>
  </si>
  <si>
    <t>1. Materiały</t>
  </si>
  <si>
    <t>A.CA.I.2.</t>
  </si>
  <si>
    <t>Aktywa_B_I_2</t>
  </si>
  <si>
    <t>2. Półprodukty i produkty w toku</t>
  </si>
  <si>
    <t>A.CA.I.3.</t>
  </si>
  <si>
    <t>Aktywa_B_I_3</t>
  </si>
  <si>
    <t>3. Produkty gotowe</t>
  </si>
  <si>
    <t>A.CA.I.4.</t>
  </si>
  <si>
    <t>Aktywa_B_I_4</t>
  </si>
  <si>
    <t>4. Towary</t>
  </si>
  <si>
    <t>A.CA.I.5.</t>
  </si>
  <si>
    <t>Aktywa_B_I_5</t>
  </si>
  <si>
    <t>5. Zaliczki na dostawy</t>
  </si>
  <si>
    <t>A.CA.II.</t>
  </si>
  <si>
    <t>Aktywa_B_II</t>
  </si>
  <si>
    <t>II. Należności krótkoterminowe</t>
  </si>
  <si>
    <t>A.CA.II.1.</t>
  </si>
  <si>
    <t>Aktywa_B_II_1</t>
  </si>
  <si>
    <t>1. Należności od jednostek powiązanych</t>
  </si>
  <si>
    <t>A.CA.II.1.a.</t>
  </si>
  <si>
    <t>Aktywa_B_II_1_A</t>
  </si>
  <si>
    <t>a) z tytułu dostaw i usług</t>
  </si>
  <si>
    <t>A.CA.II.1.a.a1.</t>
  </si>
  <si>
    <t>Aktywa_B_II_1_A_1</t>
  </si>
  <si>
    <t>- do 12 miesięcy</t>
  </si>
  <si>
    <t>A.CA.II.1.a.a2.</t>
  </si>
  <si>
    <t>Aktywa_B_II_1_A_2</t>
  </si>
  <si>
    <t>- powyżej 12 miesięcy</t>
  </si>
  <si>
    <t>A.CA.II.1.b.</t>
  </si>
  <si>
    <t>Aktywa_B_II_1_B</t>
  </si>
  <si>
    <t>b) inne</t>
  </si>
  <si>
    <t>A.CA.II.2.</t>
  </si>
  <si>
    <t>Aktywa_B_II_2</t>
  </si>
  <si>
    <t>2. Należności od pozostałych jednostek, w których jednostka posiada zaangażowanie w kapitale</t>
  </si>
  <si>
    <t>A.CA.II.2.a.</t>
  </si>
  <si>
    <t>Aktywa_B_II_2_A</t>
  </si>
  <si>
    <t>A.CA.II.2.a.a1.</t>
  </si>
  <si>
    <t>Aktywa_B_II_2_A_1</t>
  </si>
  <si>
    <t>A.CA.II.2.a.a2.</t>
  </si>
  <si>
    <t>Aktywa_B_II_2_A_2</t>
  </si>
  <si>
    <t>A.CA.II.2.b.</t>
  </si>
  <si>
    <t>Aktywa_B_II_2_B</t>
  </si>
  <si>
    <t>A.CA.II.3.a.</t>
  </si>
  <si>
    <t>Aktywa_B_II_3</t>
  </si>
  <si>
    <t>2. Należności od pozostałych jednostek</t>
  </si>
  <si>
    <t>Aktywa_B_II_3_A</t>
  </si>
  <si>
    <t>A.CA.II.3.a.a1.</t>
  </si>
  <si>
    <t>Aktywa_B_II_3_A_1</t>
  </si>
  <si>
    <t>A.CA.II.3.a.a2.</t>
  </si>
  <si>
    <t>Aktywa_B_II_3_A_2</t>
  </si>
  <si>
    <t>A.CA.II.3.b.</t>
  </si>
  <si>
    <t>Aktywa_B_II_3_B</t>
  </si>
  <si>
    <t>b) z tytułu podatków, dotacji, ceł, ubezpieczeń społecznych 
i zdrowotnych oraz innych świadczeń</t>
  </si>
  <si>
    <t>A.CA.II.3.c.</t>
  </si>
  <si>
    <t>Aktywa_B_II_3_C</t>
  </si>
  <si>
    <t>c) inne</t>
  </si>
  <si>
    <t>A.CA.II.3.d.</t>
  </si>
  <si>
    <t>Aktywa_B_II_3_D</t>
  </si>
  <si>
    <t>d) dochodzone na drodze sądowej</t>
  </si>
  <si>
    <t>A.CA.III.</t>
  </si>
  <si>
    <t>Aktywa_B_III</t>
  </si>
  <si>
    <t>III. Inwestycje krótkoterminowe</t>
  </si>
  <si>
    <t>A.CA.III.1.</t>
  </si>
  <si>
    <t>Aktywa_B_III_1</t>
  </si>
  <si>
    <t>1. Krótkoterminowe aktywa finansowe</t>
  </si>
  <si>
    <t>A.CA.III.1.a.</t>
  </si>
  <si>
    <t>Aktywa_B_III_1_A</t>
  </si>
  <si>
    <t>A.CA.III.1.a.a1.</t>
  </si>
  <si>
    <t>Aktywa_B_III_1_A_1</t>
  </si>
  <si>
    <t>A.CA.III.1.a.a2.</t>
  </si>
  <si>
    <t>Aktywa_B_III_1_A_2</t>
  </si>
  <si>
    <t>A.CA.III.1.a.a3.</t>
  </si>
  <si>
    <t>Aktywa_B_III_1_A_3</t>
  </si>
  <si>
    <t>A.CA.III.1.a.a4.</t>
  </si>
  <si>
    <t>Aktywa_B_III_1_A_4</t>
  </si>
  <si>
    <t>- inne krótkoterminowe aktywa finansowe</t>
  </si>
  <si>
    <t>A.CA.III.1.b.</t>
  </si>
  <si>
    <t>Aktywa_B_III_1_B</t>
  </si>
  <si>
    <t>b) w pozostałych jednostkach</t>
  </si>
  <si>
    <t>A.CA.III.1.b.b1.</t>
  </si>
  <si>
    <t>Aktywa_B_III_1_B_1</t>
  </si>
  <si>
    <t>A.CA.III.1.b.b2.</t>
  </si>
  <si>
    <t>Aktywa_B_III_1_B_2</t>
  </si>
  <si>
    <t>A.CA.III.1.b.b3.</t>
  </si>
  <si>
    <t>Aktywa_B_III_1_B_3</t>
  </si>
  <si>
    <t>A.CA.III.1.b.b4.</t>
  </si>
  <si>
    <t>Aktywa_B_III_1_B_4</t>
  </si>
  <si>
    <t>A.CA.III.1.c.</t>
  </si>
  <si>
    <t>Aktywa_B_III_1_C</t>
  </si>
  <si>
    <t>c) środki pieniężne i inne aktywa pieniężne</t>
  </si>
  <si>
    <t>A.CA.III.1.c.c1.</t>
  </si>
  <si>
    <t>Aktywa_B_III_1_C_1</t>
  </si>
  <si>
    <t>- środki pieniężne w kasie i na rachunkach</t>
  </si>
  <si>
    <t>A.CA.III.1.c.c2.</t>
  </si>
  <si>
    <t>Aktywa_B_III_1_C_2</t>
  </si>
  <si>
    <t>- inne środki pieniężne</t>
  </si>
  <si>
    <t>A.CA.III.1.c.c3.</t>
  </si>
  <si>
    <t>Aktywa_B_III_1_C_3</t>
  </si>
  <si>
    <t>- inne aktywa pieniężne</t>
  </si>
  <si>
    <t>A.CA.III.2.c.c4.</t>
  </si>
  <si>
    <t>Aktywa_B_III_2</t>
  </si>
  <si>
    <t>2. Inne inwestycje krótkoterminowe</t>
  </si>
  <si>
    <t>A.CA.IV.</t>
  </si>
  <si>
    <t>Aktywa_B_IV</t>
  </si>
  <si>
    <t>IV. Krótkoterminowe rozliczenia międzyokresowe</t>
  </si>
  <si>
    <t>A.C.</t>
  </si>
  <si>
    <t>Aktywa_C</t>
  </si>
  <si>
    <t>C. Należne wpłaty na kapitał (fundusz) podstawowy</t>
  </si>
  <si>
    <t>A.D.</t>
  </si>
  <si>
    <t>Aktywa_D</t>
  </si>
  <si>
    <t>D. Udziały (akcje) własne</t>
  </si>
  <si>
    <t>A.sum.</t>
  </si>
  <si>
    <t>Aktywa</t>
  </si>
  <si>
    <t>PASYWA</t>
  </si>
  <si>
    <t>P.E.</t>
  </si>
  <si>
    <t>Pasywa_A</t>
  </si>
  <si>
    <t>A. Kapitał własny</t>
  </si>
  <si>
    <t>P.E.I.</t>
  </si>
  <si>
    <t>Pasywa_A_I</t>
  </si>
  <si>
    <t>I. Kapitał (fundusz) podstawowy</t>
  </si>
  <si>
    <t>P.E.II.</t>
  </si>
  <si>
    <t>Pasywa_A_II</t>
  </si>
  <si>
    <t>II. Kapitał (fundusz) zapasowy</t>
  </si>
  <si>
    <t>P.E.II.a.</t>
  </si>
  <si>
    <t>Pasywa_A_II_1</t>
  </si>
  <si>
    <t>- nadwyżka wartości sprzedaży (wartości emisyjnej) nad wartością nominalną udziałów (akcji)</t>
  </si>
  <si>
    <t>P.E.III.</t>
  </si>
  <si>
    <t>Pasywa_A_III</t>
  </si>
  <si>
    <t>III. Kapitał (fundusz) z aktualizacji wyceny</t>
  </si>
  <si>
    <t>P.E.III.a.</t>
  </si>
  <si>
    <t>Pasywa_A_III_1</t>
  </si>
  <si>
    <t>- z tytułu aktualizacji wartości godziwej</t>
  </si>
  <si>
    <t>P.E.IV.</t>
  </si>
  <si>
    <t>Pasywa_A_IV</t>
  </si>
  <si>
    <t>IV. Pozostałe kapitały (fundusze) rezerwowe</t>
  </si>
  <si>
    <t>P.E.IV.a.</t>
  </si>
  <si>
    <t>Pasywa_A_IV_1</t>
  </si>
  <si>
    <t>- tworzone zgodnie z umową (statutem) Spółki</t>
  </si>
  <si>
    <t>P.E.IV.b.</t>
  </si>
  <si>
    <t>Pasywa_A_IV_2</t>
  </si>
  <si>
    <t>- na udziały (akcje) własne</t>
  </si>
  <si>
    <t>P.E.V.</t>
  </si>
  <si>
    <t>Pasywa_A_V</t>
  </si>
  <si>
    <t>VI. Zysk (strata) z lat ubiegłych</t>
  </si>
  <si>
    <t>P.E.VI.</t>
  </si>
  <si>
    <t>Pasywa_A_VI</t>
  </si>
  <si>
    <t>VII. Zysk (strata) netto</t>
  </si>
  <si>
    <t>P.E.VII.</t>
  </si>
  <si>
    <t>Pasywa_A_VII</t>
  </si>
  <si>
    <t>VIII. Odpisy z zysku netto w ciągu roku obrotowego  (wielkość ujemna)</t>
  </si>
  <si>
    <t>P.L.</t>
  </si>
  <si>
    <t>Pasywa_B</t>
  </si>
  <si>
    <t>B. Zobowiązania i rezerwy na zobowiązania</t>
  </si>
  <si>
    <t>P.L.I.</t>
  </si>
  <si>
    <t>Pasywa_B_I</t>
  </si>
  <si>
    <t>I. Rezerwy na zobowiązania</t>
  </si>
  <si>
    <t>P.L.I.1.</t>
  </si>
  <si>
    <t>Pasywa_B_I_1</t>
  </si>
  <si>
    <t>1. Rezerwa z tytułu odroczonego podatku dochodowego</t>
  </si>
  <si>
    <t>P.L.I.2.</t>
  </si>
  <si>
    <t>Pasywa_B_I_2</t>
  </si>
  <si>
    <t>2. Rezerwa na świadczenia emerytalne i podobne</t>
  </si>
  <si>
    <t>P.L.I.2.a.</t>
  </si>
  <si>
    <t>Pasywa_B_I_2_1</t>
  </si>
  <si>
    <t>- długoterminowa</t>
  </si>
  <si>
    <t>P.L.I.2.b.</t>
  </si>
  <si>
    <t>Pasywa_B_I_2_2</t>
  </si>
  <si>
    <t>- krótkoterminowa</t>
  </si>
  <si>
    <t>P.L.I.3.</t>
  </si>
  <si>
    <t>Pasywa_B_I_3</t>
  </si>
  <si>
    <t>3. Pozostałe rezerwy</t>
  </si>
  <si>
    <t>P.L.I.3.a.</t>
  </si>
  <si>
    <t>Pasywa_B_I_3_1</t>
  </si>
  <si>
    <t>- długoterminowe</t>
  </si>
  <si>
    <t>P.L.I.3.b.</t>
  </si>
  <si>
    <t>Pasywa_B_I_3_2</t>
  </si>
  <si>
    <t>- krótkoterminowe</t>
  </si>
  <si>
    <t>P.L.II.</t>
  </si>
  <si>
    <t>Pasywa_B_II</t>
  </si>
  <si>
    <t>II. Zobowiązania długoterminowe</t>
  </si>
  <si>
    <t>P.L.II.1.</t>
  </si>
  <si>
    <t>Pasywa_B_II_1</t>
  </si>
  <si>
    <t>1. Wobec jednostek powiązanych</t>
  </si>
  <si>
    <t>P.L.II.2.</t>
  </si>
  <si>
    <t>Pasywa_B_II_2</t>
  </si>
  <si>
    <t>2. Wobec pozostałych jednostek, w których jednostka posiada zaangażowanie w kapitale</t>
  </si>
  <si>
    <t>P.L.II.3.</t>
  </si>
  <si>
    <t>Pasywa_B_II_3</t>
  </si>
  <si>
    <t>3. Wobec pozostałych jednostek</t>
  </si>
  <si>
    <t>P.L.II.3.a.</t>
  </si>
  <si>
    <t>Pasywa_B_II_3_A</t>
  </si>
  <si>
    <t>a) kredyty i pożyczki</t>
  </si>
  <si>
    <t>P.L.II.3.b.</t>
  </si>
  <si>
    <t>Pasywa_B_II_3_B</t>
  </si>
  <si>
    <t>b) z tytułu emisji dłużnych papierów wartościowych</t>
  </si>
  <si>
    <t>P.L.II.3.c.</t>
  </si>
  <si>
    <t>Pasywa_B_II_3_C</t>
  </si>
  <si>
    <t>c) inne zobowiązania finansowe</t>
  </si>
  <si>
    <t>P.L.II.3.d.</t>
  </si>
  <si>
    <t>Pasywa_B_II_3_D</t>
  </si>
  <si>
    <t>d) zobowiązania wekslowe</t>
  </si>
  <si>
    <t>P.L.II.3.e.</t>
  </si>
  <si>
    <t>Pasywa_B_II_3_E</t>
  </si>
  <si>
    <t>e) inne</t>
  </si>
  <si>
    <t>P.L.III.</t>
  </si>
  <si>
    <t>Pasywa_B_III</t>
  </si>
  <si>
    <t>III. Zobowiązania krótkoterminowe</t>
  </si>
  <si>
    <t>P.L.III.1.</t>
  </si>
  <si>
    <t>Pasywa_B_III_1</t>
  </si>
  <si>
    <t>P.L.III.1.a.</t>
  </si>
  <si>
    <t>Pasywa_B_III_1_A</t>
  </si>
  <si>
    <t>P.L.III.1.a.a1.</t>
  </si>
  <si>
    <t>Pasywa_B_III_1_A_1</t>
  </si>
  <si>
    <t>P.L.III.1.a.a2.</t>
  </si>
  <si>
    <t>Pasywa_B_III_1_A_2</t>
  </si>
  <si>
    <t>P.L.III.1.b.</t>
  </si>
  <si>
    <t>Pasywa_B_III_1_B</t>
  </si>
  <si>
    <t>P.L.III.2.</t>
  </si>
  <si>
    <t>Pasywa_B_III_2</t>
  </si>
  <si>
    <t>2. Zobowiązania wobec pozostałych jednostek, w których jednostka posiada zaangażowanie w kapitale</t>
  </si>
  <si>
    <t>P.L.III.2.a.</t>
  </si>
  <si>
    <t>Pasywa_B_III_2_A</t>
  </si>
  <si>
    <t>P.L.III.2.a.a1.</t>
  </si>
  <si>
    <t>Pasywa_B_III_2_A_1</t>
  </si>
  <si>
    <t>P.L.III.2.a.a2.</t>
  </si>
  <si>
    <t>Pasywa_B_III_2_A_2</t>
  </si>
  <si>
    <t>P.L.III.2.b.</t>
  </si>
  <si>
    <t>Pasywa_B_III_2_B</t>
  </si>
  <si>
    <t>P.L.III.3.</t>
  </si>
  <si>
    <t>Pasywa_B_III_3</t>
  </si>
  <si>
    <t>2. Wobec pozostałych jednostek</t>
  </si>
  <si>
    <t>P.L.III.3.a.</t>
  </si>
  <si>
    <t>Pasywa_B_III_3_A</t>
  </si>
  <si>
    <t>P.L.III.3.b.</t>
  </si>
  <si>
    <t>Pasywa_B_III_3_B</t>
  </si>
  <si>
    <t>P.L.III.3.c.</t>
  </si>
  <si>
    <t>Pasywa_B_III_3_C</t>
  </si>
  <si>
    <t>P.L.III.3.d.</t>
  </si>
  <si>
    <t>Pasywa_B_III_3_D</t>
  </si>
  <si>
    <t>d) z tytułu dostaw i usług</t>
  </si>
  <si>
    <t>P.L.III.3.d.d1.</t>
  </si>
  <si>
    <t>Pasywa_B_III_3_D_1</t>
  </si>
  <si>
    <t>P.L.III.3.d.d2.</t>
  </si>
  <si>
    <t>Pasywa_B_III_3_D_2</t>
  </si>
  <si>
    <t>P.L.III.3.e.</t>
  </si>
  <si>
    <t>Pasywa_B_III_3_E</t>
  </si>
  <si>
    <t>e) zaliczki otrzymane na dostawy</t>
  </si>
  <si>
    <t>P.L.III.3.f.</t>
  </si>
  <si>
    <t>Pasywa_B_III_3_F</t>
  </si>
  <si>
    <t>f) zobowiązania wekslowe</t>
  </si>
  <si>
    <t>P.L.III.3.g.</t>
  </si>
  <si>
    <t>Pasywa_B_III_3_G</t>
  </si>
  <si>
    <t>g) z tytułu podatków, ceł, ubezpieczeń społecznych i zdrowotnych oraz innych tytułów publicznoprawnych</t>
  </si>
  <si>
    <t>P.L.III.3.h.</t>
  </si>
  <si>
    <t>Pasywa_B_III_3_H</t>
  </si>
  <si>
    <t>h) z tytułu wynagrodzeń</t>
  </si>
  <si>
    <t>P.L.III.3.i.</t>
  </si>
  <si>
    <t>Pasywa_B_III_3_I</t>
  </si>
  <si>
    <t>i) inne</t>
  </si>
  <si>
    <t>P.L.III.4.</t>
  </si>
  <si>
    <t>Pasywa_B_III_4</t>
  </si>
  <si>
    <t>3. Fundusze specjalne</t>
  </si>
  <si>
    <t>P.L.IV.</t>
  </si>
  <si>
    <t>Pasywa_B_IV</t>
  </si>
  <si>
    <t>IV. Rozliczenia międzyokresowe</t>
  </si>
  <si>
    <t>P.L.IV.1.</t>
  </si>
  <si>
    <t>Pasywa_B_IV_1</t>
  </si>
  <si>
    <t>1. Ujemna wartość firmy</t>
  </si>
  <si>
    <t>P.L.IV.2.</t>
  </si>
  <si>
    <t>Pasywa_B_IV_2</t>
  </si>
  <si>
    <t>P.L.IV.2.a.</t>
  </si>
  <si>
    <t>Pasywa_B_IV_2_1</t>
  </si>
  <si>
    <t>P.L.IV.2.b.</t>
  </si>
  <si>
    <t>Pasywa_B_IV_2_2</t>
  </si>
  <si>
    <t>P.sum.</t>
  </si>
  <si>
    <t>Pasywa</t>
  </si>
  <si>
    <t xml:space="preserve">PASYWA  </t>
  </si>
  <si>
    <t>RZIS</t>
  </si>
  <si>
    <t>PL.A.</t>
  </si>
  <si>
    <t>A</t>
  </si>
  <si>
    <t>A. Przychody netto ze sprzedaży i zrównane z nimi</t>
  </si>
  <si>
    <t>PL.A.a.</t>
  </si>
  <si>
    <t>A_J</t>
  </si>
  <si>
    <t>- od jednostek powiązanych</t>
  </si>
  <si>
    <t>PL.A.I.</t>
  </si>
  <si>
    <t>A_I</t>
  </si>
  <si>
    <t>I. Przychody netto ze sprzedaży produktów</t>
  </si>
  <si>
    <t>PL.A.II.</t>
  </si>
  <si>
    <t>A_II</t>
  </si>
  <si>
    <t>II. Zmiana stanu produktów</t>
  </si>
  <si>
    <t>PL.A.III.</t>
  </si>
  <si>
    <t>A_III</t>
  </si>
  <si>
    <t>III. Koszt wytworzenia produktów na własne potrzeby jednostki</t>
  </si>
  <si>
    <t>PL.A.IV.</t>
  </si>
  <si>
    <t>A_IV</t>
  </si>
  <si>
    <t>IV. Przychody netto ze sprzedaży towarów i materiałów</t>
  </si>
  <si>
    <t>PL.B.</t>
  </si>
  <si>
    <t>B</t>
  </si>
  <si>
    <t>B. Koszty działalności operacyjnej</t>
  </si>
  <si>
    <t>PL.B.I.</t>
  </si>
  <si>
    <t>B_I</t>
  </si>
  <si>
    <t>I. Amortyzacja</t>
  </si>
  <si>
    <t>PL.B.II.</t>
  </si>
  <si>
    <t>B_II</t>
  </si>
  <si>
    <t>II. Zużycie materiałów i energii</t>
  </si>
  <si>
    <t>PL.B.III.</t>
  </si>
  <si>
    <t>B_III</t>
  </si>
  <si>
    <t>III. Usługi obce</t>
  </si>
  <si>
    <t>PL.B.IV.</t>
  </si>
  <si>
    <t>B_IV</t>
  </si>
  <si>
    <t>IV. Podatki i opłaty, w tym:</t>
  </si>
  <si>
    <t>PL.B.IV.a.</t>
  </si>
  <si>
    <t>B_IV_1</t>
  </si>
  <si>
    <t>- podatek akcyzowy</t>
  </si>
  <si>
    <t>PL.B.V.</t>
  </si>
  <si>
    <t>B_V</t>
  </si>
  <si>
    <t>V. Wynagrodzenia</t>
  </si>
  <si>
    <t>PL.B.VI.</t>
  </si>
  <si>
    <t>B_VI</t>
  </si>
  <si>
    <t>VI. Ubezpieczenia społeczne i inne świadczenia</t>
  </si>
  <si>
    <t>PL.B.VI.a.</t>
  </si>
  <si>
    <t>B_VI_1</t>
  </si>
  <si>
    <t>- emerytalne</t>
  </si>
  <si>
    <t>PL.B.VII.</t>
  </si>
  <si>
    <t>B_VII</t>
  </si>
  <si>
    <t>VII. Pozostałe koszty rodzajowe</t>
  </si>
  <si>
    <t>PL.B.VIII.</t>
  </si>
  <si>
    <t>B_VIII</t>
  </si>
  <si>
    <t>VIII. Wartość sprzedanych towarów i materiałów</t>
  </si>
  <si>
    <t>PL.C.</t>
  </si>
  <si>
    <t>C</t>
  </si>
  <si>
    <t>C. Zysk (strata) ze sprzedaży (A-B)</t>
  </si>
  <si>
    <t>PL. D.</t>
  </si>
  <si>
    <t>D</t>
  </si>
  <si>
    <t>D. Pozostałe przychody operacyjne</t>
  </si>
  <si>
    <t>PL. D.I.</t>
  </si>
  <si>
    <t>D_I</t>
  </si>
  <si>
    <t>I. Zysk z tytułu rozchodu niefinansowych aktywów trwałych</t>
  </si>
  <si>
    <t>PL. D.II.</t>
  </si>
  <si>
    <t>D_II</t>
  </si>
  <si>
    <t>II. Dotacje</t>
  </si>
  <si>
    <t>PL. D.III.</t>
  </si>
  <si>
    <t>D_III</t>
  </si>
  <si>
    <t>III. Aktualizacja wartości aktywów niefinansowych</t>
  </si>
  <si>
    <t>PL. D.IV.</t>
  </si>
  <si>
    <t>D_IV</t>
  </si>
  <si>
    <t>IV. Inne przychody operacyjne</t>
  </si>
  <si>
    <t>PL. E.</t>
  </si>
  <si>
    <t>E</t>
  </si>
  <si>
    <t>E. Pozostałe koszty operacyjne</t>
  </si>
  <si>
    <t>PL. E.I.</t>
  </si>
  <si>
    <t>E_I</t>
  </si>
  <si>
    <t>I. Strata z tytułu rozchodu niefinansowych aktywów trwałych</t>
  </si>
  <si>
    <t>PL. E.II.</t>
  </si>
  <si>
    <t>E_II</t>
  </si>
  <si>
    <t>II. Aktualizacja wartości aktywów niefinansowych</t>
  </si>
  <si>
    <t>PL. E.III.</t>
  </si>
  <si>
    <t>E_III</t>
  </si>
  <si>
    <t>III. Inne koszty operacyjne</t>
  </si>
  <si>
    <t>PL.F.</t>
  </si>
  <si>
    <t>F</t>
  </si>
  <si>
    <t>F. Zysk (strata) z działalności operacyjnej (C+D-E)</t>
  </si>
  <si>
    <t>PL.G.</t>
  </si>
  <si>
    <t>G</t>
  </si>
  <si>
    <t>G. Przychody finansowe</t>
  </si>
  <si>
    <t>PL.G.I.</t>
  </si>
  <si>
    <t>G_I</t>
  </si>
  <si>
    <t>I. Dywidendy i udziały w zyskach</t>
  </si>
  <si>
    <t>PL.G.I.a.</t>
  </si>
  <si>
    <t>G_I_A</t>
  </si>
  <si>
    <t>a) od jednostek powiązanych, w tym:</t>
  </si>
  <si>
    <t>PL.G.I.a.a1.</t>
  </si>
  <si>
    <t>G_I_A_1</t>
  </si>
  <si>
    <t>- w których jednostka posiada zaangażowanie w kapitale</t>
  </si>
  <si>
    <t>PL.G.I.b.</t>
  </si>
  <si>
    <t>G_I_B</t>
  </si>
  <si>
    <t>b) od jednostek pozostałych, w tym:</t>
  </si>
  <si>
    <t>PL.G.I.b.b1.</t>
  </si>
  <si>
    <t>G_I_B_1</t>
  </si>
  <si>
    <t>PL.G.II.</t>
  </si>
  <si>
    <t>G_II</t>
  </si>
  <si>
    <t>II. Odsetki</t>
  </si>
  <si>
    <t>PL.G.II.a.a1.</t>
  </si>
  <si>
    <t>G_II_J</t>
  </si>
  <si>
    <t>PL.G.III.</t>
  </si>
  <si>
    <t>G_III</t>
  </si>
  <si>
    <t>III. Zysk z tytułu rozchodu aktywów finansowych</t>
  </si>
  <si>
    <t>PL.G.III.a.a1.</t>
  </si>
  <si>
    <t>G_III_J</t>
  </si>
  <si>
    <t>- w jednostkach powiązanych</t>
  </si>
  <si>
    <t>PL.G.IV.</t>
  </si>
  <si>
    <t>G_IV</t>
  </si>
  <si>
    <t>IV. Aktualizacja wartości aktywów finansowych</t>
  </si>
  <si>
    <t>PL.G.V.</t>
  </si>
  <si>
    <t>G_V</t>
  </si>
  <si>
    <t>V. Inne</t>
  </si>
  <si>
    <t>PL.H.</t>
  </si>
  <si>
    <t>H</t>
  </si>
  <si>
    <t>H. Koszty finansowe</t>
  </si>
  <si>
    <t>PL.H.I.</t>
  </si>
  <si>
    <t>H_I</t>
  </si>
  <si>
    <t>I. Odsetki</t>
  </si>
  <si>
    <t>PL.H.I.a.a1.</t>
  </si>
  <si>
    <t>H_I_J</t>
  </si>
  <si>
    <t>- dla jednostek powiązanych</t>
  </si>
  <si>
    <t>PL.H.II.</t>
  </si>
  <si>
    <t>H_II</t>
  </si>
  <si>
    <t>II. Strata z tytułu rozchodu aktywów finansowych</t>
  </si>
  <si>
    <t>PL.H.II.a.a1.</t>
  </si>
  <si>
    <t>H_II_J</t>
  </si>
  <si>
    <t>PL.H.III.</t>
  </si>
  <si>
    <t>H_III</t>
  </si>
  <si>
    <t>III. Aktualizacja wartości aktywów finansowych</t>
  </si>
  <si>
    <t>PL.H.IV.</t>
  </si>
  <si>
    <t>H_IV</t>
  </si>
  <si>
    <t>IV. Inne</t>
  </si>
  <si>
    <t>PL.I.</t>
  </si>
  <si>
    <t>I</t>
  </si>
  <si>
    <t>I. Zysk brutto (strata) (F + G -H))</t>
  </si>
  <si>
    <t>PL.J.</t>
  </si>
  <si>
    <t>J</t>
  </si>
  <si>
    <t>J. Podatek dochodowy</t>
  </si>
  <si>
    <t>PL.K.</t>
  </si>
  <si>
    <t>K</t>
  </si>
  <si>
    <t>K. Pozostałe obowiązkowe zmniejszenia zysku (zwiększenia straty)</t>
  </si>
  <si>
    <t>PL.L.</t>
  </si>
  <si>
    <t>L</t>
  </si>
  <si>
    <t>L. Zysk (strata) netto (I-J-K)</t>
  </si>
  <si>
    <t>ZZWKW</t>
  </si>
  <si>
    <t xml:space="preserve">Kapitał (fundusz) własny na początek okresu (BO) </t>
  </si>
  <si>
    <t>I_1</t>
  </si>
  <si>
    <t>zmiany przyjętych zasad (polityki) rachunkowości </t>
  </si>
  <si>
    <t>I_2</t>
  </si>
  <si>
    <t>korekty błędów</t>
  </si>
  <si>
    <t>IA</t>
  </si>
  <si>
    <t>Kapitał (fundusz) własny na początek okresu (BO), po korektach</t>
  </si>
  <si>
    <t>IA_1</t>
  </si>
  <si>
    <t xml:space="preserve">Kapitał (fundusz) podstawowy na początek okresu </t>
  </si>
  <si>
    <t>IA_1_1</t>
  </si>
  <si>
    <t>Zmiany kapitału (funduszu) podstawowego</t>
  </si>
  <si>
    <t>IA_1_1_A</t>
  </si>
  <si>
    <t>zwiększenie (z tytułu)</t>
  </si>
  <si>
    <t>IA_1_1_A_1</t>
  </si>
  <si>
    <t>wydania udziałów (emisji akcji)</t>
  </si>
  <si>
    <t>Ia_PozycjaUszczegolawiajaca_2</t>
  </si>
  <si>
    <t>Ia_PozycjaUszczegolawiajaca_1</t>
  </si>
  <si>
    <t>Ia_PozycjaUszczegolawiajaca_3</t>
  </si>
  <si>
    <t>IA_1_1_B</t>
  </si>
  <si>
    <t>zmniejszenie (z tytułu)</t>
  </si>
  <si>
    <t/>
  </si>
  <si>
    <t>IA_1_1_B_1</t>
  </si>
  <si>
    <t>umorzenie udziałów (akcji)</t>
  </si>
  <si>
    <t>Ib_PozycjaUszczegolawiajaca_2</t>
  </si>
  <si>
    <t>Ib_PozycjaUszczegolawiajaca_1</t>
  </si>
  <si>
    <t>Ib_PozycjaUszczegolawiajaca_3</t>
  </si>
  <si>
    <t>IA_1_2</t>
  </si>
  <si>
    <t>Kapitał (fundusz) podstawowy na koniec okresu</t>
  </si>
  <si>
    <t>IA_2</t>
  </si>
  <si>
    <t>Kapitał (fundusz) zapasowy na początek okresu</t>
  </si>
  <si>
    <t>IA_2_1</t>
  </si>
  <si>
    <t>Zmiany kapitału (funduszu) zapasowego</t>
  </si>
  <si>
    <t>IA_2_1_A</t>
  </si>
  <si>
    <t>IA_2_1_A_1</t>
  </si>
  <si>
    <t>emisji akcji powyżej wartości nominalnej</t>
  </si>
  <si>
    <t>IA_2_1_A_2</t>
  </si>
  <si>
    <t>z podziału zysku (ustawowo)</t>
  </si>
  <si>
    <t>IA_2_1_A_3</t>
  </si>
  <si>
    <t>z podziału zysku (ponad wymaganą ustawowo minimalną wartość)</t>
  </si>
  <si>
    <t>IIa_PozycjaUszczegolawiajaca_4</t>
  </si>
  <si>
    <t>IIa_PozycjaUszczegolawiajaca_1</t>
  </si>
  <si>
    <t>IIa_PozycjaUszczegolawiajaca_2</t>
  </si>
  <si>
    <t>IIa_PozycjaUszczegolawiajaca_3</t>
  </si>
  <si>
    <t>IA_2_1_B</t>
  </si>
  <si>
    <t>IA_2_1_B_1</t>
  </si>
  <si>
    <t>pokrycia straty</t>
  </si>
  <si>
    <t>IIb_PozycjaUszczegolawiajaca_2</t>
  </si>
  <si>
    <t>IIb_PozycjaUszczegolawiajaca_1</t>
  </si>
  <si>
    <t>IIb_PozycjaUszczegolawiajaca_3</t>
  </si>
  <si>
    <t>IA_2_2</t>
  </si>
  <si>
    <t>Stan kapitału (funduszu) zapasowego na koniec okresu</t>
  </si>
  <si>
    <t>IA_3</t>
  </si>
  <si>
    <t>Kapitał (fundusz) z aktualizacji wyceny na początek okresu - zmiany przyjętych zasad (polityki) rachunkowości </t>
  </si>
  <si>
    <t>IA_3_1</t>
  </si>
  <si>
    <t>Zmiany kapitału (funduszu) z aktualizacji wyceny</t>
  </si>
  <si>
    <t>IA_3_1_A</t>
  </si>
  <si>
    <t>IIIa_PozycjaUszczegolawiajaca</t>
  </si>
  <si>
    <t>IIIa_PozycjaUszczegolawiajaca_1</t>
  </si>
  <si>
    <t>IIIa_PozycjaUszczegolawiajaca_2</t>
  </si>
  <si>
    <t>IIIa_PozycjaUszczegolawiajaca_3</t>
  </si>
  <si>
    <t>IA_3_1_B</t>
  </si>
  <si>
    <t>IA_3_1_B_1</t>
  </si>
  <si>
    <t>zbycia środków trwałych</t>
  </si>
  <si>
    <t>IIIb_PozycjaUszczegolawiajaca_2</t>
  </si>
  <si>
    <t>IIIb_PozycjaUszczegolawiajaca_1</t>
  </si>
  <si>
    <t>IIIb_PozycjaUszczegolawiajaca_3</t>
  </si>
  <si>
    <t>IA_3_2</t>
  </si>
  <si>
    <t>Kapitał (fundusz) z aktualizacji wyceny na koniec okresu</t>
  </si>
  <si>
    <t>IA_4</t>
  </si>
  <si>
    <t>Pozostałe kapitały (fundusze) rezerwowe na początek okresu</t>
  </si>
  <si>
    <t>IA_4_1</t>
  </si>
  <si>
    <t>Zmiany pozostałych kapitałów (funduszy) rezerwowych</t>
  </si>
  <si>
    <t>IA_4_1_A</t>
  </si>
  <si>
    <t>Iva_PozycjaUszczegolawiajaca</t>
  </si>
  <si>
    <t>IVa_PozycjaUszczegolawiajaca_1</t>
  </si>
  <si>
    <t>IVa_PozycjaUszczegolawiajaca_2</t>
  </si>
  <si>
    <t>IVa_PozycjaUszczegolawiajaca_3</t>
  </si>
  <si>
    <t>IA_4_1_B</t>
  </si>
  <si>
    <t>Ivb_PozycjaUszczegolawiajaca</t>
  </si>
  <si>
    <t>IVb_PozycjaUszczegolawiajaca_1</t>
  </si>
  <si>
    <t>IVb_PozycjaUszczegolawiajaca_2</t>
  </si>
  <si>
    <t>IVb_PozycjaUszczegolawiajaca_3</t>
  </si>
  <si>
    <t>IA_4_2</t>
  </si>
  <si>
    <t>Pozostałe kapitały (fundusze) rezerwowe na koniec okresu</t>
  </si>
  <si>
    <t>IA_5</t>
  </si>
  <si>
    <t>Zysk (strata) z lat ubiegłych na początek okresu</t>
  </si>
  <si>
    <t>IA_5_1</t>
  </si>
  <si>
    <t xml:space="preserve">Zysk z lat ubiegłych na początek okresu </t>
  </si>
  <si>
    <t>IA_5_1_1</t>
  </si>
  <si>
    <t>IA_5_1_2</t>
  </si>
  <si>
    <t>IA_5_2</t>
  </si>
  <si>
    <t xml:space="preserve">Zysk z lat ubiegłych na początek okresu, po korektach </t>
  </si>
  <si>
    <t>IA_5_2_A</t>
  </si>
  <si>
    <t>IA_5_2_A_1</t>
  </si>
  <si>
    <t>podziału zysku z lat ubiegłych</t>
  </si>
  <si>
    <t>Va_PozycjaUszczegolawiajaca_2</t>
  </si>
  <si>
    <t>Va_PozycjaUszczegolawiajaca_1</t>
  </si>
  <si>
    <t>Va_PozycjaUszczegolawiajaca_3</t>
  </si>
  <si>
    <t>IA_5_2_B</t>
  </si>
  <si>
    <t>Vb_PozycjaUszczegolawiajaca</t>
  </si>
  <si>
    <t>Vb_PozycjaUszczegolawiajaca_1</t>
  </si>
  <si>
    <t>Vb_PozycjaUszczegolawiajaca_2</t>
  </si>
  <si>
    <t>Vb_PozycjaUszczegolawiajaca_3</t>
  </si>
  <si>
    <t>IA_5_3</t>
  </si>
  <si>
    <t>Zysk z lat ubiegłych na koniec okresu</t>
  </si>
  <si>
    <t>IA_5_4</t>
  </si>
  <si>
    <t>Strata z lat ubiegłych na początek okresu (-)</t>
  </si>
  <si>
    <t>IA_5_4_1</t>
  </si>
  <si>
    <t>IA_5_4_2</t>
  </si>
  <si>
    <t>IA_5_5</t>
  </si>
  <si>
    <t>Strata z lat ubiegłych na początek okresu, po korektach</t>
  </si>
  <si>
    <t>IA_5_5_A</t>
  </si>
  <si>
    <t>IA_5_5_A_1</t>
  </si>
  <si>
    <t>przeniesienie straty z lat ubiegłych do pokrycia</t>
  </si>
  <si>
    <t>Vc_PozycjaUszczegolawiajaca_2</t>
  </si>
  <si>
    <t>Vc_PozycjaUszczegolawiajaca_1</t>
  </si>
  <si>
    <t>Vc_PozycjaUszczegolawiajaca_3</t>
  </si>
  <si>
    <t>IA_5_5_B</t>
  </si>
  <si>
    <t>Vd_PozycjaUszczegolawiajaca</t>
  </si>
  <si>
    <t>Vd_PozycjaUszczegolawiajaca_1</t>
  </si>
  <si>
    <t>Vd_PozycjaUszczegolawiajaca_2</t>
  </si>
  <si>
    <t>Vd_PozycjaUszczegolawiajaca_3</t>
  </si>
  <si>
    <t>IA_5_6</t>
  </si>
  <si>
    <t>Strata z lat ubiegłych na koniec okresu</t>
  </si>
  <si>
    <t>IA_5_7</t>
  </si>
  <si>
    <t>Zysk (strata) z lat ubiegłych na koniec okresu</t>
  </si>
  <si>
    <t>IA_6</t>
  </si>
  <si>
    <t>Wynik netto</t>
  </si>
  <si>
    <t>IA_6_A</t>
  </si>
  <si>
    <t>zysk netto</t>
  </si>
  <si>
    <t>IA_6_B</t>
  </si>
  <si>
    <t>strata netto (wielkość ujemna)</t>
  </si>
  <si>
    <t>IA_6_C</t>
  </si>
  <si>
    <t>odpisy z zysku (wielkość ujemna)</t>
  </si>
  <si>
    <t>II</t>
  </si>
  <si>
    <t>Kapitał (fundusz) własny na koniec okresu (BZ)</t>
  </si>
  <si>
    <t>III</t>
  </si>
  <si>
    <t>Kapitał (fundusz) własny, po uwzględnieniu proponowanego podziału zysku (pokrycia straty)</t>
  </si>
  <si>
    <t>RPP</t>
  </si>
  <si>
    <t>A. Przepływy środków pieniężnych z działalności operacyjnej</t>
  </si>
  <si>
    <t>I. Zysk (strata) netto</t>
  </si>
  <si>
    <t>II. Korekty razem</t>
  </si>
  <si>
    <t>A_II_1</t>
  </si>
  <si>
    <t>1. Amortyzacja</t>
  </si>
  <si>
    <t>A_II_2</t>
  </si>
  <si>
    <t>2. Zyski (straty) z tytułu różnic kursowych</t>
  </si>
  <si>
    <t>A_II_3</t>
  </si>
  <si>
    <t>3. Odsetki i udziały w zyskach (dywidendy)</t>
  </si>
  <si>
    <t>A_II_4</t>
  </si>
  <si>
    <t>4. Zysk (strata) z działalności inwestycyjnej</t>
  </si>
  <si>
    <t>A_II_5</t>
  </si>
  <si>
    <t>5. Zmiana stanu rezerw</t>
  </si>
  <si>
    <t>A_II_6</t>
  </si>
  <si>
    <t>6. Zmiana stanu zapasów</t>
  </si>
  <si>
    <t>A_II_7</t>
  </si>
  <si>
    <t>7. Zmiana stanu należności</t>
  </si>
  <si>
    <t>A_II_8</t>
  </si>
  <si>
    <t>8. Zmiana stanu zobowiązań krótkoterminowych, z wyjątkiem pożyczek i kredytów</t>
  </si>
  <si>
    <t>A_II_9</t>
  </si>
  <si>
    <t>9. Zmiana stanu rozliczeń międzyokresowych</t>
  </si>
  <si>
    <t>A_II_10</t>
  </si>
  <si>
    <t>10. Inne korekty</t>
  </si>
  <si>
    <t>III. Przepływy pieniężne netto z działalności operacyjnej (I +/- II)</t>
  </si>
  <si>
    <t>B. Przepływy środków pieniężnych z działalności inwestycyjnej</t>
  </si>
  <si>
    <t>I. Wpływy</t>
  </si>
  <si>
    <t>B_I_1</t>
  </si>
  <si>
    <t>1. Zbycie wartości niematerialnych i prawnych oraz rzeczowych aktywów trwałych</t>
  </si>
  <si>
    <t>B_I_2</t>
  </si>
  <si>
    <t>2. Zbycie inwestycji w nieruchomości oraz wartości niematerialne i prawne</t>
  </si>
  <si>
    <t>B_I_3</t>
  </si>
  <si>
    <t>3. Z aktywów finansowych, w tym:</t>
  </si>
  <si>
    <t>B_I_3_A</t>
  </si>
  <si>
    <t>B_I_3_B</t>
  </si>
  <si>
    <t>B_I_3_B_1</t>
  </si>
  <si>
    <t>- zbycie aktywów finansowych</t>
  </si>
  <si>
    <t>B_I_3_B_2</t>
  </si>
  <si>
    <t>- dywidendy i udziały w zyskach</t>
  </si>
  <si>
    <t>B_I_3_B_3</t>
  </si>
  <si>
    <t>- spłata udzielonych pożyczek długoterminowych</t>
  </si>
  <si>
    <t>B_I_3_B_4</t>
  </si>
  <si>
    <t>- odsetki</t>
  </si>
  <si>
    <t>B_I_3_B_5</t>
  </si>
  <si>
    <t>- inne wpływy z aktywów finansowych</t>
  </si>
  <si>
    <t>B_I_4</t>
  </si>
  <si>
    <t>4. Inne wpływy inwestycyjne</t>
  </si>
  <si>
    <t>II. Wydatki</t>
  </si>
  <si>
    <t>B_II_1</t>
  </si>
  <si>
    <t>1. Nabycie wartości niematerialnych i prawnych oraz rzeczowych aktywów trwałych</t>
  </si>
  <si>
    <t>B_II_2</t>
  </si>
  <si>
    <t>2. Inwestycje w nieruchomości oraz wartości niematerialne i prawne</t>
  </si>
  <si>
    <t>B_II_3</t>
  </si>
  <si>
    <t>3. Na aktywa finansowe, w tym:</t>
  </si>
  <si>
    <t>B_II_3_A</t>
  </si>
  <si>
    <t>B_II_3_B</t>
  </si>
  <si>
    <t>B_II_3_B_1</t>
  </si>
  <si>
    <t>- nabycie aktywów finansowych</t>
  </si>
  <si>
    <t>B_II_3_B_2</t>
  </si>
  <si>
    <t>- udzielone pożyczki długoterminowe</t>
  </si>
  <si>
    <t>B_II_4</t>
  </si>
  <si>
    <t>4. Inne wydatki inwestycyjne</t>
  </si>
  <si>
    <t>III. Przepływy pieniężne netto z działalności inwestycyjnej (I - II)</t>
  </si>
  <si>
    <t>C. Przepływy środków pieniężnych z działalności finansowej</t>
  </si>
  <si>
    <t>C_I</t>
  </si>
  <si>
    <t>C_I_1</t>
  </si>
  <si>
    <t>1. Wpływy netto z wydania udziałów (emisji akcji) i innych instrumentów kapitałowych oraz dopłat do kapitału</t>
  </si>
  <si>
    <t>C_I_2</t>
  </si>
  <si>
    <t>2. Kredyty i pożyczki</t>
  </si>
  <si>
    <t>C_I_3</t>
  </si>
  <si>
    <t>3. Emisja dłużnych papierów wartościowych</t>
  </si>
  <si>
    <t>C_I_4</t>
  </si>
  <si>
    <t>4. Inne wpływy finansowe</t>
  </si>
  <si>
    <t>C_II</t>
  </si>
  <si>
    <t>C_II_1</t>
  </si>
  <si>
    <t>1. Nabycie udziałów (akcji) własnych</t>
  </si>
  <si>
    <t>C_II_2</t>
  </si>
  <si>
    <t>2. Dywidendy i inne wypłaty na rzecz właścicieli</t>
  </si>
  <si>
    <t>C_II_3</t>
  </si>
  <si>
    <t>3. Inne, niż wypłaty na rzecz właścicieli, wydatki z tytułu podziału zysku</t>
  </si>
  <si>
    <t>C_II_4</t>
  </si>
  <si>
    <t>4. Spłaty kredytów i pożyczek</t>
  </si>
  <si>
    <t>C_II_5</t>
  </si>
  <si>
    <t>5. Wykup dłużnych papierów wartościowych</t>
  </si>
  <si>
    <t>C_II_6</t>
  </si>
  <si>
    <t>6. Z tytułu innych zobowiązań finansowych</t>
  </si>
  <si>
    <t>C_II_7</t>
  </si>
  <si>
    <t>7. Płatności zobowiązań z tytułu umów leasingu finansowego</t>
  </si>
  <si>
    <t>C_II_8</t>
  </si>
  <si>
    <t>8. Odsetki</t>
  </si>
  <si>
    <t>C_II_9</t>
  </si>
  <si>
    <t>9. Inne wydatki finansowe</t>
  </si>
  <si>
    <t>C_III</t>
  </si>
  <si>
    <t>III. Przepływy pieniężne netto z działalności finansowej (I - II)</t>
  </si>
  <si>
    <t>D. Przepływy pieniężne netto razem (A.III +/- B.III +/- C.III)</t>
  </si>
  <si>
    <t>E. Bilansowa zmiana stanu środków pieniężnych, w tym:</t>
  </si>
  <si>
    <t>E_1</t>
  </si>
  <si>
    <t>- zmiana stanu środków pieniężnych z tytułu różnic kursowych</t>
  </si>
  <si>
    <t xml:space="preserve">F. Środki pieniężne na początek okresu </t>
  </si>
  <si>
    <t>G. Środki pieniężne na koniec okresu (F +/- D), w tym:</t>
  </si>
  <si>
    <t>G_1</t>
  </si>
  <si>
    <t>- o ograniczonej możliwości dysponowania</t>
  </si>
  <si>
    <t>PODATEK</t>
  </si>
  <si>
    <t>Part</t>
  </si>
  <si>
    <t>Indext</t>
  </si>
  <si>
    <t>Art.</t>
  </si>
  <si>
    <t>Ust.</t>
  </si>
  <si>
    <t>Pkt.</t>
  </si>
  <si>
    <t>Pod Pkt.</t>
  </si>
  <si>
    <t>Opis</t>
  </si>
  <si>
    <t>Kwota razem</t>
  </si>
  <si>
    <t>KAP</t>
  </si>
  <si>
    <t>POZ</t>
  </si>
  <si>
    <t>RAZE</t>
  </si>
  <si>
    <t>ATOTAL</t>
  </si>
  <si>
    <t>B1</t>
  </si>
  <si>
    <t>a</t>
  </si>
  <si>
    <t>OB1</t>
  </si>
  <si>
    <t>B2</t>
  </si>
  <si>
    <t>b</t>
  </si>
  <si>
    <t>OB2</t>
  </si>
  <si>
    <t>B3</t>
  </si>
  <si>
    <t>c</t>
  </si>
  <si>
    <t>OB3</t>
  </si>
  <si>
    <t>B4</t>
  </si>
  <si>
    <t>d</t>
  </si>
  <si>
    <t>OB4</t>
  </si>
  <si>
    <t>B5</t>
  </si>
  <si>
    <t>e</t>
  </si>
  <si>
    <t>OB5</t>
  </si>
  <si>
    <t>B6</t>
  </si>
  <si>
    <t>f</t>
  </si>
  <si>
    <t>OB6</t>
  </si>
  <si>
    <t>B7</t>
  </si>
  <si>
    <t>g</t>
  </si>
  <si>
    <t>OB7</t>
  </si>
  <si>
    <t>B8</t>
  </si>
  <si>
    <t>h</t>
  </si>
  <si>
    <t>OB8</t>
  </si>
  <si>
    <t>B9</t>
  </si>
  <si>
    <t>i</t>
  </si>
  <si>
    <t>OB9</t>
  </si>
  <si>
    <t>B10</t>
  </si>
  <si>
    <t>j</t>
  </si>
  <si>
    <t>OB10</t>
  </si>
  <si>
    <t>B11</t>
  </si>
  <si>
    <t>k</t>
  </si>
  <si>
    <t>OB11</t>
  </si>
  <si>
    <t>B12</t>
  </si>
  <si>
    <t>m</t>
  </si>
  <si>
    <t>OB12</t>
  </si>
  <si>
    <t>B13</t>
  </si>
  <si>
    <t>n</t>
  </si>
  <si>
    <t>OB13</t>
  </si>
  <si>
    <t>B14</t>
  </si>
  <si>
    <t>o</t>
  </si>
  <si>
    <t>OB14</t>
  </si>
  <si>
    <t>B15</t>
  </si>
  <si>
    <t>p</t>
  </si>
  <si>
    <t>OB15</t>
  </si>
  <si>
    <t>B16</t>
  </si>
  <si>
    <t>q</t>
  </si>
  <si>
    <t>OB16</t>
  </si>
  <si>
    <t>B17</t>
  </si>
  <si>
    <t>r</t>
  </si>
  <si>
    <t>OB17</t>
  </si>
  <si>
    <t>B18</t>
  </si>
  <si>
    <t>s</t>
  </si>
  <si>
    <t>OB18</t>
  </si>
  <si>
    <t>B19</t>
  </si>
  <si>
    <t>t</t>
  </si>
  <si>
    <t>OB19</t>
  </si>
  <si>
    <t>B20</t>
  </si>
  <si>
    <t>u</t>
  </si>
  <si>
    <t>OB20</t>
  </si>
  <si>
    <t>BOther</t>
  </si>
  <si>
    <t>v</t>
  </si>
  <si>
    <t>OB21</t>
  </si>
  <si>
    <t>BTOTAL</t>
  </si>
  <si>
    <t>C1</t>
  </si>
  <si>
    <t>OC1</t>
  </si>
  <si>
    <t>C2</t>
  </si>
  <si>
    <t>OC2</t>
  </si>
  <si>
    <t>C3</t>
  </si>
  <si>
    <t>OC3</t>
  </si>
  <si>
    <t>C4</t>
  </si>
  <si>
    <t>OC4</t>
  </si>
  <si>
    <t>C5</t>
  </si>
  <si>
    <t>OC5</t>
  </si>
  <si>
    <t>C6</t>
  </si>
  <si>
    <t>OC6</t>
  </si>
  <si>
    <t>C7</t>
  </si>
  <si>
    <t>OC7</t>
  </si>
  <si>
    <t>C8</t>
  </si>
  <si>
    <t>OC8</t>
  </si>
  <si>
    <t>C9</t>
  </si>
  <si>
    <t>OC9</t>
  </si>
  <si>
    <t>C10</t>
  </si>
  <si>
    <t>OC10</t>
  </si>
  <si>
    <t>C11</t>
  </si>
  <si>
    <t>OC11</t>
  </si>
  <si>
    <t>C12</t>
  </si>
  <si>
    <t>OC12</t>
  </si>
  <si>
    <t>C13</t>
  </si>
  <si>
    <t>OC13</t>
  </si>
  <si>
    <t>C14</t>
  </si>
  <si>
    <t>OC14</t>
  </si>
  <si>
    <t>C15</t>
  </si>
  <si>
    <t>OC15</t>
  </si>
  <si>
    <t>C16</t>
  </si>
  <si>
    <t>OC16</t>
  </si>
  <si>
    <t>C17</t>
  </si>
  <si>
    <t>OC17</t>
  </si>
  <si>
    <t>C18</t>
  </si>
  <si>
    <t>OC18</t>
  </si>
  <si>
    <t>C19</t>
  </si>
  <si>
    <t>OC19</t>
  </si>
  <si>
    <t>C20</t>
  </si>
  <si>
    <t>OC20</t>
  </si>
  <si>
    <t>COther</t>
  </si>
  <si>
    <t>CTOTAL</t>
  </si>
  <si>
    <t>D1</t>
  </si>
  <si>
    <t>OC23</t>
  </si>
  <si>
    <t>D2</t>
  </si>
  <si>
    <t>OC24</t>
  </si>
  <si>
    <t>D3</t>
  </si>
  <si>
    <t>OC25</t>
  </si>
  <si>
    <t>D4</t>
  </si>
  <si>
    <t>OC26</t>
  </si>
  <si>
    <t>D5</t>
  </si>
  <si>
    <t>OC27</t>
  </si>
  <si>
    <t>D6</t>
  </si>
  <si>
    <t>OC28</t>
  </si>
  <si>
    <t>D7</t>
  </si>
  <si>
    <t>OC29</t>
  </si>
  <si>
    <t>D8</t>
  </si>
  <si>
    <t>OC30</t>
  </si>
  <si>
    <t>D9</t>
  </si>
  <si>
    <t>OC31</t>
  </si>
  <si>
    <t>D10</t>
  </si>
  <si>
    <t>OC32</t>
  </si>
  <si>
    <t>D11</t>
  </si>
  <si>
    <t>OC33</t>
  </si>
  <si>
    <t>D12</t>
  </si>
  <si>
    <t>OC34</t>
  </si>
  <si>
    <t>D13</t>
  </si>
  <si>
    <t>OC35</t>
  </si>
  <si>
    <t>D14</t>
  </si>
  <si>
    <t>OC36</t>
  </si>
  <si>
    <t>D15</t>
  </si>
  <si>
    <t>OC37</t>
  </si>
  <si>
    <t>D16</t>
  </si>
  <si>
    <t>OC38</t>
  </si>
  <si>
    <t>D17</t>
  </si>
  <si>
    <t>OC39</t>
  </si>
  <si>
    <t>D18</t>
  </si>
  <si>
    <t>OC40</t>
  </si>
  <si>
    <t>D19</t>
  </si>
  <si>
    <t>OC41</t>
  </si>
  <si>
    <t>D20</t>
  </si>
  <si>
    <t>OC42</t>
  </si>
  <si>
    <t>DOther</t>
  </si>
  <si>
    <t>OC43</t>
  </si>
  <si>
    <t>DTOTAL</t>
  </si>
  <si>
    <t>OC44</t>
  </si>
  <si>
    <t>E1</t>
  </si>
  <si>
    <t>Odsetki od zobowiązań budżetowych</t>
  </si>
  <si>
    <t>E2</t>
  </si>
  <si>
    <t>OC45</t>
  </si>
  <si>
    <t>E3</t>
  </si>
  <si>
    <t>OC46</t>
  </si>
  <si>
    <t>E4</t>
  </si>
  <si>
    <t>OC47</t>
  </si>
  <si>
    <t>E5</t>
  </si>
  <si>
    <t>OC48</t>
  </si>
  <si>
    <t>E6</t>
  </si>
  <si>
    <t>OC49</t>
  </si>
  <si>
    <t>E7</t>
  </si>
  <si>
    <t>OC50</t>
  </si>
  <si>
    <t>E8</t>
  </si>
  <si>
    <t>OC51</t>
  </si>
  <si>
    <t>E9</t>
  </si>
  <si>
    <t>OC52</t>
  </si>
  <si>
    <t>E10</t>
  </si>
  <si>
    <t>OC53</t>
  </si>
  <si>
    <t>E11</t>
  </si>
  <si>
    <t>OC54</t>
  </si>
  <si>
    <t>E12</t>
  </si>
  <si>
    <t>OC55</t>
  </si>
  <si>
    <t>E13</t>
  </si>
  <si>
    <t>OC56</t>
  </si>
  <si>
    <t>E14</t>
  </si>
  <si>
    <t>OC57</t>
  </si>
  <si>
    <t>E15</t>
  </si>
  <si>
    <t>OC58</t>
  </si>
  <si>
    <t>E16</t>
  </si>
  <si>
    <t>OC59</t>
  </si>
  <si>
    <t>E17</t>
  </si>
  <si>
    <t>OC60</t>
  </si>
  <si>
    <t>E18</t>
  </si>
  <si>
    <t>OC61</t>
  </si>
  <si>
    <t>E19</t>
  </si>
  <si>
    <t>OC62</t>
  </si>
  <si>
    <t>E20</t>
  </si>
  <si>
    <t>OC63</t>
  </si>
  <si>
    <t>E21</t>
  </si>
  <si>
    <t>OC64</t>
  </si>
  <si>
    <t>E22</t>
  </si>
  <si>
    <t>OC65</t>
  </si>
  <si>
    <t>E23</t>
  </si>
  <si>
    <t>OC66</t>
  </si>
  <si>
    <t>E24</t>
  </si>
  <si>
    <t>OC67</t>
  </si>
  <si>
    <t>E25</t>
  </si>
  <si>
    <t>OC68</t>
  </si>
  <si>
    <t>E26</t>
  </si>
  <si>
    <t>OC69</t>
  </si>
  <si>
    <t>E27</t>
  </si>
  <si>
    <t>OC70</t>
  </si>
  <si>
    <t>E28</t>
  </si>
  <si>
    <t>OC71</t>
  </si>
  <si>
    <t>E29</t>
  </si>
  <si>
    <t>OC72</t>
  </si>
  <si>
    <t>E30</t>
  </si>
  <si>
    <t>OC73</t>
  </si>
  <si>
    <t>EOther</t>
  </si>
  <si>
    <t>OC74</t>
  </si>
  <si>
    <t>ETOTAL</t>
  </si>
  <si>
    <t>OC75</t>
  </si>
  <si>
    <t>F1</t>
  </si>
  <si>
    <t>OC76</t>
  </si>
  <si>
    <t>F2</t>
  </si>
  <si>
    <t>OC77</t>
  </si>
  <si>
    <t>F3</t>
  </si>
  <si>
    <t>OC78</t>
  </si>
  <si>
    <t>F4</t>
  </si>
  <si>
    <t>OC79</t>
  </si>
  <si>
    <t>F5</t>
  </si>
  <si>
    <t>OC80</t>
  </si>
  <si>
    <t>F6</t>
  </si>
  <si>
    <t>OC81</t>
  </si>
  <si>
    <t>F7</t>
  </si>
  <si>
    <t>OC82</t>
  </si>
  <si>
    <t>F8</t>
  </si>
  <si>
    <t>OC83</t>
  </si>
  <si>
    <t>F9</t>
  </si>
  <si>
    <t>OC84</t>
  </si>
  <si>
    <t>F10</t>
  </si>
  <si>
    <t>OC85</t>
  </si>
  <si>
    <t>F11</t>
  </si>
  <si>
    <t>OC86</t>
  </si>
  <si>
    <t>F12</t>
  </si>
  <si>
    <t>OC87</t>
  </si>
  <si>
    <t>F13</t>
  </si>
  <si>
    <t>OC88</t>
  </si>
  <si>
    <t>F14</t>
  </si>
  <si>
    <t>OC89</t>
  </si>
  <si>
    <t>F15</t>
  </si>
  <si>
    <t>OC90</t>
  </si>
  <si>
    <t>F16</t>
  </si>
  <si>
    <t>OC91</t>
  </si>
  <si>
    <t>F17</t>
  </si>
  <si>
    <t>OC92</t>
  </si>
  <si>
    <t>F18</t>
  </si>
  <si>
    <t>OC93</t>
  </si>
  <si>
    <t>F19</t>
  </si>
  <si>
    <t>OC94</t>
  </si>
  <si>
    <t>F20</t>
  </si>
  <si>
    <t>OC95</t>
  </si>
  <si>
    <t>FOther</t>
  </si>
  <si>
    <t>OC96</t>
  </si>
  <si>
    <t>FTOTAL</t>
  </si>
  <si>
    <t>OC97</t>
  </si>
  <si>
    <t>G1</t>
  </si>
  <si>
    <t>OC98</t>
  </si>
  <si>
    <t>G2</t>
  </si>
  <si>
    <t>OC99</t>
  </si>
  <si>
    <t>G3</t>
  </si>
  <si>
    <t>OC100</t>
  </si>
  <si>
    <t>G4</t>
  </si>
  <si>
    <t>OC101</t>
  </si>
  <si>
    <t>G5</t>
  </si>
  <si>
    <t>OC102</t>
  </si>
  <si>
    <t>G6</t>
  </si>
  <si>
    <t>OC103</t>
  </si>
  <si>
    <t>G7</t>
  </si>
  <si>
    <t>OC104</t>
  </si>
  <si>
    <t>G8</t>
  </si>
  <si>
    <t>OC105</t>
  </si>
  <si>
    <t>G9</t>
  </si>
  <si>
    <t>OC106</t>
  </si>
  <si>
    <t>G10</t>
  </si>
  <si>
    <t>OC107</t>
  </si>
  <si>
    <t>G11</t>
  </si>
  <si>
    <t>OC108</t>
  </si>
  <si>
    <t>G12</t>
  </si>
  <si>
    <t>OC109</t>
  </si>
  <si>
    <t>G13</t>
  </si>
  <si>
    <t>OC110</t>
  </si>
  <si>
    <t>G14</t>
  </si>
  <si>
    <t>OC111</t>
  </si>
  <si>
    <t>G15</t>
  </si>
  <si>
    <t>OC112</t>
  </si>
  <si>
    <t>G16</t>
  </si>
  <si>
    <t>OC113</t>
  </si>
  <si>
    <t>G17</t>
  </si>
  <si>
    <t>OC114</t>
  </si>
  <si>
    <t>G18</t>
  </si>
  <si>
    <t>OC115</t>
  </si>
  <si>
    <t>G19</t>
  </si>
  <si>
    <t>OC116</t>
  </si>
  <si>
    <t>G20</t>
  </si>
  <si>
    <t>OC117</t>
  </si>
  <si>
    <t>GOther</t>
  </si>
  <si>
    <t>OC118</t>
  </si>
  <si>
    <t>GTOTAL</t>
  </si>
  <si>
    <t>OC119</t>
  </si>
  <si>
    <t>HTOTAL</t>
  </si>
  <si>
    <t>OC120</t>
  </si>
  <si>
    <t>H1</t>
  </si>
  <si>
    <t>OC122</t>
  </si>
  <si>
    <t>H2</t>
  </si>
  <si>
    <t>OC123</t>
  </si>
  <si>
    <t>H3</t>
  </si>
  <si>
    <t>OC124</t>
  </si>
  <si>
    <t>H4</t>
  </si>
  <si>
    <t>OC125</t>
  </si>
  <si>
    <t>H5</t>
  </si>
  <si>
    <t>OC126</t>
  </si>
  <si>
    <t>H6</t>
  </si>
  <si>
    <t>OC127</t>
  </si>
  <si>
    <t>H7</t>
  </si>
  <si>
    <t>OC128</t>
  </si>
  <si>
    <t>H8</t>
  </si>
  <si>
    <t>OC129</t>
  </si>
  <si>
    <t>H9</t>
  </si>
  <si>
    <t>OC130</t>
  </si>
  <si>
    <t>H10</t>
  </si>
  <si>
    <t>OC131</t>
  </si>
  <si>
    <t>H11</t>
  </si>
  <si>
    <t>OC132</t>
  </si>
  <si>
    <t>H12</t>
  </si>
  <si>
    <t>OC133</t>
  </si>
  <si>
    <t>H13</t>
  </si>
  <si>
    <t>OC134</t>
  </si>
  <si>
    <t>H14</t>
  </si>
  <si>
    <t>OC135</t>
  </si>
  <si>
    <t>H15</t>
  </si>
  <si>
    <t>OC136</t>
  </si>
  <si>
    <t>H16</t>
  </si>
  <si>
    <t>OC137</t>
  </si>
  <si>
    <t>H17</t>
  </si>
  <si>
    <t>OC138</t>
  </si>
  <si>
    <t>H18</t>
  </si>
  <si>
    <t>OC139</t>
  </si>
  <si>
    <t>H19</t>
  </si>
  <si>
    <t>OC140</t>
  </si>
  <si>
    <t>H20</t>
  </si>
  <si>
    <t>OC141</t>
  </si>
  <si>
    <t>ITOTAL</t>
  </si>
  <si>
    <t>OC142</t>
  </si>
  <si>
    <t>Iother</t>
  </si>
  <si>
    <t>OC143</t>
  </si>
  <si>
    <t>I1</t>
  </si>
  <si>
    <t>OC144</t>
  </si>
  <si>
    <t>I2</t>
  </si>
  <si>
    <t>OC145</t>
  </si>
  <si>
    <t>I3</t>
  </si>
  <si>
    <t>OC146</t>
  </si>
  <si>
    <t>I4</t>
  </si>
  <si>
    <t>OC147</t>
  </si>
  <si>
    <t>I5</t>
  </si>
  <si>
    <t>OC148</t>
  </si>
  <si>
    <t>I6</t>
  </si>
  <si>
    <t>OC149</t>
  </si>
  <si>
    <t>I7</t>
  </si>
  <si>
    <t>OC150</t>
  </si>
  <si>
    <t>I8</t>
  </si>
  <si>
    <t>OC151</t>
  </si>
  <si>
    <t>I9</t>
  </si>
  <si>
    <t>OC152</t>
  </si>
  <si>
    <t>I10</t>
  </si>
  <si>
    <t>OC153</t>
  </si>
  <si>
    <t>I11</t>
  </si>
  <si>
    <t>OC154</t>
  </si>
  <si>
    <t>I12</t>
  </si>
  <si>
    <t>OC155</t>
  </si>
  <si>
    <t>I13</t>
  </si>
  <si>
    <t>OC156</t>
  </si>
  <si>
    <t>I14</t>
  </si>
  <si>
    <t>OC157</t>
  </si>
  <si>
    <t>I15</t>
  </si>
  <si>
    <t>OC158</t>
  </si>
  <si>
    <t>I16</t>
  </si>
  <si>
    <t>OC159</t>
  </si>
  <si>
    <t>I17</t>
  </si>
  <si>
    <t>OC160</t>
  </si>
  <si>
    <t>I18</t>
  </si>
  <si>
    <t>OC161</t>
  </si>
  <si>
    <t>I19</t>
  </si>
  <si>
    <t>OC162</t>
  </si>
  <si>
    <t>I20</t>
  </si>
  <si>
    <t>OC163</t>
  </si>
  <si>
    <t>JTOTAL</t>
  </si>
  <si>
    <t>OC164</t>
  </si>
  <si>
    <t>KTOTAL</t>
  </si>
  <si>
    <t>OC165</t>
  </si>
  <si>
    <t>No.</t>
  </si>
  <si>
    <t>name</t>
  </si>
  <si>
    <t>value</t>
  </si>
  <si>
    <t>Noty</t>
  </si>
  <si>
    <t>Bother</t>
  </si>
  <si>
    <t>Cother</t>
  </si>
  <si>
    <t>Dother</t>
  </si>
  <si>
    <t>Btotal</t>
  </si>
  <si>
    <t>Ctotal</t>
  </si>
  <si>
    <t>Dtotal</t>
  </si>
  <si>
    <t>Etotal</t>
  </si>
  <si>
    <t>Ftotal</t>
  </si>
  <si>
    <t>Fother</t>
  </si>
  <si>
    <t>Eother</t>
  </si>
  <si>
    <t>Gtotal</t>
  </si>
  <si>
    <t>Gother</t>
  </si>
  <si>
    <t>Htotal</t>
  </si>
  <si>
    <t>Hother</t>
  </si>
  <si>
    <t>SprFinJednostkaInnaWZlotych</t>
  </si>
  <si>
    <t>2018-01-01</t>
  </si>
  <si>
    <t>2018-12-31</t>
  </si>
  <si>
    <t>Czy obowiązkowe</t>
  </si>
  <si>
    <t>Opis Pola</t>
  </si>
  <si>
    <t>/</t>
  </si>
  <si>
    <t>Wprowadzenie</t>
  </si>
  <si>
    <t>BILANS</t>
  </si>
  <si>
    <t>CASHFLOW</t>
  </si>
  <si>
    <t>Kolumna</t>
  </si>
  <si>
    <t>Stała</t>
  </si>
  <si>
    <t>VIII. Odpisy z zysku netto w ciągu roku obrotowego (wielkość ujemna)</t>
  </si>
  <si>
    <t>Kapitał (fundusz) własny na początek okresu (BO)</t>
  </si>
  <si>
    <t>Kapitał (fundusz) podstawowy na początek okresu</t>
  </si>
  <si>
    <t>Zysk z lat ubiegłych na początek okresu</t>
  </si>
  <si>
    <t>Zysk z lat ubiegłych na początek okresu, po korektach</t>
  </si>
  <si>
    <t>F. Środki pieniężne na początek okresu</t>
  </si>
  <si>
    <t>Sekcja</t>
  </si>
  <si>
    <t>Sekcja - show</t>
  </si>
  <si>
    <t>P_8_1</t>
  </si>
  <si>
    <t>P_8_2</t>
  </si>
  <si>
    <t>P_8_3</t>
  </si>
  <si>
    <t>P_8_4</t>
  </si>
  <si>
    <t>BRP</t>
  </si>
  <si>
    <t>CF</t>
  </si>
  <si>
    <t>A. Zysk (strata) brutto za dany rok</t>
  </si>
  <si>
    <t>B. Przychody zwolnione z opodatkowania (trwałe różnice pomiędzy zyskiem/stratą dla celów rachunkowych a dochodem/stratą dla celów podatkowych</t>
  </si>
  <si>
    <t>C. Przychody niepodlegające opodatkowania w roku bieżącym, w tym:</t>
  </si>
  <si>
    <t>D. Przychody podlegające opodatkowania w roku bieżącym, ujęte w księgach rachunkowych lat ubiegłych w tym:</t>
  </si>
  <si>
    <t>E. Koszty niestanowiące kosztów uzyskania przychodów (trwałe różnice pomiędzy zyskiem/stratą dla celów rachunkowych a dochodem/stratą dla celów podatkowych), w tym:</t>
  </si>
  <si>
    <t>F. Koszty nieuznawane za koszty uzyskania przychodów w bieżącym roku, w tym:</t>
  </si>
  <si>
    <t>G. Koszty uznawane za koszty uzyskania przychodów w roku bieżącym ujęte w księgach lat ubiegłych, w tym:</t>
  </si>
  <si>
    <t>H. Strata z lat ubiegłych, w tym:</t>
  </si>
  <si>
    <t>I. Inne zmiany podstawy opodatkowania, w tym:</t>
  </si>
  <si>
    <t>J. Podstawa opodatkowania podatkiem dochodowym</t>
  </si>
  <si>
    <t>K. Podatek dochodowy</t>
  </si>
  <si>
    <t>Dane identyfikujące jednostkę</t>
  </si>
  <si>
    <t>Firma, siedziba albo miejsce zamieszkania</t>
  </si>
  <si>
    <t>Adres</t>
  </si>
  <si>
    <t>Podstawowy przedmiot działalności jednostki</t>
  </si>
  <si>
    <t>Numer we właściwym rejestrze sądowym albo ewidencji</t>
  </si>
  <si>
    <t>Czas trwania działalności jednostki, jeżeli jest ograniczony</t>
  </si>
  <si>
    <t>Wskazanie okresu objętego sprawozdaniem finansowym</t>
  </si>
  <si>
    <t>Założenie kontynuacji działalnności</t>
  </si>
  <si>
    <t>Informacja czy sprawozdanie finansowe jest sporządzone po połączeniu spółek</t>
  </si>
  <si>
    <t>Zasady (polityka) rachunkowości</t>
  </si>
  <si>
    <t>Informacja uszczegóławiająca, wynikająca z potrzeb lub specyfiki jednostki</t>
  </si>
  <si>
    <t>Itotal</t>
  </si>
  <si>
    <t>JednostkaInna xmlns:xsd="http://www.w3.org/2001/XMLSchema" xmlns:etd="http://crd.gov.pl/xml/schematy/dziedzinowe/mf/2016/01/25/eD/DefinicjeTypy/" xmlns:dtsf="http://www.mf.gov.pl/schematy/SF/DefinicjeTypySprawozdaniaFinansowe/2018/07/09/DefinicjeTypySprawozdaniaFinansowe/" xmlns:jin="http://www.mf.gov.pl/schematy/SF/DefinicjeTypySprawozdaniaFinansowe/2018/07/09/JednostkaInnaStruktury" xmlns="http://www.mf.gov.pl/schematy/SF/DefinicjeTypySprawozdaniaFinansowe/2018/07/09/JednostkaInnaWZlotych" xmlns:xsi="http://www.w3.org/2001/XMLSchema-instance" xsi:schemaLocation="http://www.mf.gov.pl/schematy/SF/DefinicjeTypySprawozdaniaFinansowe/2018/07/09/JednostkaInnaWZlotych http://www.mf.gov.pl/documents/764034/6464789/JednostkaInnaWZlotych(1)_v1-0.xsd"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</si>
</sst>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000"/>
    <numFmt numFmtId="166" formatCode="_(* #,##0.00_);_(* \(#,##0.00\);_(* &quot;-&quot;_)"/>
  </numFmts>
  <fonts count="15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Times New Roman"/>
      <family val="1"/>
      <charset val="238"/>
    </font>
    <font>
      <b/>
      <sz val="12"/>
      <color theme="1"/>
      <name val="Times New Roman"/>
      <family val="1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8"/>
      <color theme="1"/>
      <name val="Arial"/>
      <family val="2"/>
      <charset val="238"/>
    </font>
    <font>
      <b/>
      <sz val="8"/>
      <name val="Arial"/>
      <family val="2"/>
      <charset val="238"/>
    </font>
    <font>
      <sz val="8"/>
      <color theme="1"/>
      <name val="Arial"/>
      <family val="2"/>
      <charset val="238"/>
    </font>
    <font>
      <sz val="8"/>
      <name val="Arial"/>
      <family val="2"/>
      <charset val="238"/>
    </font>
    <font>
      <b/>
      <sz val="8"/>
      <color indexed="8"/>
      <name val="Arial"/>
      <family val="2"/>
      <charset val="238"/>
    </font>
    <font>
      <sz val="8"/>
      <color indexed="8"/>
      <name val="Arial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23">
    <xf numFmtId="0" fontId="0" fillId="0" borderId="0" xfId="0"/>
    <xf numFmtId="49" fontId="0" fillId="0" borderId="0" xfId="0" applyNumberFormat="1"/>
    <xf numFmtId="0" fontId="1" fillId="0" borderId="0" xfId="1" applyProtection="1">
      <protection locked="0"/>
    </xf>
    <xf numFmtId="0" fontId="5" fillId="0" borderId="6" xfId="1" applyFont="1" applyBorder="1" applyAlignment="1">
      <alignment horizontal="left"/>
    </xf>
    <xf numFmtId="166" fontId="5" fillId="0" borderId="0" xfId="1" applyNumberFormat="1" applyFont="1"/>
    <xf numFmtId="0" fontId="0" fillId="0" borderId="0" xfId="0" applyNumberFormat="1"/>
    <xf numFmtId="0" fontId="0" fillId="0" borderId="0" xfId="0" applyNumberFormat="1" applyFill="1"/>
    <xf numFmtId="14" fontId="0" fillId="0" borderId="0" xfId="0" applyNumberFormat="1" applyFill="1"/>
    <xf numFmtId="4" fontId="0" fillId="0" borderId="0" xfId="0" applyNumberFormat="1" applyFill="1"/>
    <xf numFmtId="0" fontId="0" fillId="0" borderId="0" xfId="0" applyFill="1"/>
    <xf numFmtId="0" fontId="1" fillId="0" borderId="0" xfId="1" applyFill="1" applyBorder="1"/>
    <xf numFmtId="0" fontId="4" fillId="0" borderId="0" xfId="1" applyFont="1" applyFill="1" applyBorder="1"/>
    <xf numFmtId="4" fontId="1" fillId="0" borderId="0" xfId="1" applyNumberFormat="1" applyFill="1" applyBorder="1"/>
    <xf numFmtId="165" fontId="1" fillId="0" borderId="0" xfId="1" applyNumberFormat="1" applyFill="1" applyBorder="1" applyAlignment="1">
      <alignment horizontal="center"/>
    </xf>
    <xf numFmtId="0" fontId="1" fillId="0" borderId="0" xfId="2" applyFont="1" applyFill="1" applyBorder="1"/>
    <xf numFmtId="164" fontId="2" fillId="0" borderId="0" xfId="1" applyNumberFormat="1" applyFont="1" applyFill="1" applyBorder="1" applyAlignment="1">
      <alignment horizontal="left" vertical="top"/>
    </xf>
    <xf numFmtId="0" fontId="1" fillId="0" borderId="0" xfId="1" quotePrefix="1" applyNumberFormat="1" applyFont="1" applyFill="1" applyBorder="1"/>
    <xf numFmtId="0" fontId="1" fillId="0" borderId="0" xfId="1" applyFont="1" applyFill="1" applyBorder="1"/>
    <xf numFmtId="14" fontId="1" fillId="0" borderId="0" xfId="1" applyNumberFormat="1" applyFill="1" applyBorder="1"/>
    <xf numFmtId="14" fontId="1" fillId="0" borderId="0" xfId="2" applyNumberFormat="1" applyFont="1" applyFill="1" applyBorder="1"/>
    <xf numFmtId="0" fontId="3" fillId="0" borderId="0" xfId="1" applyFont="1" applyFill="1" applyBorder="1" applyAlignment="1">
      <alignment wrapText="1"/>
    </xf>
    <xf numFmtId="0" fontId="3" fillId="0" borderId="0" xfId="1" applyFont="1" applyFill="1" applyBorder="1" applyAlignment="1"/>
    <xf numFmtId="0" fontId="5" fillId="0" borderId="0" xfId="1" applyFont="1" applyFill="1" applyBorder="1"/>
    <xf numFmtId="0" fontId="5" fillId="0" borderId="0" xfId="1" applyFont="1" applyFill="1" applyBorder="1" applyAlignment="1">
      <alignment horizontal="left"/>
    </xf>
    <xf numFmtId="0" fontId="6" fillId="0" borderId="0" xfId="1" applyFont="1" applyFill="1" applyBorder="1"/>
    <xf numFmtId="0" fontId="1" fillId="0" borderId="0" xfId="1" applyFill="1" applyBorder="1" applyProtection="1">
      <protection locked="0"/>
    </xf>
    <xf numFmtId="0" fontId="0" fillId="2" borderId="0" xfId="0" applyFill="1"/>
    <xf numFmtId="0" fontId="7" fillId="0" borderId="0" xfId="0" applyFont="1"/>
    <xf numFmtId="0" fontId="8" fillId="0" borderId="0" xfId="2" applyFont="1" applyFill="1" applyBorder="1"/>
    <xf numFmtId="0" fontId="7" fillId="0" borderId="0" xfId="0" applyFont="1" applyFill="1"/>
    <xf numFmtId="0" fontId="8" fillId="0" borderId="0" xfId="1" applyFont="1" applyFill="1" applyBorder="1"/>
    <xf numFmtId="49" fontId="7" fillId="0" borderId="0" xfId="0" applyNumberFormat="1" applyFont="1"/>
    <xf numFmtId="0" fontId="9" fillId="3" borderId="7" xfId="0" applyFont="1" applyFill="1" applyBorder="1"/>
    <xf numFmtId="0" fontId="10" fillId="3" borderId="2" xfId="2" applyFont="1" applyFill="1" applyBorder="1"/>
    <xf numFmtId="0" fontId="9" fillId="3" borderId="8" xfId="0" applyFont="1" applyFill="1" applyBorder="1"/>
    <xf numFmtId="4" fontId="11" fillId="0" borderId="0" xfId="0" applyNumberFormat="1" applyFont="1"/>
    <xf numFmtId="0" fontId="11" fillId="0" borderId="0" xfId="0" applyFont="1"/>
    <xf numFmtId="0" fontId="11" fillId="0" borderId="9" xfId="0" applyFont="1" applyBorder="1"/>
    <xf numFmtId="164" fontId="12" fillId="0" borderId="0" xfId="0" applyNumberFormat="1" applyFont="1" applyBorder="1" applyAlignment="1">
      <alignment horizontal="left" vertical="top"/>
    </xf>
    <xf numFmtId="0" fontId="11" fillId="0" borderId="10" xfId="0" applyFont="1" applyBorder="1"/>
    <xf numFmtId="0" fontId="12" fillId="0" borderId="0" xfId="2" applyFont="1" applyFill="1" applyBorder="1"/>
    <xf numFmtId="0" fontId="11" fillId="0" borderId="10" xfId="0" applyFont="1" applyFill="1" applyBorder="1"/>
    <xf numFmtId="4" fontId="11" fillId="0" borderId="0" xfId="0" applyNumberFormat="1" applyFont="1" applyFill="1"/>
    <xf numFmtId="0" fontId="11" fillId="0" borderId="0" xfId="0" applyFont="1" applyFill="1"/>
    <xf numFmtId="14" fontId="12" fillId="0" borderId="0" xfId="2" applyNumberFormat="1" applyFont="1" applyFill="1" applyBorder="1"/>
    <xf numFmtId="0" fontId="11" fillId="0" borderId="9" xfId="0" applyFont="1" applyFill="1" applyBorder="1"/>
    <xf numFmtId="0" fontId="11" fillId="0" borderId="11" xfId="0" applyFont="1" applyBorder="1"/>
    <xf numFmtId="0" fontId="12" fillId="0" borderId="1" xfId="2" applyFont="1" applyFill="1" applyBorder="1"/>
    <xf numFmtId="0" fontId="11" fillId="0" borderId="12" xfId="0" applyFont="1" applyFill="1" applyBorder="1"/>
    <xf numFmtId="0" fontId="11" fillId="3" borderId="7" xfId="0" applyFont="1" applyFill="1" applyBorder="1"/>
    <xf numFmtId="0" fontId="11" fillId="3" borderId="2" xfId="0" applyFont="1" applyFill="1" applyBorder="1"/>
    <xf numFmtId="0" fontId="11" fillId="3" borderId="2" xfId="0" applyFont="1" applyFill="1" applyBorder="1" applyAlignment="1">
      <alignment wrapText="1"/>
    </xf>
    <xf numFmtId="0" fontId="11" fillId="3" borderId="2" xfId="0" applyFont="1" applyFill="1" applyBorder="1" applyAlignment="1"/>
    <xf numFmtId="14" fontId="11" fillId="3" borderId="2" xfId="0" applyNumberFormat="1" applyFont="1" applyFill="1" applyBorder="1"/>
    <xf numFmtId="14" fontId="11" fillId="3" borderId="8" xfId="0" applyNumberFormat="1" applyFont="1" applyFill="1" applyBorder="1"/>
    <xf numFmtId="0" fontId="11" fillId="3" borderId="0" xfId="0" applyFont="1" applyFill="1"/>
    <xf numFmtId="0" fontId="11" fillId="0" borderId="0" xfId="0" applyFont="1" applyFill="1" applyBorder="1"/>
    <xf numFmtId="4" fontId="11" fillId="0" borderId="0" xfId="0" applyNumberFormat="1" applyFont="1" applyFill="1" applyBorder="1"/>
    <xf numFmtId="4" fontId="11" fillId="0" borderId="10" xfId="0" applyNumberFormat="1" applyFont="1" applyFill="1" applyBorder="1"/>
    <xf numFmtId="4" fontId="12" fillId="0" borderId="0" xfId="0" applyNumberFormat="1" applyFont="1" applyFill="1" applyBorder="1" applyProtection="1"/>
    <xf numFmtId="0" fontId="11" fillId="0" borderId="1" xfId="0" applyFont="1" applyFill="1" applyBorder="1"/>
    <xf numFmtId="4" fontId="11" fillId="0" borderId="1" xfId="0" applyNumberFormat="1" applyFont="1" applyFill="1" applyBorder="1"/>
    <xf numFmtId="4" fontId="11" fillId="0" borderId="12" xfId="0" applyNumberFormat="1" applyFont="1" applyFill="1" applyBorder="1"/>
    <xf numFmtId="4" fontId="12" fillId="0" borderId="0" xfId="0" applyNumberFormat="1" applyFont="1" applyFill="1" applyBorder="1" applyAlignment="1" applyProtection="1"/>
    <xf numFmtId="0" fontId="12" fillId="0" borderId="0" xfId="0" applyFont="1" applyFill="1" applyBorder="1"/>
    <xf numFmtId="4" fontId="12" fillId="0" borderId="0" xfId="0" applyNumberFormat="1" applyFont="1" applyFill="1" applyBorder="1"/>
    <xf numFmtId="4" fontId="12" fillId="0" borderId="10" xfId="0" applyNumberFormat="1" applyFont="1" applyFill="1" applyBorder="1"/>
    <xf numFmtId="0" fontId="13" fillId="0" borderId="0" xfId="0" applyFont="1" applyFill="1" applyAlignment="1" applyProtection="1">
      <alignment vertical="top"/>
    </xf>
    <xf numFmtId="0" fontId="10" fillId="0" borderId="0" xfId="0" applyFont="1" applyFill="1" applyProtection="1"/>
    <xf numFmtId="0" fontId="12" fillId="0" borderId="0" xfId="0" applyFont="1" applyFill="1" applyProtection="1"/>
    <xf numFmtId="0" fontId="14" fillId="0" borderId="0" xfId="0" applyFont="1" applyFill="1" applyAlignment="1" applyProtection="1">
      <alignment vertical="top"/>
    </xf>
    <xf numFmtId="0" fontId="14" fillId="0" borderId="0" xfId="0" applyNumberFormat="1" applyFont="1" applyFill="1" applyAlignment="1" applyProtection="1">
      <alignment horizontal="center" vertical="top"/>
    </xf>
    <xf numFmtId="0" fontId="13" fillId="0" borderId="0" xfId="0" applyNumberFormat="1" applyFont="1" applyFill="1" applyAlignment="1" applyProtection="1">
      <alignment horizontal="center" vertical="top"/>
    </xf>
    <xf numFmtId="0" fontId="10" fillId="0" borderId="0" xfId="0" applyFont="1" applyFill="1" applyAlignment="1" applyProtection="1">
      <alignment vertical="top"/>
    </xf>
    <xf numFmtId="0" fontId="10" fillId="0" borderId="0" xfId="0" applyFont="1" applyFill="1" applyAlignment="1" applyProtection="1">
      <alignment vertical="top" wrapText="1"/>
    </xf>
    <xf numFmtId="0" fontId="12" fillId="0" borderId="0" xfId="0" applyNumberFormat="1" applyFont="1" applyFill="1" applyAlignment="1" applyProtection="1">
      <alignment horizontal="center" vertical="top" wrapText="1"/>
    </xf>
    <xf numFmtId="0" fontId="11" fillId="0" borderId="0" xfId="0" applyFont="1" applyFill="1" applyAlignment="1"/>
    <xf numFmtId="0" fontId="14" fillId="0" borderId="0" xfId="0" applyFont="1" applyFill="1" applyAlignment="1" applyProtection="1">
      <alignment horizontal="right" vertical="top"/>
    </xf>
    <xf numFmtId="4" fontId="12" fillId="0" borderId="1" xfId="0" applyNumberFormat="1" applyFont="1" applyFill="1" applyBorder="1" applyAlignment="1" applyProtection="1"/>
    <xf numFmtId="4" fontId="12" fillId="0" borderId="1" xfId="0" applyNumberFormat="1" applyFont="1" applyFill="1" applyBorder="1"/>
    <xf numFmtId="4" fontId="12" fillId="0" borderId="12" xfId="0" applyNumberFormat="1" applyFont="1" applyFill="1" applyBorder="1"/>
    <xf numFmtId="0" fontId="11" fillId="0" borderId="13" xfId="0" applyFont="1" applyBorder="1"/>
    <xf numFmtId="0" fontId="11" fillId="0" borderId="14" xfId="0" applyFont="1" applyFill="1" applyBorder="1"/>
    <xf numFmtId="0" fontId="12" fillId="0" borderId="14" xfId="0" applyFont="1" applyFill="1" applyBorder="1"/>
    <xf numFmtId="4" fontId="12" fillId="0" borderId="14" xfId="0" applyNumberFormat="1" applyFont="1" applyFill="1" applyBorder="1"/>
    <xf numFmtId="4" fontId="12" fillId="0" borderId="15" xfId="0" applyNumberFormat="1" applyFont="1" applyFill="1" applyBorder="1"/>
    <xf numFmtId="0" fontId="11" fillId="0" borderId="3" xfId="0" applyFont="1" applyBorder="1"/>
    <xf numFmtId="0" fontId="11" fillId="0" borderId="4" xfId="0" applyFont="1" applyFill="1" applyBorder="1"/>
    <xf numFmtId="0" fontId="11" fillId="0" borderId="5" xfId="0" applyFont="1" applyFill="1" applyBorder="1"/>
    <xf numFmtId="0" fontId="11" fillId="0" borderId="6" xfId="0" applyFont="1" applyFill="1" applyBorder="1"/>
    <xf numFmtId="0" fontId="11" fillId="0" borderId="6" xfId="0" applyFont="1" applyFill="1" applyBorder="1" applyAlignment="1">
      <alignment horizontal="left"/>
    </xf>
    <xf numFmtId="0" fontId="9" fillId="0" borderId="6" xfId="0" applyFont="1" applyFill="1" applyBorder="1"/>
    <xf numFmtId="0" fontId="11" fillId="0" borderId="16" xfId="0" applyFont="1" applyFill="1" applyBorder="1" applyAlignment="1">
      <alignment horizontal="left"/>
    </xf>
    <xf numFmtId="0" fontId="11" fillId="0" borderId="16" xfId="0" applyFont="1" applyFill="1" applyBorder="1"/>
    <xf numFmtId="166" fontId="11" fillId="0" borderId="1" xfId="0" applyNumberFormat="1" applyFont="1" applyFill="1" applyBorder="1"/>
    <xf numFmtId="0" fontId="11" fillId="0" borderId="17" xfId="0" applyFont="1" applyFill="1" applyBorder="1"/>
    <xf numFmtId="166" fontId="11" fillId="0" borderId="0" xfId="0" applyNumberFormat="1" applyFont="1" applyFill="1" applyBorder="1"/>
    <xf numFmtId="166" fontId="11" fillId="0" borderId="10" xfId="0" applyNumberFormat="1" applyFont="1" applyFill="1" applyBorder="1"/>
    <xf numFmtId="0" fontId="9" fillId="0" borderId="0" xfId="0" applyFont="1" applyFill="1" applyBorder="1"/>
    <xf numFmtId="0" fontId="11" fillId="0" borderId="11" xfId="0" applyFont="1" applyFill="1" applyBorder="1"/>
    <xf numFmtId="166" fontId="11" fillId="0" borderId="12" xfId="0" applyNumberFormat="1" applyFont="1" applyFill="1" applyBorder="1"/>
    <xf numFmtId="0" fontId="0" fillId="4" borderId="0" xfId="0" applyFill="1"/>
    <xf numFmtId="0" fontId="0" fillId="4" borderId="0" xfId="0" applyNumberFormat="1" applyFill="1"/>
    <xf numFmtId="0" fontId="1" fillId="4" borderId="0" xfId="1" applyFill="1" applyProtection="1">
      <protection locked="0"/>
    </xf>
    <xf numFmtId="49" fontId="0" fillId="4" borderId="0" xfId="0" applyNumberFormat="1" applyFill="1"/>
    <xf numFmtId="0" fontId="0" fillId="2" borderId="0" xfId="0" applyNumberFormat="1" applyFill="1"/>
    <xf numFmtId="0" fontId="0" fillId="5" borderId="0" xfId="0" applyFill="1"/>
    <xf numFmtId="0" fontId="0" fillId="5" borderId="0" xfId="0" applyNumberFormat="1" applyFill="1"/>
    <xf numFmtId="0" fontId="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NumberFormat="1" applyAlignment="1">
      <alignment horizontal="right"/>
    </xf>
    <xf numFmtId="0" fontId="0" fillId="6" borderId="0" xfId="0" applyNumberFormat="1" applyFill="1"/>
    <xf numFmtId="0" fontId="0" fillId="6" borderId="0" xfId="0" applyFill="1"/>
    <xf numFmtId="0" fontId="0" fillId="7" borderId="0" xfId="0" applyNumberFormat="1" applyFill="1"/>
    <xf numFmtId="0" fontId="0" fillId="7" borderId="0" xfId="0" applyFill="1"/>
    <xf numFmtId="0" fontId="0" fillId="8" borderId="0" xfId="0" applyNumberFormat="1" applyFill="1"/>
    <xf numFmtId="0" fontId="0" fillId="9" borderId="0" xfId="0" applyFill="1"/>
    <xf numFmtId="0" fontId="0" fillId="9" borderId="0" xfId="0" applyNumberFormat="1" applyFill="1"/>
    <xf numFmtId="0" fontId="0" fillId="10" borderId="0" xfId="0" applyNumberFormat="1" applyFill="1"/>
    <xf numFmtId="0" fontId="0" fillId="10" borderId="0" xfId="0" applyFill="1"/>
    <xf numFmtId="0" fontId="0" fillId="11" borderId="0" xfId="0" applyNumberFormat="1" applyFill="1"/>
  </cellXfs>
  <cellStyles count="3">
    <cellStyle name="Normal 2" xfId="1" xr:uid="{00000000-0005-0000-0000-000001000000}"/>
    <cellStyle name="Normal 2 8 2" xfId="2" xr:uid="{00000000-0005-0000-0000-000002000000}"/>
    <cellStyle name="Normalny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mf.gov.pl/schematy/SF/DefinicjeTypySprawozdaniaFinansowe/2018/07/09/JednostkaInnaWZlotych' xmlns:ns2='http://www.mf.gov.pl/schematy/SF/DefinicjeTypySprawozdaniaFinansowe/2018/07/09/JednostkaInnaStruktury' xmlns:ns3='http://www.mf.gov.pl/schematy/SF/DefinicjeTypySprawozdaniaFinansowe/2018/07/09/DefinicjeTypySprawozdaniaFinansowe/' xmlns:ns4='http://crd.gov.pl/xml/schematy/dziedzinowe/mf/2016/01/25/eD/DefinicjeTypy/'">
  <Schema ID="Schema1" Namespace="http://www.mf.gov.pl/schematy/SF/DefinicjeTypySprawozdaniaFinansowe/2018/07/09/JednostkaInnaStruktury">
    <xsd:schema xmlns:xsd="http://www.w3.org/2001/XMLSchema" xmlns:ns0="http://www.mf.gov.pl/schematy/SF/DefinicjeTypySprawozdaniaFinansowe/2018/07/09/JednostkaInnaStruktury" xmlns:ns1="http://www.mf.gov.pl/schematy/SF/DefinicjeTypySprawozdaniaFinansowe/2018/07/09/DefinicjeTypySprawozdaniaFinansowe/" xmlns="" targetNamespace="http://www.mf.gov.pl/schematy/SF/DefinicjeTypySprawozdaniaFinansowe/2018/07/09/JednostkaInnaStruktury">
      <xsd:import namespace="http://www.mf.gov.pl/schematy/SF/DefinicjeTypySprawozdaniaFinansowe/2018/07/09/DefinicjeTypySprawozdaniaFinansowe/"/>
      <xsd:element nillable="true" name="KodSprawozdania">
        <xsd:complexType>
          <xsd:simpleContent>
            <xsd:extension base="xsd:string">
              <xsd:attribute name="kodSystemowy" form="unqualified" type="xsd:string"/>
              <xsd:attribute name="wersjaSchemy" form="unqualified" type="xsd:string"/>
            </xsd:extension>
          </xsd:simpleContent>
        </xsd:complexType>
      </xsd:element>
      <xsd:element nillable="true" type="xsd:integer" name="WariantSprawozdania"/>
      <xsd:element nillable="true" name="Aktywa">
        <xsd:complexType>
          <xsd:sequence minOccurs="0">
            <xsd:element minOccurs="0" ref="ns1:KwotaA"/>
            <xsd:element minOccurs="0" ref="ns1:KwotaB"/>
            <xsd:element minOccurs="0" nillable="true" name="Aktywa_B" form="qualified">
              <xsd:complexType>
                <xsd:all>
                  <xsd:element minOccurs="0" ref="ns1:KwotaA"/>
                  <xsd:element minOccurs="0" ref="ns1:KwotaB"/>
                  <xsd:element minOccurs="0" nillable="true" name="Aktywa_B_II" form="qualified">
                    <xsd:complexType>
                      <xsd:all>
                        <xsd:element minOccurs="0" ref="ns1:KwotaA"/>
                        <xsd:element minOccurs="0" ref="ns1:KwotaB"/>
                        <xsd:element minOccurs="0" nillable="true" name="Aktywa_B_II_3" form="qualified">
                          <xsd:complexType>
                            <xsd:all>
                              <xsd:element minOccurs="0" ref="ns1:KwotaA"/>
                              <xsd:element minOccurs="0" ref="ns1:KwotaB"/>
                              <xsd:element minOccurs="0" nillable="true" name="Aktywa_B_II_3_A" form="qualified">
                                <xsd:complexType>
                                  <xsd:all>
                                    <xsd:element minOccurs="0" ref="ns1:KwotaA"/>
                                    <xsd:element minOccurs="0" ref="ns1:KwotaB"/>
                                    <xsd:element minOccurs="0" nillable="true" name="Aktywa_B_II_3_A_1" form="qualified">
                                      <xsd:complexType>
                                        <xsd:sequence minOccurs="0">
                                          <xsd:element minOccurs="0" ref="ns1:KwotaA"/>
                                          <xsd:element minOccurs="0" ref="ns1:KwotaB"/>
                                        </xsd:sequence>
                                      </xsd:complexType>
                                    </xsd:element>
                                  </xsd:all>
                                </xsd:complexType>
                              </xsd:element>
                              <xsd:element minOccurs="0" nillable="true" name="Aktywa_B_II_3_B" form="qualified">
                                <xsd:complexType>
                                  <xsd:sequence minOccurs="0">
                                    <xsd:element minOccurs="0" ref="ns1:KwotaA"/>
                                    <xsd:element minOccurs="0" ref="ns1:KwotaB"/>
                                  </xsd:sequence>
                                </xsd:complexType>
                              </xsd:element>
                            </xsd:all>
                          </xsd:complexType>
                        </xsd:element>
                      </xsd:all>
                    </xsd:complexType>
                  </xsd:element>
                  <xsd:element minOccurs="0" nillable="true" name="Aktywa_B_III" form="qualified">
                    <xsd:complexType>
                      <xsd:all>
                        <xsd:element minOccurs="0" ref="ns1:KwotaA"/>
                        <xsd:element minOccurs="0" ref="ns1:KwotaB"/>
                        <xsd:element minOccurs="0" nillable="true" name="Aktywa_B_III_1" form="qualified">
                          <xsd:complexType>
                            <xsd:all>
                              <xsd:element minOccurs="0" ref="ns1:KwotaA"/>
                              <xsd:element minOccurs="0" ref="ns1:KwotaB"/>
                              <xsd:element minOccurs="0" nillable="true" name="Aktywa_B_III_1_C" form="qualified">
                                <xsd:complexType>
                                  <xsd:all>
                                    <xsd:element minOccurs="0" ref="ns1:KwotaA"/>
                                    <xsd:element minOccurs="0" ref="ns1:KwotaB"/>
                                    <xsd:element minOccurs="0" nillable="true" name="Aktywa_B_III_1_C_1" form="qualified">
                                      <xsd:complexType>
                                        <xsd:sequence minOccurs="0">
                                          <xsd:element minOccurs="0" ref="ns1:KwotaA"/>
                                          <xsd:element minOccurs="0" ref="ns1:KwotaB"/>
                                        </xsd:sequence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all>
                          </xsd:complexType>
                        </xsd:element>
                      </xsd:all>
                    </xsd:complexType>
                  </xsd:element>
                  <xsd:element minOccurs="0" nillable="true" name="Aktywa_B_IV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</xsd:all>
              </xsd:complexType>
            </xsd:element>
          </xsd:sequence>
        </xsd:complexType>
      </xsd:element>
      <xsd:element nillable="true" name="Pasywa">
        <xsd:complexType>
          <xsd:all>
            <xsd:element minOccurs="0" ref="ns1:KwotaA"/>
            <xsd:element minOccurs="0" ref="ns1:KwotaB"/>
            <xsd:element minOccurs="0" nillable="true" name="Pasywa_A" form="qualified">
              <xsd:complexType>
                <xsd:all>
                  <xsd:element minOccurs="0" ref="ns1:KwotaA"/>
                  <xsd:element minOccurs="0" ref="ns1:KwotaB"/>
                  <xsd:element minOccurs="0" nillable="true" name="Pasywa_A_I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  <xsd:element minOccurs="0" nillable="true" name="Pasywa_A_V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  <xsd:element minOccurs="0" nillable="true" name="Pasywa_A_VI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</xsd:all>
              </xsd:complexType>
            </xsd:element>
            <xsd:element minOccurs="0" nillable="true" name="Pasywa_B" form="qualified">
              <xsd:complexType>
                <xsd:all>
                  <xsd:element minOccurs="0" ref="ns1:KwotaA"/>
                  <xsd:element minOccurs="0" ref="ns1:KwotaB"/>
                  <xsd:element minOccurs="0" nillable="true" name="Pasywa_B_II" form="qualified">
                    <xsd:complexType>
                      <xsd:all>
                        <xsd:element minOccurs="0" ref="ns1:KwotaA"/>
                        <xsd:element minOccurs="0" ref="ns1:KwotaB"/>
                        <xsd:element minOccurs="0" nillable="true" name="Pasywa_B_II_1" form="qualified">
                          <xsd:complexType>
                            <xsd:sequence minOccurs="0">
                              <xsd:element minOccurs="0" ref="ns1:KwotaA"/>
                              <xsd:element minOccurs="0" ref="ns1:KwotaB"/>
                            </xsd:sequence>
                          </xsd:complexType>
                        </xsd:element>
                      </xsd:all>
                    </xsd:complexType>
                  </xsd:element>
                  <xsd:element minOccurs="0" nillable="true" name="Pasywa_B_III" form="qualified">
                    <xsd:complexType>
                      <xsd:all>
                        <xsd:element minOccurs="0" ref="ns1:KwotaA"/>
                        <xsd:element minOccurs="0" ref="ns1:KwotaB"/>
                        <xsd:element minOccurs="0" nillable="true" name="Pasywa_B_III_1" form="qualified">
                          <xsd:complexType>
                            <xsd:all>
                              <xsd:element minOccurs="0" ref="ns1:KwotaA"/>
                              <xsd:element minOccurs="0" ref="ns1:KwotaB"/>
                              <xsd:element minOccurs="0" nillable="true" name="Pasywa_B_III_1_A" form="qualified">
                                <xsd:complexType>
                                  <xsd:all>
                                    <xsd:element minOccurs="0" ref="ns1:KwotaA"/>
                                    <xsd:element minOccurs="0" ref="ns1:KwotaB"/>
                                    <xsd:element minOccurs="0" nillable="true" name="Pasywa_B_III_1_A_1" form="qualified">
                                      <xsd:complexType>
                                        <xsd:sequence minOccurs="0">
                                          <xsd:element minOccurs="0" ref="ns1:KwotaA"/>
                                          <xsd:element minOccurs="0" ref="ns1:KwotaB"/>
                                        </xsd:sequence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all>
                          </xsd:complexType>
                        </xsd:element>
                        <xsd:element minOccurs="0" nillable="true" name="Pasywa_B_III_3" form="qualified">
                          <xsd:complexType>
                            <xsd:all>
                              <xsd:element minOccurs="0" ref="ns1:KwotaA"/>
                              <xsd:element minOccurs="0" ref="ns1:KwotaB"/>
                              <xsd:element minOccurs="0" nillable="true" name="Pasywa_B_III_3_D" form="qualified">
                                <xsd:complexType>
                                  <xsd:all>
                                    <xsd:element minOccurs="0" ref="ns1:KwotaA"/>
                                    <xsd:element minOccurs="0" ref="ns1:KwotaB"/>
                                    <xsd:element minOccurs="0" nillable="true" name="Pasywa_B_III_3_D_1" form="qualified">
                                      <xsd:complexType>
                                        <xsd:sequence minOccurs="0">
                                          <xsd:element minOccurs="0" ref="ns1:KwotaA"/>
                                          <xsd:element minOccurs="0" ref="ns1:KwotaB"/>
                                        </xsd:sequence>
                                      </xsd:complexType>
                                    </xsd:element>
                                  </xsd:all>
                                </xsd:complexType>
                              </xsd:element>
                              <xsd:element minOccurs="0" nillable="true" name="Pasywa_B_III_3_G" form="qualified">
                                <xsd:complexType>
                                  <xsd:sequence minOccurs="0">
                                    <xsd:element minOccurs="0" ref="ns1:KwotaA"/>
                                    <xsd:element minOccurs="0" ref="ns1:KwotaB"/>
                                  </xsd:sequence>
                                </xsd:complexType>
                              </xsd:element>
                              <xsd:element minOccurs="0" nillable="true" name="Pasywa_B_III_3_H" form="qualified">
                                <xsd:complexType>
                                  <xsd:sequence minOccurs="0">
                                    <xsd:element minOccurs="0" ref="ns1:KwotaA"/>
                                    <xsd:element minOccurs="0" ref="ns1:KwotaB"/>
                                  </xsd:sequence>
                                </xsd:complexType>
                              </xsd:element>
                            </xsd:all>
                          </xsd:complexType>
                        </xsd:element>
                      </xsd:all>
                    </xsd:complexType>
                  </xsd:element>
                  <xsd:element minOccurs="0" nillable="true" name="Pasywa_B_IV" form="qualified">
                    <xsd:complexType>
                      <xsd:all>
                        <xsd:element minOccurs="0" ref="ns1:KwotaA"/>
                        <xsd:element minOccurs="0" ref="ns1:KwotaB"/>
                        <xsd:element minOccurs="0" nillable="true" name="Pasywa_B_IV_2" form="qualified">
                          <xsd:complexType>
                            <xsd:all>
                              <xsd:element minOccurs="0" ref="ns1:KwotaA"/>
                              <xsd:element minOccurs="0" ref="ns1:KwotaB"/>
                              <xsd:element minOccurs="0" nillable="true" name="Pasywa_B_IV_2_2" form="qualified">
                                <xsd:complexType>
                                  <xsd:sequence minOccurs="0">
                                    <xsd:element minOccurs="0" ref="ns1:KwotaA"/>
                                    <xsd:element minOccurs="0" ref="ns1:KwotaB"/>
                                  </xsd:sequence>
                                </xsd:complexType>
                              </xsd:element>
                            </xsd:all>
                          </xsd:complexType>
                        </xsd:element>
                      </xsd:all>
                    </xsd:complexType>
                  </xsd:element>
                </xsd:all>
              </xsd:complexType>
            </xsd:element>
          </xsd:all>
        </xsd:complexType>
      </xsd:element>
      <xsd:element nillable="true" name="RZiSPor">
        <xsd:complexType>
          <xsd:sequence minOccurs="0">
            <xsd:element minOccurs="0" nillable="true" name="A" form="qualified">
              <xsd:complexType>
                <xsd:all>
                  <xsd:element minOccurs="0" ref="ns1:KwotaA"/>
                  <xsd:element minOccurs="0" ref="ns1:KwotaB"/>
                  <xsd:element minOccurs="0" nillable="true" name="A_IV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</xsd:all>
              </xsd:complexType>
            </xsd:element>
            <xsd:element minOccurs="0" nillable="true" name="B" form="qualified">
              <xsd:complexType>
                <xsd:all>
                  <xsd:element minOccurs="0" ref="ns1:KwotaA"/>
                  <xsd:element minOccurs="0" ref="ns1:KwotaB"/>
                  <xsd:element minOccurs="0" nillable="true" name="B_I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  <xsd:element minOccurs="0" nillable="true" name="B_II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  <xsd:element minOccurs="0" nillable="true" name="B_III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  <xsd:element minOccurs="0" nillable="true" name="B_IV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  <xsd:element minOccurs="0" nillable="true" name="B_V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  <xsd:element minOccurs="0" nillable="true" name="B_VIII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</xsd:all>
              </xsd:complexType>
            </xsd:element>
            <xsd:element minOccurs="0" nillable="true" name="C" form="qualified">
              <xsd:complexType>
                <xsd:sequence minOccurs="0">
                  <xsd:element minOccurs="0" ref="ns1:KwotaA"/>
                  <xsd:element minOccurs="0" ref="ns1:KwotaB"/>
                </xsd:sequence>
              </xsd:complexType>
            </xsd:element>
            <xsd:element minOccurs="0" nillable="true" name="D" form="qualified">
              <xsd:complexType>
                <xsd:all>
                  <xsd:element minOccurs="0" ref="ns1:KwotaA"/>
                  <xsd:element minOccurs="0" ref="ns1:KwotaB"/>
                  <xsd:element minOccurs="0" nillable="true" name="D_IV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</xsd:all>
              </xsd:complexType>
            </xsd:element>
            <xsd:element minOccurs="0" nillable="true" name="E" form="qualified">
              <xsd:complexType>
                <xsd:all>
                  <xsd:element minOccurs="0" ref="ns1:KwotaA"/>
                  <xsd:element minOccurs="0" ref="ns1:KwotaB"/>
                  <xsd:element minOccurs="0" nillable="true" name="E_III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</xsd:all>
              </xsd:complexType>
            </xsd:element>
            <xsd:element minOccurs="0" nillable="true" name="F" form="qualified">
              <xsd:complexType>
                <xsd:sequence minOccurs="0">
                  <xsd:element minOccurs="0" ref="ns1:KwotaA"/>
                  <xsd:element minOccurs="0" ref="ns1:KwotaB"/>
                </xsd:sequence>
              </xsd:complexType>
            </xsd:element>
            <xsd:element minOccurs="0" nillable="true" name="G" form="qualified">
              <xsd:complexType>
                <xsd:all>
                  <xsd:element minOccurs="0" ref="ns1:KwotaA"/>
                  <xsd:element minOccurs="0" ref="ns1:KwotaB"/>
                  <xsd:element minOccurs="0" nillable="true" name="G_V" form="qualified">
                    <xsd:complexType>
                      <xsd:sequence minOccurs="0">
                        <xsd:element minOccurs="0" ref="ns1:KwotaA"/>
                        <xsd:element minOccurs="0" ref="ns1:KwotaB"/>
                      </xsd:sequence>
                    </xsd:complexType>
                  </xsd:element>
                </xsd:all>
              </xsd:complexType>
            </xsd:element>
            <xsd:element minOccurs="0" nillable="true" name="H" form="qualified">
              <xsd:complexType>
                <xsd:all>
                  <xsd:element minOccurs="0" ref="ns1:KwotaA"/>
                  <xsd:element minOccurs="0" ref="ns1:KwotaB"/>
                  <xsd:element minOccurs="0" nillable="true" name="H_I" form="qualified">
                    <xsd:complexType>
                      <xsd:all>
                        <xsd:element minOccurs="0" ref="ns1:KwotaA"/>
                        <xsd:element minOccurs="0" ref="ns1:KwotaB"/>
                        <xsd:element minOccurs="0" nillable="true" name="H_I_J" form="qualified">
                          <xsd:complexType>
                            <xsd:sequence minOccurs="0">
                              <xsd:element minOccurs="0" ref="ns1:KwotaA"/>
                              <xsd:element minOccurs="0" ref="ns1:KwotaB"/>
                            </xsd:sequence>
                          </xsd:complexType>
                        </xsd:element>
                      </xsd:all>
                    </xsd:complexType>
                  </xsd:element>
                </xsd:all>
              </xsd:complexType>
            </xsd:element>
            <xsd:element minOccurs="0" nillable="true" name="I" form="qualified">
              <xsd:complexType>
                <xsd:sequence minOccurs="0">
                  <xsd:element minOccurs="0" ref="ns1:KwotaA"/>
                  <xsd:element minOccurs="0" ref="ns1:KwotaB"/>
                </xsd:sequence>
              </xsd:complexType>
            </xsd:element>
            <xsd:element minOccurs="0" nillable="true" name="J" form="qualified">
              <xsd:complexType>
                <xsd:sequence minOccurs="0">
                  <xsd:element minOccurs="0" ref="ns1:KwotaA"/>
                  <xsd:element minOccurs="0" ref="ns1:KwotaB"/>
                </xsd:sequence>
              </xsd:complexType>
            </xsd:element>
            <xsd:element minOccurs="0" nillable="true" name="L" form="qualified">
              <xsd:complexType>
                <xsd:sequence minOccurs="0">
                  <xsd:element minOccurs="0" ref="ns1:KwotaA"/>
                  <xsd:element minOccurs="0" ref="ns1:KwotaB"/>
                </xsd:sequence>
              </xsd:complexType>
            </xsd:element>
          </xsd:sequence>
        </xsd:complexType>
      </xsd:element>
    </xsd:schema>
  </Schema>
  <Schema ID="Schema2" Namespace="http://www.mf.gov.pl/schematy/SF/DefinicjeTypySprawozdaniaFinansowe/2018/07/09/DefinicjeTypySprawozdaniaFinansowe/">
    <xsd:schema xmlns:xsd="http://www.w3.org/2001/XMLSchema" xmlns:ns0="http://www.mf.gov.pl/schematy/SF/DefinicjeTypySprawozdaniaFinansowe/2018/07/09/DefinicjeTypySprawozdaniaFinansowe/" xmlns:ns1="http://crd.gov.pl/xml/schematy/dziedzinowe/mf/2016/01/25/eD/DefinicjeTypy/" xmlns="" targetNamespace="http://www.mf.gov.pl/schematy/SF/DefinicjeTypySprawozdaniaFinansowe/2018/07/09/DefinicjeTypySprawozdaniaFinansowe/">
      <xsd:import namespace="http://crd.gov.pl/xml/schematy/dziedzinowe/mf/2016/01/25/eD/DefinicjeTypy/"/>
      <xsd:element nillable="true" type="xsd:date" name="OkresOd"/>
      <xsd:element nillable="true" type="xsd:date" name="OkresDo"/>
      <xsd:element nillable="true" type="xsd:date" name="DataSporzadzenia"/>
      <xsd:element nillable="true" type="xsd:string" name="NazwaFirmy"/>
      <xsd:element nillable="true" name="Siedziba">
        <xsd:complexType>
          <xsd:sequence minOccurs="0">
            <xsd:element minOccurs="0" nillable="true" type="xsd:string" name="Wojewodztwo" form="qualified"/>
            <xsd:element minOccurs="0" nillable="true" type="xsd:string" name="Powiat" form="qualified"/>
            <xsd:element minOccurs="0" nillable="true" type="xsd:string" name="Gmina" form="qualified"/>
            <xsd:element minOccurs="0" nillable="true" type="xsd:string" name="Miejscowosc" form="qualified"/>
          </xsd:sequence>
        </xsd:complexType>
      </xsd:element>
      <xsd:element nillable="true" name="Adres">
        <xsd:complexType>
          <xsd:sequence minOccurs="0">
            <xsd:element minOccurs="0" ref="ns1:KodKraju"/>
            <xsd:element minOccurs="0" ref="ns1:Wojewodztwo"/>
            <xsd:element minOccurs="0" ref="ns1:Powiat"/>
            <xsd:element minOccurs="0" ref="ns1:Gmina"/>
            <xsd:element minOccurs="0" ref="ns1:Ulica"/>
            <xsd:element minOccurs="0" ref="ns1:NrDomu"/>
            <xsd:element minOccurs="0" ref="ns1:Miejscowosc"/>
            <xsd:element minOccurs="0" ref="ns1:KodPocztowy"/>
            <xsd:element minOccurs="0" ref="ns1:Poczta"/>
          </xsd:sequence>
        </xsd:complexType>
      </xsd:element>
      <xsd:element nillable="true" type="xsd:string" name="KodPKD"/>
      <xsd:element nillable="true" type="xsd:integer" name="KRS"/>
      <xsd:element nillable="true" type="xsd:date" name="DataOd"/>
      <xsd:element nillable="true" type="xsd:date" name="DataDo"/>
      <xsd:element nillable="true" type="xsd:string" name="NazwaPozycji"/>
      <xsd:element nillable="true" type="xsd:string" name="Opis"/>
      <xsd:element nillable="true" type="xsd:double" name="KwotaA"/>
      <xsd:element nillable="true" type="xsd:double" name="KwotaB"/>
      <xsd:element nillable="true" name="Plik">
        <xsd:complexType>
          <xsd:sequence minOccurs="0">
            <xsd:element minOccurs="0" nillable="true" type="xsd:string" name="Nazwa" form="qualified"/>
            <xsd:element minOccurs="0" nillable="true" type="xsd:string" name="Zawartosc" form="qualified"/>
          </xsd:sequence>
        </xsd:complexType>
      </xsd:element>
      <xsd:element nillable="true" name="P_ID_1">
        <xsd:complexType>
          <xsd:sequence minOccurs="0">
            <xsd:element minOccurs="0" nillable="true" type="xsd:double" name="RB" form="qualified"/>
            <xsd:element minOccurs="0" nillable="true" type="xsd:double" name="RP" form="qualified"/>
          </xsd:sequence>
        </xsd:complexType>
      </xsd:element>
      <xsd:element nillable="true" name="P_ID_2">
        <xsd:complexType>
          <xsd:sequence minOccurs="0">
            <xsd:element minOccurs="0" nillable="true" name="Kwota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  <xsd:element nillable="true" name="P_ID_3">
        <xsd:complexType>
          <xsd:sequence minOccurs="0">
            <xsd:element minOccurs="0" nillable="true" name="Kwota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  <xsd:element minOccurs="0" nillable="true" type="xsd:double" name="KwotaB" form="qualified"/>
                        <xsd:element minOccurs="0" nillable="true" type="xsd:double" name="KwotaC" form="qualified"/>
                      </xsd:sequence>
                    </xsd:complexType>
                  </xsd:element>
                </xsd:sequence>
              </xsd:complexType>
            </xsd:element>
            <xsd:element minOccurs="0" nillable="true" name="Pozostale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  <xsd:element minOccurs="0" nillable="true" type="xsd:double" name="KwotaB" form="qualified"/>
                        <xsd:element minOccurs="0" nillable="true" type="xsd:double" name="KwotaC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  <xsd:element nillable="true" name="P_ID_4">
        <xsd:complexType>
          <xsd:sequence minOccurs="0">
            <xsd:element minOccurs="0" nillable="true" name="Kwota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  <xsd:element nillable="true" name="P_ID_5">
        <xsd:complexType>
          <xsd:sequence minOccurs="0">
            <xsd:element minOccurs="0" nillable="true" name="Kwota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  <xsd:element minOccurs="0" nillable="true" type="xsd:double" name="KwotaB" form="qualified"/>
                        <xsd:element minOccurs="0" nillable="true" type="xsd:double" name="KwotaC" form="qualified"/>
                      </xsd:sequence>
                    </xsd:complexType>
                  </xsd:element>
                </xsd:sequence>
              </xsd:complexType>
            </xsd:element>
            <xsd:element minOccurs="0" nillable="true" name="Pozostale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  <xsd:element minOccurs="0" nillable="true" type="xsd:double" name="KwotaB" form="qualified"/>
                        <xsd:element minOccurs="0" nillable="true" type="xsd:double" name="KwotaC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  <xsd:element nillable="true" name="P_ID_6">
        <xsd:complexType>
          <xsd:sequence minOccurs="0">
            <xsd:element minOccurs="0" nillable="true" name="Kwota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  <xsd:element minOccurs="0" nillable="true" type="xsd:double" name="KwotaB" form="qualified"/>
                        <xsd:element minOccurs="0" nillable="true" type="xsd:double" name="KwotaC" form="qualified"/>
                      </xsd:sequence>
                    </xsd:complexType>
                  </xsd:element>
                </xsd:sequence>
              </xsd:complexType>
            </xsd:element>
            <xsd:element minOccurs="0" maxOccurs="unbounded" nillable="true" name="PozycjaUzytkownika" form="qualified">
              <xsd:complexType>
                <xsd:sequence minOccurs="0">
                  <xsd:element minOccurs="0" nillable="true" type="xsd:string" name="NazwaPozycji" form="qualified"/>
                  <xsd:element minOccurs="0" nillable="true" name="Kwoty" form="qualified">
                    <xsd:complexType>
                      <xsd:sequence minOccurs="0">
                        <xsd:element minOccurs="0" nillable="true" name="RB" form="qualified">
                          <xsd:complexType>
                            <xsd:sequence minOccurs="0">
                              <xsd:element minOccurs="0" nillable="true" name="Kwota" form="qualified">
                                <xsd:complexType>
                                  <xsd:sequence minOccurs="0">
                                    <xsd:element minOccurs="0" nillable="true" type="xsd:double" name="KwotaA" form="qualified"/>
                                    <xsd:element minOccurs="0" nillable="true" type="xsd:double" name="KwotaC" form="qualified"/>
                                  </xsd:sequence>
                                </xsd:complexType>
                              </xsd:element>
                              <xsd:element minOccurs="0" nillable="true" name="PodstawaPrawna" form="qualified">
                                <xsd:complexType>
                                  <xsd:sequence minOccurs="0">
                                    <xsd:element minOccurs="0" nillable="true" type="xsd:integer" name="Art" form="qualified"/>
                                    <xsd:element minOccurs="0" nillable="true" type="xsd:integer" name="Ust" form="qualified"/>
                                    <xsd:element minOccurs="0" nillable="true" type="xsd:integer" name="Pkt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  <xsd:element minOccurs="0" nillable="true" name="Pozostale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  <xsd:element minOccurs="0" nillable="true" type="xsd:double" name="KwotaB" form="qualified"/>
                        <xsd:element minOccurs="0" nillable="true" type="xsd:double" name="KwotaC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  <xsd:element nillable="true" name="P_ID_7">
        <xsd:complexType>
          <xsd:sequence minOccurs="0">
            <xsd:element minOccurs="0" nillable="true" name="Kwota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  <xsd:element minOccurs="0" nillable="true" type="xsd:double" name="KwotaB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  <xsd:element nillable="true" name="P_ID_8">
        <xsd:complexType>
          <xsd:sequence minOccurs="0">
            <xsd:element minOccurs="0" nillable="true" name="Kwota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  <xsd:element minOccurs="0" nillable="true" type="xsd:double" name="KwotaB" form="qualified"/>
                        <xsd:element minOccurs="0" nillable="true" type="xsd:double" name="KwotaC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  <xsd:element nillable="true" name="P_ID_9">
        <xsd:complexType>
          <xsd:sequence minOccurs="0">
            <xsd:element minOccurs="0" nillable="true" name="Kwota" form="qualified">
              <xsd:complexType>
                <xsd:sequence minOccurs="0">
                  <xsd:element minOccurs="0" nillable="true" name="RB" form="qualified">
                    <xsd:complexType>
                      <xsd:sequence minOccurs="0">
                        <xsd:element minOccurs="0" nillable="true" type="xsd:double" name="KwotaA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  <xsd:element nillable="true" name="P_ID_10">
        <xsd:complexType>
          <xsd:sequence minOccurs="0">
            <xsd:element minOccurs="0" nillable="true" type="xsd:double" name="RB" form="qualified"/>
            <xsd:element minOccurs="0" nillable="true" type="xsd:double" name="RP" form="qualified"/>
          </xsd:sequence>
        </xsd:complexType>
      </xsd:element>
      <xsd:element nillable="true" name="P_ID_11">
        <xsd:complexType>
          <xsd:sequence minOccurs="0">
            <xsd:element minOccurs="0" nillable="true" type="xsd:double" name="RB" form="qualified"/>
            <xsd:element minOccurs="0" nillable="true" type="xsd:double" name="RP" form="qualified"/>
          </xsd:sequence>
        </xsd:complexType>
      </xsd:element>
    </xsd:schema>
  </Schema>
  <Schema ID="Schema3" Namespace="http://crd.gov.pl/xml/schematy/dziedzinowe/mf/2016/01/25/eD/DefinicjeTypy/">
    <xsd:schema xmlns:xsd="http://www.w3.org/2001/XMLSchema" xmlns:ns0="http://crd.gov.pl/xml/schematy/dziedzinowe/mf/2016/01/25/eD/DefinicjeTypy/" xmlns="" targetNamespace="http://crd.gov.pl/xml/schematy/dziedzinowe/mf/2016/01/25/eD/DefinicjeTypy/">
      <xsd:element nillable="true" type="xsd:string" name="KodKraju"/>
      <xsd:element nillable="true" type="xsd:string" name="Wojewodztwo"/>
      <xsd:element nillable="true" type="xsd:string" name="Powiat"/>
      <xsd:element nillable="true" type="xsd:string" name="Gmina"/>
      <xsd:element nillable="true" type="xsd:string" name="Ulica"/>
      <xsd:element nillable="true" type="xsd:integer" name="NrDomu"/>
      <xsd:element nillable="true" type="xsd:string" name="Miejscowosc"/>
      <xsd:element nillable="true" type="xsd:string" name="KodPocztowy"/>
      <xsd:element nillable="true" type="xsd:string" name="Poczta"/>
    </xsd:schema>
  </Schema>
  <Schema ID="Schema4" SchemaRef="Schema1 Schema2 Schema3" Namespace="http://www.mf.gov.pl/schematy/SF/DefinicjeTypySprawozdaniaFinansowe/2018/07/09/JednostkaInnaWZlotych">
    <xsd:schema xmlns:xsd="http://www.w3.org/2001/XMLSchema" xmlns:ns0="http://www.mf.gov.pl/schematy/SF/DefinicjeTypySprawozdaniaFinansowe/2018/07/09/JednostkaInnaWZlotych" xmlns:ns1="http://www.mf.gov.pl/schematy/SF/DefinicjeTypySprawozdaniaFinansowe/2018/07/09/JednostkaInnaStruktury" xmlns:ns2="http://www.mf.gov.pl/schematy/SF/DefinicjeTypySprawozdaniaFinansowe/2018/07/09/DefinicjeTypySprawozdaniaFinansowe/" xmlns="" targetNamespace="http://www.mf.gov.pl/schematy/SF/DefinicjeTypySprawozdaniaFinansowe/2018/07/09/JednostkaInnaWZlotych">
      <xsd:import namespace="http://www.mf.gov.pl/schematy/SF/DefinicjeTypySprawozdaniaFinansowe/2018/07/09/JednostkaInnaStruktury"/>
      <xsd:import namespace="http://www.mf.gov.pl/schematy/SF/DefinicjeTypySprawozdaniaFinansowe/2018/07/09/DefinicjeTypySprawozdaniaFinansowe/"/>
      <xsd:element nillable="true" name="JednostkaInna">
        <xsd:complexType>
          <xsd:sequence minOccurs="0">
            <xsd:element minOccurs="0" nillable="true" name="Naglowek" form="qualified">
              <xsd:complexType>
                <xsd:sequence minOccurs="0">
                  <xsd:element minOccurs="0" ref="ns2:OkresOd"/>
                  <xsd:element minOccurs="0" ref="ns2:OkresDo"/>
                  <xsd:element minOccurs="0" ref="ns2:DataSporzadzenia"/>
                  <xsd:element minOccurs="0" ref="ns1:KodSprawozdania"/>
                  <xsd:element minOccurs="0" ref="ns1:WariantSprawozdania"/>
                </xsd:sequence>
              </xsd:complexType>
            </xsd:element>
            <xsd:element minOccurs="0" nillable="true" name="WprowadzenieDoSprawozdaniaFinansowego" form="qualified">
              <xsd:complexType>
                <xsd:sequence minOccurs="0">
                  <xsd:element minOccurs="0" nillable="true" name="P_1" form="qualified">
                    <xsd:complexType>
                      <xsd:sequence minOccurs="0">
                        <xsd:element minOccurs="0" nillable="true" name="P_1A" form="qualified">
                          <xsd:complexType>
                            <xsd:sequence minOccurs="0">
                              <xsd:element minOccurs="0" ref="ns2:NazwaFirmy"/>
                              <xsd:element minOccurs="0" ref="ns2:Siedziba"/>
                            </xsd:sequence>
                          </xsd:complexType>
                        </xsd:element>
                        <xsd:element minOccurs="0" nillable="true" name="P_1B" form="qualified">
                          <xsd:complexType>
                            <xsd:sequence minOccurs="0">
                              <xsd:element minOccurs="0" ref="ns2:Adres"/>
                            </xsd:sequence>
                          </xsd:complexType>
                        </xsd:element>
                        <xsd:element minOccurs="0" nillable="true" name="P_1C" form="qualified">
                          <xsd:complexType>
                            <xsd:sequence minOccurs="0">
                              <xsd:element minOccurs="0" ref="ns2:KodPKD"/>
                            </xsd:sequence>
                          </xsd:complexType>
                        </xsd:element>
                        <xsd:element minOccurs="0" nillable="true" name="P_1D" form="qualified">
                          <xsd:complexType>
                            <xsd:sequence minOccurs="0">
                              <xsd:element minOccurs="0" ref="ns2:KRS"/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_3" form="qualified">
                    <xsd:complexType>
                      <xsd:sequence minOccurs="0">
                        <xsd:element minOccurs="0" ref="ns2:DataOd"/>
                        <xsd:element minOccurs="0" ref="ns2:DataDo"/>
                      </xsd:sequence>
                    </xsd:complexType>
                  </xsd:element>
                  <xsd:element minOccurs="0" nillable="true" type="xsd:integer" name="P_4" form="qualified"/>
                  <xsd:element minOccurs="0" nillable="true" name="P_5" form="qualified">
                    <xsd:complexType>
                      <xsd:sequence minOccurs="0">
                        <xsd:element minOccurs="0" nillable="true" type="xsd:integer" name="P_5A" form="qualified"/>
                        <xsd:element minOccurs="0" nillable="true" type="xsd:integer" name="P_5B" form="qualified"/>
                      </xsd:sequence>
                    </xsd:complexType>
                  </xsd:element>
                  <xsd:element minOccurs="0" nillable="true" name="P_6" form="qualified">
                    <xsd:complexType>
                      <xsd:sequence minOccurs="0">
                        <xsd:element minOccurs="0" nillable="true" type="xsd:integer" name="P_6A" form="qualified"/>
                        <xsd:element minOccurs="0" nillable="true" type="xsd:integer" name="P_6B" form="qualified"/>
                      </xsd:sequence>
                    </xsd:complexType>
                  </xsd:element>
                  <xsd:element minOccurs="0" nillable="true" name="P_7" form="qualified">
                    <xsd:complexType>
                      <xsd:sequence minOccurs="0">
                        <xsd:element minOccurs="0" nillable="true" type="xsd:string" name="P_7A" form="qualified"/>
                        <xsd:element minOccurs="0" maxOccurs="unbounded" nillable="true" type="xsd:string" name="P_7B" form="qualified"/>
                        <xsd:element minOccurs="0" maxOccurs="unbounded" nillable="true" type="xsd:string" name="P_7C" form="qualified"/>
                        <xsd:element minOccurs="0" nillable="true" type="xsd:string" name="P_7D" form="qualified"/>
                      </xsd:sequence>
                    </xsd:complexType>
                  </xsd:element>
                  <xsd:element minOccurs="0" nillable="true" name="P_8" form="qualified">
                    <xsd:complexType>
                      <xsd:sequence minOccurs="0">
                        <xsd:element minOccurs="0" ref="ns2:NazwaPozycji"/>
                        <xsd:element minOccurs="0" maxOccurs="unbounded" ref="ns2:Opis"/>
                      </xsd:sequence>
                    </xsd:complexType>
                  </xsd:element>
                </xsd:sequence>
              </xsd:complexType>
            </xsd:element>
            <xsd:element minOccurs="0" nillable="true" name="Bilans" form="qualified">
              <xsd:complexType>
                <xsd:sequence minOccurs="0">
                  <xsd:element minOccurs="0" ref="ns1:Aktywa"/>
                  <xsd:element minOccurs="0" ref="ns1:Pasywa"/>
                </xsd:sequence>
              </xsd:complexType>
            </xsd:element>
            <xsd:element minOccurs="0" nillable="true" name="RZiS" form="qualified">
              <xsd:complexType>
                <xsd:sequence minOccurs="0">
                  <xsd:element minOccurs="0" ref="ns1:RZiSPor"/>
                </xsd:sequence>
              </xsd:complexType>
            </xsd:element>
            <xsd:element minOccurs="0" nillable="true" name="DodatkoweInformacjeIObjasnieniaJednstkaInna" form="qualified">
              <xsd:complexType>
                <xsd:sequence minOccurs="0">
                  <xsd:element minOccurs="0" nillable="true" name="DodatkoweInformacjeIObjasnienia" form="qualified">
                    <xsd:complexType>
                      <xsd:all>
                        <xsd:element minOccurs="0" ref="ns2:Opis"/>
                        <xsd:element minOccurs="0" ref="ns2:Plik"/>
                      </xsd:all>
                    </xsd:complexType>
                  </xsd:element>
                  <xsd:element minOccurs="0" nillable="true" name="InformacjaDodatkowaDotyczacaPodatkuDochodowego" form="qualified">
                    <xsd:complexType>
                      <xsd:sequence minOccurs="0">
                        <xsd:element minOccurs="0" ref="ns2:P_ID_1"/>
                        <xsd:element minOccurs="0" ref="ns2:P_ID_2"/>
                        <xsd:element minOccurs="0" ref="ns2:P_ID_3"/>
                        <xsd:element minOccurs="0" ref="ns2:P_ID_4"/>
                        <xsd:element minOccurs="0" ref="ns2:P_ID_5"/>
                        <xsd:element minOccurs="0" ref="ns2:P_ID_6"/>
                        <xsd:element minOccurs="0" ref="ns2:P_ID_7"/>
                        <xsd:element minOccurs="0" ref="ns2:P_ID_8"/>
                        <xsd:element minOccurs="0" ref="ns2:P_ID_9"/>
                        <xsd:element minOccurs="0" ref="ns2:P_ID_10"/>
                        <xsd:element minOccurs="0" ref="ns2:P_ID_11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JednostkaInna_Map" RootElement="JednostkaInna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0.39997558519241921"/>
  </sheetPr>
  <dimension ref="A1:N648"/>
  <sheetViews>
    <sheetView topLeftCell="A302" zoomScale="80" zoomScaleNormal="80" workbookViewId="0">
      <selection activeCell="H307" sqref="H307"/>
    </sheetView>
  </sheetViews>
  <sheetFormatPr defaultColWidth="9.1796875" defaultRowHeight="14.5" x14ac:dyDescent="0.35"/>
  <cols>
    <col min="1" max="1" width="16.7265625" style="2" bestFit="1" customWidth="1"/>
    <col min="2" max="2" width="32.7265625" style="2" customWidth="1"/>
    <col min="3" max="3" width="41.1796875" style="2" customWidth="1"/>
    <col min="4" max="4" width="53" style="2" customWidth="1"/>
    <col min="5" max="5" width="12.26953125" style="2" bestFit="1" customWidth="1"/>
    <col min="6" max="6" width="11.26953125" style="2" bestFit="1" customWidth="1"/>
    <col min="7" max="8" width="9.1796875" style="2"/>
    <col min="9" max="9" width="16.453125" style="2" bestFit="1" customWidth="1"/>
    <col min="10" max="10" width="14.1796875" style="2" customWidth="1"/>
    <col min="11" max="11" width="16.1796875" style="2" customWidth="1"/>
    <col min="12" max="12" width="17.81640625" style="2" customWidth="1"/>
    <col min="13" max="13" width="17.453125" style="2" customWidth="1"/>
    <col min="14" max="14" width="15.453125" style="2" customWidth="1"/>
  </cols>
  <sheetData>
    <row r="1" spans="1:14" x14ac:dyDescent="0.35">
      <c r="A1" s="32" t="s">
        <v>1782</v>
      </c>
      <c r="B1" s="33" t="s">
        <v>792</v>
      </c>
      <c r="C1" s="33" t="s">
        <v>792</v>
      </c>
      <c r="D1" s="34"/>
      <c r="E1" s="35"/>
      <c r="F1" s="36"/>
      <c r="G1" s="36"/>
      <c r="H1" s="36"/>
      <c r="I1" s="36"/>
      <c r="J1" s="36"/>
      <c r="K1" s="36"/>
      <c r="L1" s="36"/>
      <c r="M1" s="36"/>
      <c r="N1" s="36"/>
    </row>
    <row r="2" spans="1:14" x14ac:dyDescent="0.35">
      <c r="A2" s="37" t="s">
        <v>791</v>
      </c>
      <c r="B2" s="38" t="s">
        <v>793</v>
      </c>
      <c r="C2" s="38" t="s">
        <v>793</v>
      </c>
      <c r="D2" s="39" t="s">
        <v>793</v>
      </c>
      <c r="E2" s="35"/>
      <c r="F2" s="36"/>
      <c r="G2" s="36"/>
      <c r="H2" s="36"/>
      <c r="I2" s="36"/>
      <c r="J2" s="36"/>
      <c r="K2" s="36"/>
      <c r="L2" s="36"/>
      <c r="M2" s="36"/>
      <c r="N2" s="36"/>
    </row>
    <row r="3" spans="1:14" x14ac:dyDescent="0.35">
      <c r="A3" s="37" t="s">
        <v>791</v>
      </c>
      <c r="B3" s="38" t="s">
        <v>794</v>
      </c>
      <c r="C3" s="38" t="s">
        <v>794</v>
      </c>
      <c r="D3" s="39" t="s">
        <v>795</v>
      </c>
      <c r="E3" s="35"/>
      <c r="F3" s="36"/>
      <c r="G3" s="36"/>
      <c r="H3" s="36"/>
      <c r="I3" s="36"/>
      <c r="J3" s="36"/>
      <c r="K3" s="36"/>
      <c r="L3" s="36"/>
      <c r="M3" s="36"/>
      <c r="N3" s="36"/>
    </row>
    <row r="4" spans="1:14" x14ac:dyDescent="0.35">
      <c r="A4" s="37" t="s">
        <v>791</v>
      </c>
      <c r="B4" s="38" t="s">
        <v>59</v>
      </c>
      <c r="C4" s="38" t="s">
        <v>59</v>
      </c>
      <c r="D4" s="39" t="s">
        <v>796</v>
      </c>
      <c r="E4" s="35"/>
      <c r="F4" s="36"/>
      <c r="G4" s="36"/>
      <c r="H4" s="36"/>
      <c r="I4" s="36"/>
      <c r="J4" s="36"/>
      <c r="K4" s="36"/>
      <c r="L4" s="36"/>
      <c r="M4" s="36"/>
      <c r="N4" s="36"/>
    </row>
    <row r="5" spans="1:14" x14ac:dyDescent="0.35">
      <c r="A5" s="37" t="s">
        <v>791</v>
      </c>
      <c r="B5" s="38" t="s">
        <v>797</v>
      </c>
      <c r="C5" s="38" t="s">
        <v>797</v>
      </c>
      <c r="D5" s="39" t="s">
        <v>798</v>
      </c>
      <c r="E5" s="35"/>
      <c r="F5" s="36"/>
      <c r="G5" s="36"/>
      <c r="H5" s="36"/>
      <c r="I5" s="36"/>
      <c r="J5" s="36"/>
      <c r="K5" s="36"/>
      <c r="L5" s="36"/>
      <c r="M5" s="36"/>
      <c r="N5" s="36"/>
    </row>
    <row r="6" spans="1:14" x14ac:dyDescent="0.35">
      <c r="A6" s="37" t="s">
        <v>791</v>
      </c>
      <c r="B6" s="38" t="s">
        <v>799</v>
      </c>
      <c r="C6" s="38" t="s">
        <v>799</v>
      </c>
      <c r="D6" s="39">
        <v>1</v>
      </c>
      <c r="E6" s="35"/>
      <c r="F6" s="36"/>
      <c r="G6" s="36"/>
      <c r="H6" s="36"/>
      <c r="I6" s="36"/>
      <c r="J6" s="36"/>
      <c r="K6" s="36"/>
      <c r="L6" s="36"/>
      <c r="M6" s="36"/>
      <c r="N6" s="36"/>
    </row>
    <row r="7" spans="1:14" x14ac:dyDescent="0.35">
      <c r="A7" s="37" t="s">
        <v>791</v>
      </c>
      <c r="B7" s="38" t="s">
        <v>800</v>
      </c>
      <c r="C7" s="38" t="s">
        <v>800</v>
      </c>
      <c r="D7" s="39">
        <v>2</v>
      </c>
      <c r="E7" s="35"/>
      <c r="F7" s="36"/>
      <c r="G7" s="36"/>
      <c r="H7" s="36"/>
      <c r="I7" s="36"/>
      <c r="J7" s="36"/>
      <c r="K7" s="36"/>
      <c r="L7" s="36"/>
      <c r="M7" s="36"/>
      <c r="N7" s="36"/>
    </row>
    <row r="8" spans="1:14" x14ac:dyDescent="0.35">
      <c r="A8" s="37" t="s">
        <v>791</v>
      </c>
      <c r="B8" s="38" t="s">
        <v>801</v>
      </c>
      <c r="C8" s="38" t="s">
        <v>801</v>
      </c>
      <c r="D8" s="39" t="s">
        <v>802</v>
      </c>
      <c r="E8" s="35"/>
      <c r="F8" s="36"/>
      <c r="G8" s="36"/>
      <c r="H8" s="36"/>
      <c r="I8" s="36"/>
      <c r="J8" s="36"/>
      <c r="K8" s="36"/>
      <c r="L8" s="36"/>
      <c r="M8" s="36"/>
      <c r="N8" s="36"/>
    </row>
    <row r="9" spans="1:14" x14ac:dyDescent="0.35">
      <c r="A9" s="37" t="s">
        <v>791</v>
      </c>
      <c r="B9" s="38" t="s">
        <v>803</v>
      </c>
      <c r="C9" s="38" t="s">
        <v>803</v>
      </c>
      <c r="D9" s="39" t="s">
        <v>802</v>
      </c>
      <c r="E9" s="35"/>
      <c r="F9" s="36"/>
      <c r="G9" s="36"/>
      <c r="H9" s="36"/>
      <c r="I9" s="36"/>
      <c r="J9" s="36"/>
      <c r="K9" s="36"/>
      <c r="L9" s="36"/>
      <c r="M9" s="36"/>
      <c r="N9" s="36"/>
    </row>
    <row r="10" spans="1:14" x14ac:dyDescent="0.35">
      <c r="A10" s="37" t="s">
        <v>791</v>
      </c>
      <c r="B10" s="38" t="s">
        <v>804</v>
      </c>
      <c r="C10" s="38" t="s">
        <v>804</v>
      </c>
      <c r="D10" s="39" t="s">
        <v>805</v>
      </c>
      <c r="E10" s="35"/>
      <c r="F10" s="36"/>
      <c r="G10" s="36"/>
      <c r="H10" s="36"/>
      <c r="I10" s="36"/>
      <c r="J10" s="36"/>
      <c r="K10" s="36"/>
      <c r="L10" s="36"/>
      <c r="M10" s="36"/>
      <c r="N10" s="36"/>
    </row>
    <row r="11" spans="1:14" x14ac:dyDescent="0.35">
      <c r="A11" s="37" t="s">
        <v>791</v>
      </c>
      <c r="B11" s="38" t="s">
        <v>806</v>
      </c>
      <c r="C11" s="38" t="s">
        <v>806</v>
      </c>
      <c r="D11" s="39" t="s">
        <v>807</v>
      </c>
      <c r="E11" s="35"/>
      <c r="F11" s="36"/>
      <c r="G11" s="36"/>
      <c r="H11" s="36"/>
      <c r="I11" s="36"/>
      <c r="J11" s="36"/>
      <c r="K11" s="36"/>
      <c r="L11" s="36"/>
      <c r="M11" s="36"/>
      <c r="N11" s="36"/>
    </row>
    <row r="12" spans="1:14" x14ac:dyDescent="0.35">
      <c r="A12" s="37" t="s">
        <v>791</v>
      </c>
      <c r="B12" s="38" t="s">
        <v>808</v>
      </c>
      <c r="C12" s="38" t="s">
        <v>808</v>
      </c>
      <c r="D12" s="39" t="s">
        <v>809</v>
      </c>
      <c r="E12" s="35"/>
      <c r="F12" s="36"/>
      <c r="G12" s="36"/>
      <c r="H12" s="36"/>
      <c r="I12" s="36"/>
      <c r="J12" s="36"/>
      <c r="K12" s="36"/>
      <c r="L12" s="36"/>
      <c r="M12" s="36"/>
      <c r="N12" s="36"/>
    </row>
    <row r="13" spans="1:14" x14ac:dyDescent="0.35">
      <c r="A13" s="37" t="s">
        <v>791</v>
      </c>
      <c r="B13" s="38" t="s">
        <v>810</v>
      </c>
      <c r="C13" s="38" t="s">
        <v>810</v>
      </c>
      <c r="D13" s="39" t="s">
        <v>811</v>
      </c>
      <c r="E13" s="35"/>
      <c r="F13" s="36"/>
      <c r="G13" s="36"/>
      <c r="H13" s="36"/>
      <c r="I13" s="36"/>
      <c r="J13" s="36"/>
      <c r="K13" s="36"/>
      <c r="L13" s="36"/>
      <c r="M13" s="36"/>
      <c r="N13" s="36"/>
    </row>
    <row r="14" spans="1:14" x14ac:dyDescent="0.35">
      <c r="A14" s="37" t="s">
        <v>791</v>
      </c>
      <c r="B14" s="38" t="s">
        <v>812</v>
      </c>
      <c r="C14" s="38" t="s">
        <v>812</v>
      </c>
      <c r="D14" s="39" t="s">
        <v>813</v>
      </c>
      <c r="E14" s="35"/>
      <c r="F14" s="36"/>
      <c r="G14" s="36"/>
      <c r="H14" s="36"/>
      <c r="I14" s="36"/>
      <c r="J14" s="36"/>
      <c r="K14" s="36"/>
      <c r="L14" s="36"/>
      <c r="M14" s="36"/>
      <c r="N14" s="36"/>
    </row>
    <row r="15" spans="1:14" x14ac:dyDescent="0.35">
      <c r="A15" s="37" t="s">
        <v>791</v>
      </c>
      <c r="B15" s="38" t="s">
        <v>814</v>
      </c>
      <c r="C15" s="38" t="s">
        <v>814</v>
      </c>
      <c r="D15" s="39" t="s">
        <v>815</v>
      </c>
      <c r="E15" s="35"/>
      <c r="F15" s="36"/>
      <c r="G15" s="36"/>
      <c r="H15" s="36"/>
      <c r="I15" s="36"/>
      <c r="J15" s="36"/>
      <c r="K15" s="36"/>
      <c r="L15" s="36"/>
      <c r="M15" s="36"/>
      <c r="N15" s="36"/>
    </row>
    <row r="16" spans="1:14" x14ac:dyDescent="0.35">
      <c r="A16" s="37" t="s">
        <v>791</v>
      </c>
      <c r="B16" s="38" t="s">
        <v>816</v>
      </c>
      <c r="C16" s="38" t="s">
        <v>816</v>
      </c>
      <c r="D16" s="39" t="s">
        <v>817</v>
      </c>
      <c r="E16" s="35"/>
      <c r="F16" s="36"/>
      <c r="G16" s="36"/>
      <c r="H16" s="36"/>
      <c r="I16" s="36"/>
      <c r="J16" s="36"/>
      <c r="K16" s="36"/>
      <c r="L16" s="36"/>
      <c r="M16" s="36"/>
      <c r="N16" s="36"/>
    </row>
    <row r="17" spans="1:14" x14ac:dyDescent="0.35">
      <c r="A17" s="37" t="s">
        <v>791</v>
      </c>
      <c r="B17" s="38" t="s">
        <v>818</v>
      </c>
      <c r="C17" s="38" t="s">
        <v>818</v>
      </c>
      <c r="D17" s="39" t="s">
        <v>819</v>
      </c>
      <c r="E17" s="35"/>
      <c r="F17" s="36"/>
      <c r="G17" s="36"/>
      <c r="H17" s="36"/>
      <c r="I17" s="36"/>
      <c r="J17" s="36"/>
      <c r="K17" s="36"/>
      <c r="L17" s="36"/>
      <c r="M17" s="36"/>
      <c r="N17" s="36"/>
    </row>
    <row r="18" spans="1:14" x14ac:dyDescent="0.35">
      <c r="A18" s="37" t="s">
        <v>791</v>
      </c>
      <c r="B18" s="38" t="s">
        <v>820</v>
      </c>
      <c r="C18" s="38" t="s">
        <v>820</v>
      </c>
      <c r="D18" s="39" t="s">
        <v>821</v>
      </c>
      <c r="E18" s="35"/>
      <c r="F18" s="36"/>
      <c r="G18" s="36"/>
      <c r="H18" s="36"/>
      <c r="I18" s="36"/>
      <c r="J18" s="36"/>
      <c r="K18" s="36"/>
      <c r="L18" s="36"/>
      <c r="M18" s="36"/>
      <c r="N18" s="36"/>
    </row>
    <row r="19" spans="1:14" x14ac:dyDescent="0.35">
      <c r="A19" s="37" t="s">
        <v>791</v>
      </c>
      <c r="B19" s="38" t="s">
        <v>822</v>
      </c>
      <c r="C19" s="38" t="s">
        <v>822</v>
      </c>
      <c r="D19" s="39" t="s">
        <v>805</v>
      </c>
      <c r="E19" s="35"/>
      <c r="F19" s="36"/>
      <c r="G19" s="36"/>
      <c r="H19" s="36"/>
      <c r="I19" s="36"/>
      <c r="J19" s="36"/>
      <c r="K19" s="36"/>
      <c r="L19" s="36"/>
      <c r="M19" s="36"/>
      <c r="N19" s="36"/>
    </row>
    <row r="20" spans="1:14" x14ac:dyDescent="0.35">
      <c r="A20" s="37" t="s">
        <v>791</v>
      </c>
      <c r="B20" s="38" t="s">
        <v>823</v>
      </c>
      <c r="C20" s="38" t="s">
        <v>823</v>
      </c>
      <c r="D20" s="39" t="s">
        <v>824</v>
      </c>
      <c r="E20" s="35"/>
      <c r="F20" s="36"/>
      <c r="G20" s="36"/>
      <c r="H20" s="36"/>
      <c r="I20" s="36"/>
      <c r="J20" s="36"/>
      <c r="K20" s="36"/>
      <c r="L20" s="36"/>
      <c r="M20" s="36"/>
      <c r="N20" s="36"/>
    </row>
    <row r="21" spans="1:14" x14ac:dyDescent="0.35">
      <c r="A21" s="37" t="s">
        <v>791</v>
      </c>
      <c r="B21" s="38" t="s">
        <v>825</v>
      </c>
      <c r="C21" s="38" t="s">
        <v>825</v>
      </c>
      <c r="D21" s="39" t="s">
        <v>826</v>
      </c>
      <c r="E21" s="35"/>
      <c r="F21" s="36"/>
      <c r="G21" s="36"/>
      <c r="H21" s="36"/>
      <c r="I21" s="36"/>
      <c r="J21" s="36"/>
      <c r="K21" s="36"/>
      <c r="L21" s="36"/>
      <c r="M21" s="36"/>
      <c r="N21" s="36"/>
    </row>
    <row r="22" spans="1:14" x14ac:dyDescent="0.35">
      <c r="A22" s="37" t="s">
        <v>791</v>
      </c>
      <c r="B22" s="38" t="s">
        <v>827</v>
      </c>
      <c r="C22" s="38" t="s">
        <v>827</v>
      </c>
      <c r="D22" s="39" t="s">
        <v>828</v>
      </c>
      <c r="E22" s="35"/>
      <c r="F22" s="36"/>
      <c r="G22" s="36"/>
      <c r="H22" s="36"/>
      <c r="I22" s="36"/>
      <c r="J22" s="36"/>
      <c r="K22" s="36"/>
      <c r="L22" s="36"/>
      <c r="M22" s="36"/>
      <c r="N22" s="36"/>
    </row>
    <row r="23" spans="1:14" x14ac:dyDescent="0.35">
      <c r="A23" s="37" t="s">
        <v>791</v>
      </c>
      <c r="B23" s="38" t="s">
        <v>829</v>
      </c>
      <c r="C23" s="38" t="s">
        <v>829</v>
      </c>
      <c r="D23" s="39" t="s">
        <v>830</v>
      </c>
      <c r="E23" s="35"/>
      <c r="F23" s="36"/>
      <c r="G23" s="36"/>
      <c r="H23" s="36"/>
      <c r="I23" s="36"/>
      <c r="J23" s="36"/>
      <c r="K23" s="36"/>
      <c r="L23" s="36"/>
      <c r="M23" s="36"/>
      <c r="N23" s="36"/>
    </row>
    <row r="24" spans="1:14" x14ac:dyDescent="0.35">
      <c r="A24" s="37" t="s">
        <v>791</v>
      </c>
      <c r="B24" s="38" t="s">
        <v>831</v>
      </c>
      <c r="C24" s="38" t="s">
        <v>831</v>
      </c>
      <c r="D24" s="39" t="s">
        <v>832</v>
      </c>
      <c r="E24" s="35"/>
      <c r="F24" s="36"/>
      <c r="G24" s="36"/>
      <c r="H24" s="36"/>
      <c r="I24" s="36"/>
      <c r="J24" s="36"/>
      <c r="K24" s="36"/>
      <c r="L24" s="36"/>
      <c r="M24" s="36"/>
      <c r="N24" s="36"/>
    </row>
    <row r="25" spans="1:14" x14ac:dyDescent="0.35">
      <c r="A25" s="37" t="s">
        <v>791</v>
      </c>
      <c r="B25" s="38" t="s">
        <v>833</v>
      </c>
      <c r="C25" s="38" t="s">
        <v>833</v>
      </c>
      <c r="D25" s="39" t="s">
        <v>834</v>
      </c>
      <c r="E25" s="35"/>
      <c r="F25" s="36"/>
      <c r="G25" s="36"/>
      <c r="H25" s="36"/>
      <c r="I25" s="36"/>
      <c r="J25" s="36"/>
      <c r="K25" s="36"/>
      <c r="L25" s="36"/>
      <c r="M25" s="36"/>
      <c r="N25" s="36"/>
    </row>
    <row r="26" spans="1:14" x14ac:dyDescent="0.35">
      <c r="A26" s="37" t="s">
        <v>791</v>
      </c>
      <c r="B26" s="38" t="s">
        <v>835</v>
      </c>
      <c r="C26" s="38" t="s">
        <v>835</v>
      </c>
      <c r="D26" s="39" t="s">
        <v>836</v>
      </c>
      <c r="E26" s="35"/>
      <c r="F26" s="36"/>
      <c r="G26" s="36"/>
      <c r="H26" s="36"/>
      <c r="I26" s="36"/>
      <c r="J26" s="36"/>
      <c r="K26" s="36"/>
      <c r="L26" s="36"/>
      <c r="M26" s="36"/>
      <c r="N26" s="36"/>
    </row>
    <row r="27" spans="1:14" x14ac:dyDescent="0.35">
      <c r="A27" s="37" t="s">
        <v>791</v>
      </c>
      <c r="B27" s="38" t="s">
        <v>837</v>
      </c>
      <c r="C27" s="38" t="s">
        <v>837</v>
      </c>
      <c r="D27" s="39" t="s">
        <v>838</v>
      </c>
      <c r="E27" s="35"/>
      <c r="F27" s="36"/>
      <c r="G27" s="36"/>
      <c r="H27" s="36"/>
      <c r="I27" s="36"/>
      <c r="J27" s="36"/>
      <c r="K27" s="36"/>
      <c r="L27" s="36"/>
      <c r="M27" s="36"/>
      <c r="N27" s="36"/>
    </row>
    <row r="28" spans="1:14" x14ac:dyDescent="0.35">
      <c r="A28" s="37" t="s">
        <v>791</v>
      </c>
      <c r="B28" s="38" t="s">
        <v>839</v>
      </c>
      <c r="C28" s="38" t="s">
        <v>839</v>
      </c>
      <c r="D28" s="39" t="s">
        <v>840</v>
      </c>
      <c r="E28" s="35"/>
      <c r="F28" s="36"/>
      <c r="G28" s="36"/>
      <c r="H28" s="36"/>
      <c r="I28" s="36"/>
      <c r="J28" s="36"/>
      <c r="K28" s="36"/>
      <c r="L28" s="36"/>
      <c r="M28" s="36"/>
      <c r="N28" s="36"/>
    </row>
    <row r="29" spans="1:14" x14ac:dyDescent="0.35">
      <c r="A29" s="37" t="s">
        <v>791</v>
      </c>
      <c r="B29" s="38" t="s">
        <v>841</v>
      </c>
      <c r="C29" s="38" t="s">
        <v>841</v>
      </c>
      <c r="D29" s="39" t="s">
        <v>842</v>
      </c>
      <c r="E29" s="35"/>
      <c r="F29" s="36"/>
      <c r="G29" s="36"/>
      <c r="H29" s="36"/>
      <c r="I29" s="36"/>
      <c r="J29" s="36"/>
      <c r="K29" s="36"/>
      <c r="L29" s="36"/>
      <c r="M29" s="36"/>
      <c r="N29" s="36"/>
    </row>
    <row r="30" spans="1:14" x14ac:dyDescent="0.35">
      <c r="A30" s="37" t="s">
        <v>791</v>
      </c>
      <c r="B30" s="38" t="s">
        <v>843</v>
      </c>
      <c r="C30" s="38" t="s">
        <v>843</v>
      </c>
      <c r="D30" s="39" t="s">
        <v>844</v>
      </c>
      <c r="E30" s="35"/>
      <c r="F30" s="36"/>
      <c r="G30" s="36"/>
      <c r="H30" s="36"/>
      <c r="I30" s="36"/>
      <c r="J30" s="36"/>
      <c r="K30" s="36"/>
      <c r="L30" s="36"/>
      <c r="M30" s="36"/>
      <c r="N30" s="36"/>
    </row>
    <row r="31" spans="1:14" x14ac:dyDescent="0.35">
      <c r="A31" s="37" t="s">
        <v>791</v>
      </c>
      <c r="B31" s="40" t="s">
        <v>845</v>
      </c>
      <c r="C31" s="40" t="s">
        <v>845</v>
      </c>
      <c r="D31" s="41" t="s">
        <v>2205</v>
      </c>
      <c r="E31" s="42"/>
      <c r="F31" s="43"/>
      <c r="G31" s="43"/>
      <c r="H31" s="43"/>
      <c r="I31" s="43"/>
      <c r="J31" s="43"/>
      <c r="K31" s="43"/>
      <c r="L31" s="43"/>
      <c r="M31" s="43"/>
      <c r="N31" s="43"/>
    </row>
    <row r="32" spans="1:14" x14ac:dyDescent="0.35">
      <c r="A32" s="37" t="s">
        <v>791</v>
      </c>
      <c r="B32" s="40" t="s">
        <v>846</v>
      </c>
      <c r="C32" s="40" t="s">
        <v>846</v>
      </c>
      <c r="D32" s="41" t="s">
        <v>2206</v>
      </c>
      <c r="E32" s="42"/>
      <c r="F32" s="43"/>
      <c r="G32" s="43"/>
      <c r="H32" s="43"/>
      <c r="I32" s="43"/>
      <c r="J32" s="43"/>
      <c r="K32" s="43"/>
      <c r="L32" s="43"/>
      <c r="M32" s="43"/>
      <c r="N32" s="43"/>
    </row>
    <row r="33" spans="1:14" x14ac:dyDescent="0.35">
      <c r="A33" s="37" t="s">
        <v>791</v>
      </c>
      <c r="B33" s="40" t="s">
        <v>847</v>
      </c>
      <c r="C33" s="40" t="s">
        <v>847</v>
      </c>
      <c r="D33" s="41" t="s">
        <v>2205</v>
      </c>
      <c r="E33" s="42"/>
      <c r="F33" s="43"/>
      <c r="G33" s="43"/>
      <c r="H33" s="43"/>
      <c r="I33" s="43"/>
      <c r="J33" s="43"/>
      <c r="K33" s="43"/>
      <c r="L33" s="43"/>
      <c r="M33" s="43"/>
      <c r="N33" s="43"/>
    </row>
    <row r="34" spans="1:14" x14ac:dyDescent="0.35">
      <c r="A34" s="37" t="s">
        <v>791</v>
      </c>
      <c r="B34" s="40" t="s">
        <v>848</v>
      </c>
      <c r="C34" s="40" t="s">
        <v>848</v>
      </c>
      <c r="D34" s="41">
        <v>1</v>
      </c>
      <c r="E34" s="42"/>
      <c r="F34" s="43"/>
      <c r="G34" s="43"/>
      <c r="H34" s="43"/>
      <c r="I34" s="43"/>
      <c r="J34" s="43"/>
      <c r="K34" s="43"/>
      <c r="L34" s="43"/>
      <c r="M34" s="43"/>
      <c r="N34" s="43"/>
    </row>
    <row r="35" spans="1:14" x14ac:dyDescent="0.35">
      <c r="A35" s="37" t="s">
        <v>791</v>
      </c>
      <c r="B35" s="40" t="s">
        <v>77</v>
      </c>
      <c r="C35" s="40" t="s">
        <v>77</v>
      </c>
      <c r="D35" s="41" t="s">
        <v>849</v>
      </c>
      <c r="E35" s="42"/>
      <c r="F35" s="43"/>
      <c r="G35" s="43"/>
      <c r="H35" s="43"/>
      <c r="I35" s="43"/>
      <c r="J35" s="43"/>
      <c r="K35" s="43"/>
      <c r="L35" s="43"/>
      <c r="M35" s="43"/>
      <c r="N35" s="43"/>
    </row>
    <row r="36" spans="1:14" x14ac:dyDescent="0.35">
      <c r="A36" s="37" t="s">
        <v>791</v>
      </c>
      <c r="B36" s="40" t="s">
        <v>79</v>
      </c>
      <c r="C36" s="40" t="s">
        <v>79</v>
      </c>
      <c r="D36" s="41" t="s">
        <v>850</v>
      </c>
      <c r="E36" s="42"/>
      <c r="F36" s="43"/>
      <c r="G36" s="43"/>
      <c r="H36" s="43"/>
      <c r="I36" s="43"/>
      <c r="J36" s="43"/>
      <c r="K36" s="43"/>
      <c r="L36" s="43"/>
      <c r="M36" s="43"/>
      <c r="N36" s="43"/>
    </row>
    <row r="37" spans="1:14" x14ac:dyDescent="0.35">
      <c r="A37" s="37" t="s">
        <v>791</v>
      </c>
      <c r="B37" s="40" t="s">
        <v>81</v>
      </c>
      <c r="C37" s="40" t="s">
        <v>81</v>
      </c>
      <c r="D37" s="41" t="s">
        <v>851</v>
      </c>
      <c r="E37" s="42"/>
      <c r="F37" s="43"/>
      <c r="G37" s="43"/>
      <c r="H37" s="43"/>
      <c r="I37" s="43"/>
      <c r="J37" s="43"/>
      <c r="K37" s="43"/>
      <c r="L37" s="43"/>
      <c r="M37" s="43"/>
      <c r="N37" s="43"/>
    </row>
    <row r="38" spans="1:14" x14ac:dyDescent="0.35">
      <c r="A38" s="37" t="s">
        <v>791</v>
      </c>
      <c r="B38" s="44" t="s">
        <v>852</v>
      </c>
      <c r="C38" s="44" t="s">
        <v>852</v>
      </c>
      <c r="D38" s="41">
        <v>43101</v>
      </c>
      <c r="E38" s="42"/>
      <c r="F38" s="43"/>
      <c r="G38" s="43"/>
      <c r="H38" s="43"/>
      <c r="I38" s="43"/>
      <c r="J38" s="43"/>
      <c r="K38" s="43"/>
      <c r="L38" s="43"/>
      <c r="M38" s="43"/>
      <c r="N38" s="43"/>
    </row>
    <row r="39" spans="1:14" x14ac:dyDescent="0.35">
      <c r="A39" s="37" t="s">
        <v>791</v>
      </c>
      <c r="B39" s="44" t="s">
        <v>853</v>
      </c>
      <c r="C39" s="44" t="s">
        <v>853</v>
      </c>
      <c r="D39" s="41" t="s">
        <v>854</v>
      </c>
      <c r="E39" s="42"/>
      <c r="F39" s="43"/>
      <c r="G39" s="43"/>
      <c r="H39" s="43"/>
      <c r="I39" s="43"/>
      <c r="J39" s="43"/>
      <c r="K39" s="43"/>
      <c r="L39" s="43"/>
      <c r="M39" s="43"/>
      <c r="N39" s="43"/>
    </row>
    <row r="40" spans="1:14" x14ac:dyDescent="0.35">
      <c r="A40" s="37" t="s">
        <v>791</v>
      </c>
      <c r="B40" s="40" t="s">
        <v>74</v>
      </c>
      <c r="C40" s="40" t="s">
        <v>74</v>
      </c>
      <c r="D40" s="41" t="s">
        <v>855</v>
      </c>
      <c r="E40" s="42"/>
      <c r="F40" s="43"/>
      <c r="G40" s="43"/>
      <c r="H40" s="43"/>
      <c r="I40" s="43"/>
      <c r="J40" s="43"/>
      <c r="K40" s="43"/>
      <c r="L40" s="43"/>
      <c r="M40" s="43"/>
      <c r="N40" s="43"/>
    </row>
    <row r="41" spans="1:14" x14ac:dyDescent="0.35">
      <c r="A41" s="37" t="s">
        <v>791</v>
      </c>
      <c r="B41" s="40" t="s">
        <v>85</v>
      </c>
      <c r="C41" s="40" t="s">
        <v>85</v>
      </c>
      <c r="D41" s="41" t="s">
        <v>849</v>
      </c>
      <c r="E41" s="42"/>
      <c r="F41" s="43"/>
      <c r="G41" s="43"/>
      <c r="H41" s="43"/>
      <c r="I41" s="43"/>
      <c r="J41" s="43"/>
      <c r="K41" s="43"/>
      <c r="L41" s="43"/>
      <c r="M41" s="43"/>
      <c r="N41" s="43"/>
    </row>
    <row r="42" spans="1:14" x14ac:dyDescent="0.35">
      <c r="A42" s="37" t="s">
        <v>791</v>
      </c>
      <c r="B42" s="40" t="s">
        <v>87</v>
      </c>
      <c r="C42" s="40" t="s">
        <v>87</v>
      </c>
      <c r="D42" s="41" t="s">
        <v>856</v>
      </c>
      <c r="E42" s="42"/>
      <c r="F42" s="43"/>
      <c r="G42" s="43"/>
      <c r="H42" s="43"/>
      <c r="I42" s="43"/>
      <c r="J42" s="43"/>
      <c r="K42" s="43"/>
      <c r="L42" s="43"/>
      <c r="M42" s="43"/>
      <c r="N42" s="43"/>
    </row>
    <row r="43" spans="1:14" x14ac:dyDescent="0.35">
      <c r="A43" s="37" t="s">
        <v>791</v>
      </c>
      <c r="B43" s="40" t="s">
        <v>91</v>
      </c>
      <c r="C43" s="40" t="s">
        <v>91</v>
      </c>
      <c r="D43" s="41" t="s">
        <v>857</v>
      </c>
      <c r="E43" s="42"/>
      <c r="F43" s="43"/>
      <c r="G43" s="43"/>
      <c r="H43" s="43"/>
      <c r="I43" s="43"/>
      <c r="J43" s="43"/>
      <c r="K43" s="43"/>
      <c r="L43" s="43"/>
      <c r="M43" s="43"/>
      <c r="N43" s="43"/>
    </row>
    <row r="44" spans="1:14" x14ac:dyDescent="0.35">
      <c r="A44" s="37" t="s">
        <v>791</v>
      </c>
      <c r="B44" s="40" t="s">
        <v>858</v>
      </c>
      <c r="C44" s="40" t="s">
        <v>858</v>
      </c>
      <c r="D44" s="41" t="s">
        <v>859</v>
      </c>
      <c r="E44" s="42"/>
      <c r="F44" s="43"/>
      <c r="G44" s="43"/>
      <c r="H44" s="43"/>
      <c r="I44" s="43"/>
      <c r="J44" s="43"/>
      <c r="K44" s="43"/>
      <c r="L44" s="43"/>
      <c r="M44" s="43"/>
      <c r="N44" s="43"/>
    </row>
    <row r="45" spans="1:14" x14ac:dyDescent="0.35">
      <c r="A45" s="37" t="s">
        <v>791</v>
      </c>
      <c r="B45" s="40" t="s">
        <v>860</v>
      </c>
      <c r="C45" s="40" t="s">
        <v>860</v>
      </c>
      <c r="D45" s="41" t="s">
        <v>861</v>
      </c>
      <c r="E45" s="42"/>
      <c r="F45" s="43"/>
      <c r="G45" s="43"/>
      <c r="H45" s="43"/>
      <c r="I45" s="43"/>
      <c r="J45" s="43"/>
      <c r="K45" s="43"/>
      <c r="L45" s="43"/>
      <c r="M45" s="43"/>
      <c r="N45" s="43"/>
    </row>
    <row r="46" spans="1:14" x14ac:dyDescent="0.35">
      <c r="A46" s="37" t="s">
        <v>791</v>
      </c>
      <c r="B46" s="40" t="s">
        <v>862</v>
      </c>
      <c r="C46" s="40" t="s">
        <v>862</v>
      </c>
      <c r="D46" s="41" t="s">
        <v>863</v>
      </c>
      <c r="E46" s="42"/>
      <c r="F46" s="43"/>
      <c r="G46" s="43"/>
      <c r="H46" s="43"/>
      <c r="I46" s="43"/>
      <c r="J46" s="43"/>
      <c r="K46" s="43"/>
      <c r="L46" s="43"/>
      <c r="M46" s="43"/>
      <c r="N46" s="43"/>
    </row>
    <row r="47" spans="1:14" x14ac:dyDescent="0.35">
      <c r="A47" s="37" t="s">
        <v>791</v>
      </c>
      <c r="B47" s="40" t="s">
        <v>864</v>
      </c>
      <c r="C47" s="40" t="s">
        <v>864</v>
      </c>
      <c r="D47" s="41" t="s">
        <v>865</v>
      </c>
      <c r="E47" s="42"/>
      <c r="F47" s="43"/>
      <c r="G47" s="43"/>
      <c r="H47" s="43"/>
      <c r="I47" s="43"/>
      <c r="J47" s="43"/>
      <c r="K47" s="43"/>
      <c r="L47" s="43"/>
      <c r="M47" s="43"/>
      <c r="N47" s="43"/>
    </row>
    <row r="48" spans="1:14" x14ac:dyDescent="0.35">
      <c r="A48" s="37" t="s">
        <v>791</v>
      </c>
      <c r="B48" s="40" t="s">
        <v>866</v>
      </c>
      <c r="C48" s="40" t="s">
        <v>866</v>
      </c>
      <c r="D48" s="41" t="s">
        <v>867</v>
      </c>
      <c r="E48" s="42"/>
      <c r="F48" s="43"/>
      <c r="G48" s="43"/>
      <c r="H48" s="43"/>
      <c r="I48" s="43"/>
      <c r="J48" s="43"/>
      <c r="K48" s="43"/>
      <c r="L48" s="43"/>
      <c r="M48" s="43"/>
      <c r="N48" s="43"/>
    </row>
    <row r="49" spans="1:14" x14ac:dyDescent="0.35">
      <c r="A49" s="37" t="s">
        <v>791</v>
      </c>
      <c r="B49" s="40" t="s">
        <v>868</v>
      </c>
      <c r="C49" s="40" t="s">
        <v>868</v>
      </c>
      <c r="D49" s="41" t="s">
        <v>869</v>
      </c>
      <c r="E49" s="42"/>
      <c r="F49" s="43"/>
      <c r="G49" s="43"/>
      <c r="H49" s="43"/>
      <c r="I49" s="43"/>
      <c r="J49" s="43"/>
      <c r="K49" s="43"/>
      <c r="L49" s="43"/>
      <c r="M49" s="43"/>
      <c r="N49" s="43"/>
    </row>
    <row r="50" spans="1:14" x14ac:dyDescent="0.35">
      <c r="A50" s="37" t="s">
        <v>791</v>
      </c>
      <c r="B50" s="40" t="s">
        <v>870</v>
      </c>
      <c r="C50" s="40" t="s">
        <v>870</v>
      </c>
      <c r="D50" s="41" t="s">
        <v>871</v>
      </c>
      <c r="E50" s="42"/>
      <c r="F50" s="43"/>
      <c r="G50" s="43"/>
      <c r="H50" s="43"/>
      <c r="I50" s="43"/>
      <c r="J50" s="43"/>
      <c r="K50" s="43"/>
      <c r="L50" s="43"/>
      <c r="M50" s="43"/>
      <c r="N50" s="43"/>
    </row>
    <row r="51" spans="1:14" x14ac:dyDescent="0.35">
      <c r="A51" s="37" t="s">
        <v>791</v>
      </c>
      <c r="B51" s="40" t="s">
        <v>872</v>
      </c>
      <c r="C51" s="40" t="s">
        <v>872</v>
      </c>
      <c r="D51" s="41" t="s">
        <v>873</v>
      </c>
      <c r="E51" s="42"/>
      <c r="F51" s="43"/>
      <c r="G51" s="43"/>
      <c r="H51" s="43"/>
      <c r="I51" s="43"/>
      <c r="J51" s="43"/>
      <c r="K51" s="43"/>
      <c r="L51" s="43"/>
      <c r="M51" s="43"/>
      <c r="N51" s="43"/>
    </row>
    <row r="52" spans="1:14" x14ac:dyDescent="0.35">
      <c r="A52" s="37" t="s">
        <v>791</v>
      </c>
      <c r="B52" s="40" t="s">
        <v>874</v>
      </c>
      <c r="C52" s="40" t="s">
        <v>874</v>
      </c>
      <c r="D52" s="41" t="s">
        <v>875</v>
      </c>
      <c r="E52" s="42"/>
      <c r="F52" s="43"/>
      <c r="G52" s="43"/>
      <c r="H52" s="43"/>
      <c r="I52" s="43"/>
      <c r="J52" s="43"/>
      <c r="K52" s="43"/>
      <c r="L52" s="43"/>
      <c r="M52" s="43"/>
      <c r="N52" s="43"/>
    </row>
    <row r="53" spans="1:14" x14ac:dyDescent="0.35">
      <c r="A53" s="45" t="s">
        <v>791</v>
      </c>
      <c r="B53" s="40" t="s">
        <v>93</v>
      </c>
      <c r="C53" s="40" t="s">
        <v>93</v>
      </c>
      <c r="D53" s="41" t="s">
        <v>876</v>
      </c>
      <c r="E53" s="42"/>
      <c r="F53" s="43"/>
      <c r="G53" s="43"/>
      <c r="H53" s="43"/>
      <c r="I53" s="43"/>
      <c r="J53" s="43"/>
      <c r="K53" s="43"/>
      <c r="L53" s="43"/>
      <c r="M53" s="43"/>
      <c r="N53" s="43"/>
    </row>
    <row r="54" spans="1:14" x14ac:dyDescent="0.35">
      <c r="A54" s="37" t="s">
        <v>791</v>
      </c>
      <c r="B54" s="40" t="s">
        <v>877</v>
      </c>
      <c r="C54" s="40" t="s">
        <v>877</v>
      </c>
      <c r="D54" s="41" t="s">
        <v>878</v>
      </c>
      <c r="E54" s="42"/>
      <c r="F54" s="43"/>
      <c r="G54" s="43"/>
      <c r="H54" s="43"/>
      <c r="I54" s="43"/>
      <c r="J54" s="43"/>
      <c r="K54" s="43"/>
      <c r="L54" s="43"/>
      <c r="M54" s="43"/>
      <c r="N54" s="43"/>
    </row>
    <row r="55" spans="1:14" x14ac:dyDescent="0.35">
      <c r="A55" s="37" t="s">
        <v>791</v>
      </c>
      <c r="B55" s="40" t="s">
        <v>879</v>
      </c>
      <c r="C55" s="40" t="s">
        <v>879</v>
      </c>
      <c r="D55" s="41" t="s">
        <v>880</v>
      </c>
      <c r="E55" s="42"/>
      <c r="F55" s="43"/>
      <c r="G55" s="43"/>
      <c r="H55" s="43"/>
      <c r="I55" s="43"/>
      <c r="J55" s="43"/>
      <c r="K55" s="43"/>
      <c r="L55" s="43"/>
      <c r="M55" s="43"/>
      <c r="N55" s="43"/>
    </row>
    <row r="56" spans="1:14" x14ac:dyDescent="0.35">
      <c r="A56" s="37" t="s">
        <v>791</v>
      </c>
      <c r="B56" s="40" t="s">
        <v>881</v>
      </c>
      <c r="C56" s="40" t="s">
        <v>881</v>
      </c>
      <c r="D56" s="41" t="s">
        <v>882</v>
      </c>
      <c r="E56" s="42"/>
      <c r="F56" s="43"/>
      <c r="G56" s="43"/>
      <c r="H56" s="43"/>
      <c r="I56" s="43"/>
      <c r="J56" s="43"/>
      <c r="K56" s="43"/>
      <c r="L56" s="43"/>
      <c r="M56" s="43"/>
      <c r="N56" s="43"/>
    </row>
    <row r="57" spans="1:14" x14ac:dyDescent="0.35">
      <c r="A57" s="37" t="s">
        <v>791</v>
      </c>
      <c r="B57" s="40" t="s">
        <v>883</v>
      </c>
      <c r="C57" s="40" t="s">
        <v>883</v>
      </c>
      <c r="D57" s="41" t="s">
        <v>884</v>
      </c>
      <c r="E57" s="42"/>
      <c r="F57" s="43"/>
      <c r="G57" s="43"/>
      <c r="H57" s="43"/>
      <c r="I57" s="43"/>
      <c r="J57" s="43"/>
      <c r="K57" s="43"/>
      <c r="L57" s="43"/>
      <c r="M57" s="43"/>
      <c r="N57" s="43"/>
    </row>
    <row r="58" spans="1:14" x14ac:dyDescent="0.35">
      <c r="A58" s="37" t="s">
        <v>791</v>
      </c>
      <c r="B58" s="40" t="s">
        <v>885</v>
      </c>
      <c r="C58" s="40" t="s">
        <v>885</v>
      </c>
      <c r="D58" s="41" t="s">
        <v>886</v>
      </c>
      <c r="E58" s="42"/>
      <c r="F58" s="43"/>
      <c r="G58" s="43"/>
      <c r="H58" s="43"/>
      <c r="I58" s="43"/>
      <c r="J58" s="43"/>
      <c r="K58" s="43"/>
      <c r="L58" s="43"/>
      <c r="M58" s="43"/>
      <c r="N58" s="43"/>
    </row>
    <row r="59" spans="1:14" x14ac:dyDescent="0.35">
      <c r="A59" s="37" t="s">
        <v>791</v>
      </c>
      <c r="B59" s="40" t="s">
        <v>887</v>
      </c>
      <c r="C59" s="40" t="s">
        <v>887</v>
      </c>
      <c r="D59" s="41" t="s">
        <v>888</v>
      </c>
      <c r="E59" s="42"/>
      <c r="F59" s="43"/>
      <c r="G59" s="43"/>
      <c r="H59" s="43"/>
      <c r="I59" s="43"/>
      <c r="J59" s="43"/>
      <c r="K59" s="43"/>
      <c r="L59" s="43"/>
      <c r="M59" s="43"/>
      <c r="N59" s="43"/>
    </row>
    <row r="60" spans="1:14" x14ac:dyDescent="0.35">
      <c r="A60" s="37" t="s">
        <v>791</v>
      </c>
      <c r="B60" s="40" t="s">
        <v>889</v>
      </c>
      <c r="C60" s="40" t="s">
        <v>889</v>
      </c>
      <c r="D60" s="41" t="s">
        <v>890</v>
      </c>
      <c r="E60" s="42"/>
      <c r="F60" s="43"/>
      <c r="G60" s="43"/>
      <c r="H60" s="43"/>
      <c r="I60" s="43"/>
      <c r="J60" s="43"/>
      <c r="K60" s="43"/>
      <c r="L60" s="43"/>
      <c r="M60" s="43"/>
      <c r="N60" s="43"/>
    </row>
    <row r="61" spans="1:14" x14ac:dyDescent="0.35">
      <c r="A61" s="37" t="s">
        <v>791</v>
      </c>
      <c r="B61" s="40" t="s">
        <v>891</v>
      </c>
      <c r="C61" s="40" t="s">
        <v>891</v>
      </c>
      <c r="D61" s="41" t="s">
        <v>892</v>
      </c>
      <c r="E61" s="42"/>
      <c r="F61" s="43"/>
      <c r="G61" s="43"/>
      <c r="H61" s="43"/>
      <c r="I61" s="43"/>
      <c r="J61" s="43"/>
      <c r="K61" s="43"/>
      <c r="L61" s="43"/>
      <c r="M61" s="43"/>
      <c r="N61" s="43"/>
    </row>
    <row r="62" spans="1:14" x14ac:dyDescent="0.35">
      <c r="A62" s="37" t="s">
        <v>791</v>
      </c>
      <c r="B62" s="40" t="s">
        <v>893</v>
      </c>
      <c r="C62" s="40" t="s">
        <v>893</v>
      </c>
      <c r="D62" s="41" t="s">
        <v>894</v>
      </c>
      <c r="E62" s="42"/>
      <c r="F62" s="43"/>
      <c r="G62" s="43"/>
      <c r="H62" s="43"/>
      <c r="I62" s="43"/>
      <c r="J62" s="43"/>
      <c r="K62" s="43"/>
      <c r="L62" s="43"/>
      <c r="M62" s="43"/>
      <c r="N62" s="43"/>
    </row>
    <row r="63" spans="1:14" x14ac:dyDescent="0.35">
      <c r="A63" s="37" t="s">
        <v>791</v>
      </c>
      <c r="B63" s="40" t="s">
        <v>95</v>
      </c>
      <c r="C63" s="40" t="s">
        <v>95</v>
      </c>
      <c r="D63" s="41" t="s">
        <v>895</v>
      </c>
      <c r="E63" s="42"/>
      <c r="F63" s="43"/>
      <c r="G63" s="43"/>
      <c r="H63" s="43"/>
      <c r="I63" s="43"/>
      <c r="J63" s="43"/>
      <c r="K63" s="43"/>
      <c r="L63" s="43"/>
      <c r="M63" s="43"/>
      <c r="N63" s="43"/>
    </row>
    <row r="64" spans="1:14" x14ac:dyDescent="0.35">
      <c r="A64" s="37" t="s">
        <v>791</v>
      </c>
      <c r="B64" s="40" t="s">
        <v>896</v>
      </c>
      <c r="C64" s="40" t="s">
        <v>896</v>
      </c>
      <c r="D64" s="41" t="s">
        <v>897</v>
      </c>
      <c r="E64" s="42"/>
      <c r="F64" s="43"/>
      <c r="G64" s="43"/>
      <c r="H64" s="43"/>
      <c r="I64" s="43"/>
      <c r="J64" s="43"/>
      <c r="K64" s="43"/>
      <c r="L64" s="43"/>
      <c r="M64" s="43"/>
      <c r="N64" s="43"/>
    </row>
    <row r="65" spans="1:14" x14ac:dyDescent="0.35">
      <c r="A65" s="37" t="s">
        <v>791</v>
      </c>
      <c r="B65" s="40" t="s">
        <v>898</v>
      </c>
      <c r="C65" s="40" t="s">
        <v>898</v>
      </c>
      <c r="D65" s="41" t="s">
        <v>899</v>
      </c>
      <c r="E65" s="42"/>
      <c r="F65" s="43"/>
      <c r="G65" s="43"/>
      <c r="H65" s="43"/>
      <c r="I65" s="43"/>
      <c r="J65" s="43"/>
      <c r="K65" s="43"/>
      <c r="L65" s="43"/>
      <c r="M65" s="43"/>
      <c r="N65" s="43"/>
    </row>
    <row r="66" spans="1:14" x14ac:dyDescent="0.35">
      <c r="A66" s="37" t="s">
        <v>791</v>
      </c>
      <c r="B66" s="40" t="s">
        <v>900</v>
      </c>
      <c r="C66" s="40" t="s">
        <v>900</v>
      </c>
      <c r="D66" s="41" t="s">
        <v>901</v>
      </c>
      <c r="E66" s="42"/>
      <c r="F66" s="43"/>
      <c r="G66" s="43"/>
      <c r="H66" s="43"/>
      <c r="I66" s="43"/>
      <c r="J66" s="43"/>
      <c r="K66" s="43"/>
      <c r="L66" s="43"/>
      <c r="M66" s="43"/>
      <c r="N66" s="43"/>
    </row>
    <row r="67" spans="1:14" x14ac:dyDescent="0.35">
      <c r="A67" s="37" t="s">
        <v>791</v>
      </c>
      <c r="B67" s="40" t="s">
        <v>902</v>
      </c>
      <c r="C67" s="40" t="s">
        <v>902</v>
      </c>
      <c r="D67" s="41" t="s">
        <v>903</v>
      </c>
      <c r="E67" s="42"/>
      <c r="F67" s="43"/>
      <c r="G67" s="43"/>
      <c r="H67" s="43"/>
      <c r="I67" s="43"/>
      <c r="J67" s="43"/>
      <c r="K67" s="43"/>
      <c r="L67" s="43"/>
      <c r="M67" s="43"/>
      <c r="N67" s="43"/>
    </row>
    <row r="68" spans="1:14" x14ac:dyDescent="0.35">
      <c r="A68" s="37" t="s">
        <v>791</v>
      </c>
      <c r="B68" s="40" t="s">
        <v>904</v>
      </c>
      <c r="C68" s="40" t="s">
        <v>904</v>
      </c>
      <c r="D68" s="41" t="s">
        <v>905</v>
      </c>
      <c r="E68" s="42"/>
      <c r="F68" s="43"/>
      <c r="G68" s="43"/>
      <c r="H68" s="43"/>
      <c r="I68" s="43"/>
      <c r="J68" s="43"/>
      <c r="K68" s="43"/>
      <c r="L68" s="43"/>
      <c r="M68" s="43"/>
      <c r="N68" s="43"/>
    </row>
    <row r="69" spans="1:14" x14ac:dyDescent="0.35">
      <c r="A69" s="37" t="s">
        <v>791</v>
      </c>
      <c r="B69" s="40" t="s">
        <v>906</v>
      </c>
      <c r="C69" s="40" t="s">
        <v>906</v>
      </c>
      <c r="D69" s="41" t="s">
        <v>907</v>
      </c>
      <c r="E69" s="42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5">
      <c r="A70" s="37" t="s">
        <v>791</v>
      </c>
      <c r="B70" s="40" t="s">
        <v>908</v>
      </c>
      <c r="C70" s="40" t="s">
        <v>908</v>
      </c>
      <c r="D70" s="41" t="s">
        <v>909</v>
      </c>
      <c r="E70" s="42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5">
      <c r="A71" s="37" t="s">
        <v>791</v>
      </c>
      <c r="B71" s="40" t="s">
        <v>910</v>
      </c>
      <c r="C71" s="40" t="s">
        <v>910</v>
      </c>
      <c r="D71" s="41" t="s">
        <v>911</v>
      </c>
      <c r="E71" s="42"/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5">
      <c r="A72" s="37" t="s">
        <v>791</v>
      </c>
      <c r="B72" s="40" t="s">
        <v>912</v>
      </c>
      <c r="C72" s="40" t="s">
        <v>912</v>
      </c>
      <c r="D72" s="41" t="s">
        <v>913</v>
      </c>
      <c r="E72" s="42"/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5">
      <c r="A73" s="37" t="s">
        <v>791</v>
      </c>
      <c r="B73" s="40" t="s">
        <v>97</v>
      </c>
      <c r="C73" s="40" t="s">
        <v>97</v>
      </c>
      <c r="D73" s="41" t="s">
        <v>914</v>
      </c>
      <c r="E73" s="42"/>
      <c r="F73" s="43"/>
      <c r="G73" s="43"/>
      <c r="H73" s="43"/>
      <c r="I73" s="43"/>
      <c r="J73" s="43"/>
      <c r="K73" s="43"/>
      <c r="L73" s="43"/>
      <c r="M73" s="43"/>
      <c r="N73" s="43"/>
    </row>
    <row r="74" spans="1:14" x14ac:dyDescent="0.35">
      <c r="A74" s="37" t="s">
        <v>791</v>
      </c>
      <c r="B74" s="40" t="s">
        <v>915</v>
      </c>
      <c r="C74" s="40" t="s">
        <v>915</v>
      </c>
      <c r="D74" s="41" t="s">
        <v>916</v>
      </c>
      <c r="E74" s="42"/>
      <c r="F74" s="43"/>
      <c r="G74" s="43"/>
      <c r="H74" s="43"/>
      <c r="I74" s="43"/>
      <c r="J74" s="43"/>
      <c r="K74" s="43"/>
      <c r="L74" s="43"/>
      <c r="M74" s="43"/>
      <c r="N74" s="43"/>
    </row>
    <row r="75" spans="1:14" x14ac:dyDescent="0.35">
      <c r="A75" s="37" t="s">
        <v>791</v>
      </c>
      <c r="B75" s="40" t="s">
        <v>917</v>
      </c>
      <c r="C75" s="40" t="s">
        <v>917</v>
      </c>
      <c r="D75" s="41" t="s">
        <v>918</v>
      </c>
      <c r="E75" s="42"/>
      <c r="F75" s="43"/>
      <c r="G75" s="43"/>
      <c r="H75" s="43"/>
      <c r="I75" s="43"/>
      <c r="J75" s="43"/>
      <c r="K75" s="43"/>
      <c r="L75" s="43"/>
      <c r="M75" s="43"/>
      <c r="N75" s="43"/>
    </row>
    <row r="76" spans="1:14" x14ac:dyDescent="0.35">
      <c r="A76" s="37" t="s">
        <v>791</v>
      </c>
      <c r="B76" s="40" t="s">
        <v>919</v>
      </c>
      <c r="C76" s="40" t="s">
        <v>919</v>
      </c>
      <c r="D76" s="41" t="s">
        <v>920</v>
      </c>
      <c r="E76" s="42"/>
      <c r="F76" s="43"/>
      <c r="G76" s="43"/>
      <c r="H76" s="43"/>
      <c r="I76" s="43"/>
      <c r="J76" s="43"/>
      <c r="K76" s="43"/>
      <c r="L76" s="43"/>
      <c r="M76" s="43"/>
      <c r="N76" s="43"/>
    </row>
    <row r="77" spans="1:14" x14ac:dyDescent="0.35">
      <c r="A77" s="37" t="s">
        <v>791</v>
      </c>
      <c r="B77" s="40" t="s">
        <v>921</v>
      </c>
      <c r="C77" s="40" t="s">
        <v>921</v>
      </c>
      <c r="D77" s="41" t="s">
        <v>922</v>
      </c>
      <c r="E77" s="42"/>
      <c r="F77" s="43"/>
      <c r="G77" s="43"/>
      <c r="H77" s="43"/>
      <c r="I77" s="43"/>
      <c r="J77" s="43"/>
      <c r="K77" s="43"/>
      <c r="L77" s="43"/>
      <c r="M77" s="43"/>
      <c r="N77" s="43"/>
    </row>
    <row r="78" spans="1:14" x14ac:dyDescent="0.35">
      <c r="A78" s="37" t="s">
        <v>791</v>
      </c>
      <c r="B78" s="40" t="s">
        <v>923</v>
      </c>
      <c r="C78" s="40" t="s">
        <v>923</v>
      </c>
      <c r="D78" s="41" t="s">
        <v>924</v>
      </c>
      <c r="E78" s="42"/>
      <c r="F78" s="43"/>
      <c r="G78" s="43"/>
      <c r="H78" s="43"/>
      <c r="I78" s="43"/>
      <c r="J78" s="43"/>
      <c r="K78" s="43"/>
      <c r="L78" s="43"/>
      <c r="M78" s="43"/>
      <c r="N78" s="43"/>
    </row>
    <row r="79" spans="1:14" x14ac:dyDescent="0.35">
      <c r="A79" s="37" t="s">
        <v>791</v>
      </c>
      <c r="B79" s="40" t="s">
        <v>925</v>
      </c>
      <c r="C79" s="40" t="s">
        <v>925</v>
      </c>
      <c r="D79" s="41" t="s">
        <v>926</v>
      </c>
      <c r="E79" s="42"/>
      <c r="F79" s="43"/>
      <c r="G79" s="43"/>
      <c r="H79" s="43"/>
      <c r="I79" s="43"/>
      <c r="J79" s="43"/>
      <c r="K79" s="43"/>
      <c r="L79" s="43"/>
      <c r="M79" s="43"/>
      <c r="N79" s="43"/>
    </row>
    <row r="80" spans="1:14" x14ac:dyDescent="0.35">
      <c r="A80" s="37" t="s">
        <v>791</v>
      </c>
      <c r="B80" s="40" t="s">
        <v>927</v>
      </c>
      <c r="C80" s="40" t="s">
        <v>927</v>
      </c>
      <c r="D80" s="41" t="s">
        <v>928</v>
      </c>
      <c r="E80" s="42"/>
      <c r="F80" s="43"/>
      <c r="G80" s="43"/>
      <c r="H80" s="43"/>
      <c r="I80" s="43"/>
      <c r="J80" s="43"/>
      <c r="K80" s="43"/>
      <c r="L80" s="43"/>
      <c r="M80" s="43"/>
      <c r="N80" s="43"/>
    </row>
    <row r="81" spans="1:14" x14ac:dyDescent="0.35">
      <c r="A81" s="37" t="s">
        <v>791</v>
      </c>
      <c r="B81" s="40" t="s">
        <v>929</v>
      </c>
      <c r="C81" s="40" t="s">
        <v>929</v>
      </c>
      <c r="D81" s="41" t="s">
        <v>930</v>
      </c>
      <c r="E81" s="42"/>
      <c r="F81" s="43"/>
      <c r="G81" s="43"/>
      <c r="H81" s="43"/>
      <c r="I81" s="43"/>
      <c r="J81" s="43"/>
      <c r="K81" s="43"/>
      <c r="L81" s="43"/>
      <c r="M81" s="43"/>
      <c r="N81" s="43"/>
    </row>
    <row r="82" spans="1:14" x14ac:dyDescent="0.35">
      <c r="A82" s="37" t="s">
        <v>791</v>
      </c>
      <c r="B82" s="40" t="s">
        <v>931</v>
      </c>
      <c r="C82" s="40" t="s">
        <v>931</v>
      </c>
      <c r="D82" s="41" t="s">
        <v>932</v>
      </c>
      <c r="E82" s="42"/>
      <c r="F82" s="43"/>
      <c r="G82" s="43"/>
      <c r="H82" s="43"/>
      <c r="I82" s="43"/>
      <c r="J82" s="43"/>
      <c r="K82" s="43"/>
      <c r="L82" s="43"/>
      <c r="M82" s="43"/>
      <c r="N82" s="43"/>
    </row>
    <row r="83" spans="1:14" x14ac:dyDescent="0.35">
      <c r="A83" s="37" t="s">
        <v>791</v>
      </c>
      <c r="B83" s="40" t="s">
        <v>933</v>
      </c>
      <c r="C83" s="40" t="s">
        <v>933</v>
      </c>
      <c r="D83" s="41" t="s">
        <v>934</v>
      </c>
      <c r="E83" s="42"/>
      <c r="F83" s="43"/>
      <c r="G83" s="43"/>
      <c r="H83" s="43"/>
      <c r="I83" s="43"/>
      <c r="J83" s="43"/>
      <c r="K83" s="43"/>
      <c r="L83" s="43"/>
      <c r="M83" s="43"/>
      <c r="N83" s="43"/>
    </row>
    <row r="84" spans="1:14" x14ac:dyDescent="0.35">
      <c r="A84" s="37" t="s">
        <v>791</v>
      </c>
      <c r="B84" s="40" t="s">
        <v>935</v>
      </c>
      <c r="C84" s="40" t="s">
        <v>935</v>
      </c>
      <c r="D84" s="41" t="s">
        <v>936</v>
      </c>
      <c r="E84" s="42"/>
      <c r="F84" s="43"/>
      <c r="G84" s="43"/>
      <c r="H84" s="43"/>
      <c r="I84" s="43"/>
      <c r="J84" s="43"/>
      <c r="K84" s="43"/>
      <c r="L84" s="43"/>
      <c r="M84" s="43"/>
      <c r="N84" s="43"/>
    </row>
    <row r="85" spans="1:14" x14ac:dyDescent="0.35">
      <c r="A85" s="37" t="s">
        <v>791</v>
      </c>
      <c r="B85" s="40" t="s">
        <v>937</v>
      </c>
      <c r="C85" s="40" t="s">
        <v>937</v>
      </c>
      <c r="D85" s="41" t="s">
        <v>938</v>
      </c>
      <c r="E85" s="42"/>
      <c r="F85" s="43"/>
      <c r="G85" s="43"/>
      <c r="H85" s="43"/>
      <c r="I85" s="43"/>
      <c r="J85" s="43"/>
      <c r="K85" s="43"/>
      <c r="L85" s="43"/>
      <c r="M85" s="43"/>
      <c r="N85" s="43"/>
    </row>
    <row r="86" spans="1:14" x14ac:dyDescent="0.35">
      <c r="A86" s="37" t="s">
        <v>791</v>
      </c>
      <c r="B86" s="40" t="s">
        <v>939</v>
      </c>
      <c r="C86" s="40" t="s">
        <v>939</v>
      </c>
      <c r="D86" s="41" t="s">
        <v>940</v>
      </c>
      <c r="E86" s="42"/>
      <c r="F86" s="43"/>
      <c r="G86" s="43"/>
      <c r="H86" s="43"/>
      <c r="I86" s="43"/>
      <c r="J86" s="43"/>
      <c r="K86" s="43"/>
      <c r="L86" s="43"/>
      <c r="M86" s="43"/>
      <c r="N86" s="43"/>
    </row>
    <row r="87" spans="1:14" x14ac:dyDescent="0.35">
      <c r="A87" s="37" t="s">
        <v>791</v>
      </c>
      <c r="B87" s="40" t="s">
        <v>941</v>
      </c>
      <c r="C87" s="40" t="s">
        <v>941</v>
      </c>
      <c r="D87" s="41" t="s">
        <v>942</v>
      </c>
      <c r="E87" s="42"/>
      <c r="F87" s="43"/>
      <c r="G87" s="43"/>
      <c r="H87" s="43"/>
      <c r="I87" s="43"/>
      <c r="J87" s="43"/>
      <c r="K87" s="43"/>
      <c r="L87" s="43"/>
      <c r="M87" s="43"/>
      <c r="N87" s="43"/>
    </row>
    <row r="88" spans="1:14" x14ac:dyDescent="0.35">
      <c r="A88" s="37" t="s">
        <v>791</v>
      </c>
      <c r="B88" s="40" t="s">
        <v>943</v>
      </c>
      <c r="C88" s="40" t="s">
        <v>943</v>
      </c>
      <c r="D88" s="41" t="s">
        <v>944</v>
      </c>
      <c r="E88" s="42"/>
      <c r="F88" s="43"/>
      <c r="G88" s="43"/>
      <c r="H88" s="43"/>
      <c r="I88" s="43"/>
      <c r="J88" s="43"/>
      <c r="K88" s="43"/>
      <c r="L88" s="43"/>
      <c r="M88" s="43"/>
      <c r="N88" s="43"/>
    </row>
    <row r="89" spans="1:14" x14ac:dyDescent="0.35">
      <c r="A89" s="37" t="s">
        <v>791</v>
      </c>
      <c r="B89" s="40" t="s">
        <v>945</v>
      </c>
      <c r="C89" s="40" t="s">
        <v>945</v>
      </c>
      <c r="D89" s="41" t="s">
        <v>946</v>
      </c>
      <c r="E89" s="42"/>
      <c r="F89" s="43"/>
      <c r="G89" s="43"/>
      <c r="H89" s="43"/>
      <c r="I89" s="43"/>
      <c r="J89" s="43"/>
      <c r="K89" s="43"/>
      <c r="L89" s="43"/>
      <c r="M89" s="43"/>
      <c r="N89" s="43"/>
    </row>
    <row r="90" spans="1:14" x14ac:dyDescent="0.35">
      <c r="A90" s="37" t="s">
        <v>791</v>
      </c>
      <c r="B90" s="40" t="s">
        <v>947</v>
      </c>
      <c r="C90" s="40" t="s">
        <v>948</v>
      </c>
      <c r="D90" s="41" t="s">
        <v>949</v>
      </c>
      <c r="E90" s="42"/>
      <c r="F90" s="43"/>
      <c r="G90" s="43"/>
      <c r="H90" s="43"/>
      <c r="I90" s="43"/>
      <c r="J90" s="43"/>
      <c r="K90" s="43"/>
      <c r="L90" s="43"/>
      <c r="M90" s="43"/>
      <c r="N90" s="43"/>
    </row>
    <row r="91" spans="1:14" x14ac:dyDescent="0.35">
      <c r="A91" s="37" t="s">
        <v>791</v>
      </c>
      <c r="B91" s="40" t="s">
        <v>947</v>
      </c>
      <c r="C91" s="40" t="s">
        <v>947</v>
      </c>
      <c r="D91" s="41" t="s">
        <v>950</v>
      </c>
      <c r="E91" s="42"/>
      <c r="F91" s="43"/>
      <c r="G91" s="43"/>
      <c r="H91" s="43"/>
      <c r="I91" s="43"/>
      <c r="J91" s="43"/>
      <c r="K91" s="43"/>
      <c r="L91" s="43"/>
      <c r="M91" s="43"/>
      <c r="N91" s="43"/>
    </row>
    <row r="92" spans="1:14" x14ac:dyDescent="0.35">
      <c r="A92" s="37" t="s">
        <v>791</v>
      </c>
      <c r="B92" s="40" t="s">
        <v>951</v>
      </c>
      <c r="C92" s="40" t="s">
        <v>951</v>
      </c>
      <c r="D92" s="41" t="s">
        <v>952</v>
      </c>
      <c r="E92" s="42"/>
      <c r="F92" s="43"/>
      <c r="G92" s="43"/>
      <c r="H92" s="43"/>
      <c r="I92" s="43"/>
      <c r="J92" s="43"/>
      <c r="K92" s="43"/>
      <c r="L92" s="43"/>
      <c r="M92" s="43"/>
      <c r="N92" s="43"/>
    </row>
    <row r="93" spans="1:14" x14ac:dyDescent="0.35">
      <c r="A93" s="37" t="s">
        <v>791</v>
      </c>
      <c r="B93" s="40" t="s">
        <v>953</v>
      </c>
      <c r="C93" s="40" t="s">
        <v>953</v>
      </c>
      <c r="D93" s="41" t="s">
        <v>954</v>
      </c>
      <c r="E93" s="42"/>
      <c r="F93" s="43"/>
      <c r="G93" s="43"/>
      <c r="H93" s="43"/>
      <c r="I93" s="43"/>
      <c r="J93" s="43"/>
      <c r="K93" s="43"/>
      <c r="L93" s="43"/>
      <c r="M93" s="43"/>
      <c r="N93" s="43"/>
    </row>
    <row r="94" spans="1:14" x14ac:dyDescent="0.35">
      <c r="A94" s="37" t="s">
        <v>791</v>
      </c>
      <c r="B94" s="40" t="s">
        <v>955</v>
      </c>
      <c r="C94" s="40" t="s">
        <v>955</v>
      </c>
      <c r="D94" s="41" t="s">
        <v>956</v>
      </c>
      <c r="E94" s="42"/>
      <c r="F94" s="43"/>
      <c r="G94" s="43"/>
      <c r="H94" s="43"/>
      <c r="I94" s="43"/>
      <c r="J94" s="43"/>
      <c r="K94" s="43"/>
      <c r="L94" s="43"/>
      <c r="M94" s="43"/>
      <c r="N94" s="43"/>
    </row>
    <row r="95" spans="1:14" x14ac:dyDescent="0.35">
      <c r="A95" s="37" t="s">
        <v>791</v>
      </c>
      <c r="B95" s="40" t="s">
        <v>957</v>
      </c>
      <c r="C95" s="40" t="s">
        <v>957</v>
      </c>
      <c r="D95" s="41" t="s">
        <v>958</v>
      </c>
      <c r="E95" s="42"/>
      <c r="F95" s="43"/>
      <c r="G95" s="43"/>
      <c r="H95" s="43"/>
      <c r="I95" s="43"/>
      <c r="J95" s="43"/>
      <c r="K95" s="43"/>
      <c r="L95" s="43"/>
      <c r="M95" s="43"/>
      <c r="N95" s="43"/>
    </row>
    <row r="96" spans="1:14" x14ac:dyDescent="0.35">
      <c r="A96" s="37" t="s">
        <v>791</v>
      </c>
      <c r="B96" s="40" t="s">
        <v>959</v>
      </c>
      <c r="C96" s="40" t="s">
        <v>959</v>
      </c>
      <c r="D96" s="41" t="s">
        <v>960</v>
      </c>
      <c r="E96" s="42"/>
      <c r="F96" s="43"/>
      <c r="G96" s="43"/>
      <c r="H96" s="43"/>
      <c r="I96" s="43"/>
      <c r="J96" s="43"/>
      <c r="K96" s="43"/>
      <c r="L96" s="43"/>
      <c r="M96" s="43"/>
      <c r="N96" s="43"/>
    </row>
    <row r="97" spans="1:14" x14ac:dyDescent="0.35">
      <c r="A97" s="37" t="s">
        <v>791</v>
      </c>
      <c r="B97" s="40" t="s">
        <v>961</v>
      </c>
      <c r="C97" s="40" t="s">
        <v>961</v>
      </c>
      <c r="D97" s="41" t="s">
        <v>962</v>
      </c>
      <c r="E97" s="42"/>
      <c r="F97" s="43"/>
      <c r="G97" s="43"/>
      <c r="H97" s="43"/>
      <c r="I97" s="43"/>
      <c r="J97" s="43"/>
      <c r="K97" s="43"/>
      <c r="L97" s="43"/>
      <c r="M97" s="43"/>
      <c r="N97" s="43"/>
    </row>
    <row r="98" spans="1:14" x14ac:dyDescent="0.35">
      <c r="A98" s="37" t="s">
        <v>791</v>
      </c>
      <c r="B98" s="40" t="s">
        <v>963</v>
      </c>
      <c r="C98" s="40" t="s">
        <v>963</v>
      </c>
      <c r="D98" s="41" t="s">
        <v>964</v>
      </c>
      <c r="E98" s="42"/>
      <c r="F98" s="43"/>
      <c r="G98" s="43"/>
      <c r="H98" s="43"/>
      <c r="I98" s="43"/>
      <c r="J98" s="43"/>
      <c r="K98" s="43"/>
      <c r="L98" s="43"/>
      <c r="M98" s="43"/>
      <c r="N98" s="43"/>
    </row>
    <row r="99" spans="1:14" x14ac:dyDescent="0.35">
      <c r="A99" s="37" t="s">
        <v>791</v>
      </c>
      <c r="B99" s="40" t="s">
        <v>965</v>
      </c>
      <c r="C99" s="40" t="s">
        <v>965</v>
      </c>
      <c r="D99" s="41" t="s">
        <v>966</v>
      </c>
      <c r="E99" s="42"/>
      <c r="F99" s="43"/>
      <c r="G99" s="43"/>
      <c r="H99" s="43"/>
      <c r="I99" s="43"/>
      <c r="J99" s="43"/>
      <c r="K99" s="43"/>
      <c r="L99" s="43"/>
      <c r="M99" s="43"/>
      <c r="N99" s="43"/>
    </row>
    <row r="100" spans="1:14" x14ac:dyDescent="0.35">
      <c r="A100" s="37" t="s">
        <v>791</v>
      </c>
      <c r="B100" s="40" t="s">
        <v>967</v>
      </c>
      <c r="C100" s="40" t="s">
        <v>967</v>
      </c>
      <c r="D100" s="41" t="s">
        <v>968</v>
      </c>
      <c r="E100" s="42"/>
      <c r="F100" s="43"/>
      <c r="G100" s="43"/>
      <c r="H100" s="43"/>
      <c r="I100" s="43"/>
      <c r="J100" s="43"/>
      <c r="K100" s="43"/>
      <c r="L100" s="43"/>
      <c r="M100" s="43"/>
      <c r="N100" s="43"/>
    </row>
    <row r="101" spans="1:14" x14ac:dyDescent="0.35">
      <c r="A101" s="37" t="s">
        <v>791</v>
      </c>
      <c r="B101" s="40" t="s">
        <v>969</v>
      </c>
      <c r="C101" s="40" t="s">
        <v>969</v>
      </c>
      <c r="D101" s="41" t="s">
        <v>970</v>
      </c>
      <c r="E101" s="42"/>
      <c r="F101" s="43"/>
      <c r="G101" s="43"/>
      <c r="H101" s="43"/>
      <c r="I101" s="43"/>
      <c r="J101" s="43"/>
      <c r="K101" s="43"/>
      <c r="L101" s="43"/>
      <c r="M101" s="43"/>
      <c r="N101" s="43"/>
    </row>
    <row r="102" spans="1:14" x14ac:dyDescent="0.35">
      <c r="A102" s="37" t="s">
        <v>791</v>
      </c>
      <c r="B102" s="40" t="s">
        <v>971</v>
      </c>
      <c r="C102" s="40" t="s">
        <v>971</v>
      </c>
      <c r="D102" s="41" t="s">
        <v>972</v>
      </c>
      <c r="E102" s="42"/>
      <c r="F102" s="43"/>
      <c r="G102" s="43"/>
      <c r="H102" s="43"/>
      <c r="I102" s="43"/>
      <c r="J102" s="43"/>
      <c r="K102" s="43"/>
      <c r="L102" s="43"/>
      <c r="M102" s="43"/>
      <c r="N102" s="43"/>
    </row>
    <row r="103" spans="1:14" x14ac:dyDescent="0.35">
      <c r="A103" s="37" t="s">
        <v>791</v>
      </c>
      <c r="B103" s="40" t="s">
        <v>973</v>
      </c>
      <c r="C103" s="40" t="s">
        <v>973</v>
      </c>
      <c r="D103" s="41" t="s">
        <v>974</v>
      </c>
      <c r="E103" s="42"/>
      <c r="F103" s="43"/>
      <c r="G103" s="43"/>
      <c r="H103" s="43"/>
      <c r="I103" s="43"/>
      <c r="J103" s="43"/>
      <c r="K103" s="43"/>
      <c r="L103" s="43"/>
      <c r="M103" s="43"/>
      <c r="N103" s="43"/>
    </row>
    <row r="104" spans="1:14" x14ac:dyDescent="0.35">
      <c r="A104" s="37" t="s">
        <v>791</v>
      </c>
      <c r="B104" s="40" t="s">
        <v>975</v>
      </c>
      <c r="C104" s="40" t="s">
        <v>975</v>
      </c>
      <c r="D104" s="41" t="s">
        <v>976</v>
      </c>
      <c r="E104" s="42"/>
      <c r="F104" s="43"/>
      <c r="G104" s="43"/>
      <c r="H104" s="43"/>
      <c r="I104" s="43"/>
      <c r="J104" s="43"/>
      <c r="K104" s="43"/>
      <c r="L104" s="43"/>
      <c r="M104" s="43"/>
      <c r="N104" s="43"/>
    </row>
    <row r="105" spans="1:14" x14ac:dyDescent="0.35">
      <c r="A105" s="37" t="s">
        <v>791</v>
      </c>
      <c r="B105" s="40" t="s">
        <v>977</v>
      </c>
      <c r="C105" s="40" t="s">
        <v>977</v>
      </c>
      <c r="D105" s="41" t="s">
        <v>978</v>
      </c>
      <c r="E105" s="42"/>
      <c r="F105" s="43"/>
      <c r="G105" s="43"/>
      <c r="H105" s="43"/>
      <c r="I105" s="43"/>
      <c r="J105" s="43"/>
      <c r="K105" s="43"/>
      <c r="L105" s="43"/>
      <c r="M105" s="43"/>
      <c r="N105" s="43"/>
    </row>
    <row r="106" spans="1:14" ht="15" thickBot="1" x14ac:dyDescent="0.4">
      <c r="A106" s="46" t="s">
        <v>791</v>
      </c>
      <c r="B106" s="47" t="s">
        <v>979</v>
      </c>
      <c r="C106" s="47" t="s">
        <v>979</v>
      </c>
      <c r="D106" s="48" t="s">
        <v>980</v>
      </c>
      <c r="E106" s="42"/>
      <c r="F106" s="43"/>
      <c r="G106" s="43"/>
      <c r="H106" s="43"/>
      <c r="I106" s="43"/>
      <c r="J106" s="43"/>
      <c r="K106" s="43"/>
      <c r="L106" s="43"/>
      <c r="M106" s="43"/>
      <c r="N106" s="43"/>
    </row>
    <row r="107" spans="1:14" x14ac:dyDescent="0.35">
      <c r="A107" s="49" t="s">
        <v>981</v>
      </c>
      <c r="B107" s="50" t="s">
        <v>982</v>
      </c>
      <c r="C107" s="51" t="s">
        <v>983</v>
      </c>
      <c r="D107" s="52" t="s">
        <v>984</v>
      </c>
      <c r="E107" s="53">
        <v>43830</v>
      </c>
      <c r="F107" s="54">
        <v>43100</v>
      </c>
      <c r="G107" s="55">
        <v>1</v>
      </c>
      <c r="H107" s="55">
        <v>2</v>
      </c>
      <c r="I107" s="55">
        <v>3</v>
      </c>
      <c r="J107" s="55">
        <v>4</v>
      </c>
      <c r="K107" s="55">
        <v>5</v>
      </c>
      <c r="L107" s="55">
        <v>6</v>
      </c>
      <c r="M107" s="55">
        <v>7</v>
      </c>
      <c r="N107" s="55">
        <v>8</v>
      </c>
    </row>
    <row r="108" spans="1:14" x14ac:dyDescent="0.35">
      <c r="A108" s="37" t="s">
        <v>985</v>
      </c>
      <c r="B108" s="56" t="s">
        <v>986</v>
      </c>
      <c r="C108" s="56" t="s">
        <v>987</v>
      </c>
      <c r="D108" s="56" t="s">
        <v>988</v>
      </c>
      <c r="E108" s="57">
        <v>699</v>
      </c>
      <c r="F108" s="58">
        <v>3799</v>
      </c>
      <c r="G108" s="43"/>
      <c r="H108" s="43"/>
      <c r="I108" s="43"/>
      <c r="J108" s="43"/>
      <c r="K108" s="43"/>
      <c r="L108" s="43"/>
      <c r="M108" s="43"/>
      <c r="N108" s="43"/>
    </row>
    <row r="109" spans="1:14" x14ac:dyDescent="0.35">
      <c r="A109" s="37" t="s">
        <v>985</v>
      </c>
      <c r="B109" s="56" t="s">
        <v>989</v>
      </c>
      <c r="C109" s="56" t="s">
        <v>990</v>
      </c>
      <c r="D109" s="56" t="s">
        <v>991</v>
      </c>
      <c r="E109" s="57">
        <v>18</v>
      </c>
      <c r="F109" s="58">
        <v>418</v>
      </c>
      <c r="G109" s="43"/>
      <c r="H109" s="43"/>
      <c r="I109" s="43"/>
      <c r="J109" s="43"/>
      <c r="K109" s="43"/>
      <c r="L109" s="43"/>
      <c r="M109" s="43"/>
      <c r="N109" s="43"/>
    </row>
    <row r="110" spans="1:14" x14ac:dyDescent="0.35">
      <c r="A110" s="37" t="s">
        <v>985</v>
      </c>
      <c r="B110" s="56" t="s">
        <v>992</v>
      </c>
      <c r="C110" s="56" t="s">
        <v>993</v>
      </c>
      <c r="D110" s="56" t="s">
        <v>994</v>
      </c>
      <c r="E110" s="57">
        <v>3</v>
      </c>
      <c r="F110" s="58">
        <v>103</v>
      </c>
      <c r="G110" s="43"/>
      <c r="H110" s="43"/>
      <c r="I110" s="43"/>
      <c r="J110" s="43"/>
      <c r="K110" s="43"/>
      <c r="L110" s="43"/>
      <c r="M110" s="43"/>
      <c r="N110" s="43"/>
    </row>
    <row r="111" spans="1:14" x14ac:dyDescent="0.35">
      <c r="A111" s="37" t="s">
        <v>985</v>
      </c>
      <c r="B111" s="56" t="s">
        <v>995</v>
      </c>
      <c r="C111" s="56" t="s">
        <v>996</v>
      </c>
      <c r="D111" s="56" t="s">
        <v>997</v>
      </c>
      <c r="E111" s="57">
        <v>4</v>
      </c>
      <c r="F111" s="58">
        <v>104</v>
      </c>
      <c r="G111" s="43"/>
      <c r="H111" s="43"/>
      <c r="I111" s="43"/>
      <c r="J111" s="43"/>
      <c r="K111" s="43"/>
      <c r="L111" s="43"/>
      <c r="M111" s="43"/>
      <c r="N111" s="43"/>
    </row>
    <row r="112" spans="1:14" x14ac:dyDescent="0.35">
      <c r="A112" s="37" t="s">
        <v>985</v>
      </c>
      <c r="B112" s="56" t="s">
        <v>998</v>
      </c>
      <c r="C112" s="56" t="s">
        <v>999</v>
      </c>
      <c r="D112" s="56" t="s">
        <v>1000</v>
      </c>
      <c r="E112" s="57">
        <v>5</v>
      </c>
      <c r="F112" s="58">
        <v>105</v>
      </c>
      <c r="G112" s="43"/>
      <c r="H112" s="43"/>
      <c r="I112" s="43"/>
      <c r="J112" s="43"/>
      <c r="K112" s="43"/>
      <c r="L112" s="43"/>
      <c r="M112" s="43"/>
      <c r="N112" s="43"/>
    </row>
    <row r="113" spans="1:14" x14ac:dyDescent="0.35">
      <c r="A113" s="37" t="s">
        <v>985</v>
      </c>
      <c r="B113" s="56" t="s">
        <v>1001</v>
      </c>
      <c r="C113" s="56" t="s">
        <v>1002</v>
      </c>
      <c r="D113" s="56" t="s">
        <v>1003</v>
      </c>
      <c r="E113" s="57">
        <v>6</v>
      </c>
      <c r="F113" s="58">
        <v>106</v>
      </c>
      <c r="G113" s="43"/>
      <c r="H113" s="43"/>
      <c r="I113" s="43"/>
      <c r="J113" s="43"/>
      <c r="K113" s="43"/>
      <c r="L113" s="43"/>
      <c r="M113" s="43"/>
      <c r="N113" s="43"/>
    </row>
    <row r="114" spans="1:14" x14ac:dyDescent="0.35">
      <c r="A114" s="37" t="s">
        <v>985</v>
      </c>
      <c r="B114" s="56" t="s">
        <v>1004</v>
      </c>
      <c r="C114" s="56" t="s">
        <v>1005</v>
      </c>
      <c r="D114" s="56" t="s">
        <v>1006</v>
      </c>
      <c r="E114" s="57">
        <v>84</v>
      </c>
      <c r="F114" s="58">
        <v>784</v>
      </c>
      <c r="G114" s="43"/>
      <c r="H114" s="43"/>
      <c r="I114" s="43"/>
      <c r="J114" s="43"/>
      <c r="K114" s="43"/>
      <c r="L114" s="43"/>
      <c r="M114" s="43"/>
      <c r="N114" s="43"/>
    </row>
    <row r="115" spans="1:14" ht="15.75" customHeight="1" x14ac:dyDescent="0.35">
      <c r="A115" s="37" t="s">
        <v>985</v>
      </c>
      <c r="B115" s="56" t="s">
        <v>1007</v>
      </c>
      <c r="C115" s="56" t="s">
        <v>1008</v>
      </c>
      <c r="D115" s="56" t="s">
        <v>1009</v>
      </c>
      <c r="E115" s="57">
        <v>55</v>
      </c>
      <c r="F115" s="58">
        <v>555</v>
      </c>
      <c r="G115" s="43"/>
      <c r="H115" s="43"/>
      <c r="I115" s="43"/>
      <c r="J115" s="43"/>
      <c r="K115" s="43"/>
      <c r="L115" s="43"/>
      <c r="M115" s="43"/>
      <c r="N115" s="43"/>
    </row>
    <row r="116" spans="1:14" x14ac:dyDescent="0.35">
      <c r="A116" s="37" t="s">
        <v>985</v>
      </c>
      <c r="B116" s="56" t="s">
        <v>1010</v>
      </c>
      <c r="C116" s="56" t="s">
        <v>1011</v>
      </c>
      <c r="D116" s="56" t="s">
        <v>1012</v>
      </c>
      <c r="E116" s="57">
        <v>9</v>
      </c>
      <c r="F116" s="58">
        <v>109</v>
      </c>
      <c r="G116" s="43"/>
      <c r="H116" s="43"/>
      <c r="I116" s="43"/>
      <c r="J116" s="43"/>
      <c r="K116" s="43"/>
      <c r="L116" s="43"/>
      <c r="M116" s="43"/>
      <c r="N116" s="43"/>
    </row>
    <row r="117" spans="1:14" x14ac:dyDescent="0.35">
      <c r="A117" s="37" t="s">
        <v>985</v>
      </c>
      <c r="B117" s="56" t="s">
        <v>1013</v>
      </c>
      <c r="C117" s="56" t="s">
        <v>1014</v>
      </c>
      <c r="D117" s="56" t="s">
        <v>1015</v>
      </c>
      <c r="E117" s="57">
        <v>10</v>
      </c>
      <c r="F117" s="58">
        <v>110</v>
      </c>
      <c r="G117" s="43"/>
      <c r="H117" s="43"/>
      <c r="I117" s="43"/>
      <c r="J117" s="43"/>
      <c r="K117" s="43"/>
      <c r="L117" s="43"/>
      <c r="M117" s="43"/>
      <c r="N117" s="43"/>
    </row>
    <row r="118" spans="1:14" x14ac:dyDescent="0.35">
      <c r="A118" s="37" t="s">
        <v>985</v>
      </c>
      <c r="B118" s="56" t="s">
        <v>1016</v>
      </c>
      <c r="C118" s="56" t="s">
        <v>1017</v>
      </c>
      <c r="D118" s="56" t="s">
        <v>1018</v>
      </c>
      <c r="E118" s="57">
        <v>11</v>
      </c>
      <c r="F118" s="58">
        <v>111</v>
      </c>
      <c r="G118" s="43"/>
      <c r="H118" s="43"/>
      <c r="I118" s="43"/>
      <c r="J118" s="43"/>
      <c r="K118" s="43"/>
      <c r="L118" s="43"/>
      <c r="M118" s="43"/>
      <c r="N118" s="43"/>
    </row>
    <row r="119" spans="1:14" x14ac:dyDescent="0.35">
      <c r="A119" s="37" t="s">
        <v>985</v>
      </c>
      <c r="B119" s="56" t="s">
        <v>1019</v>
      </c>
      <c r="C119" s="56" t="s">
        <v>1020</v>
      </c>
      <c r="D119" s="56" t="s">
        <v>1021</v>
      </c>
      <c r="E119" s="57">
        <v>12</v>
      </c>
      <c r="F119" s="58">
        <v>112</v>
      </c>
      <c r="G119" s="43"/>
      <c r="H119" s="43"/>
      <c r="I119" s="43"/>
      <c r="J119" s="43"/>
      <c r="K119" s="43"/>
      <c r="L119" s="43"/>
      <c r="M119" s="43"/>
      <c r="N119" s="43"/>
    </row>
    <row r="120" spans="1:14" x14ac:dyDescent="0.35">
      <c r="A120" s="37" t="s">
        <v>985</v>
      </c>
      <c r="B120" s="56" t="s">
        <v>1022</v>
      </c>
      <c r="C120" s="56" t="s">
        <v>1023</v>
      </c>
      <c r="D120" s="56" t="s">
        <v>1024</v>
      </c>
      <c r="E120" s="57">
        <v>13</v>
      </c>
      <c r="F120" s="58">
        <v>113</v>
      </c>
      <c r="G120" s="43"/>
      <c r="H120" s="43"/>
      <c r="I120" s="43"/>
      <c r="J120" s="43"/>
      <c r="K120" s="43"/>
      <c r="L120" s="43"/>
      <c r="M120" s="43"/>
      <c r="N120" s="43"/>
    </row>
    <row r="121" spans="1:14" x14ac:dyDescent="0.35">
      <c r="A121" s="37" t="s">
        <v>985</v>
      </c>
      <c r="B121" s="56" t="s">
        <v>1025</v>
      </c>
      <c r="C121" s="56" t="s">
        <v>1026</v>
      </c>
      <c r="D121" s="56" t="s">
        <v>1027</v>
      </c>
      <c r="E121" s="57">
        <v>14</v>
      </c>
      <c r="F121" s="58">
        <v>114</v>
      </c>
      <c r="G121" s="43"/>
      <c r="H121" s="43"/>
      <c r="I121" s="43"/>
      <c r="J121" s="43"/>
      <c r="K121" s="43"/>
      <c r="L121" s="43"/>
      <c r="M121" s="43"/>
      <c r="N121" s="43"/>
    </row>
    <row r="122" spans="1:14" ht="15.75" customHeight="1" x14ac:dyDescent="0.35">
      <c r="A122" s="37" t="s">
        <v>985</v>
      </c>
      <c r="B122" s="56" t="s">
        <v>1028</v>
      </c>
      <c r="C122" s="56" t="s">
        <v>1029</v>
      </c>
      <c r="D122" s="56" t="s">
        <v>1030</v>
      </c>
      <c r="E122" s="57">
        <v>15</v>
      </c>
      <c r="F122" s="58">
        <v>115</v>
      </c>
      <c r="G122" s="43"/>
      <c r="H122" s="43"/>
      <c r="I122" s="43"/>
      <c r="J122" s="43"/>
      <c r="K122" s="43"/>
      <c r="L122" s="43"/>
      <c r="M122" s="43"/>
      <c r="N122" s="43"/>
    </row>
    <row r="123" spans="1:14" x14ac:dyDescent="0.35">
      <c r="A123" s="37" t="s">
        <v>985</v>
      </c>
      <c r="B123" s="56" t="s">
        <v>1031</v>
      </c>
      <c r="C123" s="56" t="s">
        <v>1032</v>
      </c>
      <c r="D123" s="56" t="s">
        <v>1033</v>
      </c>
      <c r="E123" s="57">
        <v>54</v>
      </c>
      <c r="F123" s="58">
        <v>354</v>
      </c>
      <c r="G123" s="43"/>
      <c r="H123" s="43"/>
      <c r="I123" s="43"/>
      <c r="J123" s="43"/>
      <c r="K123" s="43"/>
      <c r="L123" s="43"/>
      <c r="M123" s="43"/>
      <c r="N123" s="43"/>
    </row>
    <row r="124" spans="1:14" x14ac:dyDescent="0.35">
      <c r="A124" s="37" t="s">
        <v>985</v>
      </c>
      <c r="B124" s="56" t="s">
        <v>1034</v>
      </c>
      <c r="C124" s="56" t="s">
        <v>1035</v>
      </c>
      <c r="D124" s="56" t="s">
        <v>1036</v>
      </c>
      <c r="E124" s="57">
        <v>17</v>
      </c>
      <c r="F124" s="58">
        <v>117</v>
      </c>
      <c r="G124" s="43"/>
      <c r="H124" s="43"/>
      <c r="I124" s="43"/>
      <c r="J124" s="43"/>
      <c r="K124" s="43"/>
      <c r="L124" s="43"/>
      <c r="M124" s="43"/>
      <c r="N124" s="43"/>
    </row>
    <row r="125" spans="1:14" x14ac:dyDescent="0.35">
      <c r="A125" s="37" t="s">
        <v>985</v>
      </c>
      <c r="B125" s="56" t="s">
        <v>1037</v>
      </c>
      <c r="C125" s="56" t="s">
        <v>1038</v>
      </c>
      <c r="D125" s="56" t="s">
        <v>1039</v>
      </c>
      <c r="E125" s="57">
        <v>18</v>
      </c>
      <c r="F125" s="58">
        <v>118</v>
      </c>
      <c r="G125" s="43"/>
      <c r="H125" s="43"/>
      <c r="I125" s="43"/>
      <c r="J125" s="43"/>
      <c r="K125" s="43"/>
      <c r="L125" s="43"/>
      <c r="M125" s="43"/>
      <c r="N125" s="43"/>
    </row>
    <row r="126" spans="1:14" x14ac:dyDescent="0.35">
      <c r="A126" s="37" t="s">
        <v>985</v>
      </c>
      <c r="B126" s="56" t="s">
        <v>1040</v>
      </c>
      <c r="C126" s="56" t="s">
        <v>1041</v>
      </c>
      <c r="D126" s="56" t="s">
        <v>1042</v>
      </c>
      <c r="E126" s="57">
        <v>19</v>
      </c>
      <c r="F126" s="58">
        <v>119</v>
      </c>
      <c r="G126" s="43"/>
      <c r="H126" s="43"/>
      <c r="I126" s="43"/>
      <c r="J126" s="43"/>
      <c r="K126" s="43"/>
      <c r="L126" s="43"/>
      <c r="M126" s="43"/>
      <c r="N126" s="43"/>
    </row>
    <row r="127" spans="1:14" x14ac:dyDescent="0.35">
      <c r="A127" s="37" t="s">
        <v>985</v>
      </c>
      <c r="B127" s="56" t="s">
        <v>1043</v>
      </c>
      <c r="C127" s="56" t="s">
        <v>1044</v>
      </c>
      <c r="D127" s="56" t="s">
        <v>1045</v>
      </c>
      <c r="E127" s="57">
        <v>460</v>
      </c>
      <c r="F127" s="58">
        <v>1960</v>
      </c>
      <c r="G127" s="43"/>
      <c r="H127" s="43"/>
      <c r="I127" s="43"/>
      <c r="J127" s="43"/>
      <c r="K127" s="43"/>
      <c r="L127" s="43"/>
      <c r="M127" s="43"/>
      <c r="N127" s="43"/>
    </row>
    <row r="128" spans="1:14" x14ac:dyDescent="0.35">
      <c r="A128" s="37" t="s">
        <v>985</v>
      </c>
      <c r="B128" s="56" t="s">
        <v>1046</v>
      </c>
      <c r="C128" s="56" t="s">
        <v>1047</v>
      </c>
      <c r="D128" s="56" t="s">
        <v>1048</v>
      </c>
      <c r="E128" s="57">
        <v>21</v>
      </c>
      <c r="F128" s="58">
        <v>121</v>
      </c>
      <c r="G128" s="43"/>
      <c r="H128" s="43"/>
      <c r="I128" s="43"/>
      <c r="J128" s="43"/>
      <c r="K128" s="43"/>
      <c r="L128" s="43"/>
      <c r="M128" s="43"/>
      <c r="N128" s="43"/>
    </row>
    <row r="129" spans="1:14" x14ac:dyDescent="0.35">
      <c r="A129" s="37" t="s">
        <v>985</v>
      </c>
      <c r="B129" s="56" t="s">
        <v>1049</v>
      </c>
      <c r="C129" s="56" t="s">
        <v>1050</v>
      </c>
      <c r="D129" s="56" t="s">
        <v>1051</v>
      </c>
      <c r="E129" s="57">
        <v>22</v>
      </c>
      <c r="F129" s="58">
        <v>122</v>
      </c>
      <c r="G129" s="43"/>
      <c r="H129" s="43"/>
      <c r="I129" s="43"/>
      <c r="J129" s="43"/>
      <c r="K129" s="43"/>
      <c r="L129" s="43"/>
      <c r="M129" s="43"/>
      <c r="N129" s="43"/>
    </row>
    <row r="130" spans="1:14" x14ac:dyDescent="0.35">
      <c r="A130" s="37" t="s">
        <v>985</v>
      </c>
      <c r="B130" s="56" t="s">
        <v>1052</v>
      </c>
      <c r="C130" s="56" t="s">
        <v>1053</v>
      </c>
      <c r="D130" s="56" t="s">
        <v>1054</v>
      </c>
      <c r="E130" s="57">
        <v>378</v>
      </c>
      <c r="F130" s="58">
        <v>1578</v>
      </c>
      <c r="G130" s="43"/>
      <c r="H130" s="43"/>
      <c r="I130" s="43"/>
      <c r="J130" s="43"/>
      <c r="K130" s="43"/>
      <c r="L130" s="43"/>
      <c r="M130" s="43"/>
      <c r="N130" s="43"/>
    </row>
    <row r="131" spans="1:14" x14ac:dyDescent="0.35">
      <c r="A131" s="37" t="s">
        <v>985</v>
      </c>
      <c r="B131" s="56" t="s">
        <v>1055</v>
      </c>
      <c r="C131" s="56" t="s">
        <v>1056</v>
      </c>
      <c r="D131" s="56" t="s">
        <v>1057</v>
      </c>
      <c r="E131" s="57">
        <v>106</v>
      </c>
      <c r="F131" s="58">
        <v>506</v>
      </c>
      <c r="G131" s="43"/>
      <c r="H131" s="43"/>
      <c r="I131" s="43"/>
      <c r="J131" s="43"/>
      <c r="K131" s="43"/>
      <c r="L131" s="43"/>
      <c r="M131" s="43"/>
      <c r="N131" s="43"/>
    </row>
    <row r="132" spans="1:14" x14ac:dyDescent="0.35">
      <c r="A132" s="37" t="s">
        <v>985</v>
      </c>
      <c r="B132" s="56" t="s">
        <v>1058</v>
      </c>
      <c r="C132" s="56" t="s">
        <v>1059</v>
      </c>
      <c r="D132" s="56" t="s">
        <v>1060</v>
      </c>
      <c r="E132" s="57">
        <v>25</v>
      </c>
      <c r="F132" s="58">
        <v>125</v>
      </c>
      <c r="G132" s="43"/>
      <c r="H132" s="43"/>
      <c r="I132" s="43"/>
      <c r="J132" s="43"/>
      <c r="K132" s="43"/>
      <c r="L132" s="43"/>
      <c r="M132" s="43"/>
      <c r="N132" s="43"/>
    </row>
    <row r="133" spans="1:14" x14ac:dyDescent="0.35">
      <c r="A133" s="37" t="s">
        <v>985</v>
      </c>
      <c r="B133" s="56" t="s">
        <v>1061</v>
      </c>
      <c r="C133" s="56" t="s">
        <v>1062</v>
      </c>
      <c r="D133" s="56" t="s">
        <v>1063</v>
      </c>
      <c r="E133" s="57">
        <v>26</v>
      </c>
      <c r="F133" s="58">
        <v>126</v>
      </c>
      <c r="G133" s="43"/>
      <c r="H133" s="43"/>
      <c r="I133" s="43"/>
      <c r="J133" s="43"/>
      <c r="K133" s="43"/>
      <c r="L133" s="43"/>
      <c r="M133" s="43"/>
      <c r="N133" s="43"/>
    </row>
    <row r="134" spans="1:14" x14ac:dyDescent="0.35">
      <c r="A134" s="37" t="s">
        <v>985</v>
      </c>
      <c r="B134" s="56" t="s">
        <v>1064</v>
      </c>
      <c r="C134" s="56" t="s">
        <v>1065</v>
      </c>
      <c r="D134" s="56" t="s">
        <v>1066</v>
      </c>
      <c r="E134" s="57">
        <v>27</v>
      </c>
      <c r="F134" s="58">
        <v>127</v>
      </c>
      <c r="G134" s="43"/>
      <c r="H134" s="43"/>
      <c r="I134" s="43"/>
      <c r="J134" s="43"/>
      <c r="K134" s="43"/>
      <c r="L134" s="43"/>
      <c r="M134" s="43"/>
      <c r="N134" s="43"/>
    </row>
    <row r="135" spans="1:14" x14ac:dyDescent="0.35">
      <c r="A135" s="37" t="s">
        <v>985</v>
      </c>
      <c r="B135" s="56" t="s">
        <v>1067</v>
      </c>
      <c r="C135" s="56" t="s">
        <v>1068</v>
      </c>
      <c r="D135" s="56" t="s">
        <v>1069</v>
      </c>
      <c r="E135" s="57">
        <v>28</v>
      </c>
      <c r="F135" s="58">
        <v>128</v>
      </c>
      <c r="G135" s="43"/>
      <c r="H135" s="43"/>
      <c r="I135" s="43"/>
      <c r="J135" s="43"/>
      <c r="K135" s="43"/>
      <c r="L135" s="43"/>
      <c r="M135" s="43"/>
      <c r="N135" s="43"/>
    </row>
    <row r="136" spans="1:14" x14ac:dyDescent="0.35">
      <c r="A136" s="37" t="s">
        <v>985</v>
      </c>
      <c r="B136" s="56" t="s">
        <v>1070</v>
      </c>
      <c r="C136" s="56" t="s">
        <v>1071</v>
      </c>
      <c r="D136" s="56" t="s">
        <v>1072</v>
      </c>
      <c r="E136" s="57">
        <v>126</v>
      </c>
      <c r="F136" s="58">
        <v>526</v>
      </c>
      <c r="G136" s="43"/>
      <c r="H136" s="43"/>
      <c r="I136" s="43"/>
      <c r="J136" s="43"/>
      <c r="K136" s="43"/>
      <c r="L136" s="43"/>
      <c r="M136" s="43"/>
      <c r="N136" s="43"/>
    </row>
    <row r="137" spans="1:14" x14ac:dyDescent="0.35">
      <c r="A137" s="37" t="s">
        <v>985</v>
      </c>
      <c r="B137" s="56" t="s">
        <v>1073</v>
      </c>
      <c r="C137" s="56" t="s">
        <v>1074</v>
      </c>
      <c r="D137" s="56" t="s">
        <v>1060</v>
      </c>
      <c r="E137" s="57">
        <v>30</v>
      </c>
      <c r="F137" s="58">
        <v>130</v>
      </c>
      <c r="G137" s="43"/>
      <c r="H137" s="43"/>
      <c r="I137" s="43"/>
      <c r="J137" s="43"/>
      <c r="K137" s="43"/>
      <c r="L137" s="43"/>
      <c r="M137" s="43"/>
      <c r="N137" s="43"/>
    </row>
    <row r="138" spans="1:14" x14ac:dyDescent="0.35">
      <c r="A138" s="37" t="s">
        <v>985</v>
      </c>
      <c r="B138" s="56" t="s">
        <v>1075</v>
      </c>
      <c r="C138" s="56" t="s">
        <v>1076</v>
      </c>
      <c r="D138" s="56" t="s">
        <v>1063</v>
      </c>
      <c r="E138" s="57">
        <v>31</v>
      </c>
      <c r="F138" s="58">
        <v>131</v>
      </c>
      <c r="G138" s="43"/>
      <c r="H138" s="43"/>
      <c r="I138" s="43"/>
      <c r="J138" s="43"/>
      <c r="K138" s="43"/>
      <c r="L138" s="43"/>
      <c r="M138" s="43"/>
      <c r="N138" s="43"/>
    </row>
    <row r="139" spans="1:14" x14ac:dyDescent="0.35">
      <c r="A139" s="37" t="s">
        <v>985</v>
      </c>
      <c r="B139" s="56" t="s">
        <v>1077</v>
      </c>
      <c r="C139" s="56" t="s">
        <v>1078</v>
      </c>
      <c r="D139" s="56" t="s">
        <v>1066</v>
      </c>
      <c r="E139" s="57">
        <v>32</v>
      </c>
      <c r="F139" s="58">
        <v>132</v>
      </c>
      <c r="G139" s="43"/>
      <c r="H139" s="43"/>
      <c r="I139" s="43"/>
      <c r="J139" s="43"/>
      <c r="K139" s="43"/>
      <c r="L139" s="43"/>
      <c r="M139" s="43"/>
      <c r="N139" s="43"/>
    </row>
    <row r="140" spans="1:14" x14ac:dyDescent="0.35">
      <c r="A140" s="37" t="s">
        <v>985</v>
      </c>
      <c r="B140" s="56" t="s">
        <v>1079</v>
      </c>
      <c r="C140" s="56" t="s">
        <v>1080</v>
      </c>
      <c r="D140" s="56" t="s">
        <v>1069</v>
      </c>
      <c r="E140" s="57">
        <v>33</v>
      </c>
      <c r="F140" s="58">
        <v>133</v>
      </c>
      <c r="G140" s="43"/>
      <c r="H140" s="43"/>
      <c r="I140" s="43"/>
      <c r="J140" s="43"/>
      <c r="K140" s="43"/>
      <c r="L140" s="43"/>
      <c r="M140" s="43"/>
      <c r="N140" s="43"/>
    </row>
    <row r="141" spans="1:14" x14ac:dyDescent="0.35">
      <c r="A141" s="37" t="s">
        <v>985</v>
      </c>
      <c r="B141" s="56" t="s">
        <v>1081</v>
      </c>
      <c r="C141" s="56" t="s">
        <v>1082</v>
      </c>
      <c r="D141" s="56" t="s">
        <v>1083</v>
      </c>
      <c r="E141" s="57">
        <v>146</v>
      </c>
      <c r="F141" s="58">
        <v>546</v>
      </c>
      <c r="G141" s="43"/>
      <c r="H141" s="43"/>
      <c r="I141" s="43"/>
      <c r="J141" s="43"/>
      <c r="K141" s="43"/>
      <c r="L141" s="43"/>
      <c r="M141" s="43"/>
      <c r="N141" s="43"/>
    </row>
    <row r="142" spans="1:14" x14ac:dyDescent="0.35">
      <c r="A142" s="37" t="s">
        <v>985</v>
      </c>
      <c r="B142" s="56" t="s">
        <v>1084</v>
      </c>
      <c r="C142" s="56" t="s">
        <v>1085</v>
      </c>
      <c r="D142" s="56" t="s">
        <v>1060</v>
      </c>
      <c r="E142" s="57">
        <v>35</v>
      </c>
      <c r="F142" s="58">
        <v>135</v>
      </c>
      <c r="G142" s="43"/>
      <c r="H142" s="43"/>
      <c r="I142" s="43"/>
      <c r="J142" s="43"/>
      <c r="K142" s="43"/>
      <c r="L142" s="43"/>
      <c r="M142" s="43"/>
      <c r="N142" s="43"/>
    </row>
    <row r="143" spans="1:14" x14ac:dyDescent="0.35">
      <c r="A143" s="37" t="s">
        <v>985</v>
      </c>
      <c r="B143" s="56" t="s">
        <v>1086</v>
      </c>
      <c r="C143" s="56" t="s">
        <v>1087</v>
      </c>
      <c r="D143" s="56" t="s">
        <v>1063</v>
      </c>
      <c r="E143" s="57">
        <v>36</v>
      </c>
      <c r="F143" s="58">
        <v>136</v>
      </c>
      <c r="G143" s="43"/>
      <c r="H143" s="43"/>
      <c r="I143" s="43"/>
      <c r="J143" s="43"/>
      <c r="K143" s="43"/>
      <c r="L143" s="43"/>
      <c r="M143" s="43"/>
      <c r="N143" s="43"/>
    </row>
    <row r="144" spans="1:14" x14ac:dyDescent="0.35">
      <c r="A144" s="37" t="s">
        <v>985</v>
      </c>
      <c r="B144" s="56" t="s">
        <v>1088</v>
      </c>
      <c r="C144" s="56" t="s">
        <v>1089</v>
      </c>
      <c r="D144" s="56" t="s">
        <v>1066</v>
      </c>
      <c r="E144" s="57">
        <v>37</v>
      </c>
      <c r="F144" s="58">
        <v>137</v>
      </c>
      <c r="G144" s="43"/>
      <c r="H144" s="43"/>
      <c r="I144" s="43"/>
      <c r="J144" s="43"/>
      <c r="K144" s="43"/>
      <c r="L144" s="43"/>
      <c r="M144" s="43"/>
      <c r="N144" s="43"/>
    </row>
    <row r="145" spans="1:14" x14ac:dyDescent="0.35">
      <c r="A145" s="37" t="s">
        <v>985</v>
      </c>
      <c r="B145" s="56" t="s">
        <v>1090</v>
      </c>
      <c r="C145" s="56" t="s">
        <v>1091</v>
      </c>
      <c r="D145" s="56" t="s">
        <v>1069</v>
      </c>
      <c r="E145" s="57">
        <v>38</v>
      </c>
      <c r="F145" s="58">
        <v>138</v>
      </c>
      <c r="G145" s="43"/>
      <c r="H145" s="43"/>
      <c r="I145" s="43"/>
      <c r="J145" s="43"/>
      <c r="K145" s="43"/>
      <c r="L145" s="43"/>
      <c r="M145" s="43"/>
      <c r="N145" s="43"/>
    </row>
    <row r="146" spans="1:14" x14ac:dyDescent="0.35">
      <c r="A146" s="37" t="s">
        <v>985</v>
      </c>
      <c r="B146" s="56" t="s">
        <v>1092</v>
      </c>
      <c r="C146" s="56" t="s">
        <v>1093</v>
      </c>
      <c r="D146" s="56" t="s">
        <v>1094</v>
      </c>
      <c r="E146" s="57">
        <v>39</v>
      </c>
      <c r="F146" s="58">
        <v>139</v>
      </c>
      <c r="G146" s="43"/>
      <c r="H146" s="43"/>
      <c r="I146" s="43"/>
      <c r="J146" s="43"/>
      <c r="K146" s="43"/>
      <c r="L146" s="43"/>
      <c r="M146" s="43"/>
      <c r="N146" s="43"/>
    </row>
    <row r="147" spans="1:14" x14ac:dyDescent="0.35">
      <c r="A147" s="37" t="s">
        <v>985</v>
      </c>
      <c r="B147" s="56" t="s">
        <v>1095</v>
      </c>
      <c r="C147" s="56" t="s">
        <v>1096</v>
      </c>
      <c r="D147" s="56" t="s">
        <v>1097</v>
      </c>
      <c r="E147" s="57">
        <v>83</v>
      </c>
      <c r="F147" s="58">
        <v>283</v>
      </c>
      <c r="G147" s="43"/>
      <c r="H147" s="43"/>
      <c r="I147" s="43"/>
      <c r="J147" s="43"/>
      <c r="K147" s="43"/>
      <c r="L147" s="43"/>
      <c r="M147" s="43"/>
      <c r="N147" s="43"/>
    </row>
    <row r="148" spans="1:14" x14ac:dyDescent="0.35">
      <c r="A148" s="37" t="s">
        <v>985</v>
      </c>
      <c r="B148" s="56" t="s">
        <v>1098</v>
      </c>
      <c r="C148" s="56" t="s">
        <v>1099</v>
      </c>
      <c r="D148" s="56" t="s">
        <v>1100</v>
      </c>
      <c r="E148" s="57">
        <v>41</v>
      </c>
      <c r="F148" s="58">
        <v>141</v>
      </c>
      <c r="G148" s="43"/>
      <c r="H148" s="43"/>
      <c r="I148" s="43"/>
      <c r="J148" s="43"/>
      <c r="K148" s="43"/>
      <c r="L148" s="43"/>
      <c r="M148" s="43"/>
      <c r="N148" s="43"/>
    </row>
    <row r="149" spans="1:14" x14ac:dyDescent="0.35">
      <c r="A149" s="37" t="s">
        <v>985</v>
      </c>
      <c r="B149" s="56" t="s">
        <v>1101</v>
      </c>
      <c r="C149" s="56" t="s">
        <v>1102</v>
      </c>
      <c r="D149" s="56" t="s">
        <v>1103</v>
      </c>
      <c r="E149" s="57">
        <v>42</v>
      </c>
      <c r="F149" s="58">
        <v>142</v>
      </c>
      <c r="G149" s="43"/>
      <c r="H149" s="43"/>
      <c r="I149" s="43"/>
      <c r="J149" s="43"/>
      <c r="K149" s="43"/>
      <c r="L149" s="43"/>
      <c r="M149" s="43"/>
      <c r="N149" s="43"/>
    </row>
    <row r="150" spans="1:14" x14ac:dyDescent="0.35">
      <c r="A150" s="37" t="s">
        <v>985</v>
      </c>
      <c r="B150" s="59" t="s">
        <v>1104</v>
      </c>
      <c r="C150" s="56" t="s">
        <v>1105</v>
      </c>
      <c r="D150" s="56" t="s">
        <v>1106</v>
      </c>
      <c r="E150" s="57">
        <v>1914</v>
      </c>
      <c r="F150" s="58">
        <v>4814</v>
      </c>
      <c r="G150" s="43"/>
      <c r="H150" s="43"/>
      <c r="I150" s="43"/>
      <c r="J150" s="43"/>
      <c r="K150" s="43"/>
      <c r="L150" s="43"/>
      <c r="M150" s="43"/>
      <c r="N150" s="43"/>
    </row>
    <row r="151" spans="1:14" x14ac:dyDescent="0.35">
      <c r="A151" s="37" t="s">
        <v>985</v>
      </c>
      <c r="B151" s="56" t="s">
        <v>1107</v>
      </c>
      <c r="C151" s="56" t="s">
        <v>1108</v>
      </c>
      <c r="D151" s="56" t="s">
        <v>1109</v>
      </c>
      <c r="E151" s="57">
        <v>235</v>
      </c>
      <c r="F151" s="58">
        <v>735</v>
      </c>
      <c r="G151" s="43"/>
      <c r="H151" s="43"/>
      <c r="I151" s="43"/>
      <c r="J151" s="43"/>
      <c r="K151" s="43"/>
      <c r="L151" s="43"/>
      <c r="M151" s="43"/>
      <c r="N151" s="43"/>
    </row>
    <row r="152" spans="1:14" x14ac:dyDescent="0.35">
      <c r="A152" s="37" t="s">
        <v>985</v>
      </c>
      <c r="B152" s="56" t="s">
        <v>1110</v>
      </c>
      <c r="C152" s="56" t="s">
        <v>1111</v>
      </c>
      <c r="D152" s="56" t="s">
        <v>1112</v>
      </c>
      <c r="E152" s="57">
        <v>45</v>
      </c>
      <c r="F152" s="58">
        <v>145</v>
      </c>
      <c r="G152" s="43"/>
      <c r="H152" s="43"/>
      <c r="I152" s="43"/>
      <c r="J152" s="43"/>
      <c r="K152" s="43"/>
      <c r="L152" s="43"/>
      <c r="M152" s="43"/>
      <c r="N152" s="43"/>
    </row>
    <row r="153" spans="1:14" x14ac:dyDescent="0.35">
      <c r="A153" s="37" t="s">
        <v>985</v>
      </c>
      <c r="B153" s="56" t="s">
        <v>1113</v>
      </c>
      <c r="C153" s="56" t="s">
        <v>1114</v>
      </c>
      <c r="D153" s="56" t="s">
        <v>1115</v>
      </c>
      <c r="E153" s="57">
        <v>46</v>
      </c>
      <c r="F153" s="58">
        <v>146</v>
      </c>
      <c r="G153" s="43"/>
      <c r="H153" s="43"/>
      <c r="I153" s="43"/>
      <c r="J153" s="43"/>
      <c r="K153" s="43"/>
      <c r="L153" s="43"/>
      <c r="M153" s="43"/>
      <c r="N153" s="43"/>
    </row>
    <row r="154" spans="1:14" x14ac:dyDescent="0.35">
      <c r="A154" s="37" t="s">
        <v>985</v>
      </c>
      <c r="B154" s="56" t="s">
        <v>1116</v>
      </c>
      <c r="C154" s="56" t="s">
        <v>1117</v>
      </c>
      <c r="D154" s="56" t="s">
        <v>1118</v>
      </c>
      <c r="E154" s="57">
        <v>47</v>
      </c>
      <c r="F154" s="58">
        <v>147</v>
      </c>
      <c r="G154" s="43"/>
      <c r="H154" s="43"/>
      <c r="I154" s="43"/>
      <c r="J154" s="43"/>
      <c r="K154" s="43"/>
      <c r="L154" s="43"/>
      <c r="M154" s="43"/>
      <c r="N154" s="43"/>
    </row>
    <row r="155" spans="1:14" x14ac:dyDescent="0.35">
      <c r="A155" s="37" t="s">
        <v>985</v>
      </c>
      <c r="B155" s="56" t="s">
        <v>1119</v>
      </c>
      <c r="C155" s="56" t="s">
        <v>1120</v>
      </c>
      <c r="D155" s="56" t="s">
        <v>1121</v>
      </c>
      <c r="E155" s="57">
        <v>48</v>
      </c>
      <c r="F155" s="58">
        <v>148</v>
      </c>
      <c r="G155" s="43"/>
      <c r="H155" s="43"/>
      <c r="I155" s="43"/>
      <c r="J155" s="43"/>
      <c r="K155" s="43"/>
      <c r="L155" s="43"/>
      <c r="M155" s="43"/>
      <c r="N155" s="43"/>
    </row>
    <row r="156" spans="1:14" ht="16.5" customHeight="1" x14ac:dyDescent="0.35">
      <c r="A156" s="37" t="s">
        <v>985</v>
      </c>
      <c r="B156" s="56" t="s">
        <v>1122</v>
      </c>
      <c r="C156" s="56" t="s">
        <v>1123</v>
      </c>
      <c r="D156" s="56" t="s">
        <v>1124</v>
      </c>
      <c r="E156" s="57">
        <v>49</v>
      </c>
      <c r="F156" s="58">
        <v>149</v>
      </c>
      <c r="G156" s="43"/>
      <c r="H156" s="43"/>
      <c r="I156" s="43"/>
      <c r="J156" s="43"/>
      <c r="K156" s="43"/>
      <c r="L156" s="43"/>
      <c r="M156" s="43"/>
      <c r="N156" s="43"/>
    </row>
    <row r="157" spans="1:14" x14ac:dyDescent="0.35">
      <c r="A157" s="37" t="s">
        <v>985</v>
      </c>
      <c r="B157" s="56" t="s">
        <v>1125</v>
      </c>
      <c r="C157" s="56" t="s">
        <v>1126</v>
      </c>
      <c r="D157" s="56" t="s">
        <v>1127</v>
      </c>
      <c r="E157" s="57">
        <v>664</v>
      </c>
      <c r="F157" s="58">
        <v>1764</v>
      </c>
      <c r="G157" s="43"/>
      <c r="H157" s="43"/>
      <c r="I157" s="43"/>
      <c r="J157" s="43"/>
      <c r="K157" s="43"/>
      <c r="L157" s="43"/>
      <c r="M157" s="43"/>
      <c r="N157" s="43"/>
    </row>
    <row r="158" spans="1:14" x14ac:dyDescent="0.35">
      <c r="A158" s="37" t="s">
        <v>985</v>
      </c>
      <c r="B158" s="56" t="s">
        <v>1128</v>
      </c>
      <c r="C158" s="56" t="s">
        <v>1129</v>
      </c>
      <c r="D158" s="56" t="s">
        <v>1130</v>
      </c>
      <c r="E158" s="57">
        <v>162</v>
      </c>
      <c r="F158" s="58">
        <v>462</v>
      </c>
      <c r="G158" s="43"/>
      <c r="H158" s="43"/>
      <c r="I158" s="43"/>
      <c r="J158" s="43"/>
      <c r="K158" s="43"/>
      <c r="L158" s="43"/>
      <c r="M158" s="43"/>
      <c r="N158" s="43"/>
    </row>
    <row r="159" spans="1:14" x14ac:dyDescent="0.35">
      <c r="A159" s="37" t="s">
        <v>985</v>
      </c>
      <c r="B159" s="56" t="s">
        <v>1131</v>
      </c>
      <c r="C159" s="56" t="s">
        <v>1132</v>
      </c>
      <c r="D159" s="56" t="s">
        <v>1133</v>
      </c>
      <c r="E159" s="57">
        <v>107</v>
      </c>
      <c r="F159" s="58">
        <v>307</v>
      </c>
      <c r="G159" s="43"/>
      <c r="H159" s="43"/>
      <c r="I159" s="43"/>
      <c r="J159" s="43"/>
      <c r="K159" s="43"/>
      <c r="L159" s="43"/>
      <c r="M159" s="43"/>
      <c r="N159" s="43"/>
    </row>
    <row r="160" spans="1:14" x14ac:dyDescent="0.35">
      <c r="A160" s="37" t="s">
        <v>985</v>
      </c>
      <c r="B160" s="56" t="s">
        <v>1134</v>
      </c>
      <c r="C160" s="56" t="s">
        <v>1135</v>
      </c>
      <c r="D160" s="56" t="s">
        <v>1136</v>
      </c>
      <c r="E160" s="57">
        <v>53</v>
      </c>
      <c r="F160" s="58">
        <v>153</v>
      </c>
      <c r="G160" s="43"/>
      <c r="H160" s="43"/>
      <c r="I160" s="43"/>
      <c r="J160" s="43"/>
      <c r="K160" s="43"/>
      <c r="L160" s="43"/>
      <c r="M160" s="43"/>
      <c r="N160" s="43"/>
    </row>
    <row r="161" spans="1:14" x14ac:dyDescent="0.35">
      <c r="A161" s="37" t="s">
        <v>985</v>
      </c>
      <c r="B161" s="56" t="s">
        <v>1137</v>
      </c>
      <c r="C161" s="56" t="s">
        <v>1138</v>
      </c>
      <c r="D161" s="56" t="s">
        <v>1139</v>
      </c>
      <c r="E161" s="57">
        <v>54</v>
      </c>
      <c r="F161" s="58">
        <v>154</v>
      </c>
      <c r="G161" s="43"/>
      <c r="H161" s="43"/>
      <c r="I161" s="43"/>
      <c r="J161" s="43"/>
      <c r="K161" s="43"/>
      <c r="L161" s="43"/>
      <c r="M161" s="43"/>
      <c r="N161" s="43"/>
    </row>
    <row r="162" spans="1:14" ht="16.5" customHeight="1" x14ac:dyDescent="0.35">
      <c r="A162" s="37" t="s">
        <v>985</v>
      </c>
      <c r="B162" s="56" t="s">
        <v>1140</v>
      </c>
      <c r="C162" s="56" t="s">
        <v>1141</v>
      </c>
      <c r="D162" s="56" t="s">
        <v>1142</v>
      </c>
      <c r="E162" s="57">
        <v>55</v>
      </c>
      <c r="F162" s="58">
        <v>155</v>
      </c>
      <c r="G162" s="43"/>
      <c r="H162" s="43"/>
      <c r="I162" s="43"/>
      <c r="J162" s="43"/>
      <c r="K162" s="43"/>
      <c r="L162" s="43"/>
      <c r="M162" s="43"/>
      <c r="N162" s="43"/>
    </row>
    <row r="163" spans="1:14" x14ac:dyDescent="0.35">
      <c r="A163" s="37" t="s">
        <v>985</v>
      </c>
      <c r="B163" s="56" t="s">
        <v>1143</v>
      </c>
      <c r="C163" s="56" t="s">
        <v>1144</v>
      </c>
      <c r="D163" s="56" t="s">
        <v>1145</v>
      </c>
      <c r="E163" s="57">
        <v>177</v>
      </c>
      <c r="F163" s="58">
        <v>477</v>
      </c>
      <c r="G163" s="43"/>
      <c r="H163" s="43"/>
      <c r="I163" s="43"/>
      <c r="J163" s="43"/>
      <c r="K163" s="43"/>
      <c r="L163" s="43"/>
      <c r="M163" s="43"/>
      <c r="N163" s="43"/>
    </row>
    <row r="164" spans="1:14" x14ac:dyDescent="0.35">
      <c r="A164" s="37" t="s">
        <v>985</v>
      </c>
      <c r="B164" s="56" t="s">
        <v>1146</v>
      </c>
      <c r="C164" s="56" t="s">
        <v>1147</v>
      </c>
      <c r="D164" s="56" t="s">
        <v>1133</v>
      </c>
      <c r="E164" s="57">
        <v>117</v>
      </c>
      <c r="F164" s="58">
        <v>317</v>
      </c>
      <c r="G164" s="43"/>
      <c r="H164" s="43"/>
      <c r="I164" s="43"/>
      <c r="J164" s="43"/>
      <c r="K164" s="43"/>
      <c r="L164" s="43"/>
      <c r="M164" s="43"/>
      <c r="N164" s="43"/>
    </row>
    <row r="165" spans="1:14" x14ac:dyDescent="0.35">
      <c r="A165" s="37" t="s">
        <v>985</v>
      </c>
      <c r="B165" s="56" t="s">
        <v>1148</v>
      </c>
      <c r="C165" s="56" t="s">
        <v>1149</v>
      </c>
      <c r="D165" s="56" t="s">
        <v>1136</v>
      </c>
      <c r="E165" s="57">
        <v>58</v>
      </c>
      <c r="F165" s="58">
        <v>158</v>
      </c>
      <c r="G165" s="43"/>
      <c r="H165" s="43"/>
      <c r="I165" s="43"/>
      <c r="J165" s="43"/>
      <c r="K165" s="43"/>
      <c r="L165" s="43"/>
      <c r="M165" s="43"/>
      <c r="N165" s="43"/>
    </row>
    <row r="166" spans="1:14" x14ac:dyDescent="0.35">
      <c r="A166" s="37" t="s">
        <v>985</v>
      </c>
      <c r="B166" s="56" t="s">
        <v>1150</v>
      </c>
      <c r="C166" s="56" t="s">
        <v>1151</v>
      </c>
      <c r="D166" s="56" t="s">
        <v>1139</v>
      </c>
      <c r="E166" s="57">
        <v>59</v>
      </c>
      <c r="F166" s="58">
        <v>159</v>
      </c>
      <c r="G166" s="43"/>
      <c r="H166" s="43"/>
      <c r="I166" s="43"/>
      <c r="J166" s="43"/>
      <c r="K166" s="43"/>
      <c r="L166" s="43"/>
      <c r="M166" s="43"/>
      <c r="N166" s="43"/>
    </row>
    <row r="167" spans="1:14" x14ac:dyDescent="0.35">
      <c r="A167" s="37" t="s">
        <v>985</v>
      </c>
      <c r="B167" s="56" t="s">
        <v>1152</v>
      </c>
      <c r="C167" s="56" t="s">
        <v>1153</v>
      </c>
      <c r="D167" s="56" t="s">
        <v>1142</v>
      </c>
      <c r="E167" s="57">
        <v>60</v>
      </c>
      <c r="F167" s="58">
        <v>160</v>
      </c>
      <c r="G167" s="43"/>
      <c r="H167" s="43"/>
      <c r="I167" s="43"/>
      <c r="J167" s="43"/>
      <c r="K167" s="43"/>
      <c r="L167" s="43"/>
      <c r="M167" s="43"/>
      <c r="N167" s="43"/>
    </row>
    <row r="168" spans="1:14" x14ac:dyDescent="0.35">
      <c r="A168" s="37" t="s">
        <v>985</v>
      </c>
      <c r="B168" s="56" t="s">
        <v>1154</v>
      </c>
      <c r="C168" s="56" t="s">
        <v>1155</v>
      </c>
      <c r="D168" s="56" t="s">
        <v>1156</v>
      </c>
      <c r="E168" s="57">
        <v>325</v>
      </c>
      <c r="F168" s="58">
        <v>825</v>
      </c>
      <c r="G168" s="43"/>
      <c r="H168" s="43"/>
      <c r="I168" s="43"/>
      <c r="J168" s="43"/>
      <c r="K168" s="43"/>
      <c r="L168" s="43"/>
      <c r="M168" s="43"/>
      <c r="N168" s="43"/>
    </row>
    <row r="169" spans="1:14" x14ac:dyDescent="0.35">
      <c r="A169" s="37" t="s">
        <v>985</v>
      </c>
      <c r="B169" s="56" t="s">
        <v>1154</v>
      </c>
      <c r="C169" s="56" t="s">
        <v>1157</v>
      </c>
      <c r="D169" s="56" t="s">
        <v>1133</v>
      </c>
      <c r="E169" s="57">
        <v>127</v>
      </c>
      <c r="F169" s="58">
        <v>327</v>
      </c>
      <c r="G169" s="43"/>
      <c r="H169" s="43"/>
      <c r="I169" s="43"/>
      <c r="J169" s="43"/>
      <c r="K169" s="43"/>
      <c r="L169" s="43"/>
      <c r="M169" s="43"/>
      <c r="N169" s="43"/>
    </row>
    <row r="170" spans="1:14" x14ac:dyDescent="0.35">
      <c r="A170" s="37" t="s">
        <v>985</v>
      </c>
      <c r="B170" s="56" t="s">
        <v>1158</v>
      </c>
      <c r="C170" s="56" t="s">
        <v>1159</v>
      </c>
      <c r="D170" s="56" t="s">
        <v>1136</v>
      </c>
      <c r="E170" s="57">
        <v>63</v>
      </c>
      <c r="F170" s="58">
        <v>163</v>
      </c>
      <c r="G170" s="43"/>
      <c r="H170" s="43"/>
      <c r="I170" s="43"/>
      <c r="J170" s="43"/>
      <c r="K170" s="43"/>
      <c r="L170" s="43"/>
      <c r="M170" s="43"/>
      <c r="N170" s="43"/>
    </row>
    <row r="171" spans="1:14" x14ac:dyDescent="0.35">
      <c r="A171" s="37" t="s">
        <v>985</v>
      </c>
      <c r="B171" s="56" t="s">
        <v>1160</v>
      </c>
      <c r="C171" s="56" t="s">
        <v>1161</v>
      </c>
      <c r="D171" s="56" t="s">
        <v>1139</v>
      </c>
      <c r="E171" s="57">
        <v>64</v>
      </c>
      <c r="F171" s="58">
        <v>164</v>
      </c>
      <c r="G171" s="43"/>
      <c r="H171" s="43"/>
      <c r="I171" s="43"/>
      <c r="J171" s="43"/>
      <c r="K171" s="43"/>
      <c r="L171" s="43"/>
      <c r="M171" s="43"/>
      <c r="N171" s="43"/>
    </row>
    <row r="172" spans="1:14" x14ac:dyDescent="0.35">
      <c r="A172" s="37" t="s">
        <v>985</v>
      </c>
      <c r="B172" s="56" t="s">
        <v>1162</v>
      </c>
      <c r="C172" s="56" t="s">
        <v>1163</v>
      </c>
      <c r="D172" s="56" t="s">
        <v>1164</v>
      </c>
      <c r="E172" s="57">
        <v>65</v>
      </c>
      <c r="F172" s="58">
        <v>165</v>
      </c>
      <c r="G172" s="43"/>
      <c r="H172" s="43"/>
      <c r="I172" s="43"/>
      <c r="J172" s="43"/>
      <c r="K172" s="43"/>
      <c r="L172" s="43"/>
      <c r="M172" s="43"/>
      <c r="N172" s="43"/>
    </row>
    <row r="173" spans="1:14" x14ac:dyDescent="0.35">
      <c r="A173" s="37" t="s">
        <v>985</v>
      </c>
      <c r="B173" s="56" t="s">
        <v>1165</v>
      </c>
      <c r="C173" s="56" t="s">
        <v>1166</v>
      </c>
      <c r="D173" s="56" t="s">
        <v>1167</v>
      </c>
      <c r="E173" s="57">
        <v>66</v>
      </c>
      <c r="F173" s="58">
        <v>166</v>
      </c>
      <c r="G173" s="43"/>
      <c r="H173" s="43"/>
      <c r="I173" s="43"/>
      <c r="J173" s="43"/>
      <c r="K173" s="43"/>
      <c r="L173" s="43"/>
      <c r="M173" s="43"/>
      <c r="N173" s="43"/>
    </row>
    <row r="174" spans="1:14" x14ac:dyDescent="0.35">
      <c r="A174" s="37" t="s">
        <v>985</v>
      </c>
      <c r="B174" s="56" t="s">
        <v>1168</v>
      </c>
      <c r="C174" s="56" t="s">
        <v>1169</v>
      </c>
      <c r="D174" s="56" t="s">
        <v>1170</v>
      </c>
      <c r="E174" s="57">
        <v>67</v>
      </c>
      <c r="F174" s="58">
        <v>167</v>
      </c>
      <c r="G174" s="43"/>
      <c r="H174" s="43"/>
      <c r="I174" s="43"/>
      <c r="J174" s="43"/>
      <c r="K174" s="43"/>
      <c r="L174" s="43"/>
      <c r="M174" s="43"/>
      <c r="N174" s="43"/>
    </row>
    <row r="175" spans="1:14" x14ac:dyDescent="0.35">
      <c r="A175" s="37" t="s">
        <v>985</v>
      </c>
      <c r="B175" s="56" t="s">
        <v>1171</v>
      </c>
      <c r="C175" s="56" t="s">
        <v>1172</v>
      </c>
      <c r="D175" s="56" t="s">
        <v>1173</v>
      </c>
      <c r="E175" s="57">
        <v>930</v>
      </c>
      <c r="F175" s="58">
        <v>2130</v>
      </c>
      <c r="G175" s="43"/>
      <c r="H175" s="43"/>
      <c r="I175" s="43"/>
      <c r="J175" s="43"/>
      <c r="K175" s="43"/>
      <c r="L175" s="43"/>
      <c r="M175" s="43"/>
      <c r="N175" s="43"/>
    </row>
    <row r="176" spans="1:14" x14ac:dyDescent="0.35">
      <c r="A176" s="37" t="s">
        <v>985</v>
      </c>
      <c r="B176" s="56" t="s">
        <v>1174</v>
      </c>
      <c r="C176" s="56" t="s">
        <v>1175</v>
      </c>
      <c r="D176" s="56" t="s">
        <v>1176</v>
      </c>
      <c r="E176" s="57">
        <v>846</v>
      </c>
      <c r="F176" s="58">
        <v>1946</v>
      </c>
      <c r="G176" s="43"/>
      <c r="H176" s="43"/>
      <c r="I176" s="43"/>
      <c r="J176" s="43"/>
      <c r="K176" s="43"/>
      <c r="L176" s="43"/>
      <c r="M176" s="43"/>
      <c r="N176" s="43"/>
    </row>
    <row r="177" spans="1:14" x14ac:dyDescent="0.35">
      <c r="A177" s="37" t="s">
        <v>985</v>
      </c>
      <c r="B177" s="56" t="s">
        <v>1177</v>
      </c>
      <c r="C177" s="56" t="s">
        <v>1178</v>
      </c>
      <c r="D177" s="56" t="s">
        <v>1057</v>
      </c>
      <c r="E177" s="57">
        <v>290</v>
      </c>
      <c r="F177" s="58">
        <v>690</v>
      </c>
      <c r="G177" s="43"/>
      <c r="H177" s="43"/>
      <c r="I177" s="43"/>
      <c r="J177" s="43"/>
      <c r="K177" s="43"/>
      <c r="L177" s="43"/>
      <c r="M177" s="43"/>
      <c r="N177" s="43"/>
    </row>
    <row r="178" spans="1:14" x14ac:dyDescent="0.35">
      <c r="A178" s="37" t="s">
        <v>985</v>
      </c>
      <c r="B178" s="56" t="s">
        <v>1179</v>
      </c>
      <c r="C178" s="56" t="s">
        <v>1180</v>
      </c>
      <c r="D178" s="56" t="s">
        <v>1060</v>
      </c>
      <c r="E178" s="57">
        <v>71</v>
      </c>
      <c r="F178" s="58">
        <v>171</v>
      </c>
      <c r="G178" s="43"/>
      <c r="H178" s="43"/>
      <c r="I178" s="43"/>
      <c r="J178" s="43"/>
      <c r="K178" s="43"/>
      <c r="L178" s="43"/>
      <c r="M178" s="43"/>
      <c r="N178" s="43"/>
    </row>
    <row r="179" spans="1:14" x14ac:dyDescent="0.35">
      <c r="A179" s="37" t="s">
        <v>985</v>
      </c>
      <c r="B179" s="56" t="s">
        <v>1181</v>
      </c>
      <c r="C179" s="56" t="s">
        <v>1182</v>
      </c>
      <c r="D179" s="56" t="s">
        <v>1063</v>
      </c>
      <c r="E179" s="57">
        <v>72</v>
      </c>
      <c r="F179" s="58">
        <v>172</v>
      </c>
      <c r="G179" s="43"/>
      <c r="H179" s="43"/>
      <c r="I179" s="43"/>
      <c r="J179" s="43"/>
      <c r="K179" s="43"/>
      <c r="L179" s="43"/>
      <c r="M179" s="43"/>
      <c r="N179" s="43"/>
    </row>
    <row r="180" spans="1:14" ht="15.75" customHeight="1" x14ac:dyDescent="0.35">
      <c r="A180" s="37" t="s">
        <v>985</v>
      </c>
      <c r="B180" s="56" t="s">
        <v>1183</v>
      </c>
      <c r="C180" s="56" t="s">
        <v>1184</v>
      </c>
      <c r="D180" s="56" t="s">
        <v>1066</v>
      </c>
      <c r="E180" s="57">
        <v>73</v>
      </c>
      <c r="F180" s="58">
        <v>173</v>
      </c>
      <c r="G180" s="43"/>
      <c r="H180" s="43"/>
      <c r="I180" s="43"/>
      <c r="J180" s="43"/>
      <c r="K180" s="43"/>
      <c r="L180" s="43"/>
      <c r="M180" s="43"/>
      <c r="N180" s="43"/>
    </row>
    <row r="181" spans="1:14" x14ac:dyDescent="0.35">
      <c r="A181" s="37" t="s">
        <v>985</v>
      </c>
      <c r="B181" s="56" t="s">
        <v>1185</v>
      </c>
      <c r="C181" s="56" t="s">
        <v>1186</v>
      </c>
      <c r="D181" s="56" t="s">
        <v>1187</v>
      </c>
      <c r="E181" s="57">
        <v>74</v>
      </c>
      <c r="F181" s="58">
        <v>174</v>
      </c>
      <c r="G181" s="43"/>
      <c r="H181" s="43"/>
      <c r="I181" s="43"/>
      <c r="J181" s="43"/>
      <c r="K181" s="43"/>
      <c r="L181" s="43"/>
      <c r="M181" s="43"/>
      <c r="N181" s="43"/>
    </row>
    <row r="182" spans="1:14" x14ac:dyDescent="0.35">
      <c r="A182" s="37" t="s">
        <v>985</v>
      </c>
      <c r="B182" s="56" t="s">
        <v>1188</v>
      </c>
      <c r="C182" s="56" t="s">
        <v>1189</v>
      </c>
      <c r="D182" s="56" t="s">
        <v>1190</v>
      </c>
      <c r="E182" s="57">
        <v>310</v>
      </c>
      <c r="F182" s="58">
        <v>710</v>
      </c>
      <c r="G182" s="43"/>
      <c r="H182" s="43"/>
      <c r="I182" s="43"/>
      <c r="J182" s="43"/>
      <c r="K182" s="43"/>
      <c r="L182" s="43"/>
      <c r="M182" s="43"/>
      <c r="N182" s="43"/>
    </row>
    <row r="183" spans="1:14" x14ac:dyDescent="0.35">
      <c r="A183" s="37" t="s">
        <v>985</v>
      </c>
      <c r="B183" s="56" t="s">
        <v>1191</v>
      </c>
      <c r="C183" s="56" t="s">
        <v>1192</v>
      </c>
      <c r="D183" s="56" t="s">
        <v>1060</v>
      </c>
      <c r="E183" s="57">
        <v>76</v>
      </c>
      <c r="F183" s="58">
        <v>176</v>
      </c>
      <c r="G183" s="43"/>
      <c r="H183" s="43"/>
      <c r="I183" s="43"/>
      <c r="J183" s="43"/>
      <c r="K183" s="43"/>
      <c r="L183" s="43"/>
      <c r="M183" s="43"/>
      <c r="N183" s="43"/>
    </row>
    <row r="184" spans="1:14" x14ac:dyDescent="0.35">
      <c r="A184" s="37" t="s">
        <v>985</v>
      </c>
      <c r="B184" s="56" t="s">
        <v>1193</v>
      </c>
      <c r="C184" s="56" t="s">
        <v>1194</v>
      </c>
      <c r="D184" s="56" t="s">
        <v>1063</v>
      </c>
      <c r="E184" s="57">
        <v>77</v>
      </c>
      <c r="F184" s="58">
        <v>177</v>
      </c>
      <c r="G184" s="43"/>
      <c r="H184" s="43"/>
      <c r="I184" s="43"/>
      <c r="J184" s="43"/>
      <c r="K184" s="43"/>
      <c r="L184" s="43"/>
      <c r="M184" s="43"/>
      <c r="N184" s="43"/>
    </row>
    <row r="185" spans="1:14" x14ac:dyDescent="0.35">
      <c r="A185" s="37" t="s">
        <v>985</v>
      </c>
      <c r="B185" s="56" t="s">
        <v>1195</v>
      </c>
      <c r="C185" s="56" t="s">
        <v>1196</v>
      </c>
      <c r="D185" s="56" t="s">
        <v>1066</v>
      </c>
      <c r="E185" s="57">
        <v>78</v>
      </c>
      <c r="F185" s="58">
        <v>178</v>
      </c>
      <c r="G185" s="43"/>
      <c r="H185" s="43"/>
      <c r="I185" s="43"/>
      <c r="J185" s="43"/>
      <c r="K185" s="43"/>
      <c r="L185" s="43"/>
      <c r="M185" s="43"/>
      <c r="N185" s="43"/>
    </row>
    <row r="186" spans="1:14" x14ac:dyDescent="0.35">
      <c r="A186" s="37" t="s">
        <v>985</v>
      </c>
      <c r="B186" s="56" t="s">
        <v>1197</v>
      </c>
      <c r="C186" s="56" t="s">
        <v>1198</v>
      </c>
      <c r="D186" s="56" t="s">
        <v>1187</v>
      </c>
      <c r="E186" s="57">
        <v>79</v>
      </c>
      <c r="F186" s="58">
        <v>179</v>
      </c>
      <c r="G186" s="43"/>
      <c r="H186" s="43"/>
      <c r="I186" s="43"/>
      <c r="J186" s="43"/>
      <c r="K186" s="43"/>
      <c r="L186" s="43"/>
      <c r="M186" s="43"/>
      <c r="N186" s="43"/>
    </row>
    <row r="187" spans="1:14" x14ac:dyDescent="0.35">
      <c r="A187" s="37" t="s">
        <v>985</v>
      </c>
      <c r="B187" s="56" t="s">
        <v>1199</v>
      </c>
      <c r="C187" s="56" t="s">
        <v>1200</v>
      </c>
      <c r="D187" s="56" t="s">
        <v>1201</v>
      </c>
      <c r="E187" s="57">
        <v>246</v>
      </c>
      <c r="F187" s="58">
        <v>546</v>
      </c>
      <c r="G187" s="43"/>
      <c r="H187" s="43"/>
      <c r="I187" s="43"/>
      <c r="J187" s="43"/>
      <c r="K187" s="43"/>
      <c r="L187" s="43"/>
      <c r="M187" s="43"/>
      <c r="N187" s="43"/>
    </row>
    <row r="188" spans="1:14" x14ac:dyDescent="0.35">
      <c r="A188" s="37" t="s">
        <v>985</v>
      </c>
      <c r="B188" s="56" t="s">
        <v>1202</v>
      </c>
      <c r="C188" s="56" t="s">
        <v>1203</v>
      </c>
      <c r="D188" s="56" t="s">
        <v>1204</v>
      </c>
      <c r="E188" s="57">
        <v>81</v>
      </c>
      <c r="F188" s="58">
        <v>181</v>
      </c>
      <c r="G188" s="43"/>
      <c r="H188" s="43"/>
      <c r="I188" s="43"/>
      <c r="J188" s="43"/>
      <c r="K188" s="43"/>
      <c r="L188" s="43"/>
      <c r="M188" s="43"/>
      <c r="N188" s="43"/>
    </row>
    <row r="189" spans="1:14" x14ac:dyDescent="0.35">
      <c r="A189" s="37" t="s">
        <v>985</v>
      </c>
      <c r="B189" s="56" t="s">
        <v>1205</v>
      </c>
      <c r="C189" s="56" t="s">
        <v>1206</v>
      </c>
      <c r="D189" s="56" t="s">
        <v>1207</v>
      </c>
      <c r="E189" s="57">
        <v>82</v>
      </c>
      <c r="F189" s="58">
        <v>182</v>
      </c>
      <c r="G189" s="43"/>
      <c r="H189" s="43"/>
      <c r="I189" s="43"/>
      <c r="J189" s="43"/>
      <c r="K189" s="43"/>
      <c r="L189" s="43"/>
      <c r="M189" s="43"/>
      <c r="N189" s="43"/>
    </row>
    <row r="190" spans="1:14" x14ac:dyDescent="0.35">
      <c r="A190" s="37" t="s">
        <v>985</v>
      </c>
      <c r="B190" s="56" t="s">
        <v>1208</v>
      </c>
      <c r="C190" s="56" t="s">
        <v>1209</v>
      </c>
      <c r="D190" s="56" t="s">
        <v>1210</v>
      </c>
      <c r="E190" s="57">
        <v>83</v>
      </c>
      <c r="F190" s="58">
        <v>183</v>
      </c>
      <c r="G190" s="43"/>
      <c r="H190" s="43"/>
      <c r="I190" s="43"/>
      <c r="J190" s="43"/>
      <c r="K190" s="43"/>
      <c r="L190" s="43"/>
      <c r="M190" s="43"/>
      <c r="N190" s="43"/>
    </row>
    <row r="191" spans="1:14" x14ac:dyDescent="0.35">
      <c r="A191" s="37" t="s">
        <v>985</v>
      </c>
      <c r="B191" s="56" t="s">
        <v>1211</v>
      </c>
      <c r="C191" s="56" t="s">
        <v>1212</v>
      </c>
      <c r="D191" s="56" t="s">
        <v>1213</v>
      </c>
      <c r="E191" s="57">
        <v>84</v>
      </c>
      <c r="F191" s="58">
        <v>184</v>
      </c>
      <c r="G191" s="43"/>
      <c r="H191" s="43"/>
      <c r="I191" s="43"/>
      <c r="J191" s="43"/>
      <c r="K191" s="43"/>
      <c r="L191" s="43"/>
      <c r="M191" s="43"/>
      <c r="N191" s="43"/>
    </row>
    <row r="192" spans="1:14" x14ac:dyDescent="0.35">
      <c r="A192" s="37" t="s">
        <v>985</v>
      </c>
      <c r="B192" s="56" t="s">
        <v>1214</v>
      </c>
      <c r="C192" s="56" t="s">
        <v>1215</v>
      </c>
      <c r="D192" s="56" t="s">
        <v>1216</v>
      </c>
      <c r="E192" s="57">
        <v>85</v>
      </c>
      <c r="F192" s="58">
        <v>185</v>
      </c>
      <c r="G192" s="43"/>
      <c r="H192" s="43"/>
      <c r="I192" s="43"/>
      <c r="J192" s="43"/>
      <c r="K192" s="43"/>
      <c r="L192" s="43"/>
      <c r="M192" s="43"/>
      <c r="N192" s="43"/>
    </row>
    <row r="193" spans="1:14" x14ac:dyDescent="0.35">
      <c r="A193" s="37" t="s">
        <v>985</v>
      </c>
      <c r="B193" s="56" t="s">
        <v>1217</v>
      </c>
      <c r="C193" s="56" t="s">
        <v>1218</v>
      </c>
      <c r="D193" s="56" t="s">
        <v>1219</v>
      </c>
      <c r="E193" s="57">
        <v>86</v>
      </c>
      <c r="F193" s="58">
        <v>186</v>
      </c>
      <c r="G193" s="43"/>
      <c r="H193" s="43"/>
      <c r="I193" s="43"/>
      <c r="J193" s="43"/>
      <c r="K193" s="43"/>
      <c r="L193" s="43"/>
      <c r="M193" s="43"/>
      <c r="N193" s="43"/>
    </row>
    <row r="194" spans="1:14" x14ac:dyDescent="0.35">
      <c r="A194" s="37" t="s">
        <v>985</v>
      </c>
      <c r="B194" s="56" t="s">
        <v>1220</v>
      </c>
      <c r="C194" s="56" t="s">
        <v>1221</v>
      </c>
      <c r="D194" s="56" t="s">
        <v>1222</v>
      </c>
      <c r="E194" s="57">
        <v>87</v>
      </c>
      <c r="F194" s="58">
        <v>187</v>
      </c>
      <c r="G194" s="43"/>
      <c r="H194" s="43"/>
      <c r="I194" s="43"/>
      <c r="J194" s="43"/>
      <c r="K194" s="43"/>
      <c r="L194" s="43"/>
      <c r="M194" s="43"/>
      <c r="N194" s="43"/>
    </row>
    <row r="195" spans="1:14" ht="15" thickBot="1" x14ac:dyDescent="0.4">
      <c r="A195" s="46" t="s">
        <v>985</v>
      </c>
      <c r="B195" s="60" t="s">
        <v>1223</v>
      </c>
      <c r="C195" s="60" t="s">
        <v>1224</v>
      </c>
      <c r="D195" s="60" t="s">
        <v>985</v>
      </c>
      <c r="E195" s="61">
        <v>2613</v>
      </c>
      <c r="F195" s="62">
        <v>8613</v>
      </c>
      <c r="G195" s="43"/>
      <c r="H195" s="43"/>
      <c r="I195" s="43"/>
      <c r="J195" s="43"/>
      <c r="K195" s="43"/>
      <c r="L195" s="43"/>
      <c r="M195" s="43"/>
      <c r="N195" s="43"/>
    </row>
    <row r="196" spans="1:14" x14ac:dyDescent="0.35">
      <c r="A196" s="37" t="s">
        <v>1225</v>
      </c>
      <c r="B196" s="56" t="s">
        <v>1226</v>
      </c>
      <c r="C196" s="56" t="s">
        <v>1227</v>
      </c>
      <c r="D196" s="56" t="s">
        <v>1228</v>
      </c>
      <c r="E196" s="57">
        <v>50</v>
      </c>
      <c r="F196" s="58">
        <v>750</v>
      </c>
      <c r="G196" s="43"/>
      <c r="H196" s="43"/>
      <c r="I196" s="43"/>
      <c r="J196" s="43"/>
      <c r="K196" s="43"/>
      <c r="L196" s="43"/>
      <c r="M196" s="43"/>
      <c r="N196" s="43"/>
    </row>
    <row r="197" spans="1:14" x14ac:dyDescent="0.35">
      <c r="A197" s="37" t="s">
        <v>1225</v>
      </c>
      <c r="B197" s="56" t="s">
        <v>1229</v>
      </c>
      <c r="C197" s="56" t="s">
        <v>1230</v>
      </c>
      <c r="D197" s="56" t="s">
        <v>1231</v>
      </c>
      <c r="E197" s="57">
        <v>2</v>
      </c>
      <c r="F197" s="58">
        <v>102</v>
      </c>
      <c r="G197" s="43"/>
      <c r="H197" s="43"/>
      <c r="I197" s="43"/>
      <c r="J197" s="43"/>
      <c r="K197" s="43"/>
      <c r="L197" s="43"/>
      <c r="M197" s="43"/>
      <c r="N197" s="43"/>
    </row>
    <row r="198" spans="1:14" x14ac:dyDescent="0.35">
      <c r="A198" s="37" t="s">
        <v>1225</v>
      </c>
      <c r="B198" s="56" t="s">
        <v>1232</v>
      </c>
      <c r="C198" s="56" t="s">
        <v>1233</v>
      </c>
      <c r="D198" s="56" t="s">
        <v>1234</v>
      </c>
      <c r="E198" s="57">
        <v>3</v>
      </c>
      <c r="F198" s="58">
        <v>103</v>
      </c>
      <c r="G198" s="43"/>
      <c r="H198" s="43"/>
      <c r="I198" s="43"/>
      <c r="J198" s="43"/>
      <c r="K198" s="43"/>
      <c r="L198" s="43"/>
      <c r="M198" s="43"/>
      <c r="N198" s="43"/>
    </row>
    <row r="199" spans="1:14" x14ac:dyDescent="0.35">
      <c r="A199" s="37" t="s">
        <v>1225</v>
      </c>
      <c r="B199" s="56" t="s">
        <v>1235</v>
      </c>
      <c r="C199" s="56" t="s">
        <v>1236</v>
      </c>
      <c r="D199" s="56" t="s">
        <v>1237</v>
      </c>
      <c r="E199" s="57">
        <v>4</v>
      </c>
      <c r="F199" s="58">
        <v>104</v>
      </c>
      <c r="G199" s="43"/>
      <c r="H199" s="43"/>
      <c r="I199" s="43"/>
      <c r="J199" s="43"/>
      <c r="K199" s="43"/>
      <c r="L199" s="43"/>
      <c r="M199" s="43"/>
      <c r="N199" s="43"/>
    </row>
    <row r="200" spans="1:14" x14ac:dyDescent="0.35">
      <c r="A200" s="37" t="s">
        <v>1225</v>
      </c>
      <c r="B200" s="56" t="s">
        <v>1238</v>
      </c>
      <c r="C200" s="56" t="s">
        <v>1239</v>
      </c>
      <c r="D200" s="56" t="s">
        <v>1240</v>
      </c>
      <c r="E200" s="57">
        <v>5</v>
      </c>
      <c r="F200" s="58">
        <v>105</v>
      </c>
      <c r="G200" s="43"/>
      <c r="H200" s="43"/>
      <c r="I200" s="43"/>
      <c r="J200" s="43"/>
      <c r="K200" s="43"/>
      <c r="L200" s="43"/>
      <c r="M200" s="43"/>
      <c r="N200" s="43"/>
    </row>
    <row r="201" spans="1:14" x14ac:dyDescent="0.35">
      <c r="A201" s="37" t="s">
        <v>1225</v>
      </c>
      <c r="B201" s="56" t="s">
        <v>1241</v>
      </c>
      <c r="C201" s="56" t="s">
        <v>1242</v>
      </c>
      <c r="D201" s="56" t="s">
        <v>1243</v>
      </c>
      <c r="E201" s="57">
        <v>6</v>
      </c>
      <c r="F201" s="58">
        <v>106</v>
      </c>
      <c r="G201" s="43"/>
      <c r="H201" s="43"/>
      <c r="I201" s="43"/>
      <c r="J201" s="43"/>
      <c r="K201" s="43"/>
      <c r="L201" s="43"/>
      <c r="M201" s="43"/>
      <c r="N201" s="43"/>
    </row>
    <row r="202" spans="1:14" x14ac:dyDescent="0.35">
      <c r="A202" s="37" t="s">
        <v>1225</v>
      </c>
      <c r="B202" s="56" t="s">
        <v>1244</v>
      </c>
      <c r="C202" s="56" t="s">
        <v>1245</v>
      </c>
      <c r="D202" s="56" t="s">
        <v>1246</v>
      </c>
      <c r="E202" s="57">
        <v>7</v>
      </c>
      <c r="F202" s="58">
        <v>107</v>
      </c>
      <c r="G202" s="43"/>
      <c r="H202" s="43"/>
      <c r="I202" s="43"/>
      <c r="J202" s="43"/>
      <c r="K202" s="43"/>
      <c r="L202" s="43"/>
      <c r="M202" s="43"/>
      <c r="N202" s="43"/>
    </row>
    <row r="203" spans="1:14" x14ac:dyDescent="0.35">
      <c r="A203" s="37" t="s">
        <v>1225</v>
      </c>
      <c r="B203" s="56" t="s">
        <v>1247</v>
      </c>
      <c r="C203" s="56" t="s">
        <v>1248</v>
      </c>
      <c r="D203" s="56" t="s">
        <v>1249</v>
      </c>
      <c r="E203" s="57">
        <v>8</v>
      </c>
      <c r="F203" s="58">
        <v>108</v>
      </c>
      <c r="G203" s="43"/>
      <c r="H203" s="43"/>
      <c r="I203" s="43"/>
      <c r="J203" s="43"/>
      <c r="K203" s="43"/>
      <c r="L203" s="43"/>
      <c r="M203" s="43"/>
      <c r="N203" s="43"/>
    </row>
    <row r="204" spans="1:14" x14ac:dyDescent="0.35">
      <c r="A204" s="37" t="s">
        <v>1225</v>
      </c>
      <c r="B204" s="56" t="s">
        <v>1250</v>
      </c>
      <c r="C204" s="56" t="s">
        <v>1251</v>
      </c>
      <c r="D204" s="56" t="s">
        <v>1252</v>
      </c>
      <c r="E204" s="57">
        <v>9</v>
      </c>
      <c r="F204" s="58">
        <v>109</v>
      </c>
      <c r="G204" s="43"/>
      <c r="H204" s="43"/>
      <c r="I204" s="43"/>
      <c r="J204" s="43"/>
      <c r="K204" s="43"/>
      <c r="L204" s="43"/>
      <c r="M204" s="43"/>
      <c r="N204" s="43"/>
    </row>
    <row r="205" spans="1:14" x14ac:dyDescent="0.35">
      <c r="A205" s="37" t="s">
        <v>1225</v>
      </c>
      <c r="B205" s="56" t="s">
        <v>1253</v>
      </c>
      <c r="C205" s="56" t="s">
        <v>1254</v>
      </c>
      <c r="D205" s="56" t="s">
        <v>1255</v>
      </c>
      <c r="E205" s="57">
        <v>10</v>
      </c>
      <c r="F205" s="58">
        <v>110</v>
      </c>
      <c r="G205" s="43"/>
      <c r="H205" s="43"/>
      <c r="I205" s="43"/>
      <c r="J205" s="43"/>
      <c r="K205" s="43"/>
      <c r="L205" s="43"/>
      <c r="M205" s="43"/>
      <c r="N205" s="43"/>
    </row>
    <row r="206" spans="1:14" x14ac:dyDescent="0.35">
      <c r="A206" s="37" t="s">
        <v>1225</v>
      </c>
      <c r="B206" s="56" t="s">
        <v>1256</v>
      </c>
      <c r="C206" s="56" t="s">
        <v>1257</v>
      </c>
      <c r="D206" s="56" t="s">
        <v>1258</v>
      </c>
      <c r="E206" s="57">
        <v>11</v>
      </c>
      <c r="F206" s="58">
        <v>111</v>
      </c>
      <c r="G206" s="43"/>
      <c r="H206" s="43"/>
      <c r="I206" s="43"/>
      <c r="J206" s="43"/>
      <c r="K206" s="43"/>
      <c r="L206" s="43"/>
      <c r="M206" s="43"/>
      <c r="N206" s="43"/>
    </row>
    <row r="207" spans="1:14" x14ac:dyDescent="0.35">
      <c r="A207" s="37" t="s">
        <v>1225</v>
      </c>
      <c r="B207" s="56" t="s">
        <v>1259</v>
      </c>
      <c r="C207" s="56" t="s">
        <v>1260</v>
      </c>
      <c r="D207" s="56" t="s">
        <v>1261</v>
      </c>
      <c r="E207" s="57">
        <v>12</v>
      </c>
      <c r="F207" s="58">
        <v>112</v>
      </c>
      <c r="G207" s="43"/>
      <c r="H207" s="43"/>
      <c r="I207" s="43"/>
      <c r="J207" s="43"/>
      <c r="K207" s="43"/>
      <c r="L207" s="43"/>
      <c r="M207" s="43"/>
      <c r="N207" s="43"/>
    </row>
    <row r="208" spans="1:14" x14ac:dyDescent="0.35">
      <c r="A208" s="37" t="s">
        <v>1225</v>
      </c>
      <c r="B208" s="56" t="s">
        <v>1262</v>
      </c>
      <c r="C208" s="56" t="s">
        <v>1263</v>
      </c>
      <c r="D208" s="56" t="s">
        <v>1264</v>
      </c>
      <c r="E208" s="57">
        <v>2563</v>
      </c>
      <c r="F208" s="58">
        <v>7863</v>
      </c>
      <c r="G208" s="43"/>
      <c r="H208" s="43"/>
      <c r="I208" s="43"/>
      <c r="J208" s="43"/>
      <c r="K208" s="43"/>
      <c r="L208" s="43"/>
      <c r="M208" s="43"/>
      <c r="N208" s="43"/>
    </row>
    <row r="209" spans="1:14" x14ac:dyDescent="0.35">
      <c r="A209" s="37" t="s">
        <v>1225</v>
      </c>
      <c r="B209" s="56" t="s">
        <v>1265</v>
      </c>
      <c r="C209" s="56" t="s">
        <v>1266</v>
      </c>
      <c r="D209" s="56" t="s">
        <v>1267</v>
      </c>
      <c r="E209" s="57">
        <v>1442</v>
      </c>
      <c r="F209" s="58">
        <v>4042</v>
      </c>
      <c r="G209" s="43"/>
      <c r="H209" s="43"/>
      <c r="I209" s="43"/>
      <c r="J209" s="43"/>
      <c r="K209" s="43"/>
      <c r="L209" s="43"/>
      <c r="M209" s="43"/>
      <c r="N209" s="43"/>
    </row>
    <row r="210" spans="1:14" x14ac:dyDescent="0.35">
      <c r="A210" s="37" t="s">
        <v>1225</v>
      </c>
      <c r="B210" s="56" t="s">
        <v>1268</v>
      </c>
      <c r="C210" s="56" t="s">
        <v>1269</v>
      </c>
      <c r="D210" s="56" t="s">
        <v>1270</v>
      </c>
      <c r="E210" s="57">
        <v>15</v>
      </c>
      <c r="F210" s="58">
        <v>115</v>
      </c>
      <c r="G210" s="43"/>
      <c r="H210" s="43"/>
      <c r="I210" s="43"/>
      <c r="J210" s="43"/>
      <c r="K210" s="43"/>
      <c r="L210" s="43"/>
      <c r="M210" s="43"/>
      <c r="N210" s="43"/>
    </row>
    <row r="211" spans="1:14" x14ac:dyDescent="0.35">
      <c r="A211" s="37" t="s">
        <v>1225</v>
      </c>
      <c r="B211" s="56" t="s">
        <v>1271</v>
      </c>
      <c r="C211" s="56" t="s">
        <v>1272</v>
      </c>
      <c r="D211" s="56" t="s">
        <v>1273</v>
      </c>
      <c r="E211" s="57">
        <v>1386</v>
      </c>
      <c r="F211" s="58">
        <v>3686</v>
      </c>
      <c r="G211" s="43"/>
      <c r="H211" s="43"/>
      <c r="I211" s="43"/>
      <c r="J211" s="43"/>
      <c r="K211" s="43"/>
      <c r="L211" s="43"/>
      <c r="M211" s="43"/>
      <c r="N211" s="43"/>
    </row>
    <row r="212" spans="1:14" x14ac:dyDescent="0.35">
      <c r="A212" s="37" t="s">
        <v>1225</v>
      </c>
      <c r="B212" s="56" t="s">
        <v>1274</v>
      </c>
      <c r="C212" s="56" t="s">
        <v>1275</v>
      </c>
      <c r="D212" s="56" t="s">
        <v>1276</v>
      </c>
      <c r="E212" s="57">
        <v>1368</v>
      </c>
      <c r="F212" s="58">
        <v>3568</v>
      </c>
      <c r="G212" s="43"/>
      <c r="H212" s="43"/>
      <c r="I212" s="43"/>
      <c r="J212" s="43"/>
      <c r="K212" s="43"/>
      <c r="L212" s="43"/>
      <c r="M212" s="43"/>
      <c r="N212" s="43"/>
    </row>
    <row r="213" spans="1:14" x14ac:dyDescent="0.35">
      <c r="A213" s="37" t="s">
        <v>1225</v>
      </c>
      <c r="B213" s="56" t="s">
        <v>1277</v>
      </c>
      <c r="C213" s="56" t="s">
        <v>1278</v>
      </c>
      <c r="D213" s="56" t="s">
        <v>1279</v>
      </c>
      <c r="E213" s="57">
        <v>18</v>
      </c>
      <c r="F213" s="58">
        <v>118</v>
      </c>
      <c r="G213" s="43"/>
      <c r="H213" s="43"/>
      <c r="I213" s="43"/>
      <c r="J213" s="43"/>
      <c r="K213" s="43"/>
      <c r="L213" s="43"/>
      <c r="M213" s="43"/>
      <c r="N213" s="43"/>
    </row>
    <row r="214" spans="1:14" x14ac:dyDescent="0.35">
      <c r="A214" s="37" t="s">
        <v>1225</v>
      </c>
      <c r="B214" s="56" t="s">
        <v>1280</v>
      </c>
      <c r="C214" s="56" t="s">
        <v>1281</v>
      </c>
      <c r="D214" s="56" t="s">
        <v>1282</v>
      </c>
      <c r="E214" s="57">
        <v>41</v>
      </c>
      <c r="F214" s="58">
        <v>241</v>
      </c>
      <c r="G214" s="43"/>
      <c r="H214" s="43"/>
      <c r="I214" s="43"/>
      <c r="J214" s="43"/>
      <c r="K214" s="43"/>
      <c r="L214" s="43"/>
      <c r="M214" s="43"/>
      <c r="N214" s="43"/>
    </row>
    <row r="215" spans="1:14" x14ac:dyDescent="0.35">
      <c r="A215" s="37" t="s">
        <v>1225</v>
      </c>
      <c r="B215" s="56" t="s">
        <v>1283</v>
      </c>
      <c r="C215" s="56" t="s">
        <v>1284</v>
      </c>
      <c r="D215" s="56" t="s">
        <v>1285</v>
      </c>
      <c r="E215" s="57">
        <v>20</v>
      </c>
      <c r="F215" s="58">
        <v>120</v>
      </c>
      <c r="G215" s="43"/>
      <c r="H215" s="43"/>
      <c r="I215" s="43"/>
      <c r="J215" s="43"/>
      <c r="K215" s="43"/>
      <c r="L215" s="43"/>
      <c r="M215" s="43"/>
      <c r="N215" s="43"/>
    </row>
    <row r="216" spans="1:14" x14ac:dyDescent="0.35">
      <c r="A216" s="37" t="s">
        <v>1225</v>
      </c>
      <c r="B216" s="56" t="s">
        <v>1286</v>
      </c>
      <c r="C216" s="56" t="s">
        <v>1287</v>
      </c>
      <c r="D216" s="56" t="s">
        <v>1288</v>
      </c>
      <c r="E216" s="57">
        <v>21</v>
      </c>
      <c r="F216" s="58">
        <v>121</v>
      </c>
      <c r="G216" s="43"/>
      <c r="H216" s="43"/>
      <c r="I216" s="43"/>
      <c r="J216" s="43"/>
      <c r="K216" s="43"/>
      <c r="L216" s="43"/>
      <c r="M216" s="43"/>
      <c r="N216" s="43"/>
    </row>
    <row r="217" spans="1:14" x14ac:dyDescent="0.35">
      <c r="A217" s="37" t="s">
        <v>1225</v>
      </c>
      <c r="B217" s="56" t="s">
        <v>1289</v>
      </c>
      <c r="C217" s="56" t="s">
        <v>1290</v>
      </c>
      <c r="D217" s="56" t="s">
        <v>1291</v>
      </c>
      <c r="E217" s="57">
        <v>187</v>
      </c>
      <c r="F217" s="58">
        <v>887</v>
      </c>
      <c r="G217" s="43"/>
      <c r="H217" s="43"/>
      <c r="I217" s="43"/>
      <c r="J217" s="43"/>
      <c r="K217" s="43"/>
      <c r="L217" s="43"/>
      <c r="M217" s="43"/>
      <c r="N217" s="43"/>
    </row>
    <row r="218" spans="1:14" x14ac:dyDescent="0.35">
      <c r="A218" s="37" t="s">
        <v>1225</v>
      </c>
      <c r="B218" s="56" t="s">
        <v>1292</v>
      </c>
      <c r="C218" s="56" t="s">
        <v>1293</v>
      </c>
      <c r="D218" s="56" t="s">
        <v>1294</v>
      </c>
      <c r="E218" s="57">
        <v>23</v>
      </c>
      <c r="F218" s="58">
        <v>123</v>
      </c>
      <c r="G218" s="43"/>
      <c r="H218" s="43"/>
      <c r="I218" s="43"/>
      <c r="J218" s="43"/>
      <c r="K218" s="43"/>
      <c r="L218" s="43"/>
      <c r="M218" s="43"/>
      <c r="N218" s="43"/>
    </row>
    <row r="219" spans="1:14" x14ac:dyDescent="0.35">
      <c r="A219" s="37" t="s">
        <v>1225</v>
      </c>
      <c r="B219" s="56" t="s">
        <v>1295</v>
      </c>
      <c r="C219" s="56" t="s">
        <v>1296</v>
      </c>
      <c r="D219" s="56" t="s">
        <v>1297</v>
      </c>
      <c r="E219" s="57">
        <v>24</v>
      </c>
      <c r="F219" s="58">
        <v>124</v>
      </c>
      <c r="G219" s="43"/>
      <c r="H219" s="43"/>
      <c r="I219" s="43"/>
      <c r="J219" s="43"/>
      <c r="K219" s="43"/>
      <c r="L219" s="43"/>
      <c r="M219" s="43"/>
      <c r="N219" s="43"/>
    </row>
    <row r="220" spans="1:14" x14ac:dyDescent="0.35">
      <c r="A220" s="37" t="s">
        <v>1225</v>
      </c>
      <c r="B220" s="56" t="s">
        <v>1298</v>
      </c>
      <c r="C220" s="56" t="s">
        <v>1299</v>
      </c>
      <c r="D220" s="56" t="s">
        <v>1300</v>
      </c>
      <c r="E220" s="57">
        <v>140</v>
      </c>
      <c r="F220" s="58">
        <v>640</v>
      </c>
      <c r="G220" s="43"/>
      <c r="H220" s="43"/>
      <c r="I220" s="43"/>
      <c r="J220" s="43"/>
      <c r="K220" s="43"/>
      <c r="L220" s="43"/>
      <c r="M220" s="43"/>
      <c r="N220" s="43"/>
    </row>
    <row r="221" spans="1:14" x14ac:dyDescent="0.35">
      <c r="A221" s="37" t="s">
        <v>1225</v>
      </c>
      <c r="B221" s="56" t="s">
        <v>1301</v>
      </c>
      <c r="C221" s="56" t="s">
        <v>1302</v>
      </c>
      <c r="D221" s="56" t="s">
        <v>1303</v>
      </c>
      <c r="E221" s="57">
        <v>26</v>
      </c>
      <c r="F221" s="58">
        <v>126</v>
      </c>
      <c r="G221" s="43"/>
      <c r="H221" s="43"/>
      <c r="I221" s="43"/>
      <c r="J221" s="43"/>
      <c r="K221" s="43"/>
      <c r="L221" s="43"/>
      <c r="M221" s="43"/>
      <c r="N221" s="43"/>
    </row>
    <row r="222" spans="1:14" x14ac:dyDescent="0.35">
      <c r="A222" s="37" t="s">
        <v>1225</v>
      </c>
      <c r="B222" s="56" t="s">
        <v>1304</v>
      </c>
      <c r="C222" s="56" t="s">
        <v>1305</v>
      </c>
      <c r="D222" s="56" t="s">
        <v>1306</v>
      </c>
      <c r="E222" s="57">
        <v>27</v>
      </c>
      <c r="F222" s="58">
        <v>127</v>
      </c>
      <c r="G222" s="43"/>
      <c r="H222" s="43"/>
      <c r="I222" s="43"/>
      <c r="J222" s="43"/>
      <c r="K222" s="43"/>
      <c r="L222" s="43"/>
      <c r="M222" s="43"/>
      <c r="N222" s="43"/>
    </row>
    <row r="223" spans="1:14" x14ac:dyDescent="0.35">
      <c r="A223" s="37" t="s">
        <v>1225</v>
      </c>
      <c r="B223" s="56" t="s">
        <v>1307</v>
      </c>
      <c r="C223" s="56" t="s">
        <v>1308</v>
      </c>
      <c r="D223" s="56" t="s">
        <v>1309</v>
      </c>
      <c r="E223" s="57">
        <v>28</v>
      </c>
      <c r="F223" s="58">
        <v>128</v>
      </c>
      <c r="G223" s="43"/>
      <c r="H223" s="43"/>
      <c r="I223" s="43"/>
      <c r="J223" s="43"/>
      <c r="K223" s="43"/>
      <c r="L223" s="43"/>
      <c r="M223" s="43"/>
      <c r="N223" s="43"/>
    </row>
    <row r="224" spans="1:14" x14ac:dyDescent="0.35">
      <c r="A224" s="37" t="s">
        <v>1225</v>
      </c>
      <c r="B224" s="56" t="s">
        <v>1310</v>
      </c>
      <c r="C224" s="56" t="s">
        <v>1311</v>
      </c>
      <c r="D224" s="56" t="s">
        <v>1312</v>
      </c>
      <c r="E224" s="57">
        <v>29</v>
      </c>
      <c r="F224" s="58">
        <v>129</v>
      </c>
      <c r="G224" s="43"/>
      <c r="H224" s="43"/>
      <c r="I224" s="43"/>
      <c r="J224" s="43"/>
      <c r="K224" s="43"/>
      <c r="L224" s="43"/>
      <c r="M224" s="43"/>
      <c r="N224" s="43"/>
    </row>
    <row r="225" spans="1:14" x14ac:dyDescent="0.35">
      <c r="A225" s="37" t="s">
        <v>1225</v>
      </c>
      <c r="B225" s="56" t="s">
        <v>1313</v>
      </c>
      <c r="C225" s="56" t="s">
        <v>1314</v>
      </c>
      <c r="D225" s="56" t="s">
        <v>1315</v>
      </c>
      <c r="E225" s="57">
        <v>30</v>
      </c>
      <c r="F225" s="58">
        <v>130</v>
      </c>
      <c r="G225" s="43"/>
      <c r="H225" s="43"/>
      <c r="I225" s="43"/>
      <c r="J225" s="43"/>
      <c r="K225" s="43"/>
      <c r="L225" s="43"/>
      <c r="M225" s="43"/>
      <c r="N225" s="43"/>
    </row>
    <row r="226" spans="1:14" x14ac:dyDescent="0.35">
      <c r="A226" s="37" t="s">
        <v>1225</v>
      </c>
      <c r="B226" s="56" t="s">
        <v>1316</v>
      </c>
      <c r="C226" s="56" t="s">
        <v>1317</v>
      </c>
      <c r="D226" s="56" t="s">
        <v>1318</v>
      </c>
      <c r="E226" s="57">
        <v>761</v>
      </c>
      <c r="F226" s="58">
        <v>2461</v>
      </c>
      <c r="G226" s="43"/>
      <c r="H226" s="43"/>
      <c r="I226" s="43"/>
      <c r="J226" s="43"/>
      <c r="K226" s="43"/>
      <c r="L226" s="43"/>
      <c r="M226" s="43"/>
      <c r="N226" s="43"/>
    </row>
    <row r="227" spans="1:14" x14ac:dyDescent="0.35">
      <c r="A227" s="37" t="s">
        <v>1225</v>
      </c>
      <c r="B227" s="56" t="s">
        <v>1319</v>
      </c>
      <c r="C227" s="56" t="s">
        <v>1320</v>
      </c>
      <c r="D227" s="56" t="s">
        <v>1294</v>
      </c>
      <c r="E227" s="57">
        <v>105</v>
      </c>
      <c r="F227" s="58">
        <v>405</v>
      </c>
      <c r="G227" s="43"/>
      <c r="H227" s="43"/>
      <c r="I227" s="43"/>
      <c r="J227" s="43"/>
      <c r="K227" s="43"/>
      <c r="L227" s="43"/>
      <c r="M227" s="43"/>
      <c r="N227" s="43"/>
    </row>
    <row r="228" spans="1:14" x14ac:dyDescent="0.35">
      <c r="A228" s="37" t="s">
        <v>1225</v>
      </c>
      <c r="B228" s="56" t="s">
        <v>1321</v>
      </c>
      <c r="C228" s="56" t="s">
        <v>1322</v>
      </c>
      <c r="D228" s="56" t="s">
        <v>1133</v>
      </c>
      <c r="E228" s="57">
        <v>69</v>
      </c>
      <c r="F228" s="58">
        <v>269</v>
      </c>
      <c r="G228" s="43"/>
      <c r="H228" s="43"/>
      <c r="I228" s="43"/>
      <c r="J228" s="43"/>
      <c r="K228" s="43"/>
      <c r="L228" s="43"/>
      <c r="M228" s="43"/>
      <c r="N228" s="43"/>
    </row>
    <row r="229" spans="1:14" x14ac:dyDescent="0.35">
      <c r="A229" s="37" t="s">
        <v>1225</v>
      </c>
      <c r="B229" s="56" t="s">
        <v>1323</v>
      </c>
      <c r="C229" s="56" t="s">
        <v>1324</v>
      </c>
      <c r="D229" s="56" t="s">
        <v>1136</v>
      </c>
      <c r="E229" s="57">
        <v>34</v>
      </c>
      <c r="F229" s="58">
        <v>134</v>
      </c>
      <c r="G229" s="43"/>
      <c r="H229" s="43"/>
      <c r="I229" s="43"/>
      <c r="J229" s="43"/>
      <c r="K229" s="43"/>
      <c r="L229" s="43"/>
      <c r="M229" s="43"/>
      <c r="N229" s="43"/>
    </row>
    <row r="230" spans="1:14" x14ac:dyDescent="0.35">
      <c r="A230" s="37" t="s">
        <v>1225</v>
      </c>
      <c r="B230" s="56" t="s">
        <v>1325</v>
      </c>
      <c r="C230" s="56" t="s">
        <v>1326</v>
      </c>
      <c r="D230" s="56" t="s">
        <v>1139</v>
      </c>
      <c r="E230" s="57">
        <v>35</v>
      </c>
      <c r="F230" s="58">
        <v>135</v>
      </c>
      <c r="G230" s="43"/>
      <c r="H230" s="43"/>
      <c r="I230" s="43"/>
      <c r="J230" s="43"/>
      <c r="K230" s="43"/>
      <c r="L230" s="43"/>
      <c r="M230" s="43"/>
      <c r="N230" s="43"/>
    </row>
    <row r="231" spans="1:14" x14ac:dyDescent="0.35">
      <c r="A231" s="37" t="s">
        <v>1225</v>
      </c>
      <c r="B231" s="56" t="s">
        <v>1327</v>
      </c>
      <c r="C231" s="56" t="s">
        <v>1328</v>
      </c>
      <c r="D231" s="56" t="s">
        <v>1142</v>
      </c>
      <c r="E231" s="57">
        <v>36</v>
      </c>
      <c r="F231" s="58">
        <v>136</v>
      </c>
      <c r="G231" s="43"/>
      <c r="H231" s="43"/>
      <c r="I231" s="43"/>
      <c r="J231" s="43"/>
      <c r="K231" s="43"/>
      <c r="L231" s="43"/>
      <c r="M231" s="43"/>
      <c r="N231" s="43"/>
    </row>
    <row r="232" spans="1:14" x14ac:dyDescent="0.35">
      <c r="A232" s="37" t="s">
        <v>1225</v>
      </c>
      <c r="B232" s="56" t="s">
        <v>1329</v>
      </c>
      <c r="C232" s="56" t="s">
        <v>1330</v>
      </c>
      <c r="D232" s="56" t="s">
        <v>1331</v>
      </c>
      <c r="E232" s="57">
        <v>120</v>
      </c>
      <c r="F232" s="58">
        <v>420</v>
      </c>
      <c r="G232" s="43"/>
      <c r="H232" s="43"/>
      <c r="I232" s="43"/>
      <c r="J232" s="43"/>
      <c r="K232" s="43"/>
      <c r="L232" s="43"/>
      <c r="M232" s="43"/>
      <c r="N232" s="43"/>
    </row>
    <row r="233" spans="1:14" x14ac:dyDescent="0.35">
      <c r="A233" s="37" t="s">
        <v>1225</v>
      </c>
      <c r="B233" s="56" t="s">
        <v>1332</v>
      </c>
      <c r="C233" s="56" t="s">
        <v>1333</v>
      </c>
      <c r="D233" s="56" t="s">
        <v>1133</v>
      </c>
      <c r="E233" s="57">
        <v>79</v>
      </c>
      <c r="F233" s="58">
        <v>279</v>
      </c>
      <c r="G233" s="43"/>
      <c r="H233" s="43"/>
      <c r="I233" s="43"/>
      <c r="J233" s="43"/>
      <c r="K233" s="43"/>
      <c r="L233" s="43"/>
      <c r="M233" s="43"/>
      <c r="N233" s="43"/>
    </row>
    <row r="234" spans="1:14" x14ac:dyDescent="0.35">
      <c r="A234" s="37" t="s">
        <v>1225</v>
      </c>
      <c r="B234" s="56" t="s">
        <v>1334</v>
      </c>
      <c r="C234" s="56" t="s">
        <v>1335</v>
      </c>
      <c r="D234" s="56" t="s">
        <v>1136</v>
      </c>
      <c r="E234" s="57">
        <v>39</v>
      </c>
      <c r="F234" s="58">
        <v>139</v>
      </c>
      <c r="G234" s="43"/>
      <c r="H234" s="43"/>
      <c r="I234" s="43"/>
      <c r="J234" s="43"/>
      <c r="K234" s="43"/>
      <c r="L234" s="43"/>
      <c r="M234" s="43"/>
      <c r="N234" s="43"/>
    </row>
    <row r="235" spans="1:14" x14ac:dyDescent="0.35">
      <c r="A235" s="37" t="s">
        <v>1225</v>
      </c>
      <c r="B235" s="56" t="s">
        <v>1336</v>
      </c>
      <c r="C235" s="56" t="s">
        <v>1337</v>
      </c>
      <c r="D235" s="56" t="s">
        <v>1139</v>
      </c>
      <c r="E235" s="57">
        <v>40</v>
      </c>
      <c r="F235" s="58">
        <v>140</v>
      </c>
      <c r="G235" s="43"/>
      <c r="H235" s="43"/>
      <c r="I235" s="43"/>
      <c r="J235" s="43"/>
      <c r="K235" s="43"/>
      <c r="L235" s="43"/>
      <c r="M235" s="43"/>
      <c r="N235" s="43"/>
    </row>
    <row r="236" spans="1:14" x14ac:dyDescent="0.35">
      <c r="A236" s="37" t="s">
        <v>1225</v>
      </c>
      <c r="B236" s="56" t="s">
        <v>1338</v>
      </c>
      <c r="C236" s="56" t="s">
        <v>1339</v>
      </c>
      <c r="D236" s="56" t="s">
        <v>1142</v>
      </c>
      <c r="E236" s="57">
        <v>41</v>
      </c>
      <c r="F236" s="58">
        <v>141</v>
      </c>
      <c r="G236" s="43"/>
      <c r="H236" s="43"/>
      <c r="I236" s="43"/>
      <c r="J236" s="43"/>
      <c r="K236" s="43"/>
      <c r="L236" s="43"/>
      <c r="M236" s="43"/>
      <c r="N236" s="43"/>
    </row>
    <row r="237" spans="1:14" x14ac:dyDescent="0.35">
      <c r="A237" s="37" t="s">
        <v>1225</v>
      </c>
      <c r="B237" s="56" t="s">
        <v>1340</v>
      </c>
      <c r="C237" s="56" t="s">
        <v>1341</v>
      </c>
      <c r="D237" s="56" t="s">
        <v>1342</v>
      </c>
      <c r="E237" s="57">
        <v>482</v>
      </c>
      <c r="F237" s="58">
        <v>1482</v>
      </c>
      <c r="G237" s="43"/>
      <c r="H237" s="43"/>
      <c r="I237" s="43"/>
      <c r="J237" s="43"/>
      <c r="K237" s="43"/>
      <c r="L237" s="43"/>
      <c r="M237" s="43"/>
      <c r="N237" s="43"/>
    </row>
    <row r="238" spans="1:14" x14ac:dyDescent="0.35">
      <c r="A238" s="37" t="s">
        <v>1225</v>
      </c>
      <c r="B238" s="56" t="s">
        <v>1343</v>
      </c>
      <c r="C238" s="56" t="s">
        <v>1344</v>
      </c>
      <c r="D238" s="56" t="s">
        <v>1303</v>
      </c>
      <c r="E238" s="57">
        <v>43</v>
      </c>
      <c r="F238" s="58">
        <v>143</v>
      </c>
      <c r="G238" s="43"/>
      <c r="H238" s="43"/>
      <c r="I238" s="43"/>
      <c r="J238" s="43"/>
      <c r="K238" s="43"/>
      <c r="L238" s="43"/>
      <c r="M238" s="43"/>
      <c r="N238" s="43"/>
    </row>
    <row r="239" spans="1:14" x14ac:dyDescent="0.35">
      <c r="A239" s="37" t="s">
        <v>1225</v>
      </c>
      <c r="B239" s="56" t="s">
        <v>1345</v>
      </c>
      <c r="C239" s="56" t="s">
        <v>1346</v>
      </c>
      <c r="D239" s="56" t="s">
        <v>1306</v>
      </c>
      <c r="E239" s="57">
        <v>44</v>
      </c>
      <c r="F239" s="58">
        <v>144</v>
      </c>
      <c r="G239" s="43"/>
      <c r="H239" s="43"/>
      <c r="I239" s="43"/>
      <c r="J239" s="43"/>
      <c r="K239" s="43"/>
      <c r="L239" s="43"/>
      <c r="M239" s="43"/>
      <c r="N239" s="43"/>
    </row>
    <row r="240" spans="1:14" x14ac:dyDescent="0.35">
      <c r="A240" s="37" t="s">
        <v>1225</v>
      </c>
      <c r="B240" s="56" t="s">
        <v>1347</v>
      </c>
      <c r="C240" s="56" t="s">
        <v>1348</v>
      </c>
      <c r="D240" s="56" t="s">
        <v>1309</v>
      </c>
      <c r="E240" s="57">
        <v>45</v>
      </c>
      <c r="F240" s="58">
        <v>145</v>
      </c>
      <c r="G240" s="43"/>
      <c r="H240" s="43"/>
      <c r="I240" s="43"/>
      <c r="J240" s="43"/>
      <c r="K240" s="43"/>
      <c r="L240" s="43"/>
      <c r="M240" s="43"/>
      <c r="N240" s="43"/>
    </row>
    <row r="241" spans="1:14" x14ac:dyDescent="0.35">
      <c r="A241" s="37" t="s">
        <v>1225</v>
      </c>
      <c r="B241" s="56" t="s">
        <v>1349</v>
      </c>
      <c r="C241" s="56" t="s">
        <v>1350</v>
      </c>
      <c r="D241" s="56" t="s">
        <v>1351</v>
      </c>
      <c r="E241" s="57">
        <v>95</v>
      </c>
      <c r="F241" s="58">
        <v>295</v>
      </c>
      <c r="G241" s="43"/>
      <c r="H241" s="43"/>
      <c r="I241" s="43"/>
      <c r="J241" s="43"/>
      <c r="K241" s="43"/>
      <c r="L241" s="43"/>
      <c r="M241" s="43"/>
      <c r="N241" s="43"/>
    </row>
    <row r="242" spans="1:14" x14ac:dyDescent="0.35">
      <c r="A242" s="37" t="s">
        <v>1225</v>
      </c>
      <c r="B242" s="56" t="s">
        <v>1352</v>
      </c>
      <c r="C242" s="56" t="s">
        <v>1353</v>
      </c>
      <c r="D242" s="56" t="s">
        <v>1136</v>
      </c>
      <c r="E242" s="57">
        <v>47</v>
      </c>
      <c r="F242" s="58">
        <v>147</v>
      </c>
      <c r="G242" s="43"/>
      <c r="H242" s="43"/>
      <c r="I242" s="43"/>
      <c r="J242" s="43"/>
      <c r="K242" s="43"/>
      <c r="L242" s="43"/>
      <c r="M242" s="43"/>
      <c r="N242" s="43"/>
    </row>
    <row r="243" spans="1:14" x14ac:dyDescent="0.35">
      <c r="A243" s="37" t="s">
        <v>1225</v>
      </c>
      <c r="B243" s="56" t="s">
        <v>1354</v>
      </c>
      <c r="C243" s="56" t="s">
        <v>1355</v>
      </c>
      <c r="D243" s="56" t="s">
        <v>1139</v>
      </c>
      <c r="E243" s="57">
        <v>48</v>
      </c>
      <c r="F243" s="58">
        <v>148</v>
      </c>
      <c r="G243" s="43"/>
      <c r="H243" s="43"/>
      <c r="I243" s="43"/>
      <c r="J243" s="43"/>
      <c r="K243" s="43"/>
      <c r="L243" s="43"/>
      <c r="M243" s="43"/>
      <c r="N243" s="43"/>
    </row>
    <row r="244" spans="1:14" x14ac:dyDescent="0.35">
      <c r="A244" s="37" t="s">
        <v>1225</v>
      </c>
      <c r="B244" s="56" t="s">
        <v>1356</v>
      </c>
      <c r="C244" s="56" t="s">
        <v>1357</v>
      </c>
      <c r="D244" s="56" t="s">
        <v>1358</v>
      </c>
      <c r="E244" s="57">
        <v>49</v>
      </c>
      <c r="F244" s="58">
        <v>149</v>
      </c>
      <c r="G244" s="43"/>
      <c r="H244" s="43"/>
      <c r="I244" s="43"/>
      <c r="J244" s="43"/>
      <c r="K244" s="43"/>
      <c r="L244" s="43"/>
      <c r="M244" s="43"/>
      <c r="N244" s="43"/>
    </row>
    <row r="245" spans="1:14" x14ac:dyDescent="0.35">
      <c r="A245" s="37" t="s">
        <v>1225</v>
      </c>
      <c r="B245" s="56" t="s">
        <v>1359</v>
      </c>
      <c r="C245" s="56" t="s">
        <v>1360</v>
      </c>
      <c r="D245" s="56" t="s">
        <v>1361</v>
      </c>
      <c r="E245" s="57">
        <v>50</v>
      </c>
      <c r="F245" s="58">
        <v>150</v>
      </c>
      <c r="G245" s="43"/>
      <c r="H245" s="43"/>
      <c r="I245" s="43"/>
      <c r="J245" s="43"/>
      <c r="K245" s="43"/>
      <c r="L245" s="43"/>
      <c r="M245" s="43"/>
      <c r="N245" s="43"/>
    </row>
    <row r="246" spans="1:14" x14ac:dyDescent="0.35">
      <c r="A246" s="37" t="s">
        <v>1225</v>
      </c>
      <c r="B246" s="56" t="s">
        <v>1362</v>
      </c>
      <c r="C246" s="56" t="s">
        <v>1363</v>
      </c>
      <c r="D246" s="56" t="s">
        <v>1364</v>
      </c>
      <c r="E246" s="57">
        <v>51</v>
      </c>
      <c r="F246" s="58">
        <v>151</v>
      </c>
      <c r="G246" s="43"/>
      <c r="H246" s="43"/>
      <c r="I246" s="43"/>
      <c r="J246" s="43"/>
      <c r="K246" s="43"/>
      <c r="L246" s="43"/>
      <c r="M246" s="43"/>
      <c r="N246" s="43"/>
    </row>
    <row r="247" spans="1:14" x14ac:dyDescent="0.35">
      <c r="A247" s="37" t="s">
        <v>1225</v>
      </c>
      <c r="B247" s="56" t="s">
        <v>1365</v>
      </c>
      <c r="C247" s="56" t="s">
        <v>1366</v>
      </c>
      <c r="D247" s="56" t="s">
        <v>1367</v>
      </c>
      <c r="E247" s="57">
        <v>52</v>
      </c>
      <c r="F247" s="58">
        <v>152</v>
      </c>
      <c r="G247" s="43"/>
      <c r="H247" s="43"/>
      <c r="I247" s="43"/>
      <c r="J247" s="43"/>
      <c r="K247" s="43"/>
      <c r="L247" s="43"/>
      <c r="M247" s="43"/>
      <c r="N247" s="43"/>
    </row>
    <row r="248" spans="1:14" x14ac:dyDescent="0.35">
      <c r="A248" s="37" t="s">
        <v>1225</v>
      </c>
      <c r="B248" s="56" t="s">
        <v>1368</v>
      </c>
      <c r="C248" s="56" t="s">
        <v>1369</v>
      </c>
      <c r="D248" s="56" t="s">
        <v>1370</v>
      </c>
      <c r="E248" s="57">
        <v>53</v>
      </c>
      <c r="F248" s="58">
        <v>153</v>
      </c>
      <c r="G248" s="43"/>
      <c r="H248" s="43"/>
      <c r="I248" s="43"/>
      <c r="J248" s="43"/>
      <c r="K248" s="43"/>
      <c r="L248" s="43"/>
      <c r="M248" s="43"/>
      <c r="N248" s="43"/>
    </row>
    <row r="249" spans="1:14" x14ac:dyDescent="0.35">
      <c r="A249" s="37" t="s">
        <v>1225</v>
      </c>
      <c r="B249" s="56" t="s">
        <v>1371</v>
      </c>
      <c r="C249" s="56" t="s">
        <v>1372</v>
      </c>
      <c r="D249" s="56" t="s">
        <v>1373</v>
      </c>
      <c r="E249" s="57">
        <v>54</v>
      </c>
      <c r="F249" s="58">
        <v>154</v>
      </c>
      <c r="G249" s="43"/>
      <c r="H249" s="43"/>
      <c r="I249" s="43"/>
      <c r="J249" s="43"/>
      <c r="K249" s="43"/>
      <c r="L249" s="43"/>
      <c r="M249" s="43"/>
      <c r="N249" s="43"/>
    </row>
    <row r="250" spans="1:14" x14ac:dyDescent="0.35">
      <c r="A250" s="37" t="s">
        <v>1225</v>
      </c>
      <c r="B250" s="56" t="s">
        <v>1374</v>
      </c>
      <c r="C250" s="56" t="s">
        <v>1375</v>
      </c>
      <c r="D250" s="56" t="s">
        <v>1376</v>
      </c>
      <c r="E250" s="57">
        <v>173</v>
      </c>
      <c r="F250" s="58">
        <v>473</v>
      </c>
      <c r="G250" s="43"/>
      <c r="H250" s="43"/>
      <c r="I250" s="43"/>
      <c r="J250" s="43"/>
      <c r="K250" s="43"/>
      <c r="L250" s="43"/>
      <c r="M250" s="43"/>
      <c r="N250" s="43"/>
    </row>
    <row r="251" spans="1:14" x14ac:dyDescent="0.35">
      <c r="A251" s="37" t="s">
        <v>1225</v>
      </c>
      <c r="B251" s="56" t="s">
        <v>1377</v>
      </c>
      <c r="C251" s="56" t="s">
        <v>1378</v>
      </c>
      <c r="D251" s="56" t="s">
        <v>1379</v>
      </c>
      <c r="E251" s="57">
        <v>56</v>
      </c>
      <c r="F251" s="58">
        <v>156</v>
      </c>
      <c r="G251" s="43"/>
      <c r="H251" s="43"/>
      <c r="I251" s="43"/>
      <c r="J251" s="43"/>
      <c r="K251" s="43"/>
      <c r="L251" s="43"/>
      <c r="M251" s="43"/>
      <c r="N251" s="43"/>
    </row>
    <row r="252" spans="1:14" x14ac:dyDescent="0.35">
      <c r="A252" s="37" t="s">
        <v>1225</v>
      </c>
      <c r="B252" s="56" t="s">
        <v>1380</v>
      </c>
      <c r="C252" s="56" t="s">
        <v>1381</v>
      </c>
      <c r="D252" s="56" t="s">
        <v>1103</v>
      </c>
      <c r="E252" s="57">
        <v>117</v>
      </c>
      <c r="F252" s="58">
        <v>317</v>
      </c>
      <c r="G252" s="43"/>
      <c r="H252" s="43"/>
      <c r="I252" s="43"/>
      <c r="J252" s="43"/>
      <c r="K252" s="43"/>
      <c r="L252" s="43"/>
      <c r="M252" s="43"/>
      <c r="N252" s="43"/>
    </row>
    <row r="253" spans="1:14" x14ac:dyDescent="0.35">
      <c r="A253" s="37" t="s">
        <v>1225</v>
      </c>
      <c r="B253" s="56" t="s">
        <v>1382</v>
      </c>
      <c r="C253" s="56" t="s">
        <v>1383</v>
      </c>
      <c r="D253" s="56" t="s">
        <v>1285</v>
      </c>
      <c r="E253" s="57">
        <v>58</v>
      </c>
      <c r="F253" s="58">
        <v>158</v>
      </c>
      <c r="G253" s="43"/>
      <c r="H253" s="43"/>
      <c r="I253" s="43"/>
      <c r="J253" s="43"/>
      <c r="K253" s="43"/>
      <c r="L253" s="43"/>
      <c r="M253" s="43"/>
      <c r="N253" s="43"/>
    </row>
    <row r="254" spans="1:14" x14ac:dyDescent="0.35">
      <c r="A254" s="37" t="s">
        <v>1225</v>
      </c>
      <c r="B254" s="56" t="s">
        <v>1384</v>
      </c>
      <c r="C254" s="56" t="s">
        <v>1385</v>
      </c>
      <c r="D254" s="56" t="s">
        <v>1288</v>
      </c>
      <c r="E254" s="57">
        <v>59</v>
      </c>
      <c r="F254" s="58">
        <v>159</v>
      </c>
      <c r="G254" s="43"/>
      <c r="H254" s="43"/>
      <c r="I254" s="43"/>
      <c r="J254" s="43"/>
      <c r="K254" s="43"/>
      <c r="L254" s="43"/>
      <c r="M254" s="43"/>
      <c r="N254" s="43"/>
    </row>
    <row r="255" spans="1:14" ht="15" thickBot="1" x14ac:dyDescent="0.4">
      <c r="A255" s="46" t="s">
        <v>1225</v>
      </c>
      <c r="B255" s="60" t="s">
        <v>1386</v>
      </c>
      <c r="C255" s="60" t="s">
        <v>1387</v>
      </c>
      <c r="D255" s="60" t="s">
        <v>1388</v>
      </c>
      <c r="E255" s="61">
        <v>2613</v>
      </c>
      <c r="F255" s="62">
        <v>8613</v>
      </c>
      <c r="G255" s="43"/>
      <c r="H255" s="43"/>
      <c r="I255" s="43"/>
      <c r="J255" s="43"/>
      <c r="K255" s="43"/>
      <c r="L255" s="43"/>
      <c r="M255" s="43"/>
      <c r="N255" s="43"/>
    </row>
    <row r="256" spans="1:14" x14ac:dyDescent="0.35">
      <c r="A256" s="37" t="s">
        <v>1389</v>
      </c>
      <c r="B256" s="63" t="s">
        <v>1390</v>
      </c>
      <c r="C256" s="56" t="s">
        <v>1391</v>
      </c>
      <c r="D256" s="64" t="s">
        <v>1392</v>
      </c>
      <c r="E256" s="65">
        <v>18</v>
      </c>
      <c r="F256" s="66">
        <v>418</v>
      </c>
      <c r="G256" s="43"/>
      <c r="H256" s="67"/>
      <c r="I256" s="68"/>
      <c r="J256" s="68"/>
      <c r="K256" s="68"/>
      <c r="L256" s="69"/>
      <c r="M256" s="43"/>
      <c r="N256" s="43"/>
    </row>
    <row r="257" spans="1:14" x14ac:dyDescent="0.35">
      <c r="A257" s="37" t="s">
        <v>1389</v>
      </c>
      <c r="B257" s="63" t="s">
        <v>1393</v>
      </c>
      <c r="C257" s="56" t="s">
        <v>1394</v>
      </c>
      <c r="D257" s="56" t="s">
        <v>1395</v>
      </c>
      <c r="E257" s="65">
        <v>2</v>
      </c>
      <c r="F257" s="66">
        <v>102</v>
      </c>
      <c r="G257" s="43"/>
      <c r="H257" s="70"/>
      <c r="I257" s="67"/>
      <c r="J257" s="67"/>
      <c r="K257" s="67"/>
      <c r="L257" s="71">
        <v>0</v>
      </c>
      <c r="M257" s="43"/>
      <c r="N257" s="43"/>
    </row>
    <row r="258" spans="1:14" x14ac:dyDescent="0.35">
      <c r="A258" s="37" t="s">
        <v>1389</v>
      </c>
      <c r="B258" s="63" t="s">
        <v>1396</v>
      </c>
      <c r="C258" s="56" t="s">
        <v>1397</v>
      </c>
      <c r="D258" s="56" t="s">
        <v>1398</v>
      </c>
      <c r="E258" s="65">
        <v>3</v>
      </c>
      <c r="F258" s="66">
        <v>103</v>
      </c>
      <c r="G258" s="43"/>
      <c r="H258" s="70"/>
      <c r="I258" s="43"/>
      <c r="J258" s="70"/>
      <c r="K258" s="70"/>
      <c r="L258" s="71"/>
      <c r="M258" s="43"/>
      <c r="N258" s="43"/>
    </row>
    <row r="259" spans="1:14" x14ac:dyDescent="0.35">
      <c r="A259" s="37" t="s">
        <v>1389</v>
      </c>
      <c r="B259" s="63" t="s">
        <v>1399</v>
      </c>
      <c r="C259" s="56" t="s">
        <v>1400</v>
      </c>
      <c r="D259" s="56" t="s">
        <v>1401</v>
      </c>
      <c r="E259" s="65">
        <v>4</v>
      </c>
      <c r="F259" s="66">
        <v>104</v>
      </c>
      <c r="G259" s="43"/>
      <c r="H259" s="67"/>
      <c r="I259" s="70"/>
      <c r="J259" s="70"/>
      <c r="K259" s="71"/>
      <c r="L259" s="43"/>
      <c r="M259" s="43"/>
      <c r="N259" s="43"/>
    </row>
    <row r="260" spans="1:14" x14ac:dyDescent="0.35">
      <c r="A260" s="37" t="s">
        <v>1389</v>
      </c>
      <c r="B260" s="63" t="s">
        <v>1402</v>
      </c>
      <c r="C260" s="56" t="s">
        <v>1403</v>
      </c>
      <c r="D260" s="56" t="s">
        <v>1404</v>
      </c>
      <c r="E260" s="65">
        <v>5</v>
      </c>
      <c r="F260" s="66">
        <v>105</v>
      </c>
      <c r="G260" s="43"/>
      <c r="H260" s="67"/>
      <c r="I260" s="67"/>
      <c r="J260" s="67"/>
      <c r="K260" s="72"/>
      <c r="L260" s="43"/>
      <c r="M260" s="43"/>
      <c r="N260" s="43"/>
    </row>
    <row r="261" spans="1:14" x14ac:dyDescent="0.35">
      <c r="A261" s="37" t="s">
        <v>1389</v>
      </c>
      <c r="B261" s="63" t="s">
        <v>1405</v>
      </c>
      <c r="C261" s="56" t="s">
        <v>1406</v>
      </c>
      <c r="D261" s="56" t="s">
        <v>1407</v>
      </c>
      <c r="E261" s="65">
        <v>6</v>
      </c>
      <c r="F261" s="66">
        <v>106</v>
      </c>
      <c r="G261" s="43"/>
      <c r="H261" s="73"/>
      <c r="I261" s="67"/>
      <c r="J261" s="67"/>
      <c r="K261" s="72"/>
      <c r="L261" s="43"/>
      <c r="M261" s="43"/>
      <c r="N261" s="43"/>
    </row>
    <row r="262" spans="1:14" ht="15.75" customHeight="1" x14ac:dyDescent="0.35">
      <c r="A262" s="37" t="s">
        <v>1389</v>
      </c>
      <c r="B262" s="63" t="s">
        <v>1408</v>
      </c>
      <c r="C262" s="56" t="s">
        <v>1409</v>
      </c>
      <c r="D262" s="56" t="s">
        <v>1410</v>
      </c>
      <c r="E262" s="65">
        <v>98</v>
      </c>
      <c r="F262" s="66">
        <v>898</v>
      </c>
      <c r="G262" s="43"/>
      <c r="H262" s="70"/>
      <c r="I262" s="74"/>
      <c r="J262" s="74"/>
      <c r="K262" s="74"/>
      <c r="L262" s="43"/>
      <c r="M262" s="43"/>
      <c r="N262" s="43"/>
    </row>
    <row r="263" spans="1:14" x14ac:dyDescent="0.35">
      <c r="A263" s="37" t="s">
        <v>1389</v>
      </c>
      <c r="B263" s="63" t="s">
        <v>1411</v>
      </c>
      <c r="C263" s="56" t="s">
        <v>1412</v>
      </c>
      <c r="D263" s="56" t="s">
        <v>1413</v>
      </c>
      <c r="E263" s="65">
        <v>8</v>
      </c>
      <c r="F263" s="66">
        <v>108</v>
      </c>
      <c r="G263" s="43"/>
      <c r="H263" s="67"/>
      <c r="I263" s="70"/>
      <c r="J263" s="70"/>
      <c r="K263" s="70"/>
      <c r="L263" s="71"/>
      <c r="M263" s="43"/>
      <c r="N263" s="43"/>
    </row>
    <row r="264" spans="1:14" x14ac:dyDescent="0.35">
      <c r="A264" s="37" t="s">
        <v>1389</v>
      </c>
      <c r="B264" s="63" t="s">
        <v>1414</v>
      </c>
      <c r="C264" s="56" t="s">
        <v>1415</v>
      </c>
      <c r="D264" s="56" t="s">
        <v>1416</v>
      </c>
      <c r="E264" s="65">
        <v>9</v>
      </c>
      <c r="F264" s="66">
        <v>109</v>
      </c>
      <c r="G264" s="43"/>
      <c r="H264" s="70"/>
      <c r="I264" s="67"/>
      <c r="J264" s="67"/>
      <c r="K264" s="67"/>
      <c r="L264" s="71"/>
      <c r="M264" s="43"/>
      <c r="N264" s="43"/>
    </row>
    <row r="265" spans="1:14" x14ac:dyDescent="0.35">
      <c r="A265" s="37" t="s">
        <v>1389</v>
      </c>
      <c r="B265" s="63" t="s">
        <v>1417</v>
      </c>
      <c r="C265" s="56" t="s">
        <v>1418</v>
      </c>
      <c r="D265" s="56" t="s">
        <v>1419</v>
      </c>
      <c r="E265" s="65">
        <v>10</v>
      </c>
      <c r="F265" s="66">
        <v>110</v>
      </c>
      <c r="G265" s="43"/>
      <c r="H265" s="70"/>
      <c r="I265" s="43"/>
      <c r="J265" s="70"/>
      <c r="K265" s="70"/>
      <c r="L265" s="71"/>
      <c r="M265" s="43"/>
      <c r="N265" s="43"/>
    </row>
    <row r="266" spans="1:14" x14ac:dyDescent="0.35">
      <c r="A266" s="37" t="s">
        <v>1389</v>
      </c>
      <c r="B266" s="63" t="s">
        <v>1420</v>
      </c>
      <c r="C266" s="56" t="s">
        <v>1421</v>
      </c>
      <c r="D266" s="56" t="s">
        <v>1422</v>
      </c>
      <c r="E266" s="65">
        <v>11</v>
      </c>
      <c r="F266" s="66">
        <v>111</v>
      </c>
      <c r="G266" s="43"/>
      <c r="H266" s="70"/>
      <c r="I266" s="43"/>
      <c r="J266" s="70"/>
      <c r="K266" s="70"/>
      <c r="L266" s="75"/>
      <c r="M266" s="43"/>
      <c r="N266" s="43"/>
    </row>
    <row r="267" spans="1:14" x14ac:dyDescent="0.35">
      <c r="A267" s="37" t="s">
        <v>1389</v>
      </c>
      <c r="B267" s="63" t="s">
        <v>1423</v>
      </c>
      <c r="C267" s="56" t="s">
        <v>1424</v>
      </c>
      <c r="D267" s="56" t="s">
        <v>1425</v>
      </c>
      <c r="E267" s="65">
        <v>12</v>
      </c>
      <c r="F267" s="66">
        <v>112</v>
      </c>
      <c r="G267" s="43"/>
      <c r="H267" s="70"/>
      <c r="I267" s="43"/>
      <c r="J267" s="70"/>
      <c r="K267" s="70"/>
      <c r="L267" s="71"/>
      <c r="M267" s="43"/>
      <c r="N267" s="43"/>
    </row>
    <row r="268" spans="1:14" x14ac:dyDescent="0.35">
      <c r="A268" s="37" t="s">
        <v>1389</v>
      </c>
      <c r="B268" s="63" t="s">
        <v>1426</v>
      </c>
      <c r="C268" s="56" t="s">
        <v>1427</v>
      </c>
      <c r="D268" s="56" t="s">
        <v>1428</v>
      </c>
      <c r="E268" s="65">
        <v>13</v>
      </c>
      <c r="F268" s="66">
        <v>113</v>
      </c>
      <c r="G268" s="43"/>
      <c r="H268" s="76"/>
      <c r="I268" s="43"/>
      <c r="J268" s="70"/>
      <c r="K268" s="70"/>
      <c r="L268" s="71"/>
      <c r="M268" s="43"/>
      <c r="N268" s="43"/>
    </row>
    <row r="269" spans="1:14" x14ac:dyDescent="0.35">
      <c r="A269" s="37" t="s">
        <v>1389</v>
      </c>
      <c r="B269" s="63" t="s">
        <v>1429</v>
      </c>
      <c r="C269" s="56" t="s">
        <v>1430</v>
      </c>
      <c r="D269" s="56" t="s">
        <v>1431</v>
      </c>
      <c r="E269" s="65">
        <v>14</v>
      </c>
      <c r="F269" s="66">
        <v>114</v>
      </c>
      <c r="G269" s="43"/>
      <c r="H269" s="70"/>
      <c r="I269" s="43"/>
      <c r="J269" s="70"/>
      <c r="K269" s="70"/>
      <c r="L269" s="71"/>
      <c r="M269" s="43"/>
      <c r="N269" s="43"/>
    </row>
    <row r="270" spans="1:14" x14ac:dyDescent="0.35">
      <c r="A270" s="37" t="s">
        <v>1389</v>
      </c>
      <c r="B270" s="63" t="s">
        <v>1432</v>
      </c>
      <c r="C270" s="56" t="s">
        <v>1433</v>
      </c>
      <c r="D270" s="56" t="s">
        <v>1434</v>
      </c>
      <c r="E270" s="65">
        <v>15</v>
      </c>
      <c r="F270" s="66">
        <v>115</v>
      </c>
      <c r="G270" s="43"/>
      <c r="H270" s="70"/>
      <c r="I270" s="43"/>
      <c r="J270" s="70"/>
      <c r="K270" s="70"/>
      <c r="L270" s="71"/>
      <c r="M270" s="43"/>
      <c r="N270" s="43"/>
    </row>
    <row r="271" spans="1:14" x14ac:dyDescent="0.35">
      <c r="A271" s="37" t="s">
        <v>1389</v>
      </c>
      <c r="B271" s="63" t="s">
        <v>1435</v>
      </c>
      <c r="C271" s="56" t="s">
        <v>1436</v>
      </c>
      <c r="D271" s="56" t="s">
        <v>1437</v>
      </c>
      <c r="E271" s="65">
        <v>16</v>
      </c>
      <c r="F271" s="66">
        <v>116</v>
      </c>
      <c r="G271" s="43"/>
      <c r="H271" s="76"/>
      <c r="I271" s="43"/>
      <c r="J271" s="70"/>
      <c r="K271" s="70"/>
      <c r="L271" s="71"/>
      <c r="M271" s="43"/>
      <c r="N271" s="43"/>
    </row>
    <row r="272" spans="1:14" x14ac:dyDescent="0.35">
      <c r="A272" s="37" t="s">
        <v>1389</v>
      </c>
      <c r="B272" s="63" t="s">
        <v>1438</v>
      </c>
      <c r="C272" s="56" t="s">
        <v>1439</v>
      </c>
      <c r="D272" s="56" t="s">
        <v>1440</v>
      </c>
      <c r="E272" s="65">
        <v>17</v>
      </c>
      <c r="F272" s="66">
        <v>117</v>
      </c>
      <c r="G272" s="43"/>
      <c r="H272" s="70"/>
      <c r="I272" s="43"/>
      <c r="J272" s="70"/>
      <c r="K272" s="70"/>
      <c r="L272" s="71"/>
      <c r="M272" s="43"/>
      <c r="N272" s="43"/>
    </row>
    <row r="273" spans="1:14" x14ac:dyDescent="0.35">
      <c r="A273" s="37" t="s">
        <v>1389</v>
      </c>
      <c r="B273" s="63" t="s">
        <v>1441</v>
      </c>
      <c r="C273" s="56" t="s">
        <v>1442</v>
      </c>
      <c r="D273" s="56" t="s">
        <v>1443</v>
      </c>
      <c r="E273" s="65">
        <v>-80</v>
      </c>
      <c r="F273" s="66">
        <v>-480</v>
      </c>
      <c r="G273" s="43"/>
      <c r="H273" s="70"/>
      <c r="I273" s="43"/>
      <c r="J273" s="70"/>
      <c r="K273" s="70"/>
      <c r="L273" s="71"/>
      <c r="M273" s="43"/>
      <c r="N273" s="43"/>
    </row>
    <row r="274" spans="1:14" x14ac:dyDescent="0.35">
      <c r="A274" s="37" t="s">
        <v>1389</v>
      </c>
      <c r="B274" s="63" t="s">
        <v>1444</v>
      </c>
      <c r="C274" s="56" t="s">
        <v>1445</v>
      </c>
      <c r="D274" s="56" t="s">
        <v>1446</v>
      </c>
      <c r="E274" s="65">
        <v>86</v>
      </c>
      <c r="F274" s="66">
        <v>486</v>
      </c>
      <c r="G274" s="43"/>
      <c r="H274" s="77"/>
      <c r="I274" s="43"/>
      <c r="J274" s="70"/>
      <c r="K274" s="70"/>
      <c r="L274" s="71"/>
      <c r="M274" s="43"/>
      <c r="N274" s="43"/>
    </row>
    <row r="275" spans="1:14" x14ac:dyDescent="0.35">
      <c r="A275" s="37" t="s">
        <v>1389</v>
      </c>
      <c r="B275" s="63" t="s">
        <v>1447</v>
      </c>
      <c r="C275" s="56" t="s">
        <v>1448</v>
      </c>
      <c r="D275" s="56" t="s">
        <v>1449</v>
      </c>
      <c r="E275" s="65">
        <v>20</v>
      </c>
      <c r="F275" s="66">
        <v>120</v>
      </c>
      <c r="G275" s="43"/>
      <c r="H275" s="67"/>
      <c r="I275" s="77"/>
      <c r="J275" s="77"/>
      <c r="K275" s="77"/>
      <c r="L275" s="71"/>
      <c r="M275" s="43"/>
      <c r="N275" s="43"/>
    </row>
    <row r="276" spans="1:14" x14ac:dyDescent="0.35">
      <c r="A276" s="37" t="s">
        <v>1389</v>
      </c>
      <c r="B276" s="63" t="s">
        <v>1450</v>
      </c>
      <c r="C276" s="56" t="s">
        <v>1451</v>
      </c>
      <c r="D276" s="56" t="s">
        <v>1452</v>
      </c>
      <c r="E276" s="65">
        <v>21</v>
      </c>
      <c r="F276" s="66">
        <v>121</v>
      </c>
      <c r="G276" s="43"/>
      <c r="H276" s="77"/>
      <c r="I276" s="67"/>
      <c r="J276" s="67"/>
      <c r="K276" s="67"/>
      <c r="L276" s="71"/>
      <c r="M276" s="43"/>
      <c r="N276" s="43"/>
    </row>
    <row r="277" spans="1:14" x14ac:dyDescent="0.35">
      <c r="A277" s="37" t="s">
        <v>1389</v>
      </c>
      <c r="B277" s="63" t="s">
        <v>1453</v>
      </c>
      <c r="C277" s="56" t="s">
        <v>1454</v>
      </c>
      <c r="D277" s="56" t="s">
        <v>1455</v>
      </c>
      <c r="E277" s="65">
        <v>22</v>
      </c>
      <c r="F277" s="66">
        <v>122</v>
      </c>
      <c r="G277" s="43"/>
      <c r="H277" s="67"/>
      <c r="I277" s="77"/>
      <c r="J277" s="77"/>
      <c r="K277" s="77"/>
      <c r="L277" s="71"/>
      <c r="M277" s="43"/>
      <c r="N277" s="43"/>
    </row>
    <row r="278" spans="1:14" x14ac:dyDescent="0.35">
      <c r="A278" s="37" t="s">
        <v>1389</v>
      </c>
      <c r="B278" s="63" t="s">
        <v>1456</v>
      </c>
      <c r="C278" s="56" t="s">
        <v>1457</v>
      </c>
      <c r="D278" s="56" t="s">
        <v>1458</v>
      </c>
      <c r="E278" s="65">
        <v>23</v>
      </c>
      <c r="F278" s="66">
        <v>123</v>
      </c>
      <c r="G278" s="43"/>
      <c r="H278" s="76"/>
      <c r="I278" s="67"/>
      <c r="J278" s="67"/>
      <c r="K278" s="67"/>
      <c r="L278" s="71"/>
      <c r="M278" s="43"/>
      <c r="N278" s="43"/>
    </row>
    <row r="279" spans="1:14" x14ac:dyDescent="0.35">
      <c r="A279" s="37" t="s">
        <v>1389</v>
      </c>
      <c r="B279" s="63" t="s">
        <v>1459</v>
      </c>
      <c r="C279" s="56" t="s">
        <v>1460</v>
      </c>
      <c r="D279" s="56" t="s">
        <v>1461</v>
      </c>
      <c r="E279" s="65">
        <v>78</v>
      </c>
      <c r="F279" s="66">
        <v>378</v>
      </c>
      <c r="G279" s="43"/>
      <c r="H279" s="76"/>
      <c r="I279" s="70"/>
      <c r="J279" s="70"/>
      <c r="K279" s="70"/>
      <c r="L279" s="71"/>
      <c r="M279" s="43"/>
      <c r="N279" s="43"/>
    </row>
    <row r="280" spans="1:14" x14ac:dyDescent="0.35">
      <c r="A280" s="37" t="s">
        <v>1389</v>
      </c>
      <c r="B280" s="63" t="s">
        <v>1462</v>
      </c>
      <c r="C280" s="56" t="s">
        <v>1463</v>
      </c>
      <c r="D280" s="56" t="s">
        <v>1464</v>
      </c>
      <c r="E280" s="65">
        <v>25</v>
      </c>
      <c r="F280" s="66">
        <v>125</v>
      </c>
      <c r="G280" s="43"/>
      <c r="H280" s="76"/>
      <c r="I280" s="70"/>
      <c r="J280" s="70"/>
      <c r="K280" s="70"/>
      <c r="L280" s="71"/>
      <c r="M280" s="43"/>
      <c r="N280" s="43"/>
    </row>
    <row r="281" spans="1:14" x14ac:dyDescent="0.35">
      <c r="A281" s="37" t="s">
        <v>1389</v>
      </c>
      <c r="B281" s="63" t="s">
        <v>1465</v>
      </c>
      <c r="C281" s="56" t="s">
        <v>1466</v>
      </c>
      <c r="D281" s="56" t="s">
        <v>1467</v>
      </c>
      <c r="E281" s="65">
        <v>26</v>
      </c>
      <c r="F281" s="66">
        <v>126</v>
      </c>
      <c r="G281" s="43"/>
      <c r="H281" s="76"/>
      <c r="I281" s="70"/>
      <c r="J281" s="70"/>
      <c r="K281" s="70"/>
      <c r="L281" s="71"/>
      <c r="M281" s="43"/>
      <c r="N281" s="43"/>
    </row>
    <row r="282" spans="1:14" x14ac:dyDescent="0.35">
      <c r="A282" s="37" t="s">
        <v>1389</v>
      </c>
      <c r="B282" s="63" t="s">
        <v>1468</v>
      </c>
      <c r="C282" s="56" t="s">
        <v>1469</v>
      </c>
      <c r="D282" s="56" t="s">
        <v>1470</v>
      </c>
      <c r="E282" s="65">
        <v>27</v>
      </c>
      <c r="F282" s="66">
        <v>127</v>
      </c>
      <c r="G282" s="43"/>
      <c r="H282" s="70"/>
      <c r="I282" s="70"/>
      <c r="J282" s="70"/>
      <c r="K282" s="70"/>
      <c r="L282" s="71"/>
      <c r="M282" s="43"/>
      <c r="N282" s="43"/>
    </row>
    <row r="283" spans="1:14" x14ac:dyDescent="0.35">
      <c r="A283" s="37" t="s">
        <v>1389</v>
      </c>
      <c r="B283" s="63" t="s">
        <v>1471</v>
      </c>
      <c r="C283" s="56" t="s">
        <v>1472</v>
      </c>
      <c r="D283" s="56" t="s">
        <v>1473</v>
      </c>
      <c r="E283" s="65">
        <v>-72</v>
      </c>
      <c r="F283" s="66">
        <v>-372</v>
      </c>
      <c r="G283" s="43"/>
      <c r="H283" s="67"/>
      <c r="I283" s="70"/>
      <c r="J283" s="70"/>
      <c r="K283" s="70"/>
      <c r="L283" s="71"/>
      <c r="M283" s="43"/>
      <c r="N283" s="43"/>
    </row>
    <row r="284" spans="1:14" x14ac:dyDescent="0.35">
      <c r="A284" s="37" t="s">
        <v>1389</v>
      </c>
      <c r="B284" s="63" t="s">
        <v>1474</v>
      </c>
      <c r="C284" s="56" t="s">
        <v>1475</v>
      </c>
      <c r="D284" s="56" t="s">
        <v>1476</v>
      </c>
      <c r="E284" s="65">
        <v>215</v>
      </c>
      <c r="F284" s="66">
        <v>815</v>
      </c>
      <c r="G284" s="43"/>
      <c r="H284" s="76"/>
      <c r="I284" s="67"/>
      <c r="J284" s="67"/>
      <c r="K284" s="67"/>
      <c r="L284" s="71"/>
      <c r="M284" s="43"/>
      <c r="N284" s="43"/>
    </row>
    <row r="285" spans="1:14" x14ac:dyDescent="0.35">
      <c r="A285" s="37" t="s">
        <v>1389</v>
      </c>
      <c r="B285" s="63" t="s">
        <v>1477</v>
      </c>
      <c r="C285" s="56" t="s">
        <v>1478</v>
      </c>
      <c r="D285" s="57" t="s">
        <v>1479</v>
      </c>
      <c r="E285" s="65">
        <v>64</v>
      </c>
      <c r="F285" s="66">
        <v>264</v>
      </c>
      <c r="G285" s="43"/>
      <c r="H285" s="76"/>
      <c r="I285" s="70"/>
      <c r="J285" s="70"/>
      <c r="K285" s="70"/>
      <c r="L285" s="71"/>
      <c r="M285" s="43"/>
      <c r="N285" s="43"/>
    </row>
    <row r="286" spans="1:14" x14ac:dyDescent="0.35">
      <c r="A286" s="37" t="s">
        <v>1389</v>
      </c>
      <c r="B286" s="63" t="s">
        <v>1480</v>
      </c>
      <c r="C286" s="56" t="s">
        <v>1481</v>
      </c>
      <c r="D286" s="56" t="s">
        <v>1482</v>
      </c>
      <c r="E286" s="65">
        <v>31</v>
      </c>
      <c r="F286" s="66">
        <v>131</v>
      </c>
      <c r="G286" s="43"/>
      <c r="H286" s="76"/>
      <c r="I286" s="70"/>
      <c r="J286" s="70"/>
      <c r="K286" s="70"/>
      <c r="L286" s="71"/>
      <c r="M286" s="43"/>
      <c r="N286" s="43"/>
    </row>
    <row r="287" spans="1:14" x14ac:dyDescent="0.35">
      <c r="A287" s="37" t="s">
        <v>1389</v>
      </c>
      <c r="B287" s="63" t="s">
        <v>1483</v>
      </c>
      <c r="C287" s="56" t="s">
        <v>1484</v>
      </c>
      <c r="D287" s="56" t="s">
        <v>1485</v>
      </c>
      <c r="E287" s="65">
        <v>32</v>
      </c>
      <c r="F287" s="66">
        <v>132</v>
      </c>
      <c r="G287" s="43"/>
      <c r="H287" s="70"/>
      <c r="I287" s="70"/>
      <c r="J287" s="70"/>
      <c r="K287" s="70"/>
      <c r="L287" s="71"/>
      <c r="M287" s="43"/>
      <c r="N287" s="43"/>
    </row>
    <row r="288" spans="1:14" x14ac:dyDescent="0.35">
      <c r="A288" s="37" t="s">
        <v>1389</v>
      </c>
      <c r="B288" s="63" t="s">
        <v>1486</v>
      </c>
      <c r="C288" s="56" t="s">
        <v>1487</v>
      </c>
      <c r="D288" s="56" t="s">
        <v>1488</v>
      </c>
      <c r="E288" s="65">
        <v>33</v>
      </c>
      <c r="F288" s="66">
        <v>133</v>
      </c>
      <c r="G288" s="43"/>
      <c r="H288" s="67"/>
      <c r="I288" s="70"/>
      <c r="J288" s="70"/>
      <c r="K288" s="70"/>
      <c r="L288" s="71"/>
      <c r="M288" s="43"/>
      <c r="N288" s="43"/>
    </row>
    <row r="289" spans="1:14" x14ac:dyDescent="0.35">
      <c r="A289" s="37" t="s">
        <v>1389</v>
      </c>
      <c r="B289" s="63" t="s">
        <v>1489</v>
      </c>
      <c r="C289" s="56" t="s">
        <v>1490</v>
      </c>
      <c r="D289" s="56" t="s">
        <v>1485</v>
      </c>
      <c r="E289" s="65">
        <v>34</v>
      </c>
      <c r="F289" s="66">
        <v>134</v>
      </c>
      <c r="G289" s="43"/>
      <c r="H289" s="77"/>
      <c r="I289" s="67"/>
      <c r="J289" s="67"/>
      <c r="K289" s="67"/>
      <c r="L289" s="71"/>
      <c r="M289" s="43"/>
      <c r="N289" s="43"/>
    </row>
    <row r="290" spans="1:14" x14ac:dyDescent="0.35">
      <c r="A290" s="37" t="s">
        <v>1389</v>
      </c>
      <c r="B290" s="63" t="s">
        <v>1491</v>
      </c>
      <c r="C290" s="56" t="s">
        <v>1492</v>
      </c>
      <c r="D290" s="57" t="s">
        <v>1493</v>
      </c>
      <c r="E290" s="65">
        <v>35</v>
      </c>
      <c r="F290" s="66">
        <v>135</v>
      </c>
      <c r="G290" s="43"/>
      <c r="H290" s="67"/>
      <c r="I290" s="77"/>
      <c r="J290" s="77"/>
      <c r="K290" s="77"/>
      <c r="L290" s="71"/>
      <c r="M290" s="43"/>
      <c r="N290" s="43"/>
    </row>
    <row r="291" spans="1:14" x14ac:dyDescent="0.35">
      <c r="A291" s="37" t="s">
        <v>1389</v>
      </c>
      <c r="B291" s="63" t="s">
        <v>1494</v>
      </c>
      <c r="C291" s="56" t="s">
        <v>1495</v>
      </c>
      <c r="D291" s="56" t="s">
        <v>1395</v>
      </c>
      <c r="E291" s="65">
        <v>36</v>
      </c>
      <c r="F291" s="66">
        <v>136</v>
      </c>
      <c r="G291" s="43"/>
      <c r="H291" s="70"/>
      <c r="I291" s="67"/>
      <c r="J291" s="67"/>
      <c r="K291" s="67"/>
      <c r="L291" s="71"/>
      <c r="M291" s="43"/>
      <c r="N291" s="43"/>
    </row>
    <row r="292" spans="1:14" x14ac:dyDescent="0.35">
      <c r="A292" s="37" t="s">
        <v>1389</v>
      </c>
      <c r="B292" s="63" t="s">
        <v>1496</v>
      </c>
      <c r="C292" s="56" t="s">
        <v>1497</v>
      </c>
      <c r="D292" s="56" t="s">
        <v>1498</v>
      </c>
      <c r="E292" s="65">
        <v>37</v>
      </c>
      <c r="F292" s="66">
        <v>137</v>
      </c>
      <c r="G292" s="43"/>
      <c r="H292" s="76"/>
      <c r="I292" s="70"/>
      <c r="J292" s="70"/>
      <c r="K292" s="43"/>
      <c r="L292" s="71"/>
      <c r="M292" s="43"/>
      <c r="N292" s="43"/>
    </row>
    <row r="293" spans="1:14" x14ac:dyDescent="0.35">
      <c r="A293" s="37" t="s">
        <v>1389</v>
      </c>
      <c r="B293" s="63" t="s">
        <v>1499</v>
      </c>
      <c r="C293" s="56" t="s">
        <v>1500</v>
      </c>
      <c r="D293" s="56" t="s">
        <v>1501</v>
      </c>
      <c r="E293" s="65">
        <v>38</v>
      </c>
      <c r="F293" s="66">
        <v>138</v>
      </c>
      <c r="G293" s="43"/>
      <c r="H293" s="76"/>
      <c r="I293" s="70"/>
      <c r="J293" s="70"/>
      <c r="K293" s="43"/>
      <c r="L293" s="71"/>
      <c r="M293" s="43"/>
      <c r="N293" s="43"/>
    </row>
    <row r="294" spans="1:14" x14ac:dyDescent="0.35">
      <c r="A294" s="37" t="s">
        <v>1389</v>
      </c>
      <c r="B294" s="63" t="s">
        <v>1502</v>
      </c>
      <c r="C294" s="56" t="s">
        <v>1503</v>
      </c>
      <c r="D294" s="56" t="s">
        <v>1504</v>
      </c>
      <c r="E294" s="65">
        <v>39</v>
      </c>
      <c r="F294" s="66">
        <v>139</v>
      </c>
      <c r="G294" s="43"/>
      <c r="H294" s="76"/>
      <c r="I294" s="70"/>
      <c r="J294" s="70"/>
      <c r="K294" s="43"/>
      <c r="L294" s="71"/>
      <c r="M294" s="43"/>
      <c r="N294" s="43"/>
    </row>
    <row r="295" spans="1:14" x14ac:dyDescent="0.35">
      <c r="A295" s="37" t="s">
        <v>1389</v>
      </c>
      <c r="B295" s="63" t="s">
        <v>1505</v>
      </c>
      <c r="C295" s="56" t="s">
        <v>1506</v>
      </c>
      <c r="D295" s="56" t="s">
        <v>1507</v>
      </c>
      <c r="E295" s="65">
        <v>40</v>
      </c>
      <c r="F295" s="66">
        <v>140</v>
      </c>
      <c r="G295" s="43"/>
      <c r="H295" s="76"/>
      <c r="I295" s="70"/>
      <c r="J295" s="70"/>
      <c r="K295" s="43"/>
      <c r="L295" s="71"/>
      <c r="M295" s="43"/>
      <c r="N295" s="43"/>
    </row>
    <row r="296" spans="1:14" x14ac:dyDescent="0.35">
      <c r="A296" s="37" t="s">
        <v>1389</v>
      </c>
      <c r="B296" s="63" t="s">
        <v>1508</v>
      </c>
      <c r="C296" s="56" t="s">
        <v>1509</v>
      </c>
      <c r="D296" s="56" t="s">
        <v>1510</v>
      </c>
      <c r="E296" s="65">
        <v>179</v>
      </c>
      <c r="F296" s="66">
        <v>579</v>
      </c>
      <c r="G296" s="43"/>
      <c r="H296" s="76"/>
      <c r="I296" s="70"/>
      <c r="J296" s="70"/>
      <c r="K296" s="43"/>
      <c r="L296" s="71"/>
      <c r="M296" s="43"/>
      <c r="N296" s="43"/>
    </row>
    <row r="297" spans="1:14" x14ac:dyDescent="0.35">
      <c r="A297" s="37" t="s">
        <v>1389</v>
      </c>
      <c r="B297" s="63" t="s">
        <v>1511</v>
      </c>
      <c r="C297" s="56" t="s">
        <v>1512</v>
      </c>
      <c r="D297" s="56" t="s">
        <v>1513</v>
      </c>
      <c r="E297" s="65">
        <v>42</v>
      </c>
      <c r="F297" s="66">
        <v>142</v>
      </c>
      <c r="G297" s="43"/>
      <c r="H297" s="76"/>
      <c r="I297" s="70"/>
      <c r="J297" s="70"/>
      <c r="K297" s="70"/>
      <c r="L297" s="71"/>
      <c r="M297" s="43"/>
      <c r="N297" s="43"/>
    </row>
    <row r="298" spans="1:14" x14ac:dyDescent="0.35">
      <c r="A298" s="37" t="s">
        <v>1389</v>
      </c>
      <c r="B298" s="63" t="s">
        <v>1514</v>
      </c>
      <c r="C298" s="56" t="s">
        <v>1515</v>
      </c>
      <c r="D298" s="56" t="s">
        <v>1516</v>
      </c>
      <c r="E298" s="65">
        <v>43</v>
      </c>
      <c r="F298" s="66">
        <v>143</v>
      </c>
      <c r="G298" s="43"/>
      <c r="H298" s="76"/>
      <c r="I298" s="43"/>
      <c r="J298" s="70"/>
      <c r="K298" s="70"/>
      <c r="L298" s="71"/>
      <c r="M298" s="43"/>
      <c r="N298" s="43"/>
    </row>
    <row r="299" spans="1:14" x14ac:dyDescent="0.35">
      <c r="A299" s="37" t="s">
        <v>1389</v>
      </c>
      <c r="B299" s="63" t="s">
        <v>1517</v>
      </c>
      <c r="C299" s="56" t="s">
        <v>1518</v>
      </c>
      <c r="D299" s="56" t="s">
        <v>1519</v>
      </c>
      <c r="E299" s="65">
        <v>44</v>
      </c>
      <c r="F299" s="66">
        <v>144</v>
      </c>
      <c r="G299" s="43"/>
      <c r="H299" s="70"/>
      <c r="I299" s="43"/>
      <c r="J299" s="70"/>
      <c r="K299" s="70"/>
      <c r="L299" s="71"/>
      <c r="M299" s="43"/>
      <c r="N299" s="43"/>
    </row>
    <row r="300" spans="1:14" x14ac:dyDescent="0.35">
      <c r="A300" s="37" t="s">
        <v>1389</v>
      </c>
      <c r="B300" s="63" t="s">
        <v>1520</v>
      </c>
      <c r="C300" s="56" t="s">
        <v>1521</v>
      </c>
      <c r="D300" s="56" t="s">
        <v>1501</v>
      </c>
      <c r="E300" s="65">
        <v>45</v>
      </c>
      <c r="F300" s="66">
        <v>145</v>
      </c>
      <c r="G300" s="43"/>
      <c r="H300" s="76"/>
      <c r="I300" s="43"/>
      <c r="J300" s="70"/>
      <c r="K300" s="70"/>
      <c r="L300" s="71"/>
      <c r="M300" s="43"/>
      <c r="N300" s="43"/>
    </row>
    <row r="301" spans="1:14" x14ac:dyDescent="0.35">
      <c r="A301" s="37" t="s">
        <v>1389</v>
      </c>
      <c r="B301" s="63" t="s">
        <v>1522</v>
      </c>
      <c r="C301" s="56" t="s">
        <v>1523</v>
      </c>
      <c r="D301" s="56" t="s">
        <v>1524</v>
      </c>
      <c r="E301" s="65">
        <v>46</v>
      </c>
      <c r="F301" s="66">
        <v>146</v>
      </c>
      <c r="G301" s="43"/>
      <c r="H301" s="76"/>
      <c r="I301" s="43"/>
      <c r="J301" s="70"/>
      <c r="K301" s="70"/>
      <c r="L301" s="71"/>
      <c r="M301" s="43"/>
      <c r="N301" s="43"/>
    </row>
    <row r="302" spans="1:14" x14ac:dyDescent="0.35">
      <c r="A302" s="37" t="s">
        <v>1389</v>
      </c>
      <c r="B302" s="63" t="s">
        <v>1525</v>
      </c>
      <c r="C302" s="56" t="s">
        <v>1526</v>
      </c>
      <c r="D302" s="56" t="s">
        <v>1527</v>
      </c>
      <c r="E302" s="65">
        <v>47</v>
      </c>
      <c r="F302" s="66">
        <v>147</v>
      </c>
      <c r="G302" s="43"/>
      <c r="H302" s="70"/>
      <c r="I302" s="43"/>
      <c r="J302" s="70"/>
      <c r="K302" s="70"/>
      <c r="L302" s="71"/>
      <c r="M302" s="43"/>
      <c r="N302" s="43"/>
    </row>
    <row r="303" spans="1:14" x14ac:dyDescent="0.35">
      <c r="A303" s="37" t="s">
        <v>1389</v>
      </c>
      <c r="B303" s="63" t="s">
        <v>1528</v>
      </c>
      <c r="C303" s="56" t="s">
        <v>1529</v>
      </c>
      <c r="D303" s="56" t="s">
        <v>1530</v>
      </c>
      <c r="E303" s="65">
        <v>-36</v>
      </c>
      <c r="F303" s="66">
        <v>-136</v>
      </c>
      <c r="G303" s="43"/>
      <c r="H303" s="76"/>
      <c r="I303" s="43"/>
      <c r="J303" s="70"/>
      <c r="K303" s="70"/>
      <c r="L303" s="71"/>
      <c r="M303" s="43"/>
      <c r="N303" s="43"/>
    </row>
    <row r="304" spans="1:14" x14ac:dyDescent="0.35">
      <c r="A304" s="37" t="s">
        <v>1389</v>
      </c>
      <c r="B304" s="63" t="s">
        <v>1531</v>
      </c>
      <c r="C304" s="56" t="s">
        <v>1532</v>
      </c>
      <c r="D304" s="56" t="s">
        <v>1533</v>
      </c>
      <c r="E304" s="65">
        <v>49</v>
      </c>
      <c r="F304" s="66">
        <v>149</v>
      </c>
      <c r="G304" s="43"/>
      <c r="H304" s="70"/>
      <c r="I304" s="70"/>
      <c r="J304" s="70"/>
      <c r="K304" s="70"/>
      <c r="L304" s="71"/>
      <c r="M304" s="43"/>
      <c r="N304" s="43"/>
    </row>
    <row r="305" spans="1:14" x14ac:dyDescent="0.35">
      <c r="A305" s="37" t="s">
        <v>1389</v>
      </c>
      <c r="B305" s="63" t="s">
        <v>1534</v>
      </c>
      <c r="C305" s="56" t="s">
        <v>1535</v>
      </c>
      <c r="D305" s="56" t="s">
        <v>1536</v>
      </c>
      <c r="E305" s="65">
        <v>50</v>
      </c>
      <c r="F305" s="66">
        <v>150</v>
      </c>
      <c r="G305" s="43"/>
      <c r="H305" s="67"/>
      <c r="I305" s="70"/>
      <c r="J305" s="70"/>
      <c r="K305" s="70"/>
      <c r="L305" s="71"/>
      <c r="M305" s="43"/>
      <c r="N305" s="43"/>
    </row>
    <row r="306" spans="1:14" ht="15" thickBot="1" x14ac:dyDescent="0.4">
      <c r="A306" s="46" t="s">
        <v>1389</v>
      </c>
      <c r="B306" s="78" t="s">
        <v>1537</v>
      </c>
      <c r="C306" s="60" t="s">
        <v>1538</v>
      </c>
      <c r="D306" s="60" t="s">
        <v>1539</v>
      </c>
      <c r="E306" s="79">
        <v>-135</v>
      </c>
      <c r="F306" s="80">
        <v>-435</v>
      </c>
      <c r="G306" s="43"/>
      <c r="H306" s="67"/>
      <c r="I306" s="67"/>
      <c r="J306" s="67"/>
      <c r="K306" s="67"/>
      <c r="L306" s="71"/>
      <c r="M306" s="43"/>
      <c r="N306" s="43"/>
    </row>
    <row r="307" spans="1:14" x14ac:dyDescent="0.35">
      <c r="A307" s="37" t="s">
        <v>1540</v>
      </c>
      <c r="B307" s="56" t="s">
        <v>1529</v>
      </c>
      <c r="C307" s="56" t="s">
        <v>1529</v>
      </c>
      <c r="D307" s="64" t="s">
        <v>1541</v>
      </c>
      <c r="E307" s="65">
        <v>1758</v>
      </c>
      <c r="F307" s="66">
        <v>262</v>
      </c>
      <c r="G307" s="43" t="b">
        <v>1</v>
      </c>
      <c r="H307" s="70"/>
      <c r="I307" s="70"/>
      <c r="J307" s="70"/>
      <c r="K307" s="70"/>
      <c r="L307" s="71"/>
      <c r="M307" s="43"/>
      <c r="N307" s="43"/>
    </row>
    <row r="308" spans="1:14" x14ac:dyDescent="0.35">
      <c r="A308" s="37" t="s">
        <v>1540</v>
      </c>
      <c r="B308" s="56" t="s">
        <v>1542</v>
      </c>
      <c r="C308" s="56" t="s">
        <v>1542</v>
      </c>
      <c r="D308" s="64" t="s">
        <v>1543</v>
      </c>
      <c r="E308" s="65">
        <v>130</v>
      </c>
      <c r="F308" s="66">
        <v>330</v>
      </c>
      <c r="G308" s="43"/>
      <c r="H308" s="70"/>
      <c r="I308" s="43"/>
      <c r="J308" s="70"/>
      <c r="K308" s="70"/>
      <c r="L308" s="71"/>
      <c r="M308" s="43"/>
      <c r="N308" s="43"/>
    </row>
    <row r="309" spans="1:14" x14ac:dyDescent="0.35">
      <c r="A309" s="37" t="s">
        <v>1540</v>
      </c>
      <c r="B309" s="56" t="s">
        <v>1544</v>
      </c>
      <c r="C309" s="56" t="s">
        <v>1544</v>
      </c>
      <c r="D309" s="64" t="s">
        <v>1545</v>
      </c>
      <c r="E309" s="65">
        <v>132</v>
      </c>
      <c r="F309" s="66">
        <v>332</v>
      </c>
      <c r="G309" s="43"/>
      <c r="H309" s="76"/>
      <c r="I309" s="43"/>
      <c r="J309" s="70"/>
      <c r="K309" s="70"/>
      <c r="L309" s="71"/>
      <c r="M309" s="43"/>
      <c r="N309" s="43"/>
    </row>
    <row r="310" spans="1:14" x14ac:dyDescent="0.35">
      <c r="A310" s="37" t="s">
        <v>1540</v>
      </c>
      <c r="B310" s="56" t="s">
        <v>1546</v>
      </c>
      <c r="C310" s="56" t="s">
        <v>1546</v>
      </c>
      <c r="D310" s="64" t="s">
        <v>1547</v>
      </c>
      <c r="E310" s="65">
        <v>2020</v>
      </c>
      <c r="F310" s="66">
        <v>924</v>
      </c>
      <c r="G310" s="43"/>
      <c r="H310" s="67"/>
      <c r="I310" s="70"/>
      <c r="J310" s="70"/>
      <c r="K310" s="70"/>
      <c r="L310" s="71"/>
      <c r="M310" s="43"/>
      <c r="N310" s="43"/>
    </row>
    <row r="311" spans="1:14" x14ac:dyDescent="0.35">
      <c r="A311" s="37" t="s">
        <v>1540</v>
      </c>
      <c r="B311" s="56" t="s">
        <v>1548</v>
      </c>
      <c r="C311" s="56" t="s">
        <v>1548</v>
      </c>
      <c r="D311" s="64" t="s">
        <v>1549</v>
      </c>
      <c r="E311" s="65">
        <v>5</v>
      </c>
      <c r="F311" s="66">
        <v>105</v>
      </c>
      <c r="G311" s="43"/>
      <c r="H311" s="67"/>
      <c r="I311" s="43"/>
      <c r="J311" s="70"/>
      <c r="K311" s="70"/>
      <c r="L311" s="71"/>
      <c r="M311" s="43"/>
      <c r="N311" s="43"/>
    </row>
    <row r="312" spans="1:14" x14ac:dyDescent="0.35">
      <c r="A312" s="37" t="s">
        <v>1540</v>
      </c>
      <c r="B312" s="56" t="s">
        <v>1550</v>
      </c>
      <c r="C312" s="56" t="s">
        <v>1550</v>
      </c>
      <c r="D312" s="64" t="s">
        <v>1551</v>
      </c>
      <c r="E312" s="65">
        <v>-19</v>
      </c>
      <c r="F312" s="66">
        <v>-19</v>
      </c>
      <c r="G312" s="43"/>
      <c r="H312" s="76"/>
      <c r="I312" s="43"/>
      <c r="J312" s="70"/>
      <c r="K312" s="70"/>
      <c r="L312" s="71"/>
      <c r="M312" s="43"/>
      <c r="N312" s="43"/>
    </row>
    <row r="313" spans="1:14" x14ac:dyDescent="0.35">
      <c r="A313" s="37" t="s">
        <v>1540</v>
      </c>
      <c r="B313" s="56" t="s">
        <v>1552</v>
      </c>
      <c r="C313" s="56" t="s">
        <v>1552</v>
      </c>
      <c r="D313" s="64" t="s">
        <v>1553</v>
      </c>
      <c r="E313" s="65">
        <v>38</v>
      </c>
      <c r="F313" s="66">
        <v>438</v>
      </c>
      <c r="G313" s="43"/>
      <c r="H313" s="76"/>
      <c r="I313" s="70"/>
      <c r="J313" s="70"/>
      <c r="K313" s="70"/>
      <c r="L313" s="71"/>
      <c r="M313" s="43"/>
      <c r="N313" s="43"/>
    </row>
    <row r="314" spans="1:14" x14ac:dyDescent="0.35">
      <c r="A314" s="37" t="s">
        <v>1540</v>
      </c>
      <c r="B314" s="56" t="s">
        <v>1554</v>
      </c>
      <c r="C314" s="56" t="s">
        <v>1554</v>
      </c>
      <c r="D314" s="64" t="s">
        <v>1555</v>
      </c>
      <c r="E314" s="65">
        <v>8</v>
      </c>
      <c r="F314" s="66">
        <v>108</v>
      </c>
      <c r="G314" s="43"/>
      <c r="H314" s="77"/>
      <c r="I314" s="70"/>
      <c r="J314" s="70"/>
      <c r="K314" s="70"/>
      <c r="L314" s="71"/>
      <c r="M314" s="43"/>
      <c r="N314" s="43"/>
    </row>
    <row r="315" spans="1:14" x14ac:dyDescent="0.35">
      <c r="A315" s="37" t="s">
        <v>1540</v>
      </c>
      <c r="B315" s="56" t="s">
        <v>1556</v>
      </c>
      <c r="C315" s="56" t="s">
        <v>1557</v>
      </c>
      <c r="D315" s="64" t="s">
        <v>1557</v>
      </c>
      <c r="E315" s="65">
        <v>9</v>
      </c>
      <c r="F315" s="66">
        <v>109</v>
      </c>
      <c r="G315" s="43"/>
      <c r="H315" s="67"/>
      <c r="I315" s="77"/>
      <c r="J315" s="77"/>
      <c r="K315" s="77"/>
      <c r="L315" s="71"/>
      <c r="M315" s="43"/>
      <c r="N315" s="43"/>
    </row>
    <row r="316" spans="1:14" x14ac:dyDescent="0.35">
      <c r="A316" s="37" t="s">
        <v>1540</v>
      </c>
      <c r="B316" s="56" t="s">
        <v>1556</v>
      </c>
      <c r="C316" s="56" t="s">
        <v>1556</v>
      </c>
      <c r="D316" s="64" t="s">
        <v>1556</v>
      </c>
      <c r="E316" s="65">
        <v>10</v>
      </c>
      <c r="F316" s="66">
        <v>110</v>
      </c>
      <c r="G316" s="43"/>
      <c r="H316" s="77"/>
      <c r="I316" s="67"/>
      <c r="J316" s="67"/>
      <c r="K316" s="67"/>
      <c r="L316" s="71"/>
      <c r="M316" s="43"/>
      <c r="N316" s="43"/>
    </row>
    <row r="317" spans="1:14" x14ac:dyDescent="0.35">
      <c r="A317" s="37" t="s">
        <v>1540</v>
      </c>
      <c r="B317" s="56" t="s">
        <v>1556</v>
      </c>
      <c r="C317" s="56" t="s">
        <v>1558</v>
      </c>
      <c r="D317" s="64" t="s">
        <v>1558</v>
      </c>
      <c r="E317" s="65">
        <v>11</v>
      </c>
      <c r="F317" s="66">
        <v>111</v>
      </c>
      <c r="G317" s="43"/>
      <c r="H317" s="67"/>
      <c r="I317" s="77"/>
      <c r="J317" s="77"/>
      <c r="K317" s="77"/>
      <c r="L317" s="71"/>
      <c r="M317" s="43"/>
      <c r="N317" s="43"/>
    </row>
    <row r="318" spans="1:14" x14ac:dyDescent="0.35">
      <c r="A318" s="37" t="s">
        <v>1540</v>
      </c>
      <c r="B318" s="56" t="s">
        <v>1559</v>
      </c>
      <c r="C318" s="56" t="s">
        <v>1559</v>
      </c>
      <c r="D318" s="64" t="s">
        <v>1560</v>
      </c>
      <c r="E318" s="65">
        <v>57</v>
      </c>
      <c r="F318" s="66">
        <v>457</v>
      </c>
      <c r="G318" s="43"/>
      <c r="H318" s="70"/>
      <c r="I318" s="67"/>
      <c r="J318" s="67"/>
      <c r="K318" s="67"/>
      <c r="L318" s="71" t="s">
        <v>1561</v>
      </c>
      <c r="M318" s="43"/>
      <c r="N318" s="43"/>
    </row>
    <row r="319" spans="1:14" x14ac:dyDescent="0.35">
      <c r="A319" s="37" t="s">
        <v>1540</v>
      </c>
      <c r="B319" s="56" t="s">
        <v>1562</v>
      </c>
      <c r="C319" s="56" t="s">
        <v>1562</v>
      </c>
      <c r="D319" s="64" t="s">
        <v>1563</v>
      </c>
      <c r="E319" s="65">
        <v>13</v>
      </c>
      <c r="F319" s="66">
        <v>113</v>
      </c>
      <c r="G319" s="43"/>
      <c r="H319" s="67"/>
      <c r="I319" s="70"/>
      <c r="J319" s="70"/>
      <c r="K319" s="70"/>
      <c r="L319" s="71"/>
      <c r="M319" s="43"/>
      <c r="N319" s="43"/>
    </row>
    <row r="320" spans="1:14" x14ac:dyDescent="0.35">
      <c r="A320" s="37" t="s">
        <v>1540</v>
      </c>
      <c r="B320" s="56" t="s">
        <v>1564</v>
      </c>
      <c r="C320" s="56" t="s">
        <v>1565</v>
      </c>
      <c r="D320" s="64" t="s">
        <v>1565</v>
      </c>
      <c r="E320" s="65">
        <v>14</v>
      </c>
      <c r="F320" s="66">
        <v>114</v>
      </c>
      <c r="G320" s="43"/>
      <c r="H320" s="70"/>
      <c r="I320" s="67"/>
      <c r="J320" s="67"/>
      <c r="K320" s="67"/>
      <c r="L320" s="71"/>
      <c r="M320" s="43"/>
      <c r="N320" s="43"/>
    </row>
    <row r="321" spans="1:14" x14ac:dyDescent="0.35">
      <c r="A321" s="37" t="s">
        <v>1540</v>
      </c>
      <c r="B321" s="56" t="s">
        <v>1564</v>
      </c>
      <c r="C321" s="56" t="s">
        <v>1564</v>
      </c>
      <c r="D321" s="64" t="s">
        <v>1564</v>
      </c>
      <c r="E321" s="65">
        <v>15</v>
      </c>
      <c r="F321" s="66">
        <v>115</v>
      </c>
      <c r="G321" s="43"/>
      <c r="H321" s="67"/>
      <c r="I321" s="70"/>
      <c r="J321" s="70"/>
      <c r="K321" s="70"/>
      <c r="L321" s="71"/>
      <c r="M321" s="43"/>
      <c r="N321" s="43"/>
    </row>
    <row r="322" spans="1:14" x14ac:dyDescent="0.35">
      <c r="A322" s="37" t="s">
        <v>1540</v>
      </c>
      <c r="B322" s="56" t="s">
        <v>1564</v>
      </c>
      <c r="C322" s="56" t="s">
        <v>1566</v>
      </c>
      <c r="D322" s="64" t="s">
        <v>1566</v>
      </c>
      <c r="E322" s="65">
        <v>16</v>
      </c>
      <c r="F322" s="66">
        <v>116</v>
      </c>
      <c r="G322" s="43"/>
      <c r="H322" s="67"/>
      <c r="I322" s="67"/>
      <c r="J322" s="67"/>
      <c r="K322" s="67"/>
      <c r="L322" s="71"/>
      <c r="M322" s="43"/>
      <c r="N322" s="43"/>
    </row>
    <row r="323" spans="1:14" x14ac:dyDescent="0.35">
      <c r="A323" s="37" t="s">
        <v>1540</v>
      </c>
      <c r="B323" s="56" t="s">
        <v>1567</v>
      </c>
      <c r="C323" s="56" t="s">
        <v>1567</v>
      </c>
      <c r="D323" s="64" t="s">
        <v>1568</v>
      </c>
      <c r="E323" s="65">
        <v>-14</v>
      </c>
      <c r="F323" s="66">
        <v>86</v>
      </c>
      <c r="G323" s="43"/>
      <c r="H323" s="43"/>
      <c r="I323" s="67"/>
      <c r="J323" s="67"/>
      <c r="K323" s="67"/>
      <c r="L323" s="72"/>
      <c r="M323" s="43"/>
      <c r="N323" s="43"/>
    </row>
    <row r="324" spans="1:14" x14ac:dyDescent="0.35">
      <c r="A324" s="37" t="s">
        <v>1540</v>
      </c>
      <c r="B324" s="56" t="s">
        <v>1569</v>
      </c>
      <c r="C324" s="56" t="s">
        <v>1569</v>
      </c>
      <c r="D324" s="64" t="s">
        <v>1570</v>
      </c>
      <c r="E324" s="65">
        <v>223</v>
      </c>
      <c r="F324" s="66">
        <v>0</v>
      </c>
      <c r="G324" s="43"/>
      <c r="H324" s="43"/>
      <c r="I324" s="43"/>
      <c r="J324" s="43"/>
      <c r="K324" s="43"/>
      <c r="L324" s="43"/>
      <c r="M324" s="43"/>
      <c r="N324" s="43"/>
    </row>
    <row r="325" spans="1:14" x14ac:dyDescent="0.35">
      <c r="A325" s="37" t="s">
        <v>1540</v>
      </c>
      <c r="B325" s="56" t="s">
        <v>1571</v>
      </c>
      <c r="C325" s="56" t="s">
        <v>1571</v>
      </c>
      <c r="D325" s="64" t="s">
        <v>1572</v>
      </c>
      <c r="E325" s="65">
        <v>23</v>
      </c>
      <c r="F325" s="66">
        <v>223</v>
      </c>
      <c r="G325" s="43"/>
      <c r="H325" s="43"/>
      <c r="I325" s="43"/>
      <c r="J325" s="43"/>
      <c r="K325" s="43"/>
      <c r="L325" s="43"/>
      <c r="M325" s="43"/>
      <c r="N325" s="43"/>
    </row>
    <row r="326" spans="1:14" x14ac:dyDescent="0.35">
      <c r="A326" s="37" t="s">
        <v>1540</v>
      </c>
      <c r="B326" s="56" t="s">
        <v>1573</v>
      </c>
      <c r="C326" s="56" t="s">
        <v>1573</v>
      </c>
      <c r="D326" s="64" t="s">
        <v>1553</v>
      </c>
      <c r="E326" s="65">
        <v>141</v>
      </c>
      <c r="F326" s="66">
        <v>741</v>
      </c>
      <c r="G326" s="43"/>
      <c r="H326" s="43"/>
      <c r="I326" s="43"/>
      <c r="J326" s="43"/>
      <c r="K326" s="43"/>
      <c r="L326" s="43"/>
      <c r="M326" s="43"/>
      <c r="N326" s="43"/>
    </row>
    <row r="327" spans="1:14" x14ac:dyDescent="0.35">
      <c r="A327" s="37" t="s">
        <v>1540</v>
      </c>
      <c r="B327" s="56" t="s">
        <v>1574</v>
      </c>
      <c r="C327" s="56" t="s">
        <v>1574</v>
      </c>
      <c r="D327" s="64" t="s">
        <v>1575</v>
      </c>
      <c r="E327" s="65">
        <v>21</v>
      </c>
      <c r="F327" s="66">
        <v>121</v>
      </c>
      <c r="G327" s="43"/>
      <c r="H327" s="43"/>
      <c r="I327" s="43"/>
      <c r="J327" s="43"/>
      <c r="K327" s="43"/>
      <c r="L327" s="43"/>
      <c r="M327" s="43"/>
      <c r="N327" s="43"/>
    </row>
    <row r="328" spans="1:14" x14ac:dyDescent="0.35">
      <c r="A328" s="37" t="s">
        <v>1540</v>
      </c>
      <c r="B328" s="56" t="s">
        <v>1576</v>
      </c>
      <c r="C328" s="56" t="s">
        <v>1576</v>
      </c>
      <c r="D328" s="64" t="s">
        <v>1577</v>
      </c>
      <c r="E328" s="65">
        <v>22</v>
      </c>
      <c r="F328" s="66">
        <v>122</v>
      </c>
      <c r="G328" s="43"/>
      <c r="H328" s="43"/>
      <c r="I328" s="43"/>
      <c r="J328" s="43"/>
      <c r="K328" s="43"/>
      <c r="L328" s="43"/>
      <c r="M328" s="43"/>
      <c r="N328" s="43"/>
    </row>
    <row r="329" spans="1:14" x14ac:dyDescent="0.35">
      <c r="A329" s="37" t="s">
        <v>1540</v>
      </c>
      <c r="B329" s="56" t="s">
        <v>1578</v>
      </c>
      <c r="C329" s="56" t="s">
        <v>1578</v>
      </c>
      <c r="D329" s="64" t="s">
        <v>1579</v>
      </c>
      <c r="E329" s="65">
        <v>23</v>
      </c>
      <c r="F329" s="66">
        <v>123</v>
      </c>
      <c r="G329" s="43"/>
      <c r="H329" s="43"/>
      <c r="I329" s="43"/>
      <c r="J329" s="43"/>
      <c r="K329" s="43"/>
      <c r="L329" s="43"/>
      <c r="M329" s="43"/>
      <c r="N329" s="43"/>
    </row>
    <row r="330" spans="1:14" x14ac:dyDescent="0.35">
      <c r="A330" s="37" t="s">
        <v>1540</v>
      </c>
      <c r="B330" s="56" t="s">
        <v>1580</v>
      </c>
      <c r="C330" s="56" t="s">
        <v>1581</v>
      </c>
      <c r="D330" s="64" t="s">
        <v>1581</v>
      </c>
      <c r="E330" s="65">
        <v>24</v>
      </c>
      <c r="F330" s="66">
        <v>124</v>
      </c>
      <c r="G330" s="43"/>
      <c r="H330" s="43"/>
      <c r="I330" s="43"/>
      <c r="J330" s="43"/>
      <c r="K330" s="43"/>
      <c r="L330" s="43"/>
      <c r="M330" s="43"/>
      <c r="N330" s="43"/>
    </row>
    <row r="331" spans="1:14" x14ac:dyDescent="0.35">
      <c r="A331" s="37" t="s">
        <v>1540</v>
      </c>
      <c r="B331" s="56" t="s">
        <v>1580</v>
      </c>
      <c r="C331" s="56" t="s">
        <v>1582</v>
      </c>
      <c r="D331" s="64" t="s">
        <v>1582</v>
      </c>
      <c r="E331" s="65">
        <v>25</v>
      </c>
      <c r="F331" s="66">
        <v>125</v>
      </c>
      <c r="G331" s="43"/>
      <c r="H331" s="43"/>
      <c r="I331" s="43"/>
      <c r="J331" s="43"/>
      <c r="K331" s="43"/>
      <c r="L331" s="43"/>
      <c r="M331" s="43"/>
      <c r="N331" s="43"/>
    </row>
    <row r="332" spans="1:14" x14ac:dyDescent="0.35">
      <c r="A332" s="37" t="s">
        <v>1540</v>
      </c>
      <c r="B332" s="56" t="s">
        <v>1580</v>
      </c>
      <c r="C332" s="56" t="s">
        <v>1583</v>
      </c>
      <c r="D332" s="64" t="s">
        <v>1583</v>
      </c>
      <c r="E332" s="65">
        <v>26</v>
      </c>
      <c r="F332" s="66">
        <v>126</v>
      </c>
      <c r="G332" s="43"/>
      <c r="H332" s="43"/>
      <c r="I332" s="43"/>
      <c r="J332" s="43"/>
      <c r="K332" s="43"/>
      <c r="L332" s="43"/>
      <c r="M332" s="43"/>
      <c r="N332" s="43"/>
    </row>
    <row r="333" spans="1:14" x14ac:dyDescent="0.35">
      <c r="A333" s="37" t="s">
        <v>1540</v>
      </c>
      <c r="B333" s="56" t="s">
        <v>1584</v>
      </c>
      <c r="C333" s="56" t="s">
        <v>1584</v>
      </c>
      <c r="D333" s="64" t="s">
        <v>1560</v>
      </c>
      <c r="E333" s="65">
        <v>118</v>
      </c>
      <c r="F333" s="66">
        <v>518</v>
      </c>
      <c r="G333" s="43"/>
      <c r="H333" s="43"/>
      <c r="I333" s="43"/>
      <c r="J333" s="43"/>
      <c r="K333" s="43"/>
      <c r="L333" s="43"/>
      <c r="M333" s="43"/>
      <c r="N333" s="43"/>
    </row>
    <row r="334" spans="1:14" x14ac:dyDescent="0.35">
      <c r="A334" s="37" t="s">
        <v>1540</v>
      </c>
      <c r="B334" s="56" t="s">
        <v>1585</v>
      </c>
      <c r="C334" s="56" t="s">
        <v>1585</v>
      </c>
      <c r="D334" s="64" t="s">
        <v>1586</v>
      </c>
      <c r="E334" s="65">
        <v>28</v>
      </c>
      <c r="F334" s="66">
        <v>128</v>
      </c>
      <c r="G334" s="43"/>
      <c r="H334" s="43"/>
      <c r="I334" s="43"/>
      <c r="J334" s="43"/>
      <c r="K334" s="43"/>
      <c r="L334" s="43"/>
      <c r="M334" s="43"/>
      <c r="N334" s="43"/>
    </row>
    <row r="335" spans="1:14" x14ac:dyDescent="0.35">
      <c r="A335" s="37" t="s">
        <v>1540</v>
      </c>
      <c r="B335" s="56" t="s">
        <v>1587</v>
      </c>
      <c r="C335" s="56" t="s">
        <v>1588</v>
      </c>
      <c r="D335" s="64" t="s">
        <v>1588</v>
      </c>
      <c r="E335" s="65">
        <v>29</v>
      </c>
      <c r="F335" s="66">
        <v>129</v>
      </c>
      <c r="G335" s="43"/>
      <c r="H335" s="43"/>
      <c r="I335" s="43"/>
      <c r="J335" s="43"/>
      <c r="K335" s="43"/>
      <c r="L335" s="43"/>
      <c r="M335" s="43"/>
      <c r="N335" s="43"/>
    </row>
    <row r="336" spans="1:14" x14ac:dyDescent="0.35">
      <c r="A336" s="37" t="s">
        <v>1540</v>
      </c>
      <c r="B336" s="56" t="s">
        <v>1587</v>
      </c>
      <c r="C336" s="56" t="s">
        <v>1587</v>
      </c>
      <c r="D336" s="64" t="s">
        <v>1587</v>
      </c>
      <c r="E336" s="65">
        <v>30</v>
      </c>
      <c r="F336" s="66">
        <v>130</v>
      </c>
      <c r="G336" s="43"/>
      <c r="H336" s="43"/>
      <c r="I336" s="43"/>
      <c r="J336" s="43"/>
      <c r="K336" s="43"/>
      <c r="L336" s="43"/>
      <c r="M336" s="43"/>
      <c r="N336" s="43"/>
    </row>
    <row r="337" spans="1:14" x14ac:dyDescent="0.35">
      <c r="A337" s="37" t="s">
        <v>1540</v>
      </c>
      <c r="B337" s="56" t="s">
        <v>1587</v>
      </c>
      <c r="C337" s="56" t="s">
        <v>1589</v>
      </c>
      <c r="D337" s="64" t="s">
        <v>1589</v>
      </c>
      <c r="E337" s="65">
        <v>31</v>
      </c>
      <c r="F337" s="66">
        <v>131</v>
      </c>
      <c r="G337" s="43"/>
      <c r="H337" s="43"/>
      <c r="I337" s="43"/>
      <c r="J337" s="43"/>
      <c r="K337" s="43"/>
      <c r="L337" s="43"/>
      <c r="M337" s="43"/>
      <c r="N337" s="43"/>
    </row>
    <row r="338" spans="1:14" x14ac:dyDescent="0.35">
      <c r="A338" s="37" t="s">
        <v>1540</v>
      </c>
      <c r="B338" s="56" t="s">
        <v>1590</v>
      </c>
      <c r="C338" s="56" t="s">
        <v>1590</v>
      </c>
      <c r="D338" s="64" t="s">
        <v>1591</v>
      </c>
      <c r="E338" s="65">
        <v>246</v>
      </c>
      <c r="F338" s="66">
        <v>223</v>
      </c>
      <c r="G338" s="43"/>
      <c r="H338" s="43"/>
      <c r="I338" s="43"/>
      <c r="J338" s="43"/>
      <c r="K338" s="43"/>
      <c r="L338" s="43"/>
      <c r="M338" s="43"/>
      <c r="N338" s="43"/>
    </row>
    <row r="339" spans="1:14" x14ac:dyDescent="0.35">
      <c r="A339" s="37" t="s">
        <v>1540</v>
      </c>
      <c r="B339" s="56" t="s">
        <v>1592</v>
      </c>
      <c r="C339" s="56" t="s">
        <v>1592</v>
      </c>
      <c r="D339" s="64" t="s">
        <v>1593</v>
      </c>
      <c r="E339" s="65">
        <v>-155</v>
      </c>
      <c r="F339" s="66">
        <v>0</v>
      </c>
      <c r="G339" s="43"/>
      <c r="H339" s="43"/>
      <c r="I339" s="43"/>
      <c r="J339" s="43"/>
      <c r="K339" s="43"/>
      <c r="L339" s="43"/>
      <c r="M339" s="43"/>
      <c r="N339" s="43"/>
    </row>
    <row r="340" spans="1:14" x14ac:dyDescent="0.35">
      <c r="A340" s="37" t="s">
        <v>1540</v>
      </c>
      <c r="B340" s="56" t="s">
        <v>1594</v>
      </c>
      <c r="C340" s="56" t="s">
        <v>1594</v>
      </c>
      <c r="D340" s="64" t="s">
        <v>1595</v>
      </c>
      <c r="E340" s="65">
        <v>-55</v>
      </c>
      <c r="F340" s="66">
        <v>-155</v>
      </c>
      <c r="G340" s="43"/>
      <c r="H340" s="43"/>
      <c r="I340" s="43"/>
      <c r="J340" s="43"/>
      <c r="K340" s="43"/>
      <c r="L340" s="43"/>
      <c r="M340" s="43"/>
      <c r="N340" s="43"/>
    </row>
    <row r="341" spans="1:14" x14ac:dyDescent="0.35">
      <c r="A341" s="37" t="s">
        <v>1540</v>
      </c>
      <c r="B341" s="56" t="s">
        <v>1596</v>
      </c>
      <c r="C341" s="56" t="s">
        <v>1596</v>
      </c>
      <c r="D341" s="64" t="s">
        <v>1553</v>
      </c>
      <c r="E341" s="65">
        <v>111</v>
      </c>
      <c r="F341" s="66">
        <v>411</v>
      </c>
      <c r="G341" s="43"/>
      <c r="H341" s="43"/>
      <c r="I341" s="43"/>
      <c r="J341" s="43"/>
      <c r="K341" s="43"/>
      <c r="L341" s="43"/>
      <c r="M341" s="43"/>
      <c r="N341" s="43"/>
    </row>
    <row r="342" spans="1:14" x14ac:dyDescent="0.35">
      <c r="A342" s="37" t="s">
        <v>1540</v>
      </c>
      <c r="B342" s="56" t="s">
        <v>1597</v>
      </c>
      <c r="C342" s="56" t="s">
        <v>1598</v>
      </c>
      <c r="D342" s="64" t="s">
        <v>1598</v>
      </c>
      <c r="E342" s="65"/>
      <c r="F342" s="66"/>
      <c r="G342" s="43"/>
      <c r="H342" s="43"/>
      <c r="I342" s="43"/>
      <c r="J342" s="43"/>
      <c r="K342" s="43"/>
      <c r="L342" s="43"/>
      <c r="M342" s="43"/>
      <c r="N342" s="43"/>
    </row>
    <row r="343" spans="1:14" x14ac:dyDescent="0.35">
      <c r="A343" s="37" t="s">
        <v>1540</v>
      </c>
      <c r="B343" s="56" t="s">
        <v>1597</v>
      </c>
      <c r="C343" s="56" t="s">
        <v>1599</v>
      </c>
      <c r="D343" s="64" t="s">
        <v>1599</v>
      </c>
      <c r="E343" s="65"/>
      <c r="F343" s="66"/>
      <c r="G343" s="43"/>
      <c r="H343" s="43"/>
      <c r="I343" s="43"/>
      <c r="J343" s="43"/>
      <c r="K343" s="43"/>
      <c r="L343" s="43"/>
      <c r="M343" s="43"/>
      <c r="N343" s="43"/>
    </row>
    <row r="344" spans="1:14" x14ac:dyDescent="0.35">
      <c r="A344" s="37" t="s">
        <v>1540</v>
      </c>
      <c r="B344" s="56" t="s">
        <v>1597</v>
      </c>
      <c r="C344" s="56" t="s">
        <v>1600</v>
      </c>
      <c r="D344" s="64" t="s">
        <v>1600</v>
      </c>
      <c r="E344" s="65"/>
      <c r="F344" s="66"/>
      <c r="G344" s="43"/>
      <c r="H344" s="43"/>
      <c r="I344" s="43"/>
      <c r="J344" s="43"/>
      <c r="K344" s="43"/>
      <c r="L344" s="43"/>
      <c r="M344" s="43"/>
      <c r="N344" s="43"/>
    </row>
    <row r="345" spans="1:14" x14ac:dyDescent="0.35">
      <c r="A345" s="37" t="s">
        <v>1540</v>
      </c>
      <c r="B345" s="56" t="s">
        <v>1601</v>
      </c>
      <c r="C345" s="56" t="s">
        <v>1601</v>
      </c>
      <c r="D345" s="64" t="s">
        <v>1560</v>
      </c>
      <c r="E345" s="65">
        <v>166</v>
      </c>
      <c r="F345" s="66">
        <v>566</v>
      </c>
      <c r="G345" s="43"/>
      <c r="H345" s="43"/>
      <c r="I345" s="43"/>
      <c r="J345" s="43"/>
      <c r="K345" s="43"/>
      <c r="L345" s="43"/>
      <c r="M345" s="43"/>
      <c r="N345" s="43"/>
    </row>
    <row r="346" spans="1:14" x14ac:dyDescent="0.35">
      <c r="A346" s="37" t="s">
        <v>1540</v>
      </c>
      <c r="B346" s="56" t="s">
        <v>1602</v>
      </c>
      <c r="C346" s="56" t="s">
        <v>1602</v>
      </c>
      <c r="D346" s="64" t="s">
        <v>1603</v>
      </c>
      <c r="E346" s="65">
        <v>40</v>
      </c>
      <c r="F346" s="66">
        <v>140</v>
      </c>
      <c r="G346" s="43"/>
      <c r="H346" s="43"/>
      <c r="I346" s="43"/>
      <c r="J346" s="43"/>
      <c r="K346" s="43"/>
      <c r="L346" s="43"/>
      <c r="M346" s="43"/>
      <c r="N346" s="43"/>
    </row>
    <row r="347" spans="1:14" x14ac:dyDescent="0.35">
      <c r="A347" s="37" t="s">
        <v>1540</v>
      </c>
      <c r="B347" s="56" t="s">
        <v>1604</v>
      </c>
      <c r="C347" s="56" t="s">
        <v>1605</v>
      </c>
      <c r="D347" s="64" t="s">
        <v>1605</v>
      </c>
      <c r="E347" s="65">
        <v>41</v>
      </c>
      <c r="F347" s="66">
        <v>141</v>
      </c>
      <c r="G347" s="43"/>
      <c r="H347" s="43"/>
      <c r="I347" s="43"/>
      <c r="J347" s="43"/>
      <c r="K347" s="43"/>
      <c r="L347" s="43"/>
      <c r="M347" s="43"/>
      <c r="N347" s="43"/>
    </row>
    <row r="348" spans="1:14" x14ac:dyDescent="0.35">
      <c r="A348" s="37" t="s">
        <v>1540</v>
      </c>
      <c r="B348" s="56" t="s">
        <v>1604</v>
      </c>
      <c r="C348" s="56" t="s">
        <v>1604</v>
      </c>
      <c r="D348" s="64" t="s">
        <v>1604</v>
      </c>
      <c r="E348" s="65">
        <v>42</v>
      </c>
      <c r="F348" s="66">
        <v>142</v>
      </c>
      <c r="G348" s="43"/>
      <c r="H348" s="43"/>
      <c r="I348" s="43"/>
      <c r="J348" s="43"/>
      <c r="K348" s="43"/>
      <c r="L348" s="43"/>
      <c r="M348" s="43"/>
      <c r="N348" s="43"/>
    </row>
    <row r="349" spans="1:14" x14ac:dyDescent="0.35">
      <c r="A349" s="37" t="s">
        <v>1540</v>
      </c>
      <c r="B349" s="56" t="s">
        <v>1604</v>
      </c>
      <c r="C349" s="56" t="s">
        <v>1606</v>
      </c>
      <c r="D349" s="64" t="s">
        <v>1606</v>
      </c>
      <c r="E349" s="65">
        <v>43</v>
      </c>
      <c r="F349" s="66">
        <v>143</v>
      </c>
      <c r="G349" s="43"/>
      <c r="H349" s="43"/>
      <c r="I349" s="43"/>
      <c r="J349" s="43"/>
      <c r="K349" s="43"/>
      <c r="L349" s="43"/>
      <c r="M349" s="43"/>
      <c r="N349" s="43"/>
    </row>
    <row r="350" spans="1:14" x14ac:dyDescent="0.35">
      <c r="A350" s="37" t="s">
        <v>1540</v>
      </c>
      <c r="B350" s="56" t="s">
        <v>1607</v>
      </c>
      <c r="C350" s="56" t="s">
        <v>1607</v>
      </c>
      <c r="D350" s="64" t="s">
        <v>1608</v>
      </c>
      <c r="E350" s="65">
        <v>-210</v>
      </c>
      <c r="F350" s="66">
        <v>-155</v>
      </c>
      <c r="G350" s="43"/>
      <c r="H350" s="43"/>
      <c r="I350" s="43"/>
      <c r="J350" s="43"/>
      <c r="K350" s="43"/>
      <c r="L350" s="43"/>
      <c r="M350" s="43"/>
      <c r="N350" s="43"/>
    </row>
    <row r="351" spans="1:14" x14ac:dyDescent="0.35">
      <c r="A351" s="37" t="s">
        <v>1540</v>
      </c>
      <c r="B351" s="56" t="s">
        <v>1609</v>
      </c>
      <c r="C351" s="56" t="s">
        <v>1609</v>
      </c>
      <c r="D351" s="64" t="s">
        <v>1610</v>
      </c>
      <c r="E351" s="65">
        <v>-12</v>
      </c>
      <c r="F351" s="66">
        <v>0</v>
      </c>
      <c r="G351" s="43"/>
      <c r="H351" s="43"/>
      <c r="I351" s="43"/>
      <c r="J351" s="43"/>
      <c r="K351" s="43"/>
      <c r="L351" s="43"/>
      <c r="M351" s="43"/>
      <c r="N351" s="43"/>
    </row>
    <row r="352" spans="1:14" x14ac:dyDescent="0.35">
      <c r="A352" s="37" t="s">
        <v>1540</v>
      </c>
      <c r="B352" s="56" t="s">
        <v>1611</v>
      </c>
      <c r="C352" s="56" t="s">
        <v>1611</v>
      </c>
      <c r="D352" s="64" t="s">
        <v>1612</v>
      </c>
      <c r="E352" s="65">
        <v>-12</v>
      </c>
      <c r="F352" s="66">
        <v>-12</v>
      </c>
      <c r="G352" s="43"/>
      <c r="H352" s="43"/>
      <c r="I352" s="43"/>
      <c r="J352" s="43"/>
      <c r="K352" s="43"/>
      <c r="L352" s="43"/>
      <c r="M352" s="43"/>
      <c r="N352" s="43"/>
    </row>
    <row r="353" spans="1:14" x14ac:dyDescent="0.35">
      <c r="A353" s="37" t="s">
        <v>1540</v>
      </c>
      <c r="B353" s="56" t="s">
        <v>1613</v>
      </c>
      <c r="C353" s="56" t="s">
        <v>1613</v>
      </c>
      <c r="D353" s="64" t="s">
        <v>1553</v>
      </c>
      <c r="E353" s="65">
        <v>147</v>
      </c>
      <c r="F353" s="66">
        <v>447</v>
      </c>
      <c r="G353" s="43"/>
      <c r="H353" s="43"/>
      <c r="I353" s="43"/>
      <c r="J353" s="43"/>
      <c r="K353" s="43"/>
      <c r="L353" s="43"/>
      <c r="M353" s="43"/>
      <c r="N353" s="43"/>
    </row>
    <row r="354" spans="1:14" x14ac:dyDescent="0.35">
      <c r="A354" s="37" t="s">
        <v>1540</v>
      </c>
      <c r="B354" s="56" t="s">
        <v>1614</v>
      </c>
      <c r="C354" s="56" t="s">
        <v>1615</v>
      </c>
      <c r="D354" s="64" t="s">
        <v>1615</v>
      </c>
      <c r="E354" s="65">
        <v>48</v>
      </c>
      <c r="F354" s="66">
        <v>148</v>
      </c>
      <c r="G354" s="43"/>
      <c r="H354" s="43"/>
      <c r="I354" s="43"/>
      <c r="J354" s="43"/>
      <c r="K354" s="43"/>
      <c r="L354" s="43"/>
      <c r="M354" s="43"/>
      <c r="N354" s="43"/>
    </row>
    <row r="355" spans="1:14" x14ac:dyDescent="0.35">
      <c r="A355" s="37" t="s">
        <v>1540</v>
      </c>
      <c r="B355" s="56" t="s">
        <v>1614</v>
      </c>
      <c r="C355" s="56" t="s">
        <v>1616</v>
      </c>
      <c r="D355" s="64" t="s">
        <v>1616</v>
      </c>
      <c r="E355" s="65">
        <v>49</v>
      </c>
      <c r="F355" s="66">
        <v>149</v>
      </c>
      <c r="G355" s="43"/>
      <c r="H355" s="43"/>
      <c r="I355" s="43"/>
      <c r="J355" s="43"/>
      <c r="K355" s="43"/>
      <c r="L355" s="43"/>
      <c r="M355" s="43"/>
      <c r="N355" s="43"/>
    </row>
    <row r="356" spans="1:14" x14ac:dyDescent="0.35">
      <c r="A356" s="37" t="s">
        <v>1540</v>
      </c>
      <c r="B356" s="56" t="s">
        <v>1614</v>
      </c>
      <c r="C356" s="56" t="s">
        <v>1617</v>
      </c>
      <c r="D356" s="64" t="s">
        <v>1617</v>
      </c>
      <c r="E356" s="65">
        <v>50</v>
      </c>
      <c r="F356" s="66">
        <v>150</v>
      </c>
      <c r="G356" s="43"/>
      <c r="H356" s="43"/>
      <c r="I356" s="43"/>
      <c r="J356" s="43"/>
      <c r="K356" s="43"/>
      <c r="L356" s="43"/>
      <c r="M356" s="43"/>
      <c r="N356" s="43"/>
    </row>
    <row r="357" spans="1:14" x14ac:dyDescent="0.35">
      <c r="A357" s="37" t="s">
        <v>1540</v>
      </c>
      <c r="B357" s="56" t="s">
        <v>1618</v>
      </c>
      <c r="C357" s="56" t="s">
        <v>1618</v>
      </c>
      <c r="D357" s="64" t="s">
        <v>1560</v>
      </c>
      <c r="E357" s="65">
        <v>159</v>
      </c>
      <c r="F357" s="66">
        <v>459</v>
      </c>
      <c r="G357" s="43"/>
      <c r="H357" s="43"/>
      <c r="I357" s="43"/>
      <c r="J357" s="43"/>
      <c r="K357" s="43"/>
      <c r="L357" s="43"/>
      <c r="M357" s="43"/>
      <c r="N357" s="43"/>
    </row>
    <row r="358" spans="1:14" x14ac:dyDescent="0.35">
      <c r="A358" s="37" t="s">
        <v>1540</v>
      </c>
      <c r="B358" s="56" t="s">
        <v>1619</v>
      </c>
      <c r="C358" s="56" t="s">
        <v>1620</v>
      </c>
      <c r="D358" s="64" t="s">
        <v>1620</v>
      </c>
      <c r="E358" s="65">
        <v>52</v>
      </c>
      <c r="F358" s="66">
        <v>152</v>
      </c>
      <c r="G358" s="43"/>
      <c r="H358" s="43"/>
      <c r="I358" s="43"/>
      <c r="J358" s="43"/>
      <c r="K358" s="43"/>
      <c r="L358" s="43"/>
      <c r="M358" s="43"/>
      <c r="N358" s="43"/>
    </row>
    <row r="359" spans="1:14" x14ac:dyDescent="0.35">
      <c r="A359" s="37" t="s">
        <v>1540</v>
      </c>
      <c r="B359" s="56" t="s">
        <v>1619</v>
      </c>
      <c r="C359" s="56" t="s">
        <v>1621</v>
      </c>
      <c r="D359" s="64" t="s">
        <v>1621</v>
      </c>
      <c r="E359" s="65">
        <v>53</v>
      </c>
      <c r="F359" s="66">
        <v>153</v>
      </c>
      <c r="G359" s="43"/>
      <c r="H359" s="43"/>
      <c r="I359" s="43"/>
      <c r="J359" s="43"/>
      <c r="K359" s="43"/>
      <c r="L359" s="43"/>
      <c r="M359" s="43"/>
      <c r="N359" s="43"/>
    </row>
    <row r="360" spans="1:14" x14ac:dyDescent="0.35">
      <c r="A360" s="37" t="s">
        <v>1540</v>
      </c>
      <c r="B360" s="56" t="s">
        <v>1619</v>
      </c>
      <c r="C360" s="56" t="s">
        <v>1622</v>
      </c>
      <c r="D360" s="64" t="s">
        <v>1622</v>
      </c>
      <c r="E360" s="65">
        <v>54</v>
      </c>
      <c r="F360" s="66">
        <v>154</v>
      </c>
      <c r="G360" s="43"/>
      <c r="H360" s="43"/>
      <c r="I360" s="43"/>
      <c r="J360" s="43"/>
      <c r="K360" s="43"/>
      <c r="L360" s="43"/>
      <c r="M360" s="43"/>
      <c r="N360" s="43"/>
    </row>
    <row r="361" spans="1:14" x14ac:dyDescent="0.35">
      <c r="A361" s="37" t="s">
        <v>1540</v>
      </c>
      <c r="B361" s="56" t="s">
        <v>1623</v>
      </c>
      <c r="C361" s="56" t="s">
        <v>1623</v>
      </c>
      <c r="D361" s="64" t="s">
        <v>1624</v>
      </c>
      <c r="E361" s="65">
        <v>-24</v>
      </c>
      <c r="F361" s="66">
        <v>-12</v>
      </c>
      <c r="G361" s="43"/>
      <c r="H361" s="43"/>
      <c r="I361" s="43"/>
      <c r="J361" s="43"/>
      <c r="K361" s="43"/>
      <c r="L361" s="43"/>
      <c r="M361" s="43"/>
      <c r="N361" s="43"/>
    </row>
    <row r="362" spans="1:14" x14ac:dyDescent="0.35">
      <c r="A362" s="37" t="s">
        <v>1540</v>
      </c>
      <c r="B362" s="56" t="s">
        <v>1625</v>
      </c>
      <c r="C362" s="56" t="s">
        <v>1625</v>
      </c>
      <c r="D362" s="64" t="s">
        <v>1626</v>
      </c>
      <c r="E362" s="65">
        <v>1697</v>
      </c>
      <c r="F362" s="66">
        <v>157</v>
      </c>
      <c r="G362" s="43"/>
      <c r="H362" s="43"/>
      <c r="I362" s="43"/>
      <c r="J362" s="43"/>
      <c r="K362" s="43"/>
      <c r="L362" s="43"/>
      <c r="M362" s="43"/>
      <c r="N362" s="43"/>
    </row>
    <row r="363" spans="1:14" x14ac:dyDescent="0.35">
      <c r="A363" s="37" t="s">
        <v>1540</v>
      </c>
      <c r="B363" s="56" t="s">
        <v>1627</v>
      </c>
      <c r="C363" s="56" t="s">
        <v>1627</v>
      </c>
      <c r="D363" s="64" t="s">
        <v>1628</v>
      </c>
      <c r="E363" s="65">
        <v>1000</v>
      </c>
      <c r="F363" s="66">
        <v>157</v>
      </c>
      <c r="G363" s="43"/>
      <c r="H363" s="43"/>
      <c r="I363" s="43"/>
      <c r="J363" s="43"/>
      <c r="K363" s="43"/>
      <c r="L363" s="43"/>
      <c r="M363" s="43"/>
      <c r="N363" s="43"/>
    </row>
    <row r="364" spans="1:14" x14ac:dyDescent="0.35">
      <c r="A364" s="37" t="s">
        <v>1540</v>
      </c>
      <c r="B364" s="56" t="s">
        <v>1629</v>
      </c>
      <c r="C364" s="56" t="s">
        <v>1629</v>
      </c>
      <c r="D364" s="64" t="s">
        <v>1543</v>
      </c>
      <c r="E364" s="65">
        <v>58</v>
      </c>
      <c r="F364" s="66">
        <v>158</v>
      </c>
      <c r="G364" s="43"/>
      <c r="H364" s="43"/>
      <c r="I364" s="43"/>
      <c r="J364" s="43"/>
      <c r="K364" s="43"/>
      <c r="L364" s="43"/>
      <c r="M364" s="43"/>
      <c r="N364" s="43"/>
    </row>
    <row r="365" spans="1:14" x14ac:dyDescent="0.35">
      <c r="A365" s="37" t="s">
        <v>1540</v>
      </c>
      <c r="B365" s="56" t="s">
        <v>1630</v>
      </c>
      <c r="C365" s="56" t="s">
        <v>1630</v>
      </c>
      <c r="D365" s="64" t="s">
        <v>1545</v>
      </c>
      <c r="E365" s="65">
        <v>59</v>
      </c>
      <c r="F365" s="66">
        <v>159</v>
      </c>
      <c r="G365" s="43"/>
      <c r="H365" s="43"/>
      <c r="I365" s="43"/>
      <c r="J365" s="43"/>
      <c r="K365" s="43"/>
      <c r="L365" s="43"/>
      <c r="M365" s="43"/>
      <c r="N365" s="43"/>
    </row>
    <row r="366" spans="1:14" x14ac:dyDescent="0.35">
      <c r="A366" s="37" t="s">
        <v>1540</v>
      </c>
      <c r="B366" s="56" t="s">
        <v>1631</v>
      </c>
      <c r="C366" s="56" t="s">
        <v>1631</v>
      </c>
      <c r="D366" s="64" t="s">
        <v>1632</v>
      </c>
      <c r="E366" s="65">
        <v>1117</v>
      </c>
      <c r="F366" s="66">
        <v>474</v>
      </c>
      <c r="G366" s="43"/>
      <c r="H366" s="43"/>
      <c r="I366" s="43"/>
      <c r="J366" s="43"/>
      <c r="K366" s="43"/>
      <c r="L366" s="43"/>
      <c r="M366" s="43"/>
      <c r="N366" s="43"/>
    </row>
    <row r="367" spans="1:14" x14ac:dyDescent="0.35">
      <c r="A367" s="37" t="s">
        <v>1540</v>
      </c>
      <c r="B367" s="56" t="s">
        <v>1633</v>
      </c>
      <c r="C367" s="56" t="s">
        <v>1633</v>
      </c>
      <c r="D367" s="64" t="s">
        <v>1553</v>
      </c>
      <c r="E367" s="65">
        <v>254</v>
      </c>
      <c r="F367" s="66">
        <v>654</v>
      </c>
      <c r="G367" s="43"/>
      <c r="H367" s="43"/>
      <c r="I367" s="43"/>
      <c r="J367" s="43"/>
      <c r="K367" s="43"/>
      <c r="L367" s="43"/>
      <c r="M367" s="43"/>
      <c r="N367" s="43"/>
    </row>
    <row r="368" spans="1:14" x14ac:dyDescent="0.35">
      <c r="A368" s="37" t="s">
        <v>1540</v>
      </c>
      <c r="B368" s="56" t="s">
        <v>1634</v>
      </c>
      <c r="C368" s="56" t="s">
        <v>1634</v>
      </c>
      <c r="D368" s="64" t="s">
        <v>1635</v>
      </c>
      <c r="E368" s="65">
        <v>62</v>
      </c>
      <c r="F368" s="66">
        <v>162</v>
      </c>
      <c r="G368" s="43"/>
      <c r="H368" s="43"/>
      <c r="I368" s="43"/>
      <c r="J368" s="43"/>
      <c r="K368" s="43"/>
      <c r="L368" s="43"/>
      <c r="M368" s="43"/>
      <c r="N368" s="43"/>
    </row>
    <row r="369" spans="1:14" x14ac:dyDescent="0.35">
      <c r="A369" s="37" t="s">
        <v>1540</v>
      </c>
      <c r="B369" s="56" t="s">
        <v>1636</v>
      </c>
      <c r="C369" s="56" t="s">
        <v>1637</v>
      </c>
      <c r="D369" s="64" t="s">
        <v>1637</v>
      </c>
      <c r="E369" s="65">
        <v>63</v>
      </c>
      <c r="F369" s="66">
        <v>163</v>
      </c>
      <c r="G369" s="43"/>
      <c r="H369" s="43"/>
      <c r="I369" s="43"/>
      <c r="J369" s="43"/>
      <c r="K369" s="43"/>
      <c r="L369" s="43"/>
      <c r="M369" s="43"/>
      <c r="N369" s="43"/>
    </row>
    <row r="370" spans="1:14" x14ac:dyDescent="0.35">
      <c r="A370" s="37" t="s">
        <v>1540</v>
      </c>
      <c r="B370" s="56" t="s">
        <v>1636</v>
      </c>
      <c r="C370" s="56" t="s">
        <v>1636</v>
      </c>
      <c r="D370" s="64" t="s">
        <v>1636</v>
      </c>
      <c r="E370" s="65">
        <v>64</v>
      </c>
      <c r="F370" s="66">
        <v>164</v>
      </c>
      <c r="G370" s="43"/>
      <c r="H370" s="43"/>
      <c r="I370" s="43"/>
      <c r="J370" s="43"/>
      <c r="K370" s="43"/>
      <c r="L370" s="43"/>
      <c r="M370" s="43"/>
      <c r="N370" s="43"/>
    </row>
    <row r="371" spans="1:14" x14ac:dyDescent="0.35">
      <c r="A371" s="37" t="s">
        <v>1540</v>
      </c>
      <c r="B371" s="56" t="s">
        <v>1636</v>
      </c>
      <c r="C371" s="56" t="s">
        <v>1638</v>
      </c>
      <c r="D371" s="64" t="s">
        <v>1638</v>
      </c>
      <c r="E371" s="65">
        <v>65</v>
      </c>
      <c r="F371" s="66">
        <v>165</v>
      </c>
      <c r="G371" s="43"/>
      <c r="H371" s="43"/>
      <c r="I371" s="43"/>
      <c r="J371" s="43"/>
      <c r="K371" s="43"/>
      <c r="L371" s="43"/>
      <c r="M371" s="43"/>
      <c r="N371" s="43"/>
    </row>
    <row r="372" spans="1:14" x14ac:dyDescent="0.35">
      <c r="A372" s="37" t="s">
        <v>1540</v>
      </c>
      <c r="B372" s="56" t="s">
        <v>1639</v>
      </c>
      <c r="C372" s="56" t="s">
        <v>1639</v>
      </c>
      <c r="D372" s="64" t="s">
        <v>1560</v>
      </c>
      <c r="E372" s="65">
        <v>204</v>
      </c>
      <c r="F372" s="66">
        <v>504</v>
      </c>
      <c r="G372" s="43"/>
      <c r="H372" s="43"/>
      <c r="I372" s="43"/>
      <c r="J372" s="43"/>
      <c r="K372" s="43"/>
      <c r="L372" s="43"/>
      <c r="M372" s="43"/>
      <c r="N372" s="43"/>
    </row>
    <row r="373" spans="1:14" x14ac:dyDescent="0.35">
      <c r="A373" s="37" t="s">
        <v>1540</v>
      </c>
      <c r="B373" s="56" t="s">
        <v>1640</v>
      </c>
      <c r="C373" s="56" t="s">
        <v>1641</v>
      </c>
      <c r="D373" s="64" t="s">
        <v>1641</v>
      </c>
      <c r="E373" s="65">
        <v>67</v>
      </c>
      <c r="F373" s="66">
        <v>167</v>
      </c>
      <c r="G373" s="43"/>
      <c r="H373" s="43"/>
      <c r="I373" s="43"/>
      <c r="J373" s="43"/>
      <c r="K373" s="43"/>
      <c r="L373" s="43"/>
      <c r="M373" s="43"/>
      <c r="N373" s="43"/>
    </row>
    <row r="374" spans="1:14" x14ac:dyDescent="0.35">
      <c r="A374" s="37" t="s">
        <v>1540</v>
      </c>
      <c r="B374" s="56" t="s">
        <v>1640</v>
      </c>
      <c r="C374" s="56" t="s">
        <v>1642</v>
      </c>
      <c r="D374" s="64" t="s">
        <v>1642</v>
      </c>
      <c r="E374" s="65">
        <v>68</v>
      </c>
      <c r="F374" s="66">
        <v>168</v>
      </c>
      <c r="G374" s="43"/>
      <c r="H374" s="43"/>
      <c r="I374" s="43"/>
      <c r="J374" s="43"/>
      <c r="K374" s="43"/>
      <c r="L374" s="43"/>
      <c r="M374" s="43"/>
      <c r="N374" s="43"/>
    </row>
    <row r="375" spans="1:14" x14ac:dyDescent="0.35">
      <c r="A375" s="37" t="s">
        <v>1540</v>
      </c>
      <c r="B375" s="56" t="s">
        <v>1640</v>
      </c>
      <c r="C375" s="56" t="s">
        <v>1643</v>
      </c>
      <c r="D375" s="64" t="s">
        <v>1643</v>
      </c>
      <c r="E375" s="65">
        <v>69</v>
      </c>
      <c r="F375" s="66">
        <v>169</v>
      </c>
      <c r="G375" s="43"/>
      <c r="H375" s="43"/>
      <c r="I375" s="43"/>
      <c r="J375" s="43"/>
      <c r="K375" s="43"/>
      <c r="L375" s="43"/>
      <c r="M375" s="43"/>
      <c r="N375" s="43"/>
    </row>
    <row r="376" spans="1:14" x14ac:dyDescent="0.35">
      <c r="A376" s="37" t="s">
        <v>1540</v>
      </c>
      <c r="B376" s="56" t="s">
        <v>1644</v>
      </c>
      <c r="C376" s="56" t="s">
        <v>1644</v>
      </c>
      <c r="D376" s="64" t="s">
        <v>1645</v>
      </c>
      <c r="E376" s="65">
        <v>1167</v>
      </c>
      <c r="F376" s="66">
        <v>624</v>
      </c>
      <c r="G376" s="43"/>
      <c r="H376" s="43"/>
      <c r="I376" s="43"/>
      <c r="J376" s="43"/>
      <c r="K376" s="43"/>
      <c r="L376" s="43"/>
      <c r="M376" s="43"/>
      <c r="N376" s="43"/>
    </row>
    <row r="377" spans="1:14" x14ac:dyDescent="0.35">
      <c r="A377" s="37" t="s">
        <v>1540</v>
      </c>
      <c r="B377" s="56" t="s">
        <v>1646</v>
      </c>
      <c r="C377" s="56" t="s">
        <v>1646</v>
      </c>
      <c r="D377" s="64" t="s">
        <v>1647</v>
      </c>
      <c r="E377" s="65">
        <v>697</v>
      </c>
      <c r="F377" s="66">
        <v>0</v>
      </c>
      <c r="G377" s="43"/>
      <c r="H377" s="43"/>
      <c r="I377" s="43"/>
      <c r="J377" s="43"/>
      <c r="K377" s="43"/>
      <c r="L377" s="43"/>
      <c r="M377" s="43"/>
      <c r="N377" s="43"/>
    </row>
    <row r="378" spans="1:14" x14ac:dyDescent="0.35">
      <c r="A378" s="37" t="s">
        <v>1540</v>
      </c>
      <c r="B378" s="56" t="s">
        <v>1648</v>
      </c>
      <c r="C378" s="56" t="s">
        <v>1648</v>
      </c>
      <c r="D378" s="64" t="s">
        <v>1543</v>
      </c>
      <c r="E378" s="65">
        <v>72</v>
      </c>
      <c r="F378" s="66">
        <v>172</v>
      </c>
      <c r="G378" s="43"/>
      <c r="H378" s="43"/>
      <c r="I378" s="43"/>
      <c r="J378" s="43"/>
      <c r="K378" s="43"/>
      <c r="L378" s="43"/>
      <c r="M378" s="43"/>
      <c r="N378" s="43"/>
    </row>
    <row r="379" spans="1:14" x14ac:dyDescent="0.35">
      <c r="A379" s="37" t="s">
        <v>1540</v>
      </c>
      <c r="B379" s="56" t="s">
        <v>1649</v>
      </c>
      <c r="C379" s="56" t="s">
        <v>1649</v>
      </c>
      <c r="D379" s="64" t="s">
        <v>1545</v>
      </c>
      <c r="E379" s="65">
        <v>73</v>
      </c>
      <c r="F379" s="66">
        <v>173</v>
      </c>
      <c r="G379" s="43"/>
      <c r="H379" s="43"/>
      <c r="I379" s="43"/>
      <c r="J379" s="43"/>
      <c r="K379" s="43"/>
      <c r="L379" s="43"/>
      <c r="M379" s="43"/>
      <c r="N379" s="43"/>
    </row>
    <row r="380" spans="1:14" x14ac:dyDescent="0.35">
      <c r="A380" s="37" t="s">
        <v>1540</v>
      </c>
      <c r="B380" s="56" t="s">
        <v>1650</v>
      </c>
      <c r="C380" s="56" t="s">
        <v>1650</v>
      </c>
      <c r="D380" s="64" t="s">
        <v>1651</v>
      </c>
      <c r="E380" s="65">
        <v>842</v>
      </c>
      <c r="F380" s="66">
        <v>345</v>
      </c>
      <c r="G380" s="43"/>
      <c r="H380" s="43"/>
      <c r="I380" s="43"/>
      <c r="J380" s="43"/>
      <c r="K380" s="43"/>
      <c r="L380" s="43"/>
      <c r="M380" s="43"/>
      <c r="N380" s="43"/>
    </row>
    <row r="381" spans="1:14" x14ac:dyDescent="0.35">
      <c r="A381" s="37" t="s">
        <v>1540</v>
      </c>
      <c r="B381" s="56" t="s">
        <v>1652</v>
      </c>
      <c r="C381" s="56" t="s">
        <v>1652</v>
      </c>
      <c r="D381" s="64" t="s">
        <v>1553</v>
      </c>
      <c r="E381" s="65">
        <v>310</v>
      </c>
      <c r="F381" s="66">
        <v>710</v>
      </c>
      <c r="G381" s="43"/>
      <c r="H381" s="43"/>
      <c r="I381" s="43"/>
      <c r="J381" s="43"/>
      <c r="K381" s="43"/>
      <c r="L381" s="43"/>
      <c r="M381" s="43"/>
      <c r="N381" s="43"/>
    </row>
    <row r="382" spans="1:14" x14ac:dyDescent="0.35">
      <c r="A382" s="37" t="s">
        <v>1540</v>
      </c>
      <c r="B382" s="56" t="s">
        <v>1653</v>
      </c>
      <c r="C382" s="56" t="s">
        <v>1653</v>
      </c>
      <c r="D382" s="64" t="s">
        <v>1654</v>
      </c>
      <c r="E382" s="65">
        <v>76</v>
      </c>
      <c r="F382" s="66">
        <v>176</v>
      </c>
      <c r="G382" s="43"/>
      <c r="H382" s="43"/>
      <c r="I382" s="43"/>
      <c r="J382" s="43"/>
      <c r="K382" s="43"/>
      <c r="L382" s="43"/>
      <c r="M382" s="43"/>
      <c r="N382" s="43"/>
    </row>
    <row r="383" spans="1:14" x14ac:dyDescent="0.35">
      <c r="A383" s="37" t="s">
        <v>1540</v>
      </c>
      <c r="B383" s="56" t="s">
        <v>1655</v>
      </c>
      <c r="C383" s="56" t="s">
        <v>1656</v>
      </c>
      <c r="D383" s="64" t="s">
        <v>1656</v>
      </c>
      <c r="E383" s="65">
        <v>77</v>
      </c>
      <c r="F383" s="66">
        <v>177</v>
      </c>
      <c r="G383" s="43"/>
      <c r="H383" s="43"/>
      <c r="I383" s="43"/>
      <c r="J383" s="43"/>
      <c r="K383" s="43"/>
      <c r="L383" s="43"/>
      <c r="M383" s="43"/>
      <c r="N383" s="43"/>
    </row>
    <row r="384" spans="1:14" x14ac:dyDescent="0.35">
      <c r="A384" s="37" t="s">
        <v>1540</v>
      </c>
      <c r="B384" s="56" t="s">
        <v>1655</v>
      </c>
      <c r="C384" s="56" t="s">
        <v>1655</v>
      </c>
      <c r="D384" s="64" t="s">
        <v>1655</v>
      </c>
      <c r="E384" s="65">
        <v>78</v>
      </c>
      <c r="F384" s="66">
        <v>178</v>
      </c>
      <c r="G384" s="43"/>
      <c r="H384" s="43"/>
      <c r="I384" s="43"/>
      <c r="J384" s="43"/>
      <c r="K384" s="43"/>
      <c r="L384" s="43"/>
      <c r="M384" s="43"/>
      <c r="N384" s="43"/>
    </row>
    <row r="385" spans="1:14" x14ac:dyDescent="0.35">
      <c r="A385" s="37" t="s">
        <v>1540</v>
      </c>
      <c r="B385" s="56" t="s">
        <v>1655</v>
      </c>
      <c r="C385" s="56" t="s">
        <v>1657</v>
      </c>
      <c r="D385" s="64" t="s">
        <v>1657</v>
      </c>
      <c r="E385" s="65">
        <v>79</v>
      </c>
      <c r="F385" s="66">
        <v>179</v>
      </c>
      <c r="G385" s="43"/>
      <c r="H385" s="43"/>
      <c r="I385" s="43"/>
      <c r="J385" s="43"/>
      <c r="K385" s="43"/>
      <c r="L385" s="43"/>
      <c r="M385" s="43"/>
      <c r="N385" s="43"/>
    </row>
    <row r="386" spans="1:14" x14ac:dyDescent="0.35">
      <c r="A386" s="37" t="s">
        <v>1540</v>
      </c>
      <c r="B386" s="56" t="s">
        <v>1658</v>
      </c>
      <c r="C386" s="56" t="s">
        <v>1658</v>
      </c>
      <c r="D386" s="64" t="s">
        <v>1560</v>
      </c>
      <c r="E386" s="65">
        <v>246</v>
      </c>
      <c r="F386" s="66">
        <v>546</v>
      </c>
      <c r="G386" s="43"/>
      <c r="H386" s="43"/>
      <c r="I386" s="43"/>
      <c r="J386" s="43"/>
      <c r="K386" s="43"/>
      <c r="L386" s="43"/>
      <c r="M386" s="43"/>
      <c r="N386" s="43"/>
    </row>
    <row r="387" spans="1:14" x14ac:dyDescent="0.35">
      <c r="A387" s="37" t="s">
        <v>1540</v>
      </c>
      <c r="B387" s="56" t="s">
        <v>1659</v>
      </c>
      <c r="C387" s="56" t="s">
        <v>1660</v>
      </c>
      <c r="D387" s="64" t="s">
        <v>1660</v>
      </c>
      <c r="E387" s="65">
        <v>81</v>
      </c>
      <c r="F387" s="66">
        <v>181</v>
      </c>
      <c r="G387" s="43"/>
      <c r="H387" s="43"/>
      <c r="I387" s="43"/>
      <c r="J387" s="43"/>
      <c r="K387" s="43"/>
      <c r="L387" s="43"/>
      <c r="M387" s="43"/>
      <c r="N387" s="43"/>
    </row>
    <row r="388" spans="1:14" x14ac:dyDescent="0.35">
      <c r="A388" s="37" t="s">
        <v>1540</v>
      </c>
      <c r="B388" s="56" t="s">
        <v>1659</v>
      </c>
      <c r="C388" s="56" t="s">
        <v>1661</v>
      </c>
      <c r="D388" s="64" t="s">
        <v>1661</v>
      </c>
      <c r="E388" s="65">
        <v>82</v>
      </c>
      <c r="F388" s="66">
        <v>182</v>
      </c>
      <c r="G388" s="43"/>
      <c r="H388" s="43"/>
      <c r="I388" s="43"/>
      <c r="J388" s="43"/>
      <c r="K388" s="43"/>
      <c r="L388" s="43"/>
      <c r="M388" s="43"/>
      <c r="N388" s="43"/>
    </row>
    <row r="389" spans="1:14" x14ac:dyDescent="0.35">
      <c r="A389" s="37" t="s">
        <v>1540</v>
      </c>
      <c r="B389" s="56" t="s">
        <v>1659</v>
      </c>
      <c r="C389" s="56" t="s">
        <v>1662</v>
      </c>
      <c r="D389" s="64" t="s">
        <v>1662</v>
      </c>
      <c r="E389" s="65">
        <v>83</v>
      </c>
      <c r="F389" s="66">
        <v>183</v>
      </c>
      <c r="G389" s="43"/>
      <c r="H389" s="43"/>
      <c r="I389" s="43"/>
      <c r="J389" s="43"/>
      <c r="K389" s="43"/>
      <c r="L389" s="43"/>
      <c r="M389" s="43"/>
      <c r="N389" s="43"/>
    </row>
    <row r="390" spans="1:14" x14ac:dyDescent="0.35">
      <c r="A390" s="37" t="s">
        <v>1540</v>
      </c>
      <c r="B390" s="56" t="s">
        <v>1663</v>
      </c>
      <c r="C390" s="56" t="s">
        <v>1663</v>
      </c>
      <c r="D390" s="64" t="s">
        <v>1664</v>
      </c>
      <c r="E390" s="65">
        <v>906</v>
      </c>
      <c r="F390" s="66">
        <v>509</v>
      </c>
      <c r="G390" s="43"/>
      <c r="H390" s="43"/>
      <c r="I390" s="43"/>
      <c r="J390" s="43"/>
      <c r="K390" s="43"/>
      <c r="L390" s="43"/>
      <c r="M390" s="43"/>
      <c r="N390" s="43"/>
    </row>
    <row r="391" spans="1:14" x14ac:dyDescent="0.35">
      <c r="A391" s="37" t="s">
        <v>1540</v>
      </c>
      <c r="B391" s="56" t="s">
        <v>1665</v>
      </c>
      <c r="C391" s="56" t="s">
        <v>1665</v>
      </c>
      <c r="D391" s="64" t="s">
        <v>1666</v>
      </c>
      <c r="E391" s="65">
        <v>2073</v>
      </c>
      <c r="F391" s="66">
        <v>1133</v>
      </c>
      <c r="G391" s="43"/>
      <c r="H391" s="43"/>
      <c r="I391" s="43"/>
      <c r="J391" s="43"/>
      <c r="K391" s="43"/>
      <c r="L391" s="43"/>
      <c r="M391" s="43"/>
      <c r="N391" s="43"/>
    </row>
    <row r="392" spans="1:14" x14ac:dyDescent="0.35">
      <c r="A392" s="37" t="s">
        <v>1540</v>
      </c>
      <c r="B392" s="56" t="s">
        <v>1667</v>
      </c>
      <c r="C392" s="56" t="s">
        <v>1667</v>
      </c>
      <c r="D392" s="64" t="s">
        <v>1668</v>
      </c>
      <c r="E392" s="65">
        <v>264</v>
      </c>
      <c r="F392" s="66">
        <v>564</v>
      </c>
      <c r="G392" s="43"/>
      <c r="H392" s="43"/>
      <c r="I392" s="43"/>
      <c r="J392" s="43"/>
      <c r="K392" s="43"/>
      <c r="L392" s="43"/>
      <c r="M392" s="43"/>
      <c r="N392" s="43"/>
    </row>
    <row r="393" spans="1:14" x14ac:dyDescent="0.35">
      <c r="A393" s="37" t="s">
        <v>1540</v>
      </c>
      <c r="B393" s="56" t="s">
        <v>1669</v>
      </c>
      <c r="C393" s="56" t="s">
        <v>1669</v>
      </c>
      <c r="D393" s="64" t="s">
        <v>1670</v>
      </c>
      <c r="E393" s="65">
        <v>87</v>
      </c>
      <c r="F393" s="66">
        <v>187</v>
      </c>
      <c r="G393" s="43"/>
      <c r="H393" s="43"/>
      <c r="I393" s="43"/>
      <c r="J393" s="43"/>
      <c r="K393" s="43"/>
      <c r="L393" s="43"/>
      <c r="M393" s="43"/>
      <c r="N393" s="43"/>
    </row>
    <row r="394" spans="1:14" x14ac:dyDescent="0.35">
      <c r="A394" s="37" t="s">
        <v>1540</v>
      </c>
      <c r="B394" s="56" t="s">
        <v>1671</v>
      </c>
      <c r="C394" s="56" t="s">
        <v>1671</v>
      </c>
      <c r="D394" s="64" t="s">
        <v>1672</v>
      </c>
      <c r="E394" s="65">
        <v>88</v>
      </c>
      <c r="F394" s="66">
        <v>188</v>
      </c>
      <c r="G394" s="43"/>
      <c r="H394" s="43"/>
      <c r="I394" s="43"/>
      <c r="J394" s="43"/>
      <c r="K394" s="43"/>
      <c r="L394" s="43"/>
      <c r="M394" s="43"/>
      <c r="N394" s="43"/>
    </row>
    <row r="395" spans="1:14" x14ac:dyDescent="0.35">
      <c r="A395" s="37" t="s">
        <v>1540</v>
      </c>
      <c r="B395" s="56" t="s">
        <v>1673</v>
      </c>
      <c r="C395" s="56" t="s">
        <v>1673</v>
      </c>
      <c r="D395" s="64" t="s">
        <v>1674</v>
      </c>
      <c r="E395" s="65">
        <v>89</v>
      </c>
      <c r="F395" s="66">
        <v>189</v>
      </c>
      <c r="G395" s="43"/>
      <c r="H395" s="43"/>
      <c r="I395" s="43"/>
      <c r="J395" s="43"/>
      <c r="K395" s="43"/>
      <c r="L395" s="43"/>
      <c r="M395" s="43"/>
      <c r="N395" s="43"/>
    </row>
    <row r="396" spans="1:14" x14ac:dyDescent="0.35">
      <c r="A396" s="37" t="s">
        <v>1540</v>
      </c>
      <c r="B396" s="56" t="s">
        <v>1675</v>
      </c>
      <c r="C396" s="56" t="s">
        <v>1675</v>
      </c>
      <c r="D396" s="64" t="s">
        <v>1676</v>
      </c>
      <c r="E396" s="65">
        <v>2335</v>
      </c>
      <c r="F396" s="66">
        <v>1215</v>
      </c>
      <c r="G396" s="43"/>
      <c r="H396" s="43"/>
      <c r="I396" s="43"/>
      <c r="J396" s="43"/>
      <c r="K396" s="43"/>
      <c r="L396" s="43"/>
      <c r="M396" s="43"/>
      <c r="N396" s="43"/>
    </row>
    <row r="397" spans="1:14" ht="15" thickBot="1" x14ac:dyDescent="0.4">
      <c r="A397" s="81" t="s">
        <v>1540</v>
      </c>
      <c r="B397" s="82" t="s">
        <v>1677</v>
      </c>
      <c r="C397" s="82" t="s">
        <v>1677</v>
      </c>
      <c r="D397" s="83" t="s">
        <v>1678</v>
      </c>
      <c r="E397" s="84">
        <v>91</v>
      </c>
      <c r="F397" s="85">
        <v>191</v>
      </c>
      <c r="G397" s="43"/>
      <c r="H397" s="43"/>
      <c r="I397" s="43"/>
      <c r="J397" s="43"/>
      <c r="K397" s="43"/>
      <c r="L397" s="43"/>
      <c r="M397" s="43"/>
      <c r="N397" s="43"/>
    </row>
    <row r="398" spans="1:14" ht="15" thickTop="1" x14ac:dyDescent="0.35">
      <c r="A398" s="37" t="s">
        <v>1679</v>
      </c>
      <c r="B398" s="56" t="s">
        <v>1391</v>
      </c>
      <c r="C398" s="56" t="s">
        <v>1391</v>
      </c>
      <c r="D398" s="56" t="s">
        <v>1680</v>
      </c>
      <c r="E398" s="57">
        <v>1</v>
      </c>
      <c r="F398" s="58">
        <v>101</v>
      </c>
      <c r="G398" s="43" t="b">
        <v>1</v>
      </c>
      <c r="H398" s="43"/>
      <c r="I398" s="43"/>
      <c r="J398" s="43"/>
      <c r="K398" s="43"/>
      <c r="L398" s="43"/>
      <c r="M398" s="43"/>
      <c r="N398" s="43"/>
    </row>
    <row r="399" spans="1:14" x14ac:dyDescent="0.35">
      <c r="A399" s="37" t="s">
        <v>1679</v>
      </c>
      <c r="B399" s="56" t="s">
        <v>1397</v>
      </c>
      <c r="C399" s="56" t="s">
        <v>1397</v>
      </c>
      <c r="D399" s="56" t="s">
        <v>1681</v>
      </c>
      <c r="E399" s="57">
        <v>2</v>
      </c>
      <c r="F399" s="58">
        <v>102</v>
      </c>
      <c r="G399" s="43"/>
      <c r="H399" s="43"/>
      <c r="I399" s="43"/>
      <c r="J399" s="43"/>
      <c r="K399" s="43"/>
      <c r="L399" s="43"/>
      <c r="M399" s="43"/>
      <c r="N399" s="43"/>
    </row>
    <row r="400" spans="1:14" x14ac:dyDescent="0.35">
      <c r="A400" s="37" t="s">
        <v>1679</v>
      </c>
      <c r="B400" s="56" t="s">
        <v>1400</v>
      </c>
      <c r="C400" s="56" t="s">
        <v>1400</v>
      </c>
      <c r="D400" s="56" t="s">
        <v>1682</v>
      </c>
      <c r="E400" s="57">
        <v>85</v>
      </c>
      <c r="F400" s="58">
        <v>1085</v>
      </c>
      <c r="G400" s="43"/>
      <c r="H400" s="43"/>
      <c r="I400" s="43"/>
      <c r="J400" s="43"/>
      <c r="K400" s="43"/>
      <c r="L400" s="43"/>
      <c r="M400" s="43"/>
      <c r="N400" s="43"/>
    </row>
    <row r="401" spans="1:14" x14ac:dyDescent="0.35">
      <c r="A401" s="37" t="s">
        <v>1679</v>
      </c>
      <c r="B401" s="56" t="s">
        <v>1683</v>
      </c>
      <c r="C401" s="56" t="s">
        <v>1683</v>
      </c>
      <c r="D401" s="56" t="s">
        <v>1684</v>
      </c>
      <c r="E401" s="57">
        <v>4</v>
      </c>
      <c r="F401" s="58">
        <v>104</v>
      </c>
      <c r="G401" s="43"/>
      <c r="H401" s="43"/>
      <c r="I401" s="43"/>
      <c r="J401" s="43"/>
      <c r="K401" s="43"/>
      <c r="L401" s="43"/>
      <c r="M401" s="43"/>
      <c r="N401" s="43"/>
    </row>
    <row r="402" spans="1:14" x14ac:dyDescent="0.35">
      <c r="A402" s="37" t="s">
        <v>1679</v>
      </c>
      <c r="B402" s="56" t="s">
        <v>1685</v>
      </c>
      <c r="C402" s="56" t="s">
        <v>1685</v>
      </c>
      <c r="D402" s="56" t="s">
        <v>1686</v>
      </c>
      <c r="E402" s="57">
        <v>5</v>
      </c>
      <c r="F402" s="58">
        <v>105</v>
      </c>
      <c r="G402" s="43"/>
      <c r="H402" s="43"/>
      <c r="I402" s="43"/>
      <c r="J402" s="43"/>
      <c r="K402" s="43"/>
      <c r="L402" s="43"/>
      <c r="M402" s="43"/>
      <c r="N402" s="43"/>
    </row>
    <row r="403" spans="1:14" x14ac:dyDescent="0.35">
      <c r="A403" s="37" t="s">
        <v>1679</v>
      </c>
      <c r="B403" s="56" t="s">
        <v>1687</v>
      </c>
      <c r="C403" s="56" t="s">
        <v>1687</v>
      </c>
      <c r="D403" s="56" t="s">
        <v>1688</v>
      </c>
      <c r="E403" s="57">
        <v>6</v>
      </c>
      <c r="F403" s="58">
        <v>106</v>
      </c>
      <c r="G403" s="43"/>
      <c r="H403" s="43"/>
      <c r="I403" s="43"/>
      <c r="J403" s="43"/>
      <c r="K403" s="43"/>
      <c r="L403" s="43"/>
      <c r="M403" s="43"/>
      <c r="N403" s="43"/>
    </row>
    <row r="404" spans="1:14" x14ac:dyDescent="0.35">
      <c r="A404" s="37" t="s">
        <v>1679</v>
      </c>
      <c r="B404" s="56" t="s">
        <v>1689</v>
      </c>
      <c r="C404" s="56" t="s">
        <v>1689</v>
      </c>
      <c r="D404" s="56" t="s">
        <v>1690</v>
      </c>
      <c r="E404" s="57">
        <v>7</v>
      </c>
      <c r="F404" s="58">
        <v>107</v>
      </c>
      <c r="G404" s="43"/>
      <c r="H404" s="43"/>
      <c r="I404" s="43"/>
      <c r="J404" s="43"/>
      <c r="K404" s="43"/>
      <c r="L404" s="43"/>
      <c r="M404" s="43"/>
      <c r="N404" s="43"/>
    </row>
    <row r="405" spans="1:14" x14ac:dyDescent="0.35">
      <c r="A405" s="37" t="s">
        <v>1679</v>
      </c>
      <c r="B405" s="56" t="s">
        <v>1691</v>
      </c>
      <c r="C405" s="56" t="s">
        <v>1691</v>
      </c>
      <c r="D405" s="56" t="s">
        <v>1692</v>
      </c>
      <c r="E405" s="57">
        <v>8</v>
      </c>
      <c r="F405" s="58">
        <v>108</v>
      </c>
      <c r="G405" s="43"/>
      <c r="H405" s="43"/>
      <c r="I405" s="43"/>
      <c r="J405" s="43"/>
      <c r="K405" s="43"/>
      <c r="L405" s="43"/>
      <c r="M405" s="43"/>
      <c r="N405" s="43"/>
    </row>
    <row r="406" spans="1:14" x14ac:dyDescent="0.35">
      <c r="A406" s="37" t="s">
        <v>1679</v>
      </c>
      <c r="B406" s="56" t="s">
        <v>1693</v>
      </c>
      <c r="C406" s="56" t="s">
        <v>1693</v>
      </c>
      <c r="D406" s="56" t="s">
        <v>1694</v>
      </c>
      <c r="E406" s="57">
        <v>9</v>
      </c>
      <c r="F406" s="58">
        <v>109</v>
      </c>
      <c r="G406" s="43"/>
      <c r="H406" s="43"/>
      <c r="I406" s="43"/>
      <c r="J406" s="43"/>
      <c r="K406" s="43"/>
      <c r="L406" s="43"/>
      <c r="M406" s="43"/>
      <c r="N406" s="43"/>
    </row>
    <row r="407" spans="1:14" x14ac:dyDescent="0.35">
      <c r="A407" s="37" t="s">
        <v>1679</v>
      </c>
      <c r="B407" s="56" t="s">
        <v>1695</v>
      </c>
      <c r="C407" s="56" t="s">
        <v>1695</v>
      </c>
      <c r="D407" s="56" t="s">
        <v>1696</v>
      </c>
      <c r="E407" s="57">
        <v>10</v>
      </c>
      <c r="F407" s="58">
        <v>110</v>
      </c>
      <c r="G407" s="43"/>
      <c r="H407" s="43"/>
      <c r="I407" s="43"/>
      <c r="J407" s="43"/>
      <c r="K407" s="43"/>
      <c r="L407" s="43"/>
      <c r="M407" s="43"/>
      <c r="N407" s="43"/>
    </row>
    <row r="408" spans="1:14" x14ac:dyDescent="0.35">
      <c r="A408" s="37" t="s">
        <v>1679</v>
      </c>
      <c r="B408" s="56" t="s">
        <v>1697</v>
      </c>
      <c r="C408" s="56" t="s">
        <v>1697</v>
      </c>
      <c r="D408" s="56" t="s">
        <v>1698</v>
      </c>
      <c r="E408" s="57">
        <v>11</v>
      </c>
      <c r="F408" s="58">
        <v>111</v>
      </c>
      <c r="G408" s="43"/>
      <c r="H408" s="43"/>
      <c r="I408" s="43"/>
      <c r="J408" s="43"/>
      <c r="K408" s="43"/>
      <c r="L408" s="43"/>
      <c r="M408" s="43"/>
      <c r="N408" s="43"/>
    </row>
    <row r="409" spans="1:14" x14ac:dyDescent="0.35">
      <c r="A409" s="37" t="s">
        <v>1679</v>
      </c>
      <c r="B409" s="56" t="s">
        <v>1699</v>
      </c>
      <c r="C409" s="56" t="s">
        <v>1699</v>
      </c>
      <c r="D409" s="56" t="s">
        <v>1700</v>
      </c>
      <c r="E409" s="57">
        <v>12</v>
      </c>
      <c r="F409" s="58">
        <v>112</v>
      </c>
      <c r="G409" s="43"/>
      <c r="H409" s="43"/>
      <c r="I409" s="43"/>
      <c r="J409" s="43"/>
      <c r="K409" s="43"/>
      <c r="L409" s="43"/>
      <c r="M409" s="43"/>
      <c r="N409" s="43"/>
    </row>
    <row r="410" spans="1:14" x14ac:dyDescent="0.35">
      <c r="A410" s="37" t="s">
        <v>1679</v>
      </c>
      <c r="B410" s="56" t="s">
        <v>1701</v>
      </c>
      <c r="C410" s="56" t="s">
        <v>1701</v>
      </c>
      <c r="D410" s="56" t="s">
        <v>1702</v>
      </c>
      <c r="E410" s="57">
        <v>13</v>
      </c>
      <c r="F410" s="58">
        <v>113</v>
      </c>
      <c r="G410" s="43"/>
      <c r="H410" s="43"/>
      <c r="I410" s="43"/>
      <c r="J410" s="43"/>
      <c r="K410" s="43"/>
      <c r="L410" s="43"/>
      <c r="M410" s="43"/>
      <c r="N410" s="43"/>
    </row>
    <row r="411" spans="1:14" x14ac:dyDescent="0.35">
      <c r="A411" s="37" t="s">
        <v>1679</v>
      </c>
      <c r="B411" s="56" t="s">
        <v>1403</v>
      </c>
      <c r="C411" s="56" t="s">
        <v>1403</v>
      </c>
      <c r="D411" s="56" t="s">
        <v>1703</v>
      </c>
      <c r="E411" s="57">
        <v>87</v>
      </c>
      <c r="F411" s="58">
        <v>1187</v>
      </c>
      <c r="G411" s="43"/>
      <c r="H411" s="43"/>
      <c r="I411" s="43"/>
      <c r="J411" s="43"/>
      <c r="K411" s="43"/>
      <c r="L411" s="43"/>
      <c r="M411" s="43"/>
      <c r="N411" s="43"/>
    </row>
    <row r="412" spans="1:14" x14ac:dyDescent="0.35">
      <c r="A412" s="37" t="s">
        <v>1679</v>
      </c>
      <c r="B412" s="56" t="s">
        <v>1409</v>
      </c>
      <c r="C412" s="56" t="s">
        <v>1409</v>
      </c>
      <c r="D412" s="56" t="s">
        <v>1704</v>
      </c>
      <c r="E412" s="57">
        <v>15</v>
      </c>
      <c r="F412" s="58">
        <v>115</v>
      </c>
      <c r="G412" s="43"/>
      <c r="H412" s="43"/>
      <c r="I412" s="43"/>
      <c r="J412" s="43"/>
      <c r="K412" s="43"/>
      <c r="L412" s="43"/>
      <c r="M412" s="43"/>
      <c r="N412" s="43"/>
    </row>
    <row r="413" spans="1:14" x14ac:dyDescent="0.35">
      <c r="A413" s="37" t="s">
        <v>1679</v>
      </c>
      <c r="B413" s="56" t="s">
        <v>1412</v>
      </c>
      <c r="C413" s="56" t="s">
        <v>1412</v>
      </c>
      <c r="D413" s="56" t="s">
        <v>1705</v>
      </c>
      <c r="E413" s="57">
        <v>202</v>
      </c>
      <c r="F413" s="58">
        <v>1102</v>
      </c>
      <c r="G413" s="43"/>
      <c r="H413" s="43"/>
      <c r="I413" s="43"/>
      <c r="J413" s="43"/>
      <c r="K413" s="43"/>
      <c r="L413" s="43"/>
      <c r="M413" s="43"/>
      <c r="N413" s="43"/>
    </row>
    <row r="414" spans="1:14" x14ac:dyDescent="0.35">
      <c r="A414" s="37" t="s">
        <v>1679</v>
      </c>
      <c r="B414" s="56" t="s">
        <v>1706</v>
      </c>
      <c r="C414" s="56" t="s">
        <v>1706</v>
      </c>
      <c r="D414" s="56" t="s">
        <v>1707</v>
      </c>
      <c r="E414" s="57">
        <v>17</v>
      </c>
      <c r="F414" s="58">
        <v>117</v>
      </c>
      <c r="G414" s="43"/>
      <c r="H414" s="43"/>
      <c r="I414" s="43"/>
      <c r="J414" s="43"/>
      <c r="K414" s="43"/>
      <c r="L414" s="43"/>
      <c r="M414" s="43"/>
      <c r="N414" s="43"/>
    </row>
    <row r="415" spans="1:14" x14ac:dyDescent="0.35">
      <c r="A415" s="37" t="s">
        <v>1679</v>
      </c>
      <c r="B415" s="56" t="s">
        <v>1708</v>
      </c>
      <c r="C415" s="56" t="s">
        <v>1708</v>
      </c>
      <c r="D415" s="56" t="s">
        <v>1709</v>
      </c>
      <c r="E415" s="57">
        <v>18</v>
      </c>
      <c r="F415" s="58">
        <v>118</v>
      </c>
      <c r="G415" s="43"/>
      <c r="H415" s="43"/>
      <c r="I415" s="43"/>
      <c r="J415" s="43"/>
      <c r="K415" s="43"/>
      <c r="L415" s="43"/>
      <c r="M415" s="43"/>
      <c r="N415" s="43"/>
    </row>
    <row r="416" spans="1:14" x14ac:dyDescent="0.35">
      <c r="A416" s="37" t="s">
        <v>1679</v>
      </c>
      <c r="B416" s="56" t="s">
        <v>1710</v>
      </c>
      <c r="C416" s="56" t="s">
        <v>1710</v>
      </c>
      <c r="D416" s="56" t="s">
        <v>1711</v>
      </c>
      <c r="E416" s="57">
        <v>140</v>
      </c>
      <c r="F416" s="58">
        <v>740</v>
      </c>
      <c r="G416" s="43"/>
      <c r="H416" s="43"/>
      <c r="I416" s="43"/>
      <c r="J416" s="43"/>
      <c r="K416" s="43"/>
      <c r="L416" s="43"/>
      <c r="M416" s="43"/>
      <c r="N416" s="43"/>
    </row>
    <row r="417" spans="1:14" x14ac:dyDescent="0.35">
      <c r="A417" s="37" t="s">
        <v>1679</v>
      </c>
      <c r="B417" s="56" t="s">
        <v>1712</v>
      </c>
      <c r="C417" s="56" t="s">
        <v>1712</v>
      </c>
      <c r="D417" s="56" t="s">
        <v>1057</v>
      </c>
      <c r="E417" s="57">
        <v>20</v>
      </c>
      <c r="F417" s="58">
        <v>120</v>
      </c>
      <c r="G417" s="43"/>
      <c r="H417" s="43"/>
      <c r="I417" s="43"/>
      <c r="J417" s="43"/>
      <c r="K417" s="43"/>
      <c r="L417" s="43"/>
      <c r="M417" s="43"/>
      <c r="N417" s="43"/>
    </row>
    <row r="418" spans="1:14" x14ac:dyDescent="0.35">
      <c r="A418" s="37" t="s">
        <v>1679</v>
      </c>
      <c r="B418" s="56" t="s">
        <v>1713</v>
      </c>
      <c r="C418" s="56" t="s">
        <v>1713</v>
      </c>
      <c r="D418" s="56" t="s">
        <v>1190</v>
      </c>
      <c r="E418" s="57">
        <v>120</v>
      </c>
      <c r="F418" s="58">
        <v>620</v>
      </c>
      <c r="G418" s="43"/>
      <c r="H418" s="43"/>
      <c r="I418" s="43"/>
      <c r="J418" s="43"/>
      <c r="K418" s="43"/>
      <c r="L418" s="43"/>
      <c r="M418" s="43"/>
      <c r="N418" s="43"/>
    </row>
    <row r="419" spans="1:14" x14ac:dyDescent="0.35">
      <c r="A419" s="37" t="s">
        <v>1679</v>
      </c>
      <c r="B419" s="56" t="s">
        <v>1714</v>
      </c>
      <c r="C419" s="56" t="s">
        <v>1714</v>
      </c>
      <c r="D419" s="56" t="s">
        <v>1715</v>
      </c>
      <c r="E419" s="57">
        <v>22</v>
      </c>
      <c r="F419" s="58">
        <v>122</v>
      </c>
      <c r="G419" s="43"/>
      <c r="H419" s="43"/>
      <c r="I419" s="43"/>
      <c r="J419" s="43"/>
      <c r="K419" s="43"/>
      <c r="L419" s="43"/>
      <c r="M419" s="43"/>
      <c r="N419" s="43"/>
    </row>
    <row r="420" spans="1:14" x14ac:dyDescent="0.35">
      <c r="A420" s="37" t="s">
        <v>1679</v>
      </c>
      <c r="B420" s="56" t="s">
        <v>1716</v>
      </c>
      <c r="C420" s="56" t="s">
        <v>1716</v>
      </c>
      <c r="D420" s="56" t="s">
        <v>1717</v>
      </c>
      <c r="E420" s="57">
        <v>23</v>
      </c>
      <c r="F420" s="58">
        <v>123</v>
      </c>
      <c r="G420" s="43"/>
      <c r="H420" s="43"/>
      <c r="I420" s="43"/>
      <c r="J420" s="43"/>
      <c r="K420" s="43"/>
      <c r="L420" s="43"/>
      <c r="M420" s="43"/>
      <c r="N420" s="43"/>
    </row>
    <row r="421" spans="1:14" x14ac:dyDescent="0.35">
      <c r="A421" s="37" t="s">
        <v>1679</v>
      </c>
      <c r="B421" s="56" t="s">
        <v>1718</v>
      </c>
      <c r="C421" s="56" t="s">
        <v>1718</v>
      </c>
      <c r="D421" s="56" t="s">
        <v>1719</v>
      </c>
      <c r="E421" s="57">
        <v>24</v>
      </c>
      <c r="F421" s="58">
        <v>124</v>
      </c>
      <c r="G421" s="43"/>
      <c r="H421" s="43"/>
      <c r="I421" s="43"/>
      <c r="J421" s="43"/>
      <c r="K421" s="43"/>
      <c r="L421" s="43"/>
      <c r="M421" s="43"/>
      <c r="N421" s="43"/>
    </row>
    <row r="422" spans="1:14" x14ac:dyDescent="0.35">
      <c r="A422" s="37" t="s">
        <v>1679</v>
      </c>
      <c r="B422" s="56" t="s">
        <v>1720</v>
      </c>
      <c r="C422" s="56" t="s">
        <v>1720</v>
      </c>
      <c r="D422" s="56" t="s">
        <v>1721</v>
      </c>
      <c r="E422" s="57">
        <v>25</v>
      </c>
      <c r="F422" s="58">
        <v>125</v>
      </c>
      <c r="G422" s="43"/>
      <c r="H422" s="43"/>
      <c r="I422" s="43"/>
      <c r="J422" s="43"/>
      <c r="K422" s="43"/>
      <c r="L422" s="43"/>
      <c r="M422" s="43"/>
      <c r="N422" s="43"/>
    </row>
    <row r="423" spans="1:14" x14ac:dyDescent="0.35">
      <c r="A423" s="37" t="s">
        <v>1679</v>
      </c>
      <c r="B423" s="56" t="s">
        <v>1722</v>
      </c>
      <c r="C423" s="56" t="s">
        <v>1722</v>
      </c>
      <c r="D423" s="56" t="s">
        <v>1723</v>
      </c>
      <c r="E423" s="57">
        <v>26</v>
      </c>
      <c r="F423" s="58">
        <v>126</v>
      </c>
      <c r="G423" s="43"/>
      <c r="H423" s="43"/>
      <c r="I423" s="43"/>
      <c r="J423" s="43"/>
      <c r="K423" s="43"/>
      <c r="L423" s="43"/>
      <c r="M423" s="43"/>
      <c r="N423" s="43"/>
    </row>
    <row r="424" spans="1:14" x14ac:dyDescent="0.35">
      <c r="A424" s="37" t="s">
        <v>1679</v>
      </c>
      <c r="B424" s="56" t="s">
        <v>1724</v>
      </c>
      <c r="C424" s="56" t="s">
        <v>1724</v>
      </c>
      <c r="D424" s="56" t="s">
        <v>1725</v>
      </c>
      <c r="E424" s="57">
        <v>27</v>
      </c>
      <c r="F424" s="58">
        <v>127</v>
      </c>
      <c r="G424" s="43"/>
      <c r="H424" s="43"/>
      <c r="I424" s="43"/>
      <c r="J424" s="43"/>
      <c r="K424" s="43"/>
      <c r="L424" s="43"/>
      <c r="M424" s="43"/>
      <c r="N424" s="43"/>
    </row>
    <row r="425" spans="1:14" x14ac:dyDescent="0.35">
      <c r="A425" s="37" t="s">
        <v>1679</v>
      </c>
      <c r="B425" s="56" t="s">
        <v>1415</v>
      </c>
      <c r="C425" s="56" t="s">
        <v>1415</v>
      </c>
      <c r="D425" s="56" t="s">
        <v>1726</v>
      </c>
      <c r="E425" s="57">
        <v>196</v>
      </c>
      <c r="F425" s="58">
        <v>796</v>
      </c>
      <c r="G425" s="43"/>
      <c r="H425" s="43"/>
      <c r="I425" s="43"/>
      <c r="J425" s="43"/>
      <c r="K425" s="43"/>
      <c r="L425" s="43"/>
      <c r="M425" s="43"/>
      <c r="N425" s="43"/>
    </row>
    <row r="426" spans="1:14" x14ac:dyDescent="0.35">
      <c r="A426" s="37" t="s">
        <v>1679</v>
      </c>
      <c r="B426" s="56" t="s">
        <v>1727</v>
      </c>
      <c r="C426" s="56" t="s">
        <v>1727</v>
      </c>
      <c r="D426" s="56" t="s">
        <v>1728</v>
      </c>
      <c r="E426" s="57">
        <v>29</v>
      </c>
      <c r="F426" s="58">
        <v>129</v>
      </c>
      <c r="G426" s="43"/>
      <c r="H426" s="43"/>
      <c r="I426" s="43"/>
      <c r="J426" s="43"/>
      <c r="K426" s="43"/>
      <c r="L426" s="43"/>
      <c r="M426" s="43"/>
      <c r="N426" s="43"/>
    </row>
    <row r="427" spans="1:14" x14ac:dyDescent="0.35">
      <c r="A427" s="37" t="s">
        <v>1679</v>
      </c>
      <c r="B427" s="56" t="s">
        <v>1729</v>
      </c>
      <c r="C427" s="56" t="s">
        <v>1729</v>
      </c>
      <c r="D427" s="56" t="s">
        <v>1730</v>
      </c>
      <c r="E427" s="57">
        <v>30</v>
      </c>
      <c r="F427" s="58">
        <v>130</v>
      </c>
      <c r="G427" s="43"/>
      <c r="H427" s="43"/>
      <c r="I427" s="43"/>
      <c r="J427" s="43"/>
      <c r="K427" s="43"/>
      <c r="L427" s="43"/>
      <c r="M427" s="43"/>
      <c r="N427" s="43"/>
    </row>
    <row r="428" spans="1:14" x14ac:dyDescent="0.35">
      <c r="A428" s="37" t="s">
        <v>1679</v>
      </c>
      <c r="B428" s="56" t="s">
        <v>1731</v>
      </c>
      <c r="C428" s="56" t="s">
        <v>1731</v>
      </c>
      <c r="D428" s="56" t="s">
        <v>1732</v>
      </c>
      <c r="E428" s="57">
        <v>101</v>
      </c>
      <c r="F428" s="58">
        <v>401</v>
      </c>
      <c r="G428" s="43"/>
      <c r="H428" s="43"/>
      <c r="I428" s="43"/>
      <c r="J428" s="43"/>
      <c r="K428" s="43"/>
      <c r="L428" s="43"/>
      <c r="M428" s="43"/>
      <c r="N428" s="43"/>
    </row>
    <row r="429" spans="1:14" x14ac:dyDescent="0.35">
      <c r="A429" s="37" t="s">
        <v>1679</v>
      </c>
      <c r="B429" s="56" t="s">
        <v>1733</v>
      </c>
      <c r="C429" s="56" t="s">
        <v>1733</v>
      </c>
      <c r="D429" s="56" t="s">
        <v>1057</v>
      </c>
      <c r="E429" s="57">
        <v>32</v>
      </c>
      <c r="F429" s="58">
        <v>132</v>
      </c>
      <c r="G429" s="43"/>
      <c r="H429" s="43"/>
      <c r="I429" s="43"/>
      <c r="J429" s="43"/>
      <c r="K429" s="43"/>
      <c r="L429" s="43"/>
      <c r="M429" s="43"/>
      <c r="N429" s="43"/>
    </row>
    <row r="430" spans="1:14" x14ac:dyDescent="0.35">
      <c r="A430" s="37" t="s">
        <v>1679</v>
      </c>
      <c r="B430" s="56" t="s">
        <v>1734</v>
      </c>
      <c r="C430" s="56" t="s">
        <v>1734</v>
      </c>
      <c r="D430" s="56" t="s">
        <v>1190</v>
      </c>
      <c r="E430" s="57">
        <v>69</v>
      </c>
      <c r="F430" s="58">
        <v>269</v>
      </c>
      <c r="G430" s="43"/>
      <c r="H430" s="43"/>
      <c r="I430" s="43"/>
      <c r="J430" s="43"/>
      <c r="K430" s="43"/>
      <c r="L430" s="43"/>
      <c r="M430" s="43"/>
      <c r="N430" s="43"/>
    </row>
    <row r="431" spans="1:14" x14ac:dyDescent="0.35">
      <c r="A431" s="37" t="s">
        <v>1679</v>
      </c>
      <c r="B431" s="56" t="s">
        <v>1735</v>
      </c>
      <c r="C431" s="56" t="s">
        <v>1735</v>
      </c>
      <c r="D431" s="56" t="s">
        <v>1736</v>
      </c>
      <c r="E431" s="57">
        <v>34</v>
      </c>
      <c r="F431" s="58">
        <v>134</v>
      </c>
      <c r="G431" s="43"/>
      <c r="H431" s="43"/>
      <c r="I431" s="43"/>
      <c r="J431" s="43"/>
      <c r="K431" s="43"/>
      <c r="L431" s="43"/>
      <c r="M431" s="43"/>
      <c r="N431" s="43"/>
    </row>
    <row r="432" spans="1:14" x14ac:dyDescent="0.35">
      <c r="A432" s="37" t="s">
        <v>1679</v>
      </c>
      <c r="B432" s="56" t="s">
        <v>1737</v>
      </c>
      <c r="C432" s="56" t="s">
        <v>1737</v>
      </c>
      <c r="D432" s="56" t="s">
        <v>1738</v>
      </c>
      <c r="E432" s="57">
        <v>35</v>
      </c>
      <c r="F432" s="58">
        <v>135</v>
      </c>
      <c r="G432" s="43"/>
      <c r="H432" s="43"/>
      <c r="I432" s="43"/>
      <c r="J432" s="43"/>
      <c r="K432" s="43"/>
      <c r="L432" s="43"/>
      <c r="M432" s="43"/>
      <c r="N432" s="43"/>
    </row>
    <row r="433" spans="1:14" x14ac:dyDescent="0.35">
      <c r="A433" s="37" t="s">
        <v>1679</v>
      </c>
      <c r="B433" s="56" t="s">
        <v>1739</v>
      </c>
      <c r="C433" s="56" t="s">
        <v>1739</v>
      </c>
      <c r="D433" s="56" t="s">
        <v>1740</v>
      </c>
      <c r="E433" s="57">
        <v>36</v>
      </c>
      <c r="F433" s="58">
        <v>136</v>
      </c>
      <c r="G433" s="43"/>
      <c r="H433" s="43"/>
      <c r="I433" s="43"/>
      <c r="J433" s="43"/>
      <c r="K433" s="43"/>
      <c r="L433" s="43"/>
      <c r="M433" s="43"/>
      <c r="N433" s="43"/>
    </row>
    <row r="434" spans="1:14" x14ac:dyDescent="0.35">
      <c r="A434" s="37" t="s">
        <v>1679</v>
      </c>
      <c r="B434" s="56" t="s">
        <v>1418</v>
      </c>
      <c r="C434" s="56" t="s">
        <v>1418</v>
      </c>
      <c r="D434" s="56" t="s">
        <v>1741</v>
      </c>
      <c r="E434" s="57">
        <v>6</v>
      </c>
      <c r="F434" s="58">
        <v>306</v>
      </c>
      <c r="G434" s="43"/>
      <c r="H434" s="43"/>
      <c r="I434" s="43"/>
      <c r="J434" s="43"/>
      <c r="K434" s="43"/>
      <c r="L434" s="43"/>
      <c r="M434" s="43"/>
      <c r="N434" s="43"/>
    </row>
    <row r="435" spans="1:14" x14ac:dyDescent="0.35">
      <c r="A435" s="37" t="s">
        <v>1679</v>
      </c>
      <c r="B435" s="56" t="s">
        <v>1442</v>
      </c>
      <c r="C435" s="56" t="s">
        <v>1442</v>
      </c>
      <c r="D435" s="56" t="s">
        <v>1742</v>
      </c>
      <c r="E435" s="57">
        <v>38</v>
      </c>
      <c r="F435" s="58">
        <v>138</v>
      </c>
      <c r="G435" s="43"/>
      <c r="H435" s="43"/>
      <c r="I435" s="43"/>
      <c r="J435" s="43"/>
      <c r="K435" s="43"/>
      <c r="L435" s="43"/>
      <c r="M435" s="43"/>
      <c r="N435" s="43"/>
    </row>
    <row r="436" spans="1:14" x14ac:dyDescent="0.35">
      <c r="A436" s="37" t="s">
        <v>1679</v>
      </c>
      <c r="B436" s="56" t="s">
        <v>1743</v>
      </c>
      <c r="C436" s="56" t="s">
        <v>1743</v>
      </c>
      <c r="D436" s="56" t="s">
        <v>1705</v>
      </c>
      <c r="E436" s="57">
        <v>166</v>
      </c>
      <c r="F436" s="58">
        <v>566</v>
      </c>
      <c r="G436" s="43"/>
      <c r="H436" s="43"/>
      <c r="I436" s="43"/>
      <c r="J436" s="43"/>
      <c r="K436" s="43"/>
      <c r="L436" s="43"/>
      <c r="M436" s="43"/>
      <c r="N436" s="43"/>
    </row>
    <row r="437" spans="1:14" x14ac:dyDescent="0.35">
      <c r="A437" s="37" t="s">
        <v>1679</v>
      </c>
      <c r="B437" s="56" t="s">
        <v>1744</v>
      </c>
      <c r="C437" s="56" t="s">
        <v>1744</v>
      </c>
      <c r="D437" s="56" t="s">
        <v>1745</v>
      </c>
      <c r="E437" s="57">
        <v>40</v>
      </c>
      <c r="F437" s="58">
        <v>140</v>
      </c>
      <c r="G437" s="43"/>
      <c r="H437" s="43"/>
      <c r="I437" s="43"/>
      <c r="J437" s="43"/>
      <c r="K437" s="43"/>
      <c r="L437" s="43"/>
      <c r="M437" s="43"/>
      <c r="N437" s="43"/>
    </row>
    <row r="438" spans="1:14" x14ac:dyDescent="0.35">
      <c r="A438" s="37" t="s">
        <v>1679</v>
      </c>
      <c r="B438" s="56" t="s">
        <v>1746</v>
      </c>
      <c r="C438" s="56" t="s">
        <v>1746</v>
      </c>
      <c r="D438" s="56" t="s">
        <v>1747</v>
      </c>
      <c r="E438" s="57">
        <v>41</v>
      </c>
      <c r="F438" s="58">
        <v>141</v>
      </c>
      <c r="G438" s="43"/>
      <c r="H438" s="43"/>
      <c r="I438" s="43"/>
      <c r="J438" s="43"/>
      <c r="K438" s="43"/>
      <c r="L438" s="43"/>
      <c r="M438" s="43"/>
      <c r="N438" s="43"/>
    </row>
    <row r="439" spans="1:14" x14ac:dyDescent="0.35">
      <c r="A439" s="37" t="s">
        <v>1679</v>
      </c>
      <c r="B439" s="56" t="s">
        <v>1748</v>
      </c>
      <c r="C439" s="56" t="s">
        <v>1748</v>
      </c>
      <c r="D439" s="56" t="s">
        <v>1749</v>
      </c>
      <c r="E439" s="57">
        <v>42</v>
      </c>
      <c r="F439" s="58">
        <v>142</v>
      </c>
      <c r="G439" s="43"/>
      <c r="H439" s="43"/>
      <c r="I439" s="43"/>
      <c r="J439" s="43"/>
      <c r="K439" s="43"/>
      <c r="L439" s="43"/>
      <c r="M439" s="43"/>
      <c r="N439" s="43"/>
    </row>
    <row r="440" spans="1:14" x14ac:dyDescent="0.35">
      <c r="A440" s="37" t="s">
        <v>1679</v>
      </c>
      <c r="B440" s="56" t="s">
        <v>1750</v>
      </c>
      <c r="C440" s="56" t="s">
        <v>1750</v>
      </c>
      <c r="D440" s="56" t="s">
        <v>1751</v>
      </c>
      <c r="E440" s="57">
        <v>43</v>
      </c>
      <c r="F440" s="58">
        <v>143</v>
      </c>
      <c r="G440" s="43"/>
      <c r="H440" s="43"/>
      <c r="I440" s="43"/>
      <c r="J440" s="43"/>
      <c r="K440" s="43"/>
      <c r="L440" s="43"/>
      <c r="M440" s="43"/>
      <c r="N440" s="43"/>
    </row>
    <row r="441" spans="1:14" x14ac:dyDescent="0.35">
      <c r="A441" s="37" t="s">
        <v>1679</v>
      </c>
      <c r="B441" s="56" t="s">
        <v>1752</v>
      </c>
      <c r="C441" s="56" t="s">
        <v>1752</v>
      </c>
      <c r="D441" s="56" t="s">
        <v>1726</v>
      </c>
      <c r="E441" s="57">
        <v>441</v>
      </c>
      <c r="F441" s="58">
        <v>1341</v>
      </c>
      <c r="G441" s="43"/>
      <c r="H441" s="43"/>
      <c r="I441" s="43"/>
      <c r="J441" s="43"/>
      <c r="K441" s="43"/>
      <c r="L441" s="43"/>
      <c r="M441" s="43"/>
      <c r="N441" s="43"/>
    </row>
    <row r="442" spans="1:14" x14ac:dyDescent="0.35">
      <c r="A442" s="37" t="s">
        <v>1679</v>
      </c>
      <c r="B442" s="56" t="s">
        <v>1753</v>
      </c>
      <c r="C442" s="56" t="s">
        <v>1753</v>
      </c>
      <c r="D442" s="56" t="s">
        <v>1754</v>
      </c>
      <c r="E442" s="57">
        <v>45</v>
      </c>
      <c r="F442" s="58">
        <v>145</v>
      </c>
      <c r="G442" s="43"/>
      <c r="H442" s="43"/>
      <c r="I442" s="43"/>
      <c r="J442" s="43"/>
      <c r="K442" s="43"/>
      <c r="L442" s="43"/>
      <c r="M442" s="43"/>
      <c r="N442" s="43"/>
    </row>
    <row r="443" spans="1:14" x14ac:dyDescent="0.35">
      <c r="A443" s="37" t="s">
        <v>1679</v>
      </c>
      <c r="B443" s="56" t="s">
        <v>1755</v>
      </c>
      <c r="C443" s="56" t="s">
        <v>1755</v>
      </c>
      <c r="D443" s="56" t="s">
        <v>1756</v>
      </c>
      <c r="E443" s="57">
        <v>46</v>
      </c>
      <c r="F443" s="58">
        <v>146</v>
      </c>
      <c r="G443" s="43"/>
      <c r="H443" s="43"/>
      <c r="I443" s="43"/>
      <c r="J443" s="43"/>
      <c r="K443" s="43"/>
      <c r="L443" s="43"/>
      <c r="M443" s="43"/>
      <c r="N443" s="43"/>
    </row>
    <row r="444" spans="1:14" x14ac:dyDescent="0.35">
      <c r="A444" s="37" t="s">
        <v>1679</v>
      </c>
      <c r="B444" s="56" t="s">
        <v>1757</v>
      </c>
      <c r="C444" s="56" t="s">
        <v>1757</v>
      </c>
      <c r="D444" s="56" t="s">
        <v>1758</v>
      </c>
      <c r="E444" s="57">
        <v>47</v>
      </c>
      <c r="F444" s="58">
        <v>147</v>
      </c>
      <c r="G444" s="43"/>
      <c r="H444" s="43"/>
      <c r="I444" s="43"/>
      <c r="J444" s="43"/>
      <c r="K444" s="43"/>
      <c r="L444" s="43"/>
      <c r="M444" s="43"/>
      <c r="N444" s="43"/>
    </row>
    <row r="445" spans="1:14" x14ac:dyDescent="0.35">
      <c r="A445" s="37" t="s">
        <v>1679</v>
      </c>
      <c r="B445" s="56" t="s">
        <v>1759</v>
      </c>
      <c r="C445" s="56" t="s">
        <v>1759</v>
      </c>
      <c r="D445" s="56" t="s">
        <v>1760</v>
      </c>
      <c r="E445" s="57">
        <v>48</v>
      </c>
      <c r="F445" s="58">
        <v>148</v>
      </c>
      <c r="G445" s="43"/>
      <c r="H445" s="43"/>
      <c r="I445" s="43"/>
      <c r="J445" s="43"/>
      <c r="K445" s="43"/>
      <c r="L445" s="43"/>
      <c r="M445" s="43"/>
      <c r="N445" s="43"/>
    </row>
    <row r="446" spans="1:14" x14ac:dyDescent="0.35">
      <c r="A446" s="37" t="s">
        <v>1679</v>
      </c>
      <c r="B446" s="56" t="s">
        <v>1761</v>
      </c>
      <c r="C446" s="56" t="s">
        <v>1761</v>
      </c>
      <c r="D446" s="56" t="s">
        <v>1762</v>
      </c>
      <c r="E446" s="57">
        <v>49</v>
      </c>
      <c r="F446" s="58">
        <v>149</v>
      </c>
      <c r="G446" s="43"/>
      <c r="H446" s="43"/>
      <c r="I446" s="43"/>
      <c r="J446" s="43"/>
      <c r="K446" s="43"/>
      <c r="L446" s="43"/>
      <c r="M446" s="43"/>
      <c r="N446" s="43"/>
    </row>
    <row r="447" spans="1:14" x14ac:dyDescent="0.35">
      <c r="A447" s="37" t="s">
        <v>1679</v>
      </c>
      <c r="B447" s="56" t="s">
        <v>1763</v>
      </c>
      <c r="C447" s="56" t="s">
        <v>1763</v>
      </c>
      <c r="D447" s="56" t="s">
        <v>1764</v>
      </c>
      <c r="E447" s="57">
        <v>50</v>
      </c>
      <c r="F447" s="58">
        <v>150</v>
      </c>
      <c r="G447" s="43"/>
      <c r="H447" s="43"/>
      <c r="I447" s="43"/>
      <c r="J447" s="43"/>
      <c r="K447" s="43"/>
      <c r="L447" s="43"/>
      <c r="M447" s="43"/>
      <c r="N447" s="43"/>
    </row>
    <row r="448" spans="1:14" x14ac:dyDescent="0.35">
      <c r="A448" s="37" t="s">
        <v>1679</v>
      </c>
      <c r="B448" s="56" t="s">
        <v>1765</v>
      </c>
      <c r="C448" s="56" t="s">
        <v>1765</v>
      </c>
      <c r="D448" s="56" t="s">
        <v>1766</v>
      </c>
      <c r="E448" s="57">
        <v>51</v>
      </c>
      <c r="F448" s="58">
        <v>151</v>
      </c>
      <c r="G448" s="43"/>
      <c r="H448" s="43"/>
      <c r="I448" s="43"/>
      <c r="J448" s="43"/>
      <c r="K448" s="43"/>
      <c r="L448" s="43"/>
      <c r="M448" s="43"/>
      <c r="N448" s="43"/>
    </row>
    <row r="449" spans="1:14" x14ac:dyDescent="0.35">
      <c r="A449" s="37" t="s">
        <v>1679</v>
      </c>
      <c r="B449" s="56" t="s">
        <v>1767</v>
      </c>
      <c r="C449" s="56" t="s">
        <v>1767</v>
      </c>
      <c r="D449" s="56" t="s">
        <v>1768</v>
      </c>
      <c r="E449" s="57">
        <v>52</v>
      </c>
      <c r="F449" s="58">
        <v>152</v>
      </c>
      <c r="G449" s="43"/>
      <c r="H449" s="43"/>
      <c r="I449" s="43"/>
      <c r="J449" s="43"/>
      <c r="K449" s="43"/>
      <c r="L449" s="43"/>
      <c r="M449" s="43"/>
      <c r="N449" s="43"/>
    </row>
    <row r="450" spans="1:14" x14ac:dyDescent="0.35">
      <c r="A450" s="37" t="s">
        <v>1679</v>
      </c>
      <c r="B450" s="56" t="s">
        <v>1769</v>
      </c>
      <c r="C450" s="56" t="s">
        <v>1769</v>
      </c>
      <c r="D450" s="56" t="s">
        <v>1770</v>
      </c>
      <c r="E450" s="57">
        <v>53</v>
      </c>
      <c r="F450" s="58">
        <v>153</v>
      </c>
      <c r="G450" s="43"/>
      <c r="H450" s="43"/>
      <c r="I450" s="43"/>
      <c r="J450" s="43"/>
      <c r="K450" s="43"/>
      <c r="L450" s="43"/>
      <c r="M450" s="43"/>
      <c r="N450" s="43"/>
    </row>
    <row r="451" spans="1:14" x14ac:dyDescent="0.35">
      <c r="A451" s="37" t="s">
        <v>1679</v>
      </c>
      <c r="B451" s="56" t="s">
        <v>1771</v>
      </c>
      <c r="C451" s="56" t="s">
        <v>1771</v>
      </c>
      <c r="D451" s="56" t="s">
        <v>1772</v>
      </c>
      <c r="E451" s="57">
        <v>-275</v>
      </c>
      <c r="F451" s="58">
        <v>-775</v>
      </c>
      <c r="G451" s="43"/>
      <c r="H451" s="43"/>
      <c r="I451" s="43"/>
      <c r="J451" s="43"/>
      <c r="K451" s="43"/>
      <c r="L451" s="43"/>
      <c r="M451" s="43"/>
      <c r="N451" s="43"/>
    </row>
    <row r="452" spans="1:14" x14ac:dyDescent="0.35">
      <c r="A452" s="37" t="s">
        <v>1679</v>
      </c>
      <c r="B452" s="56" t="s">
        <v>1445</v>
      </c>
      <c r="C452" s="56" t="s">
        <v>1445</v>
      </c>
      <c r="D452" s="56" t="s">
        <v>1773</v>
      </c>
      <c r="E452" s="57">
        <v>-182</v>
      </c>
      <c r="F452" s="58">
        <v>718</v>
      </c>
      <c r="G452" s="43"/>
      <c r="H452" s="43"/>
      <c r="I452" s="43"/>
      <c r="J452" s="43"/>
      <c r="K452" s="43"/>
      <c r="L452" s="43"/>
      <c r="M452" s="43"/>
      <c r="N452" s="43"/>
    </row>
    <row r="453" spans="1:14" x14ac:dyDescent="0.35">
      <c r="A453" s="37" t="s">
        <v>1679</v>
      </c>
      <c r="B453" s="56" t="s">
        <v>1460</v>
      </c>
      <c r="C453" s="56" t="s">
        <v>1460</v>
      </c>
      <c r="D453" s="56" t="s">
        <v>1774</v>
      </c>
      <c r="E453" s="57">
        <v>1</v>
      </c>
      <c r="F453" s="58">
        <v>1</v>
      </c>
      <c r="G453" s="43"/>
      <c r="H453" s="43"/>
      <c r="I453" s="43"/>
      <c r="J453" s="43"/>
      <c r="K453" s="43"/>
      <c r="L453" s="43"/>
      <c r="M453" s="43"/>
      <c r="N453" s="43"/>
    </row>
    <row r="454" spans="1:14" x14ac:dyDescent="0.35">
      <c r="A454" s="37" t="s">
        <v>1679</v>
      </c>
      <c r="B454" s="56" t="s">
        <v>1775</v>
      </c>
      <c r="C454" s="56" t="s">
        <v>1775</v>
      </c>
      <c r="D454" s="56" t="s">
        <v>1776</v>
      </c>
      <c r="E454" s="57">
        <v>57</v>
      </c>
      <c r="F454" s="58">
        <v>157</v>
      </c>
      <c r="G454" s="43"/>
      <c r="H454" s="43"/>
      <c r="I454" s="43"/>
      <c r="J454" s="43"/>
      <c r="K454" s="43"/>
      <c r="L454" s="43"/>
      <c r="M454" s="43"/>
      <c r="N454" s="43"/>
    </row>
    <row r="455" spans="1:14" x14ac:dyDescent="0.35">
      <c r="A455" s="37" t="s">
        <v>1679</v>
      </c>
      <c r="B455" s="56" t="s">
        <v>1472</v>
      </c>
      <c r="C455" s="56" t="s">
        <v>1472</v>
      </c>
      <c r="D455" s="56" t="s">
        <v>1777</v>
      </c>
      <c r="E455" s="57">
        <v>58</v>
      </c>
      <c r="F455" s="58">
        <v>158</v>
      </c>
      <c r="G455" s="43"/>
      <c r="H455" s="43"/>
      <c r="I455" s="43"/>
      <c r="J455" s="43"/>
      <c r="K455" s="43"/>
      <c r="L455" s="43"/>
      <c r="M455" s="43"/>
      <c r="N455" s="43"/>
    </row>
    <row r="456" spans="1:14" x14ac:dyDescent="0.35">
      <c r="A456" s="37" t="s">
        <v>1679</v>
      </c>
      <c r="B456" s="56" t="s">
        <v>1475</v>
      </c>
      <c r="C456" s="56" t="s">
        <v>1475</v>
      </c>
      <c r="D456" s="56" t="s">
        <v>1778</v>
      </c>
      <c r="E456" s="57">
        <v>59</v>
      </c>
      <c r="F456" s="58">
        <v>159</v>
      </c>
      <c r="G456" s="43"/>
      <c r="H456" s="43"/>
      <c r="I456" s="43"/>
      <c r="J456" s="43"/>
      <c r="K456" s="43"/>
      <c r="L456" s="43"/>
      <c r="M456" s="43"/>
      <c r="N456" s="43"/>
    </row>
    <row r="457" spans="1:14" ht="15" thickBot="1" x14ac:dyDescent="0.4">
      <c r="A457" s="46" t="s">
        <v>1679</v>
      </c>
      <c r="B457" s="60" t="s">
        <v>1779</v>
      </c>
      <c r="C457" s="60" t="s">
        <v>1779</v>
      </c>
      <c r="D457" s="60" t="s">
        <v>1780</v>
      </c>
      <c r="E457" s="61">
        <v>60</v>
      </c>
      <c r="F457" s="62">
        <v>160</v>
      </c>
      <c r="G457" s="43"/>
      <c r="H457" s="43"/>
      <c r="I457" s="43"/>
      <c r="J457" s="43"/>
      <c r="K457" s="43"/>
      <c r="L457" s="43"/>
      <c r="M457" s="43"/>
      <c r="N457" s="43"/>
    </row>
    <row r="458" spans="1:14" ht="15" thickBot="1" x14ac:dyDescent="0.4">
      <c r="A458" s="86" t="b">
        <v>1</v>
      </c>
      <c r="B458" s="87" t="s">
        <v>1782</v>
      </c>
      <c r="C458" s="87" t="s">
        <v>1783</v>
      </c>
      <c r="D458" s="88" t="s">
        <v>1784</v>
      </c>
      <c r="E458" s="88" t="s">
        <v>1785</v>
      </c>
      <c r="F458" s="88" t="s">
        <v>1786</v>
      </c>
      <c r="G458" s="88" t="s">
        <v>1787</v>
      </c>
      <c r="H458" s="88" t="s">
        <v>1788</v>
      </c>
      <c r="I458" s="87" t="s">
        <v>1789</v>
      </c>
      <c r="J458" s="88" t="s">
        <v>1790</v>
      </c>
      <c r="K458" s="88" t="s">
        <v>1791</v>
      </c>
      <c r="L458" s="88" t="s">
        <v>1792</v>
      </c>
      <c r="M458" s="88" t="s">
        <v>1790</v>
      </c>
      <c r="N458" s="95" t="s">
        <v>1791</v>
      </c>
    </row>
    <row r="459" spans="1:14" x14ac:dyDescent="0.35">
      <c r="A459" s="37" t="s">
        <v>1781</v>
      </c>
      <c r="B459" s="56" t="s">
        <v>1391</v>
      </c>
      <c r="C459" s="56" t="s">
        <v>1793</v>
      </c>
      <c r="D459" s="89"/>
      <c r="E459" s="89"/>
      <c r="F459" s="89"/>
      <c r="G459" s="89"/>
      <c r="H459" s="89"/>
      <c r="I459" s="56">
        <v>1</v>
      </c>
      <c r="J459" s="56"/>
      <c r="K459" s="56"/>
      <c r="L459" s="56">
        <v>2</v>
      </c>
      <c r="M459" s="56"/>
      <c r="N459" s="41"/>
    </row>
    <row r="460" spans="1:14" ht="15.75" customHeight="1" x14ac:dyDescent="0.35">
      <c r="A460" s="37" t="s">
        <v>1781</v>
      </c>
      <c r="B460" s="56" t="s">
        <v>1409</v>
      </c>
      <c r="C460" s="56" t="s">
        <v>1794</v>
      </c>
      <c r="D460" s="90">
        <v>1</v>
      </c>
      <c r="E460" s="89">
        <v>101</v>
      </c>
      <c r="F460" s="89">
        <v>201</v>
      </c>
      <c r="G460" s="89" t="s">
        <v>1795</v>
      </c>
      <c r="H460" s="89" t="s">
        <v>1796</v>
      </c>
      <c r="I460" s="96">
        <v>-208000</v>
      </c>
      <c r="J460" s="96">
        <f>I460/2</f>
        <v>-104000</v>
      </c>
      <c r="K460" s="96">
        <f>J460</f>
        <v>-104000</v>
      </c>
      <c r="L460" s="96">
        <v>-208000</v>
      </c>
      <c r="M460" s="96">
        <f>L460/2</f>
        <v>-104000</v>
      </c>
      <c r="N460" s="97">
        <f>M460</f>
        <v>-104000</v>
      </c>
    </row>
    <row r="461" spans="1:14" x14ac:dyDescent="0.35">
      <c r="A461" s="37" t="s">
        <v>1781</v>
      </c>
      <c r="B461" s="56" t="s">
        <v>1409</v>
      </c>
      <c r="C461" s="56" t="s">
        <v>1797</v>
      </c>
      <c r="D461" s="90">
        <v>2</v>
      </c>
      <c r="E461" s="89">
        <v>102</v>
      </c>
      <c r="F461" s="89">
        <v>202</v>
      </c>
      <c r="G461" s="89" t="s">
        <v>1798</v>
      </c>
      <c r="H461" s="89" t="s">
        <v>1799</v>
      </c>
      <c r="I461" s="96">
        <v>2000</v>
      </c>
      <c r="J461" s="96">
        <f t="shared" ref="J461:J503" si="0">I461/2</f>
        <v>1000</v>
      </c>
      <c r="K461" s="96">
        <f t="shared" ref="K461:K503" si="1">J461</f>
        <v>1000</v>
      </c>
      <c r="L461" s="96">
        <v>2000</v>
      </c>
      <c r="M461" s="96">
        <f t="shared" ref="M461:M503" si="2">L461/2</f>
        <v>1000</v>
      </c>
      <c r="N461" s="97">
        <f t="shared" ref="N461:N503" si="3">M461</f>
        <v>1000</v>
      </c>
    </row>
    <row r="462" spans="1:14" x14ac:dyDescent="0.35">
      <c r="A462" s="37" t="s">
        <v>1781</v>
      </c>
      <c r="B462" s="56" t="s">
        <v>1409</v>
      </c>
      <c r="C462" s="56" t="s">
        <v>1800</v>
      </c>
      <c r="D462" s="90">
        <v>3</v>
      </c>
      <c r="E462" s="89">
        <v>103</v>
      </c>
      <c r="F462" s="89">
        <v>203</v>
      </c>
      <c r="G462" s="89" t="s">
        <v>1801</v>
      </c>
      <c r="H462" s="89" t="s">
        <v>1802</v>
      </c>
      <c r="I462" s="96">
        <v>3000</v>
      </c>
      <c r="J462" s="96">
        <f t="shared" si="0"/>
        <v>1500</v>
      </c>
      <c r="K462" s="96">
        <f t="shared" si="1"/>
        <v>1500</v>
      </c>
      <c r="L462" s="96">
        <v>3000</v>
      </c>
      <c r="M462" s="96">
        <f t="shared" si="2"/>
        <v>1500</v>
      </c>
      <c r="N462" s="97">
        <f t="shared" si="3"/>
        <v>1500</v>
      </c>
    </row>
    <row r="463" spans="1:14" x14ac:dyDescent="0.35">
      <c r="A463" s="37" t="s">
        <v>1781</v>
      </c>
      <c r="B463" s="56" t="s">
        <v>1409</v>
      </c>
      <c r="C463" s="56" t="s">
        <v>1803</v>
      </c>
      <c r="D463" s="90">
        <v>4</v>
      </c>
      <c r="E463" s="89">
        <v>104</v>
      </c>
      <c r="F463" s="89">
        <v>204</v>
      </c>
      <c r="G463" s="89" t="s">
        <v>1804</v>
      </c>
      <c r="H463" s="89" t="s">
        <v>1805</v>
      </c>
      <c r="I463" s="96">
        <v>4000</v>
      </c>
      <c r="J463" s="96">
        <f t="shared" si="0"/>
        <v>2000</v>
      </c>
      <c r="K463" s="96">
        <f t="shared" si="1"/>
        <v>2000</v>
      </c>
      <c r="L463" s="96">
        <v>4000</v>
      </c>
      <c r="M463" s="96">
        <f t="shared" si="2"/>
        <v>2000</v>
      </c>
      <c r="N463" s="97">
        <f t="shared" si="3"/>
        <v>2000</v>
      </c>
    </row>
    <row r="464" spans="1:14" x14ac:dyDescent="0.35">
      <c r="A464" s="37" t="s">
        <v>1781</v>
      </c>
      <c r="B464" s="56" t="s">
        <v>1409</v>
      </c>
      <c r="C464" s="56" t="s">
        <v>1806</v>
      </c>
      <c r="D464" s="90">
        <v>5</v>
      </c>
      <c r="E464" s="89">
        <v>105</v>
      </c>
      <c r="F464" s="89">
        <v>205</v>
      </c>
      <c r="G464" s="89" t="s">
        <v>1807</v>
      </c>
      <c r="H464" s="89" t="s">
        <v>1808</v>
      </c>
      <c r="I464" s="96">
        <v>5000</v>
      </c>
      <c r="J464" s="96">
        <f t="shared" si="0"/>
        <v>2500</v>
      </c>
      <c r="K464" s="96">
        <f t="shared" si="1"/>
        <v>2500</v>
      </c>
      <c r="L464" s="96">
        <v>5000</v>
      </c>
      <c r="M464" s="96">
        <f t="shared" si="2"/>
        <v>2500</v>
      </c>
      <c r="N464" s="97">
        <f t="shared" si="3"/>
        <v>2500</v>
      </c>
    </row>
    <row r="465" spans="1:14" x14ac:dyDescent="0.35">
      <c r="A465" s="37" t="s">
        <v>1781</v>
      </c>
      <c r="B465" s="56" t="s">
        <v>1409</v>
      </c>
      <c r="C465" s="56" t="s">
        <v>1809</v>
      </c>
      <c r="D465" s="90">
        <v>6</v>
      </c>
      <c r="E465" s="89">
        <v>106</v>
      </c>
      <c r="F465" s="89">
        <v>206</v>
      </c>
      <c r="G465" s="89" t="s">
        <v>1810</v>
      </c>
      <c r="H465" s="89" t="s">
        <v>1811</v>
      </c>
      <c r="I465" s="96">
        <v>6000</v>
      </c>
      <c r="J465" s="96">
        <f t="shared" si="0"/>
        <v>3000</v>
      </c>
      <c r="K465" s="96">
        <f t="shared" si="1"/>
        <v>3000</v>
      </c>
      <c r="L465" s="96">
        <v>6000</v>
      </c>
      <c r="M465" s="96">
        <f t="shared" si="2"/>
        <v>3000</v>
      </c>
      <c r="N465" s="97">
        <f t="shared" si="3"/>
        <v>3000</v>
      </c>
    </row>
    <row r="466" spans="1:14" x14ac:dyDescent="0.35">
      <c r="A466" s="37" t="s">
        <v>1781</v>
      </c>
      <c r="B466" s="56" t="s">
        <v>1409</v>
      </c>
      <c r="C466" s="56" t="s">
        <v>1812</v>
      </c>
      <c r="D466" s="90">
        <v>7</v>
      </c>
      <c r="E466" s="89">
        <v>107</v>
      </c>
      <c r="F466" s="89">
        <v>207</v>
      </c>
      <c r="G466" s="89" t="s">
        <v>1813</v>
      </c>
      <c r="H466" s="89" t="s">
        <v>1814</v>
      </c>
      <c r="I466" s="96">
        <v>7000</v>
      </c>
      <c r="J466" s="96">
        <f t="shared" si="0"/>
        <v>3500</v>
      </c>
      <c r="K466" s="96">
        <f t="shared" si="1"/>
        <v>3500</v>
      </c>
      <c r="L466" s="96">
        <v>7000</v>
      </c>
      <c r="M466" s="96">
        <f t="shared" si="2"/>
        <v>3500</v>
      </c>
      <c r="N466" s="97">
        <f t="shared" si="3"/>
        <v>3500</v>
      </c>
    </row>
    <row r="467" spans="1:14" x14ac:dyDescent="0.35">
      <c r="A467" s="37" t="s">
        <v>1781</v>
      </c>
      <c r="B467" s="56" t="s">
        <v>1409</v>
      </c>
      <c r="C467" s="56" t="s">
        <v>1815</v>
      </c>
      <c r="D467" s="90">
        <v>8</v>
      </c>
      <c r="E467" s="89">
        <v>108</v>
      </c>
      <c r="F467" s="89">
        <v>208</v>
      </c>
      <c r="G467" s="89" t="s">
        <v>1816</v>
      </c>
      <c r="H467" s="89" t="s">
        <v>1817</v>
      </c>
      <c r="I467" s="96">
        <v>8000</v>
      </c>
      <c r="J467" s="96">
        <f t="shared" si="0"/>
        <v>4000</v>
      </c>
      <c r="K467" s="96">
        <f t="shared" si="1"/>
        <v>4000</v>
      </c>
      <c r="L467" s="96">
        <v>8000</v>
      </c>
      <c r="M467" s="96">
        <f t="shared" si="2"/>
        <v>4000</v>
      </c>
      <c r="N467" s="97">
        <f t="shared" si="3"/>
        <v>4000</v>
      </c>
    </row>
    <row r="468" spans="1:14" x14ac:dyDescent="0.35">
      <c r="A468" s="37" t="s">
        <v>1781</v>
      </c>
      <c r="B468" s="56" t="s">
        <v>1409</v>
      </c>
      <c r="C468" s="56" t="s">
        <v>1818</v>
      </c>
      <c r="D468" s="90">
        <v>9</v>
      </c>
      <c r="E468" s="89">
        <v>109</v>
      </c>
      <c r="F468" s="89">
        <v>209</v>
      </c>
      <c r="G468" s="89" t="s">
        <v>1819</v>
      </c>
      <c r="H468" s="89" t="s">
        <v>1820</v>
      </c>
      <c r="I468" s="96">
        <v>9000</v>
      </c>
      <c r="J468" s="96">
        <f t="shared" si="0"/>
        <v>4500</v>
      </c>
      <c r="K468" s="96">
        <f t="shared" si="1"/>
        <v>4500</v>
      </c>
      <c r="L468" s="96">
        <v>9000</v>
      </c>
      <c r="M468" s="96">
        <f t="shared" si="2"/>
        <v>4500</v>
      </c>
      <c r="N468" s="97">
        <f t="shared" si="3"/>
        <v>4500</v>
      </c>
    </row>
    <row r="469" spans="1:14" x14ac:dyDescent="0.35">
      <c r="A469" s="37" t="s">
        <v>1781</v>
      </c>
      <c r="B469" s="56" t="s">
        <v>1409</v>
      </c>
      <c r="C469" s="56" t="s">
        <v>1821</v>
      </c>
      <c r="D469" s="90">
        <v>10</v>
      </c>
      <c r="E469" s="89">
        <v>110</v>
      </c>
      <c r="F469" s="89">
        <v>210</v>
      </c>
      <c r="G469" s="89" t="s">
        <v>1822</v>
      </c>
      <c r="H469" s="89" t="s">
        <v>1823</v>
      </c>
      <c r="I469" s="96">
        <v>10000</v>
      </c>
      <c r="J469" s="96">
        <f t="shared" si="0"/>
        <v>5000</v>
      </c>
      <c r="K469" s="96">
        <f t="shared" si="1"/>
        <v>5000</v>
      </c>
      <c r="L469" s="96">
        <v>10000</v>
      </c>
      <c r="M469" s="96">
        <f t="shared" si="2"/>
        <v>5000</v>
      </c>
      <c r="N469" s="97">
        <f t="shared" si="3"/>
        <v>5000</v>
      </c>
    </row>
    <row r="470" spans="1:14" x14ac:dyDescent="0.35">
      <c r="A470" s="37" t="s">
        <v>1781</v>
      </c>
      <c r="B470" s="56" t="s">
        <v>1409</v>
      </c>
      <c r="C470" s="56" t="s">
        <v>1824</v>
      </c>
      <c r="D470" s="90">
        <v>11</v>
      </c>
      <c r="E470" s="89">
        <v>111</v>
      </c>
      <c r="F470" s="89">
        <v>211</v>
      </c>
      <c r="G470" s="89" t="s">
        <v>1825</v>
      </c>
      <c r="H470" s="89" t="s">
        <v>1826</v>
      </c>
      <c r="I470" s="96">
        <v>11000</v>
      </c>
      <c r="J470" s="96">
        <f t="shared" si="0"/>
        <v>5500</v>
      </c>
      <c r="K470" s="96">
        <f t="shared" si="1"/>
        <v>5500</v>
      </c>
      <c r="L470" s="96">
        <v>11000</v>
      </c>
      <c r="M470" s="96">
        <f t="shared" si="2"/>
        <v>5500</v>
      </c>
      <c r="N470" s="97">
        <f t="shared" si="3"/>
        <v>5500</v>
      </c>
    </row>
    <row r="471" spans="1:14" x14ac:dyDescent="0.35">
      <c r="A471" s="37" t="s">
        <v>1781</v>
      </c>
      <c r="B471" s="56" t="s">
        <v>1409</v>
      </c>
      <c r="C471" s="56" t="s">
        <v>1827</v>
      </c>
      <c r="D471" s="90">
        <v>12</v>
      </c>
      <c r="E471" s="89">
        <v>112</v>
      </c>
      <c r="F471" s="89">
        <v>212</v>
      </c>
      <c r="G471" s="89" t="s">
        <v>1828</v>
      </c>
      <c r="H471" s="89" t="s">
        <v>1829</v>
      </c>
      <c r="I471" s="96">
        <v>12000</v>
      </c>
      <c r="J471" s="96">
        <f t="shared" si="0"/>
        <v>6000</v>
      </c>
      <c r="K471" s="96">
        <f t="shared" si="1"/>
        <v>6000</v>
      </c>
      <c r="L471" s="96">
        <v>12000</v>
      </c>
      <c r="M471" s="96">
        <f t="shared" si="2"/>
        <v>6000</v>
      </c>
      <c r="N471" s="97">
        <f t="shared" si="3"/>
        <v>6000</v>
      </c>
    </row>
    <row r="472" spans="1:14" x14ac:dyDescent="0.35">
      <c r="A472" s="37" t="s">
        <v>1781</v>
      </c>
      <c r="B472" s="56" t="s">
        <v>1409</v>
      </c>
      <c r="C472" s="56" t="s">
        <v>1830</v>
      </c>
      <c r="D472" s="90">
        <v>13</v>
      </c>
      <c r="E472" s="89">
        <v>113</v>
      </c>
      <c r="F472" s="89">
        <v>213</v>
      </c>
      <c r="G472" s="89" t="s">
        <v>1831</v>
      </c>
      <c r="H472" s="89" t="s">
        <v>1832</v>
      </c>
      <c r="I472" s="96">
        <v>13000</v>
      </c>
      <c r="J472" s="96">
        <f t="shared" si="0"/>
        <v>6500</v>
      </c>
      <c r="K472" s="96">
        <f t="shared" si="1"/>
        <v>6500</v>
      </c>
      <c r="L472" s="96">
        <v>13000</v>
      </c>
      <c r="M472" s="96">
        <f t="shared" si="2"/>
        <v>6500</v>
      </c>
      <c r="N472" s="97">
        <f t="shared" si="3"/>
        <v>6500</v>
      </c>
    </row>
    <row r="473" spans="1:14" x14ac:dyDescent="0.35">
      <c r="A473" s="37" t="s">
        <v>1781</v>
      </c>
      <c r="B473" s="56" t="s">
        <v>1409</v>
      </c>
      <c r="C473" s="56" t="s">
        <v>1833</v>
      </c>
      <c r="D473" s="90">
        <v>14</v>
      </c>
      <c r="E473" s="89">
        <v>114</v>
      </c>
      <c r="F473" s="89">
        <v>214</v>
      </c>
      <c r="G473" s="89" t="s">
        <v>1834</v>
      </c>
      <c r="H473" s="89" t="s">
        <v>1835</v>
      </c>
      <c r="I473" s="96">
        <v>14000</v>
      </c>
      <c r="J473" s="96">
        <f t="shared" si="0"/>
        <v>7000</v>
      </c>
      <c r="K473" s="96">
        <f t="shared" si="1"/>
        <v>7000</v>
      </c>
      <c r="L473" s="96">
        <v>14000</v>
      </c>
      <c r="M473" s="96">
        <f t="shared" si="2"/>
        <v>7000</v>
      </c>
      <c r="N473" s="97">
        <f t="shared" si="3"/>
        <v>7000</v>
      </c>
    </row>
    <row r="474" spans="1:14" x14ac:dyDescent="0.35">
      <c r="A474" s="37" t="s">
        <v>1781</v>
      </c>
      <c r="B474" s="56" t="s">
        <v>1409</v>
      </c>
      <c r="C474" s="56" t="s">
        <v>1836</v>
      </c>
      <c r="D474" s="90">
        <v>15</v>
      </c>
      <c r="E474" s="89">
        <v>115</v>
      </c>
      <c r="F474" s="89">
        <v>215</v>
      </c>
      <c r="G474" s="89" t="s">
        <v>1837</v>
      </c>
      <c r="H474" s="89" t="s">
        <v>1838</v>
      </c>
      <c r="I474" s="96">
        <v>15000</v>
      </c>
      <c r="J474" s="96">
        <f t="shared" si="0"/>
        <v>7500</v>
      </c>
      <c r="K474" s="96">
        <f t="shared" si="1"/>
        <v>7500</v>
      </c>
      <c r="L474" s="96">
        <v>15000</v>
      </c>
      <c r="M474" s="96">
        <f t="shared" si="2"/>
        <v>7500</v>
      </c>
      <c r="N474" s="97">
        <f t="shared" si="3"/>
        <v>7500</v>
      </c>
    </row>
    <row r="475" spans="1:14" x14ac:dyDescent="0.35">
      <c r="A475" s="37" t="s">
        <v>1781</v>
      </c>
      <c r="B475" s="56" t="s">
        <v>1409</v>
      </c>
      <c r="C475" s="56" t="s">
        <v>1839</v>
      </c>
      <c r="D475" s="90">
        <v>16</v>
      </c>
      <c r="E475" s="89">
        <v>116</v>
      </c>
      <c r="F475" s="89">
        <v>216</v>
      </c>
      <c r="G475" s="89" t="s">
        <v>1840</v>
      </c>
      <c r="H475" s="89" t="s">
        <v>1841</v>
      </c>
      <c r="I475" s="96">
        <v>16000</v>
      </c>
      <c r="J475" s="96">
        <f t="shared" si="0"/>
        <v>8000</v>
      </c>
      <c r="K475" s="96">
        <f t="shared" si="1"/>
        <v>8000</v>
      </c>
      <c r="L475" s="96">
        <v>16000</v>
      </c>
      <c r="M475" s="96">
        <f t="shared" si="2"/>
        <v>8000</v>
      </c>
      <c r="N475" s="97">
        <f t="shared" si="3"/>
        <v>8000</v>
      </c>
    </row>
    <row r="476" spans="1:14" x14ac:dyDescent="0.35">
      <c r="A476" s="37" t="s">
        <v>1781</v>
      </c>
      <c r="B476" s="56" t="s">
        <v>1409</v>
      </c>
      <c r="C476" s="56" t="s">
        <v>1842</v>
      </c>
      <c r="D476" s="90">
        <v>17</v>
      </c>
      <c r="E476" s="89">
        <v>117</v>
      </c>
      <c r="F476" s="89">
        <v>217</v>
      </c>
      <c r="G476" s="89" t="s">
        <v>1843</v>
      </c>
      <c r="H476" s="89" t="s">
        <v>1844</v>
      </c>
      <c r="I476" s="96">
        <v>17000</v>
      </c>
      <c r="J476" s="96">
        <f t="shared" si="0"/>
        <v>8500</v>
      </c>
      <c r="K476" s="96">
        <f t="shared" si="1"/>
        <v>8500</v>
      </c>
      <c r="L476" s="96">
        <v>17000</v>
      </c>
      <c r="M476" s="96">
        <f t="shared" si="2"/>
        <v>8500</v>
      </c>
      <c r="N476" s="97">
        <f t="shared" si="3"/>
        <v>8500</v>
      </c>
    </row>
    <row r="477" spans="1:14" x14ac:dyDescent="0.35">
      <c r="A477" s="37" t="s">
        <v>1781</v>
      </c>
      <c r="B477" s="56" t="s">
        <v>1409</v>
      </c>
      <c r="C477" s="56" t="s">
        <v>1845</v>
      </c>
      <c r="D477" s="90">
        <v>18</v>
      </c>
      <c r="E477" s="89">
        <v>118</v>
      </c>
      <c r="F477" s="89">
        <v>218</v>
      </c>
      <c r="G477" s="89" t="s">
        <v>1846</v>
      </c>
      <c r="H477" s="89" t="s">
        <v>1847</v>
      </c>
      <c r="I477" s="96">
        <v>18000</v>
      </c>
      <c r="J477" s="96">
        <f t="shared" si="0"/>
        <v>9000</v>
      </c>
      <c r="K477" s="96">
        <f t="shared" si="1"/>
        <v>9000</v>
      </c>
      <c r="L477" s="96">
        <v>18000</v>
      </c>
      <c r="M477" s="96">
        <f t="shared" si="2"/>
        <v>9000</v>
      </c>
      <c r="N477" s="97">
        <f t="shared" si="3"/>
        <v>9000</v>
      </c>
    </row>
    <row r="478" spans="1:14" x14ac:dyDescent="0.35">
      <c r="A478" s="37" t="s">
        <v>1781</v>
      </c>
      <c r="B478" s="56" t="s">
        <v>1409</v>
      </c>
      <c r="C478" s="56" t="s">
        <v>1848</v>
      </c>
      <c r="D478" s="90">
        <v>19</v>
      </c>
      <c r="E478" s="89">
        <v>119</v>
      </c>
      <c r="F478" s="89">
        <v>219</v>
      </c>
      <c r="G478" s="89" t="s">
        <v>1849</v>
      </c>
      <c r="H478" s="89" t="s">
        <v>1850</v>
      </c>
      <c r="I478" s="96">
        <v>19000</v>
      </c>
      <c r="J478" s="96">
        <f t="shared" si="0"/>
        <v>9500</v>
      </c>
      <c r="K478" s="96">
        <f t="shared" si="1"/>
        <v>9500</v>
      </c>
      <c r="L478" s="96">
        <v>19000</v>
      </c>
      <c r="M478" s="96">
        <f t="shared" si="2"/>
        <v>9500</v>
      </c>
      <c r="N478" s="97">
        <f t="shared" si="3"/>
        <v>9500</v>
      </c>
    </row>
    <row r="479" spans="1:14" x14ac:dyDescent="0.35">
      <c r="A479" s="37" t="s">
        <v>1781</v>
      </c>
      <c r="B479" s="56" t="s">
        <v>1409</v>
      </c>
      <c r="C479" s="56" t="s">
        <v>1851</v>
      </c>
      <c r="D479" s="90">
        <v>20</v>
      </c>
      <c r="E479" s="89">
        <v>120</v>
      </c>
      <c r="F479" s="89">
        <v>220</v>
      </c>
      <c r="G479" s="89" t="s">
        <v>1852</v>
      </c>
      <c r="H479" s="89" t="s">
        <v>1853</v>
      </c>
      <c r="I479" s="96">
        <v>20000</v>
      </c>
      <c r="J479" s="96">
        <f t="shared" si="0"/>
        <v>10000</v>
      </c>
      <c r="K479" s="96">
        <f t="shared" si="1"/>
        <v>10000</v>
      </c>
      <c r="L479" s="96">
        <v>20000</v>
      </c>
      <c r="M479" s="96">
        <f t="shared" si="2"/>
        <v>10000</v>
      </c>
      <c r="N479" s="97">
        <f t="shared" si="3"/>
        <v>10000</v>
      </c>
    </row>
    <row r="480" spans="1:14" x14ac:dyDescent="0.35">
      <c r="A480" s="37" t="s">
        <v>1781</v>
      </c>
      <c r="B480" s="56" t="s">
        <v>1409</v>
      </c>
      <c r="C480" s="56" t="s">
        <v>1854</v>
      </c>
      <c r="D480" s="89">
        <v>21</v>
      </c>
      <c r="E480" s="89">
        <v>121</v>
      </c>
      <c r="F480" s="89">
        <v>221</v>
      </c>
      <c r="G480" s="89" t="s">
        <v>1855</v>
      </c>
      <c r="H480" s="89" t="s">
        <v>1856</v>
      </c>
      <c r="I480" s="96">
        <v>21000</v>
      </c>
      <c r="J480" s="96">
        <f t="shared" si="0"/>
        <v>10500</v>
      </c>
      <c r="K480" s="96">
        <f t="shared" si="1"/>
        <v>10500</v>
      </c>
      <c r="L480" s="96">
        <v>21000</v>
      </c>
      <c r="M480" s="96">
        <f t="shared" si="2"/>
        <v>10500</v>
      </c>
      <c r="N480" s="97">
        <f t="shared" si="3"/>
        <v>10500</v>
      </c>
    </row>
    <row r="481" spans="1:14" x14ac:dyDescent="0.35">
      <c r="A481" s="37" t="s">
        <v>1781</v>
      </c>
      <c r="B481" s="56" t="s">
        <v>1409</v>
      </c>
      <c r="C481" s="98" t="s">
        <v>1857</v>
      </c>
      <c r="D481" s="91"/>
      <c r="E481" s="91"/>
      <c r="F481" s="91"/>
      <c r="G481" s="91"/>
      <c r="H481" s="91"/>
      <c r="I481" s="96">
        <v>22000</v>
      </c>
      <c r="J481" s="96">
        <f t="shared" si="0"/>
        <v>11000</v>
      </c>
      <c r="K481" s="96">
        <f t="shared" si="1"/>
        <v>11000</v>
      </c>
      <c r="L481" s="96">
        <v>22000</v>
      </c>
      <c r="M481" s="96">
        <f t="shared" si="2"/>
        <v>11000</v>
      </c>
      <c r="N481" s="97">
        <f t="shared" si="3"/>
        <v>11000</v>
      </c>
    </row>
    <row r="482" spans="1:14" x14ac:dyDescent="0.35">
      <c r="A482" s="37" t="s">
        <v>1781</v>
      </c>
      <c r="B482" s="56" t="s">
        <v>1442</v>
      </c>
      <c r="C482" s="56" t="s">
        <v>1858</v>
      </c>
      <c r="D482" s="90">
        <v>23</v>
      </c>
      <c r="E482" s="89">
        <v>123</v>
      </c>
      <c r="F482" s="89">
        <v>223</v>
      </c>
      <c r="G482" s="89" t="s">
        <v>1798</v>
      </c>
      <c r="H482" s="89" t="s">
        <v>1859</v>
      </c>
      <c r="I482" s="96">
        <v>-626000</v>
      </c>
      <c r="J482" s="96">
        <f t="shared" si="0"/>
        <v>-313000</v>
      </c>
      <c r="K482" s="96">
        <f t="shared" si="1"/>
        <v>-313000</v>
      </c>
      <c r="L482" s="96">
        <v>-626000</v>
      </c>
      <c r="M482" s="96">
        <f t="shared" si="2"/>
        <v>-313000</v>
      </c>
      <c r="N482" s="97">
        <f t="shared" si="3"/>
        <v>-313000</v>
      </c>
    </row>
    <row r="483" spans="1:14" x14ac:dyDescent="0.35">
      <c r="A483" s="37" t="s">
        <v>1781</v>
      </c>
      <c r="B483" s="56" t="s">
        <v>1442</v>
      </c>
      <c r="C483" s="56" t="s">
        <v>1860</v>
      </c>
      <c r="D483" s="90">
        <v>24</v>
      </c>
      <c r="E483" s="89">
        <v>124</v>
      </c>
      <c r="F483" s="89">
        <v>224</v>
      </c>
      <c r="G483" s="89" t="s">
        <v>1801</v>
      </c>
      <c r="H483" s="89" t="s">
        <v>1861</v>
      </c>
      <c r="I483" s="96">
        <v>24000</v>
      </c>
      <c r="J483" s="96">
        <f t="shared" si="0"/>
        <v>12000</v>
      </c>
      <c r="K483" s="96">
        <f t="shared" si="1"/>
        <v>12000</v>
      </c>
      <c r="L483" s="96">
        <v>24000</v>
      </c>
      <c r="M483" s="96">
        <f t="shared" si="2"/>
        <v>12000</v>
      </c>
      <c r="N483" s="97">
        <f t="shared" si="3"/>
        <v>12000</v>
      </c>
    </row>
    <row r="484" spans="1:14" x14ac:dyDescent="0.35">
      <c r="A484" s="37" t="s">
        <v>1781</v>
      </c>
      <c r="B484" s="56" t="s">
        <v>1442</v>
      </c>
      <c r="C484" s="56" t="s">
        <v>1862</v>
      </c>
      <c r="D484" s="90">
        <v>25</v>
      </c>
      <c r="E484" s="89">
        <v>125</v>
      </c>
      <c r="F484" s="89">
        <v>225</v>
      </c>
      <c r="G484" s="89" t="s">
        <v>1804</v>
      </c>
      <c r="H484" s="89" t="s">
        <v>1863</v>
      </c>
      <c r="I484" s="96">
        <v>25000</v>
      </c>
      <c r="J484" s="96">
        <f t="shared" si="0"/>
        <v>12500</v>
      </c>
      <c r="K484" s="96">
        <f t="shared" si="1"/>
        <v>12500</v>
      </c>
      <c r="L484" s="96">
        <v>25000</v>
      </c>
      <c r="M484" s="96">
        <f t="shared" si="2"/>
        <v>12500</v>
      </c>
      <c r="N484" s="97">
        <f t="shared" si="3"/>
        <v>12500</v>
      </c>
    </row>
    <row r="485" spans="1:14" x14ac:dyDescent="0.35">
      <c r="A485" s="37" t="s">
        <v>1781</v>
      </c>
      <c r="B485" s="56" t="s">
        <v>1442</v>
      </c>
      <c r="C485" s="56" t="s">
        <v>1864</v>
      </c>
      <c r="D485" s="90">
        <v>26</v>
      </c>
      <c r="E485" s="89">
        <v>126</v>
      </c>
      <c r="F485" s="89">
        <v>226</v>
      </c>
      <c r="G485" s="89" t="s">
        <v>1807</v>
      </c>
      <c r="H485" s="89" t="s">
        <v>1865</v>
      </c>
      <c r="I485" s="96">
        <v>26000</v>
      </c>
      <c r="J485" s="96">
        <f t="shared" si="0"/>
        <v>13000</v>
      </c>
      <c r="K485" s="96">
        <f t="shared" si="1"/>
        <v>13000</v>
      </c>
      <c r="L485" s="96">
        <v>26000</v>
      </c>
      <c r="M485" s="96">
        <f t="shared" si="2"/>
        <v>13000</v>
      </c>
      <c r="N485" s="97">
        <f t="shared" si="3"/>
        <v>13000</v>
      </c>
    </row>
    <row r="486" spans="1:14" x14ac:dyDescent="0.35">
      <c r="A486" s="37" t="s">
        <v>1781</v>
      </c>
      <c r="B486" s="56" t="s">
        <v>1442</v>
      </c>
      <c r="C486" s="56" t="s">
        <v>1866</v>
      </c>
      <c r="D486" s="90">
        <v>27</v>
      </c>
      <c r="E486" s="89">
        <v>127</v>
      </c>
      <c r="F486" s="89">
        <v>227</v>
      </c>
      <c r="G486" s="89" t="s">
        <v>1810</v>
      </c>
      <c r="H486" s="89" t="s">
        <v>1867</v>
      </c>
      <c r="I486" s="96">
        <v>27000</v>
      </c>
      <c r="J486" s="96">
        <f t="shared" si="0"/>
        <v>13500</v>
      </c>
      <c r="K486" s="96">
        <f t="shared" si="1"/>
        <v>13500</v>
      </c>
      <c r="L486" s="96">
        <v>27000</v>
      </c>
      <c r="M486" s="96">
        <f t="shared" si="2"/>
        <v>13500</v>
      </c>
      <c r="N486" s="97">
        <f t="shared" si="3"/>
        <v>13500</v>
      </c>
    </row>
    <row r="487" spans="1:14" x14ac:dyDescent="0.35">
      <c r="A487" s="37" t="s">
        <v>1781</v>
      </c>
      <c r="B487" s="56" t="s">
        <v>1442</v>
      </c>
      <c r="C487" s="56" t="s">
        <v>1868</v>
      </c>
      <c r="D487" s="90">
        <v>28</v>
      </c>
      <c r="E487" s="89">
        <v>128</v>
      </c>
      <c r="F487" s="89">
        <v>228</v>
      </c>
      <c r="G487" s="89" t="s">
        <v>1813</v>
      </c>
      <c r="H487" s="89" t="s">
        <v>1869</v>
      </c>
      <c r="I487" s="96">
        <v>28000</v>
      </c>
      <c r="J487" s="96">
        <f t="shared" si="0"/>
        <v>14000</v>
      </c>
      <c r="K487" s="96">
        <f t="shared" si="1"/>
        <v>14000</v>
      </c>
      <c r="L487" s="96">
        <v>28000</v>
      </c>
      <c r="M487" s="96">
        <f t="shared" si="2"/>
        <v>14000</v>
      </c>
      <c r="N487" s="97">
        <f t="shared" si="3"/>
        <v>14000</v>
      </c>
    </row>
    <row r="488" spans="1:14" x14ac:dyDescent="0.35">
      <c r="A488" s="37" t="s">
        <v>1781</v>
      </c>
      <c r="B488" s="56" t="s">
        <v>1442</v>
      </c>
      <c r="C488" s="56" t="s">
        <v>1870</v>
      </c>
      <c r="D488" s="90">
        <v>29</v>
      </c>
      <c r="E488" s="89">
        <v>129</v>
      </c>
      <c r="F488" s="89">
        <v>229</v>
      </c>
      <c r="G488" s="89" t="s">
        <v>1816</v>
      </c>
      <c r="H488" s="89" t="s">
        <v>1871</v>
      </c>
      <c r="I488" s="96">
        <v>29000</v>
      </c>
      <c r="J488" s="96">
        <f t="shared" si="0"/>
        <v>14500</v>
      </c>
      <c r="K488" s="96">
        <f t="shared" si="1"/>
        <v>14500</v>
      </c>
      <c r="L488" s="96">
        <v>29000</v>
      </c>
      <c r="M488" s="96">
        <f t="shared" si="2"/>
        <v>14500</v>
      </c>
      <c r="N488" s="97">
        <f t="shared" si="3"/>
        <v>14500</v>
      </c>
    </row>
    <row r="489" spans="1:14" x14ac:dyDescent="0.35">
      <c r="A489" s="37" t="s">
        <v>1781</v>
      </c>
      <c r="B489" s="56" t="s">
        <v>1442</v>
      </c>
      <c r="C489" s="56" t="s">
        <v>1872</v>
      </c>
      <c r="D489" s="90">
        <v>30</v>
      </c>
      <c r="E489" s="89">
        <v>130</v>
      </c>
      <c r="F489" s="89">
        <v>230</v>
      </c>
      <c r="G489" s="89" t="s">
        <v>1819</v>
      </c>
      <c r="H489" s="89" t="s">
        <v>1873</v>
      </c>
      <c r="I489" s="96">
        <v>30000</v>
      </c>
      <c r="J489" s="96">
        <f t="shared" si="0"/>
        <v>15000</v>
      </c>
      <c r="K489" s="96">
        <f t="shared" si="1"/>
        <v>15000</v>
      </c>
      <c r="L489" s="96">
        <v>30000</v>
      </c>
      <c r="M489" s="96">
        <f t="shared" si="2"/>
        <v>15000</v>
      </c>
      <c r="N489" s="97">
        <f t="shared" si="3"/>
        <v>15000</v>
      </c>
    </row>
    <row r="490" spans="1:14" x14ac:dyDescent="0.35">
      <c r="A490" s="37" t="s">
        <v>1781</v>
      </c>
      <c r="B490" s="56" t="s">
        <v>1442</v>
      </c>
      <c r="C490" s="56" t="s">
        <v>1874</v>
      </c>
      <c r="D490" s="90">
        <v>31</v>
      </c>
      <c r="E490" s="89">
        <v>131</v>
      </c>
      <c r="F490" s="89">
        <v>231</v>
      </c>
      <c r="G490" s="89" t="s">
        <v>1822</v>
      </c>
      <c r="H490" s="89" t="s">
        <v>1875</v>
      </c>
      <c r="I490" s="96">
        <v>31000</v>
      </c>
      <c r="J490" s="96">
        <f t="shared" si="0"/>
        <v>15500</v>
      </c>
      <c r="K490" s="96">
        <f t="shared" si="1"/>
        <v>15500</v>
      </c>
      <c r="L490" s="96">
        <v>31000</v>
      </c>
      <c r="M490" s="96">
        <f t="shared" si="2"/>
        <v>15500</v>
      </c>
      <c r="N490" s="97">
        <f t="shared" si="3"/>
        <v>15500</v>
      </c>
    </row>
    <row r="491" spans="1:14" x14ac:dyDescent="0.35">
      <c r="A491" s="37" t="s">
        <v>1781</v>
      </c>
      <c r="B491" s="56" t="s">
        <v>1442</v>
      </c>
      <c r="C491" s="56" t="s">
        <v>1876</v>
      </c>
      <c r="D491" s="90">
        <v>32</v>
      </c>
      <c r="E491" s="89">
        <v>132</v>
      </c>
      <c r="F491" s="89">
        <v>232</v>
      </c>
      <c r="G491" s="89" t="s">
        <v>1825</v>
      </c>
      <c r="H491" s="89" t="s">
        <v>1877</v>
      </c>
      <c r="I491" s="96">
        <v>32000</v>
      </c>
      <c r="J491" s="96">
        <f t="shared" si="0"/>
        <v>16000</v>
      </c>
      <c r="K491" s="96">
        <f t="shared" si="1"/>
        <v>16000</v>
      </c>
      <c r="L491" s="96">
        <v>32000</v>
      </c>
      <c r="M491" s="96">
        <f t="shared" si="2"/>
        <v>16000</v>
      </c>
      <c r="N491" s="97">
        <f t="shared" si="3"/>
        <v>16000</v>
      </c>
    </row>
    <row r="492" spans="1:14" x14ac:dyDescent="0.35">
      <c r="A492" s="37" t="s">
        <v>1781</v>
      </c>
      <c r="B492" s="56" t="s">
        <v>1442</v>
      </c>
      <c r="C492" s="56" t="s">
        <v>1878</v>
      </c>
      <c r="D492" s="90">
        <v>33</v>
      </c>
      <c r="E492" s="89">
        <v>133</v>
      </c>
      <c r="F492" s="89">
        <v>233</v>
      </c>
      <c r="G492" s="89" t="s">
        <v>1795</v>
      </c>
      <c r="H492" s="89" t="s">
        <v>1879</v>
      </c>
      <c r="I492" s="96">
        <v>33000</v>
      </c>
      <c r="J492" s="96">
        <f t="shared" si="0"/>
        <v>16500</v>
      </c>
      <c r="K492" s="96">
        <f t="shared" si="1"/>
        <v>16500</v>
      </c>
      <c r="L492" s="96">
        <v>33000</v>
      </c>
      <c r="M492" s="96">
        <f t="shared" si="2"/>
        <v>16500</v>
      </c>
      <c r="N492" s="97">
        <f t="shared" si="3"/>
        <v>16500</v>
      </c>
    </row>
    <row r="493" spans="1:14" x14ac:dyDescent="0.35">
      <c r="A493" s="37" t="s">
        <v>1781</v>
      </c>
      <c r="B493" s="56" t="s">
        <v>1442</v>
      </c>
      <c r="C493" s="56" t="s">
        <v>1880</v>
      </c>
      <c r="D493" s="90">
        <v>34</v>
      </c>
      <c r="E493" s="89">
        <v>134</v>
      </c>
      <c r="F493" s="89">
        <v>234</v>
      </c>
      <c r="G493" s="89" t="s">
        <v>1798</v>
      </c>
      <c r="H493" s="89" t="s">
        <v>1881</v>
      </c>
      <c r="I493" s="96">
        <v>34000</v>
      </c>
      <c r="J493" s="96">
        <f t="shared" si="0"/>
        <v>17000</v>
      </c>
      <c r="K493" s="96">
        <f t="shared" si="1"/>
        <v>17000</v>
      </c>
      <c r="L493" s="96">
        <v>34000</v>
      </c>
      <c r="M493" s="96">
        <f t="shared" si="2"/>
        <v>17000</v>
      </c>
      <c r="N493" s="97">
        <f t="shared" si="3"/>
        <v>17000</v>
      </c>
    </row>
    <row r="494" spans="1:14" x14ac:dyDescent="0.35">
      <c r="A494" s="37" t="s">
        <v>1781</v>
      </c>
      <c r="B494" s="56" t="s">
        <v>1442</v>
      </c>
      <c r="C494" s="56" t="s">
        <v>1882</v>
      </c>
      <c r="D494" s="90">
        <v>35</v>
      </c>
      <c r="E494" s="89">
        <v>135</v>
      </c>
      <c r="F494" s="89">
        <v>235</v>
      </c>
      <c r="G494" s="89" t="s">
        <v>1801</v>
      </c>
      <c r="H494" s="89" t="s">
        <v>1883</v>
      </c>
      <c r="I494" s="96">
        <v>35000</v>
      </c>
      <c r="J494" s="96">
        <f t="shared" si="0"/>
        <v>17500</v>
      </c>
      <c r="K494" s="96">
        <f t="shared" si="1"/>
        <v>17500</v>
      </c>
      <c r="L494" s="96">
        <v>35000</v>
      </c>
      <c r="M494" s="96">
        <f t="shared" si="2"/>
        <v>17500</v>
      </c>
      <c r="N494" s="97">
        <f t="shared" si="3"/>
        <v>17500</v>
      </c>
    </row>
    <row r="495" spans="1:14" x14ac:dyDescent="0.35">
      <c r="A495" s="37" t="s">
        <v>1781</v>
      </c>
      <c r="B495" s="56" t="s">
        <v>1442</v>
      </c>
      <c r="C495" s="56" t="s">
        <v>1884</v>
      </c>
      <c r="D495" s="90">
        <v>36</v>
      </c>
      <c r="E495" s="89">
        <v>136</v>
      </c>
      <c r="F495" s="89">
        <v>236</v>
      </c>
      <c r="G495" s="89" t="s">
        <v>1804</v>
      </c>
      <c r="H495" s="89" t="s">
        <v>1885</v>
      </c>
      <c r="I495" s="96">
        <v>36000</v>
      </c>
      <c r="J495" s="96">
        <f t="shared" si="0"/>
        <v>18000</v>
      </c>
      <c r="K495" s="96">
        <f t="shared" si="1"/>
        <v>18000</v>
      </c>
      <c r="L495" s="96">
        <v>36000</v>
      </c>
      <c r="M495" s="96">
        <f t="shared" si="2"/>
        <v>18000</v>
      </c>
      <c r="N495" s="97">
        <f t="shared" si="3"/>
        <v>18000</v>
      </c>
    </row>
    <row r="496" spans="1:14" x14ac:dyDescent="0.35">
      <c r="A496" s="37" t="s">
        <v>1781</v>
      </c>
      <c r="B496" s="56" t="s">
        <v>1442</v>
      </c>
      <c r="C496" s="56" t="s">
        <v>1886</v>
      </c>
      <c r="D496" s="90">
        <v>37</v>
      </c>
      <c r="E496" s="89">
        <v>137</v>
      </c>
      <c r="F496" s="89">
        <v>237</v>
      </c>
      <c r="G496" s="89" t="s">
        <v>1807</v>
      </c>
      <c r="H496" s="89" t="s">
        <v>1887</v>
      </c>
      <c r="I496" s="96">
        <v>37000</v>
      </c>
      <c r="J496" s="96">
        <f t="shared" si="0"/>
        <v>18500</v>
      </c>
      <c r="K496" s="96">
        <f t="shared" si="1"/>
        <v>18500</v>
      </c>
      <c r="L496" s="96">
        <v>37000</v>
      </c>
      <c r="M496" s="96">
        <f t="shared" si="2"/>
        <v>18500</v>
      </c>
      <c r="N496" s="97">
        <f t="shared" si="3"/>
        <v>18500</v>
      </c>
    </row>
    <row r="497" spans="1:14" x14ac:dyDescent="0.35">
      <c r="A497" s="37" t="s">
        <v>1781</v>
      </c>
      <c r="B497" s="56" t="s">
        <v>1442</v>
      </c>
      <c r="C497" s="56" t="s">
        <v>1888</v>
      </c>
      <c r="D497" s="90">
        <v>38</v>
      </c>
      <c r="E497" s="89">
        <v>138</v>
      </c>
      <c r="F497" s="89">
        <v>238</v>
      </c>
      <c r="G497" s="89" t="s">
        <v>1810</v>
      </c>
      <c r="H497" s="89" t="s">
        <v>1889</v>
      </c>
      <c r="I497" s="96">
        <v>38000</v>
      </c>
      <c r="J497" s="96">
        <f t="shared" si="0"/>
        <v>19000</v>
      </c>
      <c r="K497" s="96">
        <f t="shared" si="1"/>
        <v>19000</v>
      </c>
      <c r="L497" s="96">
        <v>38000</v>
      </c>
      <c r="M497" s="96">
        <f t="shared" si="2"/>
        <v>19000</v>
      </c>
      <c r="N497" s="97">
        <f t="shared" si="3"/>
        <v>19000</v>
      </c>
    </row>
    <row r="498" spans="1:14" x14ac:dyDescent="0.35">
      <c r="A498" s="37" t="s">
        <v>1781</v>
      </c>
      <c r="B498" s="56" t="s">
        <v>1442</v>
      </c>
      <c r="C498" s="56" t="s">
        <v>1890</v>
      </c>
      <c r="D498" s="90">
        <v>39</v>
      </c>
      <c r="E498" s="89">
        <v>139</v>
      </c>
      <c r="F498" s="89">
        <v>239</v>
      </c>
      <c r="G498" s="89" t="s">
        <v>1813</v>
      </c>
      <c r="H498" s="89" t="s">
        <v>1891</v>
      </c>
      <c r="I498" s="96">
        <v>39000</v>
      </c>
      <c r="J498" s="96">
        <f t="shared" si="0"/>
        <v>19500</v>
      </c>
      <c r="K498" s="96">
        <f t="shared" si="1"/>
        <v>19500</v>
      </c>
      <c r="L498" s="96">
        <v>39000</v>
      </c>
      <c r="M498" s="96">
        <f t="shared" si="2"/>
        <v>19500</v>
      </c>
      <c r="N498" s="97">
        <f t="shared" si="3"/>
        <v>19500</v>
      </c>
    </row>
    <row r="499" spans="1:14" x14ac:dyDescent="0.35">
      <c r="A499" s="37" t="s">
        <v>1781</v>
      </c>
      <c r="B499" s="56" t="s">
        <v>1442</v>
      </c>
      <c r="C499" s="56" t="s">
        <v>1892</v>
      </c>
      <c r="D499" s="90">
        <v>40</v>
      </c>
      <c r="E499" s="89">
        <v>140</v>
      </c>
      <c r="F499" s="89">
        <v>240</v>
      </c>
      <c r="G499" s="89" t="s">
        <v>1816</v>
      </c>
      <c r="H499" s="89" t="s">
        <v>1893</v>
      </c>
      <c r="I499" s="96">
        <v>40000</v>
      </c>
      <c r="J499" s="96">
        <f t="shared" si="0"/>
        <v>20000</v>
      </c>
      <c r="K499" s="96">
        <f t="shared" si="1"/>
        <v>20000</v>
      </c>
      <c r="L499" s="96">
        <v>40000</v>
      </c>
      <c r="M499" s="96">
        <f t="shared" si="2"/>
        <v>20000</v>
      </c>
      <c r="N499" s="97">
        <f t="shared" si="3"/>
        <v>20000</v>
      </c>
    </row>
    <row r="500" spans="1:14" x14ac:dyDescent="0.35">
      <c r="A500" s="37" t="s">
        <v>1781</v>
      </c>
      <c r="B500" s="56" t="s">
        <v>1442</v>
      </c>
      <c r="C500" s="56" t="s">
        <v>1894</v>
      </c>
      <c r="D500" s="90">
        <v>41</v>
      </c>
      <c r="E500" s="89">
        <v>141</v>
      </c>
      <c r="F500" s="89">
        <v>241</v>
      </c>
      <c r="G500" s="89" t="s">
        <v>1819</v>
      </c>
      <c r="H500" s="89" t="s">
        <v>1895</v>
      </c>
      <c r="I500" s="96">
        <v>41000</v>
      </c>
      <c r="J500" s="96">
        <f t="shared" si="0"/>
        <v>20500</v>
      </c>
      <c r="K500" s="96">
        <f t="shared" si="1"/>
        <v>20500</v>
      </c>
      <c r="L500" s="96">
        <v>41000</v>
      </c>
      <c r="M500" s="96">
        <f t="shared" si="2"/>
        <v>20500</v>
      </c>
      <c r="N500" s="97">
        <f t="shared" si="3"/>
        <v>20500</v>
      </c>
    </row>
    <row r="501" spans="1:14" x14ac:dyDescent="0.35">
      <c r="A501" s="37" t="s">
        <v>1781</v>
      </c>
      <c r="B501" s="56" t="s">
        <v>1442</v>
      </c>
      <c r="C501" s="56" t="s">
        <v>1896</v>
      </c>
      <c r="D501" s="90">
        <v>42</v>
      </c>
      <c r="E501" s="89">
        <v>142</v>
      </c>
      <c r="F501" s="89">
        <v>242</v>
      </c>
      <c r="G501" s="89" t="s">
        <v>1822</v>
      </c>
      <c r="H501" s="89" t="s">
        <v>1897</v>
      </c>
      <c r="I501" s="96">
        <v>42000</v>
      </c>
      <c r="J501" s="96">
        <f t="shared" si="0"/>
        <v>21000</v>
      </c>
      <c r="K501" s="96">
        <f t="shared" si="1"/>
        <v>21000</v>
      </c>
      <c r="L501" s="96">
        <v>42000</v>
      </c>
      <c r="M501" s="96">
        <f t="shared" si="2"/>
        <v>21000</v>
      </c>
      <c r="N501" s="97">
        <f t="shared" si="3"/>
        <v>21000</v>
      </c>
    </row>
    <row r="502" spans="1:14" x14ac:dyDescent="0.35">
      <c r="A502" s="37" t="s">
        <v>1781</v>
      </c>
      <c r="B502" s="56" t="s">
        <v>1442</v>
      </c>
      <c r="C502" s="56" t="s">
        <v>1898</v>
      </c>
      <c r="D502" s="89"/>
      <c r="E502" s="89"/>
      <c r="F502" s="89"/>
      <c r="G502" s="89"/>
      <c r="H502" s="89"/>
      <c r="I502" s="96">
        <v>43000</v>
      </c>
      <c r="J502" s="96">
        <f t="shared" si="0"/>
        <v>21500</v>
      </c>
      <c r="K502" s="96">
        <f t="shared" si="1"/>
        <v>21500</v>
      </c>
      <c r="L502" s="96">
        <v>43000</v>
      </c>
      <c r="M502" s="96">
        <f t="shared" si="2"/>
        <v>21500</v>
      </c>
      <c r="N502" s="97">
        <f t="shared" si="3"/>
        <v>21500</v>
      </c>
    </row>
    <row r="503" spans="1:14" x14ac:dyDescent="0.35">
      <c r="A503" s="37" t="s">
        <v>1781</v>
      </c>
      <c r="B503" s="56" t="s">
        <v>1442</v>
      </c>
      <c r="C503" s="98" t="s">
        <v>1899</v>
      </c>
      <c r="D503" s="91"/>
      <c r="E503" s="91"/>
      <c r="F503" s="91"/>
      <c r="G503" s="91"/>
      <c r="H503" s="91"/>
      <c r="I503" s="96">
        <v>44000</v>
      </c>
      <c r="J503" s="96">
        <f t="shared" si="0"/>
        <v>22000</v>
      </c>
      <c r="K503" s="96">
        <f t="shared" si="1"/>
        <v>22000</v>
      </c>
      <c r="L503" s="96">
        <v>44000</v>
      </c>
      <c r="M503" s="96">
        <f t="shared" si="2"/>
        <v>22000</v>
      </c>
      <c r="N503" s="97">
        <f t="shared" si="3"/>
        <v>22000</v>
      </c>
    </row>
    <row r="504" spans="1:14" x14ac:dyDescent="0.35">
      <c r="A504" s="37" t="s">
        <v>1781</v>
      </c>
      <c r="B504" s="56" t="s">
        <v>1445</v>
      </c>
      <c r="C504" s="56" t="s">
        <v>1900</v>
      </c>
      <c r="D504" s="90">
        <v>45</v>
      </c>
      <c r="E504" s="89">
        <v>145</v>
      </c>
      <c r="F504" s="89">
        <v>245</v>
      </c>
      <c r="G504" s="89" t="s">
        <v>1831</v>
      </c>
      <c r="H504" s="89" t="s">
        <v>1901</v>
      </c>
      <c r="I504" s="96">
        <v>-208000</v>
      </c>
      <c r="J504" s="96">
        <f>I504/2</f>
        <v>-104000</v>
      </c>
      <c r="K504" s="96">
        <f>J504</f>
        <v>-104000</v>
      </c>
      <c r="L504" s="96">
        <v>-208000</v>
      </c>
      <c r="M504" s="96">
        <f>L504/2</f>
        <v>-104000</v>
      </c>
      <c r="N504" s="97">
        <f>M504</f>
        <v>-104000</v>
      </c>
    </row>
    <row r="505" spans="1:14" x14ac:dyDescent="0.35">
      <c r="A505" s="37" t="s">
        <v>1781</v>
      </c>
      <c r="B505" s="56" t="s">
        <v>1445</v>
      </c>
      <c r="C505" s="56" t="s">
        <v>1902</v>
      </c>
      <c r="D505" s="90">
        <v>46</v>
      </c>
      <c r="E505" s="89">
        <v>146</v>
      </c>
      <c r="F505" s="89">
        <v>246</v>
      </c>
      <c r="G505" s="89" t="s">
        <v>1834</v>
      </c>
      <c r="H505" s="89" t="s">
        <v>1903</v>
      </c>
      <c r="I505" s="96">
        <v>2000</v>
      </c>
      <c r="J505" s="96">
        <f t="shared" ref="J505:J557" si="4">I505/2</f>
        <v>1000</v>
      </c>
      <c r="K505" s="96">
        <f t="shared" ref="K505:K557" si="5">J505</f>
        <v>1000</v>
      </c>
      <c r="L505" s="96">
        <v>2000</v>
      </c>
      <c r="M505" s="96">
        <f t="shared" ref="M505:M557" si="6">L505/2</f>
        <v>1000</v>
      </c>
      <c r="N505" s="97">
        <f t="shared" ref="N505:N557" si="7">M505</f>
        <v>1000</v>
      </c>
    </row>
    <row r="506" spans="1:14" x14ac:dyDescent="0.35">
      <c r="A506" s="37" t="s">
        <v>1781</v>
      </c>
      <c r="B506" s="56" t="s">
        <v>1445</v>
      </c>
      <c r="C506" s="56" t="s">
        <v>1904</v>
      </c>
      <c r="D506" s="90">
        <v>47</v>
      </c>
      <c r="E506" s="89">
        <v>147</v>
      </c>
      <c r="F506" s="89">
        <v>247</v>
      </c>
      <c r="G506" s="89" t="s">
        <v>1795</v>
      </c>
      <c r="H506" s="89" t="s">
        <v>1905</v>
      </c>
      <c r="I506" s="96">
        <v>3000</v>
      </c>
      <c r="J506" s="96">
        <f t="shared" si="4"/>
        <v>1500</v>
      </c>
      <c r="K506" s="96">
        <f t="shared" si="5"/>
        <v>1500</v>
      </c>
      <c r="L506" s="96">
        <v>3000</v>
      </c>
      <c r="M506" s="96">
        <f t="shared" si="6"/>
        <v>1500</v>
      </c>
      <c r="N506" s="97">
        <f t="shared" si="7"/>
        <v>1500</v>
      </c>
    </row>
    <row r="507" spans="1:14" x14ac:dyDescent="0.35">
      <c r="A507" s="37" t="s">
        <v>1781</v>
      </c>
      <c r="B507" s="56" t="s">
        <v>1445</v>
      </c>
      <c r="C507" s="56" t="s">
        <v>1906</v>
      </c>
      <c r="D507" s="90">
        <v>48</v>
      </c>
      <c r="E507" s="89">
        <v>148</v>
      </c>
      <c r="F507" s="89">
        <v>248</v>
      </c>
      <c r="G507" s="89" t="s">
        <v>1798</v>
      </c>
      <c r="H507" s="89" t="s">
        <v>1907</v>
      </c>
      <c r="I507" s="96">
        <v>4000</v>
      </c>
      <c r="J507" s="96">
        <f t="shared" si="4"/>
        <v>2000</v>
      </c>
      <c r="K507" s="96">
        <f t="shared" si="5"/>
        <v>2000</v>
      </c>
      <c r="L507" s="96">
        <v>4000</v>
      </c>
      <c r="M507" s="96">
        <f t="shared" si="6"/>
        <v>2000</v>
      </c>
      <c r="N507" s="97">
        <f t="shared" si="7"/>
        <v>2000</v>
      </c>
    </row>
    <row r="508" spans="1:14" x14ac:dyDescent="0.35">
      <c r="A508" s="37" t="s">
        <v>1781</v>
      </c>
      <c r="B508" s="56" t="s">
        <v>1445</v>
      </c>
      <c r="C508" s="56" t="s">
        <v>1908</v>
      </c>
      <c r="D508" s="90">
        <v>49</v>
      </c>
      <c r="E508" s="89">
        <v>149</v>
      </c>
      <c r="F508" s="89">
        <v>249</v>
      </c>
      <c r="G508" s="89" t="s">
        <v>1801</v>
      </c>
      <c r="H508" s="89" t="s">
        <v>1909</v>
      </c>
      <c r="I508" s="96">
        <v>5000</v>
      </c>
      <c r="J508" s="96">
        <f t="shared" si="4"/>
        <v>2500</v>
      </c>
      <c r="K508" s="96">
        <f t="shared" si="5"/>
        <v>2500</v>
      </c>
      <c r="L508" s="96">
        <v>5000</v>
      </c>
      <c r="M508" s="96">
        <f t="shared" si="6"/>
        <v>2500</v>
      </c>
      <c r="N508" s="97">
        <f t="shared" si="7"/>
        <v>2500</v>
      </c>
    </row>
    <row r="509" spans="1:14" x14ac:dyDescent="0.35">
      <c r="A509" s="37" t="s">
        <v>1781</v>
      </c>
      <c r="B509" s="56" t="s">
        <v>1445</v>
      </c>
      <c r="C509" s="56" t="s">
        <v>1910</v>
      </c>
      <c r="D509" s="90">
        <v>50</v>
      </c>
      <c r="E509" s="89">
        <v>150</v>
      </c>
      <c r="F509" s="89">
        <v>250</v>
      </c>
      <c r="G509" s="89" t="s">
        <v>1804</v>
      </c>
      <c r="H509" s="89" t="s">
        <v>1911</v>
      </c>
      <c r="I509" s="96">
        <v>6000</v>
      </c>
      <c r="J509" s="96">
        <f t="shared" si="4"/>
        <v>3000</v>
      </c>
      <c r="K509" s="96">
        <f t="shared" si="5"/>
        <v>3000</v>
      </c>
      <c r="L509" s="96">
        <v>6000</v>
      </c>
      <c r="M509" s="96">
        <f t="shared" si="6"/>
        <v>3000</v>
      </c>
      <c r="N509" s="97">
        <f t="shared" si="7"/>
        <v>3000</v>
      </c>
    </row>
    <row r="510" spans="1:14" x14ac:dyDescent="0.35">
      <c r="A510" s="37" t="s">
        <v>1781</v>
      </c>
      <c r="B510" s="56" t="s">
        <v>1445</v>
      </c>
      <c r="C510" s="56" t="s">
        <v>1912</v>
      </c>
      <c r="D510" s="90">
        <v>51</v>
      </c>
      <c r="E510" s="89">
        <v>151</v>
      </c>
      <c r="F510" s="89">
        <v>251</v>
      </c>
      <c r="G510" s="89" t="s">
        <v>1807</v>
      </c>
      <c r="H510" s="89" t="s">
        <v>1913</v>
      </c>
      <c r="I510" s="96">
        <v>7000</v>
      </c>
      <c r="J510" s="96">
        <f t="shared" si="4"/>
        <v>3500</v>
      </c>
      <c r="K510" s="96">
        <f t="shared" si="5"/>
        <v>3500</v>
      </c>
      <c r="L510" s="96">
        <v>7000</v>
      </c>
      <c r="M510" s="96">
        <f t="shared" si="6"/>
        <v>3500</v>
      </c>
      <c r="N510" s="97">
        <f t="shared" si="7"/>
        <v>3500</v>
      </c>
    </row>
    <row r="511" spans="1:14" x14ac:dyDescent="0.35">
      <c r="A511" s="37" t="s">
        <v>1781</v>
      </c>
      <c r="B511" s="56" t="s">
        <v>1445</v>
      </c>
      <c r="C511" s="56" t="s">
        <v>1914</v>
      </c>
      <c r="D511" s="90">
        <v>52</v>
      </c>
      <c r="E511" s="89">
        <v>152</v>
      </c>
      <c r="F511" s="89">
        <v>252</v>
      </c>
      <c r="G511" s="89" t="s">
        <v>1810</v>
      </c>
      <c r="H511" s="89" t="s">
        <v>1915</v>
      </c>
      <c r="I511" s="96">
        <v>8000</v>
      </c>
      <c r="J511" s="96">
        <f t="shared" si="4"/>
        <v>4000</v>
      </c>
      <c r="K511" s="96">
        <f t="shared" si="5"/>
        <v>4000</v>
      </c>
      <c r="L511" s="96">
        <v>8000</v>
      </c>
      <c r="M511" s="96">
        <f t="shared" si="6"/>
        <v>4000</v>
      </c>
      <c r="N511" s="97">
        <f t="shared" si="7"/>
        <v>4000</v>
      </c>
    </row>
    <row r="512" spans="1:14" x14ac:dyDescent="0.35">
      <c r="A512" s="37" t="s">
        <v>1781</v>
      </c>
      <c r="B512" s="56" t="s">
        <v>1445</v>
      </c>
      <c r="C512" s="56" t="s">
        <v>1916</v>
      </c>
      <c r="D512" s="90">
        <v>53</v>
      </c>
      <c r="E512" s="89">
        <v>153</v>
      </c>
      <c r="F512" s="89">
        <v>253</v>
      </c>
      <c r="G512" s="89" t="s">
        <v>1813</v>
      </c>
      <c r="H512" s="89" t="s">
        <v>1917</v>
      </c>
      <c r="I512" s="96">
        <v>9000</v>
      </c>
      <c r="J512" s="96">
        <f t="shared" si="4"/>
        <v>4500</v>
      </c>
      <c r="K512" s="96">
        <f t="shared" si="5"/>
        <v>4500</v>
      </c>
      <c r="L512" s="96">
        <v>9000</v>
      </c>
      <c r="M512" s="96">
        <f t="shared" si="6"/>
        <v>4500</v>
      </c>
      <c r="N512" s="97">
        <f t="shared" si="7"/>
        <v>4500</v>
      </c>
    </row>
    <row r="513" spans="1:14" x14ac:dyDescent="0.35">
      <c r="A513" s="37" t="s">
        <v>1781</v>
      </c>
      <c r="B513" s="56" t="s">
        <v>1445</v>
      </c>
      <c r="C513" s="56" t="s">
        <v>1918</v>
      </c>
      <c r="D513" s="90">
        <v>54</v>
      </c>
      <c r="E513" s="89">
        <v>154</v>
      </c>
      <c r="F513" s="89">
        <v>254</v>
      </c>
      <c r="G513" s="89" t="s">
        <v>1816</v>
      </c>
      <c r="H513" s="89" t="s">
        <v>1919</v>
      </c>
      <c r="I513" s="96">
        <v>10000</v>
      </c>
      <c r="J513" s="96">
        <f t="shared" si="4"/>
        <v>5000</v>
      </c>
      <c r="K513" s="96">
        <f t="shared" si="5"/>
        <v>5000</v>
      </c>
      <c r="L513" s="96">
        <v>10000</v>
      </c>
      <c r="M513" s="96">
        <f t="shared" si="6"/>
        <v>5000</v>
      </c>
      <c r="N513" s="97">
        <f t="shared" si="7"/>
        <v>5000</v>
      </c>
    </row>
    <row r="514" spans="1:14" x14ac:dyDescent="0.35">
      <c r="A514" s="37" t="s">
        <v>1781</v>
      </c>
      <c r="B514" s="56" t="s">
        <v>1445</v>
      </c>
      <c r="C514" s="56" t="s">
        <v>1920</v>
      </c>
      <c r="D514" s="90">
        <v>55</v>
      </c>
      <c r="E514" s="89">
        <v>155</v>
      </c>
      <c r="F514" s="89">
        <v>255</v>
      </c>
      <c r="G514" s="89" t="s">
        <v>1819</v>
      </c>
      <c r="H514" s="89" t="s">
        <v>1921</v>
      </c>
      <c r="I514" s="96">
        <v>11000</v>
      </c>
      <c r="J514" s="96">
        <f t="shared" si="4"/>
        <v>5500</v>
      </c>
      <c r="K514" s="96">
        <f t="shared" si="5"/>
        <v>5500</v>
      </c>
      <c r="L514" s="96">
        <v>11000</v>
      </c>
      <c r="M514" s="96">
        <f t="shared" si="6"/>
        <v>5500</v>
      </c>
      <c r="N514" s="97">
        <f t="shared" si="7"/>
        <v>5500</v>
      </c>
    </row>
    <row r="515" spans="1:14" x14ac:dyDescent="0.35">
      <c r="A515" s="37" t="s">
        <v>1781</v>
      </c>
      <c r="B515" s="56" t="s">
        <v>1445</v>
      </c>
      <c r="C515" s="56" t="s">
        <v>1922</v>
      </c>
      <c r="D515" s="90">
        <v>56</v>
      </c>
      <c r="E515" s="89">
        <v>156</v>
      </c>
      <c r="F515" s="89">
        <v>256</v>
      </c>
      <c r="G515" s="89" t="s">
        <v>1822</v>
      </c>
      <c r="H515" s="89" t="s">
        <v>1923</v>
      </c>
      <c r="I515" s="96">
        <v>12000</v>
      </c>
      <c r="J515" s="96">
        <f t="shared" si="4"/>
        <v>6000</v>
      </c>
      <c r="K515" s="96">
        <f t="shared" si="5"/>
        <v>6000</v>
      </c>
      <c r="L515" s="96">
        <v>12000</v>
      </c>
      <c r="M515" s="96">
        <f t="shared" si="6"/>
        <v>6000</v>
      </c>
      <c r="N515" s="97">
        <f t="shared" si="7"/>
        <v>6000</v>
      </c>
    </row>
    <row r="516" spans="1:14" x14ac:dyDescent="0.35">
      <c r="A516" s="37" t="s">
        <v>1781</v>
      </c>
      <c r="B516" s="56" t="s">
        <v>1445</v>
      </c>
      <c r="C516" s="56" t="s">
        <v>1924</v>
      </c>
      <c r="D516" s="90">
        <v>57</v>
      </c>
      <c r="E516" s="89">
        <v>157</v>
      </c>
      <c r="F516" s="89">
        <v>257</v>
      </c>
      <c r="G516" s="89" t="s">
        <v>1795</v>
      </c>
      <c r="H516" s="89" t="s">
        <v>1925</v>
      </c>
      <c r="I516" s="96">
        <v>13000</v>
      </c>
      <c r="J516" s="96">
        <f t="shared" si="4"/>
        <v>6500</v>
      </c>
      <c r="K516" s="96">
        <f t="shared" si="5"/>
        <v>6500</v>
      </c>
      <c r="L516" s="96">
        <v>13000</v>
      </c>
      <c r="M516" s="96">
        <f t="shared" si="6"/>
        <v>6500</v>
      </c>
      <c r="N516" s="97">
        <f t="shared" si="7"/>
        <v>6500</v>
      </c>
    </row>
    <row r="517" spans="1:14" x14ac:dyDescent="0.35">
      <c r="A517" s="37" t="s">
        <v>1781</v>
      </c>
      <c r="B517" s="56" t="s">
        <v>1445</v>
      </c>
      <c r="C517" s="56" t="s">
        <v>1926</v>
      </c>
      <c r="D517" s="90">
        <v>58</v>
      </c>
      <c r="E517" s="89">
        <v>158</v>
      </c>
      <c r="F517" s="89">
        <v>258</v>
      </c>
      <c r="G517" s="89" t="s">
        <v>1798</v>
      </c>
      <c r="H517" s="89" t="s">
        <v>1927</v>
      </c>
      <c r="I517" s="96">
        <v>14000</v>
      </c>
      <c r="J517" s="96">
        <f t="shared" si="4"/>
        <v>7000</v>
      </c>
      <c r="K517" s="96">
        <f t="shared" si="5"/>
        <v>7000</v>
      </c>
      <c r="L517" s="96">
        <v>14000</v>
      </c>
      <c r="M517" s="96">
        <f t="shared" si="6"/>
        <v>7000</v>
      </c>
      <c r="N517" s="97">
        <f t="shared" si="7"/>
        <v>7000</v>
      </c>
    </row>
    <row r="518" spans="1:14" x14ac:dyDescent="0.35">
      <c r="A518" s="37" t="s">
        <v>1781</v>
      </c>
      <c r="B518" s="56" t="s">
        <v>1445</v>
      </c>
      <c r="C518" s="56" t="s">
        <v>1928</v>
      </c>
      <c r="D518" s="90">
        <v>59</v>
      </c>
      <c r="E518" s="89">
        <v>159</v>
      </c>
      <c r="F518" s="89">
        <v>259</v>
      </c>
      <c r="G518" s="89" t="s">
        <v>1801</v>
      </c>
      <c r="H518" s="89" t="s">
        <v>1929</v>
      </c>
      <c r="I518" s="96">
        <v>15000</v>
      </c>
      <c r="J518" s="96">
        <f t="shared" si="4"/>
        <v>7500</v>
      </c>
      <c r="K518" s="96">
        <f t="shared" si="5"/>
        <v>7500</v>
      </c>
      <c r="L518" s="96">
        <v>15000</v>
      </c>
      <c r="M518" s="96">
        <f t="shared" si="6"/>
        <v>7500</v>
      </c>
      <c r="N518" s="97">
        <f t="shared" si="7"/>
        <v>7500</v>
      </c>
    </row>
    <row r="519" spans="1:14" x14ac:dyDescent="0.35">
      <c r="A519" s="37" t="s">
        <v>1781</v>
      </c>
      <c r="B519" s="56" t="s">
        <v>1445</v>
      </c>
      <c r="C519" s="56" t="s">
        <v>1930</v>
      </c>
      <c r="D519" s="90">
        <v>60</v>
      </c>
      <c r="E519" s="89">
        <v>160</v>
      </c>
      <c r="F519" s="89">
        <v>260</v>
      </c>
      <c r="G519" s="89" t="s">
        <v>1804</v>
      </c>
      <c r="H519" s="89" t="s">
        <v>1931</v>
      </c>
      <c r="I519" s="96">
        <v>16000</v>
      </c>
      <c r="J519" s="96">
        <f t="shared" si="4"/>
        <v>8000</v>
      </c>
      <c r="K519" s="96">
        <f t="shared" si="5"/>
        <v>8000</v>
      </c>
      <c r="L519" s="96">
        <v>16000</v>
      </c>
      <c r="M519" s="96">
        <f t="shared" si="6"/>
        <v>8000</v>
      </c>
      <c r="N519" s="97">
        <f t="shared" si="7"/>
        <v>8000</v>
      </c>
    </row>
    <row r="520" spans="1:14" x14ac:dyDescent="0.35">
      <c r="A520" s="37" t="s">
        <v>1781</v>
      </c>
      <c r="B520" s="56" t="s">
        <v>1445</v>
      </c>
      <c r="C520" s="56" t="s">
        <v>1932</v>
      </c>
      <c r="D520" s="90">
        <v>61</v>
      </c>
      <c r="E520" s="89">
        <v>161</v>
      </c>
      <c r="F520" s="89">
        <v>261</v>
      </c>
      <c r="G520" s="89" t="s">
        <v>1807</v>
      </c>
      <c r="H520" s="89" t="s">
        <v>1933</v>
      </c>
      <c r="I520" s="96">
        <v>17000</v>
      </c>
      <c r="J520" s="96">
        <f t="shared" si="4"/>
        <v>8500</v>
      </c>
      <c r="K520" s="96">
        <f t="shared" si="5"/>
        <v>8500</v>
      </c>
      <c r="L520" s="96">
        <v>17000</v>
      </c>
      <c r="M520" s="96">
        <f t="shared" si="6"/>
        <v>8500</v>
      </c>
      <c r="N520" s="97">
        <f t="shared" si="7"/>
        <v>8500</v>
      </c>
    </row>
    <row r="521" spans="1:14" x14ac:dyDescent="0.35">
      <c r="A521" s="37" t="s">
        <v>1781</v>
      </c>
      <c r="B521" s="56" t="s">
        <v>1445</v>
      </c>
      <c r="C521" s="56" t="s">
        <v>1934</v>
      </c>
      <c r="D521" s="90">
        <v>62</v>
      </c>
      <c r="E521" s="89">
        <v>162</v>
      </c>
      <c r="F521" s="89">
        <v>262</v>
      </c>
      <c r="G521" s="89" t="s">
        <v>1810</v>
      </c>
      <c r="H521" s="89" t="s">
        <v>1935</v>
      </c>
      <c r="I521" s="96">
        <v>18000</v>
      </c>
      <c r="J521" s="96">
        <f t="shared" si="4"/>
        <v>9000</v>
      </c>
      <c r="K521" s="96">
        <f t="shared" si="5"/>
        <v>9000</v>
      </c>
      <c r="L521" s="96">
        <v>18000</v>
      </c>
      <c r="M521" s="96">
        <f t="shared" si="6"/>
        <v>9000</v>
      </c>
      <c r="N521" s="97">
        <f t="shared" si="7"/>
        <v>9000</v>
      </c>
    </row>
    <row r="522" spans="1:14" x14ac:dyDescent="0.35">
      <c r="A522" s="37" t="s">
        <v>1781</v>
      </c>
      <c r="B522" s="56" t="s">
        <v>1445</v>
      </c>
      <c r="C522" s="56" t="s">
        <v>1936</v>
      </c>
      <c r="D522" s="90">
        <v>63</v>
      </c>
      <c r="E522" s="89">
        <v>163</v>
      </c>
      <c r="F522" s="89">
        <v>263</v>
      </c>
      <c r="G522" s="89" t="s">
        <v>1813</v>
      </c>
      <c r="H522" s="89" t="s">
        <v>1937</v>
      </c>
      <c r="I522" s="96">
        <v>19000</v>
      </c>
      <c r="J522" s="96">
        <f t="shared" si="4"/>
        <v>9500</v>
      </c>
      <c r="K522" s="96">
        <f t="shared" si="5"/>
        <v>9500</v>
      </c>
      <c r="L522" s="96">
        <v>19000</v>
      </c>
      <c r="M522" s="96">
        <f t="shared" si="6"/>
        <v>9500</v>
      </c>
      <c r="N522" s="97">
        <f t="shared" si="7"/>
        <v>9500</v>
      </c>
    </row>
    <row r="523" spans="1:14" x14ac:dyDescent="0.35">
      <c r="A523" s="37" t="s">
        <v>1781</v>
      </c>
      <c r="B523" s="56" t="s">
        <v>1445</v>
      </c>
      <c r="C523" s="56" t="s">
        <v>1938</v>
      </c>
      <c r="D523" s="90">
        <v>64</v>
      </c>
      <c r="E523" s="89">
        <v>164</v>
      </c>
      <c r="F523" s="89">
        <v>264</v>
      </c>
      <c r="G523" s="89" t="s">
        <v>1816</v>
      </c>
      <c r="H523" s="89" t="s">
        <v>1939</v>
      </c>
      <c r="I523" s="96">
        <v>20000</v>
      </c>
      <c r="J523" s="96">
        <f t="shared" si="4"/>
        <v>10000</v>
      </c>
      <c r="K523" s="96">
        <f t="shared" si="5"/>
        <v>10000</v>
      </c>
      <c r="L523" s="96">
        <v>20000</v>
      </c>
      <c r="M523" s="96">
        <f t="shared" si="6"/>
        <v>10000</v>
      </c>
      <c r="N523" s="97">
        <f t="shared" si="7"/>
        <v>10000</v>
      </c>
    </row>
    <row r="524" spans="1:14" x14ac:dyDescent="0.35">
      <c r="A524" s="37" t="s">
        <v>1781</v>
      </c>
      <c r="B524" s="56" t="s">
        <v>1445</v>
      </c>
      <c r="C524" s="56" t="s">
        <v>1940</v>
      </c>
      <c r="D524" s="89">
        <v>65</v>
      </c>
      <c r="E524" s="89">
        <v>165</v>
      </c>
      <c r="F524" s="89">
        <v>265</v>
      </c>
      <c r="G524" s="89" t="s">
        <v>1819</v>
      </c>
      <c r="H524" s="89" t="s">
        <v>1941</v>
      </c>
      <c r="I524" s="96">
        <v>21000</v>
      </c>
      <c r="J524" s="96">
        <f t="shared" si="4"/>
        <v>10500</v>
      </c>
      <c r="K524" s="96">
        <f t="shared" si="5"/>
        <v>10500</v>
      </c>
      <c r="L524" s="96">
        <v>21000</v>
      </c>
      <c r="M524" s="96">
        <f t="shared" si="6"/>
        <v>10500</v>
      </c>
      <c r="N524" s="97">
        <f t="shared" si="7"/>
        <v>10500</v>
      </c>
    </row>
    <row r="525" spans="1:14" x14ac:dyDescent="0.35">
      <c r="A525" s="37" t="s">
        <v>1781</v>
      </c>
      <c r="B525" s="56" t="s">
        <v>1445</v>
      </c>
      <c r="C525" s="98" t="s">
        <v>1942</v>
      </c>
      <c r="D525" s="91">
        <v>66</v>
      </c>
      <c r="E525" s="91">
        <v>166</v>
      </c>
      <c r="F525" s="91">
        <v>266</v>
      </c>
      <c r="G525" s="91" t="s">
        <v>1834</v>
      </c>
      <c r="H525" s="91" t="s">
        <v>1943</v>
      </c>
      <c r="I525" s="96">
        <v>22000</v>
      </c>
      <c r="J525" s="96">
        <f t="shared" si="4"/>
        <v>11000</v>
      </c>
      <c r="K525" s="96">
        <f t="shared" si="5"/>
        <v>11000</v>
      </c>
      <c r="L525" s="96">
        <v>22000</v>
      </c>
      <c r="M525" s="96">
        <f t="shared" si="6"/>
        <v>11000</v>
      </c>
      <c r="N525" s="97">
        <f t="shared" si="7"/>
        <v>11000</v>
      </c>
    </row>
    <row r="526" spans="1:14" x14ac:dyDescent="0.35">
      <c r="A526" s="37" t="s">
        <v>1781</v>
      </c>
      <c r="B526" s="56" t="s">
        <v>1460</v>
      </c>
      <c r="C526" s="56" t="s">
        <v>1944</v>
      </c>
      <c r="D526" s="90">
        <v>67</v>
      </c>
      <c r="E526" s="89">
        <v>167</v>
      </c>
      <c r="F526" s="89">
        <v>267</v>
      </c>
      <c r="G526" s="89" t="s">
        <v>1795</v>
      </c>
      <c r="H526" s="89" t="s">
        <v>1945</v>
      </c>
      <c r="I526" s="96">
        <v>-1453000</v>
      </c>
      <c r="J526" s="96">
        <f t="shared" si="4"/>
        <v>-726500</v>
      </c>
      <c r="K526" s="96">
        <f t="shared" si="5"/>
        <v>-726500</v>
      </c>
      <c r="L526" s="96">
        <v>-1453000</v>
      </c>
      <c r="M526" s="96">
        <f t="shared" si="6"/>
        <v>-726500</v>
      </c>
      <c r="N526" s="97">
        <f t="shared" si="7"/>
        <v>-726500</v>
      </c>
    </row>
    <row r="527" spans="1:14" x14ac:dyDescent="0.35">
      <c r="A527" s="37" t="s">
        <v>1781</v>
      </c>
      <c r="B527" s="56" t="s">
        <v>1460</v>
      </c>
      <c r="C527" s="56" t="s">
        <v>1946</v>
      </c>
      <c r="D527" s="90">
        <v>68</v>
      </c>
      <c r="E527" s="89">
        <v>168</v>
      </c>
      <c r="F527" s="89">
        <v>268</v>
      </c>
      <c r="G527" s="89" t="s">
        <v>1798</v>
      </c>
      <c r="H527" s="89" t="s">
        <v>1947</v>
      </c>
      <c r="I527" s="96">
        <v>24000</v>
      </c>
      <c r="J527" s="96">
        <f t="shared" si="4"/>
        <v>12000</v>
      </c>
      <c r="K527" s="96">
        <f t="shared" si="5"/>
        <v>12000</v>
      </c>
      <c r="L527" s="96">
        <v>24000</v>
      </c>
      <c r="M527" s="96">
        <f t="shared" si="6"/>
        <v>12000</v>
      </c>
      <c r="N527" s="97">
        <f t="shared" si="7"/>
        <v>12000</v>
      </c>
    </row>
    <row r="528" spans="1:14" x14ac:dyDescent="0.35">
      <c r="A528" s="37" t="s">
        <v>1781</v>
      </c>
      <c r="B528" s="56" t="s">
        <v>1460</v>
      </c>
      <c r="C528" s="56" t="s">
        <v>1948</v>
      </c>
      <c r="D528" s="90">
        <v>69</v>
      </c>
      <c r="E528" s="89">
        <v>169</v>
      </c>
      <c r="F528" s="89">
        <v>269</v>
      </c>
      <c r="G528" s="89" t="s">
        <v>1801</v>
      </c>
      <c r="H528" s="89" t="s">
        <v>1949</v>
      </c>
      <c r="I528" s="96">
        <v>25000</v>
      </c>
      <c r="J528" s="96">
        <f t="shared" si="4"/>
        <v>12500</v>
      </c>
      <c r="K528" s="96">
        <f t="shared" si="5"/>
        <v>12500</v>
      </c>
      <c r="L528" s="96">
        <v>25000</v>
      </c>
      <c r="M528" s="96">
        <f t="shared" si="6"/>
        <v>12500</v>
      </c>
      <c r="N528" s="97">
        <f t="shared" si="7"/>
        <v>12500</v>
      </c>
    </row>
    <row r="529" spans="1:14" x14ac:dyDescent="0.35">
      <c r="A529" s="37" t="s">
        <v>1781</v>
      </c>
      <c r="B529" s="56" t="s">
        <v>1460</v>
      </c>
      <c r="C529" s="56" t="s">
        <v>1950</v>
      </c>
      <c r="D529" s="90">
        <v>70</v>
      </c>
      <c r="E529" s="89">
        <v>170</v>
      </c>
      <c r="F529" s="89">
        <v>270</v>
      </c>
      <c r="G529" s="89" t="s">
        <v>1804</v>
      </c>
      <c r="H529" s="89" t="s">
        <v>1951</v>
      </c>
      <c r="I529" s="96">
        <v>26000</v>
      </c>
      <c r="J529" s="96">
        <f t="shared" si="4"/>
        <v>13000</v>
      </c>
      <c r="K529" s="96">
        <f t="shared" si="5"/>
        <v>13000</v>
      </c>
      <c r="L529" s="96">
        <v>26000</v>
      </c>
      <c r="M529" s="96">
        <f t="shared" si="6"/>
        <v>13000</v>
      </c>
      <c r="N529" s="97">
        <f t="shared" si="7"/>
        <v>13000</v>
      </c>
    </row>
    <row r="530" spans="1:14" x14ac:dyDescent="0.35">
      <c r="A530" s="37" t="s">
        <v>1781</v>
      </c>
      <c r="B530" s="56" t="s">
        <v>1460</v>
      </c>
      <c r="C530" s="56" t="s">
        <v>1952</v>
      </c>
      <c r="D530" s="90">
        <v>71</v>
      </c>
      <c r="E530" s="89">
        <v>171</v>
      </c>
      <c r="F530" s="89">
        <v>271</v>
      </c>
      <c r="G530" s="89" t="s">
        <v>1807</v>
      </c>
      <c r="H530" s="89" t="s">
        <v>1953</v>
      </c>
      <c r="I530" s="96">
        <v>27000</v>
      </c>
      <c r="J530" s="96">
        <f t="shared" si="4"/>
        <v>13500</v>
      </c>
      <c r="K530" s="96">
        <f t="shared" si="5"/>
        <v>13500</v>
      </c>
      <c r="L530" s="96">
        <v>27000</v>
      </c>
      <c r="M530" s="96">
        <f t="shared" si="6"/>
        <v>13500</v>
      </c>
      <c r="N530" s="97">
        <f t="shared" si="7"/>
        <v>13500</v>
      </c>
    </row>
    <row r="531" spans="1:14" x14ac:dyDescent="0.35">
      <c r="A531" s="37" t="s">
        <v>1781</v>
      </c>
      <c r="B531" s="56" t="s">
        <v>1460</v>
      </c>
      <c r="C531" s="56" t="s">
        <v>1954</v>
      </c>
      <c r="D531" s="90">
        <v>72</v>
      </c>
      <c r="E531" s="89">
        <v>172</v>
      </c>
      <c r="F531" s="89">
        <v>272</v>
      </c>
      <c r="G531" s="89" t="s">
        <v>1810</v>
      </c>
      <c r="H531" s="89" t="s">
        <v>1955</v>
      </c>
      <c r="I531" s="96">
        <v>28000</v>
      </c>
      <c r="J531" s="96">
        <f t="shared" si="4"/>
        <v>14000</v>
      </c>
      <c r="K531" s="96">
        <f t="shared" si="5"/>
        <v>14000</v>
      </c>
      <c r="L531" s="96">
        <v>28000</v>
      </c>
      <c r="M531" s="96">
        <f t="shared" si="6"/>
        <v>14000</v>
      </c>
      <c r="N531" s="97">
        <f t="shared" si="7"/>
        <v>14000</v>
      </c>
    </row>
    <row r="532" spans="1:14" x14ac:dyDescent="0.35">
      <c r="A532" s="37" t="s">
        <v>1781</v>
      </c>
      <c r="B532" s="56" t="s">
        <v>1460</v>
      </c>
      <c r="C532" s="56" t="s">
        <v>1956</v>
      </c>
      <c r="D532" s="90">
        <v>73</v>
      </c>
      <c r="E532" s="89">
        <v>173</v>
      </c>
      <c r="F532" s="89">
        <v>273</v>
      </c>
      <c r="G532" s="89" t="s">
        <v>1813</v>
      </c>
      <c r="H532" s="89" t="s">
        <v>1957</v>
      </c>
      <c r="I532" s="96">
        <v>29000</v>
      </c>
      <c r="J532" s="96">
        <f t="shared" si="4"/>
        <v>14500</v>
      </c>
      <c r="K532" s="96">
        <f t="shared" si="5"/>
        <v>14500</v>
      </c>
      <c r="L532" s="96">
        <v>29000</v>
      </c>
      <c r="M532" s="96">
        <f t="shared" si="6"/>
        <v>14500</v>
      </c>
      <c r="N532" s="97">
        <f t="shared" si="7"/>
        <v>14500</v>
      </c>
    </row>
    <row r="533" spans="1:14" x14ac:dyDescent="0.35">
      <c r="A533" s="37" t="s">
        <v>1781</v>
      </c>
      <c r="B533" s="56" t="s">
        <v>1460</v>
      </c>
      <c r="C533" s="56" t="s">
        <v>1958</v>
      </c>
      <c r="D533" s="90">
        <v>74</v>
      </c>
      <c r="E533" s="89">
        <v>174</v>
      </c>
      <c r="F533" s="89">
        <v>274</v>
      </c>
      <c r="G533" s="89" t="s">
        <v>1816</v>
      </c>
      <c r="H533" s="89" t="s">
        <v>1959</v>
      </c>
      <c r="I533" s="96">
        <v>30000</v>
      </c>
      <c r="J533" s="96">
        <f t="shared" si="4"/>
        <v>15000</v>
      </c>
      <c r="K533" s="96">
        <f t="shared" si="5"/>
        <v>15000</v>
      </c>
      <c r="L533" s="96">
        <v>30000</v>
      </c>
      <c r="M533" s="96">
        <f t="shared" si="6"/>
        <v>15000</v>
      </c>
      <c r="N533" s="97">
        <f t="shared" si="7"/>
        <v>15000</v>
      </c>
    </row>
    <row r="534" spans="1:14" x14ac:dyDescent="0.35">
      <c r="A534" s="37" t="s">
        <v>1781</v>
      </c>
      <c r="B534" s="56" t="s">
        <v>1460</v>
      </c>
      <c r="C534" s="56" t="s">
        <v>1960</v>
      </c>
      <c r="D534" s="90">
        <v>75</v>
      </c>
      <c r="E534" s="89">
        <v>175</v>
      </c>
      <c r="F534" s="89">
        <v>275</v>
      </c>
      <c r="G534" s="89" t="s">
        <v>1819</v>
      </c>
      <c r="H534" s="89" t="s">
        <v>1961</v>
      </c>
      <c r="I534" s="96">
        <v>31000</v>
      </c>
      <c r="J534" s="96">
        <f t="shared" si="4"/>
        <v>15500</v>
      </c>
      <c r="K534" s="96">
        <f t="shared" si="5"/>
        <v>15500</v>
      </c>
      <c r="L534" s="96">
        <v>31000</v>
      </c>
      <c r="M534" s="96">
        <f t="shared" si="6"/>
        <v>15500</v>
      </c>
      <c r="N534" s="97">
        <f t="shared" si="7"/>
        <v>15500</v>
      </c>
    </row>
    <row r="535" spans="1:14" x14ac:dyDescent="0.35">
      <c r="A535" s="37" t="s">
        <v>1781</v>
      </c>
      <c r="B535" s="56" t="s">
        <v>1460</v>
      </c>
      <c r="C535" s="56" t="s">
        <v>1962</v>
      </c>
      <c r="D535" s="90">
        <v>76</v>
      </c>
      <c r="E535" s="89">
        <v>176</v>
      </c>
      <c r="F535" s="89">
        <v>276</v>
      </c>
      <c r="G535" s="89" t="s">
        <v>1822</v>
      </c>
      <c r="H535" s="89" t="s">
        <v>1963</v>
      </c>
      <c r="I535" s="96">
        <v>32000</v>
      </c>
      <c r="J535" s="96">
        <f t="shared" si="4"/>
        <v>16000</v>
      </c>
      <c r="K535" s="96">
        <f t="shared" si="5"/>
        <v>16000</v>
      </c>
      <c r="L535" s="96">
        <v>32000</v>
      </c>
      <c r="M535" s="96">
        <f t="shared" si="6"/>
        <v>16000</v>
      </c>
      <c r="N535" s="97">
        <f t="shared" si="7"/>
        <v>16000</v>
      </c>
    </row>
    <row r="536" spans="1:14" x14ac:dyDescent="0.35">
      <c r="A536" s="37" t="s">
        <v>1781</v>
      </c>
      <c r="B536" s="56" t="s">
        <v>1460</v>
      </c>
      <c r="C536" s="56" t="s">
        <v>1964</v>
      </c>
      <c r="D536" s="90">
        <v>77</v>
      </c>
      <c r="E536" s="89">
        <v>177</v>
      </c>
      <c r="F536" s="89">
        <v>277</v>
      </c>
      <c r="G536" s="89" t="s">
        <v>1795</v>
      </c>
      <c r="H536" s="89" t="s">
        <v>1965</v>
      </c>
      <c r="I536" s="96">
        <v>33000</v>
      </c>
      <c r="J536" s="96">
        <f t="shared" si="4"/>
        <v>16500</v>
      </c>
      <c r="K536" s="96">
        <f t="shared" si="5"/>
        <v>16500</v>
      </c>
      <c r="L536" s="96">
        <v>33000</v>
      </c>
      <c r="M536" s="96">
        <f t="shared" si="6"/>
        <v>16500</v>
      </c>
      <c r="N536" s="97">
        <f t="shared" si="7"/>
        <v>16500</v>
      </c>
    </row>
    <row r="537" spans="1:14" x14ac:dyDescent="0.35">
      <c r="A537" s="37" t="s">
        <v>1781</v>
      </c>
      <c r="B537" s="56" t="s">
        <v>1460</v>
      </c>
      <c r="C537" s="56" t="s">
        <v>1966</v>
      </c>
      <c r="D537" s="90">
        <v>78</v>
      </c>
      <c r="E537" s="89">
        <v>178</v>
      </c>
      <c r="F537" s="89">
        <v>278</v>
      </c>
      <c r="G537" s="89" t="s">
        <v>1798</v>
      </c>
      <c r="H537" s="89" t="s">
        <v>1967</v>
      </c>
      <c r="I537" s="96">
        <v>34000</v>
      </c>
      <c r="J537" s="96">
        <f t="shared" si="4"/>
        <v>17000</v>
      </c>
      <c r="K537" s="96">
        <f t="shared" si="5"/>
        <v>17000</v>
      </c>
      <c r="L537" s="96">
        <v>34000</v>
      </c>
      <c r="M537" s="96">
        <f t="shared" si="6"/>
        <v>17000</v>
      </c>
      <c r="N537" s="97">
        <f t="shared" si="7"/>
        <v>17000</v>
      </c>
    </row>
    <row r="538" spans="1:14" x14ac:dyDescent="0.35">
      <c r="A538" s="37" t="s">
        <v>1781</v>
      </c>
      <c r="B538" s="56" t="s">
        <v>1460</v>
      </c>
      <c r="C538" s="56" t="s">
        <v>1968</v>
      </c>
      <c r="D538" s="90">
        <v>79</v>
      </c>
      <c r="E538" s="89">
        <v>179</v>
      </c>
      <c r="F538" s="89">
        <v>279</v>
      </c>
      <c r="G538" s="89" t="s">
        <v>1801</v>
      </c>
      <c r="H538" s="89" t="s">
        <v>1969</v>
      </c>
      <c r="I538" s="96">
        <v>35000</v>
      </c>
      <c r="J538" s="96">
        <f t="shared" si="4"/>
        <v>17500</v>
      </c>
      <c r="K538" s="96">
        <f t="shared" si="5"/>
        <v>17500</v>
      </c>
      <c r="L538" s="96">
        <v>35000</v>
      </c>
      <c r="M538" s="96">
        <f t="shared" si="6"/>
        <v>17500</v>
      </c>
      <c r="N538" s="97">
        <f t="shared" si="7"/>
        <v>17500</v>
      </c>
    </row>
    <row r="539" spans="1:14" x14ac:dyDescent="0.35">
      <c r="A539" s="37" t="s">
        <v>1781</v>
      </c>
      <c r="B539" s="56" t="s">
        <v>1460</v>
      </c>
      <c r="C539" s="56" t="s">
        <v>1970</v>
      </c>
      <c r="D539" s="90">
        <v>80</v>
      </c>
      <c r="E539" s="89">
        <v>180</v>
      </c>
      <c r="F539" s="89">
        <v>280</v>
      </c>
      <c r="G539" s="89" t="s">
        <v>1804</v>
      </c>
      <c r="H539" s="89" t="s">
        <v>1971</v>
      </c>
      <c r="I539" s="96">
        <v>36000</v>
      </c>
      <c r="J539" s="96">
        <f t="shared" si="4"/>
        <v>18000</v>
      </c>
      <c r="K539" s="96">
        <f t="shared" si="5"/>
        <v>18000</v>
      </c>
      <c r="L539" s="96">
        <v>36000</v>
      </c>
      <c r="M539" s="96">
        <f t="shared" si="6"/>
        <v>18000</v>
      </c>
      <c r="N539" s="97">
        <f t="shared" si="7"/>
        <v>18000</v>
      </c>
    </row>
    <row r="540" spans="1:14" x14ac:dyDescent="0.35">
      <c r="A540" s="37" t="s">
        <v>1781</v>
      </c>
      <c r="B540" s="56" t="s">
        <v>1460</v>
      </c>
      <c r="C540" s="56" t="s">
        <v>1972</v>
      </c>
      <c r="D540" s="90">
        <v>81</v>
      </c>
      <c r="E540" s="89">
        <v>181</v>
      </c>
      <c r="F540" s="89">
        <v>281</v>
      </c>
      <c r="G540" s="89" t="s">
        <v>1807</v>
      </c>
      <c r="H540" s="89" t="s">
        <v>1973</v>
      </c>
      <c r="I540" s="96">
        <v>37000</v>
      </c>
      <c r="J540" s="96">
        <f t="shared" si="4"/>
        <v>18500</v>
      </c>
      <c r="K540" s="96">
        <f t="shared" si="5"/>
        <v>18500</v>
      </c>
      <c r="L540" s="96">
        <v>37000</v>
      </c>
      <c r="M540" s="96">
        <f t="shared" si="6"/>
        <v>18500</v>
      </c>
      <c r="N540" s="97">
        <f t="shared" si="7"/>
        <v>18500</v>
      </c>
    </row>
    <row r="541" spans="1:14" x14ac:dyDescent="0.35">
      <c r="A541" s="37" t="s">
        <v>1781</v>
      </c>
      <c r="B541" s="56" t="s">
        <v>1460</v>
      </c>
      <c r="C541" s="56" t="s">
        <v>1974</v>
      </c>
      <c r="D541" s="90">
        <v>82</v>
      </c>
      <c r="E541" s="89">
        <v>182</v>
      </c>
      <c r="F541" s="89">
        <v>282</v>
      </c>
      <c r="G541" s="89" t="s">
        <v>1810</v>
      </c>
      <c r="H541" s="89" t="s">
        <v>1975</v>
      </c>
      <c r="I541" s="96">
        <v>38000</v>
      </c>
      <c r="J541" s="96">
        <f t="shared" si="4"/>
        <v>19000</v>
      </c>
      <c r="K541" s="96">
        <f t="shared" si="5"/>
        <v>19000</v>
      </c>
      <c r="L541" s="96">
        <v>38000</v>
      </c>
      <c r="M541" s="96">
        <f t="shared" si="6"/>
        <v>19000</v>
      </c>
      <c r="N541" s="97">
        <f t="shared" si="7"/>
        <v>19000</v>
      </c>
    </row>
    <row r="542" spans="1:14" x14ac:dyDescent="0.35">
      <c r="A542" s="37" t="s">
        <v>1781</v>
      </c>
      <c r="B542" s="56" t="s">
        <v>1460</v>
      </c>
      <c r="C542" s="56" t="s">
        <v>1976</v>
      </c>
      <c r="D542" s="90">
        <v>83</v>
      </c>
      <c r="E542" s="89">
        <v>183</v>
      </c>
      <c r="F542" s="89">
        <v>283</v>
      </c>
      <c r="G542" s="89" t="s">
        <v>1813</v>
      </c>
      <c r="H542" s="89" t="s">
        <v>1977</v>
      </c>
      <c r="I542" s="96">
        <v>39000</v>
      </c>
      <c r="J542" s="96">
        <f t="shared" si="4"/>
        <v>19500</v>
      </c>
      <c r="K542" s="96">
        <f t="shared" si="5"/>
        <v>19500</v>
      </c>
      <c r="L542" s="96">
        <v>39000</v>
      </c>
      <c r="M542" s="96">
        <f t="shared" si="6"/>
        <v>19500</v>
      </c>
      <c r="N542" s="97">
        <f t="shared" si="7"/>
        <v>19500</v>
      </c>
    </row>
    <row r="543" spans="1:14" x14ac:dyDescent="0.35">
      <c r="A543" s="37" t="s">
        <v>1781</v>
      </c>
      <c r="B543" s="56" t="s">
        <v>1460</v>
      </c>
      <c r="C543" s="56" t="s">
        <v>1978</v>
      </c>
      <c r="D543" s="90">
        <v>84</v>
      </c>
      <c r="E543" s="89">
        <v>184</v>
      </c>
      <c r="F543" s="89">
        <v>284</v>
      </c>
      <c r="G543" s="89" t="s">
        <v>1816</v>
      </c>
      <c r="H543" s="89" t="s">
        <v>1979</v>
      </c>
      <c r="I543" s="96">
        <v>40000</v>
      </c>
      <c r="J543" s="96">
        <f t="shared" si="4"/>
        <v>20000</v>
      </c>
      <c r="K543" s="96">
        <f t="shared" si="5"/>
        <v>20000</v>
      </c>
      <c r="L543" s="96">
        <v>40000</v>
      </c>
      <c r="M543" s="96">
        <f t="shared" si="6"/>
        <v>20000</v>
      </c>
      <c r="N543" s="97">
        <f t="shared" si="7"/>
        <v>20000</v>
      </c>
    </row>
    <row r="544" spans="1:14" x14ac:dyDescent="0.35">
      <c r="A544" s="37" t="s">
        <v>1781</v>
      </c>
      <c r="B544" s="56" t="s">
        <v>1460</v>
      </c>
      <c r="C544" s="56" t="s">
        <v>1980</v>
      </c>
      <c r="D544" s="90">
        <v>85</v>
      </c>
      <c r="E544" s="89">
        <v>185</v>
      </c>
      <c r="F544" s="89">
        <v>285</v>
      </c>
      <c r="G544" s="89" t="s">
        <v>1819</v>
      </c>
      <c r="H544" s="89" t="s">
        <v>1981</v>
      </c>
      <c r="I544" s="96">
        <v>41000</v>
      </c>
      <c r="J544" s="96">
        <f t="shared" si="4"/>
        <v>20500</v>
      </c>
      <c r="K544" s="96">
        <f t="shared" si="5"/>
        <v>20500</v>
      </c>
      <c r="L544" s="96">
        <v>41000</v>
      </c>
      <c r="M544" s="96">
        <f t="shared" si="6"/>
        <v>20500</v>
      </c>
      <c r="N544" s="97">
        <f t="shared" si="7"/>
        <v>20500</v>
      </c>
    </row>
    <row r="545" spans="1:14" x14ac:dyDescent="0.35">
      <c r="A545" s="37" t="s">
        <v>1781</v>
      </c>
      <c r="B545" s="56" t="s">
        <v>1460</v>
      </c>
      <c r="C545" s="56" t="s">
        <v>1982</v>
      </c>
      <c r="D545" s="90">
        <v>86</v>
      </c>
      <c r="E545" s="89">
        <v>186</v>
      </c>
      <c r="F545" s="89">
        <v>286</v>
      </c>
      <c r="G545" s="89" t="s">
        <v>1834</v>
      </c>
      <c r="H545" s="89" t="s">
        <v>1983</v>
      </c>
      <c r="I545" s="96">
        <v>42000</v>
      </c>
      <c r="J545" s="96">
        <f t="shared" si="4"/>
        <v>21000</v>
      </c>
      <c r="K545" s="96">
        <f t="shared" si="5"/>
        <v>21000</v>
      </c>
      <c r="L545" s="96">
        <v>42000</v>
      </c>
      <c r="M545" s="96">
        <f t="shared" si="6"/>
        <v>21000</v>
      </c>
      <c r="N545" s="97">
        <f t="shared" si="7"/>
        <v>21000</v>
      </c>
    </row>
    <row r="546" spans="1:14" x14ac:dyDescent="0.35">
      <c r="A546" s="37" t="s">
        <v>1781</v>
      </c>
      <c r="B546" s="56" t="s">
        <v>1460</v>
      </c>
      <c r="C546" s="56" t="s">
        <v>1984</v>
      </c>
      <c r="D546" s="90">
        <v>87</v>
      </c>
      <c r="E546" s="89">
        <v>187</v>
      </c>
      <c r="F546" s="89">
        <v>287</v>
      </c>
      <c r="G546" s="89" t="s">
        <v>1795</v>
      </c>
      <c r="H546" s="89" t="s">
        <v>1985</v>
      </c>
      <c r="I546" s="96">
        <v>43000</v>
      </c>
      <c r="J546" s="96">
        <f t="shared" si="4"/>
        <v>21500</v>
      </c>
      <c r="K546" s="96">
        <f t="shared" si="5"/>
        <v>21500</v>
      </c>
      <c r="L546" s="96">
        <v>43000</v>
      </c>
      <c r="M546" s="96">
        <f t="shared" si="6"/>
        <v>21500</v>
      </c>
      <c r="N546" s="97">
        <f t="shared" si="7"/>
        <v>21500</v>
      </c>
    </row>
    <row r="547" spans="1:14" x14ac:dyDescent="0.35">
      <c r="A547" s="37" t="s">
        <v>1781</v>
      </c>
      <c r="B547" s="56" t="s">
        <v>1460</v>
      </c>
      <c r="C547" s="56" t="s">
        <v>1986</v>
      </c>
      <c r="D547" s="90">
        <v>88</v>
      </c>
      <c r="E547" s="89">
        <v>188</v>
      </c>
      <c r="F547" s="89">
        <v>288</v>
      </c>
      <c r="G547" s="89" t="s">
        <v>1798</v>
      </c>
      <c r="H547" s="89" t="s">
        <v>1987</v>
      </c>
      <c r="I547" s="96">
        <v>44000</v>
      </c>
      <c r="J547" s="96">
        <f t="shared" si="4"/>
        <v>22000</v>
      </c>
      <c r="K547" s="96">
        <f t="shared" si="5"/>
        <v>22000</v>
      </c>
      <c r="L547" s="96">
        <v>44000</v>
      </c>
      <c r="M547" s="96">
        <f t="shared" si="6"/>
        <v>22000</v>
      </c>
      <c r="N547" s="97">
        <f t="shared" si="7"/>
        <v>22000</v>
      </c>
    </row>
    <row r="548" spans="1:14" x14ac:dyDescent="0.35">
      <c r="A548" s="37" t="s">
        <v>1781</v>
      </c>
      <c r="B548" s="56" t="s">
        <v>1460</v>
      </c>
      <c r="C548" s="56" t="s">
        <v>1988</v>
      </c>
      <c r="D548" s="90">
        <v>89</v>
      </c>
      <c r="E548" s="89">
        <v>189</v>
      </c>
      <c r="F548" s="89">
        <v>289</v>
      </c>
      <c r="G548" s="89" t="s">
        <v>1801</v>
      </c>
      <c r="H548" s="89" t="s">
        <v>1989</v>
      </c>
      <c r="I548" s="96">
        <v>89000</v>
      </c>
      <c r="J548" s="96">
        <f t="shared" si="4"/>
        <v>44500</v>
      </c>
      <c r="K548" s="96">
        <f t="shared" si="5"/>
        <v>44500</v>
      </c>
      <c r="L548" s="96">
        <v>89000</v>
      </c>
      <c r="M548" s="96">
        <f t="shared" si="6"/>
        <v>44500</v>
      </c>
      <c r="N548" s="97">
        <f t="shared" si="7"/>
        <v>44500</v>
      </c>
    </row>
    <row r="549" spans="1:14" x14ac:dyDescent="0.35">
      <c r="A549" s="37" t="s">
        <v>1781</v>
      </c>
      <c r="B549" s="56" t="s">
        <v>1460</v>
      </c>
      <c r="C549" s="56" t="s">
        <v>1990</v>
      </c>
      <c r="D549" s="90">
        <v>90</v>
      </c>
      <c r="E549" s="89">
        <v>190</v>
      </c>
      <c r="F549" s="89">
        <v>290</v>
      </c>
      <c r="G549" s="89" t="s">
        <v>1804</v>
      </c>
      <c r="H549" s="89" t="s">
        <v>1991</v>
      </c>
      <c r="I549" s="96">
        <v>90000</v>
      </c>
      <c r="J549" s="96">
        <f t="shared" si="4"/>
        <v>45000</v>
      </c>
      <c r="K549" s="96">
        <f t="shared" si="5"/>
        <v>45000</v>
      </c>
      <c r="L549" s="96">
        <v>90000</v>
      </c>
      <c r="M549" s="96">
        <f t="shared" si="6"/>
        <v>45000</v>
      </c>
      <c r="N549" s="97">
        <f t="shared" si="7"/>
        <v>45000</v>
      </c>
    </row>
    <row r="550" spans="1:14" x14ac:dyDescent="0.35">
      <c r="A550" s="37" t="s">
        <v>1781</v>
      </c>
      <c r="B550" s="56" t="s">
        <v>1460</v>
      </c>
      <c r="C550" s="56" t="s">
        <v>1992</v>
      </c>
      <c r="D550" s="90">
        <v>91</v>
      </c>
      <c r="E550" s="89">
        <v>191</v>
      </c>
      <c r="F550" s="89">
        <v>291</v>
      </c>
      <c r="G550" s="89" t="s">
        <v>1807</v>
      </c>
      <c r="H550" s="89" t="s">
        <v>1993</v>
      </c>
      <c r="I550" s="96">
        <v>91000</v>
      </c>
      <c r="J550" s="96">
        <f t="shared" si="4"/>
        <v>45500</v>
      </c>
      <c r="K550" s="96">
        <f t="shared" si="5"/>
        <v>45500</v>
      </c>
      <c r="L550" s="96">
        <v>91000</v>
      </c>
      <c r="M550" s="96">
        <f t="shared" si="6"/>
        <v>45500</v>
      </c>
      <c r="N550" s="97">
        <f t="shared" si="7"/>
        <v>45500</v>
      </c>
    </row>
    <row r="551" spans="1:14" x14ac:dyDescent="0.35">
      <c r="A551" s="37" t="s">
        <v>1781</v>
      </c>
      <c r="B551" s="56" t="s">
        <v>1460</v>
      </c>
      <c r="C551" s="56" t="s">
        <v>1994</v>
      </c>
      <c r="D551" s="90">
        <v>92</v>
      </c>
      <c r="E551" s="89">
        <v>192</v>
      </c>
      <c r="F551" s="89">
        <v>292</v>
      </c>
      <c r="G551" s="89" t="s">
        <v>1810</v>
      </c>
      <c r="H551" s="89" t="s">
        <v>1995</v>
      </c>
      <c r="I551" s="96">
        <v>92000</v>
      </c>
      <c r="J551" s="96">
        <f t="shared" si="4"/>
        <v>46000</v>
      </c>
      <c r="K551" s="96">
        <f t="shared" si="5"/>
        <v>46000</v>
      </c>
      <c r="L551" s="96">
        <v>92000</v>
      </c>
      <c r="M551" s="96">
        <f t="shared" si="6"/>
        <v>46000</v>
      </c>
      <c r="N551" s="97">
        <f t="shared" si="7"/>
        <v>46000</v>
      </c>
    </row>
    <row r="552" spans="1:14" x14ac:dyDescent="0.35">
      <c r="A552" s="37" t="s">
        <v>1781</v>
      </c>
      <c r="B552" s="56" t="s">
        <v>1460</v>
      </c>
      <c r="C552" s="56" t="s">
        <v>1996</v>
      </c>
      <c r="D552" s="90">
        <v>93</v>
      </c>
      <c r="E552" s="89">
        <v>193</v>
      </c>
      <c r="F552" s="89">
        <v>293</v>
      </c>
      <c r="G552" s="89" t="s">
        <v>1813</v>
      </c>
      <c r="H552" s="89" t="s">
        <v>1997</v>
      </c>
      <c r="I552" s="96">
        <v>93000</v>
      </c>
      <c r="J552" s="96">
        <f t="shared" si="4"/>
        <v>46500</v>
      </c>
      <c r="K552" s="96">
        <f t="shared" si="5"/>
        <v>46500</v>
      </c>
      <c r="L552" s="96">
        <v>93000</v>
      </c>
      <c r="M552" s="96">
        <f t="shared" si="6"/>
        <v>46500</v>
      </c>
      <c r="N552" s="97">
        <f t="shared" si="7"/>
        <v>46500</v>
      </c>
    </row>
    <row r="553" spans="1:14" x14ac:dyDescent="0.35">
      <c r="A553" s="37" t="s">
        <v>1781</v>
      </c>
      <c r="B553" s="56" t="s">
        <v>1460</v>
      </c>
      <c r="C553" s="56" t="s">
        <v>1998</v>
      </c>
      <c r="D553" s="90">
        <v>94</v>
      </c>
      <c r="E553" s="89">
        <v>194</v>
      </c>
      <c r="F553" s="89">
        <v>294</v>
      </c>
      <c r="G553" s="89" t="s">
        <v>1816</v>
      </c>
      <c r="H553" s="89" t="s">
        <v>1999</v>
      </c>
      <c r="I553" s="96">
        <v>94000</v>
      </c>
      <c r="J553" s="96">
        <f t="shared" si="4"/>
        <v>47000</v>
      </c>
      <c r="K553" s="96">
        <f t="shared" si="5"/>
        <v>47000</v>
      </c>
      <c r="L553" s="96">
        <v>94000</v>
      </c>
      <c r="M553" s="96">
        <f t="shared" si="6"/>
        <v>47000</v>
      </c>
      <c r="N553" s="97">
        <f t="shared" si="7"/>
        <v>47000</v>
      </c>
    </row>
    <row r="554" spans="1:14" x14ac:dyDescent="0.35">
      <c r="A554" s="37" t="s">
        <v>1781</v>
      </c>
      <c r="B554" s="56" t="s">
        <v>1460</v>
      </c>
      <c r="C554" s="56" t="s">
        <v>2000</v>
      </c>
      <c r="D554" s="90">
        <v>95</v>
      </c>
      <c r="E554" s="89">
        <v>195</v>
      </c>
      <c r="F554" s="89">
        <v>295</v>
      </c>
      <c r="G554" s="89" t="s">
        <v>1819</v>
      </c>
      <c r="H554" s="89" t="s">
        <v>2001</v>
      </c>
      <c r="I554" s="96">
        <v>95000</v>
      </c>
      <c r="J554" s="96">
        <f t="shared" si="4"/>
        <v>47500</v>
      </c>
      <c r="K554" s="96">
        <f t="shared" si="5"/>
        <v>47500</v>
      </c>
      <c r="L554" s="96">
        <v>95000</v>
      </c>
      <c r="M554" s="96">
        <f t="shared" si="6"/>
        <v>47500</v>
      </c>
      <c r="N554" s="97">
        <f t="shared" si="7"/>
        <v>47500</v>
      </c>
    </row>
    <row r="555" spans="1:14" x14ac:dyDescent="0.35">
      <c r="A555" s="37" t="s">
        <v>1781</v>
      </c>
      <c r="B555" s="56" t="s">
        <v>1460</v>
      </c>
      <c r="C555" s="56" t="s">
        <v>2002</v>
      </c>
      <c r="D555" s="90">
        <v>96</v>
      </c>
      <c r="E555" s="89">
        <v>196</v>
      </c>
      <c r="F555" s="89">
        <v>296</v>
      </c>
      <c r="G555" s="89" t="s">
        <v>1822</v>
      </c>
      <c r="H555" s="89" t="s">
        <v>2003</v>
      </c>
      <c r="I555" s="96">
        <v>96000</v>
      </c>
      <c r="J555" s="96">
        <f t="shared" si="4"/>
        <v>48000</v>
      </c>
      <c r="K555" s="96">
        <f t="shared" si="5"/>
        <v>48000</v>
      </c>
      <c r="L555" s="96">
        <v>96000</v>
      </c>
      <c r="M555" s="96">
        <f t="shared" si="6"/>
        <v>48000</v>
      </c>
      <c r="N555" s="97">
        <f t="shared" si="7"/>
        <v>48000</v>
      </c>
    </row>
    <row r="556" spans="1:14" x14ac:dyDescent="0.35">
      <c r="A556" s="37" t="s">
        <v>1781</v>
      </c>
      <c r="B556" s="56" t="s">
        <v>1460</v>
      </c>
      <c r="C556" s="56" t="s">
        <v>2004</v>
      </c>
      <c r="D556" s="89">
        <v>97</v>
      </c>
      <c r="E556" s="89">
        <v>197</v>
      </c>
      <c r="F556" s="89">
        <v>297</v>
      </c>
      <c r="G556" s="89" t="s">
        <v>1795</v>
      </c>
      <c r="H556" s="89" t="s">
        <v>2005</v>
      </c>
      <c r="I556" s="96">
        <v>97000</v>
      </c>
      <c r="J556" s="96">
        <f t="shared" si="4"/>
        <v>48500</v>
      </c>
      <c r="K556" s="96">
        <f t="shared" si="5"/>
        <v>48500</v>
      </c>
      <c r="L556" s="96">
        <v>97000</v>
      </c>
      <c r="M556" s="96">
        <f t="shared" si="6"/>
        <v>48500</v>
      </c>
      <c r="N556" s="97">
        <f t="shared" si="7"/>
        <v>48500</v>
      </c>
    </row>
    <row r="557" spans="1:14" x14ac:dyDescent="0.35">
      <c r="A557" s="37" t="s">
        <v>1781</v>
      </c>
      <c r="B557" s="56" t="s">
        <v>1460</v>
      </c>
      <c r="C557" s="98" t="s">
        <v>2006</v>
      </c>
      <c r="D557" s="91">
        <v>98</v>
      </c>
      <c r="E557" s="91">
        <v>198</v>
      </c>
      <c r="F557" s="91">
        <v>298</v>
      </c>
      <c r="G557" s="91" t="s">
        <v>1798</v>
      </c>
      <c r="H557" s="91" t="s">
        <v>2007</v>
      </c>
      <c r="I557" s="96">
        <v>98000</v>
      </c>
      <c r="J557" s="96">
        <f t="shared" si="4"/>
        <v>49000</v>
      </c>
      <c r="K557" s="96">
        <f t="shared" si="5"/>
        <v>49000</v>
      </c>
      <c r="L557" s="96">
        <v>98000</v>
      </c>
      <c r="M557" s="96">
        <f t="shared" si="6"/>
        <v>49000</v>
      </c>
      <c r="N557" s="97">
        <f t="shared" si="7"/>
        <v>49000</v>
      </c>
    </row>
    <row r="558" spans="1:14" x14ac:dyDescent="0.35">
      <c r="A558" s="37" t="s">
        <v>1781</v>
      </c>
      <c r="B558" s="56" t="s">
        <v>1472</v>
      </c>
      <c r="C558" s="56" t="s">
        <v>2008</v>
      </c>
      <c r="D558" s="90">
        <v>99</v>
      </c>
      <c r="E558" s="89">
        <v>199</v>
      </c>
      <c r="F558" s="89">
        <v>299</v>
      </c>
      <c r="G558" s="89" t="s">
        <v>1801</v>
      </c>
      <c r="H558" s="89" t="s">
        <v>2009</v>
      </c>
      <c r="I558" s="96">
        <f>-208000</f>
        <v>-208000</v>
      </c>
      <c r="J558" s="96">
        <f>I558/2</f>
        <v>-104000</v>
      </c>
      <c r="K558" s="96">
        <f>J558</f>
        <v>-104000</v>
      </c>
      <c r="L558" s="96">
        <v>-208000</v>
      </c>
      <c r="M558" s="96">
        <f>L558/2</f>
        <v>-104000</v>
      </c>
      <c r="N558" s="97">
        <f>M558</f>
        <v>-104000</v>
      </c>
    </row>
    <row r="559" spans="1:14" x14ac:dyDescent="0.35">
      <c r="A559" s="37" t="s">
        <v>1781</v>
      </c>
      <c r="B559" s="56" t="s">
        <v>1472</v>
      </c>
      <c r="C559" s="56" t="s">
        <v>2010</v>
      </c>
      <c r="D559" s="90">
        <v>100</v>
      </c>
      <c r="E559" s="89">
        <v>200</v>
      </c>
      <c r="F559" s="89">
        <v>300</v>
      </c>
      <c r="G559" s="89" t="s">
        <v>1804</v>
      </c>
      <c r="H559" s="89" t="s">
        <v>2011</v>
      </c>
      <c r="I559" s="96">
        <v>2000</v>
      </c>
      <c r="J559" s="96">
        <f t="shared" ref="J559:J578" si="8">I559/2</f>
        <v>1000</v>
      </c>
      <c r="K559" s="96">
        <f t="shared" ref="K559:K602" si="9">J559</f>
        <v>1000</v>
      </c>
      <c r="L559" s="96">
        <v>2000</v>
      </c>
      <c r="M559" s="96">
        <f t="shared" ref="M559:M602" si="10">L559/2</f>
        <v>1000</v>
      </c>
      <c r="N559" s="97">
        <f t="shared" ref="N559:N602" si="11">M559</f>
        <v>1000</v>
      </c>
    </row>
    <row r="560" spans="1:14" x14ac:dyDescent="0.35">
      <c r="A560" s="37" t="s">
        <v>1781</v>
      </c>
      <c r="B560" s="56" t="s">
        <v>1472</v>
      </c>
      <c r="C560" s="56" t="s">
        <v>2012</v>
      </c>
      <c r="D560" s="90">
        <v>101</v>
      </c>
      <c r="E560" s="89">
        <v>201</v>
      </c>
      <c r="F560" s="89">
        <v>301</v>
      </c>
      <c r="G560" s="89" t="s">
        <v>1807</v>
      </c>
      <c r="H560" s="89" t="s">
        <v>2013</v>
      </c>
      <c r="I560" s="96">
        <v>3000</v>
      </c>
      <c r="J560" s="96">
        <f t="shared" si="8"/>
        <v>1500</v>
      </c>
      <c r="K560" s="96">
        <f t="shared" si="9"/>
        <v>1500</v>
      </c>
      <c r="L560" s="96">
        <v>3000</v>
      </c>
      <c r="M560" s="96">
        <f t="shared" si="10"/>
        <v>1500</v>
      </c>
      <c r="N560" s="97">
        <f t="shared" si="11"/>
        <v>1500</v>
      </c>
    </row>
    <row r="561" spans="1:14" x14ac:dyDescent="0.35">
      <c r="A561" s="37" t="s">
        <v>1781</v>
      </c>
      <c r="B561" s="56" t="s">
        <v>1472</v>
      </c>
      <c r="C561" s="56" t="s">
        <v>2014</v>
      </c>
      <c r="D561" s="90">
        <v>102</v>
      </c>
      <c r="E561" s="89">
        <v>202</v>
      </c>
      <c r="F561" s="89">
        <v>302</v>
      </c>
      <c r="G561" s="89" t="s">
        <v>1810</v>
      </c>
      <c r="H561" s="89" t="s">
        <v>2015</v>
      </c>
      <c r="I561" s="96">
        <v>4000</v>
      </c>
      <c r="J561" s="96">
        <f t="shared" si="8"/>
        <v>2000</v>
      </c>
      <c r="K561" s="96">
        <f t="shared" si="9"/>
        <v>2000</v>
      </c>
      <c r="L561" s="96">
        <v>4000</v>
      </c>
      <c r="M561" s="96">
        <f t="shared" si="10"/>
        <v>2000</v>
      </c>
      <c r="N561" s="97">
        <f t="shared" si="11"/>
        <v>2000</v>
      </c>
    </row>
    <row r="562" spans="1:14" x14ac:dyDescent="0.35">
      <c r="A562" s="37" t="s">
        <v>1781</v>
      </c>
      <c r="B562" s="56" t="s">
        <v>1472</v>
      </c>
      <c r="C562" s="56" t="s">
        <v>2016</v>
      </c>
      <c r="D562" s="90">
        <v>103</v>
      </c>
      <c r="E562" s="89">
        <v>203</v>
      </c>
      <c r="F562" s="89">
        <v>303</v>
      </c>
      <c r="G562" s="89" t="s">
        <v>1813</v>
      </c>
      <c r="H562" s="89" t="s">
        <v>2017</v>
      </c>
      <c r="I562" s="96">
        <v>5000</v>
      </c>
      <c r="J562" s="96">
        <f t="shared" si="8"/>
        <v>2500</v>
      </c>
      <c r="K562" s="96">
        <f t="shared" si="9"/>
        <v>2500</v>
      </c>
      <c r="L562" s="96">
        <v>5000</v>
      </c>
      <c r="M562" s="96">
        <f t="shared" si="10"/>
        <v>2500</v>
      </c>
      <c r="N562" s="97">
        <f t="shared" si="11"/>
        <v>2500</v>
      </c>
    </row>
    <row r="563" spans="1:14" x14ac:dyDescent="0.35">
      <c r="A563" s="37" t="s">
        <v>1781</v>
      </c>
      <c r="B563" s="56" t="s">
        <v>1472</v>
      </c>
      <c r="C563" s="56" t="s">
        <v>2018</v>
      </c>
      <c r="D563" s="90">
        <v>104</v>
      </c>
      <c r="E563" s="89">
        <v>204</v>
      </c>
      <c r="F563" s="89">
        <v>304</v>
      </c>
      <c r="G563" s="89" t="s">
        <v>1816</v>
      </c>
      <c r="H563" s="89" t="s">
        <v>2019</v>
      </c>
      <c r="I563" s="96">
        <v>6000</v>
      </c>
      <c r="J563" s="96">
        <f t="shared" si="8"/>
        <v>3000</v>
      </c>
      <c r="K563" s="96">
        <f t="shared" si="9"/>
        <v>3000</v>
      </c>
      <c r="L563" s="96">
        <v>6000</v>
      </c>
      <c r="M563" s="96">
        <f t="shared" si="10"/>
        <v>3000</v>
      </c>
      <c r="N563" s="97">
        <f t="shared" si="11"/>
        <v>3000</v>
      </c>
    </row>
    <row r="564" spans="1:14" x14ac:dyDescent="0.35">
      <c r="A564" s="37" t="s">
        <v>1781</v>
      </c>
      <c r="B564" s="56" t="s">
        <v>1472</v>
      </c>
      <c r="C564" s="56" t="s">
        <v>2020</v>
      </c>
      <c r="D564" s="90">
        <v>105</v>
      </c>
      <c r="E564" s="89">
        <v>205</v>
      </c>
      <c r="F564" s="89">
        <v>305</v>
      </c>
      <c r="G564" s="89" t="s">
        <v>1819</v>
      </c>
      <c r="H564" s="89" t="s">
        <v>2021</v>
      </c>
      <c r="I564" s="96">
        <v>7000</v>
      </c>
      <c r="J564" s="96">
        <f t="shared" si="8"/>
        <v>3500</v>
      </c>
      <c r="K564" s="96">
        <f t="shared" si="9"/>
        <v>3500</v>
      </c>
      <c r="L564" s="96">
        <v>7000</v>
      </c>
      <c r="M564" s="96">
        <f t="shared" si="10"/>
        <v>3500</v>
      </c>
      <c r="N564" s="97">
        <f t="shared" si="11"/>
        <v>3500</v>
      </c>
    </row>
    <row r="565" spans="1:14" x14ac:dyDescent="0.35">
      <c r="A565" s="37" t="s">
        <v>1781</v>
      </c>
      <c r="B565" s="56" t="s">
        <v>1472</v>
      </c>
      <c r="C565" s="56" t="s">
        <v>2022</v>
      </c>
      <c r="D565" s="90">
        <v>106</v>
      </c>
      <c r="E565" s="89">
        <v>206</v>
      </c>
      <c r="F565" s="89">
        <v>306</v>
      </c>
      <c r="G565" s="89" t="s">
        <v>1834</v>
      </c>
      <c r="H565" s="89" t="s">
        <v>2023</v>
      </c>
      <c r="I565" s="96">
        <v>8000</v>
      </c>
      <c r="J565" s="96">
        <f t="shared" si="8"/>
        <v>4000</v>
      </c>
      <c r="K565" s="96">
        <f t="shared" si="9"/>
        <v>4000</v>
      </c>
      <c r="L565" s="96">
        <v>8000</v>
      </c>
      <c r="M565" s="96">
        <f t="shared" si="10"/>
        <v>4000</v>
      </c>
      <c r="N565" s="97">
        <f t="shared" si="11"/>
        <v>4000</v>
      </c>
    </row>
    <row r="566" spans="1:14" x14ac:dyDescent="0.35">
      <c r="A566" s="37" t="s">
        <v>1781</v>
      </c>
      <c r="B566" s="56" t="s">
        <v>1472</v>
      </c>
      <c r="C566" s="56" t="s">
        <v>2024</v>
      </c>
      <c r="D566" s="90">
        <v>107</v>
      </c>
      <c r="E566" s="89">
        <v>207</v>
      </c>
      <c r="F566" s="89">
        <v>307</v>
      </c>
      <c r="G566" s="89" t="s">
        <v>1795</v>
      </c>
      <c r="H566" s="89" t="s">
        <v>2025</v>
      </c>
      <c r="I566" s="96">
        <v>9000</v>
      </c>
      <c r="J566" s="96">
        <f t="shared" si="8"/>
        <v>4500</v>
      </c>
      <c r="K566" s="96">
        <f t="shared" si="9"/>
        <v>4500</v>
      </c>
      <c r="L566" s="96">
        <v>9000</v>
      </c>
      <c r="M566" s="96">
        <f t="shared" si="10"/>
        <v>4500</v>
      </c>
      <c r="N566" s="97">
        <f t="shared" si="11"/>
        <v>4500</v>
      </c>
    </row>
    <row r="567" spans="1:14" x14ac:dyDescent="0.35">
      <c r="A567" s="37" t="s">
        <v>1781</v>
      </c>
      <c r="B567" s="56" t="s">
        <v>1472</v>
      </c>
      <c r="C567" s="56" t="s">
        <v>2026</v>
      </c>
      <c r="D567" s="90">
        <v>108</v>
      </c>
      <c r="E567" s="89">
        <v>208</v>
      </c>
      <c r="F567" s="89">
        <v>308</v>
      </c>
      <c r="G567" s="89" t="s">
        <v>1798</v>
      </c>
      <c r="H567" s="89" t="s">
        <v>2027</v>
      </c>
      <c r="I567" s="96">
        <v>10000</v>
      </c>
      <c r="J567" s="96">
        <f t="shared" si="8"/>
        <v>5000</v>
      </c>
      <c r="K567" s="96">
        <f t="shared" si="9"/>
        <v>5000</v>
      </c>
      <c r="L567" s="96">
        <v>10000</v>
      </c>
      <c r="M567" s="96">
        <f t="shared" si="10"/>
        <v>5000</v>
      </c>
      <c r="N567" s="97">
        <f t="shared" si="11"/>
        <v>5000</v>
      </c>
    </row>
    <row r="568" spans="1:14" x14ac:dyDescent="0.35">
      <c r="A568" s="37" t="s">
        <v>1781</v>
      </c>
      <c r="B568" s="56" t="s">
        <v>1472</v>
      </c>
      <c r="C568" s="56" t="s">
        <v>2028</v>
      </c>
      <c r="D568" s="90">
        <v>109</v>
      </c>
      <c r="E568" s="89">
        <v>209</v>
      </c>
      <c r="F568" s="89">
        <v>309</v>
      </c>
      <c r="G568" s="89" t="s">
        <v>1801</v>
      </c>
      <c r="H568" s="89" t="s">
        <v>2029</v>
      </c>
      <c r="I568" s="96">
        <v>11000</v>
      </c>
      <c r="J568" s="96">
        <f t="shared" si="8"/>
        <v>5500</v>
      </c>
      <c r="K568" s="96">
        <f t="shared" si="9"/>
        <v>5500</v>
      </c>
      <c r="L568" s="96">
        <v>11000</v>
      </c>
      <c r="M568" s="96">
        <f t="shared" si="10"/>
        <v>5500</v>
      </c>
      <c r="N568" s="97">
        <f t="shared" si="11"/>
        <v>5500</v>
      </c>
    </row>
    <row r="569" spans="1:14" x14ac:dyDescent="0.35">
      <c r="A569" s="37" t="s">
        <v>1781</v>
      </c>
      <c r="B569" s="56" t="s">
        <v>1472</v>
      </c>
      <c r="C569" s="56" t="s">
        <v>2030</v>
      </c>
      <c r="D569" s="90">
        <v>110</v>
      </c>
      <c r="E569" s="89">
        <v>210</v>
      </c>
      <c r="F569" s="89">
        <v>310</v>
      </c>
      <c r="G569" s="89" t="s">
        <v>1804</v>
      </c>
      <c r="H569" s="89" t="s">
        <v>2031</v>
      </c>
      <c r="I569" s="96">
        <v>12000</v>
      </c>
      <c r="J569" s="96">
        <f t="shared" si="8"/>
        <v>6000</v>
      </c>
      <c r="K569" s="96">
        <f t="shared" si="9"/>
        <v>6000</v>
      </c>
      <c r="L569" s="96">
        <v>12000</v>
      </c>
      <c r="M569" s="96">
        <f t="shared" si="10"/>
        <v>6000</v>
      </c>
      <c r="N569" s="97">
        <f t="shared" si="11"/>
        <v>6000</v>
      </c>
    </row>
    <row r="570" spans="1:14" x14ac:dyDescent="0.35">
      <c r="A570" s="37" t="s">
        <v>1781</v>
      </c>
      <c r="B570" s="56" t="s">
        <v>1472</v>
      </c>
      <c r="C570" s="56" t="s">
        <v>2032</v>
      </c>
      <c r="D570" s="90">
        <v>111</v>
      </c>
      <c r="E570" s="89">
        <v>211</v>
      </c>
      <c r="F570" s="89">
        <v>311</v>
      </c>
      <c r="G570" s="89" t="s">
        <v>1807</v>
      </c>
      <c r="H570" s="89" t="s">
        <v>2033</v>
      </c>
      <c r="I570" s="96">
        <v>13000</v>
      </c>
      <c r="J570" s="96">
        <f t="shared" si="8"/>
        <v>6500</v>
      </c>
      <c r="K570" s="96">
        <f t="shared" si="9"/>
        <v>6500</v>
      </c>
      <c r="L570" s="96">
        <v>13000</v>
      </c>
      <c r="M570" s="96">
        <f t="shared" si="10"/>
        <v>6500</v>
      </c>
      <c r="N570" s="97">
        <f t="shared" si="11"/>
        <v>6500</v>
      </c>
    </row>
    <row r="571" spans="1:14" x14ac:dyDescent="0.35">
      <c r="A571" s="37" t="s">
        <v>1781</v>
      </c>
      <c r="B571" s="56" t="s">
        <v>1472</v>
      </c>
      <c r="C571" s="56" t="s">
        <v>2034</v>
      </c>
      <c r="D571" s="90">
        <v>112</v>
      </c>
      <c r="E571" s="89">
        <v>212</v>
      </c>
      <c r="F571" s="89">
        <v>312</v>
      </c>
      <c r="G571" s="89" t="s">
        <v>1810</v>
      </c>
      <c r="H571" s="89" t="s">
        <v>2035</v>
      </c>
      <c r="I571" s="96">
        <v>14000</v>
      </c>
      <c r="J571" s="96">
        <f t="shared" si="8"/>
        <v>7000</v>
      </c>
      <c r="K571" s="96">
        <f t="shared" si="9"/>
        <v>7000</v>
      </c>
      <c r="L571" s="96">
        <v>14000</v>
      </c>
      <c r="M571" s="96">
        <f t="shared" si="10"/>
        <v>7000</v>
      </c>
      <c r="N571" s="97">
        <f t="shared" si="11"/>
        <v>7000</v>
      </c>
    </row>
    <row r="572" spans="1:14" x14ac:dyDescent="0.35">
      <c r="A572" s="37" t="s">
        <v>1781</v>
      </c>
      <c r="B572" s="56" t="s">
        <v>1472</v>
      </c>
      <c r="C572" s="56" t="s">
        <v>2036</v>
      </c>
      <c r="D572" s="90">
        <v>113</v>
      </c>
      <c r="E572" s="89">
        <v>213</v>
      </c>
      <c r="F572" s="89">
        <v>313</v>
      </c>
      <c r="G572" s="89" t="s">
        <v>1813</v>
      </c>
      <c r="H572" s="89" t="s">
        <v>2037</v>
      </c>
      <c r="I572" s="96">
        <v>15000</v>
      </c>
      <c r="J572" s="96">
        <f t="shared" si="8"/>
        <v>7500</v>
      </c>
      <c r="K572" s="96">
        <f t="shared" si="9"/>
        <v>7500</v>
      </c>
      <c r="L572" s="96">
        <v>15000</v>
      </c>
      <c r="M572" s="96">
        <f t="shared" si="10"/>
        <v>7500</v>
      </c>
      <c r="N572" s="97">
        <f t="shared" si="11"/>
        <v>7500</v>
      </c>
    </row>
    <row r="573" spans="1:14" x14ac:dyDescent="0.35">
      <c r="A573" s="37" t="s">
        <v>1781</v>
      </c>
      <c r="B573" s="56" t="s">
        <v>1472</v>
      </c>
      <c r="C573" s="56" t="s">
        <v>2038</v>
      </c>
      <c r="D573" s="90">
        <v>114</v>
      </c>
      <c r="E573" s="89">
        <v>214</v>
      </c>
      <c r="F573" s="89">
        <v>314</v>
      </c>
      <c r="G573" s="89" t="s">
        <v>1816</v>
      </c>
      <c r="H573" s="89" t="s">
        <v>2039</v>
      </c>
      <c r="I573" s="96">
        <v>16000</v>
      </c>
      <c r="J573" s="96">
        <f t="shared" si="8"/>
        <v>8000</v>
      </c>
      <c r="K573" s="96">
        <f t="shared" si="9"/>
        <v>8000</v>
      </c>
      <c r="L573" s="96">
        <v>16000</v>
      </c>
      <c r="M573" s="96">
        <f t="shared" si="10"/>
        <v>8000</v>
      </c>
      <c r="N573" s="97">
        <f t="shared" si="11"/>
        <v>8000</v>
      </c>
    </row>
    <row r="574" spans="1:14" x14ac:dyDescent="0.35">
      <c r="A574" s="37" t="s">
        <v>1781</v>
      </c>
      <c r="B574" s="56" t="s">
        <v>1472</v>
      </c>
      <c r="C574" s="56" t="s">
        <v>2040</v>
      </c>
      <c r="D574" s="90">
        <v>115</v>
      </c>
      <c r="E574" s="89">
        <v>215</v>
      </c>
      <c r="F574" s="89">
        <v>315</v>
      </c>
      <c r="G574" s="89" t="s">
        <v>1819</v>
      </c>
      <c r="H574" s="89" t="s">
        <v>2041</v>
      </c>
      <c r="I574" s="96">
        <v>17000</v>
      </c>
      <c r="J574" s="96">
        <f t="shared" si="8"/>
        <v>8500</v>
      </c>
      <c r="K574" s="96">
        <f t="shared" si="9"/>
        <v>8500</v>
      </c>
      <c r="L574" s="96">
        <v>17000</v>
      </c>
      <c r="M574" s="96">
        <f t="shared" si="10"/>
        <v>8500</v>
      </c>
      <c r="N574" s="97">
        <f t="shared" si="11"/>
        <v>8500</v>
      </c>
    </row>
    <row r="575" spans="1:14" x14ac:dyDescent="0.35">
      <c r="A575" s="37" t="s">
        <v>1781</v>
      </c>
      <c r="B575" s="56" t="s">
        <v>1472</v>
      </c>
      <c r="C575" s="56" t="s">
        <v>2042</v>
      </c>
      <c r="D575" s="90">
        <v>116</v>
      </c>
      <c r="E575" s="89">
        <v>216</v>
      </c>
      <c r="F575" s="89">
        <v>316</v>
      </c>
      <c r="G575" s="89" t="s">
        <v>1822</v>
      </c>
      <c r="H575" s="89" t="s">
        <v>2043</v>
      </c>
      <c r="I575" s="96">
        <v>18000</v>
      </c>
      <c r="J575" s="96">
        <f t="shared" si="8"/>
        <v>9000</v>
      </c>
      <c r="K575" s="96">
        <f t="shared" si="9"/>
        <v>9000</v>
      </c>
      <c r="L575" s="96">
        <v>18000</v>
      </c>
      <c r="M575" s="96">
        <f t="shared" si="10"/>
        <v>9000</v>
      </c>
      <c r="N575" s="97">
        <f t="shared" si="11"/>
        <v>9000</v>
      </c>
    </row>
    <row r="576" spans="1:14" x14ac:dyDescent="0.35">
      <c r="A576" s="37" t="s">
        <v>1781</v>
      </c>
      <c r="B576" s="56" t="s">
        <v>1472</v>
      </c>
      <c r="C576" s="56" t="s">
        <v>2044</v>
      </c>
      <c r="D576" s="90">
        <v>117</v>
      </c>
      <c r="E576" s="89">
        <v>217</v>
      </c>
      <c r="F576" s="89">
        <v>317</v>
      </c>
      <c r="G576" s="89" t="s">
        <v>1795</v>
      </c>
      <c r="H576" s="89" t="s">
        <v>2045</v>
      </c>
      <c r="I576" s="96">
        <v>19000</v>
      </c>
      <c r="J576" s="96">
        <f t="shared" si="8"/>
        <v>9500</v>
      </c>
      <c r="K576" s="96">
        <f t="shared" si="9"/>
        <v>9500</v>
      </c>
      <c r="L576" s="96">
        <v>19000</v>
      </c>
      <c r="M576" s="96">
        <f t="shared" si="10"/>
        <v>9500</v>
      </c>
      <c r="N576" s="97">
        <f t="shared" si="11"/>
        <v>9500</v>
      </c>
    </row>
    <row r="577" spans="1:14" x14ac:dyDescent="0.35">
      <c r="A577" s="37" t="s">
        <v>1781</v>
      </c>
      <c r="B577" s="56" t="s">
        <v>1472</v>
      </c>
      <c r="C577" s="56" t="s">
        <v>2046</v>
      </c>
      <c r="D577" s="90">
        <v>118</v>
      </c>
      <c r="E577" s="89">
        <v>218</v>
      </c>
      <c r="F577" s="89">
        <v>318</v>
      </c>
      <c r="G577" s="89" t="s">
        <v>1798</v>
      </c>
      <c r="H577" s="89" t="s">
        <v>2047</v>
      </c>
      <c r="I577" s="96">
        <v>20000</v>
      </c>
      <c r="J577" s="96">
        <f t="shared" si="8"/>
        <v>10000</v>
      </c>
      <c r="K577" s="96">
        <f t="shared" si="9"/>
        <v>10000</v>
      </c>
      <c r="L577" s="96">
        <v>20000</v>
      </c>
      <c r="M577" s="96">
        <f t="shared" si="10"/>
        <v>10000</v>
      </c>
      <c r="N577" s="97">
        <f t="shared" si="11"/>
        <v>10000</v>
      </c>
    </row>
    <row r="578" spans="1:14" x14ac:dyDescent="0.35">
      <c r="A578" s="37" t="s">
        <v>1781</v>
      </c>
      <c r="B578" s="56" t="s">
        <v>2048</v>
      </c>
      <c r="C578" s="56" t="s">
        <v>2048</v>
      </c>
      <c r="D578" s="89">
        <v>119</v>
      </c>
      <c r="E578" s="89">
        <v>219</v>
      </c>
      <c r="F578" s="89">
        <v>319</v>
      </c>
      <c r="G578" s="89" t="s">
        <v>1801</v>
      </c>
      <c r="H578" s="89" t="s">
        <v>2049</v>
      </c>
      <c r="I578" s="96">
        <v>21000</v>
      </c>
      <c r="J578" s="96">
        <f t="shared" si="8"/>
        <v>10500</v>
      </c>
      <c r="K578" s="96">
        <f t="shared" si="9"/>
        <v>10500</v>
      </c>
      <c r="L578" s="96">
        <v>21000</v>
      </c>
      <c r="M578" s="96">
        <f t="shared" si="10"/>
        <v>10500</v>
      </c>
      <c r="N578" s="97">
        <f t="shared" si="11"/>
        <v>10500</v>
      </c>
    </row>
    <row r="579" spans="1:14" x14ac:dyDescent="0.35">
      <c r="A579" s="37" t="s">
        <v>1781</v>
      </c>
      <c r="B579" s="98" t="s">
        <v>2050</v>
      </c>
      <c r="C579" s="98" t="s">
        <v>2050</v>
      </c>
      <c r="D579" s="91">
        <v>120</v>
      </c>
      <c r="E579" s="91">
        <v>220</v>
      </c>
      <c r="F579" s="91">
        <v>320</v>
      </c>
      <c r="G579" s="91" t="s">
        <v>1804</v>
      </c>
      <c r="H579" s="91" t="s">
        <v>2051</v>
      </c>
      <c r="I579" s="96">
        <v>22000</v>
      </c>
      <c r="J579" s="96">
        <f>I579/2</f>
        <v>11000</v>
      </c>
      <c r="K579" s="96">
        <f t="shared" si="9"/>
        <v>11000</v>
      </c>
      <c r="L579" s="96">
        <v>22000</v>
      </c>
      <c r="M579" s="96">
        <f t="shared" si="10"/>
        <v>11000</v>
      </c>
      <c r="N579" s="97">
        <f t="shared" si="11"/>
        <v>11000</v>
      </c>
    </row>
    <row r="580" spans="1:14" x14ac:dyDescent="0.35">
      <c r="A580" s="37" t="s">
        <v>1781</v>
      </c>
      <c r="B580" s="56" t="s">
        <v>1475</v>
      </c>
      <c r="C580" s="56" t="s">
        <v>2052</v>
      </c>
      <c r="D580" s="90">
        <v>121</v>
      </c>
      <c r="E580" s="89">
        <v>221</v>
      </c>
      <c r="F580" s="89">
        <v>321</v>
      </c>
      <c r="G580" s="89" t="s">
        <v>1807</v>
      </c>
      <c r="H580" s="89" t="s">
        <v>2053</v>
      </c>
      <c r="I580" s="96">
        <v>-626000</v>
      </c>
      <c r="J580" s="96">
        <f t="shared" ref="J580:J602" si="12">I580/2</f>
        <v>-313000</v>
      </c>
      <c r="K580" s="96">
        <f t="shared" si="9"/>
        <v>-313000</v>
      </c>
      <c r="L580" s="96">
        <v>-626000</v>
      </c>
      <c r="M580" s="96">
        <f t="shared" si="10"/>
        <v>-313000</v>
      </c>
      <c r="N580" s="97">
        <f t="shared" si="11"/>
        <v>-313000</v>
      </c>
    </row>
    <row r="581" spans="1:14" x14ac:dyDescent="0.35">
      <c r="A581" s="37" t="s">
        <v>1781</v>
      </c>
      <c r="B581" s="56" t="s">
        <v>1475</v>
      </c>
      <c r="C581" s="56" t="s">
        <v>2054</v>
      </c>
      <c r="D581" s="90">
        <v>122</v>
      </c>
      <c r="E581" s="89">
        <v>222</v>
      </c>
      <c r="F581" s="89">
        <v>322</v>
      </c>
      <c r="G581" s="89" t="s">
        <v>1810</v>
      </c>
      <c r="H581" s="89" t="s">
        <v>2055</v>
      </c>
      <c r="I581" s="96">
        <v>24000</v>
      </c>
      <c r="J581" s="96">
        <f t="shared" si="12"/>
        <v>12000</v>
      </c>
      <c r="K581" s="96">
        <f t="shared" si="9"/>
        <v>12000</v>
      </c>
      <c r="L581" s="96">
        <v>24000</v>
      </c>
      <c r="M581" s="96">
        <f t="shared" si="10"/>
        <v>12000</v>
      </c>
      <c r="N581" s="97">
        <f t="shared" si="11"/>
        <v>12000</v>
      </c>
    </row>
    <row r="582" spans="1:14" x14ac:dyDescent="0.35">
      <c r="A582" s="37" t="s">
        <v>1781</v>
      </c>
      <c r="B582" s="56" t="s">
        <v>1475</v>
      </c>
      <c r="C582" s="56" t="s">
        <v>2056</v>
      </c>
      <c r="D582" s="90">
        <v>123</v>
      </c>
      <c r="E582" s="89">
        <v>223</v>
      </c>
      <c r="F582" s="89">
        <v>323</v>
      </c>
      <c r="G582" s="89" t="s">
        <v>1813</v>
      </c>
      <c r="H582" s="89" t="s">
        <v>2057</v>
      </c>
      <c r="I582" s="96">
        <v>25000</v>
      </c>
      <c r="J582" s="96">
        <f t="shared" si="12"/>
        <v>12500</v>
      </c>
      <c r="K582" s="96">
        <f t="shared" si="9"/>
        <v>12500</v>
      </c>
      <c r="L582" s="96">
        <v>25000</v>
      </c>
      <c r="M582" s="96">
        <f t="shared" si="10"/>
        <v>12500</v>
      </c>
      <c r="N582" s="97">
        <f t="shared" si="11"/>
        <v>12500</v>
      </c>
    </row>
    <row r="583" spans="1:14" x14ac:dyDescent="0.35">
      <c r="A583" s="37" t="s">
        <v>1781</v>
      </c>
      <c r="B583" s="56" t="s">
        <v>1475</v>
      </c>
      <c r="C583" s="56" t="s">
        <v>2058</v>
      </c>
      <c r="D583" s="90">
        <v>124</v>
      </c>
      <c r="E583" s="89">
        <v>224</v>
      </c>
      <c r="F583" s="89">
        <v>324</v>
      </c>
      <c r="G583" s="89" t="s">
        <v>1816</v>
      </c>
      <c r="H583" s="89" t="s">
        <v>2059</v>
      </c>
      <c r="I583" s="96">
        <v>26000</v>
      </c>
      <c r="J583" s="96">
        <f t="shared" si="12"/>
        <v>13000</v>
      </c>
      <c r="K583" s="96">
        <f t="shared" si="9"/>
        <v>13000</v>
      </c>
      <c r="L583" s="96">
        <v>26000</v>
      </c>
      <c r="M583" s="96">
        <f t="shared" si="10"/>
        <v>13000</v>
      </c>
      <c r="N583" s="97">
        <f t="shared" si="11"/>
        <v>13000</v>
      </c>
    </row>
    <row r="584" spans="1:14" x14ac:dyDescent="0.35">
      <c r="A584" s="37" t="s">
        <v>1781</v>
      </c>
      <c r="B584" s="56" t="s">
        <v>1475</v>
      </c>
      <c r="C584" s="56" t="s">
        <v>2060</v>
      </c>
      <c r="D584" s="90">
        <v>125</v>
      </c>
      <c r="E584" s="89">
        <v>225</v>
      </c>
      <c r="F584" s="89">
        <v>325</v>
      </c>
      <c r="G584" s="89" t="s">
        <v>1819</v>
      </c>
      <c r="H584" s="89" t="s">
        <v>2061</v>
      </c>
      <c r="I584" s="96">
        <v>27000</v>
      </c>
      <c r="J584" s="96">
        <f t="shared" si="12"/>
        <v>13500</v>
      </c>
      <c r="K584" s="96">
        <f t="shared" si="9"/>
        <v>13500</v>
      </c>
      <c r="L584" s="96">
        <v>27000</v>
      </c>
      <c r="M584" s="96">
        <f t="shared" si="10"/>
        <v>13500</v>
      </c>
      <c r="N584" s="97">
        <f t="shared" si="11"/>
        <v>13500</v>
      </c>
    </row>
    <row r="585" spans="1:14" x14ac:dyDescent="0.35">
      <c r="A585" s="37" t="s">
        <v>1781</v>
      </c>
      <c r="B585" s="56" t="s">
        <v>1475</v>
      </c>
      <c r="C585" s="56" t="s">
        <v>2062</v>
      </c>
      <c r="D585" s="90">
        <v>126</v>
      </c>
      <c r="E585" s="89">
        <v>226</v>
      </c>
      <c r="F585" s="89">
        <v>326</v>
      </c>
      <c r="G585" s="89" t="s">
        <v>1834</v>
      </c>
      <c r="H585" s="89" t="s">
        <v>2063</v>
      </c>
      <c r="I585" s="96">
        <v>28000</v>
      </c>
      <c r="J585" s="96">
        <f t="shared" si="12"/>
        <v>14000</v>
      </c>
      <c r="K585" s="96">
        <f t="shared" si="9"/>
        <v>14000</v>
      </c>
      <c r="L585" s="96">
        <v>28000</v>
      </c>
      <c r="M585" s="96">
        <f t="shared" si="10"/>
        <v>14000</v>
      </c>
      <c r="N585" s="97">
        <f t="shared" si="11"/>
        <v>14000</v>
      </c>
    </row>
    <row r="586" spans="1:14" x14ac:dyDescent="0.35">
      <c r="A586" s="37" t="s">
        <v>1781</v>
      </c>
      <c r="B586" s="56" t="s">
        <v>1475</v>
      </c>
      <c r="C586" s="56" t="s">
        <v>2064</v>
      </c>
      <c r="D586" s="90">
        <v>127</v>
      </c>
      <c r="E586" s="89">
        <v>227</v>
      </c>
      <c r="F586" s="89">
        <v>327</v>
      </c>
      <c r="G586" s="89" t="s">
        <v>1795</v>
      </c>
      <c r="H586" s="89" t="s">
        <v>2065</v>
      </c>
      <c r="I586" s="96">
        <v>29000</v>
      </c>
      <c r="J586" s="96">
        <f t="shared" si="12"/>
        <v>14500</v>
      </c>
      <c r="K586" s="96">
        <f t="shared" si="9"/>
        <v>14500</v>
      </c>
      <c r="L586" s="96">
        <v>29000</v>
      </c>
      <c r="M586" s="96">
        <f t="shared" si="10"/>
        <v>14500</v>
      </c>
      <c r="N586" s="97">
        <f t="shared" si="11"/>
        <v>14500</v>
      </c>
    </row>
    <row r="587" spans="1:14" x14ac:dyDescent="0.35">
      <c r="A587" s="37" t="s">
        <v>1781</v>
      </c>
      <c r="B587" s="56" t="s">
        <v>1475</v>
      </c>
      <c r="C587" s="56" t="s">
        <v>2066</v>
      </c>
      <c r="D587" s="90">
        <v>128</v>
      </c>
      <c r="E587" s="89">
        <v>228</v>
      </c>
      <c r="F587" s="89">
        <v>328</v>
      </c>
      <c r="G587" s="89" t="s">
        <v>1798</v>
      </c>
      <c r="H587" s="89" t="s">
        <v>2067</v>
      </c>
      <c r="I587" s="96">
        <v>30000</v>
      </c>
      <c r="J587" s="96">
        <f t="shared" si="12"/>
        <v>15000</v>
      </c>
      <c r="K587" s="96">
        <f t="shared" si="9"/>
        <v>15000</v>
      </c>
      <c r="L587" s="96">
        <v>30000</v>
      </c>
      <c r="M587" s="96">
        <f t="shared" si="10"/>
        <v>15000</v>
      </c>
      <c r="N587" s="97">
        <f t="shared" si="11"/>
        <v>15000</v>
      </c>
    </row>
    <row r="588" spans="1:14" x14ac:dyDescent="0.35">
      <c r="A588" s="37" t="s">
        <v>1781</v>
      </c>
      <c r="B588" s="56" t="s">
        <v>1475</v>
      </c>
      <c r="C588" s="56" t="s">
        <v>2068</v>
      </c>
      <c r="D588" s="90">
        <v>129</v>
      </c>
      <c r="E588" s="89">
        <v>229</v>
      </c>
      <c r="F588" s="89">
        <v>329</v>
      </c>
      <c r="G588" s="89" t="s">
        <v>1801</v>
      </c>
      <c r="H588" s="89" t="s">
        <v>2069</v>
      </c>
      <c r="I588" s="96">
        <v>31000</v>
      </c>
      <c r="J588" s="96">
        <f t="shared" si="12"/>
        <v>15500</v>
      </c>
      <c r="K588" s="96">
        <f t="shared" si="9"/>
        <v>15500</v>
      </c>
      <c r="L588" s="96">
        <v>31000</v>
      </c>
      <c r="M588" s="96">
        <f t="shared" si="10"/>
        <v>15500</v>
      </c>
      <c r="N588" s="97">
        <f t="shared" si="11"/>
        <v>15500</v>
      </c>
    </row>
    <row r="589" spans="1:14" x14ac:dyDescent="0.35">
      <c r="A589" s="37" t="s">
        <v>1781</v>
      </c>
      <c r="B589" s="56" t="s">
        <v>1475</v>
      </c>
      <c r="C589" s="56" t="s">
        <v>2070</v>
      </c>
      <c r="D589" s="90">
        <v>130</v>
      </c>
      <c r="E589" s="89">
        <v>230</v>
      </c>
      <c r="F589" s="89">
        <v>330</v>
      </c>
      <c r="G589" s="89" t="s">
        <v>1804</v>
      </c>
      <c r="H589" s="89" t="s">
        <v>2071</v>
      </c>
      <c r="I589" s="96">
        <v>32000</v>
      </c>
      <c r="J589" s="96">
        <f t="shared" si="12"/>
        <v>16000</v>
      </c>
      <c r="K589" s="96">
        <f t="shared" si="9"/>
        <v>16000</v>
      </c>
      <c r="L589" s="96">
        <v>32000</v>
      </c>
      <c r="M589" s="96">
        <f t="shared" si="10"/>
        <v>16000</v>
      </c>
      <c r="N589" s="97">
        <f t="shared" si="11"/>
        <v>16000</v>
      </c>
    </row>
    <row r="590" spans="1:14" x14ac:dyDescent="0.35">
      <c r="A590" s="37" t="s">
        <v>1781</v>
      </c>
      <c r="B590" s="56" t="s">
        <v>1475</v>
      </c>
      <c r="C590" s="56" t="s">
        <v>2072</v>
      </c>
      <c r="D590" s="90">
        <v>131</v>
      </c>
      <c r="E590" s="89">
        <v>231</v>
      </c>
      <c r="F590" s="89">
        <v>331</v>
      </c>
      <c r="G590" s="89" t="s">
        <v>1807</v>
      </c>
      <c r="H590" s="89" t="s">
        <v>2073</v>
      </c>
      <c r="I590" s="96">
        <v>33000</v>
      </c>
      <c r="J590" s="96">
        <f t="shared" si="12"/>
        <v>16500</v>
      </c>
      <c r="K590" s="96">
        <f t="shared" si="9"/>
        <v>16500</v>
      </c>
      <c r="L590" s="96">
        <v>33000</v>
      </c>
      <c r="M590" s="96">
        <f t="shared" si="10"/>
        <v>16500</v>
      </c>
      <c r="N590" s="97">
        <f t="shared" si="11"/>
        <v>16500</v>
      </c>
    </row>
    <row r="591" spans="1:14" x14ac:dyDescent="0.35">
      <c r="A591" s="37" t="s">
        <v>1781</v>
      </c>
      <c r="B591" s="56" t="s">
        <v>1475</v>
      </c>
      <c r="C591" s="56" t="s">
        <v>2074</v>
      </c>
      <c r="D591" s="90">
        <v>132</v>
      </c>
      <c r="E591" s="89">
        <v>232</v>
      </c>
      <c r="F591" s="89">
        <v>332</v>
      </c>
      <c r="G591" s="89" t="s">
        <v>1810</v>
      </c>
      <c r="H591" s="89" t="s">
        <v>2075</v>
      </c>
      <c r="I591" s="96">
        <v>34000</v>
      </c>
      <c r="J591" s="96">
        <f t="shared" si="12"/>
        <v>17000</v>
      </c>
      <c r="K591" s="96">
        <f t="shared" si="9"/>
        <v>17000</v>
      </c>
      <c r="L591" s="96">
        <v>34000</v>
      </c>
      <c r="M591" s="96">
        <f t="shared" si="10"/>
        <v>17000</v>
      </c>
      <c r="N591" s="97">
        <f t="shared" si="11"/>
        <v>17000</v>
      </c>
    </row>
    <row r="592" spans="1:14" x14ac:dyDescent="0.35">
      <c r="A592" s="37" t="s">
        <v>1781</v>
      </c>
      <c r="B592" s="56" t="s">
        <v>1475</v>
      </c>
      <c r="C592" s="56" t="s">
        <v>2076</v>
      </c>
      <c r="D592" s="90">
        <v>133</v>
      </c>
      <c r="E592" s="89">
        <v>233</v>
      </c>
      <c r="F592" s="89">
        <v>333</v>
      </c>
      <c r="G592" s="89" t="s">
        <v>1813</v>
      </c>
      <c r="H592" s="89" t="s">
        <v>2077</v>
      </c>
      <c r="I592" s="96">
        <v>35000</v>
      </c>
      <c r="J592" s="96">
        <f t="shared" si="12"/>
        <v>17500</v>
      </c>
      <c r="K592" s="96">
        <f t="shared" si="9"/>
        <v>17500</v>
      </c>
      <c r="L592" s="96">
        <v>35000</v>
      </c>
      <c r="M592" s="96">
        <f t="shared" si="10"/>
        <v>17500</v>
      </c>
      <c r="N592" s="97">
        <f t="shared" si="11"/>
        <v>17500</v>
      </c>
    </row>
    <row r="593" spans="1:14" x14ac:dyDescent="0.35">
      <c r="A593" s="37" t="s">
        <v>1781</v>
      </c>
      <c r="B593" s="56" t="s">
        <v>1475</v>
      </c>
      <c r="C593" s="56" t="s">
        <v>2078</v>
      </c>
      <c r="D593" s="90">
        <v>134</v>
      </c>
      <c r="E593" s="89">
        <v>234</v>
      </c>
      <c r="F593" s="89">
        <v>334</v>
      </c>
      <c r="G593" s="89" t="s">
        <v>1816</v>
      </c>
      <c r="H593" s="89" t="s">
        <v>2079</v>
      </c>
      <c r="I593" s="96">
        <v>36000</v>
      </c>
      <c r="J593" s="96">
        <f t="shared" si="12"/>
        <v>18000</v>
      </c>
      <c r="K593" s="96">
        <f t="shared" si="9"/>
        <v>18000</v>
      </c>
      <c r="L593" s="96">
        <v>36000</v>
      </c>
      <c r="M593" s="96">
        <f t="shared" si="10"/>
        <v>18000</v>
      </c>
      <c r="N593" s="97">
        <f t="shared" si="11"/>
        <v>18000</v>
      </c>
    </row>
    <row r="594" spans="1:14" x14ac:dyDescent="0.35">
      <c r="A594" s="37" t="s">
        <v>1781</v>
      </c>
      <c r="B594" s="56" t="s">
        <v>1475</v>
      </c>
      <c r="C594" s="56" t="s">
        <v>2080</v>
      </c>
      <c r="D594" s="90">
        <v>135</v>
      </c>
      <c r="E594" s="89">
        <v>235</v>
      </c>
      <c r="F594" s="89">
        <v>335</v>
      </c>
      <c r="G594" s="89" t="s">
        <v>1819</v>
      </c>
      <c r="H594" s="89" t="s">
        <v>2081</v>
      </c>
      <c r="I594" s="96">
        <v>37000</v>
      </c>
      <c r="J594" s="96">
        <f t="shared" si="12"/>
        <v>18500</v>
      </c>
      <c r="K594" s="96">
        <f t="shared" si="9"/>
        <v>18500</v>
      </c>
      <c r="L594" s="96">
        <v>37000</v>
      </c>
      <c r="M594" s="96">
        <f t="shared" si="10"/>
        <v>18500</v>
      </c>
      <c r="N594" s="97">
        <f t="shared" si="11"/>
        <v>18500</v>
      </c>
    </row>
    <row r="595" spans="1:14" x14ac:dyDescent="0.35">
      <c r="A595" s="37" t="s">
        <v>1781</v>
      </c>
      <c r="B595" s="56" t="s">
        <v>1475</v>
      </c>
      <c r="C595" s="56" t="s">
        <v>2082</v>
      </c>
      <c r="D595" s="90">
        <v>136</v>
      </c>
      <c r="E595" s="89">
        <v>236</v>
      </c>
      <c r="F595" s="89">
        <v>336</v>
      </c>
      <c r="G595" s="89" t="s">
        <v>1822</v>
      </c>
      <c r="H595" s="89" t="s">
        <v>2083</v>
      </c>
      <c r="I595" s="96">
        <v>38000</v>
      </c>
      <c r="J595" s="96">
        <f t="shared" si="12"/>
        <v>19000</v>
      </c>
      <c r="K595" s="96">
        <f t="shared" si="9"/>
        <v>19000</v>
      </c>
      <c r="L595" s="96">
        <v>38000</v>
      </c>
      <c r="M595" s="96">
        <f t="shared" si="10"/>
        <v>19000</v>
      </c>
      <c r="N595" s="97">
        <f t="shared" si="11"/>
        <v>19000</v>
      </c>
    </row>
    <row r="596" spans="1:14" x14ac:dyDescent="0.35">
      <c r="A596" s="37" t="s">
        <v>1781</v>
      </c>
      <c r="B596" s="56" t="s">
        <v>1475</v>
      </c>
      <c r="C596" s="56" t="s">
        <v>2084</v>
      </c>
      <c r="D596" s="90">
        <v>137</v>
      </c>
      <c r="E596" s="89">
        <v>237</v>
      </c>
      <c r="F596" s="89">
        <v>337</v>
      </c>
      <c r="G596" s="89" t="s">
        <v>1795</v>
      </c>
      <c r="H596" s="89" t="s">
        <v>2085</v>
      </c>
      <c r="I596" s="96">
        <v>39000</v>
      </c>
      <c r="J596" s="96">
        <f t="shared" si="12"/>
        <v>19500</v>
      </c>
      <c r="K596" s="96">
        <f t="shared" si="9"/>
        <v>19500</v>
      </c>
      <c r="L596" s="96">
        <v>39000</v>
      </c>
      <c r="M596" s="96">
        <f t="shared" si="10"/>
        <v>19500</v>
      </c>
      <c r="N596" s="97">
        <f t="shared" si="11"/>
        <v>19500</v>
      </c>
    </row>
    <row r="597" spans="1:14" x14ac:dyDescent="0.35">
      <c r="A597" s="37" t="s">
        <v>1781</v>
      </c>
      <c r="B597" s="56" t="s">
        <v>1475</v>
      </c>
      <c r="C597" s="56" t="s">
        <v>2086</v>
      </c>
      <c r="D597" s="90">
        <v>138</v>
      </c>
      <c r="E597" s="89">
        <v>238</v>
      </c>
      <c r="F597" s="89">
        <v>338</v>
      </c>
      <c r="G597" s="89" t="s">
        <v>1798</v>
      </c>
      <c r="H597" s="89" t="s">
        <v>2087</v>
      </c>
      <c r="I597" s="96">
        <v>40000</v>
      </c>
      <c r="J597" s="96">
        <f t="shared" si="12"/>
        <v>20000</v>
      </c>
      <c r="K597" s="96">
        <f t="shared" si="9"/>
        <v>20000</v>
      </c>
      <c r="L597" s="96">
        <v>40000</v>
      </c>
      <c r="M597" s="96">
        <f t="shared" si="10"/>
        <v>20000</v>
      </c>
      <c r="N597" s="97">
        <f t="shared" si="11"/>
        <v>20000</v>
      </c>
    </row>
    <row r="598" spans="1:14" x14ac:dyDescent="0.35">
      <c r="A598" s="37" t="s">
        <v>1781</v>
      </c>
      <c r="B598" s="56" t="s">
        <v>1475</v>
      </c>
      <c r="C598" s="56" t="s">
        <v>2088</v>
      </c>
      <c r="D598" s="90">
        <v>139</v>
      </c>
      <c r="E598" s="89">
        <v>239</v>
      </c>
      <c r="F598" s="89">
        <v>339</v>
      </c>
      <c r="G598" s="89" t="s">
        <v>1801</v>
      </c>
      <c r="H598" s="89" t="s">
        <v>2089</v>
      </c>
      <c r="I598" s="96">
        <v>41000</v>
      </c>
      <c r="J598" s="96">
        <f t="shared" si="12"/>
        <v>20500</v>
      </c>
      <c r="K598" s="96">
        <f t="shared" si="9"/>
        <v>20500</v>
      </c>
      <c r="L598" s="96">
        <v>41000</v>
      </c>
      <c r="M598" s="96">
        <f t="shared" si="10"/>
        <v>20500</v>
      </c>
      <c r="N598" s="97">
        <f t="shared" si="11"/>
        <v>20500</v>
      </c>
    </row>
    <row r="599" spans="1:14" x14ac:dyDescent="0.35">
      <c r="A599" s="37" t="s">
        <v>1781</v>
      </c>
      <c r="B599" s="56" t="s">
        <v>1475</v>
      </c>
      <c r="C599" s="56" t="s">
        <v>2090</v>
      </c>
      <c r="D599" s="90">
        <v>140</v>
      </c>
      <c r="E599" s="89">
        <v>240</v>
      </c>
      <c r="F599" s="89">
        <v>340</v>
      </c>
      <c r="G599" s="89" t="s">
        <v>1804</v>
      </c>
      <c r="H599" s="89" t="s">
        <v>2091</v>
      </c>
      <c r="I599" s="96">
        <v>42000</v>
      </c>
      <c r="J599" s="96">
        <f t="shared" si="12"/>
        <v>21000</v>
      </c>
      <c r="K599" s="96">
        <f t="shared" si="9"/>
        <v>21000</v>
      </c>
      <c r="L599" s="96">
        <v>42000</v>
      </c>
      <c r="M599" s="96">
        <f t="shared" si="10"/>
        <v>21000</v>
      </c>
      <c r="N599" s="97">
        <f t="shared" si="11"/>
        <v>21000</v>
      </c>
    </row>
    <row r="600" spans="1:14" x14ac:dyDescent="0.35">
      <c r="A600" s="37" t="s">
        <v>1781</v>
      </c>
      <c r="B600" s="56" t="s">
        <v>1475</v>
      </c>
      <c r="C600" s="56" t="s">
        <v>2092</v>
      </c>
      <c r="D600" s="89">
        <v>141</v>
      </c>
      <c r="E600" s="89">
        <v>241</v>
      </c>
      <c r="F600" s="89">
        <v>341</v>
      </c>
      <c r="G600" s="89" t="s">
        <v>1807</v>
      </c>
      <c r="H600" s="89" t="s">
        <v>2093</v>
      </c>
      <c r="I600" s="96">
        <v>43000</v>
      </c>
      <c r="J600" s="96">
        <f t="shared" si="12"/>
        <v>21500</v>
      </c>
      <c r="K600" s="96">
        <f t="shared" si="9"/>
        <v>21500</v>
      </c>
      <c r="L600" s="96">
        <v>43000</v>
      </c>
      <c r="M600" s="96">
        <f t="shared" si="10"/>
        <v>21500</v>
      </c>
      <c r="N600" s="97">
        <f t="shared" si="11"/>
        <v>21500</v>
      </c>
    </row>
    <row r="601" spans="1:14" x14ac:dyDescent="0.35">
      <c r="A601" s="37" t="s">
        <v>1781</v>
      </c>
      <c r="B601" s="98" t="s">
        <v>1475</v>
      </c>
      <c r="C601" s="98" t="s">
        <v>2094</v>
      </c>
      <c r="D601" s="91">
        <v>142</v>
      </c>
      <c r="E601" s="91">
        <v>242</v>
      </c>
      <c r="F601" s="91">
        <v>342</v>
      </c>
      <c r="G601" s="91" t="s">
        <v>1810</v>
      </c>
      <c r="H601" s="91" t="s">
        <v>2095</v>
      </c>
      <c r="I601" s="96">
        <v>44000</v>
      </c>
      <c r="J601" s="96">
        <f t="shared" si="12"/>
        <v>22000</v>
      </c>
      <c r="K601" s="96">
        <f t="shared" si="9"/>
        <v>22000</v>
      </c>
      <c r="L601" s="96">
        <v>44000</v>
      </c>
      <c r="M601" s="96">
        <f t="shared" si="10"/>
        <v>22000</v>
      </c>
      <c r="N601" s="97">
        <f t="shared" si="11"/>
        <v>22000</v>
      </c>
    </row>
    <row r="602" spans="1:14" x14ac:dyDescent="0.35">
      <c r="A602" s="45" t="s">
        <v>1781</v>
      </c>
      <c r="B602" s="56" t="s">
        <v>1816</v>
      </c>
      <c r="C602" s="56" t="s">
        <v>2096</v>
      </c>
      <c r="D602" s="90">
        <v>143</v>
      </c>
      <c r="E602" s="89">
        <v>243</v>
      </c>
      <c r="F602" s="89">
        <v>343</v>
      </c>
      <c r="G602" s="89" t="s">
        <v>1813</v>
      </c>
      <c r="H602" s="89" t="s">
        <v>2097</v>
      </c>
      <c r="I602" s="96">
        <v>21000</v>
      </c>
      <c r="J602" s="96">
        <f t="shared" si="12"/>
        <v>10500</v>
      </c>
      <c r="K602" s="96">
        <f t="shared" si="9"/>
        <v>10500</v>
      </c>
      <c r="L602" s="96">
        <v>21000</v>
      </c>
      <c r="M602" s="96">
        <f t="shared" si="10"/>
        <v>10500</v>
      </c>
      <c r="N602" s="97">
        <f t="shared" si="11"/>
        <v>10500</v>
      </c>
    </row>
    <row r="603" spans="1:14" x14ac:dyDescent="0.35">
      <c r="A603" s="45" t="s">
        <v>1781</v>
      </c>
      <c r="B603" s="56" t="s">
        <v>1816</v>
      </c>
      <c r="C603" s="56" t="s">
        <v>2203</v>
      </c>
      <c r="D603" s="90"/>
      <c r="E603" s="89"/>
      <c r="F603" s="89"/>
      <c r="G603" s="89"/>
      <c r="H603" s="89"/>
      <c r="I603" s="96">
        <v>21000</v>
      </c>
      <c r="J603" s="96">
        <f t="shared" ref="J603" si="13">I603/2</f>
        <v>10500</v>
      </c>
      <c r="K603" s="96">
        <f t="shared" ref="K603" si="14">J603</f>
        <v>10500</v>
      </c>
      <c r="L603" s="96">
        <v>21000</v>
      </c>
      <c r="M603" s="96">
        <f t="shared" ref="M603" si="15">L603/2</f>
        <v>10500</v>
      </c>
      <c r="N603" s="97">
        <f t="shared" ref="N603" si="16">M603</f>
        <v>10500</v>
      </c>
    </row>
    <row r="604" spans="1:14" x14ac:dyDescent="0.35">
      <c r="A604" s="45" t="s">
        <v>1781</v>
      </c>
      <c r="B604" s="56" t="s">
        <v>1509</v>
      </c>
      <c r="C604" s="56" t="s">
        <v>2098</v>
      </c>
      <c r="D604" s="90">
        <v>145</v>
      </c>
      <c r="E604" s="89">
        <v>245</v>
      </c>
      <c r="F604" s="89">
        <v>345</v>
      </c>
      <c r="G604" s="89" t="s">
        <v>1807</v>
      </c>
      <c r="H604" s="89" t="s">
        <v>2099</v>
      </c>
      <c r="I604" s="96">
        <f>-188000</f>
        <v>-188000</v>
      </c>
      <c r="J604" s="96">
        <f>I604/2</f>
        <v>-94000</v>
      </c>
      <c r="K604" s="96">
        <f>J604</f>
        <v>-94000</v>
      </c>
      <c r="L604" s="96">
        <f>-188000</f>
        <v>-188000</v>
      </c>
      <c r="M604" s="96">
        <f>L604/2</f>
        <v>-94000</v>
      </c>
      <c r="N604" s="97">
        <f>M604</f>
        <v>-94000</v>
      </c>
    </row>
    <row r="605" spans="1:14" x14ac:dyDescent="0.35">
      <c r="A605" s="45" t="s">
        <v>1781</v>
      </c>
      <c r="B605" s="56" t="s">
        <v>1509</v>
      </c>
      <c r="C605" s="56" t="s">
        <v>2100</v>
      </c>
      <c r="D605" s="90">
        <v>146</v>
      </c>
      <c r="E605" s="89">
        <v>246</v>
      </c>
      <c r="F605" s="89">
        <v>346</v>
      </c>
      <c r="G605" s="89" t="s">
        <v>1810</v>
      </c>
      <c r="H605" s="89" t="s">
        <v>2101</v>
      </c>
      <c r="I605" s="96">
        <v>2000</v>
      </c>
      <c r="J605" s="96">
        <f t="shared" ref="J605:J624" si="17">I605/2</f>
        <v>1000</v>
      </c>
      <c r="K605" s="96">
        <f t="shared" ref="K605:K624" si="18">J605</f>
        <v>1000</v>
      </c>
      <c r="L605" s="96">
        <v>2000</v>
      </c>
      <c r="M605" s="96">
        <f t="shared" ref="M605:M624" si="19">L605/2</f>
        <v>1000</v>
      </c>
      <c r="N605" s="97">
        <f t="shared" ref="N605:N624" si="20">M605</f>
        <v>1000</v>
      </c>
    </row>
    <row r="606" spans="1:14" x14ac:dyDescent="0.35">
      <c r="A606" s="45" t="s">
        <v>1781</v>
      </c>
      <c r="B606" s="56" t="s">
        <v>1509</v>
      </c>
      <c r="C606" s="56" t="s">
        <v>2102</v>
      </c>
      <c r="D606" s="90">
        <v>147</v>
      </c>
      <c r="E606" s="89">
        <v>247</v>
      </c>
      <c r="F606" s="89">
        <v>347</v>
      </c>
      <c r="G606" s="89" t="s">
        <v>1813</v>
      </c>
      <c r="H606" s="89" t="s">
        <v>2103</v>
      </c>
      <c r="I606" s="96">
        <v>3000</v>
      </c>
      <c r="J606" s="96">
        <f t="shared" si="17"/>
        <v>1500</v>
      </c>
      <c r="K606" s="96">
        <f t="shared" si="18"/>
        <v>1500</v>
      </c>
      <c r="L606" s="96">
        <v>3000</v>
      </c>
      <c r="M606" s="96">
        <f t="shared" si="19"/>
        <v>1500</v>
      </c>
      <c r="N606" s="97">
        <f t="shared" si="20"/>
        <v>1500</v>
      </c>
    </row>
    <row r="607" spans="1:14" x14ac:dyDescent="0.35">
      <c r="A607" s="45" t="s">
        <v>1781</v>
      </c>
      <c r="B607" s="56" t="s">
        <v>1509</v>
      </c>
      <c r="C607" s="56" t="s">
        <v>2104</v>
      </c>
      <c r="D607" s="90">
        <v>148</v>
      </c>
      <c r="E607" s="89">
        <v>248</v>
      </c>
      <c r="F607" s="89">
        <v>348</v>
      </c>
      <c r="G607" s="89" t="s">
        <v>1816</v>
      </c>
      <c r="H607" s="89" t="s">
        <v>2105</v>
      </c>
      <c r="I607" s="96">
        <v>4000</v>
      </c>
      <c r="J607" s="96">
        <f t="shared" si="17"/>
        <v>2000</v>
      </c>
      <c r="K607" s="96">
        <f t="shared" si="18"/>
        <v>2000</v>
      </c>
      <c r="L607" s="96">
        <v>4000</v>
      </c>
      <c r="M607" s="96">
        <f t="shared" si="19"/>
        <v>2000</v>
      </c>
      <c r="N607" s="97">
        <f t="shared" si="20"/>
        <v>2000</v>
      </c>
    </row>
    <row r="608" spans="1:14" x14ac:dyDescent="0.35">
      <c r="A608" s="45" t="s">
        <v>1781</v>
      </c>
      <c r="B608" s="56" t="s">
        <v>1509</v>
      </c>
      <c r="C608" s="56" t="s">
        <v>2106</v>
      </c>
      <c r="D608" s="90">
        <v>149</v>
      </c>
      <c r="E608" s="89">
        <v>249</v>
      </c>
      <c r="F608" s="89">
        <v>349</v>
      </c>
      <c r="G608" s="89" t="s">
        <v>1807</v>
      </c>
      <c r="H608" s="89" t="s">
        <v>2107</v>
      </c>
      <c r="I608" s="96">
        <v>5000</v>
      </c>
      <c r="J608" s="96">
        <f t="shared" si="17"/>
        <v>2500</v>
      </c>
      <c r="K608" s="96">
        <f t="shared" si="18"/>
        <v>2500</v>
      </c>
      <c r="L608" s="96">
        <v>5000</v>
      </c>
      <c r="M608" s="96">
        <f t="shared" si="19"/>
        <v>2500</v>
      </c>
      <c r="N608" s="97">
        <f t="shared" si="20"/>
        <v>2500</v>
      </c>
    </row>
    <row r="609" spans="1:14" x14ac:dyDescent="0.35">
      <c r="A609" s="45" t="s">
        <v>1781</v>
      </c>
      <c r="B609" s="56" t="s">
        <v>1509</v>
      </c>
      <c r="C609" s="56" t="s">
        <v>2108</v>
      </c>
      <c r="D609" s="90">
        <v>150</v>
      </c>
      <c r="E609" s="89">
        <v>250</v>
      </c>
      <c r="F609" s="89">
        <v>350</v>
      </c>
      <c r="G609" s="89" t="s">
        <v>1810</v>
      </c>
      <c r="H609" s="89" t="s">
        <v>2109</v>
      </c>
      <c r="I609" s="96">
        <v>6000</v>
      </c>
      <c r="J609" s="96">
        <f t="shared" si="17"/>
        <v>3000</v>
      </c>
      <c r="K609" s="96">
        <f t="shared" si="18"/>
        <v>3000</v>
      </c>
      <c r="L609" s="96">
        <v>6000</v>
      </c>
      <c r="M609" s="96">
        <f t="shared" si="19"/>
        <v>3000</v>
      </c>
      <c r="N609" s="97">
        <f t="shared" si="20"/>
        <v>3000</v>
      </c>
    </row>
    <row r="610" spans="1:14" x14ac:dyDescent="0.35">
      <c r="A610" s="45" t="s">
        <v>1781</v>
      </c>
      <c r="B610" s="56" t="s">
        <v>1509</v>
      </c>
      <c r="C610" s="56" t="s">
        <v>2110</v>
      </c>
      <c r="D610" s="90">
        <v>151</v>
      </c>
      <c r="E610" s="89">
        <v>251</v>
      </c>
      <c r="F610" s="89">
        <v>351</v>
      </c>
      <c r="G610" s="89" t="s">
        <v>1813</v>
      </c>
      <c r="H610" s="89" t="s">
        <v>2111</v>
      </c>
      <c r="I610" s="96">
        <v>7000</v>
      </c>
      <c r="J610" s="96">
        <f t="shared" si="17"/>
        <v>3500</v>
      </c>
      <c r="K610" s="96">
        <f t="shared" si="18"/>
        <v>3500</v>
      </c>
      <c r="L610" s="96">
        <v>7000</v>
      </c>
      <c r="M610" s="96">
        <f t="shared" si="19"/>
        <v>3500</v>
      </c>
      <c r="N610" s="97">
        <f t="shared" si="20"/>
        <v>3500</v>
      </c>
    </row>
    <row r="611" spans="1:14" x14ac:dyDescent="0.35">
      <c r="A611" s="45" t="s">
        <v>1781</v>
      </c>
      <c r="B611" s="56" t="s">
        <v>1509</v>
      </c>
      <c r="C611" s="56" t="s">
        <v>2112</v>
      </c>
      <c r="D611" s="90">
        <v>152</v>
      </c>
      <c r="E611" s="89">
        <v>252</v>
      </c>
      <c r="F611" s="89">
        <v>352</v>
      </c>
      <c r="G611" s="89" t="s">
        <v>1816</v>
      </c>
      <c r="H611" s="89" t="s">
        <v>2113</v>
      </c>
      <c r="I611" s="96">
        <v>8000</v>
      </c>
      <c r="J611" s="96">
        <f t="shared" si="17"/>
        <v>4000</v>
      </c>
      <c r="K611" s="96">
        <f t="shared" si="18"/>
        <v>4000</v>
      </c>
      <c r="L611" s="96">
        <v>8000</v>
      </c>
      <c r="M611" s="96">
        <f t="shared" si="19"/>
        <v>4000</v>
      </c>
      <c r="N611" s="97">
        <f t="shared" si="20"/>
        <v>4000</v>
      </c>
    </row>
    <row r="612" spans="1:14" x14ac:dyDescent="0.35">
      <c r="A612" s="45" t="s">
        <v>1781</v>
      </c>
      <c r="B612" s="56" t="s">
        <v>1509</v>
      </c>
      <c r="C612" s="56" t="s">
        <v>2114</v>
      </c>
      <c r="D612" s="90">
        <v>153</v>
      </c>
      <c r="E612" s="89">
        <v>253</v>
      </c>
      <c r="F612" s="89">
        <v>353</v>
      </c>
      <c r="G612" s="89" t="s">
        <v>1807</v>
      </c>
      <c r="H612" s="89" t="s">
        <v>2115</v>
      </c>
      <c r="I612" s="96">
        <v>9000</v>
      </c>
      <c r="J612" s="96">
        <f t="shared" si="17"/>
        <v>4500</v>
      </c>
      <c r="K612" s="96">
        <f t="shared" si="18"/>
        <v>4500</v>
      </c>
      <c r="L612" s="96">
        <v>9000</v>
      </c>
      <c r="M612" s="96">
        <f t="shared" si="19"/>
        <v>4500</v>
      </c>
      <c r="N612" s="97">
        <f t="shared" si="20"/>
        <v>4500</v>
      </c>
    </row>
    <row r="613" spans="1:14" x14ac:dyDescent="0.35">
      <c r="A613" s="45" t="s">
        <v>1781</v>
      </c>
      <c r="B613" s="56" t="s">
        <v>1509</v>
      </c>
      <c r="C613" s="56" t="s">
        <v>2116</v>
      </c>
      <c r="D613" s="90">
        <v>154</v>
      </c>
      <c r="E613" s="89">
        <v>254</v>
      </c>
      <c r="F613" s="89">
        <v>354</v>
      </c>
      <c r="G613" s="89" t="s">
        <v>1810</v>
      </c>
      <c r="H613" s="89" t="s">
        <v>2117</v>
      </c>
      <c r="I613" s="96">
        <v>10000</v>
      </c>
      <c r="J613" s="96">
        <f t="shared" si="17"/>
        <v>5000</v>
      </c>
      <c r="K613" s="96">
        <f t="shared" si="18"/>
        <v>5000</v>
      </c>
      <c r="L613" s="96">
        <v>10000</v>
      </c>
      <c r="M613" s="96">
        <f t="shared" si="19"/>
        <v>5000</v>
      </c>
      <c r="N613" s="97">
        <f t="shared" si="20"/>
        <v>5000</v>
      </c>
    </row>
    <row r="614" spans="1:14" x14ac:dyDescent="0.35">
      <c r="A614" s="45" t="s">
        <v>1781</v>
      </c>
      <c r="B614" s="56" t="s">
        <v>1509</v>
      </c>
      <c r="C614" s="56" t="s">
        <v>2118</v>
      </c>
      <c r="D614" s="90">
        <v>155</v>
      </c>
      <c r="E614" s="89">
        <v>255</v>
      </c>
      <c r="F614" s="89">
        <v>355</v>
      </c>
      <c r="G614" s="89" t="s">
        <v>1813</v>
      </c>
      <c r="H614" s="89" t="s">
        <v>2119</v>
      </c>
      <c r="I614" s="96">
        <v>11000</v>
      </c>
      <c r="J614" s="96">
        <f t="shared" si="17"/>
        <v>5500</v>
      </c>
      <c r="K614" s="96">
        <f t="shared" si="18"/>
        <v>5500</v>
      </c>
      <c r="L614" s="96">
        <v>11000</v>
      </c>
      <c r="M614" s="96">
        <f t="shared" si="19"/>
        <v>5500</v>
      </c>
      <c r="N614" s="97">
        <f t="shared" si="20"/>
        <v>5500</v>
      </c>
    </row>
    <row r="615" spans="1:14" x14ac:dyDescent="0.35">
      <c r="A615" s="45" t="s">
        <v>1781</v>
      </c>
      <c r="B615" s="56" t="s">
        <v>1509</v>
      </c>
      <c r="C615" s="56" t="s">
        <v>2120</v>
      </c>
      <c r="D615" s="90">
        <v>156</v>
      </c>
      <c r="E615" s="89">
        <v>256</v>
      </c>
      <c r="F615" s="89">
        <v>356</v>
      </c>
      <c r="G615" s="89" t="s">
        <v>1816</v>
      </c>
      <c r="H615" s="89" t="s">
        <v>2121</v>
      </c>
      <c r="I615" s="96">
        <v>12000</v>
      </c>
      <c r="J615" s="96">
        <f t="shared" si="17"/>
        <v>6000</v>
      </c>
      <c r="K615" s="96">
        <f t="shared" si="18"/>
        <v>6000</v>
      </c>
      <c r="L615" s="96">
        <v>12000</v>
      </c>
      <c r="M615" s="96">
        <f t="shared" si="19"/>
        <v>6000</v>
      </c>
      <c r="N615" s="97">
        <f t="shared" si="20"/>
        <v>6000</v>
      </c>
    </row>
    <row r="616" spans="1:14" x14ac:dyDescent="0.35">
      <c r="A616" s="45" t="s">
        <v>1781</v>
      </c>
      <c r="B616" s="56" t="s">
        <v>1509</v>
      </c>
      <c r="C616" s="56" t="s">
        <v>2122</v>
      </c>
      <c r="D616" s="90">
        <v>157</v>
      </c>
      <c r="E616" s="89">
        <v>257</v>
      </c>
      <c r="F616" s="89">
        <v>357</v>
      </c>
      <c r="G616" s="89" t="s">
        <v>1807</v>
      </c>
      <c r="H616" s="89" t="s">
        <v>2123</v>
      </c>
      <c r="I616" s="96">
        <v>13000</v>
      </c>
      <c r="J616" s="96">
        <f t="shared" si="17"/>
        <v>6500</v>
      </c>
      <c r="K616" s="96">
        <f t="shared" si="18"/>
        <v>6500</v>
      </c>
      <c r="L616" s="96">
        <v>13000</v>
      </c>
      <c r="M616" s="96">
        <f t="shared" si="19"/>
        <v>6500</v>
      </c>
      <c r="N616" s="97">
        <f t="shared" si="20"/>
        <v>6500</v>
      </c>
    </row>
    <row r="617" spans="1:14" x14ac:dyDescent="0.35">
      <c r="A617" s="45" t="s">
        <v>1781</v>
      </c>
      <c r="B617" s="56" t="s">
        <v>1509</v>
      </c>
      <c r="C617" s="56" t="s">
        <v>2124</v>
      </c>
      <c r="D617" s="90">
        <v>158</v>
      </c>
      <c r="E617" s="89">
        <v>258</v>
      </c>
      <c r="F617" s="89">
        <v>358</v>
      </c>
      <c r="G617" s="89" t="s">
        <v>1810</v>
      </c>
      <c r="H617" s="89" t="s">
        <v>2125</v>
      </c>
      <c r="I617" s="96">
        <v>14000</v>
      </c>
      <c r="J617" s="96">
        <f t="shared" si="17"/>
        <v>7000</v>
      </c>
      <c r="K617" s="96">
        <f t="shared" si="18"/>
        <v>7000</v>
      </c>
      <c r="L617" s="96">
        <v>14000</v>
      </c>
      <c r="M617" s="96">
        <f t="shared" si="19"/>
        <v>7000</v>
      </c>
      <c r="N617" s="97">
        <f t="shared" si="20"/>
        <v>7000</v>
      </c>
    </row>
    <row r="618" spans="1:14" x14ac:dyDescent="0.35">
      <c r="A618" s="45" t="s">
        <v>1781</v>
      </c>
      <c r="B618" s="56" t="s">
        <v>1509</v>
      </c>
      <c r="C618" s="56" t="s">
        <v>2126</v>
      </c>
      <c r="D618" s="90">
        <v>159</v>
      </c>
      <c r="E618" s="89">
        <v>259</v>
      </c>
      <c r="F618" s="89">
        <v>359</v>
      </c>
      <c r="G618" s="89" t="s">
        <v>1813</v>
      </c>
      <c r="H618" s="89" t="s">
        <v>2127</v>
      </c>
      <c r="I618" s="96">
        <v>15000</v>
      </c>
      <c r="J618" s="96">
        <f t="shared" si="17"/>
        <v>7500</v>
      </c>
      <c r="K618" s="96">
        <f t="shared" si="18"/>
        <v>7500</v>
      </c>
      <c r="L618" s="96">
        <v>15000</v>
      </c>
      <c r="M618" s="96">
        <f t="shared" si="19"/>
        <v>7500</v>
      </c>
      <c r="N618" s="97">
        <f t="shared" si="20"/>
        <v>7500</v>
      </c>
    </row>
    <row r="619" spans="1:14" x14ac:dyDescent="0.35">
      <c r="A619" s="45" t="s">
        <v>1781</v>
      </c>
      <c r="B619" s="56" t="s">
        <v>1509</v>
      </c>
      <c r="C619" s="56" t="s">
        <v>2128</v>
      </c>
      <c r="D619" s="90">
        <v>160</v>
      </c>
      <c r="E619" s="89">
        <v>260</v>
      </c>
      <c r="F619" s="89">
        <v>360</v>
      </c>
      <c r="G619" s="89" t="s">
        <v>1816</v>
      </c>
      <c r="H619" s="89" t="s">
        <v>2129</v>
      </c>
      <c r="I619" s="96">
        <v>16000</v>
      </c>
      <c r="J619" s="96">
        <f t="shared" si="17"/>
        <v>8000</v>
      </c>
      <c r="K619" s="96">
        <f t="shared" si="18"/>
        <v>8000</v>
      </c>
      <c r="L619" s="96">
        <v>16000</v>
      </c>
      <c r="M619" s="96">
        <f t="shared" si="19"/>
        <v>8000</v>
      </c>
      <c r="N619" s="97">
        <f t="shared" si="20"/>
        <v>8000</v>
      </c>
    </row>
    <row r="620" spans="1:14" x14ac:dyDescent="0.35">
      <c r="A620" s="45" t="s">
        <v>1781</v>
      </c>
      <c r="B620" s="56" t="s">
        <v>1509</v>
      </c>
      <c r="C620" s="56" t="s">
        <v>2130</v>
      </c>
      <c r="D620" s="90">
        <v>161</v>
      </c>
      <c r="E620" s="89">
        <v>261</v>
      </c>
      <c r="F620" s="89">
        <v>361</v>
      </c>
      <c r="G620" s="89" t="s">
        <v>1807</v>
      </c>
      <c r="H620" s="89" t="s">
        <v>2131</v>
      </c>
      <c r="I620" s="96">
        <v>17000</v>
      </c>
      <c r="J620" s="96">
        <f t="shared" si="17"/>
        <v>8500</v>
      </c>
      <c r="K620" s="96">
        <f t="shared" si="18"/>
        <v>8500</v>
      </c>
      <c r="L620" s="96">
        <v>17000</v>
      </c>
      <c r="M620" s="96">
        <f t="shared" si="19"/>
        <v>8500</v>
      </c>
      <c r="N620" s="97">
        <f t="shared" si="20"/>
        <v>8500</v>
      </c>
    </row>
    <row r="621" spans="1:14" x14ac:dyDescent="0.35">
      <c r="A621" s="45" t="s">
        <v>1781</v>
      </c>
      <c r="B621" s="56" t="s">
        <v>1509</v>
      </c>
      <c r="C621" s="56" t="s">
        <v>2132</v>
      </c>
      <c r="D621" s="90">
        <v>162</v>
      </c>
      <c r="E621" s="89">
        <v>262</v>
      </c>
      <c r="F621" s="89">
        <v>362</v>
      </c>
      <c r="G621" s="89" t="s">
        <v>1810</v>
      </c>
      <c r="H621" s="89" t="s">
        <v>2133</v>
      </c>
      <c r="I621" s="96">
        <v>18000</v>
      </c>
      <c r="J621" s="96">
        <f t="shared" si="17"/>
        <v>9000</v>
      </c>
      <c r="K621" s="96">
        <f t="shared" si="18"/>
        <v>9000</v>
      </c>
      <c r="L621" s="96">
        <v>18000</v>
      </c>
      <c r="M621" s="96">
        <f t="shared" si="19"/>
        <v>9000</v>
      </c>
      <c r="N621" s="97">
        <f t="shared" si="20"/>
        <v>9000</v>
      </c>
    </row>
    <row r="622" spans="1:14" x14ac:dyDescent="0.35">
      <c r="A622" s="45" t="s">
        <v>1781</v>
      </c>
      <c r="B622" s="98" t="s">
        <v>1509</v>
      </c>
      <c r="C622" s="98" t="s">
        <v>2134</v>
      </c>
      <c r="D622" s="91">
        <v>163</v>
      </c>
      <c r="E622" s="91">
        <v>263</v>
      </c>
      <c r="F622" s="91">
        <v>363</v>
      </c>
      <c r="G622" s="91" t="s">
        <v>1813</v>
      </c>
      <c r="H622" s="91" t="s">
        <v>2135</v>
      </c>
      <c r="I622" s="96">
        <v>19000</v>
      </c>
      <c r="J622" s="96">
        <f t="shared" si="17"/>
        <v>9500</v>
      </c>
      <c r="K622" s="96">
        <f t="shared" si="18"/>
        <v>9500</v>
      </c>
      <c r="L622" s="96">
        <v>19000</v>
      </c>
      <c r="M622" s="96">
        <f t="shared" si="19"/>
        <v>9500</v>
      </c>
      <c r="N622" s="97">
        <f t="shared" si="20"/>
        <v>9500</v>
      </c>
    </row>
    <row r="623" spans="1:14" x14ac:dyDescent="0.35">
      <c r="A623" s="45" t="s">
        <v>1781</v>
      </c>
      <c r="B623" s="56" t="s">
        <v>1509</v>
      </c>
      <c r="C623" s="56" t="s">
        <v>2136</v>
      </c>
      <c r="D623" s="89">
        <v>164</v>
      </c>
      <c r="E623" s="89">
        <v>264</v>
      </c>
      <c r="F623" s="89">
        <v>364</v>
      </c>
      <c r="G623" s="89" t="s">
        <v>1816</v>
      </c>
      <c r="H623" s="89" t="s">
        <v>2137</v>
      </c>
      <c r="I623" s="96">
        <v>20000</v>
      </c>
      <c r="J623" s="96">
        <f t="shared" si="17"/>
        <v>10000</v>
      </c>
      <c r="K623" s="96">
        <f t="shared" si="18"/>
        <v>10000</v>
      </c>
      <c r="L623" s="96">
        <v>20000</v>
      </c>
      <c r="M623" s="96">
        <f t="shared" si="19"/>
        <v>10000</v>
      </c>
      <c r="N623" s="97">
        <f t="shared" si="20"/>
        <v>10000</v>
      </c>
    </row>
    <row r="624" spans="1:14" x14ac:dyDescent="0.35">
      <c r="A624" s="45" t="s">
        <v>1781</v>
      </c>
      <c r="B624" s="98" t="s">
        <v>1529</v>
      </c>
      <c r="C624" s="56" t="s">
        <v>2138</v>
      </c>
      <c r="D624" s="91">
        <v>165</v>
      </c>
      <c r="E624" s="91">
        <v>265</v>
      </c>
      <c r="F624" s="91">
        <v>365</v>
      </c>
      <c r="G624" s="91" t="s">
        <v>1807</v>
      </c>
      <c r="H624" s="91" t="s">
        <v>2139</v>
      </c>
      <c r="I624" s="96">
        <v>21000</v>
      </c>
      <c r="J624" s="96">
        <f t="shared" si="17"/>
        <v>10500</v>
      </c>
      <c r="K624" s="96">
        <f t="shared" si="18"/>
        <v>10500</v>
      </c>
      <c r="L624" s="96">
        <v>21000</v>
      </c>
      <c r="M624" s="96">
        <f t="shared" si="19"/>
        <v>10500</v>
      </c>
      <c r="N624" s="97">
        <f t="shared" si="20"/>
        <v>10500</v>
      </c>
    </row>
    <row r="625" spans="1:14" x14ac:dyDescent="0.35">
      <c r="A625" s="45" t="s">
        <v>1781</v>
      </c>
      <c r="B625" s="56" t="s">
        <v>1529</v>
      </c>
      <c r="C625" s="98" t="s">
        <v>2140</v>
      </c>
      <c r="D625" s="89">
        <v>166</v>
      </c>
      <c r="E625" s="89">
        <v>266</v>
      </c>
      <c r="F625" s="89">
        <v>366</v>
      </c>
      <c r="G625" s="89" t="s">
        <v>1810</v>
      </c>
      <c r="H625" s="89" t="s">
        <v>2141</v>
      </c>
      <c r="I625" s="96">
        <f>-188000</f>
        <v>-188000</v>
      </c>
      <c r="J625" s="96">
        <f>I625/2</f>
        <v>-94000</v>
      </c>
      <c r="K625" s="96">
        <f>J625</f>
        <v>-94000</v>
      </c>
      <c r="L625" s="96">
        <f>-188000</f>
        <v>-188000</v>
      </c>
      <c r="M625" s="96">
        <f>L625/2</f>
        <v>-94000</v>
      </c>
      <c r="N625" s="97">
        <f>M625</f>
        <v>-94000</v>
      </c>
    </row>
    <row r="626" spans="1:14" x14ac:dyDescent="0.35">
      <c r="A626" s="45" t="s">
        <v>1781</v>
      </c>
      <c r="B626" s="56" t="s">
        <v>1529</v>
      </c>
      <c r="C626" s="56" t="s">
        <v>2142</v>
      </c>
      <c r="D626" s="90">
        <v>167</v>
      </c>
      <c r="E626" s="89">
        <v>267</v>
      </c>
      <c r="F626" s="89">
        <v>367</v>
      </c>
      <c r="G626" s="89" t="s">
        <v>1813</v>
      </c>
      <c r="H626" s="89" t="s">
        <v>2143</v>
      </c>
      <c r="I626" s="96">
        <v>1</v>
      </c>
      <c r="J626" s="96">
        <f>I626/2</f>
        <v>0.5</v>
      </c>
      <c r="K626" s="96">
        <f>J626</f>
        <v>0.5</v>
      </c>
      <c r="L626" s="96">
        <v>1</v>
      </c>
      <c r="M626" s="96">
        <f>L626/2</f>
        <v>0.5</v>
      </c>
      <c r="N626" s="97">
        <f>M626</f>
        <v>0.5</v>
      </c>
    </row>
    <row r="627" spans="1:14" x14ac:dyDescent="0.35">
      <c r="A627" s="45" t="s">
        <v>1781</v>
      </c>
      <c r="B627" s="56" t="s">
        <v>1529</v>
      </c>
      <c r="C627" s="56" t="s">
        <v>2144</v>
      </c>
      <c r="D627" s="90">
        <v>168</v>
      </c>
      <c r="E627" s="89">
        <v>268</v>
      </c>
      <c r="F627" s="89">
        <v>368</v>
      </c>
      <c r="G627" s="89" t="s">
        <v>1816</v>
      </c>
      <c r="H627" s="89" t="s">
        <v>2145</v>
      </c>
      <c r="I627" s="96">
        <v>1999</v>
      </c>
      <c r="J627" s="96">
        <f t="shared" ref="J627:J647" si="21">I627/2</f>
        <v>999.5</v>
      </c>
      <c r="K627" s="96">
        <f t="shared" ref="K627:K647" si="22">J627</f>
        <v>999.5</v>
      </c>
      <c r="L627" s="96">
        <v>1999</v>
      </c>
      <c r="M627" s="96">
        <f t="shared" ref="M627:M647" si="23">L627/2</f>
        <v>999.5</v>
      </c>
      <c r="N627" s="97">
        <f t="shared" ref="N627:N647" si="24">M627</f>
        <v>999.5</v>
      </c>
    </row>
    <row r="628" spans="1:14" x14ac:dyDescent="0.35">
      <c r="A628" s="45" t="s">
        <v>1781</v>
      </c>
      <c r="B628" s="56" t="s">
        <v>1529</v>
      </c>
      <c r="C628" s="56" t="s">
        <v>2146</v>
      </c>
      <c r="D628" s="90">
        <v>169</v>
      </c>
      <c r="E628" s="89">
        <v>269</v>
      </c>
      <c r="F628" s="89">
        <v>369</v>
      </c>
      <c r="G628" s="89" t="s">
        <v>1807</v>
      </c>
      <c r="H628" s="89" t="s">
        <v>2147</v>
      </c>
      <c r="I628" s="96">
        <v>3000</v>
      </c>
      <c r="J628" s="96">
        <f t="shared" si="21"/>
        <v>1500</v>
      </c>
      <c r="K628" s="96">
        <f t="shared" si="22"/>
        <v>1500</v>
      </c>
      <c r="L628" s="96">
        <v>3000</v>
      </c>
      <c r="M628" s="96">
        <f t="shared" si="23"/>
        <v>1500</v>
      </c>
      <c r="N628" s="97">
        <f t="shared" si="24"/>
        <v>1500</v>
      </c>
    </row>
    <row r="629" spans="1:14" x14ac:dyDescent="0.35">
      <c r="A629" s="45" t="s">
        <v>1781</v>
      </c>
      <c r="B629" s="56" t="s">
        <v>1529</v>
      </c>
      <c r="C629" s="56" t="s">
        <v>2148</v>
      </c>
      <c r="D629" s="90">
        <v>170</v>
      </c>
      <c r="E629" s="89">
        <v>270</v>
      </c>
      <c r="F629" s="89">
        <v>370</v>
      </c>
      <c r="G629" s="89" t="s">
        <v>1810</v>
      </c>
      <c r="H629" s="89" t="s">
        <v>2149</v>
      </c>
      <c r="I629" s="96">
        <v>4000</v>
      </c>
      <c r="J629" s="96">
        <f t="shared" si="21"/>
        <v>2000</v>
      </c>
      <c r="K629" s="96">
        <f t="shared" si="22"/>
        <v>2000</v>
      </c>
      <c r="L629" s="96">
        <v>4000</v>
      </c>
      <c r="M629" s="96">
        <f t="shared" si="23"/>
        <v>2000</v>
      </c>
      <c r="N629" s="97">
        <f t="shared" si="24"/>
        <v>2000</v>
      </c>
    </row>
    <row r="630" spans="1:14" x14ac:dyDescent="0.35">
      <c r="A630" s="45" t="s">
        <v>1781</v>
      </c>
      <c r="B630" s="56" t="s">
        <v>1529</v>
      </c>
      <c r="C630" s="56" t="s">
        <v>2150</v>
      </c>
      <c r="D630" s="90">
        <v>171</v>
      </c>
      <c r="E630" s="89">
        <v>271</v>
      </c>
      <c r="F630" s="89">
        <v>371</v>
      </c>
      <c r="G630" s="89" t="s">
        <v>1813</v>
      </c>
      <c r="H630" s="89" t="s">
        <v>2151</v>
      </c>
      <c r="I630" s="96">
        <v>5000</v>
      </c>
      <c r="J630" s="96">
        <f t="shared" si="21"/>
        <v>2500</v>
      </c>
      <c r="K630" s="96">
        <f t="shared" si="22"/>
        <v>2500</v>
      </c>
      <c r="L630" s="96">
        <v>5000</v>
      </c>
      <c r="M630" s="96">
        <f t="shared" si="23"/>
        <v>2500</v>
      </c>
      <c r="N630" s="97">
        <f t="shared" si="24"/>
        <v>2500</v>
      </c>
    </row>
    <row r="631" spans="1:14" x14ac:dyDescent="0.35">
      <c r="A631" s="45" t="s">
        <v>1781</v>
      </c>
      <c r="B631" s="56" t="s">
        <v>1529</v>
      </c>
      <c r="C631" s="56" t="s">
        <v>2152</v>
      </c>
      <c r="D631" s="90">
        <v>172</v>
      </c>
      <c r="E631" s="89">
        <v>272</v>
      </c>
      <c r="F631" s="89">
        <v>372</v>
      </c>
      <c r="G631" s="89" t="s">
        <v>1816</v>
      </c>
      <c r="H631" s="89" t="s">
        <v>2153</v>
      </c>
      <c r="I631" s="96">
        <v>6000</v>
      </c>
      <c r="J631" s="96">
        <f t="shared" si="21"/>
        <v>3000</v>
      </c>
      <c r="K631" s="96">
        <f t="shared" si="22"/>
        <v>3000</v>
      </c>
      <c r="L631" s="96">
        <v>6000</v>
      </c>
      <c r="M631" s="96">
        <f t="shared" si="23"/>
        <v>3000</v>
      </c>
      <c r="N631" s="97">
        <f t="shared" si="24"/>
        <v>3000</v>
      </c>
    </row>
    <row r="632" spans="1:14" x14ac:dyDescent="0.35">
      <c r="A632" s="45" t="s">
        <v>1781</v>
      </c>
      <c r="B632" s="56" t="s">
        <v>1529</v>
      </c>
      <c r="C632" s="56" t="s">
        <v>2154</v>
      </c>
      <c r="D632" s="90">
        <v>173</v>
      </c>
      <c r="E632" s="89">
        <v>273</v>
      </c>
      <c r="F632" s="89">
        <v>373</v>
      </c>
      <c r="G632" s="89" t="s">
        <v>1807</v>
      </c>
      <c r="H632" s="89" t="s">
        <v>2155</v>
      </c>
      <c r="I632" s="96">
        <v>7000</v>
      </c>
      <c r="J632" s="96">
        <f t="shared" si="21"/>
        <v>3500</v>
      </c>
      <c r="K632" s="96">
        <f t="shared" si="22"/>
        <v>3500</v>
      </c>
      <c r="L632" s="96">
        <v>7000</v>
      </c>
      <c r="M632" s="96">
        <f t="shared" si="23"/>
        <v>3500</v>
      </c>
      <c r="N632" s="97">
        <f t="shared" si="24"/>
        <v>3500</v>
      </c>
    </row>
    <row r="633" spans="1:14" x14ac:dyDescent="0.35">
      <c r="A633" s="45" t="s">
        <v>1781</v>
      </c>
      <c r="B633" s="56" t="s">
        <v>1529</v>
      </c>
      <c r="C633" s="56" t="s">
        <v>2156</v>
      </c>
      <c r="D633" s="90">
        <v>174</v>
      </c>
      <c r="E633" s="89">
        <v>274</v>
      </c>
      <c r="F633" s="89">
        <v>374</v>
      </c>
      <c r="G633" s="89" t="s">
        <v>1810</v>
      </c>
      <c r="H633" s="89" t="s">
        <v>2157</v>
      </c>
      <c r="I633" s="96">
        <v>8000</v>
      </c>
      <c r="J633" s="96">
        <f t="shared" si="21"/>
        <v>4000</v>
      </c>
      <c r="K633" s="96">
        <f t="shared" si="22"/>
        <v>4000</v>
      </c>
      <c r="L633" s="96">
        <v>8000</v>
      </c>
      <c r="M633" s="96">
        <f t="shared" si="23"/>
        <v>4000</v>
      </c>
      <c r="N633" s="97">
        <f t="shared" si="24"/>
        <v>4000</v>
      </c>
    </row>
    <row r="634" spans="1:14" x14ac:dyDescent="0.35">
      <c r="A634" s="45" t="s">
        <v>1781</v>
      </c>
      <c r="B634" s="56" t="s">
        <v>1529</v>
      </c>
      <c r="C634" s="56" t="s">
        <v>2158</v>
      </c>
      <c r="D634" s="90">
        <v>175</v>
      </c>
      <c r="E634" s="89">
        <v>275</v>
      </c>
      <c r="F634" s="89">
        <v>375</v>
      </c>
      <c r="G634" s="89" t="s">
        <v>1813</v>
      </c>
      <c r="H634" s="89" t="s">
        <v>2159</v>
      </c>
      <c r="I634" s="96">
        <v>9000</v>
      </c>
      <c r="J634" s="96">
        <f t="shared" si="21"/>
        <v>4500</v>
      </c>
      <c r="K634" s="96">
        <f t="shared" si="22"/>
        <v>4500</v>
      </c>
      <c r="L634" s="96">
        <v>9000</v>
      </c>
      <c r="M634" s="96">
        <f t="shared" si="23"/>
        <v>4500</v>
      </c>
      <c r="N634" s="97">
        <f t="shared" si="24"/>
        <v>4500</v>
      </c>
    </row>
    <row r="635" spans="1:14" x14ac:dyDescent="0.35">
      <c r="A635" s="45" t="s">
        <v>1781</v>
      </c>
      <c r="B635" s="56" t="s">
        <v>1529</v>
      </c>
      <c r="C635" s="56" t="s">
        <v>2160</v>
      </c>
      <c r="D635" s="90">
        <v>176</v>
      </c>
      <c r="E635" s="89">
        <v>276</v>
      </c>
      <c r="F635" s="89">
        <v>376</v>
      </c>
      <c r="G635" s="89" t="s">
        <v>1816</v>
      </c>
      <c r="H635" s="89" t="s">
        <v>2161</v>
      </c>
      <c r="I635" s="96">
        <v>10000</v>
      </c>
      <c r="J635" s="96">
        <f t="shared" si="21"/>
        <v>5000</v>
      </c>
      <c r="K635" s="96">
        <f t="shared" si="22"/>
        <v>5000</v>
      </c>
      <c r="L635" s="96">
        <v>10000</v>
      </c>
      <c r="M635" s="96">
        <f t="shared" si="23"/>
        <v>5000</v>
      </c>
      <c r="N635" s="97">
        <f t="shared" si="24"/>
        <v>5000</v>
      </c>
    </row>
    <row r="636" spans="1:14" x14ac:dyDescent="0.35">
      <c r="A636" s="45" t="s">
        <v>1781</v>
      </c>
      <c r="B636" s="56" t="s">
        <v>1529</v>
      </c>
      <c r="C636" s="56" t="s">
        <v>2162</v>
      </c>
      <c r="D636" s="90">
        <v>177</v>
      </c>
      <c r="E636" s="89">
        <v>277</v>
      </c>
      <c r="F636" s="89">
        <v>377</v>
      </c>
      <c r="G636" s="89" t="s">
        <v>1807</v>
      </c>
      <c r="H636" s="89" t="s">
        <v>2163</v>
      </c>
      <c r="I636" s="96">
        <v>11000</v>
      </c>
      <c r="J636" s="96">
        <f t="shared" si="21"/>
        <v>5500</v>
      </c>
      <c r="K636" s="96">
        <f t="shared" si="22"/>
        <v>5500</v>
      </c>
      <c r="L636" s="96">
        <v>11000</v>
      </c>
      <c r="M636" s="96">
        <f t="shared" si="23"/>
        <v>5500</v>
      </c>
      <c r="N636" s="97">
        <f t="shared" si="24"/>
        <v>5500</v>
      </c>
    </row>
    <row r="637" spans="1:14" x14ac:dyDescent="0.35">
      <c r="A637" s="45" t="s">
        <v>1781</v>
      </c>
      <c r="B637" s="56" t="s">
        <v>1529</v>
      </c>
      <c r="C637" s="56" t="s">
        <v>2164</v>
      </c>
      <c r="D637" s="90">
        <v>178</v>
      </c>
      <c r="E637" s="89">
        <v>278</v>
      </c>
      <c r="F637" s="89">
        <v>378</v>
      </c>
      <c r="G637" s="89" t="s">
        <v>1810</v>
      </c>
      <c r="H637" s="89" t="s">
        <v>2165</v>
      </c>
      <c r="I637" s="96">
        <v>12000</v>
      </c>
      <c r="J637" s="96">
        <f t="shared" si="21"/>
        <v>6000</v>
      </c>
      <c r="K637" s="96">
        <f t="shared" si="22"/>
        <v>6000</v>
      </c>
      <c r="L637" s="96">
        <v>12000</v>
      </c>
      <c r="M637" s="96">
        <f t="shared" si="23"/>
        <v>6000</v>
      </c>
      <c r="N637" s="97">
        <f t="shared" si="24"/>
        <v>6000</v>
      </c>
    </row>
    <row r="638" spans="1:14" x14ac:dyDescent="0.35">
      <c r="A638" s="45" t="s">
        <v>1781</v>
      </c>
      <c r="B638" s="56" t="s">
        <v>1529</v>
      </c>
      <c r="C638" s="56" t="s">
        <v>2166</v>
      </c>
      <c r="D638" s="90">
        <v>179</v>
      </c>
      <c r="E638" s="89">
        <v>279</v>
      </c>
      <c r="F638" s="89">
        <v>379</v>
      </c>
      <c r="G638" s="89" t="s">
        <v>1813</v>
      </c>
      <c r="H638" s="89" t="s">
        <v>2167</v>
      </c>
      <c r="I638" s="96">
        <v>13000</v>
      </c>
      <c r="J638" s="96">
        <f t="shared" si="21"/>
        <v>6500</v>
      </c>
      <c r="K638" s="96">
        <f t="shared" si="22"/>
        <v>6500</v>
      </c>
      <c r="L638" s="96">
        <v>13000</v>
      </c>
      <c r="M638" s="96">
        <f t="shared" si="23"/>
        <v>6500</v>
      </c>
      <c r="N638" s="97">
        <f t="shared" si="24"/>
        <v>6500</v>
      </c>
    </row>
    <row r="639" spans="1:14" x14ac:dyDescent="0.35">
      <c r="A639" s="45" t="s">
        <v>1781</v>
      </c>
      <c r="B639" s="56" t="s">
        <v>1529</v>
      </c>
      <c r="C639" s="56" t="s">
        <v>2168</v>
      </c>
      <c r="D639" s="90">
        <v>180</v>
      </c>
      <c r="E639" s="89">
        <v>280</v>
      </c>
      <c r="F639" s="89">
        <v>380</v>
      </c>
      <c r="G639" s="89" t="s">
        <v>1816</v>
      </c>
      <c r="H639" s="89" t="s">
        <v>2169</v>
      </c>
      <c r="I639" s="96">
        <v>14000</v>
      </c>
      <c r="J639" s="96">
        <f t="shared" si="21"/>
        <v>7000</v>
      </c>
      <c r="K639" s="96">
        <f t="shared" si="22"/>
        <v>7000</v>
      </c>
      <c r="L639" s="96">
        <v>14000</v>
      </c>
      <c r="M639" s="96">
        <f t="shared" si="23"/>
        <v>7000</v>
      </c>
      <c r="N639" s="97">
        <f t="shared" si="24"/>
        <v>7000</v>
      </c>
    </row>
    <row r="640" spans="1:14" x14ac:dyDescent="0.35">
      <c r="A640" s="45" t="s">
        <v>1781</v>
      </c>
      <c r="B640" s="56" t="s">
        <v>1529</v>
      </c>
      <c r="C640" s="56" t="s">
        <v>2170</v>
      </c>
      <c r="D640" s="90">
        <v>181</v>
      </c>
      <c r="E640" s="89">
        <v>281</v>
      </c>
      <c r="F640" s="89">
        <v>381</v>
      </c>
      <c r="G640" s="89" t="s">
        <v>1807</v>
      </c>
      <c r="H640" s="89" t="s">
        <v>2171</v>
      </c>
      <c r="I640" s="96">
        <v>15000</v>
      </c>
      <c r="J640" s="96">
        <f t="shared" si="21"/>
        <v>7500</v>
      </c>
      <c r="K640" s="96">
        <f t="shared" si="22"/>
        <v>7500</v>
      </c>
      <c r="L640" s="96">
        <v>15000</v>
      </c>
      <c r="M640" s="96">
        <f t="shared" si="23"/>
        <v>7500</v>
      </c>
      <c r="N640" s="97">
        <f t="shared" si="24"/>
        <v>7500</v>
      </c>
    </row>
    <row r="641" spans="1:14" x14ac:dyDescent="0.35">
      <c r="A641" s="45" t="s">
        <v>1781</v>
      </c>
      <c r="B641" s="56" t="s">
        <v>1529</v>
      </c>
      <c r="C641" s="56" t="s">
        <v>2172</v>
      </c>
      <c r="D641" s="90">
        <v>182</v>
      </c>
      <c r="E641" s="89">
        <v>282</v>
      </c>
      <c r="F641" s="89">
        <v>382</v>
      </c>
      <c r="G641" s="89" t="s">
        <v>1810</v>
      </c>
      <c r="H641" s="89" t="s">
        <v>2173</v>
      </c>
      <c r="I641" s="96">
        <v>16000</v>
      </c>
      <c r="J641" s="96">
        <f t="shared" si="21"/>
        <v>8000</v>
      </c>
      <c r="K641" s="96">
        <f t="shared" si="22"/>
        <v>8000</v>
      </c>
      <c r="L641" s="96">
        <v>16000</v>
      </c>
      <c r="M641" s="96">
        <f t="shared" si="23"/>
        <v>8000</v>
      </c>
      <c r="N641" s="97">
        <f t="shared" si="24"/>
        <v>8000</v>
      </c>
    </row>
    <row r="642" spans="1:14" x14ac:dyDescent="0.35">
      <c r="A642" s="45" t="s">
        <v>1781</v>
      </c>
      <c r="B642" s="56" t="s">
        <v>1529</v>
      </c>
      <c r="C642" s="56" t="s">
        <v>2174</v>
      </c>
      <c r="D642" s="90">
        <v>183</v>
      </c>
      <c r="E642" s="89">
        <v>283</v>
      </c>
      <c r="F642" s="89">
        <v>383</v>
      </c>
      <c r="G642" s="89" t="s">
        <v>1813</v>
      </c>
      <c r="H642" s="89" t="s">
        <v>2175</v>
      </c>
      <c r="I642" s="96">
        <v>17000</v>
      </c>
      <c r="J642" s="96">
        <f t="shared" si="21"/>
        <v>8500</v>
      </c>
      <c r="K642" s="96">
        <f t="shared" si="22"/>
        <v>8500</v>
      </c>
      <c r="L642" s="96">
        <v>17000</v>
      </c>
      <c r="M642" s="96">
        <f t="shared" si="23"/>
        <v>8500</v>
      </c>
      <c r="N642" s="97">
        <f t="shared" si="24"/>
        <v>8500</v>
      </c>
    </row>
    <row r="643" spans="1:14" x14ac:dyDescent="0.35">
      <c r="A643" s="45" t="s">
        <v>1781</v>
      </c>
      <c r="B643" s="56" t="s">
        <v>1529</v>
      </c>
      <c r="C643" s="56" t="s">
        <v>2176</v>
      </c>
      <c r="D643" s="90">
        <v>184</v>
      </c>
      <c r="E643" s="89">
        <v>284</v>
      </c>
      <c r="F643" s="89">
        <v>384</v>
      </c>
      <c r="G643" s="89" t="s">
        <v>1816</v>
      </c>
      <c r="H643" s="89" t="s">
        <v>2177</v>
      </c>
      <c r="I643" s="96">
        <v>18000</v>
      </c>
      <c r="J643" s="96">
        <f t="shared" si="21"/>
        <v>9000</v>
      </c>
      <c r="K643" s="96">
        <f t="shared" si="22"/>
        <v>9000</v>
      </c>
      <c r="L643" s="96">
        <v>18000</v>
      </c>
      <c r="M643" s="96">
        <f t="shared" si="23"/>
        <v>9000</v>
      </c>
      <c r="N643" s="97">
        <f t="shared" si="24"/>
        <v>9000</v>
      </c>
    </row>
    <row r="644" spans="1:14" x14ac:dyDescent="0.35">
      <c r="A644" s="45" t="s">
        <v>1781</v>
      </c>
      <c r="B644" s="56" t="s">
        <v>1529</v>
      </c>
      <c r="C644" s="56" t="s">
        <v>2178</v>
      </c>
      <c r="D644" s="90">
        <v>185</v>
      </c>
      <c r="E644" s="89">
        <v>285</v>
      </c>
      <c r="F644" s="89">
        <v>385</v>
      </c>
      <c r="G644" s="89" t="s">
        <v>1807</v>
      </c>
      <c r="H644" s="89" t="s">
        <v>2179</v>
      </c>
      <c r="I644" s="96">
        <v>19000</v>
      </c>
      <c r="J644" s="96">
        <f t="shared" si="21"/>
        <v>9500</v>
      </c>
      <c r="K644" s="96">
        <f t="shared" si="22"/>
        <v>9500</v>
      </c>
      <c r="L644" s="96">
        <v>19000</v>
      </c>
      <c r="M644" s="96">
        <f t="shared" si="23"/>
        <v>9500</v>
      </c>
      <c r="N644" s="97">
        <f t="shared" si="24"/>
        <v>9500</v>
      </c>
    </row>
    <row r="645" spans="1:14" x14ac:dyDescent="0.35">
      <c r="A645" s="45" t="s">
        <v>1781</v>
      </c>
      <c r="B645" s="56" t="s">
        <v>1529</v>
      </c>
      <c r="C645" s="56" t="s">
        <v>2180</v>
      </c>
      <c r="D645" s="90">
        <v>186</v>
      </c>
      <c r="E645" s="89">
        <v>286</v>
      </c>
      <c r="F645" s="89">
        <v>386</v>
      </c>
      <c r="G645" s="89" t="s">
        <v>1810</v>
      </c>
      <c r="H645" s="89" t="s">
        <v>2181</v>
      </c>
      <c r="I645" s="96">
        <v>20000</v>
      </c>
      <c r="J645" s="96">
        <f t="shared" si="21"/>
        <v>10000</v>
      </c>
      <c r="K645" s="96">
        <f t="shared" si="22"/>
        <v>10000</v>
      </c>
      <c r="L645" s="96">
        <v>20000</v>
      </c>
      <c r="M645" s="96">
        <f t="shared" si="23"/>
        <v>10000</v>
      </c>
      <c r="N645" s="97">
        <f t="shared" si="24"/>
        <v>10000</v>
      </c>
    </row>
    <row r="646" spans="1:14" x14ac:dyDescent="0.35">
      <c r="A646" s="45" t="s">
        <v>1781</v>
      </c>
      <c r="B646" s="56" t="s">
        <v>1532</v>
      </c>
      <c r="C646" s="56" t="s">
        <v>2182</v>
      </c>
      <c r="D646" s="90">
        <v>187</v>
      </c>
      <c r="E646" s="89">
        <v>287</v>
      </c>
      <c r="F646" s="89">
        <v>387</v>
      </c>
      <c r="G646" s="89" t="s">
        <v>1813</v>
      </c>
      <c r="H646" s="89" t="s">
        <v>2183</v>
      </c>
      <c r="I646" s="96">
        <v>187000</v>
      </c>
      <c r="J646" s="96">
        <f t="shared" si="21"/>
        <v>93500</v>
      </c>
      <c r="K646" s="96">
        <f t="shared" si="22"/>
        <v>93500</v>
      </c>
      <c r="L646" s="96">
        <v>187000</v>
      </c>
      <c r="M646" s="96">
        <f t="shared" si="23"/>
        <v>93500</v>
      </c>
      <c r="N646" s="97">
        <f t="shared" si="24"/>
        <v>93500</v>
      </c>
    </row>
    <row r="647" spans="1:14" ht="15" thickBot="1" x14ac:dyDescent="0.4">
      <c r="A647" s="99" t="s">
        <v>1781</v>
      </c>
      <c r="B647" s="60" t="s">
        <v>1535</v>
      </c>
      <c r="C647" s="60" t="s">
        <v>2184</v>
      </c>
      <c r="D647" s="92">
        <v>188</v>
      </c>
      <c r="E647" s="93">
        <v>288</v>
      </c>
      <c r="F647" s="93">
        <v>388</v>
      </c>
      <c r="G647" s="93" t="s">
        <v>1816</v>
      </c>
      <c r="H647" s="93" t="s">
        <v>2185</v>
      </c>
      <c r="I647" s="94">
        <v>188000</v>
      </c>
      <c r="J647" s="94">
        <f t="shared" si="21"/>
        <v>94000</v>
      </c>
      <c r="K647" s="94">
        <f t="shared" si="22"/>
        <v>94000</v>
      </c>
      <c r="L647" s="94">
        <v>188000</v>
      </c>
      <c r="M647" s="94">
        <f t="shared" si="23"/>
        <v>94000</v>
      </c>
      <c r="N647" s="100">
        <f t="shared" si="24"/>
        <v>94000</v>
      </c>
    </row>
    <row r="648" spans="1:14" ht="15.5" x14ac:dyDescent="0.35">
      <c r="D648" s="3"/>
      <c r="K648" s="4"/>
    </row>
  </sheetData>
  <autoFilter ref="A1:N647" xr:uid="{00000000-0009-0000-0000-000000000000}"/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11074"/>
  <sheetViews>
    <sheetView tabSelected="1" zoomScaleNormal="100" workbookViewId="0">
      <pane ySplit="1" topLeftCell="A250" activePane="bottomLeft" state="frozen"/>
      <selection pane="bottomLeft" activeCell="D264" sqref="D264"/>
    </sheetView>
  </sheetViews>
  <sheetFormatPr defaultRowHeight="14.5" x14ac:dyDescent="0.35"/>
  <cols>
    <col min="2" max="2" width="22.26953125" customWidth="1"/>
    <col min="3" max="3" width="22.26953125" style="109" customWidth="1"/>
    <col min="4" max="7" width="22.26953125" customWidth="1"/>
    <col min="8" max="8" width="15.1796875" customWidth="1"/>
    <col min="9" max="9" width="22" customWidth="1"/>
    <col min="10" max="10" width="14.453125" customWidth="1"/>
    <col min="11" max="11" width="11.81640625" customWidth="1"/>
    <col min="12" max="12" width="8.7265625" style="9" customWidth="1"/>
    <col min="13" max="13" width="41.1796875" style="2" customWidth="1"/>
    <col min="14" max="14" width="13.7265625" style="2" bestFit="1" customWidth="1"/>
    <col min="15" max="17" width="9.1796875" style="1"/>
    <col min="18" max="18" width="21.7265625" style="1" customWidth="1"/>
    <col min="19" max="21" width="9.1796875" style="1"/>
  </cols>
  <sheetData>
    <row r="1" spans="1:21" s="27" customFormat="1" x14ac:dyDescent="0.35">
      <c r="A1" s="27" t="s">
        <v>2186</v>
      </c>
      <c r="B1" s="27" t="s">
        <v>2187</v>
      </c>
      <c r="C1" s="108" t="s">
        <v>2188</v>
      </c>
      <c r="D1" s="27" t="s">
        <v>2207</v>
      </c>
      <c r="E1" s="28" t="s">
        <v>2208</v>
      </c>
      <c r="F1" s="28" t="s">
        <v>2221</v>
      </c>
      <c r="G1" s="28" t="s">
        <v>2222</v>
      </c>
      <c r="H1" s="28" t="s">
        <v>1782</v>
      </c>
      <c r="I1" s="28" t="s">
        <v>792</v>
      </c>
      <c r="J1" s="28" t="s">
        <v>2213</v>
      </c>
      <c r="K1" s="28" t="s">
        <v>2214</v>
      </c>
      <c r="L1" s="29" t="s">
        <v>2209</v>
      </c>
      <c r="M1" s="28"/>
      <c r="N1" s="30"/>
      <c r="O1" s="31"/>
      <c r="P1" s="31"/>
      <c r="Q1" s="31"/>
      <c r="R1" s="31"/>
      <c r="S1" s="31"/>
      <c r="T1" s="31"/>
      <c r="U1" s="31"/>
    </row>
    <row r="2" spans="1:21" x14ac:dyDescent="0.35">
      <c r="A2">
        <v>1</v>
      </c>
      <c r="B2" t="s">
        <v>0</v>
      </c>
      <c r="C2" s="109" t="str">
        <f>IF(ISBLANK(K2),IFERROR(VLOOKUP(I2,FS_input_data!$C$1:$N$106,Export!J2,FALSE),""),K2)</f>
        <v/>
      </c>
      <c r="E2" t="s">
        <v>1561</v>
      </c>
      <c r="F2" s="6"/>
      <c r="G2" s="6"/>
      <c r="H2" s="6" t="s">
        <v>2210</v>
      </c>
      <c r="I2" t="s">
        <v>1561</v>
      </c>
      <c r="J2" t="s">
        <v>1561</v>
      </c>
      <c r="L2" s="9" t="e">
        <f t="shared" ref="L2:L65" si="0">FIND("/",B2)</f>
        <v>#VALUE!</v>
      </c>
      <c r="M2" s="14"/>
      <c r="N2" s="10"/>
      <c r="R2" s="7"/>
    </row>
    <row r="3" spans="1:21" x14ac:dyDescent="0.35">
      <c r="A3">
        <f t="shared" ref="A3:A66" si="1">A2+1</f>
        <v>2</v>
      </c>
      <c r="B3" t="s">
        <v>2252</v>
      </c>
      <c r="C3" s="109" t="str">
        <f>IF(ISBLANK(K3),IFERROR(VLOOKUP(I3,FS_input_data!$C$1:$N$106,Export!J3,FALSE),""),K3)</f>
        <v/>
      </c>
      <c r="D3" s="6"/>
      <c r="E3" t="s">
        <v>1561</v>
      </c>
      <c r="F3" s="6"/>
      <c r="G3" s="6"/>
      <c r="H3" s="6" t="s">
        <v>2210</v>
      </c>
      <c r="I3" t="s">
        <v>1561</v>
      </c>
      <c r="J3" t="s">
        <v>1561</v>
      </c>
      <c r="L3" s="26">
        <f t="shared" si="0"/>
        <v>31</v>
      </c>
      <c r="M3" s="14"/>
      <c r="N3" s="10"/>
      <c r="R3" s="7"/>
    </row>
    <row r="4" spans="1:21" x14ac:dyDescent="0.35">
      <c r="A4">
        <f t="shared" si="1"/>
        <v>3</v>
      </c>
      <c r="B4" t="s">
        <v>1</v>
      </c>
      <c r="C4" s="109" t="str">
        <f>IF(ISBLANK(K4),IFERROR(VLOOKUP(I4,FS_input_data!$C$1:$N$106,Export!J4,FALSE),""),K4)</f>
        <v/>
      </c>
      <c r="D4" s="6"/>
      <c r="E4" t="s">
        <v>1561</v>
      </c>
      <c r="F4" s="6"/>
      <c r="G4" s="6"/>
      <c r="H4" s="6" t="s">
        <v>2210</v>
      </c>
      <c r="I4" t="s">
        <v>1561</v>
      </c>
      <c r="J4" t="s">
        <v>1561</v>
      </c>
      <c r="L4" s="9" t="e">
        <f t="shared" si="0"/>
        <v>#VALUE!</v>
      </c>
      <c r="M4" s="14"/>
      <c r="N4" s="10"/>
      <c r="R4" s="7"/>
    </row>
    <row r="5" spans="1:21" x14ac:dyDescent="0.35">
      <c r="A5" s="9">
        <f t="shared" si="1"/>
        <v>4</v>
      </c>
      <c r="B5" t="s">
        <v>2</v>
      </c>
      <c r="C5" s="109" t="str">
        <f>IF(ISBLANK(K5),IFERROR(VLOOKUP(I5,FS_input_data!$C$1:$N$106,Export!J5,FALSE),""),K5)</f>
        <v>2018-01-01</v>
      </c>
      <c r="D5" s="7" t="b">
        <v>1</v>
      </c>
      <c r="E5" t="s">
        <v>1561</v>
      </c>
      <c r="F5" s="6"/>
      <c r="G5" s="6"/>
      <c r="H5" s="6" t="s">
        <v>2210</v>
      </c>
      <c r="I5" t="s">
        <v>845</v>
      </c>
      <c r="J5">
        <v>2</v>
      </c>
      <c r="L5" s="9" t="e">
        <f t="shared" si="0"/>
        <v>#VALUE!</v>
      </c>
      <c r="M5" s="14"/>
      <c r="N5" s="10"/>
      <c r="R5" s="6"/>
    </row>
    <row r="6" spans="1:21" x14ac:dyDescent="0.35">
      <c r="A6">
        <f t="shared" si="1"/>
        <v>5</v>
      </c>
      <c r="B6" t="s">
        <v>3</v>
      </c>
      <c r="C6" s="109" t="str">
        <f>IF(ISBLANK(K6),IFERROR(VLOOKUP(I6,FS_input_data!$C$1:$N$106,Export!J6,FALSE),""),K6)</f>
        <v/>
      </c>
      <c r="D6" s="6"/>
      <c r="E6" t="s">
        <v>1561</v>
      </c>
      <c r="F6" s="6"/>
      <c r="G6" s="6"/>
      <c r="H6" s="6" t="s">
        <v>2210</v>
      </c>
      <c r="I6" t="s">
        <v>1561</v>
      </c>
      <c r="J6" t="s">
        <v>1561</v>
      </c>
      <c r="L6">
        <f t="shared" si="0"/>
        <v>1</v>
      </c>
      <c r="M6" s="14"/>
      <c r="N6" s="10"/>
      <c r="R6" s="6"/>
    </row>
    <row r="7" spans="1:21" ht="15.5" x14ac:dyDescent="0.35">
      <c r="A7" s="9">
        <f t="shared" si="1"/>
        <v>6</v>
      </c>
      <c r="B7" t="s">
        <v>4</v>
      </c>
      <c r="C7" s="109" t="str">
        <f>IF(ISBLANK(K7),IFERROR(VLOOKUP(I7,FS_input_data!$C$1:$N$106,Export!J7,FALSE),""),K7)</f>
        <v>2018-12-31</v>
      </c>
      <c r="D7" s="7" t="b">
        <v>1</v>
      </c>
      <c r="E7" t="s">
        <v>1561</v>
      </c>
      <c r="F7" s="6"/>
      <c r="G7" s="6"/>
      <c r="H7" s="6" t="s">
        <v>2210</v>
      </c>
      <c r="I7" t="s">
        <v>846</v>
      </c>
      <c r="J7">
        <v>2</v>
      </c>
      <c r="L7" s="9" t="e">
        <f t="shared" si="0"/>
        <v>#VALUE!</v>
      </c>
      <c r="M7" s="15"/>
      <c r="N7" s="10"/>
      <c r="R7" s="6"/>
    </row>
    <row r="8" spans="1:21" ht="15.5" x14ac:dyDescent="0.35">
      <c r="A8">
        <f t="shared" si="1"/>
        <v>7</v>
      </c>
      <c r="B8" t="s">
        <v>5</v>
      </c>
      <c r="C8" s="109" t="str">
        <f>IF(ISBLANK(K8),IFERROR(VLOOKUP(I8,FS_input_data!$C$1:$N$106,Export!J8,FALSE),""),K8)</f>
        <v/>
      </c>
      <c r="D8" s="6"/>
      <c r="E8" t="s">
        <v>1561</v>
      </c>
      <c r="F8" s="6"/>
      <c r="G8" s="6"/>
      <c r="H8" s="6" t="s">
        <v>2210</v>
      </c>
      <c r="I8" t="s">
        <v>1561</v>
      </c>
      <c r="J8" t="s">
        <v>1561</v>
      </c>
      <c r="L8">
        <f t="shared" si="0"/>
        <v>1</v>
      </c>
      <c r="M8" s="15"/>
      <c r="N8" s="10"/>
      <c r="R8" s="6"/>
    </row>
    <row r="9" spans="1:21" ht="15.5" x14ac:dyDescent="0.35">
      <c r="A9" s="9">
        <f t="shared" si="1"/>
        <v>8</v>
      </c>
      <c r="B9" t="s">
        <v>6</v>
      </c>
      <c r="C9" s="109" t="str">
        <f>IF(ISBLANK(K9),IFERROR(VLOOKUP(I9,FS_input_data!$C$1:$N$106,Export!J9,FALSE),""),K9)</f>
        <v>2018-01-01</v>
      </c>
      <c r="D9" s="7" t="b">
        <v>1</v>
      </c>
      <c r="E9" t="s">
        <v>1561</v>
      </c>
      <c r="F9" s="6"/>
      <c r="G9" s="6"/>
      <c r="H9" s="6" t="s">
        <v>2210</v>
      </c>
      <c r="I9" t="s">
        <v>847</v>
      </c>
      <c r="J9">
        <v>2</v>
      </c>
      <c r="L9" s="9" t="e">
        <f t="shared" si="0"/>
        <v>#VALUE!</v>
      </c>
      <c r="M9" s="15"/>
      <c r="N9" s="16"/>
      <c r="R9" s="6"/>
    </row>
    <row r="10" spans="1:21" ht="15.5" x14ac:dyDescent="0.35">
      <c r="A10">
        <f t="shared" si="1"/>
        <v>9</v>
      </c>
      <c r="B10" t="s">
        <v>7</v>
      </c>
      <c r="C10" s="109" t="str">
        <f>IF(ISBLANK(K10),IFERROR(VLOOKUP(I10,FS_input_data!$C$1:$N$106,Export!J10,FALSE),""),K10)</f>
        <v/>
      </c>
      <c r="D10" s="6"/>
      <c r="E10" t="s">
        <v>1561</v>
      </c>
      <c r="F10" s="6"/>
      <c r="G10" s="6"/>
      <c r="H10" s="6" t="s">
        <v>2210</v>
      </c>
      <c r="I10" t="s">
        <v>1561</v>
      </c>
      <c r="J10" t="s">
        <v>1561</v>
      </c>
      <c r="L10">
        <f t="shared" si="0"/>
        <v>1</v>
      </c>
      <c r="M10" s="15"/>
      <c r="N10" s="10"/>
      <c r="R10" s="6"/>
    </row>
    <row r="11" spans="1:21" ht="15.5" x14ac:dyDescent="0.35">
      <c r="A11">
        <f t="shared" si="1"/>
        <v>10</v>
      </c>
      <c r="B11" t="s">
        <v>8</v>
      </c>
      <c r="C11" s="109" t="str">
        <f>IF(ISBLANK(K11),IFERROR(VLOOKUP(I11,FS_input_data!$C$1:$N$106,Export!J11,FALSE),""),K11)</f>
        <v>SprFinJednostkaInnaWZlotych</v>
      </c>
      <c r="D11" s="7" t="b">
        <v>1</v>
      </c>
      <c r="E11" t="s">
        <v>1561</v>
      </c>
      <c r="F11" s="6"/>
      <c r="G11" s="6"/>
      <c r="H11" s="6" t="s">
        <v>2210</v>
      </c>
      <c r="K11" t="s">
        <v>2204</v>
      </c>
      <c r="L11" s="9" t="e">
        <f t="shared" si="0"/>
        <v>#VALUE!</v>
      </c>
      <c r="M11" s="15"/>
      <c r="N11" s="10"/>
      <c r="R11" s="6"/>
    </row>
    <row r="12" spans="1:21" ht="15.5" x14ac:dyDescent="0.35">
      <c r="A12">
        <f t="shared" si="1"/>
        <v>11</v>
      </c>
      <c r="B12" t="s">
        <v>9</v>
      </c>
      <c r="C12" s="109" t="str">
        <f>IF(ISBLANK(K12),IFERROR(VLOOKUP(I12,FS_input_data!$C$1:$N$106,Export!J12,FALSE),""),K12)</f>
        <v/>
      </c>
      <c r="D12" s="6"/>
      <c r="E12" t="s">
        <v>1561</v>
      </c>
      <c r="F12" s="6"/>
      <c r="G12" s="6"/>
      <c r="H12" s="6" t="s">
        <v>2210</v>
      </c>
      <c r="K12" t="s">
        <v>1561</v>
      </c>
      <c r="L12">
        <f t="shared" si="0"/>
        <v>1</v>
      </c>
      <c r="M12" s="15"/>
      <c r="N12" s="10"/>
      <c r="R12" s="6"/>
    </row>
    <row r="13" spans="1:21" ht="15.5" x14ac:dyDescent="0.35">
      <c r="A13" s="9">
        <f t="shared" si="1"/>
        <v>12</v>
      </c>
      <c r="B13" t="s">
        <v>10</v>
      </c>
      <c r="C13" s="109">
        <f>IF(ISBLANK(K13),IFERROR(VLOOKUP(I13,FS_input_data!$C$1:$N$106,Export!J13,FALSE),""),K13)</f>
        <v>1</v>
      </c>
      <c r="D13" s="7" t="b">
        <v>1</v>
      </c>
      <c r="E13" t="s">
        <v>1561</v>
      </c>
      <c r="F13" s="6"/>
      <c r="G13" s="6"/>
      <c r="H13" s="6" t="s">
        <v>2210</v>
      </c>
      <c r="K13">
        <v>1</v>
      </c>
      <c r="L13" s="9" t="e">
        <f t="shared" si="0"/>
        <v>#VALUE!</v>
      </c>
      <c r="M13" s="15"/>
      <c r="N13" s="10"/>
      <c r="R13" s="6"/>
    </row>
    <row r="14" spans="1:21" ht="15.5" x14ac:dyDescent="0.35">
      <c r="A14">
        <f t="shared" si="1"/>
        <v>13</v>
      </c>
      <c r="B14" t="s">
        <v>11</v>
      </c>
      <c r="C14" s="109" t="str">
        <f>IF(ISBLANK(K14),IFERROR(VLOOKUP(I14,FS_input_data!$C$1:$N$106,Export!J14,FALSE),""),K14)</f>
        <v/>
      </c>
      <c r="D14" s="6"/>
      <c r="E14" t="s">
        <v>1561</v>
      </c>
      <c r="F14" s="6"/>
      <c r="G14" s="6"/>
      <c r="H14" s="6" t="s">
        <v>2210</v>
      </c>
      <c r="I14" t="s">
        <v>1561</v>
      </c>
      <c r="J14" t="s">
        <v>1561</v>
      </c>
      <c r="L14">
        <f t="shared" si="0"/>
        <v>1</v>
      </c>
      <c r="M14" s="15"/>
      <c r="N14" s="10"/>
      <c r="R14" s="6"/>
    </row>
    <row r="15" spans="1:21" ht="15.5" x14ac:dyDescent="0.35">
      <c r="A15">
        <f t="shared" si="1"/>
        <v>14</v>
      </c>
      <c r="B15" t="s">
        <v>12</v>
      </c>
      <c r="C15" s="109" t="str">
        <f>IF(ISBLANK(K15),IFERROR(VLOOKUP(I15,FS_input_data!$C$1:$N$106,Export!J15,FALSE),""),K15)</f>
        <v/>
      </c>
      <c r="D15" s="6"/>
      <c r="E15" t="s">
        <v>1561</v>
      </c>
      <c r="F15" s="6"/>
      <c r="G15" s="6"/>
      <c r="H15" s="6" t="s">
        <v>2210</v>
      </c>
      <c r="I15" t="s">
        <v>1561</v>
      </c>
      <c r="J15" t="s">
        <v>1561</v>
      </c>
      <c r="L15">
        <f t="shared" si="0"/>
        <v>1</v>
      </c>
      <c r="M15" s="15"/>
      <c r="N15" s="10"/>
      <c r="R15" s="6"/>
    </row>
    <row r="16" spans="1:21" ht="15.5" x14ac:dyDescent="0.35">
      <c r="A16">
        <f t="shared" si="1"/>
        <v>15</v>
      </c>
      <c r="B16" t="s">
        <v>13</v>
      </c>
      <c r="C16" s="109" t="str">
        <f>IF(ISBLANK(K16),IFERROR(VLOOKUP(I16,FS_input_data!$C$1:$N$106,Export!J16,FALSE),""),K16)</f>
        <v/>
      </c>
      <c r="D16" s="6"/>
      <c r="E16" t="s">
        <v>1561</v>
      </c>
      <c r="F16" s="6"/>
      <c r="G16" s="6"/>
      <c r="H16" s="6" t="s">
        <v>2210</v>
      </c>
      <c r="I16" t="s">
        <v>1561</v>
      </c>
      <c r="J16" t="s">
        <v>1561</v>
      </c>
      <c r="L16" s="9" t="e">
        <f t="shared" si="0"/>
        <v>#VALUE!</v>
      </c>
      <c r="M16" s="15"/>
      <c r="N16" s="10"/>
      <c r="R16" s="6"/>
    </row>
    <row r="17" spans="1:18" ht="15.5" x14ac:dyDescent="0.35">
      <c r="A17">
        <f t="shared" si="1"/>
        <v>16</v>
      </c>
      <c r="B17" t="s">
        <v>14</v>
      </c>
      <c r="C17" s="109" t="str">
        <f>IF(ISBLANK(K17),IFERROR(VLOOKUP(I17,FS_input_data!$C$1:$N$106,Export!J17,FALSE),""),K17)</f>
        <v/>
      </c>
      <c r="D17" s="6"/>
      <c r="E17" t="s">
        <v>2240</v>
      </c>
      <c r="F17" s="6"/>
      <c r="G17" s="6"/>
      <c r="H17" s="6" t="s">
        <v>2210</v>
      </c>
      <c r="I17" t="s">
        <v>1561</v>
      </c>
      <c r="J17" t="s">
        <v>1561</v>
      </c>
      <c r="L17" s="9" t="e">
        <f t="shared" si="0"/>
        <v>#VALUE!</v>
      </c>
      <c r="M17" s="15"/>
      <c r="N17" s="10"/>
      <c r="R17" s="6"/>
    </row>
    <row r="18" spans="1:18" ht="15.5" x14ac:dyDescent="0.35">
      <c r="A18">
        <f t="shared" si="1"/>
        <v>17</v>
      </c>
      <c r="B18" t="s">
        <v>15</v>
      </c>
      <c r="C18" s="109" t="str">
        <f>IF(ISBLANK(K18),IFERROR(VLOOKUP(I18,FS_input_data!$C$1:$N$106,Export!J18,FALSE),""),K18)</f>
        <v/>
      </c>
      <c r="D18" s="6"/>
      <c r="E18" t="s">
        <v>2241</v>
      </c>
      <c r="F18" s="6"/>
      <c r="G18" s="6"/>
      <c r="H18" s="6" t="s">
        <v>2210</v>
      </c>
      <c r="I18" t="s">
        <v>1561</v>
      </c>
      <c r="J18" t="s">
        <v>1561</v>
      </c>
      <c r="L18" s="9" t="e">
        <f t="shared" si="0"/>
        <v>#VALUE!</v>
      </c>
      <c r="M18" s="15"/>
      <c r="N18" s="10"/>
      <c r="R18" s="6"/>
    </row>
    <row r="19" spans="1:18" ht="15.5" x14ac:dyDescent="0.35">
      <c r="A19" s="9">
        <f t="shared" si="1"/>
        <v>18</v>
      </c>
      <c r="B19" t="s">
        <v>16</v>
      </c>
      <c r="C19" s="109" t="str">
        <f>IF(ISBLANK(K19),IFERROR(VLOOKUP(I19,FS_input_data!$C$1:$N$106,Export!J19,FALSE),""),K19)</f>
        <v>P1</v>
      </c>
      <c r="D19" s="7" t="b">
        <v>1</v>
      </c>
      <c r="E19" t="s">
        <v>1561</v>
      </c>
      <c r="F19" s="6"/>
      <c r="G19" s="6"/>
      <c r="H19" s="6" t="s">
        <v>2210</v>
      </c>
      <c r="I19" t="s">
        <v>793</v>
      </c>
      <c r="J19">
        <v>2</v>
      </c>
      <c r="L19" s="9" t="e">
        <f t="shared" si="0"/>
        <v>#VALUE!</v>
      </c>
      <c r="M19" s="15"/>
      <c r="N19" s="17"/>
      <c r="R19" s="6"/>
    </row>
    <row r="20" spans="1:18" ht="15.5" x14ac:dyDescent="0.35">
      <c r="A20">
        <f t="shared" si="1"/>
        <v>19</v>
      </c>
      <c r="B20" t="s">
        <v>17</v>
      </c>
      <c r="C20" s="109" t="str">
        <f>IF(ISBLANK(K20),IFERROR(VLOOKUP(I20,FS_input_data!$C$1:$N$106,Export!J20,FALSE),""),K20)</f>
        <v/>
      </c>
      <c r="D20" s="6"/>
      <c r="E20" t="s">
        <v>1561</v>
      </c>
      <c r="F20" s="6"/>
      <c r="G20" s="6"/>
      <c r="H20" s="6" t="s">
        <v>2210</v>
      </c>
      <c r="I20" t="s">
        <v>1561</v>
      </c>
      <c r="J20" t="s">
        <v>1561</v>
      </c>
      <c r="L20">
        <f t="shared" si="0"/>
        <v>1</v>
      </c>
      <c r="M20" s="15"/>
      <c r="N20" s="10"/>
      <c r="R20" s="6"/>
    </row>
    <row r="21" spans="1:18" ht="15.5" x14ac:dyDescent="0.35">
      <c r="A21">
        <f t="shared" si="1"/>
        <v>20</v>
      </c>
      <c r="B21" t="s">
        <v>18</v>
      </c>
      <c r="C21" s="109" t="str">
        <f>IF(ISBLANK(K21),IFERROR(VLOOKUP(I21,FS_input_data!$C$1:$N$106,Export!J21,FALSE),""),K21)</f>
        <v/>
      </c>
      <c r="D21" s="6"/>
      <c r="E21" t="s">
        <v>1561</v>
      </c>
      <c r="F21" s="6"/>
      <c r="G21" s="6"/>
      <c r="H21" s="6" t="s">
        <v>2210</v>
      </c>
      <c r="I21" t="s">
        <v>1561</v>
      </c>
      <c r="J21" t="s">
        <v>1561</v>
      </c>
      <c r="L21" s="9" t="e">
        <f t="shared" si="0"/>
        <v>#VALUE!</v>
      </c>
      <c r="M21" s="15"/>
      <c r="N21" s="10"/>
      <c r="R21" s="6"/>
    </row>
    <row r="22" spans="1:18" ht="15.5" x14ac:dyDescent="0.35">
      <c r="A22" s="9">
        <f t="shared" si="1"/>
        <v>21</v>
      </c>
      <c r="B22" t="s">
        <v>19</v>
      </c>
      <c r="C22" s="109" t="str">
        <f>IF(ISBLANK(K22),IFERROR(VLOOKUP(I22,FS_input_data!$C$1:$N$106,Export!J22,FALSE),""),K22)</f>
        <v>pomorskie</v>
      </c>
      <c r="D22" s="7" t="b">
        <v>1</v>
      </c>
      <c r="E22" t="s">
        <v>1561</v>
      </c>
      <c r="F22" s="6"/>
      <c r="G22" s="6"/>
      <c r="H22" s="6" t="s">
        <v>2210</v>
      </c>
      <c r="I22" t="s">
        <v>812</v>
      </c>
      <c r="J22">
        <v>2</v>
      </c>
      <c r="L22" s="9" t="e">
        <f t="shared" si="0"/>
        <v>#VALUE!</v>
      </c>
      <c r="M22" s="15"/>
      <c r="N22" s="10"/>
      <c r="R22" s="6"/>
    </row>
    <row r="23" spans="1:18" ht="15.5" x14ac:dyDescent="0.35">
      <c r="A23">
        <f t="shared" si="1"/>
        <v>22</v>
      </c>
      <c r="B23" t="s">
        <v>20</v>
      </c>
      <c r="C23" s="109" t="str">
        <f>IF(ISBLANK(K23),IFERROR(VLOOKUP(I23,FS_input_data!$C$1:$N$106,Export!J23,FALSE),""),K23)</f>
        <v/>
      </c>
      <c r="D23" s="6"/>
      <c r="E23" t="s">
        <v>1561</v>
      </c>
      <c r="F23" s="6"/>
      <c r="G23" s="6"/>
      <c r="H23" s="6" t="s">
        <v>2210</v>
      </c>
      <c r="I23" t="s">
        <v>1561</v>
      </c>
      <c r="J23" t="s">
        <v>1561</v>
      </c>
      <c r="L23">
        <f t="shared" si="0"/>
        <v>1</v>
      </c>
      <c r="M23" s="15"/>
      <c r="N23" s="10"/>
      <c r="R23" s="6"/>
    </row>
    <row r="24" spans="1:18" ht="15.5" x14ac:dyDescent="0.35">
      <c r="A24" s="9">
        <f t="shared" si="1"/>
        <v>23</v>
      </c>
      <c r="B24" t="s">
        <v>21</v>
      </c>
      <c r="C24" s="109" t="str">
        <f>IF(ISBLANK(K24),IFERROR(VLOOKUP(I24,FS_input_data!$C$1:$N$106,Export!J24,FALSE),""),K24)</f>
        <v>POW</v>
      </c>
      <c r="D24" s="7" t="b">
        <v>1</v>
      </c>
      <c r="E24" t="s">
        <v>1561</v>
      </c>
      <c r="F24" s="6"/>
      <c r="G24" s="6"/>
      <c r="H24" s="6" t="s">
        <v>2210</v>
      </c>
      <c r="I24" t="s">
        <v>810</v>
      </c>
      <c r="J24">
        <v>2</v>
      </c>
      <c r="L24" s="9" t="e">
        <f t="shared" si="0"/>
        <v>#VALUE!</v>
      </c>
      <c r="M24" s="15"/>
      <c r="N24" s="10"/>
      <c r="R24" s="6"/>
    </row>
    <row r="25" spans="1:18" ht="15.5" x14ac:dyDescent="0.35">
      <c r="A25">
        <f t="shared" si="1"/>
        <v>24</v>
      </c>
      <c r="B25" t="s">
        <v>22</v>
      </c>
      <c r="C25" s="109" t="str">
        <f>IF(ISBLANK(K25),IFERROR(VLOOKUP(I25,FS_input_data!$C$1:$N$106,Export!J25,FALSE),""),K25)</f>
        <v/>
      </c>
      <c r="D25" s="6"/>
      <c r="E25" t="s">
        <v>1561</v>
      </c>
      <c r="F25" s="6"/>
      <c r="G25" s="6"/>
      <c r="H25" s="6" t="s">
        <v>2210</v>
      </c>
      <c r="I25" t="s">
        <v>1561</v>
      </c>
      <c r="J25" t="s">
        <v>1561</v>
      </c>
      <c r="L25">
        <f t="shared" si="0"/>
        <v>1</v>
      </c>
      <c r="M25" s="15"/>
      <c r="N25" s="10"/>
      <c r="R25" s="6"/>
    </row>
    <row r="26" spans="1:18" ht="15.5" x14ac:dyDescent="0.35">
      <c r="A26" s="9">
        <f t="shared" si="1"/>
        <v>25</v>
      </c>
      <c r="B26" t="s">
        <v>23</v>
      </c>
      <c r="C26" s="109" t="str">
        <f>IF(ISBLANK(K26),IFERROR(VLOOKUP(I26,FS_input_data!$C$1:$N$106,Export!J26,FALSE),""),K26)</f>
        <v>GMINA</v>
      </c>
      <c r="D26" s="7" t="b">
        <v>1</v>
      </c>
      <c r="E26" t="s">
        <v>1561</v>
      </c>
      <c r="F26" s="6"/>
      <c r="G26" s="6"/>
      <c r="H26" s="6" t="s">
        <v>2210</v>
      </c>
      <c r="I26" t="s">
        <v>808</v>
      </c>
      <c r="J26">
        <v>2</v>
      </c>
      <c r="L26" s="9" t="e">
        <f t="shared" si="0"/>
        <v>#VALUE!</v>
      </c>
      <c r="M26" s="15"/>
      <c r="N26" s="13"/>
      <c r="R26" s="6"/>
    </row>
    <row r="27" spans="1:18" ht="15.5" x14ac:dyDescent="0.35">
      <c r="A27">
        <f t="shared" si="1"/>
        <v>26</v>
      </c>
      <c r="B27" t="s">
        <v>24</v>
      </c>
      <c r="C27" s="109" t="str">
        <f>IF(ISBLANK(K27),IFERROR(VLOOKUP(I27,FS_input_data!$C$1:$N$106,Export!J27,FALSE),""),K27)</f>
        <v/>
      </c>
      <c r="D27" s="6"/>
      <c r="E27" t="s">
        <v>1561</v>
      </c>
      <c r="F27" s="6"/>
      <c r="G27" s="6"/>
      <c r="H27" s="6" t="s">
        <v>2210</v>
      </c>
      <c r="I27" t="s">
        <v>1561</v>
      </c>
      <c r="J27" t="s">
        <v>1561</v>
      </c>
      <c r="L27">
        <f t="shared" si="0"/>
        <v>1</v>
      </c>
      <c r="M27" s="15"/>
      <c r="N27" s="13"/>
      <c r="R27" s="6"/>
    </row>
    <row r="28" spans="1:18" ht="15.5" x14ac:dyDescent="0.35">
      <c r="A28" s="9">
        <f t="shared" si="1"/>
        <v>27</v>
      </c>
      <c r="B28" t="s">
        <v>25</v>
      </c>
      <c r="C28" s="109" t="str">
        <f>IF(ISBLANK(K28),IFERROR(VLOOKUP(I28,FS_input_data!$C$1:$N$106,Export!J28,FALSE),""),K28)</f>
        <v>Gdansk</v>
      </c>
      <c r="D28" s="7" t="b">
        <v>1</v>
      </c>
      <c r="E28" t="s">
        <v>1561</v>
      </c>
      <c r="F28" s="6"/>
      <c r="G28" s="6"/>
      <c r="H28" s="6" t="s">
        <v>2210</v>
      </c>
      <c r="I28" t="s">
        <v>801</v>
      </c>
      <c r="J28">
        <v>2</v>
      </c>
      <c r="L28" s="9" t="e">
        <f t="shared" si="0"/>
        <v>#VALUE!</v>
      </c>
      <c r="M28" s="15"/>
      <c r="N28" s="13"/>
      <c r="R28" s="6"/>
    </row>
    <row r="29" spans="1:18" ht="15.5" x14ac:dyDescent="0.35">
      <c r="A29">
        <f t="shared" si="1"/>
        <v>28</v>
      </c>
      <c r="B29" t="s">
        <v>26</v>
      </c>
      <c r="C29" s="109" t="str">
        <f>IF(ISBLANK(K29),IFERROR(VLOOKUP(I29,FS_input_data!$C$1:$N$106,Export!J29,FALSE),""),K29)</f>
        <v/>
      </c>
      <c r="D29" s="6"/>
      <c r="E29" t="s">
        <v>1561</v>
      </c>
      <c r="F29" s="6"/>
      <c r="G29" s="6"/>
      <c r="H29" s="6" t="s">
        <v>2210</v>
      </c>
      <c r="I29" t="s">
        <v>1561</v>
      </c>
      <c r="J29" t="s">
        <v>1561</v>
      </c>
      <c r="L29">
        <f t="shared" si="0"/>
        <v>1</v>
      </c>
      <c r="M29" s="15"/>
      <c r="N29" s="13"/>
      <c r="R29" s="6"/>
    </row>
    <row r="30" spans="1:18" ht="15.5" x14ac:dyDescent="0.35">
      <c r="A30">
        <f t="shared" si="1"/>
        <v>29</v>
      </c>
      <c r="B30" t="s">
        <v>27</v>
      </c>
      <c r="C30" s="109" t="str">
        <f>IF(ISBLANK(K30),IFERROR(VLOOKUP(I30,FS_input_data!$C$1:$N$106,Export!J30,FALSE),""),K30)</f>
        <v/>
      </c>
      <c r="D30" s="6"/>
      <c r="E30" t="s">
        <v>1561</v>
      </c>
      <c r="F30" s="6"/>
      <c r="G30" s="6"/>
      <c r="H30" s="6" t="s">
        <v>2210</v>
      </c>
      <c r="I30" t="s">
        <v>1561</v>
      </c>
      <c r="J30" t="s">
        <v>1561</v>
      </c>
      <c r="L30">
        <f t="shared" si="0"/>
        <v>1</v>
      </c>
      <c r="M30" s="15"/>
      <c r="N30" s="13"/>
      <c r="R30" s="6"/>
    </row>
    <row r="31" spans="1:18" ht="15.5" x14ac:dyDescent="0.35">
      <c r="A31">
        <f t="shared" si="1"/>
        <v>30</v>
      </c>
      <c r="B31" t="s">
        <v>28</v>
      </c>
      <c r="C31" s="109" t="str">
        <f>IF(ISBLANK(K31),IFERROR(VLOOKUP(I31,FS_input_data!$C$1:$N$106,Export!J31,FALSE),""),K31)</f>
        <v/>
      </c>
      <c r="D31" s="6"/>
      <c r="E31" t="s">
        <v>1561</v>
      </c>
      <c r="F31" s="6"/>
      <c r="G31" s="6"/>
      <c r="H31" s="6" t="s">
        <v>2210</v>
      </c>
      <c r="I31" t="s">
        <v>1561</v>
      </c>
      <c r="J31" t="s">
        <v>1561</v>
      </c>
      <c r="L31">
        <f t="shared" si="0"/>
        <v>1</v>
      </c>
      <c r="M31" s="15"/>
      <c r="N31" s="13"/>
      <c r="R31" s="6"/>
    </row>
    <row r="32" spans="1:18" ht="15.5" x14ac:dyDescent="0.35">
      <c r="A32">
        <f t="shared" si="1"/>
        <v>31</v>
      </c>
      <c r="B32" t="s">
        <v>29</v>
      </c>
      <c r="C32" s="109" t="str">
        <f>IF(ISBLANK(K32),IFERROR(VLOOKUP(I32,FS_input_data!$C$1:$N$106,Export!J32,FALSE),""),K32)</f>
        <v/>
      </c>
      <c r="D32" s="6"/>
      <c r="E32" t="s">
        <v>2242</v>
      </c>
      <c r="F32" s="6"/>
      <c r="G32" s="6"/>
      <c r="H32" s="6" t="s">
        <v>2210</v>
      </c>
      <c r="I32" t="s">
        <v>1561</v>
      </c>
      <c r="J32" t="s">
        <v>1561</v>
      </c>
      <c r="L32" s="9" t="e">
        <f t="shared" si="0"/>
        <v>#VALUE!</v>
      </c>
      <c r="M32" s="15"/>
      <c r="N32" s="13"/>
      <c r="R32" s="6"/>
    </row>
    <row r="33" spans="1:18" ht="15.5" x14ac:dyDescent="0.35">
      <c r="A33">
        <f t="shared" si="1"/>
        <v>32</v>
      </c>
      <c r="B33" t="s">
        <v>30</v>
      </c>
      <c r="C33" s="109" t="str">
        <f>IF(ISBLANK(K33),IFERROR(VLOOKUP(I33,FS_input_data!$C$1:$N$106,Export!J33,FALSE),""),K33)</f>
        <v/>
      </c>
      <c r="D33" s="6"/>
      <c r="E33" t="s">
        <v>1561</v>
      </c>
      <c r="F33" s="6"/>
      <c r="G33" s="6"/>
      <c r="H33" s="6" t="s">
        <v>2210</v>
      </c>
      <c r="I33" t="s">
        <v>1561</v>
      </c>
      <c r="J33" t="s">
        <v>1561</v>
      </c>
      <c r="L33" s="9" t="e">
        <f t="shared" si="0"/>
        <v>#VALUE!</v>
      </c>
      <c r="M33" s="15"/>
      <c r="N33" s="13"/>
      <c r="R33" s="6"/>
    </row>
    <row r="34" spans="1:18" ht="15.5" x14ac:dyDescent="0.35">
      <c r="A34" s="9">
        <f t="shared" si="1"/>
        <v>33</v>
      </c>
      <c r="B34" t="s">
        <v>31</v>
      </c>
      <c r="C34" s="109" t="str">
        <f>IF(ISBLANK(K34),IFERROR(VLOOKUP(I34,FS_input_data!$C$1:$N$106,Export!J34,FALSE),""),K34)</f>
        <v>PL</v>
      </c>
      <c r="D34" s="7" t="b">
        <v>1</v>
      </c>
      <c r="E34" t="s">
        <v>1561</v>
      </c>
      <c r="F34" s="6"/>
      <c r="G34" s="6"/>
      <c r="H34" s="6" t="s">
        <v>2210</v>
      </c>
      <c r="I34" t="s">
        <v>806</v>
      </c>
      <c r="J34">
        <v>2</v>
      </c>
      <c r="L34" s="9" t="e">
        <f t="shared" si="0"/>
        <v>#VALUE!</v>
      </c>
      <c r="M34" s="15"/>
      <c r="N34" s="13"/>
      <c r="R34" s="6"/>
    </row>
    <row r="35" spans="1:18" ht="15.5" x14ac:dyDescent="0.35">
      <c r="A35">
        <f t="shared" si="1"/>
        <v>34</v>
      </c>
      <c r="B35" t="s">
        <v>32</v>
      </c>
      <c r="C35" s="109" t="str">
        <f>IF(ISBLANK(K35),IFERROR(VLOOKUP(I35,FS_input_data!$C$1:$N$106,Export!J35,FALSE),""),K35)</f>
        <v/>
      </c>
      <c r="D35" s="6"/>
      <c r="E35" t="s">
        <v>1561</v>
      </c>
      <c r="F35" s="6"/>
      <c r="G35" s="6"/>
      <c r="H35" s="6" t="s">
        <v>2210</v>
      </c>
      <c r="I35" t="s">
        <v>1561</v>
      </c>
      <c r="J35" t="s">
        <v>1561</v>
      </c>
      <c r="L35">
        <f t="shared" si="0"/>
        <v>1</v>
      </c>
      <c r="M35" s="15"/>
      <c r="N35" s="13"/>
      <c r="R35" s="6"/>
    </row>
    <row r="36" spans="1:18" x14ac:dyDescent="0.35">
      <c r="A36" s="9">
        <f t="shared" si="1"/>
        <v>35</v>
      </c>
      <c r="B36" t="s">
        <v>33</v>
      </c>
      <c r="C36" s="109" t="str">
        <f>IF(ISBLANK(K36),IFERROR(VLOOKUP(I36,FS_input_data!$C$1:$N$106,Export!J36,FALSE),""),K36)</f>
        <v>pomorskie</v>
      </c>
      <c r="D36" s="7" t="b">
        <v>1</v>
      </c>
      <c r="E36" t="s">
        <v>1561</v>
      </c>
      <c r="F36" s="6"/>
      <c r="G36" s="6"/>
      <c r="H36" s="6" t="s">
        <v>2210</v>
      </c>
      <c r="I36" t="s">
        <v>812</v>
      </c>
      <c r="J36">
        <v>2</v>
      </c>
      <c r="L36" s="9" t="e">
        <f t="shared" si="0"/>
        <v>#VALUE!</v>
      </c>
      <c r="M36" s="14"/>
      <c r="N36" s="18"/>
      <c r="R36" s="6"/>
    </row>
    <row r="37" spans="1:18" x14ac:dyDescent="0.35">
      <c r="A37">
        <f t="shared" si="1"/>
        <v>36</v>
      </c>
      <c r="B37" t="s">
        <v>34</v>
      </c>
      <c r="C37" s="109" t="str">
        <f>IF(ISBLANK(K37),IFERROR(VLOOKUP(I37,FS_input_data!$C$1:$N$106,Export!J37,FALSE),""),K37)</f>
        <v/>
      </c>
      <c r="D37" s="6"/>
      <c r="E37" t="s">
        <v>1561</v>
      </c>
      <c r="F37" s="6"/>
      <c r="G37" s="6"/>
      <c r="H37" s="6" t="s">
        <v>2210</v>
      </c>
      <c r="I37" t="s">
        <v>1561</v>
      </c>
      <c r="J37" t="s">
        <v>1561</v>
      </c>
      <c r="L37">
        <f t="shared" si="0"/>
        <v>1</v>
      </c>
      <c r="M37" s="14"/>
      <c r="N37" s="18"/>
      <c r="R37" s="6"/>
    </row>
    <row r="38" spans="1:18" x14ac:dyDescent="0.35">
      <c r="A38" s="9">
        <f t="shared" si="1"/>
        <v>37</v>
      </c>
      <c r="B38" t="s">
        <v>35</v>
      </c>
      <c r="C38" s="109" t="str">
        <f>IF(ISBLANK(K38),IFERROR(VLOOKUP(I38,FS_input_data!$C$1:$N$106,Export!J38,FALSE),""),K38)</f>
        <v>POW</v>
      </c>
      <c r="D38" s="7" t="b">
        <v>1</v>
      </c>
      <c r="E38" t="s">
        <v>1561</v>
      </c>
      <c r="F38" s="6"/>
      <c r="G38" s="6"/>
      <c r="H38" s="6" t="s">
        <v>2210</v>
      </c>
      <c r="I38" t="s">
        <v>810</v>
      </c>
      <c r="J38">
        <v>2</v>
      </c>
      <c r="L38" s="9" t="e">
        <f t="shared" si="0"/>
        <v>#VALUE!</v>
      </c>
      <c r="M38" s="14"/>
      <c r="N38" s="18"/>
      <c r="R38" s="7"/>
    </row>
    <row r="39" spans="1:18" x14ac:dyDescent="0.35">
      <c r="A39">
        <f t="shared" si="1"/>
        <v>38</v>
      </c>
      <c r="B39" t="s">
        <v>36</v>
      </c>
      <c r="C39" s="109" t="str">
        <f>IF(ISBLANK(K39),IFERROR(VLOOKUP(I39,FS_input_data!$C$1:$N$106,Export!J39,FALSE),""),K39)</f>
        <v/>
      </c>
      <c r="D39" s="6"/>
      <c r="E39" t="s">
        <v>1561</v>
      </c>
      <c r="F39" s="6"/>
      <c r="G39" s="6"/>
      <c r="H39" s="6" t="s">
        <v>2210</v>
      </c>
      <c r="I39" t="s">
        <v>1561</v>
      </c>
      <c r="J39" t="s">
        <v>1561</v>
      </c>
      <c r="L39">
        <f t="shared" si="0"/>
        <v>1</v>
      </c>
      <c r="M39" s="14"/>
      <c r="N39" s="10"/>
      <c r="R39" s="6"/>
    </row>
    <row r="40" spans="1:18" x14ac:dyDescent="0.35">
      <c r="A40" s="9">
        <f t="shared" si="1"/>
        <v>39</v>
      </c>
      <c r="B40" t="s">
        <v>37</v>
      </c>
      <c r="C40" s="109" t="str">
        <f>IF(ISBLANK(K40),IFERROR(VLOOKUP(I40,FS_input_data!$C$1:$N$106,Export!J40,FALSE),""),K40)</f>
        <v>GMINA</v>
      </c>
      <c r="D40" s="7" t="b">
        <v>1</v>
      </c>
      <c r="E40" t="s">
        <v>1561</v>
      </c>
      <c r="F40" s="6"/>
      <c r="G40" s="6"/>
      <c r="H40" s="6" t="s">
        <v>2210</v>
      </c>
      <c r="I40" t="s">
        <v>808</v>
      </c>
      <c r="J40">
        <v>2</v>
      </c>
      <c r="L40" s="9" t="e">
        <f t="shared" si="0"/>
        <v>#VALUE!</v>
      </c>
      <c r="M40" s="14"/>
      <c r="N40" s="10"/>
      <c r="R40" s="7"/>
    </row>
    <row r="41" spans="1:18" x14ac:dyDescent="0.35">
      <c r="A41">
        <f t="shared" si="1"/>
        <v>40</v>
      </c>
      <c r="B41" t="s">
        <v>38</v>
      </c>
      <c r="C41" s="109" t="str">
        <f>IF(ISBLANK(K41),IFERROR(VLOOKUP(I41,FS_input_data!$C$1:$N$106,Export!J41,FALSE),""),K41)</f>
        <v/>
      </c>
      <c r="D41" s="6"/>
      <c r="E41" t="s">
        <v>1561</v>
      </c>
      <c r="F41" s="6"/>
      <c r="G41" s="6"/>
      <c r="H41" s="6" t="s">
        <v>2210</v>
      </c>
      <c r="I41" t="s">
        <v>1561</v>
      </c>
      <c r="J41" t="s">
        <v>1561</v>
      </c>
      <c r="L41">
        <f t="shared" si="0"/>
        <v>1</v>
      </c>
      <c r="M41" s="14"/>
      <c r="N41" s="10"/>
      <c r="R41" s="7"/>
    </row>
    <row r="42" spans="1:18" x14ac:dyDescent="0.35">
      <c r="A42" s="9">
        <f t="shared" si="1"/>
        <v>41</v>
      </c>
      <c r="B42" t="s">
        <v>39</v>
      </c>
      <c r="C42" s="109" t="str">
        <f>IF(ISBLANK(K42),IFERROR(VLOOKUP(I42,FS_input_data!$C$1:$N$106,Export!J42,FALSE),""),K42)</f>
        <v>UL1</v>
      </c>
      <c r="D42" s="7" t="b">
        <v>1</v>
      </c>
      <c r="E42" t="s">
        <v>1561</v>
      </c>
      <c r="F42" s="6"/>
      <c r="G42" s="6"/>
      <c r="H42" s="6" t="s">
        <v>2210</v>
      </c>
      <c r="I42" t="s">
        <v>814</v>
      </c>
      <c r="J42">
        <v>2</v>
      </c>
      <c r="L42" s="9" t="e">
        <f t="shared" si="0"/>
        <v>#VALUE!</v>
      </c>
      <c r="M42" s="14"/>
      <c r="N42" s="10"/>
      <c r="R42" s="6"/>
    </row>
    <row r="43" spans="1:18" x14ac:dyDescent="0.35">
      <c r="A43">
        <f t="shared" si="1"/>
        <v>42</v>
      </c>
      <c r="B43" t="s">
        <v>40</v>
      </c>
      <c r="C43" s="109" t="str">
        <f>IF(ISBLANK(K43),IFERROR(VLOOKUP(I43,FS_input_data!$C$1:$N$106,Export!J43,FALSE),""),K43)</f>
        <v/>
      </c>
      <c r="D43" s="6"/>
      <c r="E43" t="s">
        <v>1561</v>
      </c>
      <c r="F43" s="6"/>
      <c r="G43" s="6"/>
      <c r="H43" s="6" t="s">
        <v>2210</v>
      </c>
      <c r="I43" t="s">
        <v>1561</v>
      </c>
      <c r="J43" t="s">
        <v>1561</v>
      </c>
      <c r="L43">
        <f t="shared" si="0"/>
        <v>1</v>
      </c>
      <c r="M43" s="19"/>
      <c r="N43" s="18"/>
      <c r="R43" s="6"/>
    </row>
    <row r="44" spans="1:18" x14ac:dyDescent="0.35">
      <c r="A44" s="9">
        <f t="shared" si="1"/>
        <v>43</v>
      </c>
      <c r="B44" t="s">
        <v>41</v>
      </c>
      <c r="C44" s="109" t="str">
        <f>IF(ISBLANK(K44),IFERROR(VLOOKUP(I44,FS_input_data!$C$1:$N$106,Export!J44,FALSE),""),K44)</f>
        <v>NRDOMU1</v>
      </c>
      <c r="D44" s="7" t="b">
        <v>1</v>
      </c>
      <c r="E44" t="s">
        <v>1561</v>
      </c>
      <c r="F44" s="6"/>
      <c r="G44" s="6"/>
      <c r="H44" s="6" t="s">
        <v>2210</v>
      </c>
      <c r="I44" t="s">
        <v>816</v>
      </c>
      <c r="J44">
        <v>2</v>
      </c>
      <c r="L44" s="9" t="e">
        <f t="shared" si="0"/>
        <v>#VALUE!</v>
      </c>
      <c r="M44" s="19"/>
      <c r="N44" s="10"/>
      <c r="R44" s="6"/>
    </row>
    <row r="45" spans="1:18" x14ac:dyDescent="0.35">
      <c r="A45">
        <f t="shared" si="1"/>
        <v>44</v>
      </c>
      <c r="B45" t="s">
        <v>42</v>
      </c>
      <c r="C45" s="109" t="str">
        <f>IF(ISBLANK(K45),IFERROR(VLOOKUP(I45,FS_input_data!$C$1:$N$106,Export!J45,FALSE),""),K45)</f>
        <v/>
      </c>
      <c r="D45" s="6"/>
      <c r="E45" t="s">
        <v>1561</v>
      </c>
      <c r="F45" s="6"/>
      <c r="G45" s="6"/>
      <c r="H45" s="6" t="s">
        <v>2210</v>
      </c>
      <c r="I45" t="s">
        <v>1561</v>
      </c>
      <c r="J45" t="s">
        <v>1561</v>
      </c>
      <c r="L45">
        <f t="shared" si="0"/>
        <v>1</v>
      </c>
      <c r="M45" s="14"/>
      <c r="N45" s="10"/>
      <c r="R45" s="6"/>
    </row>
    <row r="46" spans="1:18" x14ac:dyDescent="0.35">
      <c r="A46" s="9">
        <f t="shared" si="1"/>
        <v>45</v>
      </c>
      <c r="B46" t="s">
        <v>43</v>
      </c>
      <c r="C46" s="109" t="str">
        <f>IF(ISBLANK(K46),IFERROR(VLOOKUP(I46,FS_input_data!$C$1:$N$106,Export!J46,FALSE),""),K46)</f>
        <v>NRLOKALU1</v>
      </c>
      <c r="D46" s="7" t="b">
        <v>0</v>
      </c>
      <c r="E46" t="s">
        <v>1561</v>
      </c>
      <c r="F46" s="6"/>
      <c r="G46" s="6"/>
      <c r="H46" s="6" t="s">
        <v>2210</v>
      </c>
      <c r="I46" t="s">
        <v>818</v>
      </c>
      <c r="J46">
        <v>2</v>
      </c>
      <c r="L46" s="9" t="e">
        <f t="shared" si="0"/>
        <v>#VALUE!</v>
      </c>
      <c r="M46" s="14"/>
      <c r="N46" s="10"/>
      <c r="R46" s="6"/>
    </row>
    <row r="47" spans="1:18" x14ac:dyDescent="0.35">
      <c r="A47">
        <f t="shared" si="1"/>
        <v>46</v>
      </c>
      <c r="B47" t="s">
        <v>44</v>
      </c>
      <c r="C47" s="109" t="str">
        <f>IF(ISBLANK(K47),IFERROR(VLOOKUP(I47,FS_input_data!$C$1:$N$106,Export!J47,FALSE),""),K47)</f>
        <v/>
      </c>
      <c r="D47" s="6"/>
      <c r="E47" t="s">
        <v>1561</v>
      </c>
      <c r="F47" s="6"/>
      <c r="G47" s="6"/>
      <c r="H47" s="6" t="s">
        <v>2210</v>
      </c>
      <c r="I47" t="s">
        <v>1561</v>
      </c>
      <c r="J47" t="s">
        <v>1561</v>
      </c>
      <c r="L47">
        <f t="shared" si="0"/>
        <v>1</v>
      </c>
      <c r="M47" s="14"/>
      <c r="N47" s="10"/>
      <c r="R47" s="6"/>
    </row>
    <row r="48" spans="1:18" x14ac:dyDescent="0.35">
      <c r="A48" s="9">
        <f t="shared" si="1"/>
        <v>47</v>
      </c>
      <c r="B48" t="s">
        <v>45</v>
      </c>
      <c r="C48" s="109" t="str">
        <f>IF(ISBLANK(K48),IFERROR(VLOOKUP(I48,FS_input_data!$C$1:$N$106,Export!J48,FALSE),""),K48)</f>
        <v>MI1</v>
      </c>
      <c r="D48" s="7" t="b">
        <v>1</v>
      </c>
      <c r="E48" t="s">
        <v>1561</v>
      </c>
      <c r="F48" s="6"/>
      <c r="G48" s="6"/>
      <c r="H48" s="6" t="s">
        <v>2210</v>
      </c>
      <c r="I48" t="s">
        <v>820</v>
      </c>
      <c r="J48">
        <v>2</v>
      </c>
      <c r="L48" s="9" t="e">
        <f t="shared" si="0"/>
        <v>#VALUE!</v>
      </c>
      <c r="M48" s="14"/>
      <c r="N48" s="10"/>
      <c r="R48" s="6"/>
    </row>
    <row r="49" spans="1:18" x14ac:dyDescent="0.35">
      <c r="A49">
        <f t="shared" si="1"/>
        <v>48</v>
      </c>
      <c r="B49" t="s">
        <v>46</v>
      </c>
      <c r="C49" s="109" t="str">
        <f>IF(ISBLANK(K49),IFERROR(VLOOKUP(I49,FS_input_data!$C$1:$N$106,Export!J49,FALSE),""),K49)</f>
        <v/>
      </c>
      <c r="D49" s="6"/>
      <c r="E49" t="s">
        <v>1561</v>
      </c>
      <c r="F49" s="6"/>
      <c r="G49" s="6"/>
      <c r="H49" s="6" t="s">
        <v>2210</v>
      </c>
      <c r="I49" t="s">
        <v>1561</v>
      </c>
      <c r="J49" t="s">
        <v>1561</v>
      </c>
      <c r="L49">
        <f t="shared" si="0"/>
        <v>1</v>
      </c>
      <c r="M49" s="14"/>
      <c r="N49" s="10"/>
      <c r="R49" s="6"/>
    </row>
    <row r="50" spans="1:18" x14ac:dyDescent="0.35">
      <c r="A50" s="9">
        <f t="shared" si="1"/>
        <v>49</v>
      </c>
      <c r="B50" t="s">
        <v>47</v>
      </c>
      <c r="C50" s="109" t="str">
        <f>IF(ISBLANK(K50),IFERROR(VLOOKUP(I50,FS_input_data!$C$1:$N$106,Export!J50,FALSE),""),K50)</f>
        <v>Gdansk</v>
      </c>
      <c r="D50" s="7" t="b">
        <v>1</v>
      </c>
      <c r="E50" t="s">
        <v>1561</v>
      </c>
      <c r="F50" s="6"/>
      <c r="G50" s="6"/>
      <c r="H50" s="6" t="s">
        <v>2210</v>
      </c>
      <c r="I50" t="s">
        <v>801</v>
      </c>
      <c r="J50">
        <v>2</v>
      </c>
      <c r="L50" s="9" t="e">
        <f t="shared" si="0"/>
        <v>#VALUE!</v>
      </c>
      <c r="M50" s="14"/>
      <c r="N50" s="10"/>
      <c r="R50" s="6"/>
    </row>
    <row r="51" spans="1:18" x14ac:dyDescent="0.35">
      <c r="A51">
        <f t="shared" si="1"/>
        <v>50</v>
      </c>
      <c r="B51" t="s">
        <v>48</v>
      </c>
      <c r="C51" s="109" t="str">
        <f>IF(ISBLANK(K51),IFERROR(VLOOKUP(I51,FS_input_data!$C$1:$N$106,Export!J51,FALSE),""),K51)</f>
        <v/>
      </c>
      <c r="D51" s="6"/>
      <c r="E51" t="s">
        <v>1561</v>
      </c>
      <c r="F51" s="6"/>
      <c r="G51" s="6"/>
      <c r="H51" s="6" t="s">
        <v>2210</v>
      </c>
      <c r="I51" t="s">
        <v>1561</v>
      </c>
      <c r="J51" t="s">
        <v>1561</v>
      </c>
      <c r="L51">
        <f t="shared" si="0"/>
        <v>1</v>
      </c>
      <c r="M51" s="14"/>
      <c r="N51" s="10"/>
      <c r="R51" s="6"/>
    </row>
    <row r="52" spans="1:18" x14ac:dyDescent="0.35">
      <c r="A52" s="9">
        <f t="shared" si="1"/>
        <v>51</v>
      </c>
      <c r="B52" t="s">
        <v>49</v>
      </c>
      <c r="C52" s="109" t="str">
        <f>IF(ISBLANK(K52),IFERROR(VLOOKUP(I52,FS_input_data!$C$1:$N$106,Export!J52,FALSE),""),K52)</f>
        <v>Gdansk</v>
      </c>
      <c r="D52" s="7" t="b">
        <v>1</v>
      </c>
      <c r="E52" t="s">
        <v>1561</v>
      </c>
      <c r="F52" s="6"/>
      <c r="G52" s="6"/>
      <c r="H52" s="6" t="s">
        <v>2210</v>
      </c>
      <c r="I52" t="s">
        <v>803</v>
      </c>
      <c r="J52">
        <v>2</v>
      </c>
      <c r="L52" s="9" t="e">
        <f t="shared" si="0"/>
        <v>#VALUE!</v>
      </c>
      <c r="M52" s="14"/>
      <c r="N52" s="10"/>
      <c r="R52" s="6"/>
    </row>
    <row r="53" spans="1:18" x14ac:dyDescent="0.35">
      <c r="A53">
        <f t="shared" si="1"/>
        <v>52</v>
      </c>
      <c r="B53" t="s">
        <v>50</v>
      </c>
      <c r="C53" s="109" t="str">
        <f>IF(ISBLANK(K53),IFERROR(VLOOKUP(I53,FS_input_data!$C$1:$N$106,Export!J53,FALSE),""),K53)</f>
        <v/>
      </c>
      <c r="D53" s="6"/>
      <c r="E53" t="s">
        <v>1561</v>
      </c>
      <c r="F53" s="6"/>
      <c r="G53" s="6"/>
      <c r="H53" s="6" t="s">
        <v>2210</v>
      </c>
      <c r="I53" t="s">
        <v>1561</v>
      </c>
      <c r="J53" t="s">
        <v>1561</v>
      </c>
      <c r="L53">
        <f t="shared" si="0"/>
        <v>1</v>
      </c>
      <c r="M53" s="14"/>
      <c r="N53" s="10"/>
      <c r="R53" s="6"/>
    </row>
    <row r="54" spans="1:18" x14ac:dyDescent="0.35">
      <c r="A54">
        <f t="shared" si="1"/>
        <v>53</v>
      </c>
      <c r="B54" t="s">
        <v>51</v>
      </c>
      <c r="C54" s="109" t="str">
        <f>IF(ISBLANK(K54),IFERROR(VLOOKUP(I54,FS_input_data!$C$1:$N$106,Export!J54,FALSE),""),K54)</f>
        <v/>
      </c>
      <c r="D54" s="6"/>
      <c r="E54" t="s">
        <v>1561</v>
      </c>
      <c r="F54" s="6"/>
      <c r="G54" s="6"/>
      <c r="H54" s="6" t="s">
        <v>2210</v>
      </c>
      <c r="I54" t="s">
        <v>1561</v>
      </c>
      <c r="J54" t="s">
        <v>1561</v>
      </c>
      <c r="L54">
        <f t="shared" si="0"/>
        <v>1</v>
      </c>
      <c r="M54" s="14"/>
      <c r="N54" s="10"/>
      <c r="R54" s="6"/>
    </row>
    <row r="55" spans="1:18" x14ac:dyDescent="0.35">
      <c r="A55">
        <f t="shared" si="1"/>
        <v>54</v>
      </c>
      <c r="B55" t="s">
        <v>52</v>
      </c>
      <c r="C55" s="109" t="str">
        <f>IF(ISBLANK(K55),IFERROR(VLOOKUP(I55,FS_input_data!$C$1:$N$106,Export!J55,FALSE),""),K55)</f>
        <v/>
      </c>
      <c r="D55" s="6"/>
      <c r="E55" t="s">
        <v>1561</v>
      </c>
      <c r="F55" s="6"/>
      <c r="G55" s="6"/>
      <c r="H55" s="6" t="s">
        <v>2210</v>
      </c>
      <c r="I55" t="s">
        <v>1561</v>
      </c>
      <c r="J55" t="s">
        <v>1561</v>
      </c>
      <c r="L55" s="9" t="e">
        <f t="shared" si="0"/>
        <v>#VALUE!</v>
      </c>
      <c r="M55" s="14"/>
      <c r="N55" s="10"/>
      <c r="R55" s="6"/>
    </row>
    <row r="56" spans="1:18" x14ac:dyDescent="0.35">
      <c r="A56" s="9">
        <f t="shared" si="1"/>
        <v>55</v>
      </c>
      <c r="B56" t="s">
        <v>31</v>
      </c>
      <c r="C56" s="109" t="str">
        <f>IF(ISBLANK(K56),IFERROR(VLOOKUP(I56,FS_input_data!$C$1:$N$106,Export!J56,FALSE),""),K56)</f>
        <v>DE</v>
      </c>
      <c r="D56" s="6" t="b">
        <v>0</v>
      </c>
      <c r="E56" t="s">
        <v>1561</v>
      </c>
      <c r="F56" s="6"/>
      <c r="G56" s="6"/>
      <c r="H56" s="6" t="s">
        <v>2210</v>
      </c>
      <c r="I56" t="s">
        <v>823</v>
      </c>
      <c r="J56">
        <v>2</v>
      </c>
      <c r="L56" s="9" t="e">
        <f t="shared" si="0"/>
        <v>#VALUE!</v>
      </c>
      <c r="M56" s="14"/>
      <c r="N56" s="10"/>
      <c r="R56" s="6"/>
    </row>
    <row r="57" spans="1:18" x14ac:dyDescent="0.35">
      <c r="A57">
        <f t="shared" si="1"/>
        <v>56</v>
      </c>
      <c r="B57" t="s">
        <v>32</v>
      </c>
      <c r="C57" s="109" t="str">
        <f>IF(ISBLANK(K57),IFERROR(VLOOKUP(I57,FS_input_data!$C$1:$N$106,Export!J57,FALSE),""),K57)</f>
        <v/>
      </c>
      <c r="D57" s="6"/>
      <c r="E57" t="s">
        <v>1561</v>
      </c>
      <c r="F57" s="6"/>
      <c r="G57" s="6"/>
      <c r="H57" s="6" t="s">
        <v>2210</v>
      </c>
      <c r="I57" t="s">
        <v>1561</v>
      </c>
      <c r="J57" t="s">
        <v>1561</v>
      </c>
      <c r="L57">
        <f t="shared" si="0"/>
        <v>1</v>
      </c>
      <c r="M57" s="14"/>
      <c r="N57" s="10"/>
      <c r="R57" s="6"/>
    </row>
    <row r="58" spans="1:18" x14ac:dyDescent="0.35">
      <c r="A58" s="9">
        <f t="shared" si="1"/>
        <v>57</v>
      </c>
      <c r="B58" t="s">
        <v>47</v>
      </c>
      <c r="C58" s="109" t="str">
        <f>IF(ISBLANK(K58),IFERROR(VLOOKUP(I58,FS_input_data!$C$1:$N$106,Export!J58,FALSE),""),K58)</f>
        <v>80-705</v>
      </c>
      <c r="D58" s="6" t="b">
        <v>0</v>
      </c>
      <c r="E58" t="s">
        <v>1561</v>
      </c>
      <c r="F58" s="6"/>
      <c r="G58" s="6"/>
      <c r="H58" s="6" t="s">
        <v>2210</v>
      </c>
      <c r="I58" t="s">
        <v>822</v>
      </c>
      <c r="J58">
        <v>2</v>
      </c>
      <c r="L58" s="9" t="e">
        <f t="shared" si="0"/>
        <v>#VALUE!</v>
      </c>
      <c r="M58" s="14"/>
      <c r="N58" s="17"/>
      <c r="R58" s="6"/>
    </row>
    <row r="59" spans="1:18" x14ac:dyDescent="0.35">
      <c r="A59">
        <f t="shared" si="1"/>
        <v>58</v>
      </c>
      <c r="B59" t="s">
        <v>48</v>
      </c>
      <c r="C59" s="109" t="str">
        <f>IF(ISBLANK(K59),IFERROR(VLOOKUP(I59,FS_input_data!$C$1:$N$106,Export!J59,FALSE),""),K59)</f>
        <v/>
      </c>
      <c r="D59" s="6"/>
      <c r="E59" t="s">
        <v>1561</v>
      </c>
      <c r="F59" s="6"/>
      <c r="G59" s="6"/>
      <c r="H59" s="6" t="s">
        <v>2210</v>
      </c>
      <c r="I59" t="s">
        <v>1561</v>
      </c>
      <c r="J59" t="s">
        <v>1561</v>
      </c>
      <c r="L59">
        <f t="shared" si="0"/>
        <v>1</v>
      </c>
      <c r="M59" s="14"/>
      <c r="N59" s="10"/>
      <c r="R59" s="6"/>
    </row>
    <row r="60" spans="1:18" x14ac:dyDescent="0.35">
      <c r="A60" s="9">
        <f t="shared" si="1"/>
        <v>59</v>
      </c>
      <c r="B60" t="s">
        <v>45</v>
      </c>
      <c r="C60" s="109" t="str">
        <f>IF(ISBLANK(K60),IFERROR(VLOOKUP(I60,FS_input_data!$C$1:$N$106,Export!J60,FALSE),""),K60)</f>
        <v>MI1</v>
      </c>
      <c r="D60" s="6" t="b">
        <v>0</v>
      </c>
      <c r="E60" t="s">
        <v>1561</v>
      </c>
      <c r="F60" s="6"/>
      <c r="G60" s="6"/>
      <c r="H60" s="6" t="s">
        <v>2210</v>
      </c>
      <c r="I60" t="s">
        <v>820</v>
      </c>
      <c r="J60">
        <v>2</v>
      </c>
      <c r="L60" s="9" t="e">
        <f t="shared" si="0"/>
        <v>#VALUE!</v>
      </c>
      <c r="M60" s="14"/>
      <c r="N60" s="10"/>
      <c r="R60" s="6"/>
    </row>
    <row r="61" spans="1:18" x14ac:dyDescent="0.35">
      <c r="A61">
        <f t="shared" si="1"/>
        <v>60</v>
      </c>
      <c r="B61" t="s">
        <v>46</v>
      </c>
      <c r="C61" s="109" t="str">
        <f>IF(ISBLANK(K61),IFERROR(VLOOKUP(I61,FS_input_data!$C$1:$N$106,Export!J61,FALSE),""),K61)</f>
        <v/>
      </c>
      <c r="D61" s="6"/>
      <c r="E61" t="s">
        <v>1561</v>
      </c>
      <c r="F61" s="6"/>
      <c r="G61" s="6"/>
      <c r="H61" s="6" t="s">
        <v>2210</v>
      </c>
      <c r="I61" t="s">
        <v>1561</v>
      </c>
      <c r="J61" t="s">
        <v>1561</v>
      </c>
      <c r="L61">
        <f t="shared" si="0"/>
        <v>1</v>
      </c>
      <c r="M61" s="14"/>
      <c r="N61" s="10"/>
      <c r="R61" s="6"/>
    </row>
    <row r="62" spans="1:18" x14ac:dyDescent="0.35">
      <c r="A62" s="9">
        <f t="shared" si="1"/>
        <v>61</v>
      </c>
      <c r="B62" t="s">
        <v>39</v>
      </c>
      <c r="C62" s="109" t="str">
        <f>IF(ISBLANK(K62),IFERROR(VLOOKUP(I62,FS_input_data!$C$1:$N$106,Export!J62,FALSE),""),K62)</f>
        <v>UL1</v>
      </c>
      <c r="D62" s="6" t="b">
        <v>0</v>
      </c>
      <c r="E62" t="s">
        <v>1561</v>
      </c>
      <c r="F62" s="6"/>
      <c r="G62" s="6"/>
      <c r="H62" s="6" t="s">
        <v>2210</v>
      </c>
      <c r="I62" t="s">
        <v>814</v>
      </c>
      <c r="J62">
        <v>2</v>
      </c>
      <c r="L62" s="9" t="e">
        <f t="shared" si="0"/>
        <v>#VALUE!</v>
      </c>
      <c r="M62" s="14"/>
      <c r="N62" s="10"/>
      <c r="R62" s="6"/>
    </row>
    <row r="63" spans="1:18" x14ac:dyDescent="0.35">
      <c r="A63">
        <f t="shared" si="1"/>
        <v>62</v>
      </c>
      <c r="B63" t="s">
        <v>40</v>
      </c>
      <c r="C63" s="109" t="str">
        <f>IF(ISBLANK(K63),IFERROR(VLOOKUP(I63,FS_input_data!$C$1:$N$106,Export!J63,FALSE),""),K63)</f>
        <v/>
      </c>
      <c r="D63" s="6"/>
      <c r="E63" t="s">
        <v>1561</v>
      </c>
      <c r="F63" s="6"/>
      <c r="G63" s="6"/>
      <c r="H63" s="6" t="s">
        <v>2210</v>
      </c>
      <c r="I63" t="s">
        <v>1561</v>
      </c>
      <c r="J63" t="s">
        <v>1561</v>
      </c>
      <c r="L63">
        <f t="shared" si="0"/>
        <v>1</v>
      </c>
      <c r="M63" s="14"/>
      <c r="N63" s="10"/>
      <c r="R63" s="6"/>
    </row>
    <row r="64" spans="1:18" x14ac:dyDescent="0.35">
      <c r="A64" s="9">
        <f t="shared" si="1"/>
        <v>63</v>
      </c>
      <c r="B64" t="s">
        <v>41</v>
      </c>
      <c r="C64" s="109" t="str">
        <f>IF(ISBLANK(K64),IFERROR(VLOOKUP(I64,FS_input_data!$C$1:$N$106,Export!J64,FALSE),""),K64)</f>
        <v>NRDOMU1</v>
      </c>
      <c r="D64" s="6" t="b">
        <v>0</v>
      </c>
      <c r="E64" t="s">
        <v>1561</v>
      </c>
      <c r="F64" s="6"/>
      <c r="G64" s="6"/>
      <c r="H64" s="6" t="s">
        <v>2210</v>
      </c>
      <c r="I64" t="s">
        <v>816</v>
      </c>
      <c r="J64">
        <v>2</v>
      </c>
      <c r="L64" s="9" t="e">
        <f t="shared" si="0"/>
        <v>#VALUE!</v>
      </c>
      <c r="M64" s="14"/>
      <c r="N64" s="10"/>
      <c r="R64" s="6"/>
    </row>
    <row r="65" spans="1:18" x14ac:dyDescent="0.35">
      <c r="A65">
        <f t="shared" si="1"/>
        <v>64</v>
      </c>
      <c r="B65" t="s">
        <v>42</v>
      </c>
      <c r="C65" s="109" t="str">
        <f>IF(ISBLANK(K65),IFERROR(VLOOKUP(I65,FS_input_data!$C$1:$N$106,Export!J65,FALSE),""),K65)</f>
        <v/>
      </c>
      <c r="D65" s="6"/>
      <c r="E65" t="s">
        <v>1561</v>
      </c>
      <c r="F65" s="6"/>
      <c r="G65" s="6"/>
      <c r="H65" s="6" t="s">
        <v>2210</v>
      </c>
      <c r="I65" t="s">
        <v>1561</v>
      </c>
      <c r="J65" t="s">
        <v>1561</v>
      </c>
      <c r="L65">
        <f t="shared" si="0"/>
        <v>1</v>
      </c>
      <c r="M65" s="14"/>
      <c r="N65" s="10"/>
      <c r="R65" s="6"/>
    </row>
    <row r="66" spans="1:18" x14ac:dyDescent="0.35">
      <c r="A66" s="9">
        <f t="shared" si="1"/>
        <v>65</v>
      </c>
      <c r="B66" t="s">
        <v>43</v>
      </c>
      <c r="C66" s="109" t="str">
        <f>IF(ISBLANK(K66),IFERROR(VLOOKUP(I66,FS_input_data!$C$1:$N$106,Export!J66,FALSE),""),K66)</f>
        <v>NRLOKALU1</v>
      </c>
      <c r="D66" s="6" t="b">
        <v>0</v>
      </c>
      <c r="E66" t="s">
        <v>1561</v>
      </c>
      <c r="F66" s="6"/>
      <c r="G66" s="6"/>
      <c r="H66" s="6" t="s">
        <v>2210</v>
      </c>
      <c r="I66" t="s">
        <v>818</v>
      </c>
      <c r="J66">
        <v>2</v>
      </c>
      <c r="L66" s="9" t="e">
        <f t="shared" ref="L66:L129" si="2">FIND("/",B66)</f>
        <v>#VALUE!</v>
      </c>
      <c r="M66" s="14"/>
      <c r="N66" s="10"/>
      <c r="R66" s="6"/>
    </row>
    <row r="67" spans="1:18" x14ac:dyDescent="0.35">
      <c r="A67">
        <f t="shared" ref="A67:A130" si="3">A66+1</f>
        <v>66</v>
      </c>
      <c r="B67" t="s">
        <v>44</v>
      </c>
      <c r="C67" s="109" t="str">
        <f>IF(ISBLANK(K67),IFERROR(VLOOKUP(I67,FS_input_data!$C$1:$N$106,Export!J67,FALSE),""),K67)</f>
        <v/>
      </c>
      <c r="D67" s="6"/>
      <c r="E67" t="s">
        <v>1561</v>
      </c>
      <c r="F67" s="6"/>
      <c r="G67" s="6"/>
      <c r="H67" s="6" t="s">
        <v>2210</v>
      </c>
      <c r="I67" t="s">
        <v>1561</v>
      </c>
      <c r="J67" t="s">
        <v>1561</v>
      </c>
      <c r="L67">
        <f t="shared" si="2"/>
        <v>1</v>
      </c>
      <c r="M67" s="14"/>
      <c r="N67" s="10"/>
      <c r="R67" s="6"/>
    </row>
    <row r="68" spans="1:18" x14ac:dyDescent="0.35">
      <c r="A68">
        <f t="shared" si="3"/>
        <v>67</v>
      </c>
      <c r="B68" t="s">
        <v>53</v>
      </c>
      <c r="C68" s="109" t="str">
        <f>IF(ISBLANK(K68),IFERROR(VLOOKUP(I68,FS_input_data!$C$1:$N$106,Export!J68,FALSE),""),K68)</f>
        <v/>
      </c>
      <c r="D68" s="6"/>
      <c r="E68" t="s">
        <v>1561</v>
      </c>
      <c r="F68" s="6"/>
      <c r="G68" s="6"/>
      <c r="H68" s="6" t="s">
        <v>2210</v>
      </c>
      <c r="I68" t="s">
        <v>1561</v>
      </c>
      <c r="J68" t="s">
        <v>1561</v>
      </c>
      <c r="L68">
        <f t="shared" si="2"/>
        <v>1</v>
      </c>
      <c r="M68" s="14"/>
      <c r="N68" s="10"/>
      <c r="R68" s="6"/>
    </row>
    <row r="69" spans="1:18" x14ac:dyDescent="0.35">
      <c r="A69">
        <f t="shared" si="3"/>
        <v>68</v>
      </c>
      <c r="B69" t="s">
        <v>54</v>
      </c>
      <c r="C69" s="109" t="str">
        <f>IF(ISBLANK(K69),IFERROR(VLOOKUP(I69,FS_input_data!$C$1:$N$106,Export!J69,FALSE),""),K69)</f>
        <v/>
      </c>
      <c r="D69" s="6"/>
      <c r="E69" t="s">
        <v>1561</v>
      </c>
      <c r="F69" s="6"/>
      <c r="G69" s="6"/>
      <c r="H69" s="6" t="s">
        <v>2210</v>
      </c>
      <c r="I69" t="s">
        <v>1561</v>
      </c>
      <c r="J69" t="s">
        <v>1561</v>
      </c>
      <c r="L69">
        <f t="shared" si="2"/>
        <v>1</v>
      </c>
      <c r="M69" s="14"/>
      <c r="N69" s="10"/>
      <c r="R69" s="6"/>
    </row>
    <row r="70" spans="1:18" x14ac:dyDescent="0.35">
      <c r="A70">
        <f t="shared" si="3"/>
        <v>69</v>
      </c>
      <c r="B70" t="s">
        <v>55</v>
      </c>
      <c r="C70" s="109" t="str">
        <f>IF(ISBLANK(K70),IFERROR(VLOOKUP(I70,FS_input_data!$C$1:$N$106,Export!J70,FALSE),""),K70)</f>
        <v/>
      </c>
      <c r="D70" s="6"/>
      <c r="E70" t="s">
        <v>2243</v>
      </c>
      <c r="F70" s="6"/>
      <c r="G70" s="6"/>
      <c r="H70" s="6" t="s">
        <v>2210</v>
      </c>
      <c r="I70" t="s">
        <v>1561</v>
      </c>
      <c r="J70" t="s">
        <v>1561</v>
      </c>
      <c r="L70" s="9" t="e">
        <f t="shared" si="2"/>
        <v>#VALUE!</v>
      </c>
      <c r="M70" s="14"/>
      <c r="N70" s="10"/>
      <c r="R70" s="6"/>
    </row>
    <row r="71" spans="1:18" x14ac:dyDescent="0.35">
      <c r="A71" s="9">
        <f t="shared" si="3"/>
        <v>70</v>
      </c>
      <c r="B71" t="s">
        <v>56</v>
      </c>
      <c r="C71" s="109" t="str">
        <f>IF(ISBLANK(K71),IFERROR(VLOOKUP(I71,FS_input_data!$C$1:$N$106,Export!J71,FALSE),""),K71)</f>
        <v>0124Z</v>
      </c>
      <c r="D71" s="6" t="b">
        <v>1</v>
      </c>
      <c r="E71" t="s">
        <v>1561</v>
      </c>
      <c r="F71" s="6"/>
      <c r="G71" s="6"/>
      <c r="H71" s="6" t="s">
        <v>2210</v>
      </c>
      <c r="I71" t="s">
        <v>825</v>
      </c>
      <c r="J71">
        <v>2</v>
      </c>
      <c r="L71" s="9" t="e">
        <f t="shared" si="2"/>
        <v>#VALUE!</v>
      </c>
      <c r="M71" s="14"/>
      <c r="N71" s="10"/>
      <c r="R71" s="6"/>
    </row>
    <row r="72" spans="1:18" x14ac:dyDescent="0.35">
      <c r="A72">
        <f t="shared" si="3"/>
        <v>71</v>
      </c>
      <c r="B72" t="s">
        <v>57</v>
      </c>
      <c r="C72" s="109" t="str">
        <f>IF(ISBLANK(K72),IFERROR(VLOOKUP(I72,FS_input_data!$C$1:$N$106,Export!J72,FALSE),""),K72)</f>
        <v/>
      </c>
      <c r="D72" s="6"/>
      <c r="E72" t="s">
        <v>1561</v>
      </c>
      <c r="F72" s="6"/>
      <c r="G72" s="6"/>
      <c r="H72" s="6" t="s">
        <v>2210</v>
      </c>
      <c r="I72" t="s">
        <v>1561</v>
      </c>
      <c r="J72" t="s">
        <v>1561</v>
      </c>
      <c r="L72">
        <f t="shared" si="2"/>
        <v>1</v>
      </c>
      <c r="M72" s="14"/>
      <c r="N72" s="10"/>
      <c r="R72" s="6"/>
    </row>
    <row r="73" spans="1:18" x14ac:dyDescent="0.35">
      <c r="A73" s="9">
        <f t="shared" si="3"/>
        <v>72</v>
      </c>
      <c r="B73" t="s">
        <v>56</v>
      </c>
      <c r="C73" s="109" t="str">
        <f>IF(ISBLANK(K73),IFERROR(VLOOKUP(I73,FS_input_data!$C$1:$N$106,Export!J73,FALSE),""),K73)</f>
        <v>0125Z</v>
      </c>
      <c r="D73" s="6" t="b">
        <v>0</v>
      </c>
      <c r="E73" t="s">
        <v>1561</v>
      </c>
      <c r="F73" s="6"/>
      <c r="G73" s="6"/>
      <c r="H73" s="6" t="s">
        <v>2210</v>
      </c>
      <c r="I73" t="s">
        <v>827</v>
      </c>
      <c r="J73">
        <v>2</v>
      </c>
      <c r="L73" s="9" t="e">
        <f t="shared" si="2"/>
        <v>#VALUE!</v>
      </c>
      <c r="M73" s="14"/>
      <c r="N73" s="10"/>
      <c r="R73" s="6"/>
    </row>
    <row r="74" spans="1:18" x14ac:dyDescent="0.35">
      <c r="A74">
        <f t="shared" si="3"/>
        <v>73</v>
      </c>
      <c r="B74" t="s">
        <v>57</v>
      </c>
      <c r="C74" s="109" t="str">
        <f>IF(ISBLANK(K74),IFERROR(VLOOKUP(I74,FS_input_data!$C$1:$N$106,Export!J74,FALSE),""),K74)</f>
        <v/>
      </c>
      <c r="D74" s="6"/>
      <c r="E74" t="s">
        <v>1561</v>
      </c>
      <c r="F74" s="6"/>
      <c r="G74" s="6"/>
      <c r="H74" s="6" t="s">
        <v>2210</v>
      </c>
      <c r="I74" t="s">
        <v>1561</v>
      </c>
      <c r="J74" t="s">
        <v>1561</v>
      </c>
      <c r="L74">
        <f t="shared" si="2"/>
        <v>1</v>
      </c>
      <c r="M74" s="14"/>
      <c r="N74" s="10"/>
      <c r="R74" s="6"/>
    </row>
    <row r="75" spans="1:18" x14ac:dyDescent="0.35">
      <c r="A75" s="9">
        <f t="shared" si="3"/>
        <v>74</v>
      </c>
      <c r="B75" t="s">
        <v>56</v>
      </c>
      <c r="C75" s="109" t="str">
        <f>IF(ISBLANK(K75),IFERROR(VLOOKUP(I75,FS_input_data!$C$1:$N$106,Export!J75,FALSE),""),K75)</f>
        <v>0126Z</v>
      </c>
      <c r="D75" s="6" t="b">
        <v>0</v>
      </c>
      <c r="E75" t="s">
        <v>1561</v>
      </c>
      <c r="F75" s="6"/>
      <c r="G75" s="6"/>
      <c r="H75" s="6" t="s">
        <v>2210</v>
      </c>
      <c r="I75" t="s">
        <v>829</v>
      </c>
      <c r="J75">
        <v>2</v>
      </c>
      <c r="L75" s="9" t="e">
        <f t="shared" si="2"/>
        <v>#VALUE!</v>
      </c>
      <c r="M75" s="14"/>
      <c r="N75" s="10"/>
      <c r="R75" s="6"/>
    </row>
    <row r="76" spans="1:18" x14ac:dyDescent="0.35">
      <c r="A76">
        <f t="shared" si="3"/>
        <v>75</v>
      </c>
      <c r="B76" t="s">
        <v>57</v>
      </c>
      <c r="C76" s="109" t="str">
        <f>IF(ISBLANK(K76),IFERROR(VLOOKUP(I76,FS_input_data!$C$1:$N$106,Export!J76,FALSE),""),K76)</f>
        <v/>
      </c>
      <c r="D76" s="6"/>
      <c r="E76" t="s">
        <v>1561</v>
      </c>
      <c r="F76" s="6"/>
      <c r="G76" s="6"/>
      <c r="H76" s="6" t="s">
        <v>2210</v>
      </c>
      <c r="I76" t="s">
        <v>1561</v>
      </c>
      <c r="J76" t="s">
        <v>1561</v>
      </c>
      <c r="L76">
        <f t="shared" si="2"/>
        <v>1</v>
      </c>
      <c r="M76" s="14"/>
      <c r="N76" s="10"/>
      <c r="R76" s="6"/>
    </row>
    <row r="77" spans="1:18" x14ac:dyDescent="0.35">
      <c r="A77" s="9">
        <f t="shared" si="3"/>
        <v>76</v>
      </c>
      <c r="B77" t="s">
        <v>56</v>
      </c>
      <c r="C77" s="109" t="str">
        <f>IF(ISBLANK(K77),IFERROR(VLOOKUP(I77,FS_input_data!$C$1:$N$106,Export!J77,FALSE),""),K77)</f>
        <v>0127Z</v>
      </c>
      <c r="D77" s="6" t="b">
        <v>0</v>
      </c>
      <c r="E77" t="s">
        <v>1561</v>
      </c>
      <c r="F77" s="6"/>
      <c r="G77" s="6"/>
      <c r="H77" s="6" t="s">
        <v>2210</v>
      </c>
      <c r="I77" t="s">
        <v>831</v>
      </c>
      <c r="J77">
        <v>2</v>
      </c>
      <c r="L77" s="9" t="e">
        <f t="shared" si="2"/>
        <v>#VALUE!</v>
      </c>
      <c r="M77" s="14"/>
      <c r="N77" s="10"/>
      <c r="R77" s="6"/>
    </row>
    <row r="78" spans="1:18" x14ac:dyDescent="0.35">
      <c r="A78">
        <f t="shared" si="3"/>
        <v>77</v>
      </c>
      <c r="B78" t="s">
        <v>57</v>
      </c>
      <c r="C78" s="109" t="str">
        <f>IF(ISBLANK(K78),IFERROR(VLOOKUP(I78,FS_input_data!$C$1:$N$106,Export!J78,FALSE),""),K78)</f>
        <v/>
      </c>
      <c r="D78" s="6"/>
      <c r="E78" t="s">
        <v>1561</v>
      </c>
      <c r="F78" s="6"/>
      <c r="G78" s="6"/>
      <c r="H78" s="6" t="s">
        <v>2210</v>
      </c>
      <c r="I78" t="s">
        <v>1561</v>
      </c>
      <c r="J78" t="s">
        <v>1561</v>
      </c>
      <c r="L78">
        <f t="shared" si="2"/>
        <v>1</v>
      </c>
      <c r="M78" s="14"/>
      <c r="N78" s="10"/>
      <c r="R78" s="6"/>
    </row>
    <row r="79" spans="1:18" x14ac:dyDescent="0.35">
      <c r="A79" s="9">
        <f t="shared" si="3"/>
        <v>78</v>
      </c>
      <c r="B79" t="s">
        <v>56</v>
      </c>
      <c r="C79" s="109" t="str">
        <f>IF(ISBLANK(K79),IFERROR(VLOOKUP(I79,FS_input_data!$C$1:$N$106,Export!J79,FALSE),""),K79)</f>
        <v>0128Z</v>
      </c>
      <c r="D79" s="6" t="b">
        <v>0</v>
      </c>
      <c r="E79" t="s">
        <v>1561</v>
      </c>
      <c r="F79" s="6"/>
      <c r="G79" s="6"/>
      <c r="H79" s="6" t="s">
        <v>2210</v>
      </c>
      <c r="I79" t="s">
        <v>833</v>
      </c>
      <c r="J79">
        <v>2</v>
      </c>
      <c r="L79" s="9" t="e">
        <f t="shared" si="2"/>
        <v>#VALUE!</v>
      </c>
      <c r="M79" s="14"/>
      <c r="N79" s="10"/>
      <c r="R79" s="6"/>
    </row>
    <row r="80" spans="1:18" x14ac:dyDescent="0.35">
      <c r="A80">
        <f t="shared" si="3"/>
        <v>79</v>
      </c>
      <c r="B80" t="s">
        <v>57</v>
      </c>
      <c r="C80" s="109" t="str">
        <f>IF(ISBLANK(K80),IFERROR(VLOOKUP(I80,FS_input_data!$C$1:$N$106,Export!J80,FALSE),""),K80)</f>
        <v/>
      </c>
      <c r="D80" s="6"/>
      <c r="E80" t="s">
        <v>1561</v>
      </c>
      <c r="F80" s="6"/>
      <c r="G80" s="6"/>
      <c r="H80" s="6" t="s">
        <v>2210</v>
      </c>
      <c r="I80" t="s">
        <v>1561</v>
      </c>
      <c r="J80" t="s">
        <v>1561</v>
      </c>
      <c r="L80">
        <f t="shared" si="2"/>
        <v>1</v>
      </c>
      <c r="M80" s="14"/>
      <c r="N80" s="10"/>
      <c r="R80" s="6"/>
    </row>
    <row r="81" spans="1:18" x14ac:dyDescent="0.35">
      <c r="A81" s="9">
        <f t="shared" si="3"/>
        <v>80</v>
      </c>
      <c r="B81" t="s">
        <v>56</v>
      </c>
      <c r="C81" s="109" t="str">
        <f>IF(ISBLANK(K81),IFERROR(VLOOKUP(I81,FS_input_data!$C$1:$N$106,Export!J81,FALSE),""),K81)</f>
        <v>0129Z</v>
      </c>
      <c r="D81" s="6" t="b">
        <v>0</v>
      </c>
      <c r="E81" t="s">
        <v>1561</v>
      </c>
      <c r="F81" s="6"/>
      <c r="G81" s="6"/>
      <c r="H81" s="6" t="s">
        <v>2210</v>
      </c>
      <c r="I81" t="s">
        <v>835</v>
      </c>
      <c r="J81">
        <v>2</v>
      </c>
      <c r="L81" s="9" t="e">
        <f t="shared" si="2"/>
        <v>#VALUE!</v>
      </c>
      <c r="M81" s="14"/>
      <c r="N81" s="10"/>
      <c r="R81" s="6"/>
    </row>
    <row r="82" spans="1:18" x14ac:dyDescent="0.35">
      <c r="A82">
        <f t="shared" si="3"/>
        <v>81</v>
      </c>
      <c r="B82" t="s">
        <v>57</v>
      </c>
      <c r="C82" s="109" t="str">
        <f>IF(ISBLANK(K82),IFERROR(VLOOKUP(I82,FS_input_data!$C$1:$N$106,Export!J82,FALSE),""),K82)</f>
        <v/>
      </c>
      <c r="D82" s="6"/>
      <c r="E82" t="s">
        <v>1561</v>
      </c>
      <c r="F82" s="6"/>
      <c r="G82" s="6"/>
      <c r="H82" s="6" t="s">
        <v>2210</v>
      </c>
      <c r="I82" t="s">
        <v>1561</v>
      </c>
      <c r="J82" t="s">
        <v>1561</v>
      </c>
      <c r="L82">
        <f t="shared" si="2"/>
        <v>1</v>
      </c>
      <c r="M82" s="14"/>
      <c r="N82" s="10"/>
      <c r="R82" s="6"/>
    </row>
    <row r="83" spans="1:18" x14ac:dyDescent="0.35">
      <c r="A83" s="9">
        <f t="shared" si="3"/>
        <v>82</v>
      </c>
      <c r="B83" t="s">
        <v>56</v>
      </c>
      <c r="C83" s="109" t="str">
        <f>IF(ISBLANK(K83),IFERROR(VLOOKUP(I83,FS_input_data!$C$1:$N$106,Export!J83,FALSE),""),K83)</f>
        <v>0130Z</v>
      </c>
      <c r="D83" s="6" t="b">
        <v>0</v>
      </c>
      <c r="E83" t="s">
        <v>1561</v>
      </c>
      <c r="F83" s="6"/>
      <c r="G83" s="6"/>
      <c r="H83" s="6" t="s">
        <v>2210</v>
      </c>
      <c r="I83" t="s">
        <v>837</v>
      </c>
      <c r="J83">
        <v>2</v>
      </c>
      <c r="L83" s="9" t="e">
        <f t="shared" si="2"/>
        <v>#VALUE!</v>
      </c>
      <c r="M83" s="14"/>
      <c r="N83" s="10"/>
      <c r="R83" s="6"/>
    </row>
    <row r="84" spans="1:18" x14ac:dyDescent="0.35">
      <c r="A84">
        <f t="shared" si="3"/>
        <v>83</v>
      </c>
      <c r="B84" t="s">
        <v>57</v>
      </c>
      <c r="C84" s="109" t="str">
        <f>IF(ISBLANK(K84),IFERROR(VLOOKUP(I84,FS_input_data!$C$1:$N$106,Export!J84,FALSE),""),K84)</f>
        <v/>
      </c>
      <c r="D84" s="6"/>
      <c r="E84" t="s">
        <v>1561</v>
      </c>
      <c r="F84" s="6"/>
      <c r="G84" s="6"/>
      <c r="H84" s="6" t="s">
        <v>2210</v>
      </c>
      <c r="I84" t="s">
        <v>1561</v>
      </c>
      <c r="J84" t="s">
        <v>1561</v>
      </c>
      <c r="L84">
        <f t="shared" si="2"/>
        <v>1</v>
      </c>
      <c r="M84" s="14"/>
      <c r="N84" s="10"/>
      <c r="R84" s="6"/>
    </row>
    <row r="85" spans="1:18" x14ac:dyDescent="0.35">
      <c r="A85" s="9">
        <f t="shared" si="3"/>
        <v>84</v>
      </c>
      <c r="B85" t="s">
        <v>56</v>
      </c>
      <c r="C85" s="109" t="str">
        <f>IF(ISBLANK(K85),IFERROR(VLOOKUP(I85,FS_input_data!$C$1:$N$106,Export!J85,FALSE),""),K85)</f>
        <v>0141Z</v>
      </c>
      <c r="D85" s="6" t="b">
        <v>0</v>
      </c>
      <c r="E85" t="s">
        <v>1561</v>
      </c>
      <c r="F85" s="6"/>
      <c r="G85" s="6"/>
      <c r="H85" s="6" t="s">
        <v>2210</v>
      </c>
      <c r="I85" t="s">
        <v>839</v>
      </c>
      <c r="J85">
        <v>2</v>
      </c>
      <c r="L85" s="9" t="e">
        <f t="shared" si="2"/>
        <v>#VALUE!</v>
      </c>
      <c r="M85" s="14"/>
      <c r="N85" s="10"/>
      <c r="R85" s="6"/>
    </row>
    <row r="86" spans="1:18" x14ac:dyDescent="0.35">
      <c r="A86">
        <f t="shared" si="3"/>
        <v>85</v>
      </c>
      <c r="B86" t="s">
        <v>57</v>
      </c>
      <c r="C86" s="109" t="str">
        <f>IF(ISBLANK(K86),IFERROR(VLOOKUP(I86,FS_input_data!$C$1:$N$106,Export!J86,FALSE),""),K86)</f>
        <v/>
      </c>
      <c r="D86" s="6"/>
      <c r="E86" t="s">
        <v>1561</v>
      </c>
      <c r="F86" s="6"/>
      <c r="G86" s="6"/>
      <c r="H86" s="6" t="s">
        <v>2210</v>
      </c>
      <c r="I86" t="s">
        <v>1561</v>
      </c>
      <c r="J86" t="s">
        <v>1561</v>
      </c>
      <c r="L86">
        <f t="shared" si="2"/>
        <v>1</v>
      </c>
      <c r="M86" s="14"/>
      <c r="N86" s="10"/>
      <c r="R86" s="6"/>
    </row>
    <row r="87" spans="1:18" x14ac:dyDescent="0.35">
      <c r="A87" s="9">
        <f t="shared" si="3"/>
        <v>86</v>
      </c>
      <c r="B87" t="s">
        <v>56</v>
      </c>
      <c r="C87" s="109" t="str">
        <f>IF(ISBLANK(K87),IFERROR(VLOOKUP(I87,FS_input_data!$C$1:$N$106,Export!J87,FALSE),""),K87)</f>
        <v>0142Z</v>
      </c>
      <c r="D87" s="6" t="b">
        <v>0</v>
      </c>
      <c r="E87" t="s">
        <v>1561</v>
      </c>
      <c r="F87" s="6"/>
      <c r="G87" s="6"/>
      <c r="H87" s="6" t="s">
        <v>2210</v>
      </c>
      <c r="I87" t="s">
        <v>841</v>
      </c>
      <c r="J87">
        <v>2</v>
      </c>
      <c r="L87" s="9" t="e">
        <f t="shared" si="2"/>
        <v>#VALUE!</v>
      </c>
      <c r="M87" s="14"/>
      <c r="N87" s="10"/>
      <c r="R87" s="6"/>
    </row>
    <row r="88" spans="1:18" x14ac:dyDescent="0.35">
      <c r="A88">
        <f t="shared" si="3"/>
        <v>87</v>
      </c>
      <c r="B88" t="s">
        <v>57</v>
      </c>
      <c r="C88" s="109" t="str">
        <f>IF(ISBLANK(K88),IFERROR(VLOOKUP(I88,FS_input_data!$C$1:$N$106,Export!J88,FALSE),""),K88)</f>
        <v/>
      </c>
      <c r="D88" s="6"/>
      <c r="E88" t="s">
        <v>1561</v>
      </c>
      <c r="F88" s="6"/>
      <c r="G88" s="6"/>
      <c r="H88" s="6" t="s">
        <v>2210</v>
      </c>
      <c r="I88" t="s">
        <v>1561</v>
      </c>
      <c r="J88" t="s">
        <v>1561</v>
      </c>
      <c r="L88">
        <f t="shared" si="2"/>
        <v>1</v>
      </c>
      <c r="M88" s="14"/>
      <c r="N88" s="10"/>
      <c r="R88" s="6"/>
    </row>
    <row r="89" spans="1:18" x14ac:dyDescent="0.35">
      <c r="A89" s="9">
        <f t="shared" si="3"/>
        <v>88</v>
      </c>
      <c r="B89" t="s">
        <v>56</v>
      </c>
      <c r="C89" s="109" t="str">
        <f>IF(ISBLANK(K89),IFERROR(VLOOKUP(I89,FS_input_data!$C$1:$N$106,Export!J89,FALSE),""),K89)</f>
        <v>0143Z</v>
      </c>
      <c r="D89" s="6" t="b">
        <v>0</v>
      </c>
      <c r="E89" t="s">
        <v>1561</v>
      </c>
      <c r="F89" s="6"/>
      <c r="G89" s="6"/>
      <c r="H89" s="6" t="s">
        <v>2210</v>
      </c>
      <c r="I89" t="s">
        <v>843</v>
      </c>
      <c r="J89">
        <v>2</v>
      </c>
      <c r="L89" s="9" t="e">
        <f t="shared" si="2"/>
        <v>#VALUE!</v>
      </c>
      <c r="M89" s="14"/>
      <c r="N89" s="10"/>
      <c r="R89" s="6"/>
    </row>
    <row r="90" spans="1:18" x14ac:dyDescent="0.35">
      <c r="A90">
        <f t="shared" si="3"/>
        <v>89</v>
      </c>
      <c r="B90" t="s">
        <v>57</v>
      </c>
      <c r="C90" s="109" t="str">
        <f>IF(ISBLANK(K90),IFERROR(VLOOKUP(I90,FS_input_data!$C$1:$N$106,Export!J90,FALSE),""),K90)</f>
        <v/>
      </c>
      <c r="D90" s="6"/>
      <c r="E90" t="s">
        <v>1561</v>
      </c>
      <c r="F90" s="6"/>
      <c r="G90" s="6"/>
      <c r="H90" s="6" t="s">
        <v>2210</v>
      </c>
      <c r="I90" t="s">
        <v>1561</v>
      </c>
      <c r="J90" t="s">
        <v>1561</v>
      </c>
      <c r="L90">
        <f t="shared" si="2"/>
        <v>1</v>
      </c>
      <c r="M90" s="14"/>
      <c r="N90" s="10"/>
      <c r="R90" s="6"/>
    </row>
    <row r="91" spans="1:18" x14ac:dyDescent="0.35">
      <c r="A91">
        <f t="shared" si="3"/>
        <v>90</v>
      </c>
      <c r="B91" t="s">
        <v>58</v>
      </c>
      <c r="C91" s="109" t="str">
        <f>IF(ISBLANK(K91),IFERROR(VLOOKUP(I91,FS_input_data!$C$1:$N$106,Export!J91,FALSE),""),K91)</f>
        <v/>
      </c>
      <c r="D91" s="6"/>
      <c r="E91" t="s">
        <v>1561</v>
      </c>
      <c r="F91" s="6"/>
      <c r="G91" s="6"/>
      <c r="H91" s="6" t="s">
        <v>2210</v>
      </c>
      <c r="I91" t="s">
        <v>1561</v>
      </c>
      <c r="J91" t="s">
        <v>1561</v>
      </c>
      <c r="L91">
        <f t="shared" si="2"/>
        <v>1</v>
      </c>
      <c r="M91" s="14"/>
      <c r="N91" s="10"/>
      <c r="R91" s="6"/>
    </row>
    <row r="92" spans="1:18" x14ac:dyDescent="0.35">
      <c r="A92">
        <f t="shared" si="3"/>
        <v>91</v>
      </c>
      <c r="B92" t="s">
        <v>59</v>
      </c>
      <c r="C92" s="109" t="str">
        <f>IF(ISBLANK(K92),IFERROR(VLOOKUP(I92,FS_input_data!$C$1:$N$106,Export!J92,FALSE),""),K92)</f>
        <v/>
      </c>
      <c r="D92" s="6"/>
      <c r="E92" t="s">
        <v>2244</v>
      </c>
      <c r="F92" s="6"/>
      <c r="G92" s="6"/>
      <c r="H92" s="6" t="s">
        <v>2210</v>
      </c>
      <c r="I92" t="s">
        <v>1561</v>
      </c>
      <c r="J92" t="s">
        <v>1561</v>
      </c>
      <c r="L92" s="9" t="e">
        <f t="shared" si="2"/>
        <v>#VALUE!</v>
      </c>
      <c r="M92" s="14"/>
      <c r="N92" s="10"/>
      <c r="R92" s="6"/>
    </row>
    <row r="93" spans="1:18" x14ac:dyDescent="0.35">
      <c r="A93" s="9">
        <f t="shared" si="3"/>
        <v>92</v>
      </c>
      <c r="B93" t="s">
        <v>60</v>
      </c>
      <c r="C93" s="109" t="str">
        <f>IF(ISBLANK(K93),IFERROR(VLOOKUP(I93,FS_input_data!$C$1:$N$106,Export!J93,FALSE),""),K93)</f>
        <v>0099999999</v>
      </c>
      <c r="D93" s="6" t="b">
        <v>1</v>
      </c>
      <c r="E93" t="s">
        <v>1561</v>
      </c>
      <c r="F93" s="6"/>
      <c r="G93" s="6"/>
      <c r="H93" s="6" t="s">
        <v>2210</v>
      </c>
      <c r="I93" t="s">
        <v>59</v>
      </c>
      <c r="J93">
        <v>2</v>
      </c>
      <c r="L93" s="9" t="e">
        <f t="shared" si="2"/>
        <v>#VALUE!</v>
      </c>
      <c r="M93" s="14"/>
      <c r="N93" s="10"/>
      <c r="R93" s="6"/>
    </row>
    <row r="94" spans="1:18" x14ac:dyDescent="0.35">
      <c r="A94">
        <f t="shared" si="3"/>
        <v>93</v>
      </c>
      <c r="B94" t="s">
        <v>61</v>
      </c>
      <c r="C94" s="109" t="str">
        <f>IF(ISBLANK(K94),IFERROR(VLOOKUP(I94,FS_input_data!$C$1:$N$106,Export!J94,FALSE),""),K94)</f>
        <v/>
      </c>
      <c r="D94" s="6"/>
      <c r="E94" t="s">
        <v>1561</v>
      </c>
      <c r="F94" s="6"/>
      <c r="G94" s="6"/>
      <c r="H94" s="6" t="s">
        <v>2210</v>
      </c>
      <c r="I94" t="s">
        <v>1561</v>
      </c>
      <c r="J94" t="s">
        <v>1561</v>
      </c>
      <c r="L94">
        <f t="shared" si="2"/>
        <v>1</v>
      </c>
      <c r="M94" s="14"/>
      <c r="N94" s="10"/>
      <c r="R94" s="6"/>
    </row>
    <row r="95" spans="1:18" x14ac:dyDescent="0.35">
      <c r="A95">
        <f t="shared" si="3"/>
        <v>94</v>
      </c>
      <c r="B95" t="s">
        <v>62</v>
      </c>
      <c r="C95" s="109" t="str">
        <f>IF(ISBLANK(K95),IFERROR(VLOOKUP(I95,FS_input_data!$C$1:$N$106,Export!J95,FALSE),""),K95)</f>
        <v/>
      </c>
      <c r="D95" s="6"/>
      <c r="E95" t="s">
        <v>1561</v>
      </c>
      <c r="F95" s="6"/>
      <c r="G95" s="6"/>
      <c r="H95" s="6" t="s">
        <v>2210</v>
      </c>
      <c r="I95" t="s">
        <v>1561</v>
      </c>
      <c r="J95" t="s">
        <v>1561</v>
      </c>
      <c r="L95">
        <f t="shared" si="2"/>
        <v>1</v>
      </c>
      <c r="M95" s="14"/>
      <c r="N95" s="17"/>
      <c r="R95" s="6"/>
    </row>
    <row r="96" spans="1:18" x14ac:dyDescent="0.35">
      <c r="A96">
        <f t="shared" si="3"/>
        <v>95</v>
      </c>
      <c r="B96" t="s">
        <v>63</v>
      </c>
      <c r="C96" s="109" t="str">
        <f>IF(ISBLANK(K96),IFERROR(VLOOKUP(I96,FS_input_data!$C$1:$N$106,Export!J96,FALSE),""),K96)</f>
        <v/>
      </c>
      <c r="D96" s="6"/>
      <c r="E96" t="s">
        <v>1561</v>
      </c>
      <c r="F96" s="6"/>
      <c r="G96" s="6"/>
      <c r="H96" s="6" t="s">
        <v>2210</v>
      </c>
      <c r="I96" t="s">
        <v>1561</v>
      </c>
      <c r="J96" t="s">
        <v>1561</v>
      </c>
      <c r="L96">
        <f t="shared" si="2"/>
        <v>1</v>
      </c>
      <c r="M96" s="14"/>
      <c r="N96" s="10"/>
      <c r="R96" s="6"/>
    </row>
    <row r="97" spans="1:18" x14ac:dyDescent="0.35">
      <c r="A97">
        <f t="shared" si="3"/>
        <v>96</v>
      </c>
      <c r="B97" t="s">
        <v>64</v>
      </c>
      <c r="C97" s="109" t="str">
        <f>IF(ISBLANK(K97),IFERROR(VLOOKUP(I97,FS_input_data!$C$1:$N$106,Export!J97,FALSE),""),K97)</f>
        <v/>
      </c>
      <c r="D97" s="6"/>
      <c r="E97" t="s">
        <v>2245</v>
      </c>
      <c r="F97" s="6" t="s">
        <v>64</v>
      </c>
      <c r="G97" s="6" t="b">
        <f t="shared" ref="G97:G102" si="4">AND($C$98="",$C$100="")</f>
        <v>0</v>
      </c>
      <c r="H97" s="6" t="s">
        <v>2210</v>
      </c>
      <c r="I97" t="s">
        <v>1561</v>
      </c>
      <c r="J97" t="s">
        <v>1561</v>
      </c>
      <c r="L97" s="9" t="e">
        <f t="shared" si="2"/>
        <v>#VALUE!</v>
      </c>
      <c r="M97" s="14"/>
      <c r="N97" s="10"/>
      <c r="R97" s="6"/>
    </row>
    <row r="98" spans="1:18" x14ac:dyDescent="0.35">
      <c r="A98" s="9">
        <f t="shared" si="3"/>
        <v>97</v>
      </c>
      <c r="B98" t="s">
        <v>65</v>
      </c>
      <c r="C98" s="109">
        <f>IF(ISBLANK(K98),IFERROR(VLOOKUP(I98,FS_input_data!$C$1:$N$106,Export!J98,FALSE),""),K98)</f>
        <v>43101</v>
      </c>
      <c r="D98" s="6" t="b">
        <v>0</v>
      </c>
      <c r="E98" t="s">
        <v>1561</v>
      </c>
      <c r="F98" s="6" t="s">
        <v>64</v>
      </c>
      <c r="G98" s="6" t="b">
        <f t="shared" si="4"/>
        <v>0</v>
      </c>
      <c r="H98" s="6" t="s">
        <v>2210</v>
      </c>
      <c r="I98" t="s">
        <v>852</v>
      </c>
      <c r="J98">
        <v>2</v>
      </c>
      <c r="L98" s="9" t="e">
        <f t="shared" si="2"/>
        <v>#VALUE!</v>
      </c>
      <c r="M98" s="14"/>
      <c r="N98" s="10"/>
      <c r="R98" s="6"/>
    </row>
    <row r="99" spans="1:18" x14ac:dyDescent="0.35">
      <c r="A99">
        <f t="shared" si="3"/>
        <v>98</v>
      </c>
      <c r="B99" t="s">
        <v>66</v>
      </c>
      <c r="C99" s="109" t="str">
        <f>IF(ISBLANK(K99),IFERROR(VLOOKUP(I99,FS_input_data!$C$1:$N$106,Export!J99,FALSE),""),K99)</f>
        <v/>
      </c>
      <c r="D99" s="6"/>
      <c r="E99" t="s">
        <v>1561</v>
      </c>
      <c r="F99" s="6" t="s">
        <v>64</v>
      </c>
      <c r="G99" s="6" t="b">
        <f t="shared" si="4"/>
        <v>0</v>
      </c>
      <c r="H99" s="6" t="s">
        <v>2210</v>
      </c>
      <c r="I99" t="s">
        <v>1561</v>
      </c>
      <c r="J99" t="s">
        <v>1561</v>
      </c>
      <c r="L99">
        <f t="shared" si="2"/>
        <v>1</v>
      </c>
      <c r="M99" s="14"/>
      <c r="N99" s="10"/>
      <c r="R99" s="6"/>
    </row>
    <row r="100" spans="1:18" x14ac:dyDescent="0.35">
      <c r="A100" s="9">
        <f t="shared" si="3"/>
        <v>99</v>
      </c>
      <c r="B100" t="s">
        <v>67</v>
      </c>
      <c r="C100" s="109" t="str">
        <f>IF(ISBLANK(K100),IFERROR(VLOOKUP(I100,FS_input_data!$C$1:$N$106,Export!J100,FALSE),""),K100)</f>
        <v>P2B2</v>
      </c>
      <c r="D100" s="6" t="b">
        <v>0</v>
      </c>
      <c r="E100" t="s">
        <v>1561</v>
      </c>
      <c r="F100" s="6" t="s">
        <v>64</v>
      </c>
      <c r="G100" s="6" t="b">
        <f t="shared" si="4"/>
        <v>0</v>
      </c>
      <c r="H100" s="6" t="s">
        <v>2210</v>
      </c>
      <c r="I100" t="s">
        <v>853</v>
      </c>
      <c r="J100">
        <v>2</v>
      </c>
      <c r="L100" s="9" t="e">
        <f t="shared" si="2"/>
        <v>#VALUE!</v>
      </c>
      <c r="M100" s="14"/>
      <c r="N100" s="10"/>
      <c r="R100" s="6"/>
    </row>
    <row r="101" spans="1:18" x14ac:dyDescent="0.35">
      <c r="A101">
        <f t="shared" si="3"/>
        <v>100</v>
      </c>
      <c r="B101" t="s">
        <v>68</v>
      </c>
      <c r="C101" s="109" t="str">
        <f>IF(ISBLANK(K101),IFERROR(VLOOKUP(I101,FS_input_data!$C$1:$N$106,Export!J101,FALSE),""),K101)</f>
        <v/>
      </c>
      <c r="D101" s="6"/>
      <c r="E101" t="s">
        <v>1561</v>
      </c>
      <c r="F101" s="6" t="s">
        <v>64</v>
      </c>
      <c r="G101" s="6" t="b">
        <f t="shared" si="4"/>
        <v>0</v>
      </c>
      <c r="H101" s="6" t="s">
        <v>2210</v>
      </c>
      <c r="I101" t="s">
        <v>1561</v>
      </c>
      <c r="J101" t="s">
        <v>1561</v>
      </c>
      <c r="L101">
        <f t="shared" si="2"/>
        <v>1</v>
      </c>
      <c r="M101" s="14"/>
      <c r="N101" s="10"/>
      <c r="R101" s="6"/>
    </row>
    <row r="102" spans="1:18" x14ac:dyDescent="0.35">
      <c r="A102">
        <f t="shared" si="3"/>
        <v>101</v>
      </c>
      <c r="B102" t="s">
        <v>69</v>
      </c>
      <c r="C102" s="109" t="str">
        <f>IF(ISBLANK(K102),IFERROR(VLOOKUP(I102,FS_input_data!$C$1:$N$106,Export!J102,FALSE),""),K102)</f>
        <v/>
      </c>
      <c r="D102" s="6"/>
      <c r="E102" t="s">
        <v>1561</v>
      </c>
      <c r="F102" s="6" t="s">
        <v>64</v>
      </c>
      <c r="G102" s="6" t="b">
        <f t="shared" si="4"/>
        <v>0</v>
      </c>
      <c r="H102" s="6" t="s">
        <v>2210</v>
      </c>
      <c r="I102" t="s">
        <v>1561</v>
      </c>
      <c r="J102" t="s">
        <v>1561</v>
      </c>
      <c r="L102">
        <f t="shared" si="2"/>
        <v>1</v>
      </c>
      <c r="M102" s="14"/>
      <c r="N102" s="10"/>
      <c r="R102" s="6"/>
    </row>
    <row r="103" spans="1:18" x14ac:dyDescent="0.35">
      <c r="A103">
        <f t="shared" si="3"/>
        <v>102</v>
      </c>
      <c r="B103" t="s">
        <v>70</v>
      </c>
      <c r="C103" s="109" t="str">
        <f>IF(ISBLANK(K103),IFERROR(VLOOKUP(I103,FS_input_data!$C$1:$N$106,Export!J103,FALSE),""),K103)</f>
        <v/>
      </c>
      <c r="D103" s="6"/>
      <c r="E103" t="s">
        <v>2246</v>
      </c>
      <c r="F103" s="6"/>
      <c r="G103" s="6"/>
      <c r="H103" s="6" t="s">
        <v>2210</v>
      </c>
      <c r="I103" t="s">
        <v>1561</v>
      </c>
      <c r="J103" t="s">
        <v>1561</v>
      </c>
      <c r="L103" s="9" t="e">
        <f t="shared" si="2"/>
        <v>#VALUE!</v>
      </c>
      <c r="M103" s="14"/>
      <c r="N103" s="10"/>
      <c r="R103" s="6"/>
    </row>
    <row r="104" spans="1:18" x14ac:dyDescent="0.35">
      <c r="A104" s="9">
        <f t="shared" si="3"/>
        <v>103</v>
      </c>
      <c r="B104" t="s">
        <v>65</v>
      </c>
      <c r="C104" s="109" t="str">
        <f>IF(ISBLANK(K104),IFERROR(VLOOKUP(I104,FS_input_data!$C$1:$N$106,Export!J104,FALSE),""),K104)</f>
        <v>2018-01-01</v>
      </c>
      <c r="D104" s="6" t="b">
        <v>0</v>
      </c>
      <c r="E104" t="s">
        <v>1561</v>
      </c>
      <c r="F104" s="6"/>
      <c r="G104" s="6"/>
      <c r="H104" s="6" t="s">
        <v>2210</v>
      </c>
      <c r="I104" t="s">
        <v>845</v>
      </c>
      <c r="J104">
        <v>2</v>
      </c>
      <c r="L104" s="9" t="e">
        <f t="shared" si="2"/>
        <v>#VALUE!</v>
      </c>
      <c r="M104" s="14"/>
      <c r="N104" s="10"/>
      <c r="R104" s="6"/>
    </row>
    <row r="105" spans="1:18" x14ac:dyDescent="0.35">
      <c r="A105">
        <f t="shared" si="3"/>
        <v>104</v>
      </c>
      <c r="B105" t="s">
        <v>66</v>
      </c>
      <c r="C105" s="109" t="str">
        <f>IF(ISBLANK(K105),IFERROR(VLOOKUP(I105,FS_input_data!$C$1:$N$106,Export!J105,FALSE),""),K105)</f>
        <v/>
      </c>
      <c r="D105" s="6"/>
      <c r="E105" t="s">
        <v>1561</v>
      </c>
      <c r="F105" s="6"/>
      <c r="G105" s="6"/>
      <c r="H105" s="6" t="s">
        <v>2210</v>
      </c>
      <c r="I105" t="s">
        <v>1561</v>
      </c>
      <c r="J105" t="s">
        <v>1561</v>
      </c>
      <c r="L105">
        <f t="shared" si="2"/>
        <v>1</v>
      </c>
      <c r="M105" s="14"/>
      <c r="N105" s="10"/>
      <c r="R105" s="6"/>
    </row>
    <row r="106" spans="1:18" x14ac:dyDescent="0.35">
      <c r="A106" s="9">
        <f t="shared" si="3"/>
        <v>105</v>
      </c>
      <c r="B106" t="s">
        <v>71</v>
      </c>
      <c r="C106" s="109" t="str">
        <f>IF(ISBLANK(K106),IFERROR(VLOOKUP(I106,FS_input_data!$C$1:$N$106,Export!J106,FALSE),""),K106)</f>
        <v>2018-12-31</v>
      </c>
      <c r="D106" s="6"/>
      <c r="E106" t="s">
        <v>1561</v>
      </c>
      <c r="F106" s="6"/>
      <c r="G106" s="6"/>
      <c r="H106" s="6" t="s">
        <v>2210</v>
      </c>
      <c r="I106" t="s">
        <v>846</v>
      </c>
      <c r="J106">
        <v>2</v>
      </c>
      <c r="L106" s="9" t="e">
        <f t="shared" si="2"/>
        <v>#VALUE!</v>
      </c>
      <c r="M106" s="14"/>
      <c r="N106" s="10"/>
      <c r="R106" s="6"/>
    </row>
    <row r="107" spans="1:18" x14ac:dyDescent="0.35">
      <c r="A107">
        <f t="shared" si="3"/>
        <v>106</v>
      </c>
      <c r="B107" t="s">
        <v>72</v>
      </c>
      <c r="C107" s="109" t="str">
        <f>IF(ISBLANK(K107),IFERROR(VLOOKUP(I107,FS_input_data!$C$1:$N$106,Export!J107,FALSE),""),K107)</f>
        <v/>
      </c>
      <c r="D107" s="6"/>
      <c r="E107" t="s">
        <v>1561</v>
      </c>
      <c r="F107" s="6"/>
      <c r="G107" s="6"/>
      <c r="H107" s="6" t="s">
        <v>2210</v>
      </c>
      <c r="I107" t="s">
        <v>1561</v>
      </c>
      <c r="J107" t="s">
        <v>1561</v>
      </c>
      <c r="L107">
        <f t="shared" si="2"/>
        <v>1</v>
      </c>
      <c r="M107" s="14"/>
      <c r="N107" s="10"/>
      <c r="R107" s="6"/>
    </row>
    <row r="108" spans="1:18" x14ac:dyDescent="0.35">
      <c r="A108">
        <f t="shared" si="3"/>
        <v>107</v>
      </c>
      <c r="B108" t="s">
        <v>73</v>
      </c>
      <c r="C108" s="109" t="str">
        <f>IF(ISBLANK(K108),IFERROR(VLOOKUP(I108,FS_input_data!$C$1:$N$106,Export!J108,FALSE),""),K108)</f>
        <v/>
      </c>
      <c r="D108" s="6"/>
      <c r="E108" t="s">
        <v>1561</v>
      </c>
      <c r="F108" s="6"/>
      <c r="G108" s="6"/>
      <c r="H108" s="6" t="s">
        <v>2210</v>
      </c>
      <c r="I108" t="s">
        <v>1561</v>
      </c>
      <c r="J108" t="s">
        <v>1561</v>
      </c>
      <c r="L108">
        <f t="shared" si="2"/>
        <v>1</v>
      </c>
      <c r="M108" s="14"/>
      <c r="N108" s="10"/>
      <c r="R108" s="6"/>
    </row>
    <row r="109" spans="1:18" x14ac:dyDescent="0.35">
      <c r="A109" s="9">
        <f t="shared" si="3"/>
        <v>108</v>
      </c>
      <c r="B109" t="s">
        <v>74</v>
      </c>
      <c r="C109" s="109" t="str">
        <f>IF(ISBLANK(K109),IFERROR(VLOOKUP(I109,FS_input_data!$C$1:$N$106,Export!J109,FALSE),""),K109)</f>
        <v>NIE</v>
      </c>
      <c r="D109" s="6" t="b">
        <v>1</v>
      </c>
      <c r="F109" s="6"/>
      <c r="G109" s="6"/>
      <c r="H109" s="6" t="s">
        <v>2210</v>
      </c>
      <c r="I109" t="s">
        <v>74</v>
      </c>
      <c r="J109">
        <v>2</v>
      </c>
      <c r="L109" s="9" t="e">
        <f t="shared" si="2"/>
        <v>#VALUE!</v>
      </c>
      <c r="M109" s="14"/>
      <c r="N109" s="10"/>
      <c r="R109" s="6"/>
    </row>
    <row r="110" spans="1:18" x14ac:dyDescent="0.35">
      <c r="A110">
        <f t="shared" si="3"/>
        <v>109</v>
      </c>
      <c r="B110" t="s">
        <v>75</v>
      </c>
      <c r="C110" s="109" t="str">
        <f>IF(ISBLANK(K110),IFERROR(VLOOKUP(I110,FS_input_data!$C$1:$N$106,Export!J110,FALSE),""),K110)</f>
        <v/>
      </c>
      <c r="D110" s="6"/>
      <c r="E110" t="s">
        <v>1561</v>
      </c>
      <c r="F110" s="6"/>
      <c r="G110" s="6"/>
      <c r="H110" s="6" t="s">
        <v>2210</v>
      </c>
      <c r="I110" t="s">
        <v>1561</v>
      </c>
      <c r="J110" t="s">
        <v>1561</v>
      </c>
      <c r="L110">
        <f t="shared" si="2"/>
        <v>1</v>
      </c>
      <c r="M110" s="14"/>
      <c r="N110" s="10"/>
      <c r="R110" s="6"/>
    </row>
    <row r="111" spans="1:18" x14ac:dyDescent="0.35">
      <c r="A111">
        <f t="shared" si="3"/>
        <v>110</v>
      </c>
      <c r="B111" t="s">
        <v>76</v>
      </c>
      <c r="C111" s="109" t="str">
        <f>IF(ISBLANK(K111),IFERROR(VLOOKUP(I111,FS_input_data!$C$1:$N$106,Export!J111,FALSE),""),K111)</f>
        <v/>
      </c>
      <c r="D111" s="6"/>
      <c r="E111" t="s">
        <v>2247</v>
      </c>
      <c r="F111" s="6"/>
      <c r="G111" s="6"/>
      <c r="H111" s="6" t="s">
        <v>2210</v>
      </c>
      <c r="I111" t="s">
        <v>1561</v>
      </c>
      <c r="J111" t="s">
        <v>1561</v>
      </c>
      <c r="L111" s="9" t="e">
        <f t="shared" si="2"/>
        <v>#VALUE!</v>
      </c>
      <c r="M111" s="14"/>
      <c r="N111" s="10"/>
      <c r="R111" s="6"/>
    </row>
    <row r="112" spans="1:18" x14ac:dyDescent="0.35">
      <c r="A112" s="9">
        <f t="shared" si="3"/>
        <v>111</v>
      </c>
      <c r="B112" t="s">
        <v>77</v>
      </c>
      <c r="C112" s="109" t="str">
        <f>IF(ISBLANK(K112),IFERROR(VLOOKUP(I112,FS_input_data!$C$1:$N$106,Export!J112,FALSE),""),K112)</f>
        <v>tak</v>
      </c>
      <c r="D112" s="6" t="b">
        <v>1</v>
      </c>
      <c r="F112" s="6"/>
      <c r="G112" s="6"/>
      <c r="H112" s="6" t="s">
        <v>2210</v>
      </c>
      <c r="I112" t="s">
        <v>77</v>
      </c>
      <c r="J112">
        <v>2</v>
      </c>
      <c r="L112" s="9" t="e">
        <f t="shared" si="2"/>
        <v>#VALUE!</v>
      </c>
      <c r="M112" s="14"/>
      <c r="N112" s="10"/>
      <c r="R112" s="8">
        <v>18</v>
      </c>
    </row>
    <row r="113" spans="1:18" x14ac:dyDescent="0.35">
      <c r="A113">
        <f t="shared" si="3"/>
        <v>112</v>
      </c>
      <c r="B113" t="s">
        <v>78</v>
      </c>
      <c r="C113" s="109" t="str">
        <f>IF(ISBLANK(K113),IFERROR(VLOOKUP(I113,FS_input_data!$C$1:$N$106,Export!J113,FALSE),""),K113)</f>
        <v/>
      </c>
      <c r="D113" s="6"/>
      <c r="E113" t="s">
        <v>1561</v>
      </c>
      <c r="F113" s="6"/>
      <c r="G113" s="6"/>
      <c r="H113" s="6" t="s">
        <v>2210</v>
      </c>
      <c r="I113" t="s">
        <v>1561</v>
      </c>
      <c r="J113" t="s">
        <v>1561</v>
      </c>
      <c r="L113">
        <f t="shared" si="2"/>
        <v>1</v>
      </c>
      <c r="M113" s="14"/>
      <c r="N113" s="10"/>
      <c r="R113" s="8">
        <v>118</v>
      </c>
    </row>
    <row r="114" spans="1:18" x14ac:dyDescent="0.35">
      <c r="A114" s="9">
        <f t="shared" si="3"/>
        <v>113</v>
      </c>
      <c r="B114" t="s">
        <v>79</v>
      </c>
      <c r="C114" s="109" t="str">
        <f>IF(ISBLANK(K114),IFERROR(VLOOKUP(I114,FS_input_data!$C$1:$N$106,Export!J114,FALSE),""),K114)</f>
        <v>nie</v>
      </c>
      <c r="D114" s="6" t="b">
        <v>1</v>
      </c>
      <c r="F114" s="6"/>
      <c r="G114" s="6"/>
      <c r="H114" s="6" t="s">
        <v>2210</v>
      </c>
      <c r="I114" t="s">
        <v>79</v>
      </c>
      <c r="J114">
        <v>2</v>
      </c>
      <c r="L114" s="9" t="e">
        <f t="shared" si="2"/>
        <v>#VALUE!</v>
      </c>
      <c r="M114" s="14"/>
      <c r="N114" s="10"/>
      <c r="R114" s="8">
        <v>3</v>
      </c>
    </row>
    <row r="115" spans="1:18" x14ac:dyDescent="0.35">
      <c r="A115">
        <f t="shared" si="3"/>
        <v>114</v>
      </c>
      <c r="B115" t="s">
        <v>80</v>
      </c>
      <c r="C115" s="109" t="str">
        <f>IF(ISBLANK(K115),IFERROR(VLOOKUP(I115,FS_input_data!$C$1:$N$106,Export!J115,FALSE),""),K115)</f>
        <v/>
      </c>
      <c r="D115" s="6"/>
      <c r="E115" t="s">
        <v>1561</v>
      </c>
      <c r="F115" s="6"/>
      <c r="G115" s="6"/>
      <c r="H115" s="6" t="s">
        <v>2210</v>
      </c>
      <c r="I115" t="s">
        <v>1561</v>
      </c>
      <c r="J115" t="s">
        <v>1561</v>
      </c>
      <c r="L115">
        <f t="shared" si="2"/>
        <v>1</v>
      </c>
      <c r="M115" s="14"/>
      <c r="N115" s="10"/>
      <c r="R115" s="8">
        <v>103</v>
      </c>
    </row>
    <row r="116" spans="1:18" x14ac:dyDescent="0.35">
      <c r="A116" s="9">
        <f t="shared" si="3"/>
        <v>115</v>
      </c>
      <c r="B116" t="s">
        <v>81</v>
      </c>
      <c r="C116" s="109" t="str">
        <f>IF(ISBLANK(K116),IFERROR(VLOOKUP(I116,FS_input_data!$C$1:$N$106,Export!J116,FALSE),""),K116)</f>
        <v>P5C5</v>
      </c>
      <c r="D116" s="6" t="b">
        <v>0</v>
      </c>
      <c r="E116" t="s">
        <v>1561</v>
      </c>
      <c r="F116" s="6"/>
      <c r="G116" s="6"/>
      <c r="H116" s="6" t="s">
        <v>2210</v>
      </c>
      <c r="I116" t="s">
        <v>81</v>
      </c>
      <c r="J116">
        <v>2</v>
      </c>
      <c r="L116" s="9" t="e">
        <f t="shared" si="2"/>
        <v>#VALUE!</v>
      </c>
      <c r="M116" s="14"/>
      <c r="N116" s="10"/>
      <c r="R116" s="8"/>
    </row>
    <row r="117" spans="1:18" x14ac:dyDescent="0.35">
      <c r="A117">
        <f t="shared" si="3"/>
        <v>116</v>
      </c>
      <c r="B117" t="s">
        <v>82</v>
      </c>
      <c r="C117" s="109" t="str">
        <f>IF(ISBLANK(K117),IFERROR(VLOOKUP(I117,FS_input_data!$C$1:$N$106,Export!J117,FALSE),""),K117)</f>
        <v/>
      </c>
      <c r="D117" s="6"/>
      <c r="E117" t="s">
        <v>1561</v>
      </c>
      <c r="F117" s="6"/>
      <c r="G117" s="6"/>
      <c r="H117" s="6" t="s">
        <v>2210</v>
      </c>
      <c r="I117" t="s">
        <v>1561</v>
      </c>
      <c r="J117" t="s">
        <v>1561</v>
      </c>
      <c r="L117">
        <f t="shared" si="2"/>
        <v>1</v>
      </c>
      <c r="M117" s="14"/>
      <c r="N117" s="10"/>
      <c r="R117" s="8"/>
    </row>
    <row r="118" spans="1:18" x14ac:dyDescent="0.35">
      <c r="A118">
        <f t="shared" si="3"/>
        <v>117</v>
      </c>
      <c r="B118" t="s">
        <v>83</v>
      </c>
      <c r="C118" s="109" t="str">
        <f>IF(ISBLANK(K118),IFERROR(VLOOKUP(I118,FS_input_data!$C$1:$N$106,Export!J118,FALSE),""),K118)</f>
        <v/>
      </c>
      <c r="D118" s="6"/>
      <c r="E118" t="s">
        <v>1561</v>
      </c>
      <c r="F118" s="6"/>
      <c r="G118" s="6"/>
      <c r="H118" s="6" t="s">
        <v>2210</v>
      </c>
      <c r="I118" t="s">
        <v>1561</v>
      </c>
      <c r="J118" t="s">
        <v>1561</v>
      </c>
      <c r="L118">
        <f t="shared" si="2"/>
        <v>1</v>
      </c>
      <c r="M118" s="14"/>
      <c r="N118" s="10"/>
      <c r="R118" s="8"/>
    </row>
    <row r="119" spans="1:18" x14ac:dyDescent="0.35">
      <c r="A119">
        <f t="shared" si="3"/>
        <v>118</v>
      </c>
      <c r="B119" t="s">
        <v>84</v>
      </c>
      <c r="C119" s="109" t="str">
        <f>IF(ISBLANK(K119),IFERROR(VLOOKUP(I119,FS_input_data!$C$1:$N$106,Export!J119,FALSE),""),K119)</f>
        <v/>
      </c>
      <c r="D119" s="6"/>
      <c r="E119" t="s">
        <v>2248</v>
      </c>
      <c r="F119" s="6"/>
      <c r="G119" s="6"/>
      <c r="H119" s="6" t="s">
        <v>2210</v>
      </c>
      <c r="I119" t="s">
        <v>1561</v>
      </c>
      <c r="J119" t="s">
        <v>1561</v>
      </c>
      <c r="L119" s="9" t="e">
        <f t="shared" si="2"/>
        <v>#VALUE!</v>
      </c>
      <c r="M119" s="14"/>
      <c r="N119" s="10"/>
      <c r="R119" s="8"/>
    </row>
    <row r="120" spans="1:18" x14ac:dyDescent="0.35">
      <c r="A120" s="9">
        <f t="shared" si="3"/>
        <v>119</v>
      </c>
      <c r="B120" t="s">
        <v>85</v>
      </c>
      <c r="C120" s="109" t="str">
        <f>IF(ISBLANK(K120),IFERROR(VLOOKUP(I120,FS_input_data!$C$1:$N$106,Export!J120,FALSE),""),K120)</f>
        <v>tak</v>
      </c>
      <c r="D120" s="6" t="b">
        <v>1</v>
      </c>
      <c r="E120" t="s">
        <v>1561</v>
      </c>
      <c r="F120" s="6"/>
      <c r="G120" s="6"/>
      <c r="H120" s="6" t="s">
        <v>2210</v>
      </c>
      <c r="I120" t="s">
        <v>85</v>
      </c>
      <c r="J120">
        <v>2</v>
      </c>
      <c r="L120" s="9" t="e">
        <f t="shared" si="2"/>
        <v>#VALUE!</v>
      </c>
      <c r="M120" s="14"/>
      <c r="N120" s="10"/>
      <c r="R120" s="8"/>
    </row>
    <row r="121" spans="1:18" x14ac:dyDescent="0.35">
      <c r="A121">
        <f t="shared" si="3"/>
        <v>120</v>
      </c>
      <c r="B121" t="s">
        <v>86</v>
      </c>
      <c r="C121" s="109" t="str">
        <f>IF(ISBLANK(K121),IFERROR(VLOOKUP(I121,FS_input_data!$C$1:$N$106,Export!J121,FALSE),""),K121)</f>
        <v/>
      </c>
      <c r="D121" s="6"/>
      <c r="E121" t="s">
        <v>1561</v>
      </c>
      <c r="F121" s="6"/>
      <c r="G121" s="6"/>
      <c r="H121" s="6" t="s">
        <v>2210</v>
      </c>
      <c r="I121" t="s">
        <v>1561</v>
      </c>
      <c r="J121" t="s">
        <v>1561</v>
      </c>
      <c r="L121">
        <f t="shared" si="2"/>
        <v>1</v>
      </c>
      <c r="M121" s="14"/>
      <c r="N121" s="10"/>
      <c r="R121" s="8"/>
    </row>
    <row r="122" spans="1:18" x14ac:dyDescent="0.35">
      <c r="A122" s="9">
        <f t="shared" si="3"/>
        <v>121</v>
      </c>
      <c r="B122" t="s">
        <v>87</v>
      </c>
      <c r="C122" s="109" t="str">
        <f>IF(ISBLANK(K122),IFERROR(VLOOKUP(I122,FS_input_data!$C$1:$N$106,Export!J122,FALSE),""),K122)</f>
        <v>P6B6</v>
      </c>
      <c r="D122" s="6" t="b">
        <v>0</v>
      </c>
      <c r="E122" t="s">
        <v>1561</v>
      </c>
      <c r="F122" s="6"/>
      <c r="G122" s="6"/>
      <c r="H122" s="6" t="s">
        <v>2210</v>
      </c>
      <c r="I122" t="s">
        <v>87</v>
      </c>
      <c r="J122">
        <v>2</v>
      </c>
      <c r="L122" s="9" t="e">
        <f t="shared" si="2"/>
        <v>#VALUE!</v>
      </c>
      <c r="M122" s="14"/>
      <c r="N122" s="10"/>
      <c r="R122" s="6"/>
    </row>
    <row r="123" spans="1:18" x14ac:dyDescent="0.35">
      <c r="A123">
        <f t="shared" si="3"/>
        <v>122</v>
      </c>
      <c r="B123" t="s">
        <v>88</v>
      </c>
      <c r="C123" s="109" t="str">
        <f>IF(ISBLANK(K123),IFERROR(VLOOKUP(I123,FS_input_data!$C$1:$N$106,Export!J123,FALSE),""),K123)</f>
        <v/>
      </c>
      <c r="D123" s="6"/>
      <c r="E123" t="s">
        <v>1561</v>
      </c>
      <c r="F123" s="6"/>
      <c r="G123" s="6"/>
      <c r="H123" s="6" t="s">
        <v>2210</v>
      </c>
      <c r="I123" t="s">
        <v>1561</v>
      </c>
      <c r="J123" t="s">
        <v>1561</v>
      </c>
      <c r="L123">
        <f t="shared" si="2"/>
        <v>1</v>
      </c>
      <c r="M123" s="14"/>
      <c r="N123" s="10"/>
      <c r="R123" s="6"/>
    </row>
    <row r="124" spans="1:18" x14ac:dyDescent="0.35">
      <c r="A124">
        <f t="shared" si="3"/>
        <v>123</v>
      </c>
      <c r="B124" t="s">
        <v>89</v>
      </c>
      <c r="C124" s="109" t="str">
        <f>IF(ISBLANK(K124),IFERROR(VLOOKUP(I124,FS_input_data!$C$1:$N$106,Export!J124,FALSE),""),K124)</f>
        <v/>
      </c>
      <c r="D124" s="6"/>
      <c r="E124" t="s">
        <v>1561</v>
      </c>
      <c r="F124" s="6"/>
      <c r="G124" s="6"/>
      <c r="H124" s="6" t="s">
        <v>2210</v>
      </c>
      <c r="I124" t="s">
        <v>1561</v>
      </c>
      <c r="J124" t="s">
        <v>1561</v>
      </c>
      <c r="L124">
        <f t="shared" si="2"/>
        <v>1</v>
      </c>
      <c r="M124" s="14"/>
      <c r="N124" s="10"/>
      <c r="R124" s="8"/>
    </row>
    <row r="125" spans="1:18" x14ac:dyDescent="0.35">
      <c r="A125">
        <f t="shared" si="3"/>
        <v>124</v>
      </c>
      <c r="B125" t="s">
        <v>90</v>
      </c>
      <c r="C125" s="109" t="str">
        <f>IF(ISBLANK(K125),IFERROR(VLOOKUP(I125,FS_input_data!$C$1:$N$106,Export!J125,FALSE),""),K125)</f>
        <v/>
      </c>
      <c r="D125" s="6"/>
      <c r="E125" t="s">
        <v>2249</v>
      </c>
      <c r="F125" s="6"/>
      <c r="G125" s="6"/>
      <c r="H125" s="6" t="s">
        <v>2210</v>
      </c>
      <c r="I125" t="s">
        <v>1561</v>
      </c>
      <c r="J125" t="s">
        <v>1561</v>
      </c>
      <c r="L125" s="9" t="e">
        <f t="shared" si="2"/>
        <v>#VALUE!</v>
      </c>
      <c r="M125" s="14"/>
      <c r="N125" s="10"/>
      <c r="R125" s="8"/>
    </row>
    <row r="126" spans="1:18" x14ac:dyDescent="0.35">
      <c r="A126" s="9">
        <f t="shared" si="3"/>
        <v>125</v>
      </c>
      <c r="B126" t="s">
        <v>91</v>
      </c>
      <c r="C126" s="109" t="str">
        <f>IF(ISBLANK(K126),IFERROR(VLOOKUP(I126,FS_input_data!$C$1:$N$106,Export!J126,FALSE),""),K126)</f>
        <v>P7A7</v>
      </c>
      <c r="D126" s="6" t="b">
        <v>1</v>
      </c>
      <c r="E126" t="s">
        <v>1561</v>
      </c>
      <c r="F126" s="6"/>
      <c r="G126" s="6"/>
      <c r="H126" s="6" t="s">
        <v>2210</v>
      </c>
      <c r="I126" t="s">
        <v>91</v>
      </c>
      <c r="J126">
        <v>2</v>
      </c>
      <c r="L126" s="9" t="e">
        <f t="shared" si="2"/>
        <v>#VALUE!</v>
      </c>
      <c r="M126" s="14"/>
      <c r="N126" s="10"/>
      <c r="R126" s="8"/>
    </row>
    <row r="127" spans="1:18" x14ac:dyDescent="0.35">
      <c r="A127">
        <f t="shared" si="3"/>
        <v>126</v>
      </c>
      <c r="B127" t="s">
        <v>92</v>
      </c>
      <c r="C127" s="109" t="str">
        <f>IF(ISBLANK(K127),IFERROR(VLOOKUP(I127,FS_input_data!$C$1:$N$106,Export!J127,FALSE),""),K127)</f>
        <v/>
      </c>
      <c r="D127" s="6"/>
      <c r="E127" t="s">
        <v>1561</v>
      </c>
      <c r="F127" s="6"/>
      <c r="G127" s="6"/>
      <c r="H127" s="6" t="s">
        <v>2210</v>
      </c>
      <c r="I127" t="s">
        <v>1561</v>
      </c>
      <c r="J127" t="s">
        <v>1561</v>
      </c>
      <c r="L127">
        <f t="shared" si="2"/>
        <v>1</v>
      </c>
      <c r="M127" s="14"/>
      <c r="N127" s="10"/>
      <c r="R127" s="8"/>
    </row>
    <row r="128" spans="1:18" x14ac:dyDescent="0.35">
      <c r="A128" s="9">
        <f t="shared" si="3"/>
        <v>127</v>
      </c>
      <c r="B128" t="s">
        <v>91</v>
      </c>
      <c r="C128" s="109" t="str">
        <f>IF(ISBLANK(K128),IFERROR(VLOOKUP(I128,FS_input_data!$C$1:$N$106,Export!J128,FALSE),""),K128)</f>
        <v>7A18_7a_1</v>
      </c>
      <c r="D128" s="6" t="b">
        <v>0</v>
      </c>
      <c r="E128" t="s">
        <v>1561</v>
      </c>
      <c r="F128" s="6"/>
      <c r="G128" s="6"/>
      <c r="H128" s="6" t="s">
        <v>2210</v>
      </c>
      <c r="I128" t="s">
        <v>858</v>
      </c>
      <c r="J128">
        <v>2</v>
      </c>
      <c r="L128" s="9" t="e">
        <f t="shared" si="2"/>
        <v>#VALUE!</v>
      </c>
      <c r="M128" s="14"/>
      <c r="N128" s="10"/>
      <c r="R128" s="8"/>
    </row>
    <row r="129" spans="1:18" ht="14.5" customHeight="1" x14ac:dyDescent="0.35">
      <c r="A129">
        <f t="shared" si="3"/>
        <v>128</v>
      </c>
      <c r="B129" t="s">
        <v>92</v>
      </c>
      <c r="C129" s="109" t="str">
        <f>IF(ISBLANK(K129),IFERROR(VLOOKUP(I129,FS_input_data!$C$1:$N$106,Export!J129,FALSE),""),K129)</f>
        <v/>
      </c>
      <c r="D129" s="6"/>
      <c r="E129" t="s">
        <v>1561</v>
      </c>
      <c r="F129" s="6"/>
      <c r="G129" s="6"/>
      <c r="H129" s="6" t="s">
        <v>2210</v>
      </c>
      <c r="I129" t="s">
        <v>1561</v>
      </c>
      <c r="J129" t="s">
        <v>1561</v>
      </c>
      <c r="L129">
        <f t="shared" si="2"/>
        <v>1</v>
      </c>
      <c r="M129" s="14"/>
      <c r="N129" s="10"/>
      <c r="R129" s="8"/>
    </row>
    <row r="130" spans="1:18" x14ac:dyDescent="0.35">
      <c r="A130" s="9">
        <f t="shared" si="3"/>
        <v>129</v>
      </c>
      <c r="B130" t="s">
        <v>91</v>
      </c>
      <c r="C130" s="109" t="str">
        <f>IF(ISBLANK(K130),IFERROR(VLOOKUP(I130,FS_input_data!$C$1:$N$106,Export!J130,FALSE),""),K130)</f>
        <v>7A28_7a_2</v>
      </c>
      <c r="D130" s="6" t="b">
        <v>0</v>
      </c>
      <c r="E130" t="s">
        <v>1561</v>
      </c>
      <c r="F130" s="6"/>
      <c r="G130" s="6"/>
      <c r="H130" s="6" t="s">
        <v>2210</v>
      </c>
      <c r="I130" t="s">
        <v>860</v>
      </c>
      <c r="J130">
        <v>2</v>
      </c>
      <c r="L130" s="9" t="e">
        <f t="shared" ref="L130:L193" si="5">FIND("/",B130)</f>
        <v>#VALUE!</v>
      </c>
      <c r="M130" s="14"/>
      <c r="N130" s="10"/>
      <c r="R130" s="8"/>
    </row>
    <row r="131" spans="1:18" ht="14.5" customHeight="1" x14ac:dyDescent="0.35">
      <c r="A131">
        <f t="shared" ref="A131:A194" si="6">A130+1</f>
        <v>130</v>
      </c>
      <c r="B131" t="s">
        <v>92</v>
      </c>
      <c r="C131" s="109" t="str">
        <f>IF(ISBLANK(K131),IFERROR(VLOOKUP(I131,FS_input_data!$C$1:$N$106,Export!J131,FALSE),""),K131)</f>
        <v/>
      </c>
      <c r="D131" s="6"/>
      <c r="E131" t="s">
        <v>1561</v>
      </c>
      <c r="F131" s="6"/>
      <c r="G131" s="6"/>
      <c r="H131" s="6" t="s">
        <v>2210</v>
      </c>
      <c r="I131" t="s">
        <v>1561</v>
      </c>
      <c r="J131" t="s">
        <v>1561</v>
      </c>
      <c r="L131">
        <f t="shared" si="5"/>
        <v>1</v>
      </c>
      <c r="M131" s="14"/>
      <c r="N131" s="10"/>
      <c r="R131" s="8"/>
    </row>
    <row r="132" spans="1:18" x14ac:dyDescent="0.35">
      <c r="A132" s="9">
        <f t="shared" si="6"/>
        <v>131</v>
      </c>
      <c r="B132" t="s">
        <v>91</v>
      </c>
      <c r="C132" s="109" t="str">
        <f>IF(ISBLANK(K132),IFERROR(VLOOKUP(I132,FS_input_data!$C$1:$N$106,Export!J132,FALSE),""),K132)</f>
        <v>7A38_7a_3</v>
      </c>
      <c r="D132" s="6" t="b">
        <v>0</v>
      </c>
      <c r="E132" t="s">
        <v>1561</v>
      </c>
      <c r="F132" s="6"/>
      <c r="G132" s="6"/>
      <c r="H132" s="6" t="s">
        <v>2210</v>
      </c>
      <c r="I132" t="s">
        <v>862</v>
      </c>
      <c r="J132">
        <v>2</v>
      </c>
      <c r="L132" s="9" t="e">
        <f t="shared" si="5"/>
        <v>#VALUE!</v>
      </c>
      <c r="M132" s="14"/>
      <c r="N132" s="10"/>
      <c r="R132" s="8"/>
    </row>
    <row r="133" spans="1:18" ht="14.5" customHeight="1" x14ac:dyDescent="0.35">
      <c r="A133">
        <f t="shared" si="6"/>
        <v>132</v>
      </c>
      <c r="B133" t="s">
        <v>92</v>
      </c>
      <c r="C133" s="109" t="str">
        <f>IF(ISBLANK(K133),IFERROR(VLOOKUP(I133,FS_input_data!$C$1:$N$106,Export!J133,FALSE),""),K133)</f>
        <v/>
      </c>
      <c r="D133" s="6"/>
      <c r="E133" t="s">
        <v>1561</v>
      </c>
      <c r="F133" s="6"/>
      <c r="G133" s="6"/>
      <c r="H133" s="6" t="s">
        <v>2210</v>
      </c>
      <c r="I133" t="s">
        <v>1561</v>
      </c>
      <c r="J133" t="s">
        <v>1561</v>
      </c>
      <c r="L133">
        <f t="shared" si="5"/>
        <v>1</v>
      </c>
      <c r="M133" s="14"/>
      <c r="N133" s="10"/>
      <c r="R133" s="8"/>
    </row>
    <row r="134" spans="1:18" x14ac:dyDescent="0.35">
      <c r="A134" s="9">
        <f t="shared" si="6"/>
        <v>133</v>
      </c>
      <c r="B134" t="s">
        <v>91</v>
      </c>
      <c r="C134" s="109" t="str">
        <f>IF(ISBLANK(K134),IFERROR(VLOOKUP(I134,FS_input_data!$C$1:$N$106,Export!J134,FALSE),""),K134)</f>
        <v>7A48_7a_4</v>
      </c>
      <c r="D134" s="6" t="b">
        <v>0</v>
      </c>
      <c r="E134" t="s">
        <v>1561</v>
      </c>
      <c r="F134" s="6"/>
      <c r="G134" s="6"/>
      <c r="H134" s="6" t="s">
        <v>2210</v>
      </c>
      <c r="I134" t="s">
        <v>864</v>
      </c>
      <c r="J134">
        <v>2</v>
      </c>
      <c r="L134" s="9" t="e">
        <f t="shared" si="5"/>
        <v>#VALUE!</v>
      </c>
      <c r="M134" s="14"/>
      <c r="N134" s="10"/>
      <c r="R134" s="8"/>
    </row>
    <row r="135" spans="1:18" ht="14.5" customHeight="1" x14ac:dyDescent="0.35">
      <c r="A135">
        <f t="shared" si="6"/>
        <v>134</v>
      </c>
      <c r="B135" t="s">
        <v>92</v>
      </c>
      <c r="C135" s="109" t="str">
        <f>IF(ISBLANK(K135),IFERROR(VLOOKUP(I135,FS_input_data!$C$1:$N$106,Export!J135,FALSE),""),K135)</f>
        <v/>
      </c>
      <c r="D135" s="6"/>
      <c r="E135" t="s">
        <v>1561</v>
      </c>
      <c r="F135" s="6"/>
      <c r="G135" s="6"/>
      <c r="H135" s="6" t="s">
        <v>2210</v>
      </c>
      <c r="I135" t="s">
        <v>1561</v>
      </c>
      <c r="J135" t="s">
        <v>1561</v>
      </c>
      <c r="L135">
        <f t="shared" si="5"/>
        <v>1</v>
      </c>
      <c r="M135" s="14"/>
      <c r="N135" s="10"/>
      <c r="R135" s="8"/>
    </row>
    <row r="136" spans="1:18" ht="15.5" x14ac:dyDescent="0.35">
      <c r="A136" s="9">
        <f t="shared" si="6"/>
        <v>135</v>
      </c>
      <c r="B136" t="s">
        <v>91</v>
      </c>
      <c r="C136" s="109" t="str">
        <f>IF(ISBLANK(K136),IFERROR(VLOOKUP(I136,FS_input_data!$C$1:$N$106,Export!J136,FALSE),""),K136)</f>
        <v>7A58_7a_5</v>
      </c>
      <c r="D136" s="6" t="b">
        <v>0</v>
      </c>
      <c r="E136" t="s">
        <v>1561</v>
      </c>
      <c r="F136" s="6"/>
      <c r="G136" s="6"/>
      <c r="H136" s="6" t="s">
        <v>2210</v>
      </c>
      <c r="I136" t="s">
        <v>866</v>
      </c>
      <c r="J136">
        <v>2</v>
      </c>
      <c r="L136" s="9" t="e">
        <f t="shared" si="5"/>
        <v>#VALUE!</v>
      </c>
      <c r="M136" s="20"/>
      <c r="N136" s="21"/>
      <c r="R136" s="8"/>
    </row>
    <row r="137" spans="1:18" ht="14.5" customHeight="1" x14ac:dyDescent="0.35">
      <c r="A137">
        <f t="shared" si="6"/>
        <v>136</v>
      </c>
      <c r="B137" t="s">
        <v>92</v>
      </c>
      <c r="C137" s="109" t="str">
        <f>IF(ISBLANK(K137),IFERROR(VLOOKUP(I137,FS_input_data!$C$1:$N$106,Export!J137,FALSE),""),K137)</f>
        <v/>
      </c>
      <c r="D137" s="6"/>
      <c r="E137" t="s">
        <v>1561</v>
      </c>
      <c r="F137" s="6"/>
      <c r="G137" s="6"/>
      <c r="H137" s="6" t="s">
        <v>2210</v>
      </c>
      <c r="I137" t="s">
        <v>1561</v>
      </c>
      <c r="J137" t="s">
        <v>1561</v>
      </c>
      <c r="L137">
        <f t="shared" si="5"/>
        <v>1</v>
      </c>
      <c r="M137" s="10"/>
      <c r="N137" s="10"/>
      <c r="R137" s="8"/>
    </row>
    <row r="138" spans="1:18" x14ac:dyDescent="0.35">
      <c r="A138" s="9">
        <f t="shared" si="6"/>
        <v>137</v>
      </c>
      <c r="B138" t="s">
        <v>91</v>
      </c>
      <c r="C138" s="109" t="str">
        <f>IF(ISBLANK(K138),IFERROR(VLOOKUP(I138,FS_input_data!$C$1:$N$106,Export!J138,FALSE),""),K138)</f>
        <v>7A68_7a_6</v>
      </c>
      <c r="D138" s="6" t="b">
        <v>0</v>
      </c>
      <c r="E138" t="s">
        <v>1561</v>
      </c>
      <c r="F138" s="6"/>
      <c r="G138" s="6"/>
      <c r="H138" s="6" t="s">
        <v>2210</v>
      </c>
      <c r="I138" t="s">
        <v>868</v>
      </c>
      <c r="J138">
        <v>2</v>
      </c>
      <c r="L138" s="9" t="e">
        <f t="shared" si="5"/>
        <v>#VALUE!</v>
      </c>
      <c r="M138" s="10"/>
      <c r="N138" s="10"/>
      <c r="R138" s="8"/>
    </row>
    <row r="139" spans="1:18" ht="14.5" customHeight="1" x14ac:dyDescent="0.35">
      <c r="A139">
        <f t="shared" si="6"/>
        <v>138</v>
      </c>
      <c r="B139" t="s">
        <v>92</v>
      </c>
      <c r="C139" s="109" t="str">
        <f>IF(ISBLANK(K139),IFERROR(VLOOKUP(I139,FS_input_data!$C$1:$N$106,Export!J139,FALSE),""),K139)</f>
        <v/>
      </c>
      <c r="D139" s="6"/>
      <c r="E139" t="s">
        <v>1561</v>
      </c>
      <c r="F139" s="6"/>
      <c r="G139" s="6"/>
      <c r="H139" s="6" t="s">
        <v>2210</v>
      </c>
      <c r="I139" t="s">
        <v>1561</v>
      </c>
      <c r="J139" t="s">
        <v>1561</v>
      </c>
      <c r="L139">
        <f t="shared" si="5"/>
        <v>1</v>
      </c>
      <c r="M139" s="10"/>
      <c r="N139" s="10"/>
      <c r="R139" s="8"/>
    </row>
    <row r="140" spans="1:18" x14ac:dyDescent="0.35">
      <c r="A140" s="9">
        <f t="shared" si="6"/>
        <v>139</v>
      </c>
      <c r="B140" t="s">
        <v>91</v>
      </c>
      <c r="C140" s="109" t="str">
        <f>IF(ISBLANK(K140),IFERROR(VLOOKUP(I140,FS_input_data!$C$1:$N$106,Export!J140,FALSE),""),K140)</f>
        <v>7A78_7a_7</v>
      </c>
      <c r="D140" s="6" t="b">
        <v>0</v>
      </c>
      <c r="E140" t="s">
        <v>1561</v>
      </c>
      <c r="F140" s="6"/>
      <c r="G140" s="6"/>
      <c r="H140" s="6" t="s">
        <v>2210</v>
      </c>
      <c r="I140" t="s">
        <v>870</v>
      </c>
      <c r="J140">
        <v>2</v>
      </c>
      <c r="L140" s="9" t="e">
        <f t="shared" si="5"/>
        <v>#VALUE!</v>
      </c>
      <c r="M140" s="10"/>
      <c r="N140" s="10"/>
      <c r="R140" s="6"/>
    </row>
    <row r="141" spans="1:18" ht="14.5" customHeight="1" x14ac:dyDescent="0.35">
      <c r="A141">
        <f t="shared" si="6"/>
        <v>140</v>
      </c>
      <c r="B141" t="s">
        <v>92</v>
      </c>
      <c r="C141" s="109" t="str">
        <f>IF(ISBLANK(K141),IFERROR(VLOOKUP(I141,FS_input_data!$C$1:$N$106,Export!J141,FALSE),""),K141)</f>
        <v/>
      </c>
      <c r="D141" s="6"/>
      <c r="E141" t="s">
        <v>1561</v>
      </c>
      <c r="F141" s="6"/>
      <c r="G141" s="6"/>
      <c r="H141" s="6" t="s">
        <v>2210</v>
      </c>
      <c r="I141" t="s">
        <v>1561</v>
      </c>
      <c r="J141" t="s">
        <v>1561</v>
      </c>
      <c r="L141">
        <f t="shared" si="5"/>
        <v>1</v>
      </c>
      <c r="M141" s="10"/>
      <c r="N141" s="10"/>
      <c r="R141" s="6"/>
    </row>
    <row r="142" spans="1:18" x14ac:dyDescent="0.35">
      <c r="A142" s="9">
        <f t="shared" si="6"/>
        <v>141</v>
      </c>
      <c r="B142" t="s">
        <v>91</v>
      </c>
      <c r="C142" s="109" t="str">
        <f>IF(ISBLANK(K142),IFERROR(VLOOKUP(I142,FS_input_data!$C$1:$N$106,Export!J142,FALSE),""),K142)</f>
        <v>7A88_7a_8</v>
      </c>
      <c r="D142" s="6" t="b">
        <v>0</v>
      </c>
      <c r="E142" t="s">
        <v>1561</v>
      </c>
      <c r="F142" s="6"/>
      <c r="G142" s="6"/>
      <c r="H142" s="6" t="s">
        <v>2210</v>
      </c>
      <c r="I142" t="s">
        <v>872</v>
      </c>
      <c r="J142">
        <v>2</v>
      </c>
      <c r="L142" s="9" t="e">
        <f t="shared" si="5"/>
        <v>#VALUE!</v>
      </c>
      <c r="M142" s="10"/>
      <c r="N142" s="10"/>
      <c r="R142" s="8"/>
    </row>
    <row r="143" spans="1:18" ht="14.5" customHeight="1" x14ac:dyDescent="0.35">
      <c r="A143">
        <f t="shared" si="6"/>
        <v>142</v>
      </c>
      <c r="B143" t="s">
        <v>92</v>
      </c>
      <c r="C143" s="109" t="str">
        <f>IF(ISBLANK(K143),IFERROR(VLOOKUP(I143,FS_input_data!$C$1:$N$106,Export!J143,FALSE),""),K143)</f>
        <v/>
      </c>
      <c r="D143" s="6"/>
      <c r="E143" t="s">
        <v>1561</v>
      </c>
      <c r="F143" s="6"/>
      <c r="G143" s="6"/>
      <c r="H143" s="6" t="s">
        <v>2210</v>
      </c>
      <c r="I143" t="s">
        <v>1561</v>
      </c>
      <c r="J143" t="s">
        <v>1561</v>
      </c>
      <c r="L143">
        <f t="shared" si="5"/>
        <v>1</v>
      </c>
      <c r="M143" s="10"/>
      <c r="N143" s="10"/>
      <c r="R143" s="8"/>
    </row>
    <row r="144" spans="1:18" x14ac:dyDescent="0.35">
      <c r="A144" s="9">
        <f t="shared" si="6"/>
        <v>143</v>
      </c>
      <c r="B144" t="s">
        <v>91</v>
      </c>
      <c r="C144" s="109" t="str">
        <f>IF(ISBLANK(K144),IFERROR(VLOOKUP(I144,FS_input_data!$C$1:$N$106,Export!J144,FALSE),""),K144)</f>
        <v>7A98_7a_9</v>
      </c>
      <c r="D144" s="6" t="b">
        <v>0</v>
      </c>
      <c r="E144" t="s">
        <v>1561</v>
      </c>
      <c r="F144" s="6"/>
      <c r="G144" s="6"/>
      <c r="H144" s="6" t="s">
        <v>2210</v>
      </c>
      <c r="I144" t="s">
        <v>874</v>
      </c>
      <c r="J144">
        <v>2</v>
      </c>
      <c r="L144" s="9" t="e">
        <f t="shared" si="5"/>
        <v>#VALUE!</v>
      </c>
      <c r="M144" s="10"/>
      <c r="N144" s="10"/>
      <c r="R144" s="8"/>
    </row>
    <row r="145" spans="1:18" x14ac:dyDescent="0.35">
      <c r="A145">
        <f t="shared" si="6"/>
        <v>144</v>
      </c>
      <c r="B145" t="s">
        <v>92</v>
      </c>
      <c r="C145" s="109" t="str">
        <f>IF(ISBLANK(K145),IFERROR(VLOOKUP(I145,FS_input_data!$C$1:$N$106,Export!J145,FALSE),""),K145)</f>
        <v/>
      </c>
      <c r="D145" s="6"/>
      <c r="E145" t="s">
        <v>1561</v>
      </c>
      <c r="F145" s="6"/>
      <c r="G145" s="6"/>
      <c r="H145" s="6" t="s">
        <v>2210</v>
      </c>
      <c r="I145" t="s">
        <v>1561</v>
      </c>
      <c r="J145" t="s">
        <v>1561</v>
      </c>
      <c r="L145">
        <f t="shared" si="5"/>
        <v>1</v>
      </c>
      <c r="M145" s="10"/>
      <c r="N145" s="10"/>
      <c r="R145" s="8"/>
    </row>
    <row r="146" spans="1:18" x14ac:dyDescent="0.35">
      <c r="A146" s="9">
        <f t="shared" si="6"/>
        <v>145</v>
      </c>
      <c r="B146" t="s">
        <v>93</v>
      </c>
      <c r="C146" s="109" t="str">
        <f>IF(ISBLANK(K146),IFERROR(VLOOKUP(I146,FS_input_data!$C$1:$N$106,Export!J146,FALSE),""),K146)</f>
        <v>P7B7</v>
      </c>
      <c r="D146" s="6" t="b">
        <v>1</v>
      </c>
      <c r="E146" t="s">
        <v>1561</v>
      </c>
      <c r="F146" s="6"/>
      <c r="G146" s="6"/>
      <c r="H146" s="6" t="s">
        <v>2210</v>
      </c>
      <c r="I146" t="s">
        <v>93</v>
      </c>
      <c r="J146">
        <v>2</v>
      </c>
      <c r="L146" s="9" t="e">
        <f t="shared" si="5"/>
        <v>#VALUE!</v>
      </c>
      <c r="M146" s="10"/>
      <c r="N146" s="10"/>
      <c r="R146" s="8"/>
    </row>
    <row r="147" spans="1:18" x14ac:dyDescent="0.35">
      <c r="A147">
        <f t="shared" si="6"/>
        <v>146</v>
      </c>
      <c r="B147" t="s">
        <v>94</v>
      </c>
      <c r="C147" s="109" t="str">
        <f>IF(ISBLANK(K147),IFERROR(VLOOKUP(I147,FS_input_data!$C$1:$N$106,Export!J147,FALSE),""),K147)</f>
        <v/>
      </c>
      <c r="D147" s="6"/>
      <c r="E147" t="s">
        <v>1561</v>
      </c>
      <c r="F147" s="6"/>
      <c r="G147" s="6"/>
      <c r="H147" s="6" t="s">
        <v>2210</v>
      </c>
      <c r="I147" t="s">
        <v>1561</v>
      </c>
      <c r="J147" t="s">
        <v>1561</v>
      </c>
      <c r="L147">
        <f t="shared" si="5"/>
        <v>1</v>
      </c>
      <c r="M147" s="10"/>
      <c r="N147" s="10"/>
      <c r="R147" s="8"/>
    </row>
    <row r="148" spans="1:18" x14ac:dyDescent="0.35">
      <c r="A148" s="9">
        <f t="shared" si="6"/>
        <v>147</v>
      </c>
      <c r="B148" t="s">
        <v>93</v>
      </c>
      <c r="C148" s="109" t="str">
        <f>IF(ISBLANK(K148),IFERROR(VLOOKUP(I148,FS_input_data!$C$1:$N$106,Export!J148,FALSE),""),K148)</f>
        <v>7B18_7B_1</v>
      </c>
      <c r="D148" s="6" t="b">
        <v>0</v>
      </c>
      <c r="E148" t="s">
        <v>1561</v>
      </c>
      <c r="F148" s="6"/>
      <c r="G148" s="6"/>
      <c r="H148" s="6" t="s">
        <v>2210</v>
      </c>
      <c r="I148" t="s">
        <v>877</v>
      </c>
      <c r="J148">
        <v>2</v>
      </c>
      <c r="L148" s="9" t="e">
        <f t="shared" si="5"/>
        <v>#VALUE!</v>
      </c>
      <c r="M148" s="10"/>
      <c r="N148" s="10"/>
      <c r="R148" s="8"/>
    </row>
    <row r="149" spans="1:18" x14ac:dyDescent="0.35">
      <c r="A149">
        <f t="shared" si="6"/>
        <v>148</v>
      </c>
      <c r="B149" t="s">
        <v>94</v>
      </c>
      <c r="C149" s="109" t="str">
        <f>IF(ISBLANK(K149),IFERROR(VLOOKUP(I149,FS_input_data!$C$1:$N$106,Export!J149,FALSE),""),K149)</f>
        <v/>
      </c>
      <c r="D149" s="6"/>
      <c r="E149" t="s">
        <v>1561</v>
      </c>
      <c r="F149" s="6"/>
      <c r="G149" s="6"/>
      <c r="H149" s="6" t="s">
        <v>2210</v>
      </c>
      <c r="I149" t="s">
        <v>1561</v>
      </c>
      <c r="J149" t="s">
        <v>1561</v>
      </c>
      <c r="L149">
        <f t="shared" si="5"/>
        <v>1</v>
      </c>
      <c r="M149" s="10"/>
      <c r="N149" s="10"/>
      <c r="R149" s="8"/>
    </row>
    <row r="150" spans="1:18" x14ac:dyDescent="0.35">
      <c r="A150" s="9">
        <f t="shared" si="6"/>
        <v>149</v>
      </c>
      <c r="B150" t="s">
        <v>93</v>
      </c>
      <c r="C150" s="109" t="str">
        <f>IF(ISBLANK(K150),IFERROR(VLOOKUP(I150,FS_input_data!$C$1:$N$106,Export!J150,FALSE),""),K150)</f>
        <v>7B28_7B_2</v>
      </c>
      <c r="D150" s="6" t="b">
        <v>0</v>
      </c>
      <c r="E150" t="s">
        <v>1561</v>
      </c>
      <c r="F150" s="6"/>
      <c r="G150" s="6"/>
      <c r="H150" s="6" t="s">
        <v>2210</v>
      </c>
      <c r="I150" t="s">
        <v>879</v>
      </c>
      <c r="J150">
        <v>2</v>
      </c>
      <c r="L150" s="9" t="e">
        <f t="shared" si="5"/>
        <v>#VALUE!</v>
      </c>
      <c r="M150" s="10"/>
      <c r="N150" s="10"/>
      <c r="R150" s="8"/>
    </row>
    <row r="151" spans="1:18" x14ac:dyDescent="0.35">
      <c r="A151">
        <f t="shared" si="6"/>
        <v>150</v>
      </c>
      <c r="B151" t="s">
        <v>94</v>
      </c>
      <c r="C151" s="109" t="str">
        <f>IF(ISBLANK(K151),IFERROR(VLOOKUP(I151,FS_input_data!$C$1:$N$106,Export!J151,FALSE),""),K151)</f>
        <v/>
      </c>
      <c r="D151" s="6"/>
      <c r="E151" t="s">
        <v>1561</v>
      </c>
      <c r="F151" s="6"/>
      <c r="G151" s="6"/>
      <c r="H151" s="6" t="s">
        <v>2210</v>
      </c>
      <c r="I151" t="s">
        <v>1561</v>
      </c>
      <c r="J151" t="s">
        <v>1561</v>
      </c>
      <c r="L151">
        <f t="shared" si="5"/>
        <v>1</v>
      </c>
      <c r="M151" s="10"/>
      <c r="N151" s="10"/>
      <c r="R151" s="8"/>
    </row>
    <row r="152" spans="1:18" x14ac:dyDescent="0.35">
      <c r="A152" s="9">
        <f t="shared" si="6"/>
        <v>151</v>
      </c>
      <c r="B152" t="s">
        <v>93</v>
      </c>
      <c r="C152" s="109" t="str">
        <f>IF(ISBLANK(K152),IFERROR(VLOOKUP(I152,FS_input_data!$C$1:$N$106,Export!J152,FALSE),""),K152)</f>
        <v>7B38_7B_3</v>
      </c>
      <c r="D152" s="6" t="b">
        <v>0</v>
      </c>
      <c r="E152" t="s">
        <v>1561</v>
      </c>
      <c r="F152" s="6"/>
      <c r="G152" s="6"/>
      <c r="H152" s="6" t="s">
        <v>2210</v>
      </c>
      <c r="I152" t="s">
        <v>881</v>
      </c>
      <c r="J152">
        <v>2</v>
      </c>
      <c r="L152" s="9" t="e">
        <f t="shared" si="5"/>
        <v>#VALUE!</v>
      </c>
      <c r="M152" s="10"/>
      <c r="N152" s="10"/>
      <c r="R152" s="6" t="s">
        <v>790</v>
      </c>
    </row>
    <row r="153" spans="1:18" x14ac:dyDescent="0.35">
      <c r="A153">
        <f t="shared" si="6"/>
        <v>152</v>
      </c>
      <c r="B153" t="s">
        <v>94</v>
      </c>
      <c r="C153" s="109" t="str">
        <f>IF(ISBLANK(K153),IFERROR(VLOOKUP(I153,FS_input_data!$C$1:$N$106,Export!J153,FALSE),""),K153)</f>
        <v/>
      </c>
      <c r="D153" s="6"/>
      <c r="E153" t="s">
        <v>1561</v>
      </c>
      <c r="F153" s="6"/>
      <c r="G153" s="6"/>
      <c r="H153" s="6" t="s">
        <v>2210</v>
      </c>
      <c r="I153" t="s">
        <v>1561</v>
      </c>
      <c r="J153" t="s">
        <v>1561</v>
      </c>
      <c r="L153">
        <f t="shared" si="5"/>
        <v>1</v>
      </c>
      <c r="M153" s="10"/>
      <c r="N153" s="10"/>
      <c r="R153" s="6" t="s">
        <v>790</v>
      </c>
    </row>
    <row r="154" spans="1:18" x14ac:dyDescent="0.35">
      <c r="A154" s="9">
        <f t="shared" si="6"/>
        <v>153</v>
      </c>
      <c r="B154" t="s">
        <v>93</v>
      </c>
      <c r="C154" s="109" t="str">
        <f>IF(ISBLANK(K154),IFERROR(VLOOKUP(I154,FS_input_data!$C$1:$N$106,Export!J154,FALSE),""),K154)</f>
        <v>7B48_7B_4</v>
      </c>
      <c r="D154" s="6" t="b">
        <v>0</v>
      </c>
      <c r="E154" t="s">
        <v>1561</v>
      </c>
      <c r="F154" s="6"/>
      <c r="G154" s="6"/>
      <c r="H154" s="6" t="s">
        <v>2210</v>
      </c>
      <c r="I154" t="s">
        <v>883</v>
      </c>
      <c r="J154">
        <v>2</v>
      </c>
      <c r="L154" s="9" t="e">
        <f t="shared" si="5"/>
        <v>#VALUE!</v>
      </c>
      <c r="M154" s="10"/>
      <c r="N154" s="10"/>
      <c r="R154" s="6"/>
    </row>
    <row r="155" spans="1:18" x14ac:dyDescent="0.35">
      <c r="A155">
        <f t="shared" si="6"/>
        <v>154</v>
      </c>
      <c r="B155" t="s">
        <v>94</v>
      </c>
      <c r="C155" s="109" t="str">
        <f>IF(ISBLANK(K155),IFERROR(VLOOKUP(I155,FS_input_data!$C$1:$N$106,Export!J155,FALSE),""),K155)</f>
        <v/>
      </c>
      <c r="D155" s="6"/>
      <c r="E155" t="s">
        <v>1561</v>
      </c>
      <c r="F155" s="6"/>
      <c r="G155" s="6"/>
      <c r="H155" s="6" t="s">
        <v>2210</v>
      </c>
      <c r="I155" t="s">
        <v>1561</v>
      </c>
      <c r="J155" t="s">
        <v>1561</v>
      </c>
      <c r="L155">
        <f t="shared" si="5"/>
        <v>1</v>
      </c>
      <c r="M155" s="10"/>
      <c r="N155" s="10"/>
      <c r="R155" s="8"/>
    </row>
    <row r="156" spans="1:18" x14ac:dyDescent="0.35">
      <c r="A156" s="9">
        <f t="shared" si="6"/>
        <v>155</v>
      </c>
      <c r="B156" t="s">
        <v>93</v>
      </c>
      <c r="C156" s="109" t="str">
        <f>IF(ISBLANK(K156),IFERROR(VLOOKUP(I156,FS_input_data!$C$1:$N$106,Export!J156,FALSE),""),K156)</f>
        <v>7B58_7B_5</v>
      </c>
      <c r="D156" s="6" t="b">
        <v>0</v>
      </c>
      <c r="E156" t="s">
        <v>1561</v>
      </c>
      <c r="F156" s="6"/>
      <c r="G156" s="6"/>
      <c r="H156" s="6" t="s">
        <v>2210</v>
      </c>
      <c r="I156" t="s">
        <v>885</v>
      </c>
      <c r="J156">
        <v>2</v>
      </c>
      <c r="L156" s="9" t="e">
        <f t="shared" si="5"/>
        <v>#VALUE!</v>
      </c>
      <c r="M156" s="10"/>
      <c r="N156" s="10"/>
      <c r="R156" s="8"/>
    </row>
    <row r="157" spans="1:18" x14ac:dyDescent="0.35">
      <c r="A157">
        <f t="shared" si="6"/>
        <v>156</v>
      </c>
      <c r="B157" t="s">
        <v>94</v>
      </c>
      <c r="C157" s="109" t="str">
        <f>IF(ISBLANK(K157),IFERROR(VLOOKUP(I157,FS_input_data!$C$1:$N$106,Export!J157,FALSE),""),K157)</f>
        <v/>
      </c>
      <c r="D157" s="6"/>
      <c r="E157" t="s">
        <v>1561</v>
      </c>
      <c r="F157" s="6"/>
      <c r="G157" s="6"/>
      <c r="H157" s="6" t="s">
        <v>2210</v>
      </c>
      <c r="I157" t="s">
        <v>1561</v>
      </c>
      <c r="J157" t="s">
        <v>1561</v>
      </c>
      <c r="L157">
        <f t="shared" si="5"/>
        <v>1</v>
      </c>
      <c r="M157" s="10"/>
      <c r="N157" s="10"/>
      <c r="R157" s="8"/>
    </row>
    <row r="158" spans="1:18" x14ac:dyDescent="0.35">
      <c r="A158" s="9">
        <f t="shared" si="6"/>
        <v>157</v>
      </c>
      <c r="B158" t="s">
        <v>93</v>
      </c>
      <c r="C158" s="109" t="str">
        <f>IF(ISBLANK(K158),IFERROR(VLOOKUP(I158,FS_input_data!$C$1:$N$106,Export!J158,FALSE),""),K158)</f>
        <v>7B68_7B_6</v>
      </c>
      <c r="D158" s="6" t="b">
        <v>0</v>
      </c>
      <c r="E158" t="s">
        <v>1561</v>
      </c>
      <c r="F158" s="6"/>
      <c r="G158" s="6"/>
      <c r="H158" s="6" t="s">
        <v>2210</v>
      </c>
      <c r="I158" t="s">
        <v>887</v>
      </c>
      <c r="J158">
        <v>2</v>
      </c>
      <c r="L158" s="9" t="e">
        <f t="shared" si="5"/>
        <v>#VALUE!</v>
      </c>
      <c r="M158" s="10"/>
      <c r="N158" s="10"/>
      <c r="R158" s="8"/>
    </row>
    <row r="159" spans="1:18" x14ac:dyDescent="0.35">
      <c r="A159">
        <f t="shared" si="6"/>
        <v>158</v>
      </c>
      <c r="B159" t="s">
        <v>94</v>
      </c>
      <c r="C159" s="109" t="str">
        <f>IF(ISBLANK(K159),IFERROR(VLOOKUP(I159,FS_input_data!$C$1:$N$106,Export!J159,FALSE),""),K159)</f>
        <v/>
      </c>
      <c r="D159" s="6"/>
      <c r="E159" t="s">
        <v>1561</v>
      </c>
      <c r="F159" s="6"/>
      <c r="G159" s="6"/>
      <c r="H159" s="6" t="s">
        <v>2210</v>
      </c>
      <c r="I159" t="s">
        <v>1561</v>
      </c>
      <c r="J159" t="s">
        <v>1561</v>
      </c>
      <c r="L159">
        <f t="shared" si="5"/>
        <v>1</v>
      </c>
      <c r="M159" s="10"/>
      <c r="N159" s="10"/>
      <c r="R159" s="8"/>
    </row>
    <row r="160" spans="1:18" x14ac:dyDescent="0.35">
      <c r="A160" s="9">
        <f t="shared" si="6"/>
        <v>159</v>
      </c>
      <c r="B160" t="s">
        <v>93</v>
      </c>
      <c r="C160" s="109" t="str">
        <f>IF(ISBLANK(K160),IFERROR(VLOOKUP(I160,FS_input_data!$C$1:$N$106,Export!J160,FALSE),""),K160)</f>
        <v>7B78_7B_7</v>
      </c>
      <c r="D160" s="6" t="b">
        <v>0</v>
      </c>
      <c r="E160" t="s">
        <v>1561</v>
      </c>
      <c r="F160" s="6"/>
      <c r="G160" s="6"/>
      <c r="H160" s="6" t="s">
        <v>2210</v>
      </c>
      <c r="I160" t="s">
        <v>889</v>
      </c>
      <c r="J160">
        <v>2</v>
      </c>
      <c r="L160" s="9" t="e">
        <f t="shared" si="5"/>
        <v>#VALUE!</v>
      </c>
      <c r="M160" s="10"/>
      <c r="N160" s="10"/>
      <c r="R160" s="8">
        <v>127</v>
      </c>
    </row>
    <row r="161" spans="1:18" x14ac:dyDescent="0.35">
      <c r="A161">
        <f t="shared" si="6"/>
        <v>160</v>
      </c>
      <c r="B161" t="s">
        <v>94</v>
      </c>
      <c r="C161" s="109" t="str">
        <f>IF(ISBLANK(K161),IFERROR(VLOOKUP(I161,FS_input_data!$C$1:$N$106,Export!J161,FALSE),""),K161)</f>
        <v/>
      </c>
      <c r="D161" s="6"/>
      <c r="E161" t="s">
        <v>1561</v>
      </c>
      <c r="F161" s="6"/>
      <c r="G161" s="6"/>
      <c r="H161" s="6" t="s">
        <v>2210</v>
      </c>
      <c r="I161" t="s">
        <v>1561</v>
      </c>
      <c r="J161" t="s">
        <v>1561</v>
      </c>
      <c r="L161">
        <f t="shared" si="5"/>
        <v>1</v>
      </c>
      <c r="M161" s="10"/>
      <c r="N161" s="10"/>
      <c r="R161" s="8"/>
    </row>
    <row r="162" spans="1:18" x14ac:dyDescent="0.35">
      <c r="A162" s="9">
        <f t="shared" si="6"/>
        <v>161</v>
      </c>
      <c r="B162" t="s">
        <v>93</v>
      </c>
      <c r="C162" s="109" t="str">
        <f>IF(ISBLANK(K162),IFERROR(VLOOKUP(I162,FS_input_data!$C$1:$N$106,Export!J162,FALSE),""),K162)</f>
        <v>7B88_7B_8</v>
      </c>
      <c r="D162" s="6" t="b">
        <v>0</v>
      </c>
      <c r="E162" t="s">
        <v>1561</v>
      </c>
      <c r="F162" s="6"/>
      <c r="G162" s="6"/>
      <c r="H162" s="6" t="s">
        <v>2210</v>
      </c>
      <c r="I162" t="s">
        <v>891</v>
      </c>
      <c r="J162">
        <v>2</v>
      </c>
      <c r="L162" s="9" t="e">
        <f t="shared" si="5"/>
        <v>#VALUE!</v>
      </c>
      <c r="M162" s="10"/>
      <c r="N162" s="10"/>
      <c r="R162" s="8"/>
    </row>
    <row r="163" spans="1:18" x14ac:dyDescent="0.35">
      <c r="A163">
        <f t="shared" si="6"/>
        <v>162</v>
      </c>
      <c r="B163" t="s">
        <v>94</v>
      </c>
      <c r="C163" s="109" t="str">
        <f>IF(ISBLANK(K163),IFERROR(VLOOKUP(I163,FS_input_data!$C$1:$N$106,Export!J163,FALSE),""),K163)</f>
        <v/>
      </c>
      <c r="D163" s="6"/>
      <c r="E163" t="s">
        <v>1561</v>
      </c>
      <c r="F163" s="6"/>
      <c r="G163" s="6"/>
      <c r="H163" s="6" t="s">
        <v>2210</v>
      </c>
      <c r="I163" t="s">
        <v>1561</v>
      </c>
      <c r="J163" t="s">
        <v>1561</v>
      </c>
      <c r="L163">
        <f t="shared" si="5"/>
        <v>1</v>
      </c>
      <c r="M163" s="10"/>
      <c r="N163" s="10"/>
      <c r="R163" s="6"/>
    </row>
    <row r="164" spans="1:18" x14ac:dyDescent="0.35">
      <c r="A164" s="9">
        <f t="shared" si="6"/>
        <v>163</v>
      </c>
      <c r="B164" t="s">
        <v>93</v>
      </c>
      <c r="C164" s="109" t="str">
        <f>IF(ISBLANK(K164),IFERROR(VLOOKUP(I164,FS_input_data!$C$1:$N$106,Export!J164,FALSE),""),K164)</f>
        <v>7B98_7B_9</v>
      </c>
      <c r="D164" s="6" t="b">
        <v>0</v>
      </c>
      <c r="E164" t="s">
        <v>1561</v>
      </c>
      <c r="F164" s="6"/>
      <c r="G164" s="6"/>
      <c r="H164" s="6" t="s">
        <v>2210</v>
      </c>
      <c r="I164" t="s">
        <v>893</v>
      </c>
      <c r="J164">
        <v>2</v>
      </c>
      <c r="L164" s="9" t="e">
        <f t="shared" si="5"/>
        <v>#VALUE!</v>
      </c>
      <c r="M164" s="10"/>
      <c r="N164" s="10"/>
      <c r="R164" s="6"/>
    </row>
    <row r="165" spans="1:18" x14ac:dyDescent="0.35">
      <c r="A165">
        <f t="shared" si="6"/>
        <v>164</v>
      </c>
      <c r="B165" t="s">
        <v>94</v>
      </c>
      <c r="C165" s="109" t="str">
        <f>IF(ISBLANK(K165),IFERROR(VLOOKUP(I165,FS_input_data!$C$1:$N$106,Export!J165,FALSE),""),K165)</f>
        <v/>
      </c>
      <c r="D165" s="6"/>
      <c r="E165" t="s">
        <v>1561</v>
      </c>
      <c r="F165" s="6"/>
      <c r="G165" s="6"/>
      <c r="H165" s="6" t="s">
        <v>2210</v>
      </c>
      <c r="I165" t="s">
        <v>1561</v>
      </c>
      <c r="J165" t="s">
        <v>1561</v>
      </c>
      <c r="L165">
        <f t="shared" si="5"/>
        <v>1</v>
      </c>
      <c r="M165" s="10"/>
      <c r="N165" s="10"/>
      <c r="R165" s="8"/>
    </row>
    <row r="166" spans="1:18" x14ac:dyDescent="0.35">
      <c r="A166" s="9">
        <f t="shared" si="6"/>
        <v>165</v>
      </c>
      <c r="B166" t="s">
        <v>95</v>
      </c>
      <c r="C166" s="109" t="str">
        <f>IF(ISBLANK(K166),IFERROR(VLOOKUP(I166,FS_input_data!$C$1:$N$106,Export!J166,FALSE),""),K166)</f>
        <v>P7C7</v>
      </c>
      <c r="D166" s="6" t="b">
        <v>1</v>
      </c>
      <c r="E166" t="s">
        <v>1561</v>
      </c>
      <c r="F166" s="6"/>
      <c r="G166" s="6"/>
      <c r="H166" s="6" t="s">
        <v>2210</v>
      </c>
      <c r="I166" t="s">
        <v>95</v>
      </c>
      <c r="J166">
        <v>2</v>
      </c>
      <c r="L166" s="9" t="e">
        <f t="shared" si="5"/>
        <v>#VALUE!</v>
      </c>
      <c r="M166" s="10"/>
      <c r="N166" s="10"/>
      <c r="R166" s="8"/>
    </row>
    <row r="167" spans="1:18" x14ac:dyDescent="0.35">
      <c r="A167">
        <f t="shared" si="6"/>
        <v>166</v>
      </c>
      <c r="B167" t="s">
        <v>96</v>
      </c>
      <c r="C167" s="109" t="str">
        <f>IF(ISBLANK(K167),IFERROR(VLOOKUP(I167,FS_input_data!$C$1:$N$106,Export!J167,FALSE),""),K167)</f>
        <v/>
      </c>
      <c r="D167" s="6"/>
      <c r="E167" t="s">
        <v>1561</v>
      </c>
      <c r="F167" s="6"/>
      <c r="G167" s="6"/>
      <c r="H167" s="6" t="s">
        <v>2210</v>
      </c>
      <c r="I167" t="s">
        <v>1561</v>
      </c>
      <c r="J167" t="s">
        <v>1561</v>
      </c>
      <c r="L167">
        <f t="shared" si="5"/>
        <v>1</v>
      </c>
      <c r="M167" s="10"/>
      <c r="N167" s="10"/>
      <c r="R167" s="8"/>
    </row>
    <row r="168" spans="1:18" x14ac:dyDescent="0.35">
      <c r="A168" s="9">
        <f t="shared" si="6"/>
        <v>167</v>
      </c>
      <c r="B168" t="s">
        <v>95</v>
      </c>
      <c r="C168" s="109" t="str">
        <f>IF(ISBLANK(K168),IFERROR(VLOOKUP(I168,FS_input_data!$C$1:$N$106,Export!J168,FALSE),""),K168)</f>
        <v>7C18_7C_1</v>
      </c>
      <c r="D168" s="6" t="b">
        <v>0</v>
      </c>
      <c r="E168" t="s">
        <v>1561</v>
      </c>
      <c r="F168" s="6"/>
      <c r="G168" s="6"/>
      <c r="H168" s="6" t="s">
        <v>2210</v>
      </c>
      <c r="I168" t="s">
        <v>896</v>
      </c>
      <c r="J168">
        <v>2</v>
      </c>
      <c r="L168" s="9" t="e">
        <f t="shared" si="5"/>
        <v>#VALUE!</v>
      </c>
      <c r="M168" s="10"/>
      <c r="N168" s="10"/>
      <c r="R168" s="8"/>
    </row>
    <row r="169" spans="1:18" x14ac:dyDescent="0.35">
      <c r="A169">
        <f t="shared" si="6"/>
        <v>168</v>
      </c>
      <c r="B169" t="s">
        <v>96</v>
      </c>
      <c r="C169" s="109" t="str">
        <f>IF(ISBLANK(K169),IFERROR(VLOOKUP(I169,FS_input_data!$C$1:$N$106,Export!J169,FALSE),""),K169)</f>
        <v/>
      </c>
      <c r="D169" s="6"/>
      <c r="E169" t="s">
        <v>1561</v>
      </c>
      <c r="F169" s="6"/>
      <c r="G169" s="6"/>
      <c r="H169" s="6" t="s">
        <v>2210</v>
      </c>
      <c r="I169" t="s">
        <v>1561</v>
      </c>
      <c r="J169" t="s">
        <v>1561</v>
      </c>
      <c r="L169">
        <f t="shared" si="5"/>
        <v>1</v>
      </c>
      <c r="M169" s="10"/>
      <c r="N169" s="10"/>
      <c r="R169" s="8"/>
    </row>
    <row r="170" spans="1:18" x14ac:dyDescent="0.35">
      <c r="A170" s="9">
        <f t="shared" si="6"/>
        <v>169</v>
      </c>
      <c r="B170" t="s">
        <v>95</v>
      </c>
      <c r="C170" s="109" t="str">
        <f>IF(ISBLANK(K170),IFERROR(VLOOKUP(I170,FS_input_data!$C$1:$N$106,Export!J170,FALSE),""),K170)</f>
        <v>7C28_7C_2</v>
      </c>
      <c r="D170" s="6" t="b">
        <v>0</v>
      </c>
      <c r="E170" t="s">
        <v>1561</v>
      </c>
      <c r="F170" s="6"/>
      <c r="G170" s="6"/>
      <c r="H170" s="6" t="s">
        <v>2210</v>
      </c>
      <c r="I170" t="s">
        <v>898</v>
      </c>
      <c r="J170">
        <v>2</v>
      </c>
      <c r="L170" s="9" t="e">
        <f t="shared" si="5"/>
        <v>#VALUE!</v>
      </c>
      <c r="M170" s="10"/>
      <c r="N170" s="10"/>
      <c r="R170" s="8"/>
    </row>
    <row r="171" spans="1:18" x14ac:dyDescent="0.35">
      <c r="A171">
        <f t="shared" si="6"/>
        <v>170</v>
      </c>
      <c r="B171" t="s">
        <v>96</v>
      </c>
      <c r="C171" s="109" t="str">
        <f>IF(ISBLANK(K171),IFERROR(VLOOKUP(I171,FS_input_data!$C$1:$N$106,Export!J171,FALSE),""),K171)</f>
        <v/>
      </c>
      <c r="D171" s="6"/>
      <c r="E171" t="s">
        <v>1561</v>
      </c>
      <c r="F171" s="6"/>
      <c r="G171" s="6"/>
      <c r="H171" s="6" t="s">
        <v>2210</v>
      </c>
      <c r="I171" t="s">
        <v>1561</v>
      </c>
      <c r="J171" t="s">
        <v>1561</v>
      </c>
      <c r="L171">
        <f t="shared" si="5"/>
        <v>1</v>
      </c>
      <c r="M171" s="10"/>
      <c r="N171" s="10"/>
      <c r="R171" s="8"/>
    </row>
    <row r="172" spans="1:18" x14ac:dyDescent="0.35">
      <c r="A172" s="9">
        <f t="shared" si="6"/>
        <v>171</v>
      </c>
      <c r="B172" t="s">
        <v>95</v>
      </c>
      <c r="C172" s="109" t="str">
        <f>IF(ISBLANK(K172),IFERROR(VLOOKUP(I172,FS_input_data!$C$1:$N$106,Export!J172,FALSE),""),K172)</f>
        <v>7C38_7C_3</v>
      </c>
      <c r="D172" s="6" t="b">
        <v>0</v>
      </c>
      <c r="E172" t="s">
        <v>1561</v>
      </c>
      <c r="F172" s="6"/>
      <c r="G172" s="6"/>
      <c r="H172" s="6" t="s">
        <v>2210</v>
      </c>
      <c r="I172" t="s">
        <v>900</v>
      </c>
      <c r="J172">
        <v>2</v>
      </c>
      <c r="L172" s="9" t="e">
        <f t="shared" si="5"/>
        <v>#VALUE!</v>
      </c>
      <c r="M172" s="10"/>
      <c r="N172" s="10"/>
      <c r="R172" s="8"/>
    </row>
    <row r="173" spans="1:18" x14ac:dyDescent="0.35">
      <c r="A173">
        <f t="shared" si="6"/>
        <v>172</v>
      </c>
      <c r="B173" t="s">
        <v>96</v>
      </c>
      <c r="C173" s="109" t="str">
        <f>IF(ISBLANK(K173),IFERROR(VLOOKUP(I173,FS_input_data!$C$1:$N$106,Export!J173,FALSE),""),K173)</f>
        <v/>
      </c>
      <c r="D173" s="6"/>
      <c r="E173" t="s">
        <v>1561</v>
      </c>
      <c r="F173" s="6"/>
      <c r="G173" s="6"/>
      <c r="H173" s="6" t="s">
        <v>2210</v>
      </c>
      <c r="I173" t="s">
        <v>1561</v>
      </c>
      <c r="J173" t="s">
        <v>1561</v>
      </c>
      <c r="L173">
        <f t="shared" si="5"/>
        <v>1</v>
      </c>
      <c r="M173" s="10"/>
      <c r="N173" s="10"/>
    </row>
    <row r="174" spans="1:18" x14ac:dyDescent="0.35">
      <c r="A174" s="9">
        <f t="shared" si="6"/>
        <v>173</v>
      </c>
      <c r="B174" t="s">
        <v>95</v>
      </c>
      <c r="C174" s="109" t="str">
        <f>IF(ISBLANK(K174),IFERROR(VLOOKUP(I174,FS_input_data!$C$1:$N$106,Export!J174,FALSE),""),K174)</f>
        <v>7C48_7C_4</v>
      </c>
      <c r="D174" s="6" t="b">
        <v>0</v>
      </c>
      <c r="E174" t="s">
        <v>1561</v>
      </c>
      <c r="F174" s="6"/>
      <c r="G174" s="6"/>
      <c r="H174" s="6" t="s">
        <v>2210</v>
      </c>
      <c r="I174" t="s">
        <v>902</v>
      </c>
      <c r="J174">
        <v>2</v>
      </c>
      <c r="L174" s="9" t="e">
        <f t="shared" si="5"/>
        <v>#VALUE!</v>
      </c>
      <c r="M174" s="10"/>
      <c r="N174" s="10"/>
    </row>
    <row r="175" spans="1:18" x14ac:dyDescent="0.35">
      <c r="A175">
        <f t="shared" si="6"/>
        <v>174</v>
      </c>
      <c r="B175" t="s">
        <v>96</v>
      </c>
      <c r="C175" s="109" t="str">
        <f>IF(ISBLANK(K175),IFERROR(VLOOKUP(I175,FS_input_data!$C$1:$N$106,Export!J175,FALSE),""),K175)</f>
        <v/>
      </c>
      <c r="D175" s="6"/>
      <c r="E175" t="s">
        <v>1561</v>
      </c>
      <c r="F175" s="6"/>
      <c r="G175" s="6"/>
      <c r="H175" s="6" t="s">
        <v>2210</v>
      </c>
      <c r="I175" t="s">
        <v>1561</v>
      </c>
      <c r="J175" t="s">
        <v>1561</v>
      </c>
      <c r="L175">
        <f t="shared" si="5"/>
        <v>1</v>
      </c>
      <c r="M175" s="10"/>
      <c r="N175" s="10"/>
    </row>
    <row r="176" spans="1:18" x14ac:dyDescent="0.35">
      <c r="A176" s="9">
        <f t="shared" si="6"/>
        <v>175</v>
      </c>
      <c r="B176" t="s">
        <v>95</v>
      </c>
      <c r="C176" s="109" t="str">
        <f>IF(ISBLANK(K176),IFERROR(VLOOKUP(I176,FS_input_data!$C$1:$N$106,Export!J176,FALSE),""),K176)</f>
        <v>7C58_7C_5</v>
      </c>
      <c r="D176" s="6" t="b">
        <v>0</v>
      </c>
      <c r="E176" t="s">
        <v>1561</v>
      </c>
      <c r="F176" s="6"/>
      <c r="G176" s="6"/>
      <c r="H176" s="6" t="s">
        <v>2210</v>
      </c>
      <c r="I176" t="s">
        <v>904</v>
      </c>
      <c r="J176">
        <v>2</v>
      </c>
      <c r="L176" s="9" t="e">
        <f t="shared" si="5"/>
        <v>#VALUE!</v>
      </c>
      <c r="M176" s="10"/>
      <c r="N176" s="10"/>
    </row>
    <row r="177" spans="1:14" x14ac:dyDescent="0.35">
      <c r="A177">
        <f t="shared" si="6"/>
        <v>176</v>
      </c>
      <c r="B177" t="s">
        <v>96</v>
      </c>
      <c r="C177" s="109" t="str">
        <f>IF(ISBLANK(K177),IFERROR(VLOOKUP(I177,FS_input_data!$C$1:$N$106,Export!J177,FALSE),""),K177)</f>
        <v/>
      </c>
      <c r="D177" s="6"/>
      <c r="E177" t="s">
        <v>1561</v>
      </c>
      <c r="F177" s="6"/>
      <c r="G177" s="6"/>
      <c r="H177" s="6" t="s">
        <v>2210</v>
      </c>
      <c r="I177" t="s">
        <v>1561</v>
      </c>
      <c r="J177" t="s">
        <v>1561</v>
      </c>
      <c r="L177">
        <f t="shared" si="5"/>
        <v>1</v>
      </c>
      <c r="M177" s="10"/>
      <c r="N177" s="10"/>
    </row>
    <row r="178" spans="1:14" x14ac:dyDescent="0.35">
      <c r="A178" s="9">
        <f t="shared" si="6"/>
        <v>177</v>
      </c>
      <c r="B178" t="s">
        <v>95</v>
      </c>
      <c r="C178" s="109" t="str">
        <f>IF(ISBLANK(K178),IFERROR(VLOOKUP(I178,FS_input_data!$C$1:$N$106,Export!J178,FALSE),""),K178)</f>
        <v>7C68_7C_6</v>
      </c>
      <c r="D178" s="6" t="b">
        <v>0</v>
      </c>
      <c r="E178" t="s">
        <v>1561</v>
      </c>
      <c r="F178" s="6"/>
      <c r="G178" s="6"/>
      <c r="H178" s="6" t="s">
        <v>2210</v>
      </c>
      <c r="I178" t="s">
        <v>906</v>
      </c>
      <c r="J178">
        <v>2</v>
      </c>
      <c r="L178" s="9" t="e">
        <f t="shared" si="5"/>
        <v>#VALUE!</v>
      </c>
      <c r="M178" s="10"/>
      <c r="N178" s="10"/>
    </row>
    <row r="179" spans="1:14" x14ac:dyDescent="0.35">
      <c r="A179">
        <f t="shared" si="6"/>
        <v>178</v>
      </c>
      <c r="B179" t="s">
        <v>96</v>
      </c>
      <c r="C179" s="109" t="str">
        <f>IF(ISBLANK(K179),IFERROR(VLOOKUP(I179,FS_input_data!$C$1:$N$106,Export!J179,FALSE),""),K179)</f>
        <v/>
      </c>
      <c r="D179" s="6"/>
      <c r="E179" t="s">
        <v>1561</v>
      </c>
      <c r="F179" s="6"/>
      <c r="G179" s="6"/>
      <c r="H179" s="6" t="s">
        <v>2210</v>
      </c>
      <c r="I179" t="s">
        <v>1561</v>
      </c>
      <c r="J179" t="s">
        <v>1561</v>
      </c>
      <c r="L179">
        <f t="shared" si="5"/>
        <v>1</v>
      </c>
      <c r="M179" s="10"/>
      <c r="N179" s="10"/>
    </row>
    <row r="180" spans="1:14" x14ac:dyDescent="0.35">
      <c r="A180" s="9">
        <f t="shared" si="6"/>
        <v>179</v>
      </c>
      <c r="B180" t="s">
        <v>95</v>
      </c>
      <c r="C180" s="109" t="str">
        <f>IF(ISBLANK(K180),IFERROR(VLOOKUP(I180,FS_input_data!$C$1:$N$106,Export!J180,FALSE),""),K180)</f>
        <v>7C78_7C_7</v>
      </c>
      <c r="D180" s="6" t="b">
        <v>0</v>
      </c>
      <c r="E180" t="s">
        <v>1561</v>
      </c>
      <c r="F180" s="6"/>
      <c r="G180" s="6"/>
      <c r="H180" s="6" t="s">
        <v>2210</v>
      </c>
      <c r="I180" t="s">
        <v>908</v>
      </c>
      <c r="J180">
        <v>2</v>
      </c>
      <c r="L180" s="9" t="e">
        <f t="shared" si="5"/>
        <v>#VALUE!</v>
      </c>
      <c r="M180" s="10"/>
      <c r="N180" s="10"/>
    </row>
    <row r="181" spans="1:14" x14ac:dyDescent="0.35">
      <c r="A181">
        <f t="shared" si="6"/>
        <v>180</v>
      </c>
      <c r="B181" t="s">
        <v>96</v>
      </c>
      <c r="C181" s="109" t="str">
        <f>IF(ISBLANK(K181),IFERROR(VLOOKUP(I181,FS_input_data!$C$1:$N$106,Export!J181,FALSE),""),K181)</f>
        <v/>
      </c>
      <c r="D181" s="6"/>
      <c r="E181" t="s">
        <v>1561</v>
      </c>
      <c r="F181" s="6"/>
      <c r="G181" s="6"/>
      <c r="H181" s="6" t="s">
        <v>2210</v>
      </c>
      <c r="I181" t="s">
        <v>1561</v>
      </c>
      <c r="J181" t="s">
        <v>1561</v>
      </c>
      <c r="L181">
        <f t="shared" si="5"/>
        <v>1</v>
      </c>
      <c r="M181" s="10"/>
      <c r="N181" s="10"/>
    </row>
    <row r="182" spans="1:14" x14ac:dyDescent="0.35">
      <c r="A182" s="9">
        <f t="shared" si="6"/>
        <v>181</v>
      </c>
      <c r="B182" t="s">
        <v>95</v>
      </c>
      <c r="C182" s="109" t="str">
        <f>IF(ISBLANK(K182),IFERROR(VLOOKUP(I182,FS_input_data!$C$1:$N$106,Export!J182,FALSE),""),K182)</f>
        <v>7C88_7C_8</v>
      </c>
      <c r="D182" s="6" t="b">
        <v>0</v>
      </c>
      <c r="E182" t="s">
        <v>1561</v>
      </c>
      <c r="F182" s="6"/>
      <c r="G182" s="6"/>
      <c r="H182" s="6" t="s">
        <v>2210</v>
      </c>
      <c r="I182" t="s">
        <v>910</v>
      </c>
      <c r="J182">
        <v>2</v>
      </c>
      <c r="L182" s="9" t="e">
        <f t="shared" si="5"/>
        <v>#VALUE!</v>
      </c>
      <c r="M182" s="10"/>
      <c r="N182" s="10"/>
    </row>
    <row r="183" spans="1:14" x14ac:dyDescent="0.35">
      <c r="A183">
        <f t="shared" si="6"/>
        <v>182</v>
      </c>
      <c r="B183" t="s">
        <v>96</v>
      </c>
      <c r="C183" s="109" t="str">
        <f>IF(ISBLANK(K183),IFERROR(VLOOKUP(I183,FS_input_data!$C$1:$N$106,Export!J183,FALSE),""),K183)</f>
        <v/>
      </c>
      <c r="D183" s="6"/>
      <c r="E183" t="s">
        <v>1561</v>
      </c>
      <c r="F183" s="6"/>
      <c r="G183" s="6"/>
      <c r="H183" s="6" t="s">
        <v>2210</v>
      </c>
      <c r="I183" t="s">
        <v>1561</v>
      </c>
      <c r="J183" t="s">
        <v>1561</v>
      </c>
      <c r="L183">
        <f t="shared" si="5"/>
        <v>1</v>
      </c>
      <c r="M183" s="10"/>
      <c r="N183" s="10"/>
    </row>
    <row r="184" spans="1:14" x14ac:dyDescent="0.35">
      <c r="A184" s="9">
        <f t="shared" si="6"/>
        <v>183</v>
      </c>
      <c r="B184" t="s">
        <v>95</v>
      </c>
      <c r="C184" s="109" t="str">
        <f>IF(ISBLANK(K184),IFERROR(VLOOKUP(I184,FS_input_data!$C$1:$N$106,Export!J184,FALSE),""),K184)</f>
        <v>7C98_7C_9</v>
      </c>
      <c r="D184" s="6" t="b">
        <v>0</v>
      </c>
      <c r="E184" t="s">
        <v>1561</v>
      </c>
      <c r="F184" s="6"/>
      <c r="G184" s="6"/>
      <c r="H184" s="6" t="s">
        <v>2210</v>
      </c>
      <c r="I184" t="s">
        <v>912</v>
      </c>
      <c r="J184">
        <v>2</v>
      </c>
      <c r="L184" s="9" t="e">
        <f t="shared" si="5"/>
        <v>#VALUE!</v>
      </c>
      <c r="M184" s="10"/>
      <c r="N184" s="10"/>
    </row>
    <row r="185" spans="1:14" x14ac:dyDescent="0.35">
      <c r="A185">
        <f t="shared" si="6"/>
        <v>184</v>
      </c>
      <c r="B185" t="s">
        <v>96</v>
      </c>
      <c r="C185" s="109" t="str">
        <f>IF(ISBLANK(K185),IFERROR(VLOOKUP(I185,FS_input_data!$C$1:$N$106,Export!J185,FALSE),""),K185)</f>
        <v/>
      </c>
      <c r="D185" s="6"/>
      <c r="E185" t="s">
        <v>1561</v>
      </c>
      <c r="F185" s="6"/>
      <c r="G185" s="6"/>
      <c r="H185" s="6" t="s">
        <v>2210</v>
      </c>
      <c r="I185" t="s">
        <v>1561</v>
      </c>
      <c r="J185" t="s">
        <v>1561</v>
      </c>
      <c r="L185">
        <f t="shared" si="5"/>
        <v>1</v>
      </c>
      <c r="M185" s="10"/>
      <c r="N185" s="10"/>
    </row>
    <row r="186" spans="1:14" x14ac:dyDescent="0.35">
      <c r="A186" s="9">
        <f t="shared" si="6"/>
        <v>185</v>
      </c>
      <c r="B186" t="s">
        <v>97</v>
      </c>
      <c r="C186" s="109" t="str">
        <f>IF(ISBLANK(K186),IFERROR(VLOOKUP(I186,FS_input_data!$C$1:$N$106,Export!J186,FALSE),""),K186)</f>
        <v>P7D7</v>
      </c>
      <c r="D186" s="6" t="b">
        <v>1</v>
      </c>
      <c r="E186" t="s">
        <v>1561</v>
      </c>
      <c r="F186" s="6"/>
      <c r="G186" s="6"/>
      <c r="H186" s="6" t="s">
        <v>2210</v>
      </c>
      <c r="I186" t="s">
        <v>97</v>
      </c>
      <c r="J186">
        <v>2</v>
      </c>
      <c r="L186" s="9" t="e">
        <f t="shared" si="5"/>
        <v>#VALUE!</v>
      </c>
      <c r="M186" s="10"/>
      <c r="N186" s="10"/>
    </row>
    <row r="187" spans="1:14" x14ac:dyDescent="0.35">
      <c r="A187">
        <f t="shared" si="6"/>
        <v>186</v>
      </c>
      <c r="B187" t="s">
        <v>98</v>
      </c>
      <c r="C187" s="109" t="str">
        <f>IF(ISBLANK(K187),IFERROR(VLOOKUP(I187,FS_input_data!$C$1:$N$106,Export!J187,FALSE),""),K187)</f>
        <v/>
      </c>
      <c r="D187" s="6"/>
      <c r="E187" t="s">
        <v>1561</v>
      </c>
      <c r="F187" s="6"/>
      <c r="G187" s="6"/>
      <c r="H187" s="6" t="s">
        <v>2210</v>
      </c>
      <c r="I187" t="s">
        <v>1561</v>
      </c>
      <c r="J187" t="s">
        <v>1561</v>
      </c>
      <c r="L187">
        <f t="shared" si="5"/>
        <v>1</v>
      </c>
      <c r="M187" s="10"/>
      <c r="N187" s="10"/>
    </row>
    <row r="188" spans="1:14" x14ac:dyDescent="0.35">
      <c r="A188" s="9">
        <f t="shared" si="6"/>
        <v>187</v>
      </c>
      <c r="B188" t="s">
        <v>97</v>
      </c>
      <c r="C188" s="109" t="str">
        <f>IF(ISBLANK(K188),IFERROR(VLOOKUP(I188,FS_input_data!$C$1:$N$106,Export!J188,FALSE),""),K188)</f>
        <v>7D18_7D_1</v>
      </c>
      <c r="D188" s="6" t="b">
        <v>0</v>
      </c>
      <c r="E188" t="s">
        <v>1561</v>
      </c>
      <c r="F188" s="6"/>
      <c r="G188" s="6"/>
      <c r="H188" s="6" t="s">
        <v>2210</v>
      </c>
      <c r="I188" t="s">
        <v>915</v>
      </c>
      <c r="J188">
        <v>2</v>
      </c>
      <c r="L188" s="9" t="e">
        <f t="shared" si="5"/>
        <v>#VALUE!</v>
      </c>
      <c r="M188" s="10"/>
      <c r="N188" s="10"/>
    </row>
    <row r="189" spans="1:14" x14ac:dyDescent="0.35">
      <c r="A189">
        <f t="shared" si="6"/>
        <v>188</v>
      </c>
      <c r="B189" t="s">
        <v>98</v>
      </c>
      <c r="C189" s="109" t="str">
        <f>IF(ISBLANK(K189),IFERROR(VLOOKUP(I189,FS_input_data!$C$1:$N$106,Export!J189,FALSE),""),K189)</f>
        <v/>
      </c>
      <c r="D189" s="6"/>
      <c r="E189" t="s">
        <v>1561</v>
      </c>
      <c r="F189" s="6"/>
      <c r="G189" s="6"/>
      <c r="H189" s="6" t="s">
        <v>2210</v>
      </c>
      <c r="I189" t="s">
        <v>1561</v>
      </c>
      <c r="J189" t="s">
        <v>1561</v>
      </c>
      <c r="L189">
        <f t="shared" si="5"/>
        <v>1</v>
      </c>
      <c r="M189" s="10"/>
      <c r="N189" s="10"/>
    </row>
    <row r="190" spans="1:14" x14ac:dyDescent="0.35">
      <c r="A190" s="9">
        <f t="shared" si="6"/>
        <v>189</v>
      </c>
      <c r="B190" t="s">
        <v>97</v>
      </c>
      <c r="C190" s="109" t="str">
        <f>IF(ISBLANK(K190),IFERROR(VLOOKUP(I190,FS_input_data!$C$1:$N$106,Export!J190,FALSE),""),K190)</f>
        <v>7D28_7D_2</v>
      </c>
      <c r="D190" s="6" t="b">
        <v>0</v>
      </c>
      <c r="E190" t="s">
        <v>1561</v>
      </c>
      <c r="F190" s="6"/>
      <c r="G190" s="6"/>
      <c r="H190" s="6" t="s">
        <v>2210</v>
      </c>
      <c r="I190" t="s">
        <v>917</v>
      </c>
      <c r="J190">
        <v>2</v>
      </c>
      <c r="L190" s="9" t="e">
        <f t="shared" si="5"/>
        <v>#VALUE!</v>
      </c>
      <c r="M190" s="10"/>
      <c r="N190" s="10"/>
    </row>
    <row r="191" spans="1:14" x14ac:dyDescent="0.35">
      <c r="A191">
        <f t="shared" si="6"/>
        <v>190</v>
      </c>
      <c r="B191" t="s">
        <v>98</v>
      </c>
      <c r="C191" s="109" t="str">
        <f>IF(ISBLANK(K191),IFERROR(VLOOKUP(I191,FS_input_data!$C$1:$N$106,Export!J191,FALSE),""),K191)</f>
        <v/>
      </c>
      <c r="D191" s="6"/>
      <c r="E191" t="s">
        <v>1561</v>
      </c>
      <c r="F191" s="6"/>
      <c r="G191" s="6"/>
      <c r="H191" s="6" t="s">
        <v>2210</v>
      </c>
      <c r="I191" t="s">
        <v>1561</v>
      </c>
      <c r="J191" t="s">
        <v>1561</v>
      </c>
      <c r="L191">
        <f t="shared" si="5"/>
        <v>1</v>
      </c>
      <c r="M191" s="10"/>
      <c r="N191" s="10"/>
    </row>
    <row r="192" spans="1:14" x14ac:dyDescent="0.35">
      <c r="A192" s="9">
        <f t="shared" si="6"/>
        <v>191</v>
      </c>
      <c r="B192" t="s">
        <v>97</v>
      </c>
      <c r="C192" s="109" t="str">
        <f>IF(ISBLANK(K192),IFERROR(VLOOKUP(I192,FS_input_data!$C$1:$N$106,Export!J192,FALSE),""),K192)</f>
        <v>7D38_7D_3</v>
      </c>
      <c r="D192" s="6" t="b">
        <v>0</v>
      </c>
      <c r="E192" t="s">
        <v>1561</v>
      </c>
      <c r="F192" s="6"/>
      <c r="G192" s="6"/>
      <c r="H192" s="6" t="s">
        <v>2210</v>
      </c>
      <c r="I192" t="s">
        <v>919</v>
      </c>
      <c r="J192">
        <v>2</v>
      </c>
      <c r="L192" s="9" t="e">
        <f t="shared" si="5"/>
        <v>#VALUE!</v>
      </c>
      <c r="M192" s="10"/>
      <c r="N192" s="10"/>
    </row>
    <row r="193" spans="1:14" x14ac:dyDescent="0.35">
      <c r="A193">
        <f t="shared" si="6"/>
        <v>192</v>
      </c>
      <c r="B193" t="s">
        <v>98</v>
      </c>
      <c r="C193" s="109" t="str">
        <f>IF(ISBLANK(K193),IFERROR(VLOOKUP(I193,FS_input_data!$C$1:$N$106,Export!J193,FALSE),""),K193)</f>
        <v/>
      </c>
      <c r="D193" s="6"/>
      <c r="E193" t="s">
        <v>1561</v>
      </c>
      <c r="F193" s="6"/>
      <c r="G193" s="6"/>
      <c r="H193" s="6" t="s">
        <v>2210</v>
      </c>
      <c r="I193" t="s">
        <v>1561</v>
      </c>
      <c r="J193" t="s">
        <v>1561</v>
      </c>
      <c r="L193">
        <f t="shared" si="5"/>
        <v>1</v>
      </c>
      <c r="M193" s="10"/>
      <c r="N193" s="10"/>
    </row>
    <row r="194" spans="1:14" x14ac:dyDescent="0.35">
      <c r="A194" s="9">
        <f t="shared" si="6"/>
        <v>193</v>
      </c>
      <c r="B194" t="s">
        <v>97</v>
      </c>
      <c r="C194" s="109" t="str">
        <f>IF(ISBLANK(K194),IFERROR(VLOOKUP(I194,FS_input_data!$C$1:$N$106,Export!J194,FALSE),""),K194)</f>
        <v>7D48_7D_4</v>
      </c>
      <c r="D194" s="6" t="b">
        <v>0</v>
      </c>
      <c r="E194" t="s">
        <v>1561</v>
      </c>
      <c r="F194" s="6"/>
      <c r="G194" s="6"/>
      <c r="H194" s="6" t="s">
        <v>2210</v>
      </c>
      <c r="I194" t="s">
        <v>921</v>
      </c>
      <c r="J194">
        <v>2</v>
      </c>
      <c r="L194" s="9" t="e">
        <f t="shared" ref="L194:L257" si="7">FIND("/",B194)</f>
        <v>#VALUE!</v>
      </c>
      <c r="M194" s="10"/>
      <c r="N194" s="10"/>
    </row>
    <row r="195" spans="1:14" x14ac:dyDescent="0.35">
      <c r="A195">
        <f t="shared" ref="A195:A258" si="8">A194+1</f>
        <v>194</v>
      </c>
      <c r="B195" t="s">
        <v>98</v>
      </c>
      <c r="C195" s="109" t="str">
        <f>IF(ISBLANK(K195),IFERROR(VLOOKUP(I195,FS_input_data!$C$1:$N$106,Export!J195,FALSE),""),K195)</f>
        <v/>
      </c>
      <c r="D195" s="6"/>
      <c r="E195" t="s">
        <v>1561</v>
      </c>
      <c r="F195" s="6"/>
      <c r="G195" s="6"/>
      <c r="H195" s="6" t="s">
        <v>2210</v>
      </c>
      <c r="I195" t="s">
        <v>1561</v>
      </c>
      <c r="J195" t="s">
        <v>1561</v>
      </c>
      <c r="L195">
        <f t="shared" si="7"/>
        <v>1</v>
      </c>
      <c r="M195" s="10"/>
      <c r="N195" s="10"/>
    </row>
    <row r="196" spans="1:14" x14ac:dyDescent="0.35">
      <c r="A196" s="9">
        <f t="shared" si="8"/>
        <v>195</v>
      </c>
      <c r="B196" t="s">
        <v>97</v>
      </c>
      <c r="C196" s="109" t="str">
        <f>IF(ISBLANK(K196),IFERROR(VLOOKUP(I196,FS_input_data!$C$1:$N$106,Export!J196,FALSE),""),K196)</f>
        <v>7D58_7D_5</v>
      </c>
      <c r="D196" s="6" t="b">
        <v>0</v>
      </c>
      <c r="E196" t="s">
        <v>1561</v>
      </c>
      <c r="F196" s="6"/>
      <c r="G196" s="6"/>
      <c r="H196" s="6" t="s">
        <v>2210</v>
      </c>
      <c r="I196" t="s">
        <v>923</v>
      </c>
      <c r="J196">
        <v>2</v>
      </c>
      <c r="L196" s="9" t="e">
        <f t="shared" si="7"/>
        <v>#VALUE!</v>
      </c>
      <c r="M196" s="10"/>
      <c r="N196" s="10"/>
    </row>
    <row r="197" spans="1:14" x14ac:dyDescent="0.35">
      <c r="A197">
        <f t="shared" si="8"/>
        <v>196</v>
      </c>
      <c r="B197" t="s">
        <v>98</v>
      </c>
      <c r="C197" s="109" t="str">
        <f>IF(ISBLANK(K197),IFERROR(VLOOKUP(I197,FS_input_data!$C$1:$N$106,Export!J197,FALSE),""),K197)</f>
        <v/>
      </c>
      <c r="D197" s="6"/>
      <c r="E197" t="s">
        <v>1561</v>
      </c>
      <c r="F197" s="6"/>
      <c r="G197" s="6"/>
      <c r="H197" s="6" t="s">
        <v>2210</v>
      </c>
      <c r="I197" t="s">
        <v>1561</v>
      </c>
      <c r="J197" t="s">
        <v>1561</v>
      </c>
      <c r="L197">
        <f t="shared" si="7"/>
        <v>1</v>
      </c>
      <c r="M197" s="10"/>
      <c r="N197" s="10"/>
    </row>
    <row r="198" spans="1:14" x14ac:dyDescent="0.35">
      <c r="A198" s="9">
        <f t="shared" si="8"/>
        <v>197</v>
      </c>
      <c r="B198" t="s">
        <v>97</v>
      </c>
      <c r="C198" s="109" t="str">
        <f>IF(ISBLANK(K198),IFERROR(VLOOKUP(I198,FS_input_data!$C$1:$N$106,Export!J198,FALSE),""),K198)</f>
        <v>7D68_7D_6</v>
      </c>
      <c r="D198" s="6" t="b">
        <v>0</v>
      </c>
      <c r="E198" t="s">
        <v>1561</v>
      </c>
      <c r="F198" s="6"/>
      <c r="G198" s="6"/>
      <c r="H198" s="6" t="s">
        <v>2210</v>
      </c>
      <c r="I198" t="s">
        <v>925</v>
      </c>
      <c r="J198">
        <v>2</v>
      </c>
      <c r="L198" s="9" t="e">
        <f t="shared" si="7"/>
        <v>#VALUE!</v>
      </c>
      <c r="M198" s="10"/>
      <c r="N198" s="10"/>
    </row>
    <row r="199" spans="1:14" x14ac:dyDescent="0.35">
      <c r="A199">
        <f t="shared" si="8"/>
        <v>198</v>
      </c>
      <c r="B199" t="s">
        <v>98</v>
      </c>
      <c r="C199" s="109" t="str">
        <f>IF(ISBLANK(K199),IFERROR(VLOOKUP(I199,FS_input_data!$C$1:$N$106,Export!J199,FALSE),""),K199)</f>
        <v/>
      </c>
      <c r="D199" s="6"/>
      <c r="E199" t="s">
        <v>1561</v>
      </c>
      <c r="F199" s="6"/>
      <c r="G199" s="6"/>
      <c r="H199" s="6" t="s">
        <v>2210</v>
      </c>
      <c r="I199" t="s">
        <v>1561</v>
      </c>
      <c r="J199" t="s">
        <v>1561</v>
      </c>
      <c r="L199">
        <f t="shared" si="7"/>
        <v>1</v>
      </c>
      <c r="M199" s="10"/>
      <c r="N199" s="10"/>
    </row>
    <row r="200" spans="1:14" x14ac:dyDescent="0.35">
      <c r="A200" s="9">
        <f t="shared" si="8"/>
        <v>199</v>
      </c>
      <c r="B200" t="s">
        <v>97</v>
      </c>
      <c r="C200" s="109" t="str">
        <f>IF(ISBLANK(K200),IFERROR(VLOOKUP(I200,FS_input_data!$C$1:$N$106,Export!J200,FALSE),""),K200)</f>
        <v>7D78_7D_7</v>
      </c>
      <c r="D200" s="6" t="b">
        <v>0</v>
      </c>
      <c r="E200" t="s">
        <v>1561</v>
      </c>
      <c r="F200" s="6"/>
      <c r="G200" s="6"/>
      <c r="H200" s="6" t="s">
        <v>2210</v>
      </c>
      <c r="I200" t="s">
        <v>927</v>
      </c>
      <c r="J200">
        <v>2</v>
      </c>
      <c r="L200" s="9" t="e">
        <f t="shared" si="7"/>
        <v>#VALUE!</v>
      </c>
      <c r="M200" s="10"/>
      <c r="N200" s="10"/>
    </row>
    <row r="201" spans="1:14" x14ac:dyDescent="0.35">
      <c r="A201">
        <f t="shared" si="8"/>
        <v>200</v>
      </c>
      <c r="B201" t="s">
        <v>98</v>
      </c>
      <c r="C201" s="109" t="str">
        <f>IF(ISBLANK(K201),IFERROR(VLOOKUP(I201,FS_input_data!$C$1:$N$106,Export!J201,FALSE),""),K201)</f>
        <v/>
      </c>
      <c r="D201" s="6"/>
      <c r="E201" t="s">
        <v>1561</v>
      </c>
      <c r="F201" s="6"/>
      <c r="G201" s="6"/>
      <c r="H201" s="6" t="s">
        <v>2210</v>
      </c>
      <c r="I201" t="s">
        <v>1561</v>
      </c>
      <c r="J201" t="s">
        <v>1561</v>
      </c>
      <c r="L201">
        <f t="shared" si="7"/>
        <v>1</v>
      </c>
      <c r="M201" s="10"/>
      <c r="N201" s="10"/>
    </row>
    <row r="202" spans="1:14" x14ac:dyDescent="0.35">
      <c r="A202" s="9">
        <f t="shared" si="8"/>
        <v>201</v>
      </c>
      <c r="B202" t="s">
        <v>97</v>
      </c>
      <c r="C202" s="109" t="str">
        <f>IF(ISBLANK(K202),IFERROR(VLOOKUP(I202,FS_input_data!$C$1:$N$106,Export!J202,FALSE),""),K202)</f>
        <v>7D88_7D_8</v>
      </c>
      <c r="D202" s="6" t="b">
        <v>0</v>
      </c>
      <c r="E202" t="s">
        <v>1561</v>
      </c>
      <c r="F202" s="6"/>
      <c r="G202" s="6"/>
      <c r="H202" s="6" t="s">
        <v>2210</v>
      </c>
      <c r="I202" t="s">
        <v>929</v>
      </c>
      <c r="J202">
        <v>2</v>
      </c>
      <c r="L202" s="9" t="e">
        <f t="shared" si="7"/>
        <v>#VALUE!</v>
      </c>
      <c r="M202" s="10"/>
      <c r="N202" s="10"/>
    </row>
    <row r="203" spans="1:14" x14ac:dyDescent="0.35">
      <c r="A203">
        <f t="shared" si="8"/>
        <v>202</v>
      </c>
      <c r="B203" t="s">
        <v>98</v>
      </c>
      <c r="C203" s="109" t="str">
        <f>IF(ISBLANK(K203),IFERROR(VLOOKUP(I203,FS_input_data!$C$1:$N$106,Export!J203,FALSE),""),K203)</f>
        <v/>
      </c>
      <c r="D203" s="6"/>
      <c r="E203" t="s">
        <v>1561</v>
      </c>
      <c r="F203" s="6"/>
      <c r="G203" s="6"/>
      <c r="H203" s="6" t="s">
        <v>2210</v>
      </c>
      <c r="I203" t="s">
        <v>1561</v>
      </c>
      <c r="J203" t="s">
        <v>1561</v>
      </c>
      <c r="L203">
        <f t="shared" si="7"/>
        <v>1</v>
      </c>
      <c r="M203" s="10"/>
      <c r="N203" s="10"/>
    </row>
    <row r="204" spans="1:14" x14ac:dyDescent="0.35">
      <c r="A204" s="9">
        <f t="shared" si="8"/>
        <v>203</v>
      </c>
      <c r="B204" t="s">
        <v>97</v>
      </c>
      <c r="C204" s="109" t="str">
        <f>IF(ISBLANK(K204),IFERROR(VLOOKUP(I204,FS_input_data!$C$1:$N$106,Export!J204,FALSE),""),K204)</f>
        <v>7D98_7D_9</v>
      </c>
      <c r="D204" s="6" t="b">
        <v>0</v>
      </c>
      <c r="E204" t="s">
        <v>1561</v>
      </c>
      <c r="F204" s="6"/>
      <c r="G204" s="6"/>
      <c r="H204" s="6" t="s">
        <v>2210</v>
      </c>
      <c r="I204" t="s">
        <v>931</v>
      </c>
      <c r="J204">
        <v>2</v>
      </c>
      <c r="L204" s="9" t="e">
        <f t="shared" si="7"/>
        <v>#VALUE!</v>
      </c>
      <c r="M204" s="10"/>
      <c r="N204" s="10"/>
    </row>
    <row r="205" spans="1:14" x14ac:dyDescent="0.35">
      <c r="A205">
        <f t="shared" si="8"/>
        <v>204</v>
      </c>
      <c r="B205" t="s">
        <v>98</v>
      </c>
      <c r="C205" s="109" t="str">
        <f>IF(ISBLANK(K205),IFERROR(VLOOKUP(I205,FS_input_data!$C$1:$N$106,Export!J205,FALSE),""),K205)</f>
        <v/>
      </c>
      <c r="D205" s="6"/>
      <c r="E205" t="s">
        <v>1561</v>
      </c>
      <c r="F205" s="6"/>
      <c r="G205" s="6"/>
      <c r="H205" s="6" t="s">
        <v>2210</v>
      </c>
      <c r="I205" t="s">
        <v>1561</v>
      </c>
      <c r="J205" t="s">
        <v>1561</v>
      </c>
      <c r="L205">
        <f t="shared" si="7"/>
        <v>1</v>
      </c>
      <c r="M205" s="10"/>
      <c r="N205" s="10"/>
    </row>
    <row r="206" spans="1:14" x14ac:dyDescent="0.35">
      <c r="A206">
        <f t="shared" si="8"/>
        <v>205</v>
      </c>
      <c r="B206" t="s">
        <v>99</v>
      </c>
      <c r="C206" s="109" t="str">
        <f>IF(ISBLANK(K206),IFERROR(VLOOKUP(I206,FS_input_data!$C$1:$N$106,Export!J206,FALSE),""),K206)</f>
        <v/>
      </c>
      <c r="D206" s="6"/>
      <c r="E206" t="s">
        <v>1561</v>
      </c>
      <c r="F206" s="6"/>
      <c r="G206" s="6"/>
      <c r="H206" s="6" t="s">
        <v>2210</v>
      </c>
      <c r="I206" t="s">
        <v>1561</v>
      </c>
      <c r="J206" t="s">
        <v>1561</v>
      </c>
      <c r="L206">
        <f t="shared" si="7"/>
        <v>1</v>
      </c>
      <c r="M206" s="10"/>
      <c r="N206" s="10"/>
    </row>
    <row r="207" spans="1:14" x14ac:dyDescent="0.35">
      <c r="A207">
        <f t="shared" si="8"/>
        <v>206</v>
      </c>
      <c r="B207" t="s">
        <v>100</v>
      </c>
      <c r="C207" s="109" t="str">
        <f>IF(ISBLANK(K207),IFERROR(VLOOKUP(I207,FS_input_data!$C$1:$N$106,Export!J207,FALSE),""),K207)</f>
        <v/>
      </c>
      <c r="D207" s="6"/>
      <c r="E207" t="s">
        <v>2250</v>
      </c>
      <c r="F207" s="6" t="s">
        <v>2223</v>
      </c>
      <c r="G207" s="6" t="b">
        <f>VLOOKUP($I$208,FS_input_data!$C$1:$N$106,Export!$J$208,FALSE)=""</f>
        <v>0</v>
      </c>
      <c r="H207" s="6" t="s">
        <v>2210</v>
      </c>
      <c r="I207" t="s">
        <v>1561</v>
      </c>
      <c r="J207" t="s">
        <v>1561</v>
      </c>
      <c r="L207" s="9" t="e">
        <f t="shared" si="7"/>
        <v>#VALUE!</v>
      </c>
      <c r="M207" s="10"/>
      <c r="N207" s="10"/>
    </row>
    <row r="208" spans="1:14" x14ac:dyDescent="0.35">
      <c r="A208" s="9">
        <f t="shared" si="8"/>
        <v>207</v>
      </c>
      <c r="B208" t="s">
        <v>101</v>
      </c>
      <c r="C208" s="109" t="str">
        <f>IF(ISBLANK(K208),IFERROR(VLOOKUP(I208,FS_input_data!$C$1:$N$106,Export!J208,FALSE),""),K208)</f>
        <v>1NAZWA8_1</v>
      </c>
      <c r="D208" s="6" t="b">
        <v>0</v>
      </c>
      <c r="E208" t="s">
        <v>1561</v>
      </c>
      <c r="F208" s="6" t="s">
        <v>2223</v>
      </c>
      <c r="G208" s="6" t="b">
        <f>VLOOKUP($I$208,FS_input_data!$C$1:$N$106,Export!$J$208,FALSE)=""</f>
        <v>0</v>
      </c>
      <c r="H208" s="6" t="s">
        <v>2210</v>
      </c>
      <c r="I208" t="s">
        <v>933</v>
      </c>
      <c r="J208">
        <v>2</v>
      </c>
      <c r="L208" s="9" t="e">
        <f t="shared" si="7"/>
        <v>#VALUE!</v>
      </c>
      <c r="M208" s="10"/>
      <c r="N208" s="10"/>
    </row>
    <row r="209" spans="1:14" x14ac:dyDescent="0.35">
      <c r="A209">
        <f t="shared" si="8"/>
        <v>208</v>
      </c>
      <c r="B209" t="s">
        <v>102</v>
      </c>
      <c r="C209" s="109" t="str">
        <f>IF(ISBLANK(K209),IFERROR(VLOOKUP(I209,FS_input_data!$C$1:$N$106,Export!J209,FALSE),""),K209)</f>
        <v/>
      </c>
      <c r="D209" s="6"/>
      <c r="E209" t="s">
        <v>1561</v>
      </c>
      <c r="F209" s="6" t="s">
        <v>2223</v>
      </c>
      <c r="G209" s="6" t="b">
        <f>VLOOKUP($I$208,FS_input_data!$C$1:$N$106,Export!$J$208,FALSE)=""</f>
        <v>0</v>
      </c>
      <c r="H209" s="6" t="s">
        <v>2210</v>
      </c>
      <c r="I209" t="s">
        <v>1561</v>
      </c>
      <c r="J209" t="s">
        <v>1561</v>
      </c>
      <c r="L209">
        <f t="shared" si="7"/>
        <v>1</v>
      </c>
      <c r="M209" s="10"/>
      <c r="N209" s="10"/>
    </row>
    <row r="210" spans="1:14" x14ac:dyDescent="0.35">
      <c r="A210" s="9">
        <f t="shared" si="8"/>
        <v>209</v>
      </c>
      <c r="B210" t="s">
        <v>103</v>
      </c>
      <c r="C210" s="109" t="str">
        <f>IF(ISBLANK(K210),IFERROR(VLOOKUP(I210,FS_input_data!$C$1:$N$106,Export!J210,FALSE),""),K210)</f>
        <v>OPIS18_1_Opis_1</v>
      </c>
      <c r="D210" s="6" t="b">
        <v>0</v>
      </c>
      <c r="E210" t="s">
        <v>1561</v>
      </c>
      <c r="F210" s="6" t="s">
        <v>2223</v>
      </c>
      <c r="G210" s="6" t="b">
        <f>VLOOKUP($I$208,FS_input_data!$C$1:$N$106,Export!$J$208,FALSE)=""</f>
        <v>0</v>
      </c>
      <c r="H210" s="6" t="s">
        <v>2210</v>
      </c>
      <c r="I210" t="s">
        <v>935</v>
      </c>
      <c r="J210">
        <v>2</v>
      </c>
      <c r="L210" s="9" t="e">
        <f t="shared" si="7"/>
        <v>#VALUE!</v>
      </c>
      <c r="M210" s="10"/>
      <c r="N210" s="10"/>
    </row>
    <row r="211" spans="1:14" x14ac:dyDescent="0.35">
      <c r="A211">
        <f t="shared" si="8"/>
        <v>210</v>
      </c>
      <c r="B211" t="s">
        <v>104</v>
      </c>
      <c r="C211" s="109" t="str">
        <f>IF(ISBLANK(K211),IFERROR(VLOOKUP(I211,FS_input_data!$C$1:$N$106,Export!J211,FALSE),""),K211)</f>
        <v/>
      </c>
      <c r="D211" s="6"/>
      <c r="E211" t="s">
        <v>1561</v>
      </c>
      <c r="F211" s="6" t="s">
        <v>2223</v>
      </c>
      <c r="G211" s="6" t="b">
        <f>VLOOKUP($I$208,FS_input_data!$C$1:$N$106,Export!$J$208,FALSE)=""</f>
        <v>0</v>
      </c>
      <c r="H211" s="6" t="s">
        <v>2210</v>
      </c>
      <c r="I211" t="s">
        <v>1561</v>
      </c>
      <c r="J211" t="s">
        <v>1561</v>
      </c>
      <c r="L211">
        <f t="shared" si="7"/>
        <v>1</v>
      </c>
      <c r="M211" s="10"/>
      <c r="N211" s="10"/>
    </row>
    <row r="212" spans="1:14" x14ac:dyDescent="0.35">
      <c r="A212" s="9">
        <f t="shared" si="8"/>
        <v>211</v>
      </c>
      <c r="B212" t="s">
        <v>103</v>
      </c>
      <c r="C212" s="109" t="str">
        <f>IF(ISBLANK(K212),IFERROR(VLOOKUP(I212,FS_input_data!$C$1:$N$106,Export!J212,FALSE),""),K212)</f>
        <v>OPIS28_1_Opis_2</v>
      </c>
      <c r="D212" s="6" t="b">
        <v>0</v>
      </c>
      <c r="E212" t="s">
        <v>1561</v>
      </c>
      <c r="F212" s="6" t="s">
        <v>2223</v>
      </c>
      <c r="G212" s="6" t="b">
        <f>VLOOKUP($I$208,FS_input_data!$C$1:$N$106,Export!$J$208,FALSE)=""</f>
        <v>0</v>
      </c>
      <c r="H212" s="6" t="s">
        <v>2210</v>
      </c>
      <c r="I212" t="s">
        <v>937</v>
      </c>
      <c r="J212">
        <v>2</v>
      </c>
      <c r="L212" s="9" t="e">
        <f t="shared" si="7"/>
        <v>#VALUE!</v>
      </c>
      <c r="M212" s="10"/>
      <c r="N212" s="10"/>
    </row>
    <row r="213" spans="1:14" x14ac:dyDescent="0.35">
      <c r="A213">
        <f t="shared" si="8"/>
        <v>212</v>
      </c>
      <c r="B213" t="s">
        <v>104</v>
      </c>
      <c r="C213" s="109" t="str">
        <f>IF(ISBLANK(K213),IFERROR(VLOOKUP(I213,FS_input_data!$C$1:$N$106,Export!J213,FALSE),""),K213)</f>
        <v/>
      </c>
      <c r="D213" s="6"/>
      <c r="E213" t="s">
        <v>1561</v>
      </c>
      <c r="F213" s="6" t="s">
        <v>2223</v>
      </c>
      <c r="G213" s="6" t="b">
        <f>VLOOKUP($I$208,FS_input_data!$C$1:$N$106,Export!$J$208,FALSE)=""</f>
        <v>0</v>
      </c>
      <c r="H213" s="6" t="s">
        <v>2210</v>
      </c>
      <c r="I213" t="s">
        <v>1561</v>
      </c>
      <c r="J213" t="s">
        <v>1561</v>
      </c>
      <c r="L213">
        <f t="shared" si="7"/>
        <v>1</v>
      </c>
      <c r="M213" s="10"/>
      <c r="N213" s="10"/>
    </row>
    <row r="214" spans="1:14" x14ac:dyDescent="0.35">
      <c r="A214" s="9">
        <f t="shared" si="8"/>
        <v>213</v>
      </c>
      <c r="B214" t="s">
        <v>103</v>
      </c>
      <c r="C214" s="109" t="str">
        <f>IF(ISBLANK(K214),IFERROR(VLOOKUP(I214,FS_input_data!$C$1:$N$106,Export!J214,FALSE),""),K214)</f>
        <v>OPIS38_1_Opis_3</v>
      </c>
      <c r="D214" s="6" t="b">
        <v>0</v>
      </c>
      <c r="E214" t="s">
        <v>1561</v>
      </c>
      <c r="F214" s="6" t="s">
        <v>2223</v>
      </c>
      <c r="G214" s="6" t="b">
        <f>VLOOKUP($I$208,FS_input_data!$C$1:$N$106,Export!$J$208,FALSE)=""</f>
        <v>0</v>
      </c>
      <c r="H214" s="6" t="s">
        <v>2210</v>
      </c>
      <c r="I214" t="s">
        <v>939</v>
      </c>
      <c r="J214">
        <v>2</v>
      </c>
      <c r="L214" s="9" t="e">
        <f t="shared" si="7"/>
        <v>#VALUE!</v>
      </c>
      <c r="M214" s="10"/>
      <c r="N214" s="10"/>
    </row>
    <row r="215" spans="1:14" x14ac:dyDescent="0.35">
      <c r="A215">
        <f t="shared" si="8"/>
        <v>214</v>
      </c>
      <c r="B215" t="s">
        <v>104</v>
      </c>
      <c r="C215" s="109" t="str">
        <f>IF(ISBLANK(K215),IFERROR(VLOOKUP(I215,FS_input_data!$C$1:$N$106,Export!J215,FALSE),""),K215)</f>
        <v/>
      </c>
      <c r="D215" s="6"/>
      <c r="E215" t="s">
        <v>1561</v>
      </c>
      <c r="F215" s="6" t="s">
        <v>2223</v>
      </c>
      <c r="G215" s="6" t="b">
        <f>VLOOKUP($I$208,FS_input_data!$C$1:$N$106,Export!$J$208,FALSE)=""</f>
        <v>0</v>
      </c>
      <c r="H215" s="6" t="s">
        <v>2210</v>
      </c>
      <c r="I215" t="s">
        <v>1561</v>
      </c>
      <c r="J215" t="s">
        <v>1561</v>
      </c>
      <c r="L215">
        <f t="shared" si="7"/>
        <v>1</v>
      </c>
      <c r="M215" s="10"/>
      <c r="N215" s="10"/>
    </row>
    <row r="216" spans="1:14" x14ac:dyDescent="0.35">
      <c r="A216" s="9">
        <f t="shared" si="8"/>
        <v>215</v>
      </c>
      <c r="B216" t="s">
        <v>103</v>
      </c>
      <c r="C216" s="109" t="str">
        <f>IF(ISBLANK(K216),IFERROR(VLOOKUP(I216,FS_input_data!$C$1:$N$106,Export!J216,FALSE),""),K216)</f>
        <v>OPIS48_1_Opis_4</v>
      </c>
      <c r="D216" s="6" t="b">
        <v>0</v>
      </c>
      <c r="E216" t="s">
        <v>1561</v>
      </c>
      <c r="F216" s="6" t="s">
        <v>2223</v>
      </c>
      <c r="G216" s="6" t="b">
        <f>VLOOKUP($I$208,FS_input_data!$C$1:$N$106,Export!$J$208,FALSE)=""</f>
        <v>0</v>
      </c>
      <c r="H216" s="6" t="s">
        <v>2210</v>
      </c>
      <c r="I216" t="s">
        <v>941</v>
      </c>
      <c r="J216">
        <v>2</v>
      </c>
      <c r="L216" s="9" t="e">
        <f t="shared" si="7"/>
        <v>#VALUE!</v>
      </c>
      <c r="M216" s="10"/>
      <c r="N216" s="10"/>
    </row>
    <row r="217" spans="1:14" x14ac:dyDescent="0.35">
      <c r="A217">
        <f t="shared" si="8"/>
        <v>216</v>
      </c>
      <c r="B217" t="s">
        <v>104</v>
      </c>
      <c r="C217" s="109" t="str">
        <f>IF(ISBLANK(K217),IFERROR(VLOOKUP(I217,FS_input_data!$C$1:$N$106,Export!J217,FALSE),""),K217)</f>
        <v/>
      </c>
      <c r="D217" s="6"/>
      <c r="E217" t="s">
        <v>1561</v>
      </c>
      <c r="F217" s="6" t="s">
        <v>2223</v>
      </c>
      <c r="G217" s="6" t="b">
        <f>VLOOKUP($I$208,FS_input_data!$C$1:$N$106,Export!$J$208,FALSE)=""</f>
        <v>0</v>
      </c>
      <c r="H217" s="6" t="s">
        <v>2210</v>
      </c>
      <c r="I217" t="s">
        <v>1561</v>
      </c>
      <c r="J217" t="s">
        <v>1561</v>
      </c>
      <c r="L217">
        <f t="shared" si="7"/>
        <v>1</v>
      </c>
      <c r="M217" s="10"/>
      <c r="N217" s="10"/>
    </row>
    <row r="218" spans="1:14" x14ac:dyDescent="0.35">
      <c r="A218" s="9">
        <f t="shared" si="8"/>
        <v>217</v>
      </c>
      <c r="B218" t="s">
        <v>103</v>
      </c>
      <c r="C218" s="109" t="str">
        <f>IF(ISBLANK(K218),IFERROR(VLOOKUP(I218,FS_input_data!$C$1:$N$106,Export!J218,FALSE),""),K218)</f>
        <v>OPIS58_1_Opis_5</v>
      </c>
      <c r="D218" s="6" t="b">
        <v>0</v>
      </c>
      <c r="E218" t="s">
        <v>1561</v>
      </c>
      <c r="F218" s="6" t="s">
        <v>2223</v>
      </c>
      <c r="G218" s="6" t="b">
        <f>VLOOKUP($I$208,FS_input_data!$C$1:$N$106,Export!$J$208,FALSE)=""</f>
        <v>0</v>
      </c>
      <c r="H218" s="6" t="s">
        <v>2210</v>
      </c>
      <c r="I218" t="s">
        <v>943</v>
      </c>
      <c r="J218">
        <v>2</v>
      </c>
      <c r="L218" s="9" t="e">
        <f t="shared" si="7"/>
        <v>#VALUE!</v>
      </c>
      <c r="M218" s="10"/>
      <c r="N218" s="10"/>
    </row>
    <row r="219" spans="1:14" x14ac:dyDescent="0.35">
      <c r="A219">
        <f t="shared" si="8"/>
        <v>218</v>
      </c>
      <c r="B219" t="s">
        <v>104</v>
      </c>
      <c r="C219" s="109" t="str">
        <f>IF(ISBLANK(K219),IFERROR(VLOOKUP(I219,FS_input_data!$C$1:$N$106,Export!J219,FALSE),""),K219)</f>
        <v/>
      </c>
      <c r="D219" s="6"/>
      <c r="E219" t="s">
        <v>1561</v>
      </c>
      <c r="F219" s="6" t="s">
        <v>2223</v>
      </c>
      <c r="G219" s="6" t="b">
        <f>VLOOKUP($I$208,FS_input_data!$C$1:$N$106,Export!$J$208,FALSE)=""</f>
        <v>0</v>
      </c>
      <c r="H219" s="6" t="s">
        <v>2210</v>
      </c>
      <c r="I219" t="s">
        <v>1561</v>
      </c>
      <c r="J219" t="s">
        <v>1561</v>
      </c>
      <c r="L219">
        <f t="shared" si="7"/>
        <v>1</v>
      </c>
      <c r="M219" s="10"/>
      <c r="N219" s="10"/>
    </row>
    <row r="220" spans="1:14" x14ac:dyDescent="0.35">
      <c r="A220">
        <f t="shared" si="8"/>
        <v>219</v>
      </c>
      <c r="B220" t="s">
        <v>105</v>
      </c>
      <c r="C220" s="109" t="str">
        <f>IF(ISBLANK(K220),IFERROR(VLOOKUP(I220,FS_input_data!$C$1:$N$106,Export!J220,FALSE),""),K220)</f>
        <v/>
      </c>
      <c r="D220" s="6"/>
      <c r="E220" t="s">
        <v>1561</v>
      </c>
      <c r="F220" s="6" t="s">
        <v>2223</v>
      </c>
      <c r="G220" s="6" t="b">
        <f>VLOOKUP($I$208,FS_input_data!$C$1:$N$106,Export!$J$208,FALSE)=""</f>
        <v>0</v>
      </c>
      <c r="H220" s="6" t="s">
        <v>2210</v>
      </c>
      <c r="I220" t="s">
        <v>1561</v>
      </c>
      <c r="J220" t="s">
        <v>1561</v>
      </c>
      <c r="L220">
        <f t="shared" si="7"/>
        <v>1</v>
      </c>
      <c r="M220" s="10"/>
      <c r="N220" s="10"/>
    </row>
    <row r="221" spans="1:14" x14ac:dyDescent="0.35">
      <c r="A221">
        <f t="shared" si="8"/>
        <v>220</v>
      </c>
      <c r="B221" t="s">
        <v>100</v>
      </c>
      <c r="C221" s="109" t="str">
        <f>IF(ISBLANK(K221),IFERROR(VLOOKUP(I221,FS_input_data!$C$1:$N$106,Export!J221,FALSE),""),K221)</f>
        <v/>
      </c>
      <c r="D221" s="6"/>
      <c r="E221" t="s">
        <v>1561</v>
      </c>
      <c r="F221" s="6" t="s">
        <v>2224</v>
      </c>
      <c r="G221" s="6" t="b">
        <f>VLOOKUP($I$222,FS_input_data!$C$1:$N$106,Export!$J$222,FALSE)=""</f>
        <v>0</v>
      </c>
      <c r="H221" s="6" t="s">
        <v>2210</v>
      </c>
      <c r="I221" t="s">
        <v>1561</v>
      </c>
      <c r="J221" t="s">
        <v>1561</v>
      </c>
      <c r="L221" s="9" t="e">
        <f t="shared" si="7"/>
        <v>#VALUE!</v>
      </c>
      <c r="M221" s="10"/>
      <c r="N221" s="10"/>
    </row>
    <row r="222" spans="1:14" x14ac:dyDescent="0.35">
      <c r="A222" s="9">
        <f t="shared" si="8"/>
        <v>221</v>
      </c>
      <c r="B222" t="s">
        <v>101</v>
      </c>
      <c r="C222" s="109" t="str">
        <f>IF(ISBLANK(K222),IFERROR(VLOOKUP(I222,FS_input_data!$C$1:$N$106,Export!J222,FALSE),""),K222)</f>
        <v>2NAZWA8_2</v>
      </c>
      <c r="D222" s="6" t="b">
        <v>0</v>
      </c>
      <c r="E222" t="s">
        <v>1561</v>
      </c>
      <c r="F222" s="6" t="s">
        <v>2224</v>
      </c>
      <c r="G222" s="6" t="b">
        <f>VLOOKUP($I$222,FS_input_data!$C$1:$N$106,Export!$J$222,FALSE)=""</f>
        <v>0</v>
      </c>
      <c r="H222" s="6" t="s">
        <v>2210</v>
      </c>
      <c r="I222" t="s">
        <v>945</v>
      </c>
      <c r="J222">
        <v>2</v>
      </c>
      <c r="L222" s="9" t="e">
        <f t="shared" si="7"/>
        <v>#VALUE!</v>
      </c>
      <c r="M222" s="10"/>
      <c r="N222" s="10"/>
    </row>
    <row r="223" spans="1:14" x14ac:dyDescent="0.35">
      <c r="A223">
        <f t="shared" si="8"/>
        <v>222</v>
      </c>
      <c r="B223" t="s">
        <v>102</v>
      </c>
      <c r="C223" s="109" t="str">
        <f>IF(ISBLANK(K223),IFERROR(VLOOKUP(I223,FS_input_data!$C$1:$N$106,Export!J223,FALSE),""),K223)</f>
        <v/>
      </c>
      <c r="D223" s="6"/>
      <c r="E223" t="s">
        <v>1561</v>
      </c>
      <c r="F223" s="6" t="s">
        <v>2224</v>
      </c>
      <c r="G223" s="6" t="b">
        <f>VLOOKUP($I$222,FS_input_data!$C$1:$N$106,Export!$J$222,FALSE)=""</f>
        <v>0</v>
      </c>
      <c r="H223" s="6" t="s">
        <v>2210</v>
      </c>
      <c r="I223" t="s">
        <v>1561</v>
      </c>
      <c r="J223" t="s">
        <v>1561</v>
      </c>
      <c r="L223">
        <f t="shared" si="7"/>
        <v>1</v>
      </c>
      <c r="M223" s="10"/>
      <c r="N223" s="10"/>
    </row>
    <row r="224" spans="1:14" x14ac:dyDescent="0.35">
      <c r="A224" s="9">
        <f t="shared" si="8"/>
        <v>223</v>
      </c>
      <c r="B224" t="s">
        <v>103</v>
      </c>
      <c r="C224" s="109" t="str">
        <f>IF(ISBLANK(K224),IFERROR(VLOOKUP(I224,FS_input_data!$C$1:$N$106,Export!J224,FALSE),""),K224)</f>
        <v>OPIS28_2_Opis_1</v>
      </c>
      <c r="D224" s="6" t="b">
        <v>0</v>
      </c>
      <c r="E224" t="s">
        <v>1561</v>
      </c>
      <c r="F224" s="6" t="s">
        <v>2224</v>
      </c>
      <c r="G224" s="6" t="b">
        <f>VLOOKUP($I$222,FS_input_data!$C$1:$N$106,Export!$J$222,FALSE)=""</f>
        <v>0</v>
      </c>
      <c r="H224" s="6" t="s">
        <v>2210</v>
      </c>
      <c r="I224" t="s">
        <v>948</v>
      </c>
      <c r="J224">
        <v>2</v>
      </c>
      <c r="L224" s="9" t="e">
        <f t="shared" si="7"/>
        <v>#VALUE!</v>
      </c>
      <c r="M224" s="10"/>
      <c r="N224" s="10"/>
    </row>
    <row r="225" spans="1:14" x14ac:dyDescent="0.35">
      <c r="A225">
        <f t="shared" si="8"/>
        <v>224</v>
      </c>
      <c r="B225" t="s">
        <v>104</v>
      </c>
      <c r="C225" s="109" t="str">
        <f>IF(ISBLANK(K225),IFERROR(VLOOKUP(I225,FS_input_data!$C$1:$N$106,Export!J225,FALSE),""),K225)</f>
        <v/>
      </c>
      <c r="D225" s="6"/>
      <c r="E225" t="s">
        <v>1561</v>
      </c>
      <c r="F225" s="6" t="s">
        <v>2224</v>
      </c>
      <c r="G225" s="6" t="b">
        <f>VLOOKUP($I$222,FS_input_data!$C$1:$N$106,Export!$J$222,FALSE)=""</f>
        <v>0</v>
      </c>
      <c r="H225" s="6" t="s">
        <v>2210</v>
      </c>
      <c r="I225" t="s">
        <v>1561</v>
      </c>
      <c r="J225" t="s">
        <v>1561</v>
      </c>
      <c r="L225">
        <f t="shared" si="7"/>
        <v>1</v>
      </c>
      <c r="M225" s="10"/>
      <c r="N225" s="10"/>
    </row>
    <row r="226" spans="1:14" x14ac:dyDescent="0.35">
      <c r="A226" s="9">
        <f t="shared" si="8"/>
        <v>225</v>
      </c>
      <c r="B226" t="s">
        <v>103</v>
      </c>
      <c r="C226" s="109" t="str">
        <f>IF(ISBLANK(K226),IFERROR(VLOOKUP(I226,FS_input_data!$C$1:$N$106,Export!J226,FALSE),""),K226)</f>
        <v>OPIS28_2_Opis_2</v>
      </c>
      <c r="D226" s="6" t="b">
        <v>0</v>
      </c>
      <c r="E226" t="s">
        <v>1561</v>
      </c>
      <c r="F226" s="6" t="s">
        <v>2224</v>
      </c>
      <c r="G226" s="6" t="b">
        <f>VLOOKUP($I$222,FS_input_data!$C$1:$N$106,Export!$J$222,FALSE)=""</f>
        <v>0</v>
      </c>
      <c r="H226" s="6" t="s">
        <v>2210</v>
      </c>
      <c r="I226" t="s">
        <v>947</v>
      </c>
      <c r="J226">
        <v>2</v>
      </c>
      <c r="L226" s="9" t="e">
        <f t="shared" si="7"/>
        <v>#VALUE!</v>
      </c>
      <c r="M226" s="10"/>
      <c r="N226" s="10"/>
    </row>
    <row r="227" spans="1:14" x14ac:dyDescent="0.35">
      <c r="A227">
        <f t="shared" si="8"/>
        <v>226</v>
      </c>
      <c r="B227" t="s">
        <v>104</v>
      </c>
      <c r="C227" s="109" t="str">
        <f>IF(ISBLANK(K227),IFERROR(VLOOKUP(I227,FS_input_data!$C$1:$N$106,Export!J227,FALSE),""),K227)</f>
        <v/>
      </c>
      <c r="D227" s="6"/>
      <c r="E227" t="s">
        <v>1561</v>
      </c>
      <c r="F227" s="6" t="s">
        <v>2224</v>
      </c>
      <c r="G227" s="6" t="b">
        <f>VLOOKUP($I$222,FS_input_data!$C$1:$N$106,Export!$J$222,FALSE)=""</f>
        <v>0</v>
      </c>
      <c r="H227" s="6" t="s">
        <v>2210</v>
      </c>
      <c r="I227" t="s">
        <v>1561</v>
      </c>
      <c r="J227" t="s">
        <v>1561</v>
      </c>
      <c r="L227">
        <f t="shared" si="7"/>
        <v>1</v>
      </c>
      <c r="M227" s="10"/>
      <c r="N227" s="10"/>
    </row>
    <row r="228" spans="1:14" x14ac:dyDescent="0.35">
      <c r="A228" s="9">
        <f t="shared" si="8"/>
        <v>227</v>
      </c>
      <c r="B228" t="s">
        <v>103</v>
      </c>
      <c r="C228" s="109" t="str">
        <f>IF(ISBLANK(K228),IFERROR(VLOOKUP(I228,FS_input_data!$C$1:$N$106,Export!J228,FALSE),""),K228)</f>
        <v>OPIS38_2_Opis_3</v>
      </c>
      <c r="D228" s="6" t="b">
        <v>0</v>
      </c>
      <c r="E228" t="s">
        <v>1561</v>
      </c>
      <c r="F228" s="6" t="s">
        <v>2224</v>
      </c>
      <c r="G228" s="6" t="b">
        <f>VLOOKUP($I$222,FS_input_data!$C$1:$N$106,Export!$J$222,FALSE)=""</f>
        <v>0</v>
      </c>
      <c r="H228" s="6" t="s">
        <v>2210</v>
      </c>
      <c r="I228" t="s">
        <v>951</v>
      </c>
      <c r="J228">
        <v>2</v>
      </c>
      <c r="L228" s="9" t="e">
        <f t="shared" si="7"/>
        <v>#VALUE!</v>
      </c>
      <c r="M228" s="10"/>
      <c r="N228" s="10"/>
    </row>
    <row r="229" spans="1:14" x14ac:dyDescent="0.35">
      <c r="A229">
        <f t="shared" si="8"/>
        <v>228</v>
      </c>
      <c r="B229" t="s">
        <v>104</v>
      </c>
      <c r="C229" s="109" t="str">
        <f>IF(ISBLANK(K229),IFERROR(VLOOKUP(I229,FS_input_data!$C$1:$N$106,Export!J229,FALSE),""),K229)</f>
        <v/>
      </c>
      <c r="D229" s="6"/>
      <c r="E229" t="s">
        <v>1561</v>
      </c>
      <c r="F229" s="6" t="s">
        <v>2224</v>
      </c>
      <c r="G229" s="6" t="b">
        <f>VLOOKUP($I$222,FS_input_data!$C$1:$N$106,Export!$J$222,FALSE)=""</f>
        <v>0</v>
      </c>
      <c r="H229" s="6" t="s">
        <v>2210</v>
      </c>
      <c r="I229" t="s">
        <v>1561</v>
      </c>
      <c r="J229" t="s">
        <v>1561</v>
      </c>
      <c r="L229">
        <f t="shared" si="7"/>
        <v>1</v>
      </c>
      <c r="M229" s="10"/>
      <c r="N229" s="10"/>
    </row>
    <row r="230" spans="1:14" x14ac:dyDescent="0.35">
      <c r="A230" s="9">
        <f t="shared" si="8"/>
        <v>229</v>
      </c>
      <c r="B230" t="s">
        <v>103</v>
      </c>
      <c r="C230" s="109" t="str">
        <f>IF(ISBLANK(K230),IFERROR(VLOOKUP(I230,FS_input_data!$C$1:$N$106,Export!J230,FALSE),""),K230)</f>
        <v>OPIS48_2_Opis_4</v>
      </c>
      <c r="D230" s="6" t="b">
        <v>0</v>
      </c>
      <c r="E230" t="s">
        <v>1561</v>
      </c>
      <c r="F230" s="6" t="s">
        <v>2224</v>
      </c>
      <c r="G230" s="6" t="b">
        <f>VLOOKUP($I$222,FS_input_data!$C$1:$N$106,Export!$J$222,FALSE)=""</f>
        <v>0</v>
      </c>
      <c r="H230" s="6" t="s">
        <v>2210</v>
      </c>
      <c r="I230" t="s">
        <v>953</v>
      </c>
      <c r="J230">
        <v>2</v>
      </c>
      <c r="L230" s="9" t="e">
        <f t="shared" si="7"/>
        <v>#VALUE!</v>
      </c>
      <c r="M230" s="10"/>
      <c r="N230" s="10"/>
    </row>
    <row r="231" spans="1:14" x14ac:dyDescent="0.35">
      <c r="A231">
        <f t="shared" si="8"/>
        <v>230</v>
      </c>
      <c r="B231" t="s">
        <v>104</v>
      </c>
      <c r="C231" s="109" t="str">
        <f>IF(ISBLANK(K231),IFERROR(VLOOKUP(I231,FS_input_data!$C$1:$N$106,Export!J231,FALSE),""),K231)</f>
        <v/>
      </c>
      <c r="D231" s="6"/>
      <c r="E231" t="s">
        <v>1561</v>
      </c>
      <c r="F231" s="6" t="s">
        <v>2224</v>
      </c>
      <c r="G231" s="6" t="b">
        <f>VLOOKUP($I$222,FS_input_data!$C$1:$N$106,Export!$J$222,FALSE)=""</f>
        <v>0</v>
      </c>
      <c r="H231" s="6" t="s">
        <v>2210</v>
      </c>
      <c r="I231" t="s">
        <v>1561</v>
      </c>
      <c r="J231" t="s">
        <v>1561</v>
      </c>
      <c r="L231">
        <f t="shared" si="7"/>
        <v>1</v>
      </c>
      <c r="M231" s="10"/>
      <c r="N231" s="10"/>
    </row>
    <row r="232" spans="1:14" x14ac:dyDescent="0.35">
      <c r="A232" s="9">
        <f t="shared" si="8"/>
        <v>231</v>
      </c>
      <c r="B232" t="s">
        <v>103</v>
      </c>
      <c r="C232" s="109" t="str">
        <f>IF(ISBLANK(K232),IFERROR(VLOOKUP(I232,FS_input_data!$C$1:$N$106,Export!J232,FALSE),""),K232)</f>
        <v>OPIS58_2_Opis_5</v>
      </c>
      <c r="D232" s="6" t="b">
        <v>0</v>
      </c>
      <c r="E232" t="s">
        <v>1561</v>
      </c>
      <c r="F232" s="6" t="s">
        <v>2224</v>
      </c>
      <c r="G232" s="6" t="b">
        <f>VLOOKUP($I$222,FS_input_data!$C$1:$N$106,Export!$J$222,FALSE)=""</f>
        <v>0</v>
      </c>
      <c r="H232" s="6" t="s">
        <v>2210</v>
      </c>
      <c r="I232" t="s">
        <v>955</v>
      </c>
      <c r="J232">
        <v>2</v>
      </c>
      <c r="L232" s="9" t="e">
        <f t="shared" si="7"/>
        <v>#VALUE!</v>
      </c>
      <c r="M232" s="10"/>
      <c r="N232" s="10"/>
    </row>
    <row r="233" spans="1:14" x14ac:dyDescent="0.35">
      <c r="A233">
        <f t="shared" si="8"/>
        <v>232</v>
      </c>
      <c r="B233" t="s">
        <v>104</v>
      </c>
      <c r="C233" s="109" t="str">
        <f>IF(ISBLANK(K233),IFERROR(VLOOKUP(I233,FS_input_data!$C$1:$N$106,Export!J233,FALSE),""),K233)</f>
        <v/>
      </c>
      <c r="D233" s="6"/>
      <c r="E233" t="s">
        <v>1561</v>
      </c>
      <c r="F233" s="6" t="s">
        <v>2224</v>
      </c>
      <c r="G233" s="6" t="b">
        <f>VLOOKUP($I$222,FS_input_data!$C$1:$N$106,Export!$J$222,FALSE)=""</f>
        <v>0</v>
      </c>
      <c r="H233" s="6" t="s">
        <v>2210</v>
      </c>
      <c r="I233" t="s">
        <v>1561</v>
      </c>
      <c r="J233" t="s">
        <v>1561</v>
      </c>
      <c r="L233">
        <f t="shared" si="7"/>
        <v>1</v>
      </c>
      <c r="M233" s="10"/>
      <c r="N233" s="10"/>
    </row>
    <row r="234" spans="1:14" x14ac:dyDescent="0.35">
      <c r="A234">
        <f t="shared" si="8"/>
        <v>233</v>
      </c>
      <c r="B234" t="s">
        <v>105</v>
      </c>
      <c r="C234" s="109" t="str">
        <f>IF(ISBLANK(K234),IFERROR(VLOOKUP(I234,FS_input_data!$C$1:$N$106,Export!J234,FALSE),""),K234)</f>
        <v/>
      </c>
      <c r="D234" s="6"/>
      <c r="E234" t="s">
        <v>1561</v>
      </c>
      <c r="F234" s="6" t="s">
        <v>2224</v>
      </c>
      <c r="G234" s="6" t="b">
        <f>VLOOKUP($I$222,FS_input_data!$C$1:$N$106,Export!$J$222,FALSE)=""</f>
        <v>0</v>
      </c>
      <c r="H234" s="6" t="s">
        <v>2210</v>
      </c>
      <c r="I234" t="s">
        <v>1561</v>
      </c>
      <c r="J234" t="s">
        <v>1561</v>
      </c>
      <c r="L234">
        <f t="shared" si="7"/>
        <v>1</v>
      </c>
      <c r="M234" s="10"/>
      <c r="N234" s="10"/>
    </row>
    <row r="235" spans="1:14" x14ac:dyDescent="0.35">
      <c r="A235">
        <f t="shared" si="8"/>
        <v>234</v>
      </c>
      <c r="B235" t="s">
        <v>100</v>
      </c>
      <c r="C235" s="109" t="str">
        <f>IF(ISBLANK(K235),IFERROR(VLOOKUP(I235,FS_input_data!$C$1:$N$106,Export!J235,FALSE),""),K235)</f>
        <v/>
      </c>
      <c r="D235" s="6"/>
      <c r="E235" t="s">
        <v>1561</v>
      </c>
      <c r="F235" s="6" t="s">
        <v>2225</v>
      </c>
      <c r="G235" s="6" t="b">
        <f>VLOOKUP($I$236,FS_input_data!$C$1:$N$106,Export!$J$236,FALSE)=""</f>
        <v>0</v>
      </c>
      <c r="H235" s="6" t="s">
        <v>2210</v>
      </c>
      <c r="I235" t="s">
        <v>1561</v>
      </c>
      <c r="J235" t="s">
        <v>1561</v>
      </c>
      <c r="L235" s="9" t="e">
        <f t="shared" si="7"/>
        <v>#VALUE!</v>
      </c>
      <c r="M235" s="10"/>
      <c r="N235" s="10"/>
    </row>
    <row r="236" spans="1:14" x14ac:dyDescent="0.35">
      <c r="A236" s="9">
        <f t="shared" si="8"/>
        <v>235</v>
      </c>
      <c r="B236" t="s">
        <v>101</v>
      </c>
      <c r="C236" s="109" t="str">
        <f>IF(ISBLANK(K236),IFERROR(VLOOKUP(I236,FS_input_data!$C$1:$N$106,Export!J236,FALSE),""),K236)</f>
        <v>3NAZWA8_3</v>
      </c>
      <c r="D236" s="6" t="b">
        <v>0</v>
      </c>
      <c r="E236" t="s">
        <v>1561</v>
      </c>
      <c r="F236" s="6" t="s">
        <v>2225</v>
      </c>
      <c r="G236" s="6" t="b">
        <f>VLOOKUP($I$236,FS_input_data!$C$1:$N$106,Export!$J$236,FALSE)=""</f>
        <v>0</v>
      </c>
      <c r="H236" s="6" t="s">
        <v>2210</v>
      </c>
      <c r="I236" t="s">
        <v>957</v>
      </c>
      <c r="J236">
        <v>2</v>
      </c>
      <c r="L236" s="9" t="e">
        <f t="shared" si="7"/>
        <v>#VALUE!</v>
      </c>
      <c r="M236" s="10"/>
      <c r="N236" s="10"/>
    </row>
    <row r="237" spans="1:14" x14ac:dyDescent="0.35">
      <c r="A237">
        <f t="shared" si="8"/>
        <v>236</v>
      </c>
      <c r="B237" t="s">
        <v>102</v>
      </c>
      <c r="C237" s="109" t="str">
        <f>IF(ISBLANK(K237),IFERROR(VLOOKUP(I237,FS_input_data!$C$1:$N$106,Export!J237,FALSE),""),K237)</f>
        <v/>
      </c>
      <c r="D237" s="6"/>
      <c r="E237" t="s">
        <v>1561</v>
      </c>
      <c r="F237" s="6" t="s">
        <v>2225</v>
      </c>
      <c r="G237" s="6" t="b">
        <f>VLOOKUP($I$236,FS_input_data!$C$1:$N$106,Export!$J$236,FALSE)=""</f>
        <v>0</v>
      </c>
      <c r="H237" s="6" t="s">
        <v>2210</v>
      </c>
      <c r="I237" t="s">
        <v>1561</v>
      </c>
      <c r="J237" t="s">
        <v>1561</v>
      </c>
      <c r="L237">
        <f t="shared" si="7"/>
        <v>1</v>
      </c>
      <c r="M237" s="10"/>
      <c r="N237" s="10"/>
    </row>
    <row r="238" spans="1:14" x14ac:dyDescent="0.35">
      <c r="A238" s="9">
        <f t="shared" si="8"/>
        <v>237</v>
      </c>
      <c r="B238" t="s">
        <v>103</v>
      </c>
      <c r="C238" s="109" t="str">
        <f>IF(ISBLANK(K238),IFERROR(VLOOKUP(I238,FS_input_data!$C$1:$N$106,Export!J238,FALSE),""),K238)</f>
        <v>OPIS18_3_Opis_1</v>
      </c>
      <c r="D238" s="6" t="b">
        <v>0</v>
      </c>
      <c r="E238" t="s">
        <v>1561</v>
      </c>
      <c r="F238" s="6" t="s">
        <v>2225</v>
      </c>
      <c r="G238" s="6" t="b">
        <f>VLOOKUP($I$236,FS_input_data!$C$1:$N$106,Export!$J$236,FALSE)=""</f>
        <v>0</v>
      </c>
      <c r="H238" s="6" t="s">
        <v>2210</v>
      </c>
      <c r="I238" t="s">
        <v>959</v>
      </c>
      <c r="J238">
        <v>2</v>
      </c>
      <c r="L238" s="9" t="e">
        <f t="shared" si="7"/>
        <v>#VALUE!</v>
      </c>
      <c r="M238" s="10"/>
      <c r="N238" s="10"/>
    </row>
    <row r="239" spans="1:14" x14ac:dyDescent="0.35">
      <c r="A239">
        <f t="shared" si="8"/>
        <v>238</v>
      </c>
      <c r="B239" t="s">
        <v>104</v>
      </c>
      <c r="C239" s="109" t="str">
        <f>IF(ISBLANK(K239),IFERROR(VLOOKUP(I239,FS_input_data!$C$1:$N$106,Export!J239,FALSE),""),K239)</f>
        <v/>
      </c>
      <c r="D239" s="6"/>
      <c r="E239" t="s">
        <v>1561</v>
      </c>
      <c r="F239" s="6" t="s">
        <v>2225</v>
      </c>
      <c r="G239" s="6" t="b">
        <f>VLOOKUP($I$236,FS_input_data!$C$1:$N$106,Export!$J$236,FALSE)=""</f>
        <v>0</v>
      </c>
      <c r="H239" s="6" t="s">
        <v>2210</v>
      </c>
      <c r="I239" t="s">
        <v>1561</v>
      </c>
      <c r="J239" t="s">
        <v>1561</v>
      </c>
      <c r="L239">
        <f t="shared" si="7"/>
        <v>1</v>
      </c>
      <c r="M239" s="10"/>
      <c r="N239" s="10"/>
    </row>
    <row r="240" spans="1:14" x14ac:dyDescent="0.35">
      <c r="A240" s="9">
        <f t="shared" si="8"/>
        <v>239</v>
      </c>
      <c r="B240" t="s">
        <v>103</v>
      </c>
      <c r="C240" s="109" t="str">
        <f>IF(ISBLANK(K240),IFERROR(VLOOKUP(I240,FS_input_data!$C$1:$N$106,Export!J240,FALSE),""),K240)</f>
        <v>OPIS28_3_Opis_2</v>
      </c>
      <c r="D240" s="6" t="b">
        <v>0</v>
      </c>
      <c r="E240" t="s">
        <v>1561</v>
      </c>
      <c r="F240" s="6" t="s">
        <v>2225</v>
      </c>
      <c r="G240" s="6" t="b">
        <f>VLOOKUP($I$236,FS_input_data!$C$1:$N$106,Export!$J$236,FALSE)=""</f>
        <v>0</v>
      </c>
      <c r="H240" s="6" t="s">
        <v>2210</v>
      </c>
      <c r="I240" t="s">
        <v>961</v>
      </c>
      <c r="J240">
        <v>2</v>
      </c>
      <c r="L240" s="9" t="e">
        <f t="shared" si="7"/>
        <v>#VALUE!</v>
      </c>
      <c r="M240" s="10"/>
      <c r="N240" s="10"/>
    </row>
    <row r="241" spans="1:14" x14ac:dyDescent="0.35">
      <c r="A241">
        <f t="shared" si="8"/>
        <v>240</v>
      </c>
      <c r="B241" t="s">
        <v>104</v>
      </c>
      <c r="C241" s="109" t="str">
        <f>IF(ISBLANK(K241),IFERROR(VLOOKUP(I241,FS_input_data!$C$1:$N$106,Export!J241,FALSE),""),K241)</f>
        <v/>
      </c>
      <c r="D241" s="6"/>
      <c r="E241" t="s">
        <v>1561</v>
      </c>
      <c r="F241" s="6" t="s">
        <v>2225</v>
      </c>
      <c r="G241" s="6" t="b">
        <f>VLOOKUP($I$236,FS_input_data!$C$1:$N$106,Export!$J$236,FALSE)=""</f>
        <v>0</v>
      </c>
      <c r="H241" s="6" t="s">
        <v>2210</v>
      </c>
      <c r="I241" t="s">
        <v>1561</v>
      </c>
      <c r="J241" t="s">
        <v>1561</v>
      </c>
      <c r="L241">
        <f t="shared" si="7"/>
        <v>1</v>
      </c>
      <c r="M241" s="10"/>
      <c r="N241" s="10"/>
    </row>
    <row r="242" spans="1:14" x14ac:dyDescent="0.35">
      <c r="A242" s="9">
        <f t="shared" si="8"/>
        <v>241</v>
      </c>
      <c r="B242" t="s">
        <v>103</v>
      </c>
      <c r="C242" s="109" t="str">
        <f>IF(ISBLANK(K242),IFERROR(VLOOKUP(I242,FS_input_data!$C$1:$N$106,Export!J242,FALSE),""),K242)</f>
        <v>OPIS38_3_Opis_3</v>
      </c>
      <c r="D242" s="6" t="b">
        <v>0</v>
      </c>
      <c r="E242" t="s">
        <v>1561</v>
      </c>
      <c r="F242" s="6" t="s">
        <v>2225</v>
      </c>
      <c r="G242" s="6" t="b">
        <f>VLOOKUP($I$236,FS_input_data!$C$1:$N$106,Export!$J$236,FALSE)=""</f>
        <v>0</v>
      </c>
      <c r="H242" s="6" t="s">
        <v>2210</v>
      </c>
      <c r="I242" t="s">
        <v>963</v>
      </c>
      <c r="J242">
        <v>2</v>
      </c>
      <c r="L242" s="9" t="e">
        <f t="shared" si="7"/>
        <v>#VALUE!</v>
      </c>
      <c r="M242" s="10"/>
      <c r="N242" s="10"/>
    </row>
    <row r="243" spans="1:14" x14ac:dyDescent="0.35">
      <c r="A243">
        <f t="shared" si="8"/>
        <v>242</v>
      </c>
      <c r="B243" t="s">
        <v>104</v>
      </c>
      <c r="C243" s="109" t="str">
        <f>IF(ISBLANK(K243),IFERROR(VLOOKUP(I243,FS_input_data!$C$1:$N$106,Export!J243,FALSE),""),K243)</f>
        <v/>
      </c>
      <c r="D243" s="6"/>
      <c r="E243" t="s">
        <v>1561</v>
      </c>
      <c r="F243" s="6" t="s">
        <v>2225</v>
      </c>
      <c r="G243" s="6" t="b">
        <f>VLOOKUP($I$236,FS_input_data!$C$1:$N$106,Export!$J$236,FALSE)=""</f>
        <v>0</v>
      </c>
      <c r="H243" s="6" t="s">
        <v>2210</v>
      </c>
      <c r="I243" t="s">
        <v>1561</v>
      </c>
      <c r="J243" t="s">
        <v>1561</v>
      </c>
      <c r="L243">
        <f t="shared" si="7"/>
        <v>1</v>
      </c>
      <c r="M243" s="10"/>
      <c r="N243" s="10"/>
    </row>
    <row r="244" spans="1:14" x14ac:dyDescent="0.35">
      <c r="A244" s="9">
        <f t="shared" si="8"/>
        <v>243</v>
      </c>
      <c r="B244" t="s">
        <v>103</v>
      </c>
      <c r="C244" s="109" t="str">
        <f>IF(ISBLANK(K244),IFERROR(VLOOKUP(I244,FS_input_data!$C$1:$N$106,Export!J244,FALSE),""),K244)</f>
        <v>OPIS48_3_Opis_4</v>
      </c>
      <c r="D244" s="6" t="b">
        <v>0</v>
      </c>
      <c r="E244" t="s">
        <v>1561</v>
      </c>
      <c r="F244" s="6" t="s">
        <v>2225</v>
      </c>
      <c r="G244" s="6" t="b">
        <f>VLOOKUP($I$236,FS_input_data!$C$1:$N$106,Export!$J$236,FALSE)=""</f>
        <v>0</v>
      </c>
      <c r="H244" s="6" t="s">
        <v>2210</v>
      </c>
      <c r="I244" t="s">
        <v>965</v>
      </c>
      <c r="J244">
        <v>2</v>
      </c>
      <c r="L244" s="9" t="e">
        <f t="shared" si="7"/>
        <v>#VALUE!</v>
      </c>
      <c r="M244" s="10"/>
      <c r="N244" s="10"/>
    </row>
    <row r="245" spans="1:14" x14ac:dyDescent="0.35">
      <c r="A245">
        <f t="shared" si="8"/>
        <v>244</v>
      </c>
      <c r="B245" t="s">
        <v>104</v>
      </c>
      <c r="C245" s="109" t="str">
        <f>IF(ISBLANK(K245),IFERROR(VLOOKUP(I245,FS_input_data!$C$1:$N$106,Export!J245,FALSE),""),K245)</f>
        <v/>
      </c>
      <c r="D245" s="6"/>
      <c r="E245" t="s">
        <v>1561</v>
      </c>
      <c r="F245" s="6" t="s">
        <v>2225</v>
      </c>
      <c r="G245" s="6" t="b">
        <f>VLOOKUP($I$236,FS_input_data!$C$1:$N$106,Export!$J$236,FALSE)=""</f>
        <v>0</v>
      </c>
      <c r="H245" s="6" t="s">
        <v>2210</v>
      </c>
      <c r="I245" t="s">
        <v>1561</v>
      </c>
      <c r="J245" t="s">
        <v>1561</v>
      </c>
      <c r="L245">
        <f t="shared" si="7"/>
        <v>1</v>
      </c>
      <c r="M245" s="10"/>
      <c r="N245" s="10"/>
    </row>
    <row r="246" spans="1:14" x14ac:dyDescent="0.35">
      <c r="A246" s="9">
        <f t="shared" si="8"/>
        <v>245</v>
      </c>
      <c r="B246" t="s">
        <v>103</v>
      </c>
      <c r="C246" s="109" t="str">
        <f>IF(ISBLANK(K246),IFERROR(VLOOKUP(I246,FS_input_data!$C$1:$N$106,Export!J246,FALSE),""),K246)</f>
        <v>OPIS58_3_Opis_5</v>
      </c>
      <c r="D246" s="6" t="b">
        <v>0</v>
      </c>
      <c r="E246" t="s">
        <v>1561</v>
      </c>
      <c r="F246" s="6" t="s">
        <v>2225</v>
      </c>
      <c r="G246" s="6" t="b">
        <f>VLOOKUP($I$236,FS_input_data!$C$1:$N$106,Export!$J$236,FALSE)=""</f>
        <v>0</v>
      </c>
      <c r="H246" s="6" t="s">
        <v>2210</v>
      </c>
      <c r="I246" t="s">
        <v>967</v>
      </c>
      <c r="J246">
        <v>2</v>
      </c>
      <c r="L246" s="9" t="e">
        <f t="shared" si="7"/>
        <v>#VALUE!</v>
      </c>
      <c r="M246" s="10"/>
      <c r="N246" s="10"/>
    </row>
    <row r="247" spans="1:14" x14ac:dyDescent="0.35">
      <c r="A247">
        <f t="shared" si="8"/>
        <v>246</v>
      </c>
      <c r="B247" t="s">
        <v>104</v>
      </c>
      <c r="C247" s="109" t="str">
        <f>IF(ISBLANK(K247),IFERROR(VLOOKUP(I247,FS_input_data!$C$1:$N$106,Export!J247,FALSE),""),K247)</f>
        <v/>
      </c>
      <c r="D247" s="6"/>
      <c r="E247" t="s">
        <v>1561</v>
      </c>
      <c r="F247" s="6" t="s">
        <v>2225</v>
      </c>
      <c r="G247" s="6" t="b">
        <f>VLOOKUP($I$236,FS_input_data!$C$1:$N$106,Export!$J$236,FALSE)=""</f>
        <v>0</v>
      </c>
      <c r="H247" s="6" t="s">
        <v>2210</v>
      </c>
      <c r="I247" t="s">
        <v>1561</v>
      </c>
      <c r="J247" t="s">
        <v>1561</v>
      </c>
      <c r="L247">
        <f t="shared" si="7"/>
        <v>1</v>
      </c>
      <c r="M247" s="10"/>
      <c r="N247" s="10"/>
    </row>
    <row r="248" spans="1:14" x14ac:dyDescent="0.35">
      <c r="A248">
        <f t="shared" si="8"/>
        <v>247</v>
      </c>
      <c r="B248" t="s">
        <v>105</v>
      </c>
      <c r="C248" s="109" t="str">
        <f>IF(ISBLANK(K248),IFERROR(VLOOKUP(I248,FS_input_data!$C$1:$N$106,Export!J248,FALSE),""),K248)</f>
        <v/>
      </c>
      <c r="D248" s="6"/>
      <c r="E248" t="s">
        <v>1561</v>
      </c>
      <c r="F248" s="6" t="s">
        <v>2225</v>
      </c>
      <c r="G248" s="6" t="b">
        <f>VLOOKUP($I$236,FS_input_data!$C$1:$N$106,Export!$J$236,FALSE)=""</f>
        <v>0</v>
      </c>
      <c r="H248" s="6" t="s">
        <v>2210</v>
      </c>
      <c r="I248" t="s">
        <v>1561</v>
      </c>
      <c r="J248" t="s">
        <v>1561</v>
      </c>
      <c r="L248">
        <f t="shared" si="7"/>
        <v>1</v>
      </c>
      <c r="M248" s="10"/>
      <c r="N248" s="10"/>
    </row>
    <row r="249" spans="1:14" x14ac:dyDescent="0.35">
      <c r="A249">
        <f t="shared" si="8"/>
        <v>248</v>
      </c>
      <c r="B249" t="s">
        <v>100</v>
      </c>
      <c r="C249" s="109" t="str">
        <f>IF(ISBLANK(K249),IFERROR(VLOOKUP(I249,FS_input_data!$C$1:$N$106,Export!J249,FALSE),""),K249)</f>
        <v/>
      </c>
      <c r="D249" s="6"/>
      <c r="E249" t="s">
        <v>1561</v>
      </c>
      <c r="F249" s="6" t="s">
        <v>2226</v>
      </c>
      <c r="G249" s="6" t="b">
        <f>VLOOKUP($I$250,FS_input_data!$C$1:$N$106,Export!$J$250,FALSE)=""</f>
        <v>0</v>
      </c>
      <c r="H249" s="6" t="s">
        <v>2210</v>
      </c>
      <c r="I249" t="s">
        <v>1561</v>
      </c>
      <c r="J249" t="s">
        <v>1561</v>
      </c>
      <c r="L249" s="9" t="e">
        <f t="shared" si="7"/>
        <v>#VALUE!</v>
      </c>
      <c r="M249" s="10"/>
      <c r="N249" s="10"/>
    </row>
    <row r="250" spans="1:14" x14ac:dyDescent="0.35">
      <c r="A250" s="9">
        <f t="shared" si="8"/>
        <v>249</v>
      </c>
      <c r="B250" t="s">
        <v>101</v>
      </c>
      <c r="C250" s="109" t="str">
        <f>IF(ISBLANK(K250),IFERROR(VLOOKUP(I250,FS_input_data!$C$1:$N$106,Export!J250,FALSE),""),K250)</f>
        <v>4NAZWA8_4</v>
      </c>
      <c r="D250" s="6" t="b">
        <v>0</v>
      </c>
      <c r="E250" t="s">
        <v>1561</v>
      </c>
      <c r="F250" s="6" t="s">
        <v>2226</v>
      </c>
      <c r="G250" s="6" t="b">
        <f>VLOOKUP($I$250,FS_input_data!$C$1:$N$106,Export!$J$250,FALSE)=""</f>
        <v>0</v>
      </c>
      <c r="H250" s="6" t="s">
        <v>2210</v>
      </c>
      <c r="I250" t="s">
        <v>969</v>
      </c>
      <c r="J250">
        <v>2</v>
      </c>
      <c r="L250" s="9" t="e">
        <f t="shared" si="7"/>
        <v>#VALUE!</v>
      </c>
      <c r="M250" s="10"/>
      <c r="N250" s="10"/>
    </row>
    <row r="251" spans="1:14" x14ac:dyDescent="0.35">
      <c r="A251">
        <f t="shared" si="8"/>
        <v>250</v>
      </c>
      <c r="B251" t="s">
        <v>102</v>
      </c>
      <c r="C251" s="109" t="str">
        <f>IF(ISBLANK(K251),IFERROR(VLOOKUP(I251,FS_input_data!$C$1:$N$106,Export!J251,FALSE),""),K251)</f>
        <v/>
      </c>
      <c r="D251" s="6"/>
      <c r="E251" t="s">
        <v>1561</v>
      </c>
      <c r="F251" s="6" t="s">
        <v>2226</v>
      </c>
      <c r="G251" s="6" t="b">
        <f>VLOOKUP($I$250,FS_input_data!$C$1:$N$106,Export!$J$250,FALSE)=""</f>
        <v>0</v>
      </c>
      <c r="H251" s="6" t="s">
        <v>2210</v>
      </c>
      <c r="I251" t="s">
        <v>1561</v>
      </c>
      <c r="J251" t="s">
        <v>1561</v>
      </c>
      <c r="L251">
        <f t="shared" si="7"/>
        <v>1</v>
      </c>
      <c r="M251" s="10"/>
      <c r="N251" s="10"/>
    </row>
    <row r="252" spans="1:14" x14ac:dyDescent="0.35">
      <c r="A252" s="9">
        <f t="shared" si="8"/>
        <v>251</v>
      </c>
      <c r="B252" t="s">
        <v>103</v>
      </c>
      <c r="C252" s="109" t="str">
        <f>IF(ISBLANK(K252),IFERROR(VLOOKUP(I252,FS_input_data!$C$1:$N$106,Export!J252,FALSE),""),K252)</f>
        <v>OPIS18_4_Opis_1</v>
      </c>
      <c r="D252" s="6" t="b">
        <v>0</v>
      </c>
      <c r="E252" t="s">
        <v>1561</v>
      </c>
      <c r="F252" s="6" t="s">
        <v>2226</v>
      </c>
      <c r="G252" s="6" t="b">
        <f>VLOOKUP($I$250,FS_input_data!$C$1:$N$106,Export!$J$250,FALSE)=""</f>
        <v>0</v>
      </c>
      <c r="H252" s="6" t="s">
        <v>2210</v>
      </c>
      <c r="I252" t="s">
        <v>971</v>
      </c>
      <c r="J252">
        <v>2</v>
      </c>
      <c r="L252" s="9" t="e">
        <f t="shared" si="7"/>
        <v>#VALUE!</v>
      </c>
      <c r="M252" s="10"/>
      <c r="N252" s="10"/>
    </row>
    <row r="253" spans="1:14" x14ac:dyDescent="0.35">
      <c r="A253">
        <f t="shared" si="8"/>
        <v>252</v>
      </c>
      <c r="B253" t="s">
        <v>104</v>
      </c>
      <c r="C253" s="109" t="str">
        <f>IF(ISBLANK(K253),IFERROR(VLOOKUP(I253,FS_input_data!$C$1:$N$106,Export!J253,FALSE),""),K253)</f>
        <v/>
      </c>
      <c r="D253" s="6"/>
      <c r="E253" t="s">
        <v>1561</v>
      </c>
      <c r="F253" s="6" t="s">
        <v>2226</v>
      </c>
      <c r="G253" s="6" t="b">
        <f>VLOOKUP($I$250,FS_input_data!$C$1:$N$106,Export!$J$250,FALSE)=""</f>
        <v>0</v>
      </c>
      <c r="H253" s="6" t="s">
        <v>2210</v>
      </c>
      <c r="I253" t="s">
        <v>1561</v>
      </c>
      <c r="J253" t="s">
        <v>1561</v>
      </c>
      <c r="L253">
        <f t="shared" si="7"/>
        <v>1</v>
      </c>
      <c r="M253" s="10"/>
      <c r="N253" s="10"/>
    </row>
    <row r="254" spans="1:14" x14ac:dyDescent="0.35">
      <c r="A254" s="9">
        <f t="shared" si="8"/>
        <v>253</v>
      </c>
      <c r="B254" t="s">
        <v>103</v>
      </c>
      <c r="C254" s="109" t="str">
        <f>IF(ISBLANK(K254),IFERROR(VLOOKUP(I254,FS_input_data!$C$1:$N$106,Export!J254,FALSE),""),K254)</f>
        <v>OPIS28_4_Opis_2</v>
      </c>
      <c r="D254" s="6" t="b">
        <v>0</v>
      </c>
      <c r="E254" t="s">
        <v>1561</v>
      </c>
      <c r="F254" s="6" t="s">
        <v>2226</v>
      </c>
      <c r="G254" s="6" t="b">
        <f>VLOOKUP($I$250,FS_input_data!$C$1:$N$106,Export!$J$250,FALSE)=""</f>
        <v>0</v>
      </c>
      <c r="H254" s="6" t="s">
        <v>2210</v>
      </c>
      <c r="I254" t="s">
        <v>973</v>
      </c>
      <c r="J254">
        <v>2</v>
      </c>
      <c r="L254" s="9" t="e">
        <f t="shared" si="7"/>
        <v>#VALUE!</v>
      </c>
      <c r="M254" s="10"/>
      <c r="N254" s="10"/>
    </row>
    <row r="255" spans="1:14" x14ac:dyDescent="0.35">
      <c r="A255">
        <f t="shared" si="8"/>
        <v>254</v>
      </c>
      <c r="B255" t="s">
        <v>104</v>
      </c>
      <c r="C255" s="109" t="str">
        <f>IF(ISBLANK(K255),IFERROR(VLOOKUP(I255,FS_input_data!$C$1:$N$106,Export!J255,FALSE),""),K255)</f>
        <v/>
      </c>
      <c r="D255" s="6"/>
      <c r="E255" t="s">
        <v>1561</v>
      </c>
      <c r="F255" s="6" t="s">
        <v>2226</v>
      </c>
      <c r="G255" s="6" t="b">
        <f>VLOOKUP($I$250,FS_input_data!$C$1:$N$106,Export!$J$250,FALSE)=""</f>
        <v>0</v>
      </c>
      <c r="H255" s="6" t="s">
        <v>2210</v>
      </c>
      <c r="I255" t="s">
        <v>1561</v>
      </c>
      <c r="J255" t="s">
        <v>1561</v>
      </c>
      <c r="L255">
        <f t="shared" si="7"/>
        <v>1</v>
      </c>
      <c r="M255" s="10"/>
      <c r="N255" s="10"/>
    </row>
    <row r="256" spans="1:14" x14ac:dyDescent="0.35">
      <c r="A256" s="9">
        <f t="shared" si="8"/>
        <v>255</v>
      </c>
      <c r="B256" t="s">
        <v>103</v>
      </c>
      <c r="C256" s="109" t="str">
        <f>IF(ISBLANK(K256),IFERROR(VLOOKUP(I256,FS_input_data!$C$1:$N$106,Export!J256,FALSE),""),K256)</f>
        <v>OPIS38_4_Opis_3</v>
      </c>
      <c r="D256" s="6" t="b">
        <v>0</v>
      </c>
      <c r="E256" t="s">
        <v>1561</v>
      </c>
      <c r="F256" s="6" t="s">
        <v>2226</v>
      </c>
      <c r="G256" s="6" t="b">
        <f>VLOOKUP($I$250,FS_input_data!$C$1:$N$106,Export!$J$250,FALSE)=""</f>
        <v>0</v>
      </c>
      <c r="H256" s="6" t="s">
        <v>2210</v>
      </c>
      <c r="I256" t="s">
        <v>975</v>
      </c>
      <c r="J256">
        <v>2</v>
      </c>
      <c r="L256" s="9" t="e">
        <f t="shared" si="7"/>
        <v>#VALUE!</v>
      </c>
      <c r="M256" s="10"/>
      <c r="N256" s="10"/>
    </row>
    <row r="257" spans="1:14" x14ac:dyDescent="0.35">
      <c r="A257">
        <f t="shared" si="8"/>
        <v>256</v>
      </c>
      <c r="B257" t="s">
        <v>104</v>
      </c>
      <c r="C257" s="109" t="str">
        <f>IF(ISBLANK(K257),IFERROR(VLOOKUP(I257,FS_input_data!$C$1:$N$106,Export!J257,FALSE),""),K257)</f>
        <v/>
      </c>
      <c r="D257" s="6"/>
      <c r="E257" t="s">
        <v>1561</v>
      </c>
      <c r="F257" s="6" t="s">
        <v>2226</v>
      </c>
      <c r="G257" s="6" t="b">
        <f>VLOOKUP($I$250,FS_input_data!$C$1:$N$106,Export!$J$250,FALSE)=""</f>
        <v>0</v>
      </c>
      <c r="H257" s="6" t="s">
        <v>2210</v>
      </c>
      <c r="I257" t="s">
        <v>1561</v>
      </c>
      <c r="J257" t="s">
        <v>1561</v>
      </c>
      <c r="L257">
        <f t="shared" si="7"/>
        <v>1</v>
      </c>
      <c r="M257" s="10"/>
      <c r="N257" s="10"/>
    </row>
    <row r="258" spans="1:14" x14ac:dyDescent="0.35">
      <c r="A258" s="9">
        <f t="shared" si="8"/>
        <v>257</v>
      </c>
      <c r="B258" t="s">
        <v>103</v>
      </c>
      <c r="C258" s="109" t="str">
        <f>IF(ISBLANK(K258),IFERROR(VLOOKUP(I258,FS_input_data!$C$1:$N$106,Export!J258,FALSE),""),K258)</f>
        <v>OPIS48_4_Opis_4</v>
      </c>
      <c r="D258" s="6" t="b">
        <v>1</v>
      </c>
      <c r="E258" t="s">
        <v>1561</v>
      </c>
      <c r="F258" s="6" t="s">
        <v>2226</v>
      </c>
      <c r="G258" s="6" t="b">
        <f>VLOOKUP($I$250,FS_input_data!$C$1:$N$106,Export!$J$250,FALSE)=""</f>
        <v>0</v>
      </c>
      <c r="H258" s="6" t="s">
        <v>2210</v>
      </c>
      <c r="I258" t="s">
        <v>977</v>
      </c>
      <c r="J258">
        <v>2</v>
      </c>
      <c r="L258" s="9" t="e">
        <f t="shared" ref="L258:L321" si="9">FIND("/",B258)</f>
        <v>#VALUE!</v>
      </c>
      <c r="M258" s="10"/>
      <c r="N258" s="10"/>
    </row>
    <row r="259" spans="1:14" x14ac:dyDescent="0.35">
      <c r="A259">
        <f t="shared" ref="A259:A322" si="10">A258+1</f>
        <v>258</v>
      </c>
      <c r="B259" t="s">
        <v>104</v>
      </c>
      <c r="C259" s="109" t="str">
        <f>IF(ISBLANK(K259),IFERROR(VLOOKUP(I259,FS_input_data!$C$1:$N$106,Export!J259,FALSE),""),K259)</f>
        <v/>
      </c>
      <c r="D259" s="6"/>
      <c r="E259" t="s">
        <v>1561</v>
      </c>
      <c r="F259" s="6" t="s">
        <v>2226</v>
      </c>
      <c r="G259" s="6" t="b">
        <f>VLOOKUP($I$250,FS_input_data!$C$1:$N$106,Export!$J$250,FALSE)=""</f>
        <v>0</v>
      </c>
      <c r="H259" s="6" t="s">
        <v>2210</v>
      </c>
      <c r="I259" t="s">
        <v>1561</v>
      </c>
      <c r="J259" t="s">
        <v>1561</v>
      </c>
      <c r="L259">
        <f t="shared" si="9"/>
        <v>1</v>
      </c>
      <c r="M259" s="10"/>
      <c r="N259" s="10"/>
    </row>
    <row r="260" spans="1:14" x14ac:dyDescent="0.35">
      <c r="A260" s="9">
        <f t="shared" si="10"/>
        <v>259</v>
      </c>
      <c r="B260" t="s">
        <v>103</v>
      </c>
      <c r="C260" s="109" t="str">
        <f>IF(ISBLANK(K260),IFERROR(VLOOKUP(I260,FS_input_data!$C$1:$N$106,Export!J260,FALSE),""),K260)</f>
        <v>OPIS58_4_Opis_5</v>
      </c>
      <c r="D260" s="6" t="b">
        <v>1</v>
      </c>
      <c r="E260" t="s">
        <v>1561</v>
      </c>
      <c r="F260" s="6" t="s">
        <v>2226</v>
      </c>
      <c r="G260" s="6" t="b">
        <f>VLOOKUP($I$250,FS_input_data!$C$1:$N$106,Export!$J$250,FALSE)=""</f>
        <v>0</v>
      </c>
      <c r="H260" s="6" t="s">
        <v>2210</v>
      </c>
      <c r="I260" t="s">
        <v>979</v>
      </c>
      <c r="J260">
        <v>2</v>
      </c>
      <c r="L260" s="9" t="e">
        <f t="shared" si="9"/>
        <v>#VALUE!</v>
      </c>
      <c r="M260" s="10"/>
      <c r="N260" s="10"/>
    </row>
    <row r="261" spans="1:14" x14ac:dyDescent="0.35">
      <c r="A261">
        <f t="shared" si="10"/>
        <v>260</v>
      </c>
      <c r="B261" t="s">
        <v>104</v>
      </c>
      <c r="C261" s="109" t="str">
        <f>IF(ISBLANK(K261),IFERROR(VLOOKUP(I261,FS_input_data!$C$1:$N$106,Export!J261,FALSE),""),K261)</f>
        <v/>
      </c>
      <c r="D261" s="6"/>
      <c r="E261" t="s">
        <v>1561</v>
      </c>
      <c r="F261" s="6" t="s">
        <v>2226</v>
      </c>
      <c r="G261" s="6" t="b">
        <f>VLOOKUP($I$250,FS_input_data!$C$1:$N$106,Export!$J$250,FALSE)=""</f>
        <v>0</v>
      </c>
      <c r="H261" s="6" t="s">
        <v>2210</v>
      </c>
      <c r="I261" t="s">
        <v>1561</v>
      </c>
      <c r="J261" t="s">
        <v>1561</v>
      </c>
      <c r="L261">
        <f t="shared" si="9"/>
        <v>1</v>
      </c>
      <c r="M261" s="10"/>
      <c r="N261" s="10"/>
    </row>
    <row r="262" spans="1:14" x14ac:dyDescent="0.35">
      <c r="A262">
        <f t="shared" si="10"/>
        <v>261</v>
      </c>
      <c r="B262" t="s">
        <v>105</v>
      </c>
      <c r="C262" s="109" t="str">
        <f>IF(ISBLANK(K262),IFERROR(VLOOKUP(I262,FS_input_data!$C$1:$N$106,Export!J262,FALSE),""),K262)</f>
        <v/>
      </c>
      <c r="D262" s="6"/>
      <c r="E262" t="s">
        <v>1561</v>
      </c>
      <c r="F262" s="6" t="s">
        <v>2226</v>
      </c>
      <c r="G262" s="6" t="b">
        <f>VLOOKUP($I$250,FS_input_data!$C$1:$N$106,Export!$J$250,FALSE)=""</f>
        <v>0</v>
      </c>
      <c r="H262" s="6" t="s">
        <v>2210</v>
      </c>
      <c r="I262" t="s">
        <v>1561</v>
      </c>
      <c r="J262" t="s">
        <v>1561</v>
      </c>
      <c r="L262">
        <f t="shared" si="9"/>
        <v>1</v>
      </c>
      <c r="M262" s="10"/>
      <c r="N262" s="10"/>
    </row>
    <row r="263" spans="1:14" ht="15.75" customHeight="1" x14ac:dyDescent="0.35">
      <c r="A263">
        <f t="shared" si="10"/>
        <v>262</v>
      </c>
      <c r="B263" t="s">
        <v>106</v>
      </c>
      <c r="C263" s="109" t="str">
        <f>IF(ISBLANK(K263),IFERROR(VLOOKUP(I263,FS_input_data!$C$1:$N$106,Export!J263,FALSE),""),K263)</f>
        <v/>
      </c>
      <c r="D263" s="6"/>
      <c r="E263" t="s">
        <v>1561</v>
      </c>
      <c r="F263" s="6"/>
      <c r="G263" s="6"/>
      <c r="H263" s="6" t="s">
        <v>2210</v>
      </c>
      <c r="I263" t="s">
        <v>1561</v>
      </c>
      <c r="J263" t="s">
        <v>1561</v>
      </c>
      <c r="L263">
        <f t="shared" si="9"/>
        <v>1</v>
      </c>
      <c r="M263" s="10"/>
      <c r="N263" s="10"/>
    </row>
    <row r="264" spans="1:14" x14ac:dyDescent="0.35">
      <c r="A264">
        <f t="shared" si="10"/>
        <v>263</v>
      </c>
      <c r="B264" t="s">
        <v>107</v>
      </c>
      <c r="C264" s="109" t="str">
        <f>IF(ISBLANK(K264),IFERROR(VLOOKUP(I264,FS_input_data!$C$107:$N$306,Export!J264,FALSE),""),K264)</f>
        <v/>
      </c>
      <c r="D264" s="6"/>
      <c r="E264" t="s">
        <v>1561</v>
      </c>
      <c r="F264" s="6"/>
      <c r="G264" s="6"/>
      <c r="H264" s="6" t="s">
        <v>2211</v>
      </c>
      <c r="I264" t="s">
        <v>1561</v>
      </c>
      <c r="J264" t="s">
        <v>1561</v>
      </c>
      <c r="L264" s="9" t="e">
        <f t="shared" si="9"/>
        <v>#VALUE!</v>
      </c>
      <c r="M264" s="10"/>
      <c r="N264" s="10"/>
    </row>
    <row r="265" spans="1:14" x14ac:dyDescent="0.35">
      <c r="A265">
        <f t="shared" si="10"/>
        <v>264</v>
      </c>
      <c r="B265" t="s">
        <v>108</v>
      </c>
      <c r="C265" s="109" t="str">
        <f>IF(ISBLANK(K265),IFERROR(VLOOKUP(I265,FS_input_data!$C$107:$N$306,Export!J265,FALSE),""),K265)</f>
        <v/>
      </c>
      <c r="D265" s="6"/>
      <c r="E265" t="s">
        <v>985</v>
      </c>
      <c r="F265" s="6"/>
      <c r="G265" s="6"/>
      <c r="H265" s="6" t="s">
        <v>2211</v>
      </c>
      <c r="I265" t="s">
        <v>1561</v>
      </c>
      <c r="J265" t="s">
        <v>1561</v>
      </c>
      <c r="L265" s="26" t="e">
        <f t="shared" si="9"/>
        <v>#VALUE!</v>
      </c>
      <c r="M265" s="10"/>
      <c r="N265" s="10"/>
    </row>
    <row r="266" spans="1:14" x14ac:dyDescent="0.35">
      <c r="A266" s="9">
        <f t="shared" si="10"/>
        <v>265</v>
      </c>
      <c r="B266" t="s">
        <v>109</v>
      </c>
      <c r="C266" s="109">
        <f>IF(ISBLANK(K266),IFERROR(VLOOKUP(I266,FS_input_data!$C$107:$N$306,Export!J266,FALSE),""),K266)</f>
        <v>2613</v>
      </c>
      <c r="D266" s="6" t="b">
        <v>1</v>
      </c>
      <c r="F266" s="6"/>
      <c r="G266" s="6"/>
      <c r="H266" s="6" t="s">
        <v>2211</v>
      </c>
      <c r="I266" t="s">
        <v>985</v>
      </c>
      <c r="J266">
        <v>3</v>
      </c>
      <c r="L266" s="9" t="e">
        <f t="shared" si="9"/>
        <v>#VALUE!</v>
      </c>
      <c r="M266" s="10"/>
      <c r="N266" s="10"/>
    </row>
    <row r="267" spans="1:14" x14ac:dyDescent="0.35">
      <c r="A267">
        <f t="shared" si="10"/>
        <v>266</v>
      </c>
      <c r="B267" t="s">
        <v>110</v>
      </c>
      <c r="C267" s="109" t="str">
        <f>IF(ISBLANK(K267),IFERROR(VLOOKUP(I267,FS_input_data!$C$107:$N$306,Export!J267,FALSE),""),K267)</f>
        <v/>
      </c>
      <c r="D267" s="6"/>
      <c r="E267" t="s">
        <v>1561</v>
      </c>
      <c r="F267" s="6"/>
      <c r="G267" s="6"/>
      <c r="H267" s="6" t="s">
        <v>2211</v>
      </c>
      <c r="I267" t="s">
        <v>1561</v>
      </c>
      <c r="J267" t="s">
        <v>1561</v>
      </c>
      <c r="L267">
        <f t="shared" si="9"/>
        <v>1</v>
      </c>
      <c r="M267" s="10"/>
      <c r="N267" s="10"/>
    </row>
    <row r="268" spans="1:14" x14ac:dyDescent="0.35">
      <c r="A268" s="9">
        <f t="shared" si="10"/>
        <v>267</v>
      </c>
      <c r="B268" t="s">
        <v>111</v>
      </c>
      <c r="C268" s="109">
        <f>IF(ISBLANK(K268),IFERROR(VLOOKUP(I268,FS_input_data!$C$107:$N$306,Export!J268,FALSE),""),K268)</f>
        <v>8613</v>
      </c>
      <c r="D268" s="6" t="b">
        <v>1</v>
      </c>
      <c r="F268" s="6"/>
      <c r="G268" s="6"/>
      <c r="H268" s="6" t="s">
        <v>2211</v>
      </c>
      <c r="I268" t="s">
        <v>985</v>
      </c>
      <c r="J268">
        <v>4</v>
      </c>
      <c r="L268" s="9" t="e">
        <f t="shared" si="9"/>
        <v>#VALUE!</v>
      </c>
      <c r="M268" s="10"/>
      <c r="N268" s="10"/>
    </row>
    <row r="269" spans="1:14" x14ac:dyDescent="0.35">
      <c r="A269">
        <f t="shared" si="10"/>
        <v>268</v>
      </c>
      <c r="B269" t="s">
        <v>112</v>
      </c>
      <c r="C269" s="109" t="str">
        <f>IF(ISBLANK(K269),IFERROR(VLOOKUP(I269,FS_input_data!$C$107:$N$306,Export!J269,FALSE),""),K269)</f>
        <v/>
      </c>
      <c r="D269" s="6"/>
      <c r="E269" t="s">
        <v>1561</v>
      </c>
      <c r="F269" s="6"/>
      <c r="G269" s="6"/>
      <c r="H269" s="6" t="s">
        <v>2211</v>
      </c>
      <c r="I269" t="s">
        <v>1561</v>
      </c>
      <c r="J269" t="s">
        <v>1561</v>
      </c>
      <c r="L269">
        <f t="shared" si="9"/>
        <v>1</v>
      </c>
      <c r="M269" s="10"/>
      <c r="N269" s="10"/>
    </row>
    <row r="270" spans="1:14" x14ac:dyDescent="0.35">
      <c r="A270">
        <f t="shared" si="10"/>
        <v>269</v>
      </c>
      <c r="B270" t="s">
        <v>113</v>
      </c>
      <c r="C270" s="109" t="str">
        <f>IF(ISBLANK(K270),IFERROR(VLOOKUP(I270,FS_input_data!$C$107:$N$306,Export!J270,FALSE),""),K270)</f>
        <v/>
      </c>
      <c r="D270" s="6"/>
      <c r="E270" t="s">
        <v>988</v>
      </c>
      <c r="F270" s="6"/>
      <c r="G270" s="6"/>
      <c r="H270" s="6" t="s">
        <v>2211</v>
      </c>
      <c r="I270" t="s">
        <v>1561</v>
      </c>
      <c r="J270" t="s">
        <v>1561</v>
      </c>
      <c r="L270" s="26" t="e">
        <f t="shared" si="9"/>
        <v>#VALUE!</v>
      </c>
      <c r="M270" s="10"/>
      <c r="N270" s="10"/>
    </row>
    <row r="271" spans="1:14" x14ac:dyDescent="0.35">
      <c r="A271" s="9">
        <f t="shared" si="10"/>
        <v>270</v>
      </c>
      <c r="B271" t="s">
        <v>109</v>
      </c>
      <c r="C271" s="109">
        <f>IF(ISBLANK(K271),IFERROR(VLOOKUP(I271,FS_input_data!$C$107:$N$306,Export!J271,FALSE),""),K271)</f>
        <v>699</v>
      </c>
      <c r="D271" s="6" t="b">
        <v>1</v>
      </c>
      <c r="F271" s="6"/>
      <c r="G271" s="6"/>
      <c r="H271" s="6" t="s">
        <v>2211</v>
      </c>
      <c r="I271" t="s">
        <v>987</v>
      </c>
      <c r="J271">
        <v>3</v>
      </c>
      <c r="L271" s="9" t="e">
        <f t="shared" si="9"/>
        <v>#VALUE!</v>
      </c>
      <c r="M271" s="10"/>
      <c r="N271" s="10"/>
    </row>
    <row r="272" spans="1:14" x14ac:dyDescent="0.35">
      <c r="A272">
        <f t="shared" si="10"/>
        <v>271</v>
      </c>
      <c r="B272" t="s">
        <v>110</v>
      </c>
      <c r="C272" s="109" t="str">
        <f>IF(ISBLANK(K272),IFERROR(VLOOKUP(I272,FS_input_data!$C$107:$N$306,Export!J272,FALSE),""),K272)</f>
        <v/>
      </c>
      <c r="D272" s="6"/>
      <c r="E272" t="s">
        <v>1561</v>
      </c>
      <c r="F272" s="6"/>
      <c r="G272" s="6"/>
      <c r="H272" s="6" t="s">
        <v>2211</v>
      </c>
      <c r="I272" t="s">
        <v>1561</v>
      </c>
      <c r="J272" t="s">
        <v>1561</v>
      </c>
      <c r="L272">
        <f t="shared" si="9"/>
        <v>1</v>
      </c>
      <c r="M272" s="10"/>
      <c r="N272" s="10"/>
    </row>
    <row r="273" spans="1:15" x14ac:dyDescent="0.35">
      <c r="A273" s="9">
        <f t="shared" si="10"/>
        <v>272</v>
      </c>
      <c r="B273" t="s">
        <v>111</v>
      </c>
      <c r="C273" s="109">
        <f>IF(ISBLANK(K273),IFERROR(VLOOKUP(I273,FS_input_data!$C$107:$N$306,Export!J273,FALSE),""),K273)</f>
        <v>3799</v>
      </c>
      <c r="D273" s="6" t="b">
        <v>1</v>
      </c>
      <c r="F273" s="6"/>
      <c r="G273" s="6"/>
      <c r="H273" s="6" t="s">
        <v>2211</v>
      </c>
      <c r="I273" t="s">
        <v>987</v>
      </c>
      <c r="J273">
        <v>4</v>
      </c>
      <c r="L273" s="9" t="e">
        <f t="shared" si="9"/>
        <v>#VALUE!</v>
      </c>
      <c r="M273" s="10"/>
      <c r="N273" s="10"/>
    </row>
    <row r="274" spans="1:15" x14ac:dyDescent="0.35">
      <c r="A274">
        <f t="shared" si="10"/>
        <v>273</v>
      </c>
      <c r="B274" t="s">
        <v>112</v>
      </c>
      <c r="C274" s="109" t="str">
        <f>IF(ISBLANK(K274),IFERROR(VLOOKUP(I274,FS_input_data!$C$107:$N$306,Export!J274,FALSE),""),K274)</f>
        <v/>
      </c>
      <c r="D274" s="6"/>
      <c r="E274" t="s">
        <v>1561</v>
      </c>
      <c r="F274" s="6"/>
      <c r="G274" s="6"/>
      <c r="H274" s="6" t="s">
        <v>2211</v>
      </c>
      <c r="I274" t="s">
        <v>1561</v>
      </c>
      <c r="J274" t="s">
        <v>1561</v>
      </c>
      <c r="L274">
        <f t="shared" si="9"/>
        <v>1</v>
      </c>
      <c r="M274" s="10"/>
      <c r="N274" s="10"/>
    </row>
    <row r="275" spans="1:15" x14ac:dyDescent="0.35">
      <c r="A275">
        <f t="shared" si="10"/>
        <v>274</v>
      </c>
      <c r="B275" t="s">
        <v>114</v>
      </c>
      <c r="C275" s="109" t="str">
        <f>IF(ISBLANK(K275),IFERROR(VLOOKUP(I275,FS_input_data!$C$107:$N$306,Export!J275,FALSE),""),K275)</f>
        <v/>
      </c>
      <c r="D275" s="6"/>
      <c r="E275" t="s">
        <v>991</v>
      </c>
      <c r="F275" s="6"/>
      <c r="G275" s="6"/>
      <c r="H275" s="6" t="s">
        <v>2211</v>
      </c>
      <c r="I275" t="s">
        <v>1561</v>
      </c>
      <c r="J275" t="s">
        <v>1561</v>
      </c>
      <c r="L275" s="26" t="e">
        <f t="shared" si="9"/>
        <v>#VALUE!</v>
      </c>
      <c r="M275" s="10"/>
      <c r="N275" s="10"/>
    </row>
    <row r="276" spans="1:15" x14ac:dyDescent="0.35">
      <c r="A276" s="9">
        <f t="shared" si="10"/>
        <v>275</v>
      </c>
      <c r="B276" t="s">
        <v>109</v>
      </c>
      <c r="C276" s="109">
        <f>IF(ISBLANK(K276),IFERROR(VLOOKUP(I276,FS_input_data!$C$107:$N$306,Export!J276,FALSE),""),K276)</f>
        <v>18</v>
      </c>
      <c r="D276" s="6" t="b">
        <v>1</v>
      </c>
      <c r="F276" s="6"/>
      <c r="G276" s="6"/>
      <c r="H276" s="6" t="s">
        <v>2211</v>
      </c>
      <c r="I276" t="s">
        <v>990</v>
      </c>
      <c r="J276">
        <v>3</v>
      </c>
      <c r="L276" s="9" t="e">
        <f t="shared" si="9"/>
        <v>#VALUE!</v>
      </c>
      <c r="M276" s="10"/>
      <c r="N276" s="10"/>
    </row>
    <row r="277" spans="1:15" x14ac:dyDescent="0.35">
      <c r="A277">
        <f t="shared" si="10"/>
        <v>276</v>
      </c>
      <c r="B277" t="s">
        <v>110</v>
      </c>
      <c r="C277" s="109" t="str">
        <f>IF(ISBLANK(K277),IFERROR(VLOOKUP(I277,FS_input_data!$C$107:$N$306,Export!J277,FALSE),""),K277)</f>
        <v/>
      </c>
      <c r="D277" s="6"/>
      <c r="E277" t="s">
        <v>1561</v>
      </c>
      <c r="F277" s="6"/>
      <c r="G277" s="6"/>
      <c r="H277" s="6" t="s">
        <v>2211</v>
      </c>
      <c r="I277" t="s">
        <v>1561</v>
      </c>
      <c r="J277" t="s">
        <v>1561</v>
      </c>
      <c r="L277">
        <f t="shared" si="9"/>
        <v>1</v>
      </c>
      <c r="M277" s="10"/>
      <c r="N277" s="10"/>
    </row>
    <row r="278" spans="1:15" x14ac:dyDescent="0.35">
      <c r="A278" s="9">
        <f t="shared" si="10"/>
        <v>277</v>
      </c>
      <c r="B278" t="s">
        <v>111</v>
      </c>
      <c r="C278" s="109">
        <f>IF(ISBLANK(K278),IFERROR(VLOOKUP(I278,FS_input_data!$C$107:$N$306,Export!J278,FALSE),""),K278)</f>
        <v>418</v>
      </c>
      <c r="D278" s="6" t="b">
        <v>1</v>
      </c>
      <c r="F278" s="6"/>
      <c r="G278" s="6"/>
      <c r="H278" s="6" t="s">
        <v>2211</v>
      </c>
      <c r="I278" t="s">
        <v>990</v>
      </c>
      <c r="J278">
        <v>4</v>
      </c>
      <c r="L278" s="9" t="e">
        <f t="shared" si="9"/>
        <v>#VALUE!</v>
      </c>
      <c r="M278" s="10"/>
      <c r="N278" s="10"/>
    </row>
    <row r="279" spans="1:15" x14ac:dyDescent="0.35">
      <c r="A279">
        <f t="shared" si="10"/>
        <v>278</v>
      </c>
      <c r="B279" t="s">
        <v>112</v>
      </c>
      <c r="C279" s="109" t="str">
        <f>IF(ISBLANK(K279),IFERROR(VLOOKUP(I279,FS_input_data!$C$107:$N$306,Export!J279,FALSE),""),K279)</f>
        <v/>
      </c>
      <c r="D279" s="6"/>
      <c r="E279" t="s">
        <v>1561</v>
      </c>
      <c r="F279" s="6"/>
      <c r="G279" s="6"/>
      <c r="H279" s="6" t="s">
        <v>2211</v>
      </c>
      <c r="I279" t="s">
        <v>1561</v>
      </c>
      <c r="J279" t="s">
        <v>1561</v>
      </c>
      <c r="L279">
        <f t="shared" si="9"/>
        <v>1</v>
      </c>
      <c r="M279" s="10"/>
      <c r="N279" s="10"/>
      <c r="O279" s="8">
        <f>FS_input_data!$E$111</f>
        <v>4</v>
      </c>
    </row>
    <row r="280" spans="1:15" x14ac:dyDescent="0.35">
      <c r="A280">
        <f t="shared" si="10"/>
        <v>279</v>
      </c>
      <c r="B280" t="s">
        <v>115</v>
      </c>
      <c r="C280" s="109" t="str">
        <f>IF(ISBLANK(K280),IFERROR(VLOOKUP(I280,FS_input_data!$C$107:$N$306,Export!J280,FALSE),""),K280)</f>
        <v/>
      </c>
      <c r="D280" s="6"/>
      <c r="E280" t="s">
        <v>994</v>
      </c>
      <c r="F280" s="6"/>
      <c r="G280" s="6"/>
      <c r="H280" s="6" t="s">
        <v>2211</v>
      </c>
      <c r="I280" t="s">
        <v>1561</v>
      </c>
      <c r="J280" t="s">
        <v>1561</v>
      </c>
      <c r="L280" s="26" t="e">
        <f t="shared" si="9"/>
        <v>#VALUE!</v>
      </c>
      <c r="M280" s="10"/>
      <c r="N280" s="10"/>
      <c r="O280" s="8">
        <f>FS_input_data!$F$111</f>
        <v>104</v>
      </c>
    </row>
    <row r="281" spans="1:15" x14ac:dyDescent="0.35">
      <c r="A281" s="9">
        <f t="shared" si="10"/>
        <v>280</v>
      </c>
      <c r="B281" t="s">
        <v>109</v>
      </c>
      <c r="C281" s="109">
        <f>IF(ISBLANK(K281),IFERROR(VLOOKUP(I281,FS_input_data!$C$107:$N$306,Export!J281,FALSE),""),K281)</f>
        <v>3</v>
      </c>
      <c r="D281" s="6" t="b">
        <v>1</v>
      </c>
      <c r="F281" s="6"/>
      <c r="G281" s="6"/>
      <c r="H281" s="6" t="s">
        <v>2211</v>
      </c>
      <c r="I281" t="s">
        <v>993</v>
      </c>
      <c r="J281">
        <v>3</v>
      </c>
      <c r="L281" s="9" t="e">
        <f t="shared" si="9"/>
        <v>#VALUE!</v>
      </c>
      <c r="M281" s="10"/>
      <c r="N281" s="10"/>
      <c r="O281" s="8">
        <f>FS_input_data!$E$112</f>
        <v>5</v>
      </c>
    </row>
    <row r="282" spans="1:15" x14ac:dyDescent="0.35">
      <c r="A282">
        <f t="shared" si="10"/>
        <v>281</v>
      </c>
      <c r="B282" t="s">
        <v>110</v>
      </c>
      <c r="C282" s="109" t="str">
        <f>IF(ISBLANK(K282),IFERROR(VLOOKUP(I282,FS_input_data!$C$107:$N$306,Export!J282,FALSE),""),K282)</f>
        <v/>
      </c>
      <c r="D282" s="6"/>
      <c r="E282" t="s">
        <v>1561</v>
      </c>
      <c r="F282" s="6"/>
      <c r="G282" s="6"/>
      <c r="H282" s="6" t="s">
        <v>2211</v>
      </c>
      <c r="I282" t="s">
        <v>1561</v>
      </c>
      <c r="J282" t="s">
        <v>1561</v>
      </c>
      <c r="L282">
        <f t="shared" si="9"/>
        <v>1</v>
      </c>
      <c r="M282" s="10"/>
      <c r="N282" s="10"/>
      <c r="O282" s="8">
        <f>FS_input_data!$F$112</f>
        <v>105</v>
      </c>
    </row>
    <row r="283" spans="1:15" x14ac:dyDescent="0.35">
      <c r="A283" s="9">
        <f t="shared" si="10"/>
        <v>282</v>
      </c>
      <c r="B283" t="s">
        <v>111</v>
      </c>
      <c r="C283" s="109">
        <f>IF(ISBLANK(K283),IFERROR(VLOOKUP(I283,FS_input_data!$C$107:$N$306,Export!J283,FALSE),""),K283)</f>
        <v>103</v>
      </c>
      <c r="D283" s="6" t="b">
        <v>1</v>
      </c>
      <c r="F283" s="6"/>
      <c r="G283" s="6"/>
      <c r="H283" s="6" t="s">
        <v>2211</v>
      </c>
      <c r="I283" t="s">
        <v>993</v>
      </c>
      <c r="J283">
        <v>4</v>
      </c>
      <c r="L283" s="9" t="e">
        <f t="shared" si="9"/>
        <v>#VALUE!</v>
      </c>
      <c r="M283" s="10"/>
      <c r="N283" s="10"/>
      <c r="O283" s="8">
        <f>FS_input_data!$E$113</f>
        <v>6</v>
      </c>
    </row>
    <row r="284" spans="1:15" x14ac:dyDescent="0.35">
      <c r="A284">
        <f t="shared" si="10"/>
        <v>283</v>
      </c>
      <c r="B284" t="s">
        <v>112</v>
      </c>
      <c r="C284" s="109" t="str">
        <f>IF(ISBLANK(K284),IFERROR(VLOOKUP(I284,FS_input_data!$C$107:$N$306,Export!J284,FALSE),""),K284)</f>
        <v/>
      </c>
      <c r="D284" s="6"/>
      <c r="E284" t="s">
        <v>1561</v>
      </c>
      <c r="F284" s="6"/>
      <c r="G284" s="6"/>
      <c r="H284" s="6" t="s">
        <v>2211</v>
      </c>
      <c r="I284" t="s">
        <v>1561</v>
      </c>
      <c r="J284" t="s">
        <v>1561</v>
      </c>
      <c r="L284">
        <f t="shared" si="9"/>
        <v>1</v>
      </c>
      <c r="M284" s="10"/>
      <c r="N284" s="10"/>
      <c r="O284" s="8">
        <f>FS_input_data!$F$113</f>
        <v>106</v>
      </c>
    </row>
    <row r="285" spans="1:15" x14ac:dyDescent="0.35">
      <c r="A285">
        <f t="shared" si="10"/>
        <v>284</v>
      </c>
      <c r="B285" t="s">
        <v>116</v>
      </c>
      <c r="C285" s="109" t="str">
        <f>IF(ISBLANK(K285),IFERROR(VLOOKUP(I285,FS_input_data!$C$107:$N$306,Export!J285,FALSE),""),K285)</f>
        <v/>
      </c>
      <c r="D285" s="6"/>
      <c r="E285" t="s">
        <v>1561</v>
      </c>
      <c r="F285" s="6"/>
      <c r="G285" s="6"/>
      <c r="H285" s="6" t="s">
        <v>2211</v>
      </c>
      <c r="I285" t="s">
        <v>1561</v>
      </c>
      <c r="J285" t="s">
        <v>1561</v>
      </c>
      <c r="L285">
        <f t="shared" si="9"/>
        <v>1</v>
      </c>
      <c r="M285" s="10"/>
      <c r="N285" s="11"/>
      <c r="O285" s="6" t="str">
        <f>IF("/"&amp;N314=N315,"","-")</f>
        <v>-</v>
      </c>
    </row>
    <row r="286" spans="1:15" x14ac:dyDescent="0.35">
      <c r="A286">
        <f t="shared" si="10"/>
        <v>285</v>
      </c>
      <c r="B286" t="s">
        <v>117</v>
      </c>
      <c r="C286" s="109" t="str">
        <f>IF(ISBLANK(K286),IFERROR(VLOOKUP(I286,FS_input_data!$C$107:$N$306,Export!J286,FALSE),""),K286)</f>
        <v/>
      </c>
      <c r="D286" s="6"/>
      <c r="E286" t="s">
        <v>997</v>
      </c>
      <c r="F286" s="6"/>
      <c r="G286" s="6"/>
      <c r="H286" s="6" t="s">
        <v>2211</v>
      </c>
      <c r="I286" t="s">
        <v>1561</v>
      </c>
      <c r="J286" t="s">
        <v>1561</v>
      </c>
      <c r="L286" s="26" t="e">
        <f t="shared" si="9"/>
        <v>#VALUE!</v>
      </c>
      <c r="M286" s="10"/>
      <c r="N286" s="10"/>
      <c r="O286" s="6" t="str">
        <f>IF("/"&amp;N315=N316,"","-")</f>
        <v>-</v>
      </c>
    </row>
    <row r="287" spans="1:15" x14ac:dyDescent="0.35">
      <c r="A287" s="9">
        <f t="shared" si="10"/>
        <v>286</v>
      </c>
      <c r="B287" t="s">
        <v>109</v>
      </c>
      <c r="C287" s="109">
        <f>IF(ISBLANK(K287),IFERROR(VLOOKUP(I287,FS_input_data!$C$107:$N$306,Export!J287,FALSE),""),K287)</f>
        <v>4</v>
      </c>
      <c r="D287" s="6" t="b">
        <v>1</v>
      </c>
      <c r="F287" s="6"/>
      <c r="G287" s="6"/>
      <c r="H287" s="6" t="s">
        <v>2211</v>
      </c>
      <c r="I287" t="s">
        <v>996</v>
      </c>
      <c r="J287">
        <v>3</v>
      </c>
      <c r="L287" s="9" t="e">
        <f t="shared" si="9"/>
        <v>#VALUE!</v>
      </c>
      <c r="M287" s="10"/>
      <c r="N287" s="10"/>
      <c r="O287" s="8">
        <f>FS_input_data!$E$162</f>
        <v>55</v>
      </c>
    </row>
    <row r="288" spans="1:15" x14ac:dyDescent="0.35">
      <c r="A288">
        <f t="shared" si="10"/>
        <v>287</v>
      </c>
      <c r="B288" t="s">
        <v>110</v>
      </c>
      <c r="C288" s="109" t="str">
        <f>IF(ISBLANK(K288),IFERROR(VLOOKUP(I288,FS_input_data!$C$107:$N$306,Export!J288,FALSE),""),K288)</f>
        <v/>
      </c>
      <c r="D288" s="6"/>
      <c r="E288" t="s">
        <v>1561</v>
      </c>
      <c r="F288" s="6"/>
      <c r="G288" s="6"/>
      <c r="H288" s="6" t="s">
        <v>2211</v>
      </c>
      <c r="I288" t="s">
        <v>1561</v>
      </c>
      <c r="J288" t="s">
        <v>1561</v>
      </c>
      <c r="L288">
        <f t="shared" si="9"/>
        <v>1</v>
      </c>
      <c r="M288" s="10"/>
      <c r="N288" s="10"/>
      <c r="O288" s="8">
        <f>FS_input_data!$F$162</f>
        <v>155</v>
      </c>
    </row>
    <row r="289" spans="1:15" x14ac:dyDescent="0.35">
      <c r="A289" s="9">
        <f t="shared" si="10"/>
        <v>288</v>
      </c>
      <c r="B289" t="s">
        <v>111</v>
      </c>
      <c r="C289" s="109">
        <f>IF(ISBLANK(K289),IFERROR(VLOOKUP(I289,FS_input_data!$C$107:$N$306,Export!J289,FALSE),""),K289)</f>
        <v>104</v>
      </c>
      <c r="D289" s="6" t="b">
        <v>1</v>
      </c>
      <c r="F289" s="6"/>
      <c r="G289" s="6"/>
      <c r="H289" s="6" t="s">
        <v>2211</v>
      </c>
      <c r="I289" t="s">
        <v>996</v>
      </c>
      <c r="J289">
        <v>4</v>
      </c>
      <c r="L289" s="9" t="e">
        <f t="shared" si="9"/>
        <v>#VALUE!</v>
      </c>
      <c r="M289" s="10"/>
      <c r="N289" s="10"/>
      <c r="O289" s="8">
        <f>FS_input_data!$E$116</f>
        <v>9</v>
      </c>
    </row>
    <row r="290" spans="1:15" x14ac:dyDescent="0.35">
      <c r="A290">
        <f t="shared" si="10"/>
        <v>289</v>
      </c>
      <c r="B290" t="s">
        <v>112</v>
      </c>
      <c r="C290" s="109" t="str">
        <f>IF(ISBLANK(K290),IFERROR(VLOOKUP(I290,FS_input_data!$C$107:$N$306,Export!J290,FALSE),""),K290)</f>
        <v/>
      </c>
      <c r="D290" s="6"/>
      <c r="E290" t="s">
        <v>1561</v>
      </c>
      <c r="F290" s="6"/>
      <c r="G290" s="6"/>
      <c r="H290" s="6" t="s">
        <v>2211</v>
      </c>
      <c r="I290" t="s">
        <v>1561</v>
      </c>
      <c r="J290" t="s">
        <v>1561</v>
      </c>
      <c r="L290">
        <f t="shared" si="9"/>
        <v>1</v>
      </c>
      <c r="M290" s="10"/>
      <c r="N290" s="10"/>
    </row>
    <row r="291" spans="1:15" x14ac:dyDescent="0.35">
      <c r="A291">
        <f t="shared" si="10"/>
        <v>290</v>
      </c>
      <c r="B291" t="s">
        <v>118</v>
      </c>
      <c r="C291" s="109" t="str">
        <f>IF(ISBLANK(K291),IFERROR(VLOOKUP(I291,FS_input_data!$C$107:$N$306,Export!J291,FALSE),""),K291)</f>
        <v/>
      </c>
      <c r="D291" s="6"/>
      <c r="E291" t="s">
        <v>1561</v>
      </c>
      <c r="F291" s="6"/>
      <c r="G291" s="6"/>
      <c r="H291" s="6" t="s">
        <v>2211</v>
      </c>
      <c r="I291" t="s">
        <v>1561</v>
      </c>
      <c r="J291" t="s">
        <v>1561</v>
      </c>
      <c r="L291">
        <f t="shared" si="9"/>
        <v>1</v>
      </c>
      <c r="M291" s="10"/>
      <c r="N291" s="10"/>
    </row>
    <row r="292" spans="1:15" x14ac:dyDescent="0.35">
      <c r="A292">
        <f t="shared" si="10"/>
        <v>291</v>
      </c>
      <c r="B292" t="s">
        <v>119</v>
      </c>
      <c r="C292" s="109" t="str">
        <f>IF(ISBLANK(K292),IFERROR(VLOOKUP(I292,FS_input_data!$C$107:$N$306,Export!J292,FALSE),""),K292)</f>
        <v/>
      </c>
      <c r="D292" s="6"/>
      <c r="E292" t="s">
        <v>1000</v>
      </c>
      <c r="F292" s="6"/>
      <c r="G292" s="6"/>
      <c r="H292" s="6" t="s">
        <v>2211</v>
      </c>
      <c r="I292" t="s">
        <v>1561</v>
      </c>
      <c r="J292" t="s">
        <v>1561</v>
      </c>
      <c r="L292" s="26" t="e">
        <f t="shared" si="9"/>
        <v>#VALUE!</v>
      </c>
      <c r="M292" s="10"/>
      <c r="N292" s="10"/>
    </row>
    <row r="293" spans="1:15" x14ac:dyDescent="0.35">
      <c r="A293" s="9">
        <f t="shared" si="10"/>
        <v>292</v>
      </c>
      <c r="B293" t="s">
        <v>109</v>
      </c>
      <c r="C293" s="109">
        <f>IF(ISBLANK(K293),IFERROR(VLOOKUP(I293,FS_input_data!$C$107:$N$306,Export!J293,FALSE),""),K293)</f>
        <v>5</v>
      </c>
      <c r="D293" s="6" t="b">
        <v>1</v>
      </c>
      <c r="F293" s="6"/>
      <c r="G293" s="6"/>
      <c r="H293" s="6" t="s">
        <v>2211</v>
      </c>
      <c r="I293" t="s">
        <v>999</v>
      </c>
      <c r="J293">
        <v>3</v>
      </c>
      <c r="L293" s="9" t="e">
        <f t="shared" si="9"/>
        <v>#VALUE!</v>
      </c>
      <c r="M293" s="10"/>
      <c r="N293" s="10"/>
    </row>
    <row r="294" spans="1:15" x14ac:dyDescent="0.35">
      <c r="A294">
        <f t="shared" si="10"/>
        <v>293</v>
      </c>
      <c r="B294" t="s">
        <v>110</v>
      </c>
      <c r="C294" s="109" t="str">
        <f>IF(ISBLANK(K294),IFERROR(VLOOKUP(I294,FS_input_data!$C$107:$N$306,Export!J294,FALSE),""),K294)</f>
        <v/>
      </c>
      <c r="D294" s="6"/>
      <c r="E294" t="s">
        <v>1561</v>
      </c>
      <c r="F294" s="6"/>
      <c r="G294" s="6"/>
      <c r="H294" s="6" t="s">
        <v>2211</v>
      </c>
      <c r="I294" t="s">
        <v>1561</v>
      </c>
      <c r="J294" t="s">
        <v>1561</v>
      </c>
      <c r="L294">
        <f t="shared" si="9"/>
        <v>1</v>
      </c>
      <c r="M294" s="10"/>
      <c r="N294" s="10"/>
    </row>
    <row r="295" spans="1:15" x14ac:dyDescent="0.35">
      <c r="A295" s="9">
        <f t="shared" si="10"/>
        <v>294</v>
      </c>
      <c r="B295" t="s">
        <v>111</v>
      </c>
      <c r="C295" s="109">
        <f>IF(ISBLANK(K295),IFERROR(VLOOKUP(I295,FS_input_data!$C$107:$N$306,Export!J295,FALSE),""),K295)</f>
        <v>105</v>
      </c>
      <c r="D295" s="6" t="b">
        <v>1</v>
      </c>
      <c r="F295" s="6"/>
      <c r="G295" s="6"/>
      <c r="H295" s="6" t="s">
        <v>2211</v>
      </c>
      <c r="I295" t="s">
        <v>999</v>
      </c>
      <c r="J295">
        <v>4</v>
      </c>
      <c r="L295" s="9" t="e">
        <f t="shared" si="9"/>
        <v>#VALUE!</v>
      </c>
      <c r="M295" s="10"/>
      <c r="N295" s="10"/>
    </row>
    <row r="296" spans="1:15" x14ac:dyDescent="0.35">
      <c r="A296">
        <f t="shared" si="10"/>
        <v>295</v>
      </c>
      <c r="B296" t="s">
        <v>112</v>
      </c>
      <c r="C296" s="109" t="str">
        <f>IF(ISBLANK(K296),IFERROR(VLOOKUP(I296,FS_input_data!$C$107:$N$306,Export!J296,FALSE),""),K296)</f>
        <v/>
      </c>
      <c r="D296" s="6"/>
      <c r="E296" t="s">
        <v>1561</v>
      </c>
      <c r="F296" s="6"/>
      <c r="G296" s="6"/>
      <c r="H296" s="6" t="s">
        <v>2211</v>
      </c>
      <c r="I296" t="s">
        <v>1561</v>
      </c>
      <c r="J296" t="s">
        <v>1561</v>
      </c>
      <c r="L296">
        <f t="shared" si="9"/>
        <v>1</v>
      </c>
      <c r="M296" s="10"/>
      <c r="N296" s="10"/>
    </row>
    <row r="297" spans="1:15" x14ac:dyDescent="0.35">
      <c r="A297">
        <f t="shared" si="10"/>
        <v>296</v>
      </c>
      <c r="B297" t="s">
        <v>120</v>
      </c>
      <c r="C297" s="109" t="str">
        <f>IF(ISBLANK(K297),IFERROR(VLOOKUP(I297,FS_input_data!$C$107:$N$306,Export!J297,FALSE),""),K297)</f>
        <v/>
      </c>
      <c r="D297" s="6"/>
      <c r="E297" t="s">
        <v>1561</v>
      </c>
      <c r="F297" s="6"/>
      <c r="G297" s="6"/>
      <c r="H297" s="6" t="s">
        <v>2211</v>
      </c>
      <c r="I297" t="s">
        <v>1561</v>
      </c>
      <c r="J297" t="s">
        <v>1561</v>
      </c>
      <c r="L297">
        <f t="shared" si="9"/>
        <v>1</v>
      </c>
      <c r="M297" s="10"/>
      <c r="N297" s="10"/>
    </row>
    <row r="298" spans="1:15" x14ac:dyDescent="0.35">
      <c r="A298">
        <f t="shared" si="10"/>
        <v>297</v>
      </c>
      <c r="B298" t="s">
        <v>121</v>
      </c>
      <c r="C298" s="109" t="str">
        <f>IF(ISBLANK(K298),IFERROR(VLOOKUP(I298,FS_input_data!$C$107:$N$306,Export!J298,FALSE),""),K298)</f>
        <v/>
      </c>
      <c r="D298" s="6"/>
      <c r="E298" t="s">
        <v>1003</v>
      </c>
      <c r="F298" s="6"/>
      <c r="G298" s="6"/>
      <c r="H298" s="6" t="s">
        <v>2211</v>
      </c>
      <c r="I298" t="s">
        <v>1561</v>
      </c>
      <c r="J298" t="s">
        <v>1561</v>
      </c>
      <c r="L298" s="26" t="e">
        <f t="shared" si="9"/>
        <v>#VALUE!</v>
      </c>
      <c r="M298" s="10"/>
      <c r="N298" s="10"/>
    </row>
    <row r="299" spans="1:15" x14ac:dyDescent="0.35">
      <c r="A299" s="9">
        <f t="shared" si="10"/>
        <v>298</v>
      </c>
      <c r="B299" t="s">
        <v>109</v>
      </c>
      <c r="C299" s="109">
        <f>IF(ISBLANK(K299),IFERROR(VLOOKUP(I299,FS_input_data!$C$107:$N$306,Export!J299,FALSE),""),K299)</f>
        <v>6</v>
      </c>
      <c r="D299" s="6" t="b">
        <v>1</v>
      </c>
      <c r="F299" s="6"/>
      <c r="G299" s="6"/>
      <c r="H299" s="6" t="s">
        <v>2211</v>
      </c>
      <c r="I299" t="s">
        <v>1002</v>
      </c>
      <c r="J299">
        <v>3</v>
      </c>
      <c r="L299" s="9" t="e">
        <f t="shared" si="9"/>
        <v>#VALUE!</v>
      </c>
      <c r="M299" s="10"/>
      <c r="N299" s="10"/>
    </row>
    <row r="300" spans="1:15" x14ac:dyDescent="0.35">
      <c r="A300">
        <f t="shared" si="10"/>
        <v>299</v>
      </c>
      <c r="B300" t="s">
        <v>110</v>
      </c>
      <c r="C300" s="109" t="str">
        <f>IF(ISBLANK(K300),IFERROR(VLOOKUP(I300,FS_input_data!$C$107:$N$306,Export!J300,FALSE),""),K300)</f>
        <v/>
      </c>
      <c r="D300" s="6"/>
      <c r="E300" t="s">
        <v>1561</v>
      </c>
      <c r="F300" s="6"/>
      <c r="G300" s="6"/>
      <c r="H300" s="6" t="s">
        <v>2211</v>
      </c>
      <c r="I300" t="s">
        <v>1561</v>
      </c>
      <c r="J300" t="s">
        <v>1561</v>
      </c>
      <c r="L300">
        <f t="shared" si="9"/>
        <v>1</v>
      </c>
      <c r="M300" s="10"/>
      <c r="N300" s="10"/>
    </row>
    <row r="301" spans="1:15" x14ac:dyDescent="0.35">
      <c r="A301" s="9">
        <f t="shared" si="10"/>
        <v>300</v>
      </c>
      <c r="B301" t="s">
        <v>111</v>
      </c>
      <c r="C301" s="109">
        <f>IF(ISBLANK(K301),IFERROR(VLOOKUP(I301,FS_input_data!$C$107:$N$306,Export!J301,FALSE),""),K301)</f>
        <v>106</v>
      </c>
      <c r="D301" s="6" t="b">
        <v>1</v>
      </c>
      <c r="F301" s="6"/>
      <c r="G301" s="6"/>
      <c r="H301" s="6" t="s">
        <v>2211</v>
      </c>
      <c r="I301" t="s">
        <v>1002</v>
      </c>
      <c r="J301">
        <v>4</v>
      </c>
      <c r="L301" s="9" t="e">
        <f t="shared" si="9"/>
        <v>#VALUE!</v>
      </c>
      <c r="M301" s="10"/>
      <c r="N301" s="10"/>
    </row>
    <row r="302" spans="1:15" x14ac:dyDescent="0.35">
      <c r="A302">
        <f t="shared" si="10"/>
        <v>301</v>
      </c>
      <c r="B302" t="s">
        <v>112</v>
      </c>
      <c r="C302" s="109" t="str">
        <f>IF(ISBLANK(K302),IFERROR(VLOOKUP(I302,FS_input_data!$C$107:$N$306,Export!J302,FALSE),""),K302)</f>
        <v/>
      </c>
      <c r="D302" s="6"/>
      <c r="E302" t="s">
        <v>1561</v>
      </c>
      <c r="F302" s="6"/>
      <c r="G302" s="6"/>
      <c r="H302" s="6" t="s">
        <v>2211</v>
      </c>
      <c r="I302" t="s">
        <v>1561</v>
      </c>
      <c r="J302" t="s">
        <v>1561</v>
      </c>
      <c r="L302">
        <f t="shared" si="9"/>
        <v>1</v>
      </c>
      <c r="M302" s="10"/>
      <c r="N302" s="10"/>
    </row>
    <row r="303" spans="1:15" x14ac:dyDescent="0.35">
      <c r="A303">
        <f t="shared" si="10"/>
        <v>302</v>
      </c>
      <c r="B303" t="s">
        <v>122</v>
      </c>
      <c r="C303" s="109" t="str">
        <f>IF(ISBLANK(K303),IFERROR(VLOOKUP(I303,FS_input_data!$C$107:$N$306,Export!J303,FALSE),""),K303)</f>
        <v/>
      </c>
      <c r="D303" s="6"/>
      <c r="E303" t="s">
        <v>1561</v>
      </c>
      <c r="F303" s="6"/>
      <c r="G303" s="6"/>
      <c r="H303" s="6" t="s">
        <v>2211</v>
      </c>
      <c r="I303" t="s">
        <v>1561</v>
      </c>
      <c r="J303" t="s">
        <v>1561</v>
      </c>
      <c r="L303">
        <f t="shared" si="9"/>
        <v>1</v>
      </c>
      <c r="M303" s="10"/>
      <c r="N303" s="10"/>
    </row>
    <row r="304" spans="1:15" x14ac:dyDescent="0.35">
      <c r="A304">
        <f t="shared" si="10"/>
        <v>303</v>
      </c>
      <c r="B304" t="s">
        <v>123</v>
      </c>
      <c r="C304" s="109" t="str">
        <f>IF(ISBLANK(K304),IFERROR(VLOOKUP(I304,FS_input_data!$C$107:$N$306,Export!J304,FALSE),""),K304)</f>
        <v/>
      </c>
      <c r="D304" s="6"/>
      <c r="E304" t="s">
        <v>1561</v>
      </c>
      <c r="F304" s="6"/>
      <c r="G304" s="6"/>
      <c r="H304" s="6" t="s">
        <v>2211</v>
      </c>
      <c r="I304" t="s">
        <v>1561</v>
      </c>
      <c r="J304" t="s">
        <v>1561</v>
      </c>
      <c r="L304">
        <f t="shared" si="9"/>
        <v>1</v>
      </c>
      <c r="M304" s="10"/>
      <c r="N304" s="10"/>
    </row>
    <row r="305" spans="1:14" x14ac:dyDescent="0.35">
      <c r="A305">
        <f t="shared" si="10"/>
        <v>304</v>
      </c>
      <c r="B305" t="s">
        <v>124</v>
      </c>
      <c r="C305" s="109" t="str">
        <f>IF(ISBLANK(K305),IFERROR(VLOOKUP(I305,FS_input_data!$C$107:$N$306,Export!J305,FALSE),""),K305)</f>
        <v/>
      </c>
      <c r="D305" s="6"/>
      <c r="E305" t="s">
        <v>1006</v>
      </c>
      <c r="F305" s="6"/>
      <c r="G305" s="6"/>
      <c r="H305" s="6" t="s">
        <v>2211</v>
      </c>
      <c r="I305" t="s">
        <v>1561</v>
      </c>
      <c r="J305" t="s">
        <v>1561</v>
      </c>
      <c r="L305" s="26" t="e">
        <f t="shared" si="9"/>
        <v>#VALUE!</v>
      </c>
      <c r="M305" s="10"/>
      <c r="N305" s="10"/>
    </row>
    <row r="306" spans="1:14" x14ac:dyDescent="0.35">
      <c r="A306" s="9">
        <f t="shared" si="10"/>
        <v>305</v>
      </c>
      <c r="B306" t="s">
        <v>109</v>
      </c>
      <c r="C306" s="109">
        <f>IF(ISBLANK(K306),IFERROR(VLOOKUP(I306,FS_input_data!$C$107:$N$306,Export!J306,FALSE),""),K306)</f>
        <v>84</v>
      </c>
      <c r="D306" s="6" t="b">
        <v>1</v>
      </c>
      <c r="F306" s="6"/>
      <c r="G306" s="6"/>
      <c r="H306" s="6" t="s">
        <v>2211</v>
      </c>
      <c r="I306" t="s">
        <v>1005</v>
      </c>
      <c r="J306">
        <v>3</v>
      </c>
      <c r="L306" s="9" t="e">
        <f t="shared" si="9"/>
        <v>#VALUE!</v>
      </c>
      <c r="M306" s="10"/>
      <c r="N306" s="10"/>
    </row>
    <row r="307" spans="1:14" x14ac:dyDescent="0.35">
      <c r="A307">
        <f t="shared" si="10"/>
        <v>306</v>
      </c>
      <c r="B307" t="s">
        <v>110</v>
      </c>
      <c r="C307" s="109" t="str">
        <f>IF(ISBLANK(K307),IFERROR(VLOOKUP(I307,FS_input_data!$C$107:$N$306,Export!J307,FALSE),""),K307)</f>
        <v/>
      </c>
      <c r="D307" s="6"/>
      <c r="E307" t="s">
        <v>1561</v>
      </c>
      <c r="F307" s="6"/>
      <c r="G307" s="6"/>
      <c r="H307" s="6" t="s">
        <v>2211</v>
      </c>
      <c r="I307" t="s">
        <v>1561</v>
      </c>
      <c r="J307" t="s">
        <v>1561</v>
      </c>
      <c r="L307">
        <f t="shared" si="9"/>
        <v>1</v>
      </c>
      <c r="M307" s="10"/>
      <c r="N307" s="10"/>
    </row>
    <row r="308" spans="1:14" x14ac:dyDescent="0.35">
      <c r="A308" s="9">
        <f t="shared" si="10"/>
        <v>307</v>
      </c>
      <c r="B308" t="s">
        <v>111</v>
      </c>
      <c r="C308" s="109">
        <f>IF(ISBLANK(K308),IFERROR(VLOOKUP(I308,FS_input_data!$C$107:$N$306,Export!J308,FALSE),""),K308)</f>
        <v>784</v>
      </c>
      <c r="D308" s="6" t="b">
        <v>1</v>
      </c>
      <c r="F308" s="6"/>
      <c r="G308" s="6"/>
      <c r="H308" s="6" t="s">
        <v>2211</v>
      </c>
      <c r="I308" t="s">
        <v>1005</v>
      </c>
      <c r="J308">
        <v>4</v>
      </c>
      <c r="L308" s="9" t="e">
        <f t="shared" si="9"/>
        <v>#VALUE!</v>
      </c>
      <c r="M308" s="10"/>
      <c r="N308" s="10"/>
    </row>
    <row r="309" spans="1:14" x14ac:dyDescent="0.35">
      <c r="A309">
        <f t="shared" si="10"/>
        <v>308</v>
      </c>
      <c r="B309" t="s">
        <v>112</v>
      </c>
      <c r="C309" s="109" t="str">
        <f>IF(ISBLANK(K309),IFERROR(VLOOKUP(I309,FS_input_data!$C$107:$N$306,Export!J309,FALSE),""),K309)</f>
        <v/>
      </c>
      <c r="D309" s="6"/>
      <c r="E309" t="s">
        <v>1561</v>
      </c>
      <c r="F309" s="6"/>
      <c r="G309" s="6"/>
      <c r="H309" s="6" t="s">
        <v>2211</v>
      </c>
      <c r="I309" t="s">
        <v>1561</v>
      </c>
      <c r="J309" t="s">
        <v>1561</v>
      </c>
      <c r="L309">
        <f t="shared" si="9"/>
        <v>1</v>
      </c>
      <c r="M309" s="10"/>
      <c r="N309" s="10"/>
    </row>
    <row r="310" spans="1:14" x14ac:dyDescent="0.35">
      <c r="A310">
        <f t="shared" si="10"/>
        <v>309</v>
      </c>
      <c r="B310" t="s">
        <v>125</v>
      </c>
      <c r="C310" s="109" t="str">
        <f>IF(ISBLANK(K310),IFERROR(VLOOKUP(I310,FS_input_data!$C$107:$N$306,Export!J310,FALSE),""),K310)</f>
        <v/>
      </c>
      <c r="D310" s="6"/>
      <c r="E310" t="s">
        <v>1009</v>
      </c>
      <c r="F310" s="6"/>
      <c r="G310" s="6"/>
      <c r="H310" s="6" t="s">
        <v>2211</v>
      </c>
      <c r="I310" t="s">
        <v>1561</v>
      </c>
      <c r="J310" t="s">
        <v>1561</v>
      </c>
      <c r="L310" s="26" t="e">
        <f t="shared" si="9"/>
        <v>#VALUE!</v>
      </c>
      <c r="M310" s="10"/>
      <c r="N310" s="10"/>
    </row>
    <row r="311" spans="1:14" x14ac:dyDescent="0.35">
      <c r="A311" s="9">
        <f t="shared" si="10"/>
        <v>310</v>
      </c>
      <c r="B311" t="s">
        <v>109</v>
      </c>
      <c r="C311" s="109">
        <f>IF(ISBLANK(K311),IFERROR(VLOOKUP(I311,FS_input_data!$C$107:$N$306,Export!J311,FALSE),""),K311)</f>
        <v>55</v>
      </c>
      <c r="D311" s="6" t="b">
        <v>1</v>
      </c>
      <c r="F311" s="6"/>
      <c r="G311" s="6"/>
      <c r="H311" s="6" t="s">
        <v>2211</v>
      </c>
      <c r="I311" t="s">
        <v>1008</v>
      </c>
      <c r="J311">
        <v>3</v>
      </c>
      <c r="L311" s="9" t="e">
        <f t="shared" si="9"/>
        <v>#VALUE!</v>
      </c>
      <c r="M311" s="10"/>
      <c r="N311" s="10"/>
    </row>
    <row r="312" spans="1:14" x14ac:dyDescent="0.35">
      <c r="A312">
        <f t="shared" si="10"/>
        <v>311</v>
      </c>
      <c r="B312" t="s">
        <v>110</v>
      </c>
      <c r="C312" s="109" t="str">
        <f>IF(ISBLANK(K312),IFERROR(VLOOKUP(I312,FS_input_data!$C$107:$N$306,Export!J312,FALSE),""),K312)</f>
        <v/>
      </c>
      <c r="D312" s="6"/>
      <c r="E312" t="s">
        <v>1561</v>
      </c>
      <c r="F312" s="6"/>
      <c r="G312" s="6"/>
      <c r="H312" s="6" t="s">
        <v>2211</v>
      </c>
      <c r="I312" t="s">
        <v>1561</v>
      </c>
      <c r="J312" t="s">
        <v>1561</v>
      </c>
      <c r="L312">
        <f t="shared" si="9"/>
        <v>1</v>
      </c>
      <c r="M312" s="10"/>
      <c r="N312" s="10"/>
    </row>
    <row r="313" spans="1:14" x14ac:dyDescent="0.35">
      <c r="A313" s="9">
        <f t="shared" si="10"/>
        <v>312</v>
      </c>
      <c r="B313" t="s">
        <v>111</v>
      </c>
      <c r="C313" s="109">
        <f>IF(ISBLANK(K313),IFERROR(VLOOKUP(I313,FS_input_data!$C$107:$N$306,Export!J313,FALSE),""),K313)</f>
        <v>555</v>
      </c>
      <c r="D313" s="6" t="b">
        <v>1</v>
      </c>
      <c r="F313" s="6"/>
      <c r="G313" s="6"/>
      <c r="H313" s="6" t="s">
        <v>2211</v>
      </c>
      <c r="I313" t="s">
        <v>1008</v>
      </c>
      <c r="J313">
        <v>4</v>
      </c>
      <c r="L313" s="9" t="e">
        <f t="shared" si="9"/>
        <v>#VALUE!</v>
      </c>
      <c r="M313" s="10"/>
      <c r="N313" s="10"/>
    </row>
    <row r="314" spans="1:14" x14ac:dyDescent="0.35">
      <c r="A314">
        <f t="shared" si="10"/>
        <v>313</v>
      </c>
      <c r="B314" t="s">
        <v>112</v>
      </c>
      <c r="C314" s="109" t="str">
        <f>IF(ISBLANK(K314),IFERROR(VLOOKUP(I314,FS_input_data!$C$107:$N$306,Export!J314,FALSE),""),K314)</f>
        <v/>
      </c>
      <c r="D314" s="6"/>
      <c r="E314" t="s">
        <v>1561</v>
      </c>
      <c r="F314" s="6"/>
      <c r="G314" s="6"/>
      <c r="H314" s="6" t="s">
        <v>2211</v>
      </c>
      <c r="I314" t="s">
        <v>1561</v>
      </c>
      <c r="J314" t="s">
        <v>1561</v>
      </c>
      <c r="L314">
        <f t="shared" si="9"/>
        <v>1</v>
      </c>
      <c r="M314" s="10"/>
      <c r="N314" s="12"/>
    </row>
    <row r="315" spans="1:14" x14ac:dyDescent="0.35">
      <c r="A315">
        <f t="shared" si="10"/>
        <v>314</v>
      </c>
      <c r="B315" t="s">
        <v>126</v>
      </c>
      <c r="C315" s="109" t="str">
        <f>IF(ISBLANK(K315),IFERROR(VLOOKUP(I315,FS_input_data!$C$107:$N$306,Export!J315,FALSE),""),K315)</f>
        <v/>
      </c>
      <c r="D315" s="6"/>
      <c r="E315" t="s">
        <v>1012</v>
      </c>
      <c r="F315" s="6"/>
      <c r="G315" s="6"/>
      <c r="H315" s="6" t="s">
        <v>2211</v>
      </c>
      <c r="I315" t="s">
        <v>1561</v>
      </c>
      <c r="J315" t="s">
        <v>1561</v>
      </c>
      <c r="L315" s="26" t="e">
        <f t="shared" si="9"/>
        <v>#VALUE!</v>
      </c>
      <c r="M315" s="10"/>
      <c r="N315" s="10"/>
    </row>
    <row r="316" spans="1:14" x14ac:dyDescent="0.35">
      <c r="A316" s="9">
        <f t="shared" si="10"/>
        <v>315</v>
      </c>
      <c r="B316" t="s">
        <v>109</v>
      </c>
      <c r="C316" s="109">
        <f>IF(ISBLANK(K316),IFERROR(VLOOKUP(I316,FS_input_data!$C$107:$N$306,Export!J316,FALSE),""),K316)</f>
        <v>9</v>
      </c>
      <c r="D316" s="6" t="b">
        <v>1</v>
      </c>
      <c r="F316" s="6"/>
      <c r="G316" s="6"/>
      <c r="H316" s="6" t="s">
        <v>2211</v>
      </c>
      <c r="I316" t="s">
        <v>1011</v>
      </c>
      <c r="J316">
        <v>3</v>
      </c>
      <c r="L316" s="9" t="e">
        <f t="shared" si="9"/>
        <v>#VALUE!</v>
      </c>
      <c r="M316" s="10"/>
      <c r="N316" s="10"/>
    </row>
    <row r="317" spans="1:14" x14ac:dyDescent="0.35">
      <c r="A317">
        <f t="shared" si="10"/>
        <v>316</v>
      </c>
      <c r="B317" t="s">
        <v>110</v>
      </c>
      <c r="C317" s="109" t="str">
        <f>IF(ISBLANK(K317),IFERROR(VLOOKUP(I317,FS_input_data!$C$107:$N$306,Export!J317,FALSE),""),K317)</f>
        <v/>
      </c>
      <c r="D317" s="6"/>
      <c r="E317" t="s">
        <v>1561</v>
      </c>
      <c r="F317" s="6"/>
      <c r="G317" s="6"/>
      <c r="H317" s="6" t="s">
        <v>2211</v>
      </c>
      <c r="I317" t="s">
        <v>1561</v>
      </c>
      <c r="J317" t="s">
        <v>1561</v>
      </c>
      <c r="L317">
        <f t="shared" si="9"/>
        <v>1</v>
      </c>
      <c r="M317" s="10"/>
      <c r="N317" s="10"/>
    </row>
    <row r="318" spans="1:14" x14ac:dyDescent="0.35">
      <c r="A318" s="9">
        <f t="shared" si="10"/>
        <v>317</v>
      </c>
      <c r="B318" t="s">
        <v>111</v>
      </c>
      <c r="C318" s="109">
        <f>IF(ISBLANK(K318),IFERROR(VLOOKUP(I318,FS_input_data!$C$107:$N$306,Export!J318,FALSE),""),K318)</f>
        <v>109</v>
      </c>
      <c r="D318" s="6" t="b">
        <v>1</v>
      </c>
      <c r="F318" s="6"/>
      <c r="G318" s="6"/>
      <c r="H318" s="6" t="s">
        <v>2211</v>
      </c>
      <c r="I318" t="s">
        <v>1011</v>
      </c>
      <c r="J318">
        <v>4</v>
      </c>
      <c r="L318" s="9" t="e">
        <f t="shared" si="9"/>
        <v>#VALUE!</v>
      </c>
      <c r="M318" s="10"/>
      <c r="N318" s="10"/>
    </row>
    <row r="319" spans="1:14" x14ac:dyDescent="0.35">
      <c r="A319">
        <f t="shared" si="10"/>
        <v>318</v>
      </c>
      <c r="B319" t="s">
        <v>112</v>
      </c>
      <c r="C319" s="109" t="str">
        <f>IF(ISBLANK(K319),IFERROR(VLOOKUP(I319,FS_input_data!$C$107:$N$306,Export!J319,FALSE),""),K319)</f>
        <v/>
      </c>
      <c r="D319" s="6"/>
      <c r="E319" t="s">
        <v>1561</v>
      </c>
      <c r="F319" s="6"/>
      <c r="G319" s="6"/>
      <c r="H319" s="6" t="s">
        <v>2211</v>
      </c>
      <c r="I319" t="s">
        <v>1561</v>
      </c>
      <c r="J319" t="s">
        <v>1561</v>
      </c>
      <c r="L319">
        <f t="shared" si="9"/>
        <v>1</v>
      </c>
      <c r="M319" s="10"/>
      <c r="N319" s="12"/>
    </row>
    <row r="320" spans="1:14" x14ac:dyDescent="0.35">
      <c r="A320">
        <f t="shared" si="10"/>
        <v>319</v>
      </c>
      <c r="B320" t="s">
        <v>127</v>
      </c>
      <c r="C320" s="109" t="str">
        <f>IF(ISBLANK(K320),IFERROR(VLOOKUP(I320,FS_input_data!$C$107:$N$306,Export!J320,FALSE),""),K320)</f>
        <v/>
      </c>
      <c r="D320" s="6"/>
      <c r="E320" t="s">
        <v>1561</v>
      </c>
      <c r="F320" s="6"/>
      <c r="G320" s="6"/>
      <c r="H320" s="6" t="s">
        <v>2211</v>
      </c>
      <c r="I320" t="s">
        <v>1561</v>
      </c>
      <c r="J320" t="s">
        <v>1561</v>
      </c>
      <c r="L320">
        <f t="shared" si="9"/>
        <v>1</v>
      </c>
      <c r="M320" s="10"/>
      <c r="N320" s="10"/>
    </row>
    <row r="321" spans="1:14" x14ac:dyDescent="0.35">
      <c r="A321">
        <f t="shared" si="10"/>
        <v>320</v>
      </c>
      <c r="B321" t="s">
        <v>128</v>
      </c>
      <c r="C321" s="109" t="str">
        <f>IF(ISBLANK(K321),IFERROR(VLOOKUP(I321,FS_input_data!$C$107:$N$306,Export!J321,FALSE),""),K321)</f>
        <v/>
      </c>
      <c r="D321" s="6"/>
      <c r="E321" t="s">
        <v>1015</v>
      </c>
      <c r="F321" s="6"/>
      <c r="G321" s="6"/>
      <c r="H321" s="6" t="s">
        <v>2211</v>
      </c>
      <c r="I321" t="s">
        <v>1561</v>
      </c>
      <c r="J321" t="s">
        <v>1561</v>
      </c>
      <c r="L321" s="26" t="e">
        <f t="shared" si="9"/>
        <v>#VALUE!</v>
      </c>
      <c r="M321" s="10"/>
      <c r="N321" s="10"/>
    </row>
    <row r="322" spans="1:14" x14ac:dyDescent="0.35">
      <c r="A322" s="9">
        <f t="shared" si="10"/>
        <v>321</v>
      </c>
      <c r="B322" t="s">
        <v>109</v>
      </c>
      <c r="C322" s="109">
        <f>IF(ISBLANK(K322),IFERROR(VLOOKUP(I322,FS_input_data!$C$107:$N$306,Export!J322,FALSE),""),K322)</f>
        <v>10</v>
      </c>
      <c r="D322" s="6" t="b">
        <v>1</v>
      </c>
      <c r="F322" s="6"/>
      <c r="G322" s="6"/>
      <c r="H322" s="6" t="s">
        <v>2211</v>
      </c>
      <c r="I322" t="s">
        <v>1014</v>
      </c>
      <c r="J322">
        <v>3</v>
      </c>
      <c r="L322" s="9" t="e">
        <f t="shared" ref="L322:L385" si="11">FIND("/",B322)</f>
        <v>#VALUE!</v>
      </c>
      <c r="M322" s="10"/>
      <c r="N322" s="10"/>
    </row>
    <row r="323" spans="1:14" x14ac:dyDescent="0.35">
      <c r="A323">
        <f t="shared" ref="A323:A386" si="12">A322+1</f>
        <v>322</v>
      </c>
      <c r="B323" t="s">
        <v>110</v>
      </c>
      <c r="C323" s="109" t="str">
        <f>IF(ISBLANK(K323),IFERROR(VLOOKUP(I323,FS_input_data!$C$107:$N$306,Export!J323,FALSE),""),K323)</f>
        <v/>
      </c>
      <c r="D323" s="6"/>
      <c r="E323" t="s">
        <v>1561</v>
      </c>
      <c r="F323" s="6"/>
      <c r="G323" s="6"/>
      <c r="H323" s="6" t="s">
        <v>2211</v>
      </c>
      <c r="I323" t="s">
        <v>1561</v>
      </c>
      <c r="J323" t="s">
        <v>1561</v>
      </c>
      <c r="L323">
        <f t="shared" si="11"/>
        <v>1</v>
      </c>
      <c r="M323" s="10"/>
      <c r="N323" s="10"/>
    </row>
    <row r="324" spans="1:14" x14ac:dyDescent="0.35">
      <c r="A324" s="9">
        <f t="shared" si="12"/>
        <v>323</v>
      </c>
      <c r="B324" t="s">
        <v>111</v>
      </c>
      <c r="C324" s="109">
        <f>IF(ISBLANK(K324),IFERROR(VLOOKUP(I324,FS_input_data!$C$107:$N$306,Export!J324,FALSE),""),K324)</f>
        <v>110</v>
      </c>
      <c r="D324" s="6" t="b">
        <v>1</v>
      </c>
      <c r="F324" s="6"/>
      <c r="G324" s="6"/>
      <c r="H324" s="6" t="s">
        <v>2211</v>
      </c>
      <c r="I324" t="s">
        <v>1014</v>
      </c>
      <c r="J324">
        <v>4</v>
      </c>
      <c r="L324" s="9" t="e">
        <f t="shared" si="11"/>
        <v>#VALUE!</v>
      </c>
      <c r="M324" s="10"/>
      <c r="N324" s="10"/>
    </row>
    <row r="325" spans="1:14" x14ac:dyDescent="0.35">
      <c r="A325">
        <f t="shared" si="12"/>
        <v>324</v>
      </c>
      <c r="B325" t="s">
        <v>112</v>
      </c>
      <c r="C325" s="109" t="str">
        <f>IF(ISBLANK(K325),IFERROR(VLOOKUP(I325,FS_input_data!$C$107:$N$306,Export!J325,FALSE),""),K325)</f>
        <v/>
      </c>
      <c r="D325" s="6"/>
      <c r="E325" t="s">
        <v>1561</v>
      </c>
      <c r="F325" s="6"/>
      <c r="G325" s="6"/>
      <c r="H325" s="6" t="s">
        <v>2211</v>
      </c>
      <c r="I325" t="s">
        <v>1561</v>
      </c>
      <c r="J325" t="s">
        <v>1561</v>
      </c>
      <c r="L325">
        <f t="shared" si="11"/>
        <v>1</v>
      </c>
      <c r="M325" s="10"/>
      <c r="N325" s="10"/>
    </row>
    <row r="326" spans="1:14" x14ac:dyDescent="0.35">
      <c r="A326">
        <f t="shared" si="12"/>
        <v>325</v>
      </c>
      <c r="B326" t="s">
        <v>129</v>
      </c>
      <c r="C326" s="109" t="str">
        <f>IF(ISBLANK(K326),IFERROR(VLOOKUP(I326,FS_input_data!$C$107:$N$306,Export!J326,FALSE),""),K326)</f>
        <v/>
      </c>
      <c r="D326" s="6"/>
      <c r="E326" t="s">
        <v>1561</v>
      </c>
      <c r="F326" s="6"/>
      <c r="G326" s="6"/>
      <c r="H326" s="6" t="s">
        <v>2211</v>
      </c>
      <c r="I326" t="s">
        <v>1561</v>
      </c>
      <c r="J326" t="s">
        <v>1561</v>
      </c>
      <c r="L326">
        <f t="shared" si="11"/>
        <v>1</v>
      </c>
      <c r="M326" s="10"/>
      <c r="N326" s="10"/>
    </row>
    <row r="327" spans="1:14" x14ac:dyDescent="0.35">
      <c r="A327">
        <f t="shared" si="12"/>
        <v>326</v>
      </c>
      <c r="B327" t="s">
        <v>130</v>
      </c>
      <c r="C327" s="109" t="str">
        <f>IF(ISBLANK(K327),IFERROR(VLOOKUP(I327,FS_input_data!$C$107:$N$306,Export!J327,FALSE),""),K327)</f>
        <v/>
      </c>
      <c r="D327" s="6"/>
      <c r="E327" t="s">
        <v>1018</v>
      </c>
      <c r="F327" s="6"/>
      <c r="G327" s="6"/>
      <c r="H327" s="6" t="s">
        <v>2211</v>
      </c>
      <c r="I327" t="s">
        <v>1561</v>
      </c>
      <c r="J327" t="s">
        <v>1561</v>
      </c>
      <c r="L327" s="26" t="e">
        <f t="shared" si="11"/>
        <v>#VALUE!</v>
      </c>
      <c r="M327" s="10"/>
      <c r="N327" s="10"/>
    </row>
    <row r="328" spans="1:14" x14ac:dyDescent="0.35">
      <c r="A328" s="9">
        <f t="shared" si="12"/>
        <v>327</v>
      </c>
      <c r="B328" t="s">
        <v>109</v>
      </c>
      <c r="C328" s="109">
        <f>IF(ISBLANK(K328),IFERROR(VLOOKUP(I328,FS_input_data!$C$107:$N$306,Export!J328,FALSE),""),K328)</f>
        <v>11</v>
      </c>
      <c r="D328" s="6" t="b">
        <v>1</v>
      </c>
      <c r="F328" s="6"/>
      <c r="G328" s="6"/>
      <c r="H328" s="6" t="s">
        <v>2211</v>
      </c>
      <c r="I328" t="s">
        <v>1017</v>
      </c>
      <c r="J328">
        <v>3</v>
      </c>
      <c r="L328" s="9" t="e">
        <f t="shared" si="11"/>
        <v>#VALUE!</v>
      </c>
      <c r="M328" s="10"/>
      <c r="N328" s="10"/>
    </row>
    <row r="329" spans="1:14" x14ac:dyDescent="0.35">
      <c r="A329">
        <f t="shared" si="12"/>
        <v>328</v>
      </c>
      <c r="B329" t="s">
        <v>110</v>
      </c>
      <c r="C329" s="109" t="str">
        <f>IF(ISBLANK(K329),IFERROR(VLOOKUP(I329,FS_input_data!$C$107:$N$306,Export!J329,FALSE),""),K329)</f>
        <v/>
      </c>
      <c r="D329" s="6"/>
      <c r="F329" s="6"/>
      <c r="G329" s="6"/>
      <c r="H329" s="6" t="s">
        <v>2211</v>
      </c>
      <c r="I329" t="s">
        <v>1561</v>
      </c>
      <c r="J329" t="s">
        <v>1561</v>
      </c>
      <c r="L329">
        <f t="shared" si="11"/>
        <v>1</v>
      </c>
      <c r="M329" s="10"/>
      <c r="N329" s="10"/>
    </row>
    <row r="330" spans="1:14" x14ac:dyDescent="0.35">
      <c r="A330" s="9">
        <f t="shared" si="12"/>
        <v>329</v>
      </c>
      <c r="B330" t="s">
        <v>111</v>
      </c>
      <c r="C330" s="109">
        <f>IF(ISBLANK(K330),IFERROR(VLOOKUP(I330,FS_input_data!$C$107:$N$306,Export!J330,FALSE),""),K330)</f>
        <v>111</v>
      </c>
      <c r="D330" s="6" t="b">
        <v>1</v>
      </c>
      <c r="F330" s="6"/>
      <c r="G330" s="6"/>
      <c r="H330" s="6" t="s">
        <v>2211</v>
      </c>
      <c r="I330" t="s">
        <v>1017</v>
      </c>
      <c r="J330">
        <v>4</v>
      </c>
      <c r="L330" s="9" t="e">
        <f t="shared" si="11"/>
        <v>#VALUE!</v>
      </c>
      <c r="M330" s="10"/>
      <c r="N330" s="10"/>
    </row>
    <row r="331" spans="1:14" x14ac:dyDescent="0.35">
      <c r="A331">
        <f t="shared" si="12"/>
        <v>330</v>
      </c>
      <c r="B331" t="s">
        <v>112</v>
      </c>
      <c r="C331" s="109" t="str">
        <f>IF(ISBLANK(K331),IFERROR(VLOOKUP(I331,FS_input_data!$C$107:$N$306,Export!J331,FALSE),""),K331)</f>
        <v/>
      </c>
      <c r="D331" s="6"/>
      <c r="E331" t="s">
        <v>1561</v>
      </c>
      <c r="F331" s="6"/>
      <c r="G331" s="6"/>
      <c r="H331" s="6" t="s">
        <v>2211</v>
      </c>
      <c r="I331" t="s">
        <v>1561</v>
      </c>
      <c r="J331" t="s">
        <v>1561</v>
      </c>
      <c r="L331">
        <f t="shared" si="11"/>
        <v>1</v>
      </c>
      <c r="M331" s="10"/>
      <c r="N331" s="10"/>
    </row>
    <row r="332" spans="1:14" x14ac:dyDescent="0.35">
      <c r="A332">
        <f t="shared" si="12"/>
        <v>331</v>
      </c>
      <c r="B332" t="s">
        <v>131</v>
      </c>
      <c r="C332" s="109" t="str">
        <f>IF(ISBLANK(K332),IFERROR(VLOOKUP(I332,FS_input_data!$C$107:$N$306,Export!J332,FALSE),""),K332)</f>
        <v/>
      </c>
      <c r="D332" s="6"/>
      <c r="E332" t="s">
        <v>1561</v>
      </c>
      <c r="F332" s="6"/>
      <c r="G332" s="6"/>
      <c r="H332" s="6" t="s">
        <v>2211</v>
      </c>
      <c r="I332" t="s">
        <v>1561</v>
      </c>
      <c r="J332" t="s">
        <v>1561</v>
      </c>
      <c r="L332">
        <f t="shared" si="11"/>
        <v>1</v>
      </c>
      <c r="M332" s="10"/>
      <c r="N332" s="10"/>
    </row>
    <row r="333" spans="1:14" x14ac:dyDescent="0.35">
      <c r="A333">
        <f t="shared" si="12"/>
        <v>332</v>
      </c>
      <c r="B333" t="s">
        <v>132</v>
      </c>
      <c r="C333" s="109" t="str">
        <f>IF(ISBLANK(K333),IFERROR(VLOOKUP(I333,FS_input_data!$C$107:$N$306,Export!J333,FALSE),""),K333)</f>
        <v/>
      </c>
      <c r="D333" s="6"/>
      <c r="E333" t="s">
        <v>1021</v>
      </c>
      <c r="F333" s="6"/>
      <c r="G333" s="6"/>
      <c r="H333" s="6" t="s">
        <v>2211</v>
      </c>
      <c r="I333" t="s">
        <v>1561</v>
      </c>
      <c r="J333" t="s">
        <v>1561</v>
      </c>
      <c r="L333" s="26" t="e">
        <f t="shared" si="11"/>
        <v>#VALUE!</v>
      </c>
      <c r="M333" s="10"/>
      <c r="N333" s="10"/>
    </row>
    <row r="334" spans="1:14" x14ac:dyDescent="0.35">
      <c r="A334" s="9">
        <f t="shared" si="12"/>
        <v>333</v>
      </c>
      <c r="B334" t="s">
        <v>109</v>
      </c>
      <c r="C334" s="109">
        <f>IF(ISBLANK(K334),IFERROR(VLOOKUP(I334,FS_input_data!$C$107:$N$306,Export!J334,FALSE),""),K334)</f>
        <v>12</v>
      </c>
      <c r="D334" s="6" t="b">
        <v>1</v>
      </c>
      <c r="F334" s="6"/>
      <c r="G334" s="6"/>
      <c r="H334" s="6" t="s">
        <v>2211</v>
      </c>
      <c r="I334" t="s">
        <v>1020</v>
      </c>
      <c r="J334">
        <v>3</v>
      </c>
      <c r="L334" s="9" t="e">
        <f t="shared" si="11"/>
        <v>#VALUE!</v>
      </c>
      <c r="M334" s="10"/>
      <c r="N334" s="10"/>
    </row>
    <row r="335" spans="1:14" x14ac:dyDescent="0.35">
      <c r="A335">
        <f t="shared" si="12"/>
        <v>334</v>
      </c>
      <c r="B335" t="s">
        <v>110</v>
      </c>
      <c r="C335" s="109" t="str">
        <f>IF(ISBLANK(K335),IFERROR(VLOOKUP(I335,FS_input_data!$C$107:$N$306,Export!J335,FALSE),""),K335)</f>
        <v/>
      </c>
      <c r="D335" s="6"/>
      <c r="E335" t="s">
        <v>1561</v>
      </c>
      <c r="F335" s="6"/>
      <c r="G335" s="6"/>
      <c r="H335" s="6" t="s">
        <v>2211</v>
      </c>
      <c r="I335" t="s">
        <v>1561</v>
      </c>
      <c r="J335" t="s">
        <v>1561</v>
      </c>
      <c r="L335">
        <f t="shared" si="11"/>
        <v>1</v>
      </c>
      <c r="M335" s="10"/>
      <c r="N335" s="10"/>
    </row>
    <row r="336" spans="1:14" x14ac:dyDescent="0.35">
      <c r="A336" s="9">
        <f t="shared" si="12"/>
        <v>335</v>
      </c>
      <c r="B336" t="s">
        <v>111</v>
      </c>
      <c r="C336" s="109">
        <f>IF(ISBLANK(K336),IFERROR(VLOOKUP(I336,FS_input_data!$C$107:$N$306,Export!J336,FALSE),""),K336)</f>
        <v>112</v>
      </c>
      <c r="D336" s="6" t="b">
        <v>1</v>
      </c>
      <c r="F336" s="6"/>
      <c r="G336" s="6"/>
      <c r="H336" s="6" t="s">
        <v>2211</v>
      </c>
      <c r="I336" t="s">
        <v>1020</v>
      </c>
      <c r="J336">
        <v>4</v>
      </c>
      <c r="L336" s="9" t="e">
        <f t="shared" si="11"/>
        <v>#VALUE!</v>
      </c>
      <c r="M336" s="10"/>
      <c r="N336" s="11"/>
    </row>
    <row r="337" spans="1:14" x14ac:dyDescent="0.35">
      <c r="A337">
        <f t="shared" si="12"/>
        <v>336</v>
      </c>
      <c r="B337" t="s">
        <v>112</v>
      </c>
      <c r="C337" s="109" t="str">
        <f>IF(ISBLANK(K337),IFERROR(VLOOKUP(I337,FS_input_data!$C$107:$N$306,Export!J337,FALSE),""),K337)</f>
        <v/>
      </c>
      <c r="D337" s="6"/>
      <c r="E337" t="s">
        <v>1561</v>
      </c>
      <c r="F337" s="6"/>
      <c r="G337" s="6"/>
      <c r="H337" s="6" t="s">
        <v>2211</v>
      </c>
      <c r="I337" t="s">
        <v>1561</v>
      </c>
      <c r="J337" t="s">
        <v>1561</v>
      </c>
      <c r="L337">
        <f t="shared" si="11"/>
        <v>1</v>
      </c>
      <c r="M337" s="10"/>
      <c r="N337" s="11"/>
    </row>
    <row r="338" spans="1:14" x14ac:dyDescent="0.35">
      <c r="A338">
        <f t="shared" si="12"/>
        <v>337</v>
      </c>
      <c r="B338" t="s">
        <v>133</v>
      </c>
      <c r="C338" s="109" t="str">
        <f>IF(ISBLANK(K338),IFERROR(VLOOKUP(I338,FS_input_data!$C$107:$N$306,Export!J338,FALSE),""),K338)</f>
        <v/>
      </c>
      <c r="D338" s="6"/>
      <c r="E338" t="s">
        <v>1561</v>
      </c>
      <c r="F338" s="6"/>
      <c r="G338" s="6"/>
      <c r="H338" s="6" t="s">
        <v>2211</v>
      </c>
      <c r="I338" t="s">
        <v>1561</v>
      </c>
      <c r="J338" t="s">
        <v>1561</v>
      </c>
      <c r="L338">
        <f t="shared" si="11"/>
        <v>1</v>
      </c>
      <c r="M338" s="10"/>
      <c r="N338" s="11"/>
    </row>
    <row r="339" spans="1:14" x14ac:dyDescent="0.35">
      <c r="A339">
        <f t="shared" si="12"/>
        <v>338</v>
      </c>
      <c r="B339" t="s">
        <v>134</v>
      </c>
      <c r="C339" s="109" t="str">
        <f>IF(ISBLANK(K339),IFERROR(VLOOKUP(I339,FS_input_data!$C$107:$N$306,Export!J339,FALSE),""),K339)</f>
        <v/>
      </c>
      <c r="D339" s="6"/>
      <c r="E339" t="s">
        <v>1024</v>
      </c>
      <c r="F339" s="6"/>
      <c r="G339" s="6"/>
      <c r="H339" s="6" t="s">
        <v>2211</v>
      </c>
      <c r="I339" t="s">
        <v>1561</v>
      </c>
      <c r="J339" t="s">
        <v>1561</v>
      </c>
      <c r="L339" s="26" t="e">
        <f t="shared" si="11"/>
        <v>#VALUE!</v>
      </c>
      <c r="M339" s="10"/>
      <c r="N339" s="11"/>
    </row>
    <row r="340" spans="1:14" x14ac:dyDescent="0.35">
      <c r="A340" s="9">
        <f t="shared" si="12"/>
        <v>339</v>
      </c>
      <c r="B340" t="s">
        <v>109</v>
      </c>
      <c r="C340" s="109">
        <f>IF(ISBLANK(K340),IFERROR(VLOOKUP(I340,FS_input_data!$C$107:$N$306,Export!J340,FALSE),""),K340)</f>
        <v>13</v>
      </c>
      <c r="D340" s="6" t="b">
        <v>1</v>
      </c>
      <c r="F340" s="6"/>
      <c r="G340" s="6"/>
      <c r="H340" s="6" t="s">
        <v>2211</v>
      </c>
      <c r="I340" t="s">
        <v>1023</v>
      </c>
      <c r="J340">
        <v>3</v>
      </c>
      <c r="L340" s="9" t="e">
        <f t="shared" si="11"/>
        <v>#VALUE!</v>
      </c>
      <c r="M340" s="10"/>
      <c r="N340" s="11"/>
    </row>
    <row r="341" spans="1:14" x14ac:dyDescent="0.35">
      <c r="A341">
        <f t="shared" si="12"/>
        <v>340</v>
      </c>
      <c r="B341" t="s">
        <v>110</v>
      </c>
      <c r="C341" s="109" t="str">
        <f>IF(ISBLANK(K341),IFERROR(VLOOKUP(I341,FS_input_data!$C$107:$N$306,Export!J341,FALSE),""),K341)</f>
        <v/>
      </c>
      <c r="D341" s="6"/>
      <c r="E341" t="s">
        <v>1561</v>
      </c>
      <c r="F341" s="6"/>
      <c r="G341" s="6"/>
      <c r="H341" s="6" t="s">
        <v>2211</v>
      </c>
      <c r="I341" t="s">
        <v>1561</v>
      </c>
      <c r="J341" t="s">
        <v>1561</v>
      </c>
      <c r="L341">
        <f t="shared" si="11"/>
        <v>1</v>
      </c>
      <c r="M341" s="10"/>
      <c r="N341" s="11"/>
    </row>
    <row r="342" spans="1:14" x14ac:dyDescent="0.35">
      <c r="A342" s="9">
        <f t="shared" si="12"/>
        <v>341</v>
      </c>
      <c r="B342" t="s">
        <v>111</v>
      </c>
      <c r="C342" s="109">
        <f>IF(ISBLANK(K342),IFERROR(VLOOKUP(I342,FS_input_data!$C$107:$N$306,Export!J342,FALSE),""),K342)</f>
        <v>113</v>
      </c>
      <c r="D342" s="6" t="b">
        <v>1</v>
      </c>
      <c r="F342" s="6"/>
      <c r="G342" s="6"/>
      <c r="H342" s="6" t="s">
        <v>2211</v>
      </c>
      <c r="I342" t="s">
        <v>1023</v>
      </c>
      <c r="J342">
        <v>4</v>
      </c>
      <c r="L342" s="9" t="e">
        <f t="shared" si="11"/>
        <v>#VALUE!</v>
      </c>
      <c r="M342" s="10"/>
      <c r="N342" s="11"/>
    </row>
    <row r="343" spans="1:14" x14ac:dyDescent="0.35">
      <c r="A343">
        <f t="shared" si="12"/>
        <v>342</v>
      </c>
      <c r="B343" t="s">
        <v>112</v>
      </c>
      <c r="C343" s="109" t="str">
        <f>IF(ISBLANK(K343),IFERROR(VLOOKUP(I343,FS_input_data!$C$107:$N$306,Export!J343,FALSE),""),K343)</f>
        <v/>
      </c>
      <c r="D343" s="6"/>
      <c r="E343" t="s">
        <v>1561</v>
      </c>
      <c r="F343" s="6"/>
      <c r="G343" s="6"/>
      <c r="H343" s="6" t="s">
        <v>2211</v>
      </c>
      <c r="I343" t="s">
        <v>1561</v>
      </c>
      <c r="J343" t="s">
        <v>1561</v>
      </c>
      <c r="L343">
        <f t="shared" si="11"/>
        <v>1</v>
      </c>
      <c r="M343" s="10"/>
      <c r="N343" s="11"/>
    </row>
    <row r="344" spans="1:14" x14ac:dyDescent="0.35">
      <c r="A344">
        <f t="shared" si="12"/>
        <v>343</v>
      </c>
      <c r="B344" t="s">
        <v>135</v>
      </c>
      <c r="C344" s="109" t="str">
        <f>IF(ISBLANK(K344),IFERROR(VLOOKUP(I344,FS_input_data!$C$107:$N$306,Export!J344,FALSE),""),K344)</f>
        <v/>
      </c>
      <c r="D344" s="6"/>
      <c r="E344" t="s">
        <v>1561</v>
      </c>
      <c r="F344" s="6"/>
      <c r="G344" s="6"/>
      <c r="H344" s="6" t="s">
        <v>2211</v>
      </c>
      <c r="I344" t="s">
        <v>1561</v>
      </c>
      <c r="J344" t="s">
        <v>1561</v>
      </c>
      <c r="L344">
        <f t="shared" si="11"/>
        <v>1</v>
      </c>
      <c r="M344" s="17"/>
      <c r="N344" s="17"/>
    </row>
    <row r="345" spans="1:14" x14ac:dyDescent="0.35">
      <c r="A345">
        <f t="shared" si="12"/>
        <v>344</v>
      </c>
      <c r="B345" t="s">
        <v>136</v>
      </c>
      <c r="C345" s="109" t="str">
        <f>IF(ISBLANK(K345),IFERROR(VLOOKUP(I345,FS_input_data!$C$107:$N$306,Export!J345,FALSE),""),K345)</f>
        <v/>
      </c>
      <c r="D345" s="6"/>
      <c r="E345" t="s">
        <v>1561</v>
      </c>
      <c r="F345" s="6"/>
      <c r="G345" s="6"/>
      <c r="H345" s="6" t="s">
        <v>2211</v>
      </c>
      <c r="I345" t="s">
        <v>1561</v>
      </c>
      <c r="J345" t="s">
        <v>1561</v>
      </c>
      <c r="L345">
        <f t="shared" si="11"/>
        <v>1</v>
      </c>
      <c r="M345" s="10"/>
      <c r="N345" s="10"/>
    </row>
    <row r="346" spans="1:14" x14ac:dyDescent="0.35">
      <c r="A346">
        <f t="shared" si="12"/>
        <v>345</v>
      </c>
      <c r="B346" t="s">
        <v>137</v>
      </c>
      <c r="C346" s="109" t="str">
        <f>IF(ISBLANK(K346),IFERROR(VLOOKUP(I346,FS_input_data!$C$107:$N$306,Export!J346,FALSE),""),K346)</f>
        <v/>
      </c>
      <c r="D346" s="6"/>
      <c r="E346" t="s">
        <v>1027</v>
      </c>
      <c r="F346" s="6"/>
      <c r="G346" s="6"/>
      <c r="H346" s="6" t="s">
        <v>2211</v>
      </c>
      <c r="I346" t="s">
        <v>1561</v>
      </c>
      <c r="J346" t="s">
        <v>1561</v>
      </c>
      <c r="L346" s="26" t="e">
        <f t="shared" si="11"/>
        <v>#VALUE!</v>
      </c>
      <c r="M346" s="17"/>
      <c r="N346" s="17"/>
    </row>
    <row r="347" spans="1:14" x14ac:dyDescent="0.35">
      <c r="A347" s="9">
        <f t="shared" si="12"/>
        <v>346</v>
      </c>
      <c r="B347" t="s">
        <v>109</v>
      </c>
      <c r="C347" s="109">
        <f>IF(ISBLANK(K347),IFERROR(VLOOKUP(I347,FS_input_data!$C$107:$N$306,Export!J347,FALSE),""),K347)</f>
        <v>14</v>
      </c>
      <c r="D347" s="6" t="b">
        <v>1</v>
      </c>
      <c r="F347" s="6"/>
      <c r="G347" s="6"/>
      <c r="H347" s="6" t="s">
        <v>2211</v>
      </c>
      <c r="I347" t="s">
        <v>1026</v>
      </c>
      <c r="J347">
        <v>3</v>
      </c>
      <c r="L347" s="9" t="e">
        <f t="shared" si="11"/>
        <v>#VALUE!</v>
      </c>
      <c r="M347" s="10"/>
      <c r="N347" s="11"/>
    </row>
    <row r="348" spans="1:14" x14ac:dyDescent="0.35">
      <c r="A348">
        <f t="shared" si="12"/>
        <v>347</v>
      </c>
      <c r="B348" t="s">
        <v>110</v>
      </c>
      <c r="C348" s="109" t="str">
        <f>IF(ISBLANK(K348),IFERROR(VLOOKUP(I348,FS_input_data!$C$107:$N$306,Export!J348,FALSE),""),K348)</f>
        <v/>
      </c>
      <c r="D348" s="6"/>
      <c r="F348" s="6"/>
      <c r="G348" s="6"/>
      <c r="H348" s="6" t="s">
        <v>2211</v>
      </c>
      <c r="I348" t="s">
        <v>1561</v>
      </c>
      <c r="J348" t="s">
        <v>1561</v>
      </c>
      <c r="L348">
        <f t="shared" si="11"/>
        <v>1</v>
      </c>
      <c r="M348" s="10"/>
      <c r="N348" s="11"/>
    </row>
    <row r="349" spans="1:14" x14ac:dyDescent="0.35">
      <c r="A349" s="9">
        <f t="shared" si="12"/>
        <v>348</v>
      </c>
      <c r="B349" t="s">
        <v>111</v>
      </c>
      <c r="C349" s="109">
        <f>IF(ISBLANK(K349),IFERROR(VLOOKUP(I349,FS_input_data!$C$107:$N$306,Export!J349,FALSE),""),K349)</f>
        <v>114</v>
      </c>
      <c r="D349" s="6" t="b">
        <v>1</v>
      </c>
      <c r="F349" s="6"/>
      <c r="G349" s="6"/>
      <c r="H349" s="6" t="s">
        <v>2211</v>
      </c>
      <c r="I349" t="s">
        <v>1026</v>
      </c>
      <c r="J349">
        <v>4</v>
      </c>
      <c r="L349" s="9" t="e">
        <f t="shared" si="11"/>
        <v>#VALUE!</v>
      </c>
      <c r="M349" s="17"/>
      <c r="N349" s="17"/>
    </row>
    <row r="350" spans="1:14" x14ac:dyDescent="0.35">
      <c r="A350">
        <f t="shared" si="12"/>
        <v>349</v>
      </c>
      <c r="B350" t="s">
        <v>112</v>
      </c>
      <c r="C350" s="109" t="str">
        <f>IF(ISBLANK(K350),IFERROR(VLOOKUP(I350,FS_input_data!$C$107:$N$306,Export!J350,FALSE),""),K350)</f>
        <v/>
      </c>
      <c r="D350" s="6"/>
      <c r="F350" s="6"/>
      <c r="G350" s="6"/>
      <c r="H350" s="6" t="s">
        <v>2211</v>
      </c>
      <c r="I350" t="s">
        <v>1561</v>
      </c>
      <c r="J350" t="s">
        <v>1561</v>
      </c>
      <c r="L350">
        <f t="shared" si="11"/>
        <v>1</v>
      </c>
      <c r="M350" s="10"/>
      <c r="N350" s="10"/>
    </row>
    <row r="351" spans="1:14" x14ac:dyDescent="0.35">
      <c r="A351">
        <f t="shared" si="12"/>
        <v>350</v>
      </c>
      <c r="B351" t="s">
        <v>138</v>
      </c>
      <c r="C351" s="109" t="str">
        <f>IF(ISBLANK(K351),IFERROR(VLOOKUP(I351,FS_input_data!$C$107:$N$306,Export!J351,FALSE),""),K351)</f>
        <v/>
      </c>
      <c r="D351" s="6"/>
      <c r="E351" t="s">
        <v>1561</v>
      </c>
      <c r="F351" s="6"/>
      <c r="G351" s="6"/>
      <c r="H351" s="6" t="s">
        <v>2211</v>
      </c>
      <c r="I351" t="s">
        <v>1561</v>
      </c>
      <c r="J351" t="s">
        <v>1561</v>
      </c>
      <c r="L351">
        <f t="shared" si="11"/>
        <v>1</v>
      </c>
      <c r="M351" s="17"/>
      <c r="N351" s="17"/>
    </row>
    <row r="352" spans="1:14" x14ac:dyDescent="0.35">
      <c r="A352">
        <f t="shared" si="12"/>
        <v>351</v>
      </c>
      <c r="B352" t="s">
        <v>139</v>
      </c>
      <c r="C352" s="109" t="str">
        <f>IF(ISBLANK(K352),IFERROR(VLOOKUP(I352,FS_input_data!$C$107:$N$306,Export!J352,FALSE),""),K352)</f>
        <v/>
      </c>
      <c r="D352" s="6"/>
      <c r="E352" s="27" t="s">
        <v>1030</v>
      </c>
      <c r="F352" s="6"/>
      <c r="G352" s="6"/>
      <c r="H352" s="6" t="s">
        <v>2211</v>
      </c>
      <c r="I352" t="s">
        <v>1561</v>
      </c>
      <c r="J352" t="s">
        <v>1561</v>
      </c>
      <c r="L352" s="26" t="e">
        <f t="shared" si="11"/>
        <v>#VALUE!</v>
      </c>
      <c r="M352" s="10"/>
      <c r="N352" s="11"/>
    </row>
    <row r="353" spans="1:14" x14ac:dyDescent="0.35">
      <c r="A353" s="9">
        <f t="shared" si="12"/>
        <v>352</v>
      </c>
      <c r="B353" t="s">
        <v>109</v>
      </c>
      <c r="C353" s="109">
        <f>IF(ISBLANK(K353),IFERROR(VLOOKUP(I353,FS_input_data!$C$107:$N$306,Export!J353,FALSE),""),K353)</f>
        <v>15</v>
      </c>
      <c r="D353" s="6" t="b">
        <v>1</v>
      </c>
      <c r="F353" s="6"/>
      <c r="G353" s="6"/>
      <c r="H353" s="6" t="s">
        <v>2211</v>
      </c>
      <c r="I353" t="s">
        <v>1029</v>
      </c>
      <c r="J353">
        <v>3</v>
      </c>
      <c r="L353" s="9" t="e">
        <f t="shared" si="11"/>
        <v>#VALUE!</v>
      </c>
      <c r="M353" s="10"/>
      <c r="N353" s="11"/>
    </row>
    <row r="354" spans="1:14" x14ac:dyDescent="0.35">
      <c r="A354">
        <f t="shared" si="12"/>
        <v>353</v>
      </c>
      <c r="B354" t="s">
        <v>110</v>
      </c>
      <c r="C354" s="109" t="str">
        <f>IF(ISBLANK(K354),IFERROR(VLOOKUP(I354,FS_input_data!$C$107:$N$306,Export!J354,FALSE),""),K354)</f>
        <v/>
      </c>
      <c r="D354" s="6"/>
      <c r="E354" t="s">
        <v>1561</v>
      </c>
      <c r="F354" s="6"/>
      <c r="G354" s="6"/>
      <c r="H354" s="6" t="s">
        <v>2211</v>
      </c>
      <c r="I354" t="s">
        <v>1561</v>
      </c>
      <c r="J354" t="s">
        <v>1561</v>
      </c>
      <c r="L354">
        <f t="shared" si="11"/>
        <v>1</v>
      </c>
      <c r="M354" s="10"/>
      <c r="N354" s="11"/>
    </row>
    <row r="355" spans="1:14" x14ac:dyDescent="0.35">
      <c r="A355" s="9">
        <f t="shared" si="12"/>
        <v>354</v>
      </c>
      <c r="B355" t="s">
        <v>111</v>
      </c>
      <c r="C355" s="109">
        <f>IF(ISBLANK(K355),IFERROR(VLOOKUP(I355,FS_input_data!$C$107:$N$306,Export!J355,FALSE),""),K355)</f>
        <v>115</v>
      </c>
      <c r="D355" s="6" t="b">
        <v>1</v>
      </c>
      <c r="F355" s="6"/>
      <c r="G355" s="6"/>
      <c r="H355" s="6" t="s">
        <v>2211</v>
      </c>
      <c r="I355" t="s">
        <v>1029</v>
      </c>
      <c r="J355">
        <v>4</v>
      </c>
      <c r="L355" s="9" t="e">
        <f t="shared" si="11"/>
        <v>#VALUE!</v>
      </c>
      <c r="M355" s="10"/>
      <c r="N355" s="11"/>
    </row>
    <row r="356" spans="1:14" x14ac:dyDescent="0.35">
      <c r="A356">
        <f t="shared" si="12"/>
        <v>355</v>
      </c>
      <c r="B356" t="s">
        <v>112</v>
      </c>
      <c r="C356" s="109" t="str">
        <f>IF(ISBLANK(K356),IFERROR(VLOOKUP(I356,FS_input_data!$C$107:$N$306,Export!J356,FALSE),""),K356)</f>
        <v/>
      </c>
      <c r="D356" s="6"/>
      <c r="E356" t="s">
        <v>1561</v>
      </c>
      <c r="F356" s="6"/>
      <c r="G356" s="6"/>
      <c r="H356" s="6" t="s">
        <v>2211</v>
      </c>
      <c r="I356" t="s">
        <v>1561</v>
      </c>
      <c r="J356" t="s">
        <v>1561</v>
      </c>
      <c r="L356">
        <f t="shared" si="11"/>
        <v>1</v>
      </c>
      <c r="M356" s="10"/>
      <c r="N356" s="11"/>
    </row>
    <row r="357" spans="1:14" x14ac:dyDescent="0.35">
      <c r="A357">
        <f t="shared" si="12"/>
        <v>356</v>
      </c>
      <c r="B357" t="s">
        <v>140</v>
      </c>
      <c r="C357" s="109" t="str">
        <f>IF(ISBLANK(K357),IFERROR(VLOOKUP(I357,FS_input_data!$C$107:$N$306,Export!J357,FALSE),""),K357)</f>
        <v/>
      </c>
      <c r="D357" s="6"/>
      <c r="E357" t="s">
        <v>1561</v>
      </c>
      <c r="F357" s="6"/>
      <c r="G357" s="6"/>
      <c r="H357" s="6" t="s">
        <v>2211</v>
      </c>
      <c r="I357" t="s">
        <v>1561</v>
      </c>
      <c r="J357" t="s">
        <v>1561</v>
      </c>
      <c r="L357">
        <f t="shared" si="11"/>
        <v>1</v>
      </c>
      <c r="M357" s="10"/>
      <c r="N357" s="11"/>
    </row>
    <row r="358" spans="1:14" x14ac:dyDescent="0.35">
      <c r="A358">
        <f t="shared" si="12"/>
        <v>357</v>
      </c>
      <c r="B358" t="s">
        <v>141</v>
      </c>
      <c r="C358" s="109" t="str">
        <f>IF(ISBLANK(K358),IFERROR(VLOOKUP(I358,FS_input_data!$C$107:$N$306,Export!J358,FALSE),""),K358)</f>
        <v/>
      </c>
      <c r="D358" s="6"/>
      <c r="E358" t="s">
        <v>1561</v>
      </c>
      <c r="F358" s="6"/>
      <c r="G358" s="6"/>
      <c r="H358" s="6" t="s">
        <v>2211</v>
      </c>
      <c r="I358" t="s">
        <v>1561</v>
      </c>
      <c r="J358" t="s">
        <v>1561</v>
      </c>
      <c r="L358">
        <f t="shared" si="11"/>
        <v>1</v>
      </c>
      <c r="M358" s="10"/>
      <c r="N358" s="11"/>
    </row>
    <row r="359" spans="1:14" x14ac:dyDescent="0.35">
      <c r="A359">
        <f t="shared" si="12"/>
        <v>358</v>
      </c>
      <c r="B359" t="s">
        <v>142</v>
      </c>
      <c r="C359" s="109" t="str">
        <f>IF(ISBLANK(K359),IFERROR(VLOOKUP(I359,FS_input_data!$C$107:$N$306,Export!J359,FALSE),""),K359)</f>
        <v/>
      </c>
      <c r="D359" s="6"/>
      <c r="E359" t="s">
        <v>1033</v>
      </c>
      <c r="F359" s="6"/>
      <c r="G359" s="6"/>
      <c r="H359" s="6" t="s">
        <v>2211</v>
      </c>
      <c r="I359" t="s">
        <v>1561</v>
      </c>
      <c r="J359" t="s">
        <v>1561</v>
      </c>
      <c r="L359" s="26" t="e">
        <f t="shared" si="11"/>
        <v>#VALUE!</v>
      </c>
      <c r="M359" s="17"/>
      <c r="N359" s="17"/>
    </row>
    <row r="360" spans="1:14" x14ac:dyDescent="0.35">
      <c r="A360" s="9">
        <f t="shared" si="12"/>
        <v>359</v>
      </c>
      <c r="B360" t="s">
        <v>109</v>
      </c>
      <c r="C360" s="109">
        <f>IF(ISBLANK(K360),IFERROR(VLOOKUP(I360,FS_input_data!$C$107:$N$306,Export!J360,FALSE),""),K360)</f>
        <v>54</v>
      </c>
      <c r="D360" s="6" t="b">
        <v>1</v>
      </c>
      <c r="F360" s="6"/>
      <c r="G360" s="6"/>
      <c r="H360" s="6" t="s">
        <v>2211</v>
      </c>
      <c r="I360" t="s">
        <v>1032</v>
      </c>
      <c r="J360">
        <v>3</v>
      </c>
      <c r="L360" s="9" t="e">
        <f t="shared" si="11"/>
        <v>#VALUE!</v>
      </c>
      <c r="M360" s="17"/>
      <c r="N360" s="17"/>
    </row>
    <row r="361" spans="1:14" x14ac:dyDescent="0.35">
      <c r="A361">
        <f t="shared" si="12"/>
        <v>360</v>
      </c>
      <c r="B361" t="s">
        <v>110</v>
      </c>
      <c r="C361" s="109" t="str">
        <f>IF(ISBLANK(K361),IFERROR(VLOOKUP(I361,FS_input_data!$C$107:$N$306,Export!J361,FALSE),""),K361)</f>
        <v/>
      </c>
      <c r="D361" s="6"/>
      <c r="E361" t="s">
        <v>1561</v>
      </c>
      <c r="F361" s="6"/>
      <c r="G361" s="6"/>
      <c r="H361" s="6" t="s">
        <v>2211</v>
      </c>
      <c r="I361" t="s">
        <v>1561</v>
      </c>
      <c r="J361" t="s">
        <v>1561</v>
      </c>
      <c r="L361">
        <f t="shared" si="11"/>
        <v>1</v>
      </c>
      <c r="M361" s="17"/>
      <c r="N361" s="17"/>
    </row>
    <row r="362" spans="1:14" x14ac:dyDescent="0.35">
      <c r="A362" s="9">
        <f t="shared" si="12"/>
        <v>361</v>
      </c>
      <c r="B362" t="s">
        <v>111</v>
      </c>
      <c r="C362" s="109">
        <f>IF(ISBLANK(K362),IFERROR(VLOOKUP(I362,FS_input_data!$C$107:$N$306,Export!J362,FALSE),""),K362)</f>
        <v>354</v>
      </c>
      <c r="D362" s="6" t="b">
        <v>1</v>
      </c>
      <c r="F362" s="6"/>
      <c r="G362" s="6"/>
      <c r="H362" s="6" t="s">
        <v>2211</v>
      </c>
      <c r="I362" t="s">
        <v>1032</v>
      </c>
      <c r="J362">
        <v>4</v>
      </c>
      <c r="L362" s="9" t="e">
        <f t="shared" si="11"/>
        <v>#VALUE!</v>
      </c>
      <c r="M362" s="10"/>
      <c r="N362" s="11"/>
    </row>
    <row r="363" spans="1:14" x14ac:dyDescent="0.35">
      <c r="A363">
        <f t="shared" si="12"/>
        <v>362</v>
      </c>
      <c r="B363" t="s">
        <v>112</v>
      </c>
      <c r="C363" s="109" t="str">
        <f>IF(ISBLANK(K363),IFERROR(VLOOKUP(I363,FS_input_data!$C$107:$N$306,Export!J363,FALSE),""),K363)</f>
        <v/>
      </c>
      <c r="D363" s="6"/>
      <c r="E363" t="s">
        <v>1561</v>
      </c>
      <c r="F363" s="6"/>
      <c r="G363" s="6"/>
      <c r="H363" s="6" t="s">
        <v>2211</v>
      </c>
      <c r="I363" t="s">
        <v>1561</v>
      </c>
      <c r="J363" t="s">
        <v>1561</v>
      </c>
      <c r="L363">
        <f t="shared" si="11"/>
        <v>1</v>
      </c>
      <c r="M363" s="10"/>
      <c r="N363" s="11"/>
    </row>
    <row r="364" spans="1:14" x14ac:dyDescent="0.35">
      <c r="A364">
        <f t="shared" si="12"/>
        <v>363</v>
      </c>
      <c r="B364" t="s">
        <v>143</v>
      </c>
      <c r="C364" s="109" t="str">
        <f>IF(ISBLANK(K364),IFERROR(VLOOKUP(I364,FS_input_data!$C$107:$N$306,Export!J364,FALSE),""),K364)</f>
        <v/>
      </c>
      <c r="D364" s="6"/>
      <c r="E364" t="s">
        <v>1036</v>
      </c>
      <c r="F364" s="6"/>
      <c r="G364" s="6"/>
      <c r="H364" s="6" t="s">
        <v>2211</v>
      </c>
      <c r="I364" t="s">
        <v>1561</v>
      </c>
      <c r="J364" t="s">
        <v>1561</v>
      </c>
      <c r="L364" s="26" t="e">
        <f t="shared" si="11"/>
        <v>#VALUE!</v>
      </c>
      <c r="M364" s="17"/>
      <c r="N364" s="17"/>
    </row>
    <row r="365" spans="1:14" x14ac:dyDescent="0.35">
      <c r="A365" s="9">
        <f t="shared" si="12"/>
        <v>364</v>
      </c>
      <c r="B365" t="s">
        <v>109</v>
      </c>
      <c r="C365" s="109">
        <f>IF(ISBLANK(K365),IFERROR(VLOOKUP(I365,FS_input_data!$C$107:$N$306,Export!J365,FALSE),""),K365)</f>
        <v>17</v>
      </c>
      <c r="D365" s="6" t="b">
        <v>1</v>
      </c>
      <c r="F365" s="6"/>
      <c r="G365" s="6"/>
      <c r="H365" s="6" t="s">
        <v>2211</v>
      </c>
      <c r="I365" t="s">
        <v>1035</v>
      </c>
      <c r="J365">
        <v>3</v>
      </c>
      <c r="L365" s="9" t="e">
        <f t="shared" si="11"/>
        <v>#VALUE!</v>
      </c>
      <c r="M365" s="10"/>
      <c r="N365" s="10"/>
    </row>
    <row r="366" spans="1:14" x14ac:dyDescent="0.35">
      <c r="A366">
        <f t="shared" si="12"/>
        <v>365</v>
      </c>
      <c r="B366" t="s">
        <v>110</v>
      </c>
      <c r="C366" s="109" t="str">
        <f>IF(ISBLANK(K366),IFERROR(VLOOKUP(I366,FS_input_data!$C$107:$N$306,Export!J366,FALSE),""),K366)</f>
        <v/>
      </c>
      <c r="D366" s="6"/>
      <c r="F366" s="6"/>
      <c r="G366" s="6"/>
      <c r="H366" s="6" t="s">
        <v>2211</v>
      </c>
      <c r="I366" t="s">
        <v>1561</v>
      </c>
      <c r="J366" t="s">
        <v>1561</v>
      </c>
      <c r="L366">
        <f t="shared" si="11"/>
        <v>1</v>
      </c>
      <c r="M366" s="17"/>
      <c r="N366" s="17"/>
    </row>
    <row r="367" spans="1:14" x14ac:dyDescent="0.35">
      <c r="A367" s="9">
        <f t="shared" si="12"/>
        <v>366</v>
      </c>
      <c r="B367" t="s">
        <v>111</v>
      </c>
      <c r="C367" s="109">
        <f>IF(ISBLANK(K367),IFERROR(VLOOKUP(I367,FS_input_data!$C$107:$N$306,Export!J367,FALSE),""),K367)</f>
        <v>117</v>
      </c>
      <c r="D367" s="6" t="b">
        <v>1</v>
      </c>
      <c r="F367" s="6"/>
      <c r="G367" s="6"/>
      <c r="H367" s="6" t="s">
        <v>2211</v>
      </c>
      <c r="I367" t="s">
        <v>1035</v>
      </c>
      <c r="J367">
        <v>4</v>
      </c>
      <c r="L367" s="9" t="e">
        <f t="shared" si="11"/>
        <v>#VALUE!</v>
      </c>
      <c r="M367" s="10"/>
      <c r="N367" s="11"/>
    </row>
    <row r="368" spans="1:14" x14ac:dyDescent="0.35">
      <c r="A368">
        <f t="shared" si="12"/>
        <v>367</v>
      </c>
      <c r="B368" t="s">
        <v>112</v>
      </c>
      <c r="C368" s="109" t="str">
        <f>IF(ISBLANK(K368),IFERROR(VLOOKUP(I368,FS_input_data!$C$107:$N$306,Export!J368,FALSE),""),K368)</f>
        <v/>
      </c>
      <c r="D368" s="6"/>
      <c r="E368" t="s">
        <v>1561</v>
      </c>
      <c r="F368" s="6"/>
      <c r="G368" s="6"/>
      <c r="H368" s="6" t="s">
        <v>2211</v>
      </c>
      <c r="I368" t="s">
        <v>1561</v>
      </c>
      <c r="J368" t="s">
        <v>1561</v>
      </c>
      <c r="L368">
        <f t="shared" si="11"/>
        <v>1</v>
      </c>
      <c r="M368" s="10"/>
      <c r="N368" s="11"/>
    </row>
    <row r="369" spans="1:14" x14ac:dyDescent="0.35">
      <c r="A369">
        <f t="shared" si="12"/>
        <v>368</v>
      </c>
      <c r="B369" t="s">
        <v>144</v>
      </c>
      <c r="C369" s="109" t="str">
        <f>IF(ISBLANK(K369),IFERROR(VLOOKUP(I369,FS_input_data!$C$107:$N$306,Export!J369,FALSE),""),K369)</f>
        <v/>
      </c>
      <c r="D369" s="6"/>
      <c r="E369" t="s">
        <v>1561</v>
      </c>
      <c r="F369" s="6"/>
      <c r="G369" s="6"/>
      <c r="H369" s="6" t="s">
        <v>2211</v>
      </c>
      <c r="I369" t="s">
        <v>1561</v>
      </c>
      <c r="J369" t="s">
        <v>1561</v>
      </c>
      <c r="L369">
        <f t="shared" si="11"/>
        <v>1</v>
      </c>
      <c r="M369" s="10"/>
      <c r="N369" s="11"/>
    </row>
    <row r="370" spans="1:14" x14ac:dyDescent="0.35">
      <c r="A370">
        <f t="shared" si="12"/>
        <v>369</v>
      </c>
      <c r="B370" t="s">
        <v>145</v>
      </c>
      <c r="C370" s="109" t="str">
        <f>IF(ISBLANK(K370),IFERROR(VLOOKUP(I370,FS_input_data!$C$107:$N$306,Export!J370,FALSE),""),K370)</f>
        <v/>
      </c>
      <c r="D370" s="6"/>
      <c r="E370" t="s">
        <v>1039</v>
      </c>
      <c r="F370" s="6"/>
      <c r="G370" s="6"/>
      <c r="H370" s="6" t="s">
        <v>2211</v>
      </c>
      <c r="I370" t="s">
        <v>1561</v>
      </c>
      <c r="J370" t="s">
        <v>1561</v>
      </c>
      <c r="L370" s="26" t="e">
        <f t="shared" si="11"/>
        <v>#VALUE!</v>
      </c>
      <c r="M370" s="10"/>
      <c r="N370" s="11"/>
    </row>
    <row r="371" spans="1:14" x14ac:dyDescent="0.35">
      <c r="A371" s="9">
        <f t="shared" si="12"/>
        <v>370</v>
      </c>
      <c r="B371" t="s">
        <v>109</v>
      </c>
      <c r="C371" s="109">
        <f>IF(ISBLANK(K371),IFERROR(VLOOKUP(I371,FS_input_data!$C$107:$N$306,Export!J371,FALSE),""),K371)</f>
        <v>18</v>
      </c>
      <c r="D371" s="6" t="b">
        <v>1</v>
      </c>
      <c r="F371" s="6"/>
      <c r="G371" s="6"/>
      <c r="H371" s="6" t="s">
        <v>2211</v>
      </c>
      <c r="I371" t="s">
        <v>1038</v>
      </c>
      <c r="J371">
        <v>3</v>
      </c>
      <c r="L371" s="9" t="e">
        <f t="shared" si="11"/>
        <v>#VALUE!</v>
      </c>
      <c r="M371" s="17"/>
      <c r="N371" s="11"/>
    </row>
    <row r="372" spans="1:14" x14ac:dyDescent="0.35">
      <c r="A372">
        <f t="shared" si="12"/>
        <v>371</v>
      </c>
      <c r="B372" t="s">
        <v>110</v>
      </c>
      <c r="C372" s="109" t="str">
        <f>IF(ISBLANK(K372),IFERROR(VLOOKUP(I372,FS_input_data!$C$107:$N$306,Export!J372,FALSE),""),K372)</f>
        <v/>
      </c>
      <c r="D372" s="6"/>
      <c r="F372" s="6"/>
      <c r="G372" s="6"/>
      <c r="H372" s="6" t="s">
        <v>2211</v>
      </c>
      <c r="I372" t="s">
        <v>1561</v>
      </c>
      <c r="J372" t="s">
        <v>1561</v>
      </c>
      <c r="L372">
        <f t="shared" si="11"/>
        <v>1</v>
      </c>
      <c r="M372" s="17"/>
      <c r="N372" s="11"/>
    </row>
    <row r="373" spans="1:14" x14ac:dyDescent="0.35">
      <c r="A373" s="9">
        <f t="shared" si="12"/>
        <v>372</v>
      </c>
      <c r="B373" t="s">
        <v>111</v>
      </c>
      <c r="C373" s="109">
        <f>IF(ISBLANK(K373),IFERROR(VLOOKUP(I373,FS_input_data!$C$107:$N$306,Export!J373,FALSE),""),K373)</f>
        <v>118</v>
      </c>
      <c r="D373" s="6" t="b">
        <v>1</v>
      </c>
      <c r="F373" s="6"/>
      <c r="G373" s="6"/>
      <c r="H373" s="6" t="s">
        <v>2211</v>
      </c>
      <c r="I373" t="s">
        <v>1038</v>
      </c>
      <c r="J373">
        <v>4</v>
      </c>
      <c r="L373" s="9" t="e">
        <f t="shared" si="11"/>
        <v>#VALUE!</v>
      </c>
      <c r="M373" s="17"/>
      <c r="N373" s="11"/>
    </row>
    <row r="374" spans="1:14" x14ac:dyDescent="0.35">
      <c r="A374">
        <f t="shared" si="12"/>
        <v>373</v>
      </c>
      <c r="B374" t="s">
        <v>112</v>
      </c>
      <c r="C374" s="109" t="str">
        <f>IF(ISBLANK(K374),IFERROR(VLOOKUP(I374,FS_input_data!$C$107:$N$306,Export!J374,FALSE),""),K374)</f>
        <v/>
      </c>
      <c r="D374" s="6"/>
      <c r="F374" s="6"/>
      <c r="G374" s="6"/>
      <c r="H374" s="6" t="s">
        <v>2211</v>
      </c>
      <c r="I374" t="s">
        <v>1561</v>
      </c>
      <c r="J374" t="s">
        <v>1561</v>
      </c>
      <c r="L374">
        <f t="shared" si="11"/>
        <v>1</v>
      </c>
      <c r="M374" s="10"/>
      <c r="N374" s="11"/>
    </row>
    <row r="375" spans="1:14" x14ac:dyDescent="0.35">
      <c r="A375">
        <f t="shared" si="12"/>
        <v>374</v>
      </c>
      <c r="B375" t="s">
        <v>146</v>
      </c>
      <c r="C375" s="109" t="str">
        <f>IF(ISBLANK(K375),IFERROR(VLOOKUP(I375,FS_input_data!$C$107:$N$306,Export!J375,FALSE),""),K375)</f>
        <v/>
      </c>
      <c r="D375" s="6"/>
      <c r="E375" t="s">
        <v>1561</v>
      </c>
      <c r="F375" s="6"/>
      <c r="G375" s="6"/>
      <c r="H375" s="6" t="s">
        <v>2211</v>
      </c>
      <c r="I375" t="s">
        <v>1561</v>
      </c>
      <c r="J375" t="s">
        <v>1561</v>
      </c>
      <c r="L375">
        <f t="shared" si="11"/>
        <v>1</v>
      </c>
      <c r="M375" s="10"/>
      <c r="N375" s="11"/>
    </row>
    <row r="376" spans="1:14" x14ac:dyDescent="0.35">
      <c r="A376">
        <f t="shared" si="12"/>
        <v>375</v>
      </c>
      <c r="B376" t="s">
        <v>147</v>
      </c>
      <c r="C376" s="109" t="str">
        <f>IF(ISBLANK(K376),IFERROR(VLOOKUP(I376,FS_input_data!$C$107:$N$306,Export!J376,FALSE),""),K376)</f>
        <v/>
      </c>
      <c r="D376" s="6"/>
      <c r="E376" t="s">
        <v>1042</v>
      </c>
      <c r="F376" s="6"/>
      <c r="G376" s="6"/>
      <c r="H376" s="6" t="s">
        <v>2211</v>
      </c>
      <c r="I376" t="s">
        <v>1561</v>
      </c>
      <c r="J376" t="s">
        <v>1561</v>
      </c>
      <c r="L376" s="26" t="e">
        <f t="shared" si="11"/>
        <v>#VALUE!</v>
      </c>
      <c r="M376" s="17"/>
      <c r="N376" s="17"/>
    </row>
    <row r="377" spans="1:14" x14ac:dyDescent="0.35">
      <c r="A377" s="9">
        <f t="shared" si="12"/>
        <v>376</v>
      </c>
      <c r="B377" t="s">
        <v>109</v>
      </c>
      <c r="C377" s="109">
        <f>IF(ISBLANK(K377),IFERROR(VLOOKUP(I377,FS_input_data!$C$107:$N$306,Export!J377,FALSE),""),K377)</f>
        <v>19</v>
      </c>
      <c r="D377" s="6" t="b">
        <v>1</v>
      </c>
      <c r="F377" s="6"/>
      <c r="G377" s="6"/>
      <c r="H377" s="6" t="s">
        <v>2211</v>
      </c>
      <c r="I377" t="s">
        <v>1041</v>
      </c>
      <c r="J377">
        <v>3</v>
      </c>
      <c r="L377" s="9" t="e">
        <f t="shared" si="11"/>
        <v>#VALUE!</v>
      </c>
      <c r="M377" s="10"/>
      <c r="N377" s="10"/>
    </row>
    <row r="378" spans="1:14" x14ac:dyDescent="0.35">
      <c r="A378">
        <f t="shared" si="12"/>
        <v>377</v>
      </c>
      <c r="B378" t="s">
        <v>110</v>
      </c>
      <c r="C378" s="109" t="str">
        <f>IF(ISBLANK(K378),IFERROR(VLOOKUP(I378,FS_input_data!$C$107:$N$306,Export!J378,FALSE),""),K378)</f>
        <v/>
      </c>
      <c r="D378" s="6"/>
      <c r="F378" s="6"/>
      <c r="G378" s="6"/>
      <c r="H378" s="6" t="s">
        <v>2211</v>
      </c>
      <c r="I378" t="s">
        <v>1561</v>
      </c>
      <c r="J378" t="s">
        <v>1561</v>
      </c>
      <c r="L378">
        <f t="shared" si="11"/>
        <v>1</v>
      </c>
      <c r="M378" s="17"/>
      <c r="N378" s="17"/>
    </row>
    <row r="379" spans="1:14" x14ac:dyDescent="0.35">
      <c r="A379" s="9">
        <f t="shared" si="12"/>
        <v>378</v>
      </c>
      <c r="B379" t="s">
        <v>111</v>
      </c>
      <c r="C379" s="109">
        <f>IF(ISBLANK(K379),IFERROR(VLOOKUP(I379,FS_input_data!$C$107:$N$306,Export!J379,FALSE),""),K379)</f>
        <v>119</v>
      </c>
      <c r="D379" s="6" t="b">
        <v>1</v>
      </c>
      <c r="F379" s="6"/>
      <c r="G379" s="6"/>
      <c r="H379" s="6" t="s">
        <v>2211</v>
      </c>
      <c r="I379" t="s">
        <v>1041</v>
      </c>
      <c r="J379">
        <v>4</v>
      </c>
      <c r="L379" s="9" t="e">
        <f t="shared" si="11"/>
        <v>#VALUE!</v>
      </c>
      <c r="M379" s="10"/>
      <c r="N379" s="11"/>
    </row>
    <row r="380" spans="1:14" x14ac:dyDescent="0.35">
      <c r="A380">
        <f t="shared" si="12"/>
        <v>379</v>
      </c>
      <c r="B380" t="s">
        <v>112</v>
      </c>
      <c r="C380" s="109" t="str">
        <f>IF(ISBLANK(K380),IFERROR(VLOOKUP(I380,FS_input_data!$C$107:$N$306,Export!J380,FALSE),""),K380)</f>
        <v/>
      </c>
      <c r="D380" s="6"/>
      <c r="E380" t="s">
        <v>1561</v>
      </c>
      <c r="F380" s="6"/>
      <c r="G380" s="6"/>
      <c r="H380" s="6" t="s">
        <v>2211</v>
      </c>
      <c r="I380" t="s">
        <v>1561</v>
      </c>
      <c r="J380" t="s">
        <v>1561</v>
      </c>
      <c r="L380">
        <f t="shared" si="11"/>
        <v>1</v>
      </c>
      <c r="M380" s="10"/>
      <c r="N380" s="11"/>
    </row>
    <row r="381" spans="1:14" x14ac:dyDescent="0.35">
      <c r="A381">
        <f t="shared" si="12"/>
        <v>380</v>
      </c>
      <c r="B381" t="s">
        <v>148</v>
      </c>
      <c r="C381" s="109" t="str">
        <f>IF(ISBLANK(K381),IFERROR(VLOOKUP(I381,FS_input_data!$C$107:$N$306,Export!J381,FALSE),""),K381)</f>
        <v/>
      </c>
      <c r="D381" s="6"/>
      <c r="E381" t="s">
        <v>1561</v>
      </c>
      <c r="F381" s="6"/>
      <c r="G381" s="6"/>
      <c r="H381" s="6" t="s">
        <v>2211</v>
      </c>
      <c r="I381" t="s">
        <v>1561</v>
      </c>
      <c r="J381" t="s">
        <v>1561</v>
      </c>
      <c r="L381">
        <f t="shared" si="11"/>
        <v>1</v>
      </c>
      <c r="M381" s="10"/>
      <c r="N381" s="11"/>
    </row>
    <row r="382" spans="1:14" x14ac:dyDescent="0.35">
      <c r="A382">
        <f t="shared" si="12"/>
        <v>381</v>
      </c>
      <c r="B382" t="s">
        <v>149</v>
      </c>
      <c r="C382" s="109" t="str">
        <f>IF(ISBLANK(K382),IFERROR(VLOOKUP(I382,FS_input_data!$C$107:$N$306,Export!J382,FALSE),""),K382)</f>
        <v/>
      </c>
      <c r="D382" s="6"/>
      <c r="F382" s="6"/>
      <c r="G382" s="6"/>
      <c r="H382" s="6" t="s">
        <v>2211</v>
      </c>
      <c r="I382" t="s">
        <v>1561</v>
      </c>
      <c r="J382" t="s">
        <v>1561</v>
      </c>
      <c r="L382">
        <f t="shared" si="11"/>
        <v>1</v>
      </c>
      <c r="M382" s="10"/>
      <c r="N382" s="11"/>
    </row>
    <row r="383" spans="1:14" x14ac:dyDescent="0.35">
      <c r="A383">
        <f t="shared" si="12"/>
        <v>382</v>
      </c>
      <c r="B383" t="s">
        <v>150</v>
      </c>
      <c r="C383" s="109" t="str">
        <f>IF(ISBLANK(K383),IFERROR(VLOOKUP(I383,FS_input_data!$C$107:$N$306,Export!J383,FALSE),""),K383)</f>
        <v/>
      </c>
      <c r="D383" s="6"/>
      <c r="E383" t="s">
        <v>1045</v>
      </c>
      <c r="F383" s="6"/>
      <c r="G383" s="6"/>
      <c r="H383" s="6" t="s">
        <v>2211</v>
      </c>
      <c r="I383" t="s">
        <v>1561</v>
      </c>
      <c r="J383" t="s">
        <v>1561</v>
      </c>
      <c r="L383" s="26" t="e">
        <f t="shared" si="11"/>
        <v>#VALUE!</v>
      </c>
      <c r="M383" s="17"/>
      <c r="N383" s="17"/>
    </row>
    <row r="384" spans="1:14" x14ac:dyDescent="0.35">
      <c r="A384" s="9">
        <f t="shared" si="12"/>
        <v>383</v>
      </c>
      <c r="B384" t="s">
        <v>109</v>
      </c>
      <c r="C384" s="109">
        <f>IF(ISBLANK(K384),IFERROR(VLOOKUP(I384,FS_input_data!$C$107:$N$306,Export!J384,FALSE),""),K384)</f>
        <v>460</v>
      </c>
      <c r="D384" s="6" t="b">
        <v>1</v>
      </c>
      <c r="F384" s="6"/>
      <c r="G384" s="6"/>
      <c r="H384" s="6" t="s">
        <v>2211</v>
      </c>
      <c r="I384" t="s">
        <v>1044</v>
      </c>
      <c r="J384">
        <v>3</v>
      </c>
      <c r="L384" s="9" t="e">
        <f t="shared" si="11"/>
        <v>#VALUE!</v>
      </c>
      <c r="M384" s="17"/>
      <c r="N384" s="17"/>
    </row>
    <row r="385" spans="1:14" x14ac:dyDescent="0.35">
      <c r="A385">
        <f t="shared" si="12"/>
        <v>384</v>
      </c>
      <c r="B385" t="s">
        <v>110</v>
      </c>
      <c r="C385" s="109" t="str">
        <f>IF(ISBLANK(K385),IFERROR(VLOOKUP(I385,FS_input_data!$C$107:$N$306,Export!J385,FALSE),""),K385)</f>
        <v/>
      </c>
      <c r="D385" s="6"/>
      <c r="F385" s="6"/>
      <c r="G385" s="6"/>
      <c r="H385" s="6" t="s">
        <v>2211</v>
      </c>
      <c r="I385" t="s">
        <v>1561</v>
      </c>
      <c r="J385" t="s">
        <v>1561</v>
      </c>
      <c r="L385">
        <f t="shared" si="11"/>
        <v>1</v>
      </c>
      <c r="M385" s="17"/>
      <c r="N385" s="17"/>
    </row>
    <row r="386" spans="1:14" x14ac:dyDescent="0.35">
      <c r="A386" s="9">
        <f t="shared" si="12"/>
        <v>385</v>
      </c>
      <c r="B386" t="s">
        <v>111</v>
      </c>
      <c r="C386" s="109">
        <f>IF(ISBLANK(K386),IFERROR(VLOOKUP(I386,FS_input_data!$C$107:$N$306,Export!J386,FALSE),""),K386)</f>
        <v>1960</v>
      </c>
      <c r="D386" s="6" t="b">
        <v>1</v>
      </c>
      <c r="F386" s="6"/>
      <c r="G386" s="6"/>
      <c r="H386" s="6" t="s">
        <v>2211</v>
      </c>
      <c r="I386" t="s">
        <v>1044</v>
      </c>
      <c r="J386">
        <v>4</v>
      </c>
      <c r="L386" s="9" t="e">
        <f t="shared" ref="L386:L449" si="13">FIND("/",B386)</f>
        <v>#VALUE!</v>
      </c>
      <c r="M386" s="10"/>
      <c r="N386" s="11"/>
    </row>
    <row r="387" spans="1:14" x14ac:dyDescent="0.35">
      <c r="A387">
        <f t="shared" ref="A387:A450" si="14">A386+1</f>
        <v>386</v>
      </c>
      <c r="B387" t="s">
        <v>112</v>
      </c>
      <c r="C387" s="109" t="str">
        <f>IF(ISBLANK(K387),IFERROR(VLOOKUP(I387,FS_input_data!$C$107:$N$306,Export!J387,FALSE),""),K387)</f>
        <v/>
      </c>
      <c r="D387" s="6"/>
      <c r="E387" t="s">
        <v>1561</v>
      </c>
      <c r="F387" s="6"/>
      <c r="G387" s="6"/>
      <c r="H387" s="6" t="s">
        <v>2211</v>
      </c>
      <c r="I387" t="s">
        <v>1561</v>
      </c>
      <c r="J387" t="s">
        <v>1561</v>
      </c>
      <c r="L387">
        <f t="shared" si="13"/>
        <v>1</v>
      </c>
      <c r="M387" s="17"/>
      <c r="N387" s="17"/>
    </row>
    <row r="388" spans="1:14" x14ac:dyDescent="0.35">
      <c r="A388">
        <f t="shared" si="14"/>
        <v>387</v>
      </c>
      <c r="B388" t="s">
        <v>151</v>
      </c>
      <c r="C388" s="109" t="str">
        <f>IF(ISBLANK(K388),IFERROR(VLOOKUP(I388,FS_input_data!$C$107:$N$306,Export!J388,FALSE),""),K388)</f>
        <v/>
      </c>
      <c r="D388" s="6"/>
      <c r="E388" t="s">
        <v>1048</v>
      </c>
      <c r="F388" s="6"/>
      <c r="G388" s="6"/>
      <c r="H388" s="6" t="s">
        <v>2211</v>
      </c>
      <c r="I388" t="s">
        <v>1561</v>
      </c>
      <c r="J388" t="s">
        <v>1561</v>
      </c>
      <c r="L388" s="26" t="e">
        <f t="shared" si="13"/>
        <v>#VALUE!</v>
      </c>
      <c r="M388" s="17"/>
      <c r="N388" s="17"/>
    </row>
    <row r="389" spans="1:14" x14ac:dyDescent="0.35">
      <c r="A389" s="9">
        <f t="shared" si="14"/>
        <v>388</v>
      </c>
      <c r="B389" t="s">
        <v>109</v>
      </c>
      <c r="C389" s="109">
        <f>IF(ISBLANK(K389),IFERROR(VLOOKUP(I389,FS_input_data!$C$107:$N$306,Export!J389,FALSE),""),K389)</f>
        <v>21</v>
      </c>
      <c r="D389" s="6" t="b">
        <v>1</v>
      </c>
      <c r="F389" s="6"/>
      <c r="G389" s="6"/>
      <c r="H389" s="6" t="s">
        <v>2211</v>
      </c>
      <c r="I389" t="s">
        <v>1047</v>
      </c>
      <c r="J389">
        <v>3</v>
      </c>
      <c r="L389" s="9" t="e">
        <f t="shared" si="13"/>
        <v>#VALUE!</v>
      </c>
      <c r="M389" s="17"/>
      <c r="N389" s="17"/>
    </row>
    <row r="390" spans="1:14" x14ac:dyDescent="0.35">
      <c r="A390">
        <f t="shared" si="14"/>
        <v>389</v>
      </c>
      <c r="B390" t="s">
        <v>110</v>
      </c>
      <c r="C390" s="109" t="str">
        <f>IF(ISBLANK(K390),IFERROR(VLOOKUP(I390,FS_input_data!$C$107:$N$306,Export!J390,FALSE),""),K390)</f>
        <v/>
      </c>
      <c r="D390" s="6"/>
      <c r="F390" s="6"/>
      <c r="G390" s="6"/>
      <c r="H390" s="6" t="s">
        <v>2211</v>
      </c>
      <c r="I390" t="s">
        <v>1561</v>
      </c>
      <c r="J390" t="s">
        <v>1561</v>
      </c>
      <c r="L390">
        <f t="shared" si="13"/>
        <v>1</v>
      </c>
      <c r="M390" s="10"/>
      <c r="N390" s="11"/>
    </row>
    <row r="391" spans="1:14" x14ac:dyDescent="0.35">
      <c r="A391" s="9">
        <f t="shared" si="14"/>
        <v>390</v>
      </c>
      <c r="B391" t="s">
        <v>111</v>
      </c>
      <c r="C391" s="109">
        <f>IF(ISBLANK(K391),IFERROR(VLOOKUP(I391,FS_input_data!$C$107:$N$306,Export!J391,FALSE),""),K391)</f>
        <v>121</v>
      </c>
      <c r="D391" s="6" t="b">
        <v>1</v>
      </c>
      <c r="F391" s="6"/>
      <c r="G391" s="6"/>
      <c r="H391" s="6" t="s">
        <v>2211</v>
      </c>
      <c r="I391" t="s">
        <v>1047</v>
      </c>
      <c r="J391">
        <v>4</v>
      </c>
      <c r="L391" s="9" t="e">
        <f t="shared" si="13"/>
        <v>#VALUE!</v>
      </c>
      <c r="M391" s="10"/>
      <c r="N391" s="11"/>
    </row>
    <row r="392" spans="1:14" x14ac:dyDescent="0.35">
      <c r="A392">
        <f t="shared" si="14"/>
        <v>391</v>
      </c>
      <c r="B392" t="s">
        <v>112</v>
      </c>
      <c r="C392" s="109" t="str">
        <f>IF(ISBLANK(K392),IFERROR(VLOOKUP(I392,FS_input_data!$C$107:$N$306,Export!J392,FALSE),""),K392)</f>
        <v/>
      </c>
      <c r="D392" s="6"/>
      <c r="F392" s="6"/>
      <c r="G392" s="6"/>
      <c r="H392" s="6" t="s">
        <v>2211</v>
      </c>
      <c r="I392" t="s">
        <v>1561</v>
      </c>
      <c r="J392" t="s">
        <v>1561</v>
      </c>
      <c r="L392">
        <f t="shared" si="13"/>
        <v>1</v>
      </c>
      <c r="M392" s="10"/>
      <c r="N392" s="11"/>
    </row>
    <row r="393" spans="1:14" x14ac:dyDescent="0.35">
      <c r="A393">
        <f t="shared" si="14"/>
        <v>392</v>
      </c>
      <c r="B393" t="s">
        <v>152</v>
      </c>
      <c r="C393" s="109" t="str">
        <f>IF(ISBLANK(K393),IFERROR(VLOOKUP(I393,FS_input_data!$C$107:$N$306,Export!J393,FALSE),""),K393)</f>
        <v/>
      </c>
      <c r="D393" s="6"/>
      <c r="E393" t="s">
        <v>1561</v>
      </c>
      <c r="F393" s="6"/>
      <c r="G393" s="6"/>
      <c r="H393" s="6" t="s">
        <v>2211</v>
      </c>
      <c r="I393" t="s">
        <v>1561</v>
      </c>
      <c r="J393" t="s">
        <v>1561</v>
      </c>
      <c r="L393">
        <f t="shared" si="13"/>
        <v>1</v>
      </c>
      <c r="M393" s="10"/>
      <c r="N393" s="11"/>
    </row>
    <row r="394" spans="1:14" x14ac:dyDescent="0.35">
      <c r="A394">
        <f t="shared" si="14"/>
        <v>393</v>
      </c>
      <c r="B394" t="s">
        <v>153</v>
      </c>
      <c r="C394" s="109" t="str">
        <f>IF(ISBLANK(K394),IFERROR(VLOOKUP(I394,FS_input_data!$C$107:$N$306,Export!J394,FALSE),""),K394)</f>
        <v/>
      </c>
      <c r="D394" s="6"/>
      <c r="E394" t="s">
        <v>1051</v>
      </c>
      <c r="F394" s="6"/>
      <c r="G394" s="6"/>
      <c r="H394" s="6" t="s">
        <v>2211</v>
      </c>
      <c r="I394" t="s">
        <v>1561</v>
      </c>
      <c r="J394" t="s">
        <v>1561</v>
      </c>
      <c r="L394" s="26" t="e">
        <f t="shared" si="13"/>
        <v>#VALUE!</v>
      </c>
      <c r="M394" s="10"/>
      <c r="N394" s="11"/>
    </row>
    <row r="395" spans="1:14" x14ac:dyDescent="0.35">
      <c r="A395" s="9">
        <f t="shared" si="14"/>
        <v>394</v>
      </c>
      <c r="B395" t="s">
        <v>109</v>
      </c>
      <c r="C395" s="109">
        <f>IF(ISBLANK(K395),IFERROR(VLOOKUP(I395,FS_input_data!$C$107:$N$306,Export!J395,FALSE),""),K395)</f>
        <v>22</v>
      </c>
      <c r="D395" s="6" t="b">
        <v>1</v>
      </c>
      <c r="F395" s="6"/>
      <c r="G395" s="6"/>
      <c r="H395" s="6" t="s">
        <v>2211</v>
      </c>
      <c r="I395" t="s">
        <v>1050</v>
      </c>
      <c r="J395">
        <v>3</v>
      </c>
      <c r="L395" s="9" t="e">
        <f t="shared" si="13"/>
        <v>#VALUE!</v>
      </c>
      <c r="M395" s="10"/>
      <c r="N395" s="11"/>
    </row>
    <row r="396" spans="1:14" x14ac:dyDescent="0.35">
      <c r="A396">
        <f t="shared" si="14"/>
        <v>395</v>
      </c>
      <c r="B396" t="s">
        <v>110</v>
      </c>
      <c r="C396" s="109" t="str">
        <f>IF(ISBLANK(K396),IFERROR(VLOOKUP(I396,FS_input_data!$C$107:$N$306,Export!J396,FALSE),""),K396)</f>
        <v/>
      </c>
      <c r="D396" s="6"/>
      <c r="F396" s="6"/>
      <c r="G396" s="6"/>
      <c r="H396" s="6" t="s">
        <v>2211</v>
      </c>
      <c r="I396" t="s">
        <v>1561</v>
      </c>
      <c r="J396" t="s">
        <v>1561</v>
      </c>
      <c r="L396">
        <f t="shared" si="13"/>
        <v>1</v>
      </c>
      <c r="M396" s="10"/>
      <c r="N396" s="11"/>
    </row>
    <row r="397" spans="1:14" x14ac:dyDescent="0.35">
      <c r="A397" s="9">
        <f t="shared" si="14"/>
        <v>396</v>
      </c>
      <c r="B397" t="s">
        <v>111</v>
      </c>
      <c r="C397" s="109">
        <f>IF(ISBLANK(K397),IFERROR(VLOOKUP(I397,FS_input_data!$C$107:$N$306,Export!J397,FALSE),""),K397)</f>
        <v>122</v>
      </c>
      <c r="D397" s="6" t="b">
        <v>1</v>
      </c>
      <c r="F397" s="6"/>
      <c r="G397" s="6"/>
      <c r="H397" s="6" t="s">
        <v>2211</v>
      </c>
      <c r="I397" t="s">
        <v>1050</v>
      </c>
      <c r="J397">
        <v>4</v>
      </c>
      <c r="L397" s="9" t="e">
        <f t="shared" si="13"/>
        <v>#VALUE!</v>
      </c>
      <c r="M397" s="10"/>
      <c r="N397" s="11"/>
    </row>
    <row r="398" spans="1:14" x14ac:dyDescent="0.35">
      <c r="A398">
        <f t="shared" si="14"/>
        <v>397</v>
      </c>
      <c r="B398" t="s">
        <v>112</v>
      </c>
      <c r="C398" s="109" t="str">
        <f>IF(ISBLANK(K398),IFERROR(VLOOKUP(I398,FS_input_data!$C$107:$N$306,Export!J398,FALSE),""),K398)</f>
        <v/>
      </c>
      <c r="D398" s="6"/>
      <c r="E398" t="s">
        <v>1561</v>
      </c>
      <c r="F398" s="6"/>
      <c r="G398" s="6"/>
      <c r="H398" s="6" t="s">
        <v>2211</v>
      </c>
      <c r="I398" t="s">
        <v>1561</v>
      </c>
      <c r="J398" t="s">
        <v>1561</v>
      </c>
      <c r="L398">
        <f t="shared" si="13"/>
        <v>1</v>
      </c>
      <c r="M398" s="17"/>
      <c r="N398" s="17"/>
    </row>
    <row r="399" spans="1:14" x14ac:dyDescent="0.35">
      <c r="A399">
        <f t="shared" si="14"/>
        <v>398</v>
      </c>
      <c r="B399" t="s">
        <v>154</v>
      </c>
      <c r="C399" s="109" t="str">
        <f>IF(ISBLANK(K399),IFERROR(VLOOKUP(I399,FS_input_data!$C$107:$N$306,Export!J399,FALSE),""),K399)</f>
        <v/>
      </c>
      <c r="D399" s="6"/>
      <c r="E399" t="s">
        <v>1561</v>
      </c>
      <c r="F399" s="6"/>
      <c r="G399" s="6"/>
      <c r="H399" s="6" t="s">
        <v>2211</v>
      </c>
      <c r="I399" t="s">
        <v>1561</v>
      </c>
      <c r="J399" t="s">
        <v>1561</v>
      </c>
      <c r="L399">
        <f t="shared" si="13"/>
        <v>1</v>
      </c>
      <c r="M399" s="10"/>
      <c r="N399" s="10"/>
    </row>
    <row r="400" spans="1:14" x14ac:dyDescent="0.35">
      <c r="A400">
        <f t="shared" si="14"/>
        <v>399</v>
      </c>
      <c r="B400" t="s">
        <v>155</v>
      </c>
      <c r="C400" s="109" t="str">
        <f>IF(ISBLANK(K400),IFERROR(VLOOKUP(I400,FS_input_data!$C$107:$N$306,Export!J400,FALSE),""),K400)</f>
        <v/>
      </c>
      <c r="D400" s="6"/>
      <c r="E400" t="s">
        <v>1054</v>
      </c>
      <c r="F400" s="6"/>
      <c r="G400" s="6"/>
      <c r="H400" s="6" t="s">
        <v>2211</v>
      </c>
      <c r="I400" t="s">
        <v>1561</v>
      </c>
      <c r="J400" t="s">
        <v>1561</v>
      </c>
      <c r="L400" s="26" t="e">
        <f t="shared" si="13"/>
        <v>#VALUE!</v>
      </c>
      <c r="M400" s="17"/>
      <c r="N400" s="17"/>
    </row>
    <row r="401" spans="1:14" x14ac:dyDescent="0.35">
      <c r="A401" s="9">
        <f t="shared" si="14"/>
        <v>400</v>
      </c>
      <c r="B401" t="s">
        <v>109</v>
      </c>
      <c r="C401" s="109">
        <f>IF(ISBLANK(K401),IFERROR(VLOOKUP(I401,FS_input_data!$C$107:$N$306,Export!J401,FALSE),""),K401)</f>
        <v>378</v>
      </c>
      <c r="D401" s="6" t="b">
        <v>1</v>
      </c>
      <c r="F401" s="6"/>
      <c r="G401" s="6"/>
      <c r="H401" s="6" t="s">
        <v>2211</v>
      </c>
      <c r="I401" t="s">
        <v>1053</v>
      </c>
      <c r="J401">
        <v>3</v>
      </c>
      <c r="L401" s="9" t="e">
        <f t="shared" si="13"/>
        <v>#VALUE!</v>
      </c>
      <c r="M401" s="10"/>
      <c r="N401" s="11"/>
    </row>
    <row r="402" spans="1:14" x14ac:dyDescent="0.35">
      <c r="A402">
        <f t="shared" si="14"/>
        <v>401</v>
      </c>
      <c r="B402" t="s">
        <v>110</v>
      </c>
      <c r="C402" s="109" t="str">
        <f>IF(ISBLANK(K402),IFERROR(VLOOKUP(I402,FS_input_data!$C$107:$N$306,Export!J402,FALSE),""),K402)</f>
        <v/>
      </c>
      <c r="D402" s="6"/>
      <c r="E402" t="s">
        <v>1561</v>
      </c>
      <c r="F402" s="6"/>
      <c r="G402" s="6"/>
      <c r="H402" s="6" t="s">
        <v>2211</v>
      </c>
      <c r="I402" t="s">
        <v>1561</v>
      </c>
      <c r="J402" t="s">
        <v>1561</v>
      </c>
      <c r="L402">
        <f t="shared" si="13"/>
        <v>1</v>
      </c>
      <c r="M402" s="17"/>
      <c r="N402" s="17"/>
    </row>
    <row r="403" spans="1:14" x14ac:dyDescent="0.35">
      <c r="A403" s="9">
        <f t="shared" si="14"/>
        <v>402</v>
      </c>
      <c r="B403" t="s">
        <v>111</v>
      </c>
      <c r="C403" s="109">
        <f>IF(ISBLANK(K403),IFERROR(VLOOKUP(I403,FS_input_data!$C$107:$N$306,Export!J403,FALSE),""),K403)</f>
        <v>1578</v>
      </c>
      <c r="D403" s="6" t="b">
        <v>1</v>
      </c>
      <c r="F403" s="6"/>
      <c r="G403" s="6"/>
      <c r="H403" s="6" t="s">
        <v>2211</v>
      </c>
      <c r="I403" t="s">
        <v>1053</v>
      </c>
      <c r="J403">
        <v>4</v>
      </c>
      <c r="L403" s="9" t="e">
        <f t="shared" si="13"/>
        <v>#VALUE!</v>
      </c>
      <c r="M403" s="17"/>
      <c r="N403" s="17"/>
    </row>
    <row r="404" spans="1:14" x14ac:dyDescent="0.35">
      <c r="A404">
        <f t="shared" si="14"/>
        <v>403</v>
      </c>
      <c r="B404" t="s">
        <v>112</v>
      </c>
      <c r="C404" s="109" t="str">
        <f>IF(ISBLANK(K404),IFERROR(VLOOKUP(I404,FS_input_data!$C$107:$N$306,Export!J404,FALSE),""),K404)</f>
        <v/>
      </c>
      <c r="D404" s="6"/>
      <c r="E404" t="s">
        <v>1561</v>
      </c>
      <c r="F404" s="6"/>
      <c r="G404" s="6"/>
      <c r="H404" s="6" t="s">
        <v>2211</v>
      </c>
      <c r="I404" t="s">
        <v>1561</v>
      </c>
      <c r="J404" t="s">
        <v>1561</v>
      </c>
      <c r="L404">
        <f t="shared" si="13"/>
        <v>1</v>
      </c>
      <c r="M404" s="17"/>
      <c r="N404" s="17"/>
    </row>
    <row r="405" spans="1:14" x14ac:dyDescent="0.35">
      <c r="A405">
        <f t="shared" si="14"/>
        <v>404</v>
      </c>
      <c r="B405" t="s">
        <v>156</v>
      </c>
      <c r="C405" s="109" t="str">
        <f>IF(ISBLANK(K405),IFERROR(VLOOKUP(I405,FS_input_data!$C$107:$N$306,Export!J405,FALSE),""),K405)</f>
        <v/>
      </c>
      <c r="D405" s="6"/>
      <c r="E405" t="s">
        <v>1057</v>
      </c>
      <c r="F405" s="6"/>
      <c r="G405" s="6"/>
      <c r="H405" s="6" t="s">
        <v>2211</v>
      </c>
      <c r="I405" t="s">
        <v>1561</v>
      </c>
      <c r="J405" t="s">
        <v>1561</v>
      </c>
      <c r="L405" s="26" t="e">
        <f t="shared" si="13"/>
        <v>#VALUE!</v>
      </c>
      <c r="M405" s="10"/>
      <c r="N405" s="11"/>
    </row>
    <row r="406" spans="1:14" x14ac:dyDescent="0.35">
      <c r="A406" s="9">
        <f t="shared" si="14"/>
        <v>405</v>
      </c>
      <c r="B406" t="s">
        <v>109</v>
      </c>
      <c r="C406" s="109">
        <f>IF(ISBLANK(K406),IFERROR(VLOOKUP(I406,FS_input_data!$C$107:$N$306,Export!J406,FALSE),""),K406)</f>
        <v>106</v>
      </c>
      <c r="D406" s="6" t="b">
        <v>1</v>
      </c>
      <c r="F406" s="6"/>
      <c r="G406" s="6"/>
      <c r="H406" s="6" t="s">
        <v>2211</v>
      </c>
      <c r="I406" t="s">
        <v>1056</v>
      </c>
      <c r="J406">
        <v>3</v>
      </c>
      <c r="L406" s="9" t="e">
        <f t="shared" si="13"/>
        <v>#VALUE!</v>
      </c>
      <c r="M406" s="10"/>
      <c r="N406" s="11"/>
    </row>
    <row r="407" spans="1:14" x14ac:dyDescent="0.35">
      <c r="A407">
        <f t="shared" si="14"/>
        <v>406</v>
      </c>
      <c r="B407" t="s">
        <v>110</v>
      </c>
      <c r="C407" s="109" t="str">
        <f>IF(ISBLANK(K407),IFERROR(VLOOKUP(I407,FS_input_data!$C$107:$N$306,Export!J407,FALSE),""),K407)</f>
        <v/>
      </c>
      <c r="D407" s="6"/>
      <c r="E407" t="s">
        <v>1561</v>
      </c>
      <c r="F407" s="6"/>
      <c r="G407" s="6"/>
      <c r="H407" s="6" t="s">
        <v>2211</v>
      </c>
      <c r="I407" t="s">
        <v>1561</v>
      </c>
      <c r="J407" t="s">
        <v>1561</v>
      </c>
      <c r="L407">
        <f t="shared" si="13"/>
        <v>1</v>
      </c>
      <c r="M407" s="10"/>
      <c r="N407" s="11"/>
    </row>
    <row r="408" spans="1:14" x14ac:dyDescent="0.35">
      <c r="A408" s="9">
        <f t="shared" si="14"/>
        <v>407</v>
      </c>
      <c r="B408" t="s">
        <v>111</v>
      </c>
      <c r="C408" s="109">
        <f>IF(ISBLANK(K408),IFERROR(VLOOKUP(I408,FS_input_data!$C$107:$N$306,Export!J408,FALSE),""),K408)</f>
        <v>506</v>
      </c>
      <c r="D408" s="6" t="b">
        <v>1</v>
      </c>
      <c r="F408" s="6"/>
      <c r="G408" s="6"/>
      <c r="H408" s="6" t="s">
        <v>2211</v>
      </c>
      <c r="I408" t="s">
        <v>1056</v>
      </c>
      <c r="J408">
        <v>4</v>
      </c>
      <c r="L408" s="9" t="e">
        <f t="shared" si="13"/>
        <v>#VALUE!</v>
      </c>
      <c r="M408" s="10"/>
      <c r="N408" s="11"/>
    </row>
    <row r="409" spans="1:14" x14ac:dyDescent="0.35">
      <c r="A409">
        <f t="shared" si="14"/>
        <v>408</v>
      </c>
      <c r="B409" t="s">
        <v>112</v>
      </c>
      <c r="C409" s="109" t="str">
        <f>IF(ISBLANK(K409),IFERROR(VLOOKUP(I409,FS_input_data!$C$107:$N$306,Export!J409,FALSE),""),K409)</f>
        <v/>
      </c>
      <c r="D409" s="6"/>
      <c r="E409" t="s">
        <v>1561</v>
      </c>
      <c r="F409" s="6"/>
      <c r="G409" s="6"/>
      <c r="H409" s="6" t="s">
        <v>2211</v>
      </c>
      <c r="I409" t="s">
        <v>1561</v>
      </c>
      <c r="J409" t="s">
        <v>1561</v>
      </c>
      <c r="L409">
        <f t="shared" si="13"/>
        <v>1</v>
      </c>
      <c r="M409" s="10"/>
      <c r="N409" s="11"/>
    </row>
    <row r="410" spans="1:14" x14ac:dyDescent="0.35">
      <c r="A410">
        <f t="shared" si="14"/>
        <v>409</v>
      </c>
      <c r="B410" t="s">
        <v>157</v>
      </c>
      <c r="C410" s="109" t="str">
        <f>IF(ISBLANK(K410),IFERROR(VLOOKUP(I410,FS_input_data!$C$107:$N$306,Export!J410,FALSE),""),K410)</f>
        <v/>
      </c>
      <c r="D410" s="6"/>
      <c r="E410" t="s">
        <v>1060</v>
      </c>
      <c r="F410" s="6"/>
      <c r="G410" s="6"/>
      <c r="H410" s="6" t="s">
        <v>2211</v>
      </c>
      <c r="I410" t="s">
        <v>1561</v>
      </c>
      <c r="J410" t="s">
        <v>1561</v>
      </c>
      <c r="L410" s="26" t="e">
        <f t="shared" si="13"/>
        <v>#VALUE!</v>
      </c>
      <c r="M410" s="10"/>
      <c r="N410" s="11"/>
    </row>
    <row r="411" spans="1:14" x14ac:dyDescent="0.35">
      <c r="A411" s="9">
        <f t="shared" si="14"/>
        <v>410</v>
      </c>
      <c r="B411" t="s">
        <v>109</v>
      </c>
      <c r="C411" s="109">
        <f>IF(ISBLANK(K411),IFERROR(VLOOKUP(I411,FS_input_data!$C$107:$N$306,Export!J411,FALSE),""),K411)</f>
        <v>25</v>
      </c>
      <c r="D411" s="6" t="b">
        <v>1</v>
      </c>
      <c r="F411" s="6"/>
      <c r="G411" s="6"/>
      <c r="H411" s="6" t="s">
        <v>2211</v>
      </c>
      <c r="I411" t="s">
        <v>1059</v>
      </c>
      <c r="J411">
        <v>3</v>
      </c>
      <c r="L411" s="9" t="e">
        <f t="shared" si="13"/>
        <v>#VALUE!</v>
      </c>
      <c r="M411" s="10"/>
      <c r="N411" s="11"/>
    </row>
    <row r="412" spans="1:14" x14ac:dyDescent="0.35">
      <c r="A412">
        <f t="shared" si="14"/>
        <v>411</v>
      </c>
      <c r="B412" t="s">
        <v>110</v>
      </c>
      <c r="C412" s="109" t="str">
        <f>IF(ISBLANK(K412),IFERROR(VLOOKUP(I412,FS_input_data!$C$107:$N$306,Export!J412,FALSE),""),K412)</f>
        <v/>
      </c>
      <c r="D412" s="6"/>
      <c r="E412" t="s">
        <v>1561</v>
      </c>
      <c r="F412" s="6"/>
      <c r="G412" s="6"/>
      <c r="H412" s="6" t="s">
        <v>2211</v>
      </c>
      <c r="I412" t="s">
        <v>1561</v>
      </c>
      <c r="J412" t="s">
        <v>1561</v>
      </c>
      <c r="L412">
        <f t="shared" si="13"/>
        <v>1</v>
      </c>
      <c r="M412" s="17"/>
      <c r="N412" s="17"/>
    </row>
    <row r="413" spans="1:14" x14ac:dyDescent="0.35">
      <c r="A413" s="9">
        <f t="shared" si="14"/>
        <v>412</v>
      </c>
      <c r="B413" t="s">
        <v>111</v>
      </c>
      <c r="C413" s="109">
        <f>IF(ISBLANK(K413),IFERROR(VLOOKUP(I413,FS_input_data!$C$107:$N$306,Export!J413,FALSE),""),K413)</f>
        <v>125</v>
      </c>
      <c r="D413" s="6" t="b">
        <v>1</v>
      </c>
      <c r="F413" s="6"/>
      <c r="G413" s="6"/>
      <c r="H413" s="6" t="s">
        <v>2211</v>
      </c>
      <c r="I413" t="s">
        <v>1059</v>
      </c>
      <c r="J413">
        <v>4</v>
      </c>
      <c r="L413" s="9" t="e">
        <f t="shared" si="13"/>
        <v>#VALUE!</v>
      </c>
      <c r="M413" s="10"/>
      <c r="N413" s="10"/>
    </row>
    <row r="414" spans="1:14" x14ac:dyDescent="0.35">
      <c r="A414">
        <f t="shared" si="14"/>
        <v>413</v>
      </c>
      <c r="B414" t="s">
        <v>112</v>
      </c>
      <c r="C414" s="109" t="str">
        <f>IF(ISBLANK(K414),IFERROR(VLOOKUP(I414,FS_input_data!$C$107:$N$306,Export!J414,FALSE),""),K414)</f>
        <v/>
      </c>
      <c r="D414" s="6"/>
      <c r="E414" t="s">
        <v>1561</v>
      </c>
      <c r="F414" s="6"/>
      <c r="G414" s="6"/>
      <c r="H414" s="6" t="s">
        <v>2211</v>
      </c>
      <c r="I414" t="s">
        <v>1561</v>
      </c>
      <c r="J414" t="s">
        <v>1561</v>
      </c>
      <c r="L414">
        <f t="shared" si="13"/>
        <v>1</v>
      </c>
      <c r="M414" s="17"/>
      <c r="N414" s="17"/>
    </row>
    <row r="415" spans="1:14" x14ac:dyDescent="0.35">
      <c r="A415">
        <f t="shared" si="14"/>
        <v>414</v>
      </c>
      <c r="B415" t="s">
        <v>158</v>
      </c>
      <c r="C415" s="109" t="str">
        <f>IF(ISBLANK(K415),IFERROR(VLOOKUP(I415,FS_input_data!$C$107:$N$306,Export!J415,FALSE),""),K415)</f>
        <v/>
      </c>
      <c r="D415" s="6"/>
      <c r="E415" t="s">
        <v>1561</v>
      </c>
      <c r="F415" s="6"/>
      <c r="G415" s="6"/>
      <c r="H415" s="6" t="s">
        <v>2211</v>
      </c>
      <c r="I415" t="s">
        <v>1561</v>
      </c>
      <c r="J415" t="s">
        <v>1561</v>
      </c>
      <c r="L415">
        <f t="shared" si="13"/>
        <v>1</v>
      </c>
      <c r="M415" s="10"/>
      <c r="N415" s="11"/>
    </row>
    <row r="416" spans="1:14" x14ac:dyDescent="0.35">
      <c r="A416">
        <f t="shared" si="14"/>
        <v>415</v>
      </c>
      <c r="B416" t="s">
        <v>159</v>
      </c>
      <c r="C416" s="109" t="str">
        <f>IF(ISBLANK(K416),IFERROR(VLOOKUP(I416,FS_input_data!$C$107:$N$306,Export!J416,FALSE),""),K416)</f>
        <v/>
      </c>
      <c r="D416" s="6"/>
      <c r="E416" t="s">
        <v>1063</v>
      </c>
      <c r="F416" s="6"/>
      <c r="G416" s="6"/>
      <c r="H416" s="6" t="s">
        <v>2211</v>
      </c>
      <c r="I416" t="s">
        <v>1561</v>
      </c>
      <c r="J416" t="s">
        <v>1561</v>
      </c>
      <c r="L416" s="26" t="e">
        <f t="shared" si="13"/>
        <v>#VALUE!</v>
      </c>
      <c r="M416" s="17"/>
      <c r="N416" s="17"/>
    </row>
    <row r="417" spans="1:14" x14ac:dyDescent="0.35">
      <c r="A417" s="9">
        <f t="shared" si="14"/>
        <v>416</v>
      </c>
      <c r="B417" t="s">
        <v>109</v>
      </c>
      <c r="C417" s="109">
        <f>IF(ISBLANK(K417),IFERROR(VLOOKUP(I417,FS_input_data!$C$107:$N$306,Export!J417,FALSE),""),K417)</f>
        <v>26</v>
      </c>
      <c r="D417" s="6" t="b">
        <v>1</v>
      </c>
      <c r="F417" s="6"/>
      <c r="G417" s="6"/>
      <c r="H417" s="6" t="s">
        <v>2211</v>
      </c>
      <c r="I417" t="s">
        <v>1062</v>
      </c>
      <c r="J417">
        <v>3</v>
      </c>
      <c r="L417" s="9" t="e">
        <f t="shared" si="13"/>
        <v>#VALUE!</v>
      </c>
      <c r="M417" s="17"/>
      <c r="N417" s="17"/>
    </row>
    <row r="418" spans="1:14" x14ac:dyDescent="0.35">
      <c r="A418">
        <f t="shared" si="14"/>
        <v>417</v>
      </c>
      <c r="B418" t="s">
        <v>110</v>
      </c>
      <c r="C418" s="109" t="str">
        <f>IF(ISBLANK(K418),IFERROR(VLOOKUP(I418,FS_input_data!$C$107:$N$306,Export!J418,FALSE),""),K418)</f>
        <v/>
      </c>
      <c r="D418" s="6"/>
      <c r="E418" t="s">
        <v>1561</v>
      </c>
      <c r="F418" s="6"/>
      <c r="G418" s="6"/>
      <c r="H418" s="6" t="s">
        <v>2211</v>
      </c>
      <c r="I418" t="s">
        <v>1561</v>
      </c>
      <c r="J418" t="s">
        <v>1561</v>
      </c>
      <c r="L418">
        <f t="shared" si="13"/>
        <v>1</v>
      </c>
      <c r="M418" s="17"/>
      <c r="N418" s="17"/>
    </row>
    <row r="419" spans="1:14" x14ac:dyDescent="0.35">
      <c r="A419" s="9">
        <f t="shared" si="14"/>
        <v>418</v>
      </c>
      <c r="B419" t="s">
        <v>111</v>
      </c>
      <c r="C419" s="109">
        <f>IF(ISBLANK(K419),IFERROR(VLOOKUP(I419,FS_input_data!$C$107:$N$306,Export!J419,FALSE),""),K419)</f>
        <v>126</v>
      </c>
      <c r="D419" s="6" t="b">
        <v>1</v>
      </c>
      <c r="F419" s="6"/>
      <c r="G419" s="6"/>
      <c r="H419" s="6" t="s">
        <v>2211</v>
      </c>
      <c r="I419" t="s">
        <v>1062</v>
      </c>
      <c r="J419">
        <v>4</v>
      </c>
      <c r="L419" s="9" t="e">
        <f t="shared" si="13"/>
        <v>#VALUE!</v>
      </c>
      <c r="M419" s="10"/>
      <c r="N419" s="11"/>
    </row>
    <row r="420" spans="1:14" x14ac:dyDescent="0.35">
      <c r="A420">
        <f t="shared" si="14"/>
        <v>419</v>
      </c>
      <c r="B420" t="s">
        <v>112</v>
      </c>
      <c r="C420" s="109" t="str">
        <f>IF(ISBLANK(K420),IFERROR(VLOOKUP(I420,FS_input_data!$C$107:$N$306,Export!J420,FALSE),""),K420)</f>
        <v/>
      </c>
      <c r="D420" s="6"/>
      <c r="E420" t="s">
        <v>1561</v>
      </c>
      <c r="F420" s="6"/>
      <c r="G420" s="6"/>
      <c r="H420" s="6" t="s">
        <v>2211</v>
      </c>
      <c r="I420" t="s">
        <v>1561</v>
      </c>
      <c r="J420" t="s">
        <v>1561</v>
      </c>
      <c r="L420">
        <f t="shared" si="13"/>
        <v>1</v>
      </c>
      <c r="M420" s="10"/>
      <c r="N420" s="11"/>
    </row>
    <row r="421" spans="1:14" x14ac:dyDescent="0.35">
      <c r="A421">
        <f t="shared" si="14"/>
        <v>420</v>
      </c>
      <c r="B421" t="s">
        <v>160</v>
      </c>
      <c r="C421" s="109" t="str">
        <f>IF(ISBLANK(K421),IFERROR(VLOOKUP(I421,FS_input_data!$C$107:$N$306,Export!J421,FALSE),""),K421)</f>
        <v/>
      </c>
      <c r="D421" s="6"/>
      <c r="E421" t="s">
        <v>1561</v>
      </c>
      <c r="F421" s="6"/>
      <c r="G421" s="6"/>
      <c r="H421" s="6" t="s">
        <v>2211</v>
      </c>
      <c r="I421" t="s">
        <v>1561</v>
      </c>
      <c r="J421" t="s">
        <v>1561</v>
      </c>
      <c r="L421">
        <f t="shared" si="13"/>
        <v>1</v>
      </c>
      <c r="M421" s="10"/>
      <c r="N421" s="11"/>
    </row>
    <row r="422" spans="1:14" x14ac:dyDescent="0.35">
      <c r="A422">
        <f t="shared" si="14"/>
        <v>421</v>
      </c>
      <c r="B422" t="s">
        <v>161</v>
      </c>
      <c r="C422" s="109" t="str">
        <f>IF(ISBLANK(K422),IFERROR(VLOOKUP(I422,FS_input_data!$C$107:$N$306,Export!J422,FALSE),""),K422)</f>
        <v/>
      </c>
      <c r="D422" s="6"/>
      <c r="E422" t="s">
        <v>1066</v>
      </c>
      <c r="F422" s="6"/>
      <c r="G422" s="6"/>
      <c r="H422" s="6" t="s">
        <v>2211</v>
      </c>
      <c r="I422" t="s">
        <v>1561</v>
      </c>
      <c r="J422" t="s">
        <v>1561</v>
      </c>
      <c r="L422" s="26" t="e">
        <f t="shared" si="13"/>
        <v>#VALUE!</v>
      </c>
      <c r="M422" s="10"/>
      <c r="N422" s="11"/>
    </row>
    <row r="423" spans="1:14" x14ac:dyDescent="0.35">
      <c r="A423" s="9">
        <f t="shared" si="14"/>
        <v>422</v>
      </c>
      <c r="B423" t="s">
        <v>109</v>
      </c>
      <c r="C423" s="109">
        <f>IF(ISBLANK(K423),IFERROR(VLOOKUP(I423,FS_input_data!$C$107:$N$306,Export!J423,FALSE),""),K423)</f>
        <v>27</v>
      </c>
      <c r="D423" s="6" t="b">
        <v>1</v>
      </c>
      <c r="F423" s="6"/>
      <c r="G423" s="6"/>
      <c r="H423" s="6" t="s">
        <v>2211</v>
      </c>
      <c r="I423" t="s">
        <v>1065</v>
      </c>
      <c r="J423">
        <v>3</v>
      </c>
      <c r="L423" s="9" t="e">
        <f t="shared" si="13"/>
        <v>#VALUE!</v>
      </c>
      <c r="M423" s="10"/>
      <c r="N423" s="11"/>
    </row>
    <row r="424" spans="1:14" x14ac:dyDescent="0.35">
      <c r="A424">
        <f t="shared" si="14"/>
        <v>423</v>
      </c>
      <c r="B424" t="s">
        <v>110</v>
      </c>
      <c r="C424" s="109" t="str">
        <f>IF(ISBLANK(K424),IFERROR(VLOOKUP(I424,FS_input_data!$C$107:$N$306,Export!J424,FALSE),""),K424)</f>
        <v/>
      </c>
      <c r="D424" s="6"/>
      <c r="E424" t="s">
        <v>1561</v>
      </c>
      <c r="F424" s="6"/>
      <c r="G424" s="6"/>
      <c r="H424" s="6" t="s">
        <v>2211</v>
      </c>
      <c r="I424" t="s">
        <v>1561</v>
      </c>
      <c r="J424" t="s">
        <v>1561</v>
      </c>
      <c r="L424">
        <f t="shared" si="13"/>
        <v>1</v>
      </c>
      <c r="M424" s="10"/>
      <c r="N424" s="11"/>
    </row>
    <row r="425" spans="1:14" x14ac:dyDescent="0.35">
      <c r="A425" s="9">
        <f t="shared" si="14"/>
        <v>424</v>
      </c>
      <c r="B425" t="s">
        <v>111</v>
      </c>
      <c r="C425" s="109">
        <f>IF(ISBLANK(K425),IFERROR(VLOOKUP(I425,FS_input_data!$C$107:$N$306,Export!J425,FALSE),""),K425)</f>
        <v>127</v>
      </c>
      <c r="D425" s="6" t="b">
        <v>1</v>
      </c>
      <c r="F425" s="6"/>
      <c r="G425" s="6"/>
      <c r="H425" s="6" t="s">
        <v>2211</v>
      </c>
      <c r="I425" t="s">
        <v>1065</v>
      </c>
      <c r="J425">
        <v>4</v>
      </c>
      <c r="L425" s="9" t="e">
        <f t="shared" si="13"/>
        <v>#VALUE!</v>
      </c>
      <c r="M425" s="10"/>
      <c r="N425" s="11"/>
    </row>
    <row r="426" spans="1:14" x14ac:dyDescent="0.35">
      <c r="A426">
        <f t="shared" si="14"/>
        <v>425</v>
      </c>
      <c r="B426" t="s">
        <v>112</v>
      </c>
      <c r="C426" s="109" t="str">
        <f>IF(ISBLANK(K426),IFERROR(VLOOKUP(I426,FS_input_data!$C$107:$N$306,Export!J426,FALSE),""),K426)</f>
        <v/>
      </c>
      <c r="D426" s="6"/>
      <c r="E426" t="s">
        <v>1561</v>
      </c>
      <c r="F426" s="6"/>
      <c r="G426" s="6"/>
      <c r="H426" s="6" t="s">
        <v>2211</v>
      </c>
      <c r="I426" t="s">
        <v>1561</v>
      </c>
      <c r="J426" t="s">
        <v>1561</v>
      </c>
      <c r="L426">
        <f t="shared" si="13"/>
        <v>1</v>
      </c>
      <c r="M426" s="10"/>
      <c r="N426" s="11"/>
    </row>
    <row r="427" spans="1:14" x14ac:dyDescent="0.35">
      <c r="A427">
        <f t="shared" si="14"/>
        <v>426</v>
      </c>
      <c r="B427" t="s">
        <v>162</v>
      </c>
      <c r="C427" s="109" t="str">
        <f>IF(ISBLANK(K427),IFERROR(VLOOKUP(I427,FS_input_data!$C$107:$N$306,Export!J427,FALSE),""),K427)</f>
        <v/>
      </c>
      <c r="D427" s="6"/>
      <c r="E427" t="s">
        <v>1561</v>
      </c>
      <c r="F427" s="6"/>
      <c r="G427" s="6"/>
      <c r="H427" s="6" t="s">
        <v>2211</v>
      </c>
      <c r="I427" t="s">
        <v>1561</v>
      </c>
      <c r="J427" t="s">
        <v>1561</v>
      </c>
      <c r="L427">
        <f t="shared" si="13"/>
        <v>1</v>
      </c>
      <c r="M427" s="10"/>
      <c r="N427" s="10"/>
    </row>
    <row r="428" spans="1:14" x14ac:dyDescent="0.35">
      <c r="A428">
        <f t="shared" si="14"/>
        <v>427</v>
      </c>
      <c r="B428" t="s">
        <v>163</v>
      </c>
      <c r="C428" s="109" t="str">
        <f>IF(ISBLANK(K428),IFERROR(VLOOKUP(I428,FS_input_data!$C$107:$N$306,Export!J428,FALSE),""),K428)</f>
        <v/>
      </c>
      <c r="D428" s="6"/>
      <c r="E428" t="s">
        <v>1069</v>
      </c>
      <c r="F428" s="6"/>
      <c r="G428" s="6"/>
      <c r="H428" s="6" t="s">
        <v>2211</v>
      </c>
      <c r="I428" t="s">
        <v>1561</v>
      </c>
      <c r="J428" t="s">
        <v>1561</v>
      </c>
      <c r="L428" s="26" t="e">
        <f t="shared" si="13"/>
        <v>#VALUE!</v>
      </c>
      <c r="M428" s="10"/>
      <c r="N428" s="10"/>
    </row>
    <row r="429" spans="1:14" x14ac:dyDescent="0.35">
      <c r="A429" s="9">
        <f t="shared" si="14"/>
        <v>428</v>
      </c>
      <c r="B429" t="s">
        <v>109</v>
      </c>
      <c r="C429" s="109">
        <f>IF(ISBLANK(K429),IFERROR(VLOOKUP(I429,FS_input_data!$C$107:$N$306,Export!J429,FALSE),""),K429)</f>
        <v>28</v>
      </c>
      <c r="D429" s="6" t="b">
        <v>1</v>
      </c>
      <c r="F429" s="6"/>
      <c r="G429" s="6"/>
      <c r="H429" s="6" t="s">
        <v>2211</v>
      </c>
      <c r="I429" t="s">
        <v>1068</v>
      </c>
      <c r="J429">
        <v>3</v>
      </c>
      <c r="L429" s="9" t="e">
        <f t="shared" si="13"/>
        <v>#VALUE!</v>
      </c>
      <c r="M429" s="10"/>
      <c r="N429" s="10"/>
    </row>
    <row r="430" spans="1:14" x14ac:dyDescent="0.35">
      <c r="A430">
        <f t="shared" si="14"/>
        <v>429</v>
      </c>
      <c r="B430" t="s">
        <v>110</v>
      </c>
      <c r="C430" s="109" t="str">
        <f>IF(ISBLANK(K430),IFERROR(VLOOKUP(I430,FS_input_data!$C$107:$N$306,Export!J430,FALSE),""),K430)</f>
        <v/>
      </c>
      <c r="D430" s="6"/>
      <c r="E430" t="s">
        <v>1561</v>
      </c>
      <c r="F430" s="6"/>
      <c r="G430" s="6"/>
      <c r="H430" s="6" t="s">
        <v>2211</v>
      </c>
      <c r="I430" t="s">
        <v>1561</v>
      </c>
      <c r="J430" t="s">
        <v>1561</v>
      </c>
      <c r="L430">
        <f t="shared" si="13"/>
        <v>1</v>
      </c>
      <c r="M430" s="10"/>
      <c r="N430" s="10"/>
    </row>
    <row r="431" spans="1:14" x14ac:dyDescent="0.35">
      <c r="A431" s="9">
        <f t="shared" si="14"/>
        <v>430</v>
      </c>
      <c r="B431" t="s">
        <v>111</v>
      </c>
      <c r="C431" s="109">
        <f>IF(ISBLANK(K431),IFERROR(VLOOKUP(I431,FS_input_data!$C$107:$N$306,Export!J431,FALSE),""),K431)</f>
        <v>128</v>
      </c>
      <c r="D431" s="6" t="b">
        <v>1</v>
      </c>
      <c r="F431" s="6"/>
      <c r="G431" s="6"/>
      <c r="H431" s="6" t="s">
        <v>2211</v>
      </c>
      <c r="I431" t="s">
        <v>1068</v>
      </c>
      <c r="J431">
        <v>4</v>
      </c>
      <c r="L431" s="9" t="e">
        <f t="shared" si="13"/>
        <v>#VALUE!</v>
      </c>
      <c r="M431" s="10"/>
      <c r="N431" s="10"/>
    </row>
    <row r="432" spans="1:14" x14ac:dyDescent="0.35">
      <c r="A432">
        <f t="shared" si="14"/>
        <v>431</v>
      </c>
      <c r="B432" t="s">
        <v>112</v>
      </c>
      <c r="C432" s="109" t="str">
        <f>IF(ISBLANK(K432),IFERROR(VLOOKUP(I432,FS_input_data!$C$107:$N$306,Export!J432,FALSE),""),K432)</f>
        <v/>
      </c>
      <c r="D432" s="6"/>
      <c r="E432" t="s">
        <v>1561</v>
      </c>
      <c r="F432" s="6"/>
      <c r="G432" s="6"/>
      <c r="H432" s="6" t="s">
        <v>2211</v>
      </c>
      <c r="I432" t="s">
        <v>1561</v>
      </c>
      <c r="J432" t="s">
        <v>1561</v>
      </c>
      <c r="L432">
        <f t="shared" si="13"/>
        <v>1</v>
      </c>
      <c r="M432" s="10"/>
      <c r="N432" s="10"/>
    </row>
    <row r="433" spans="1:14" x14ac:dyDescent="0.35">
      <c r="A433">
        <f t="shared" si="14"/>
        <v>432</v>
      </c>
      <c r="B433" t="s">
        <v>164</v>
      </c>
      <c r="C433" s="109" t="str">
        <f>IF(ISBLANK(K433),IFERROR(VLOOKUP(I433,FS_input_data!$C$107:$N$306,Export!J433,FALSE),""),K433)</f>
        <v/>
      </c>
      <c r="D433" s="6"/>
      <c r="E433" t="s">
        <v>1561</v>
      </c>
      <c r="F433" s="6"/>
      <c r="G433" s="6"/>
      <c r="H433" s="6" t="s">
        <v>2211</v>
      </c>
      <c r="I433" t="s">
        <v>1561</v>
      </c>
      <c r="J433" t="s">
        <v>1561</v>
      </c>
      <c r="L433">
        <f t="shared" si="13"/>
        <v>1</v>
      </c>
      <c r="M433" s="10"/>
      <c r="N433" s="10"/>
    </row>
    <row r="434" spans="1:14" x14ac:dyDescent="0.35">
      <c r="A434">
        <f t="shared" si="14"/>
        <v>433</v>
      </c>
      <c r="B434" t="s">
        <v>165</v>
      </c>
      <c r="C434" s="109" t="str">
        <f>IF(ISBLANK(K434),IFERROR(VLOOKUP(I434,FS_input_data!$C$107:$N$306,Export!J434,FALSE),""),K434)</f>
        <v/>
      </c>
      <c r="D434" s="6"/>
      <c r="E434" t="s">
        <v>1561</v>
      </c>
      <c r="F434" s="6"/>
      <c r="G434" s="6"/>
      <c r="H434" s="6" t="s">
        <v>2211</v>
      </c>
      <c r="I434" t="s">
        <v>1561</v>
      </c>
      <c r="J434" t="s">
        <v>1561</v>
      </c>
      <c r="L434">
        <f t="shared" si="13"/>
        <v>1</v>
      </c>
      <c r="M434" s="10"/>
      <c r="N434" s="10"/>
    </row>
    <row r="435" spans="1:14" x14ac:dyDescent="0.35">
      <c r="A435">
        <f t="shared" si="14"/>
        <v>434</v>
      </c>
      <c r="B435" t="s">
        <v>166</v>
      </c>
      <c r="C435" s="109" t="str">
        <f>IF(ISBLANK(K435),IFERROR(VLOOKUP(I435,FS_input_data!$C$107:$N$306,Export!J435,FALSE),""),K435)</f>
        <v/>
      </c>
      <c r="D435" s="6"/>
      <c r="E435" t="s">
        <v>1072</v>
      </c>
      <c r="F435" s="6"/>
      <c r="G435" s="6"/>
      <c r="H435" s="6" t="s">
        <v>2211</v>
      </c>
      <c r="I435" t="s">
        <v>1561</v>
      </c>
      <c r="J435" t="s">
        <v>1561</v>
      </c>
      <c r="L435" s="26" t="e">
        <f t="shared" si="13"/>
        <v>#VALUE!</v>
      </c>
      <c r="M435" s="10"/>
      <c r="N435" s="10"/>
    </row>
    <row r="436" spans="1:14" x14ac:dyDescent="0.35">
      <c r="A436" s="9">
        <f t="shared" si="14"/>
        <v>435</v>
      </c>
      <c r="B436" t="s">
        <v>109</v>
      </c>
      <c r="C436" s="109">
        <f>IF(ISBLANK(K436),IFERROR(VLOOKUP(I436,FS_input_data!$C$107:$N$306,Export!J436,FALSE),""),K436)</f>
        <v>126</v>
      </c>
      <c r="D436" s="6" t="b">
        <v>1</v>
      </c>
      <c r="F436" s="6"/>
      <c r="G436" s="6"/>
      <c r="H436" s="6" t="s">
        <v>2211</v>
      </c>
      <c r="I436" t="s">
        <v>1071</v>
      </c>
      <c r="J436">
        <v>3</v>
      </c>
      <c r="L436" s="9" t="e">
        <f t="shared" si="13"/>
        <v>#VALUE!</v>
      </c>
      <c r="M436" s="10"/>
      <c r="N436" s="10"/>
    </row>
    <row r="437" spans="1:14" x14ac:dyDescent="0.35">
      <c r="A437">
        <f t="shared" si="14"/>
        <v>436</v>
      </c>
      <c r="B437" t="s">
        <v>110</v>
      </c>
      <c r="C437" s="109" t="str">
        <f>IF(ISBLANK(K437),IFERROR(VLOOKUP(I437,FS_input_data!$C$107:$N$306,Export!J437,FALSE),""),K437)</f>
        <v/>
      </c>
      <c r="D437" s="6"/>
      <c r="E437" t="s">
        <v>1561</v>
      </c>
      <c r="F437" s="6"/>
      <c r="G437" s="6"/>
      <c r="H437" s="6" t="s">
        <v>2211</v>
      </c>
      <c r="I437" t="s">
        <v>1561</v>
      </c>
      <c r="J437" t="s">
        <v>1561</v>
      </c>
      <c r="L437">
        <f t="shared" si="13"/>
        <v>1</v>
      </c>
      <c r="M437" s="10"/>
      <c r="N437" s="10"/>
    </row>
    <row r="438" spans="1:14" x14ac:dyDescent="0.35">
      <c r="A438" s="9">
        <f t="shared" si="14"/>
        <v>437</v>
      </c>
      <c r="B438" t="s">
        <v>111</v>
      </c>
      <c r="C438" s="109">
        <f>IF(ISBLANK(K438),IFERROR(VLOOKUP(I438,FS_input_data!$C$107:$N$306,Export!J438,FALSE),""),K438)</f>
        <v>526</v>
      </c>
      <c r="D438" s="6" t="b">
        <v>1</v>
      </c>
      <c r="F438" s="6"/>
      <c r="G438" s="6"/>
      <c r="H438" s="6" t="s">
        <v>2211</v>
      </c>
      <c r="I438" t="s">
        <v>1071</v>
      </c>
      <c r="J438">
        <v>4</v>
      </c>
      <c r="L438" s="9" t="e">
        <f t="shared" si="13"/>
        <v>#VALUE!</v>
      </c>
      <c r="M438" s="10"/>
      <c r="N438" s="10"/>
    </row>
    <row r="439" spans="1:14" x14ac:dyDescent="0.35">
      <c r="A439">
        <f t="shared" si="14"/>
        <v>438</v>
      </c>
      <c r="B439" t="s">
        <v>112</v>
      </c>
      <c r="C439" s="109" t="str">
        <f>IF(ISBLANK(K439),IFERROR(VLOOKUP(I439,FS_input_data!$C$107:$N$306,Export!J439,FALSE),""),K439)</f>
        <v/>
      </c>
      <c r="D439" s="6"/>
      <c r="E439" t="s">
        <v>1561</v>
      </c>
      <c r="F439" s="6"/>
      <c r="G439" s="6"/>
      <c r="H439" s="6" t="s">
        <v>2211</v>
      </c>
      <c r="I439" t="s">
        <v>1561</v>
      </c>
      <c r="J439" t="s">
        <v>1561</v>
      </c>
      <c r="L439">
        <f t="shared" si="13"/>
        <v>1</v>
      </c>
      <c r="M439" s="10"/>
      <c r="N439" s="10"/>
    </row>
    <row r="440" spans="1:14" x14ac:dyDescent="0.35">
      <c r="A440">
        <f t="shared" si="14"/>
        <v>439</v>
      </c>
      <c r="B440" t="s">
        <v>167</v>
      </c>
      <c r="C440" s="109" t="str">
        <f>IF(ISBLANK(K440),IFERROR(VLOOKUP(I440,FS_input_data!$C$107:$N$306,Export!J440,FALSE),""),K440)</f>
        <v/>
      </c>
      <c r="D440" s="6"/>
      <c r="E440" t="s">
        <v>1060</v>
      </c>
      <c r="F440" s="6"/>
      <c r="G440" s="6"/>
      <c r="H440" s="6" t="s">
        <v>2211</v>
      </c>
      <c r="I440" t="s">
        <v>1561</v>
      </c>
      <c r="J440" t="s">
        <v>1561</v>
      </c>
      <c r="L440" s="26" t="e">
        <f t="shared" si="13"/>
        <v>#VALUE!</v>
      </c>
      <c r="M440" s="10"/>
      <c r="N440" s="10"/>
    </row>
    <row r="441" spans="1:14" x14ac:dyDescent="0.35">
      <c r="A441" s="9">
        <f t="shared" si="14"/>
        <v>440</v>
      </c>
      <c r="B441" t="s">
        <v>109</v>
      </c>
      <c r="C441" s="109">
        <f>IF(ISBLANK(K441),IFERROR(VLOOKUP(I441,FS_input_data!$C$107:$N$306,Export!J441,FALSE),""),K441)</f>
        <v>30</v>
      </c>
      <c r="D441" s="6" t="b">
        <v>1</v>
      </c>
      <c r="F441" s="6"/>
      <c r="G441" s="6"/>
      <c r="H441" s="6" t="s">
        <v>2211</v>
      </c>
      <c r="I441" t="s">
        <v>1074</v>
      </c>
      <c r="J441">
        <v>3</v>
      </c>
      <c r="L441" s="9" t="e">
        <f t="shared" si="13"/>
        <v>#VALUE!</v>
      </c>
      <c r="M441" s="10"/>
      <c r="N441" s="10"/>
    </row>
    <row r="442" spans="1:14" x14ac:dyDescent="0.35">
      <c r="A442">
        <f t="shared" si="14"/>
        <v>441</v>
      </c>
      <c r="B442" t="s">
        <v>110</v>
      </c>
      <c r="C442" s="109" t="str">
        <f>IF(ISBLANK(K442),IFERROR(VLOOKUP(I442,FS_input_data!$C$107:$N$306,Export!J442,FALSE),""),K442)</f>
        <v/>
      </c>
      <c r="D442" s="6"/>
      <c r="E442" t="s">
        <v>1561</v>
      </c>
      <c r="F442" s="6"/>
      <c r="G442" s="6"/>
      <c r="H442" s="6" t="s">
        <v>2211</v>
      </c>
      <c r="I442" t="s">
        <v>1561</v>
      </c>
      <c r="J442" t="s">
        <v>1561</v>
      </c>
      <c r="L442">
        <f t="shared" si="13"/>
        <v>1</v>
      </c>
      <c r="M442" s="10"/>
      <c r="N442" s="10"/>
    </row>
    <row r="443" spans="1:14" x14ac:dyDescent="0.35">
      <c r="A443" s="9">
        <f t="shared" si="14"/>
        <v>442</v>
      </c>
      <c r="B443" t="s">
        <v>111</v>
      </c>
      <c r="C443" s="109">
        <f>IF(ISBLANK(K443),IFERROR(VLOOKUP(I443,FS_input_data!$C$107:$N$306,Export!J443,FALSE),""),K443)</f>
        <v>130</v>
      </c>
      <c r="D443" s="6" t="b">
        <v>1</v>
      </c>
      <c r="F443" s="6"/>
      <c r="G443" s="6"/>
      <c r="H443" s="6" t="s">
        <v>2211</v>
      </c>
      <c r="I443" t="s">
        <v>1074</v>
      </c>
      <c r="J443">
        <v>4</v>
      </c>
      <c r="L443" s="9" t="e">
        <f t="shared" si="13"/>
        <v>#VALUE!</v>
      </c>
      <c r="M443" s="10"/>
      <c r="N443" s="10"/>
    </row>
    <row r="444" spans="1:14" x14ac:dyDescent="0.35">
      <c r="A444">
        <f t="shared" si="14"/>
        <v>443</v>
      </c>
      <c r="B444" t="s">
        <v>112</v>
      </c>
      <c r="C444" s="109" t="str">
        <f>IF(ISBLANK(K444),IFERROR(VLOOKUP(I444,FS_input_data!$C$107:$N$306,Export!J444,FALSE),""),K444)</f>
        <v/>
      </c>
      <c r="D444" s="6"/>
      <c r="E444" t="s">
        <v>1561</v>
      </c>
      <c r="F444" s="6"/>
      <c r="G444" s="6"/>
      <c r="H444" s="6" t="s">
        <v>2211</v>
      </c>
      <c r="I444" t="s">
        <v>1561</v>
      </c>
      <c r="J444" t="s">
        <v>1561</v>
      </c>
      <c r="L444">
        <f t="shared" si="13"/>
        <v>1</v>
      </c>
      <c r="M444" s="10"/>
      <c r="N444" s="10"/>
    </row>
    <row r="445" spans="1:14" x14ac:dyDescent="0.35">
      <c r="A445">
        <f t="shared" si="14"/>
        <v>444</v>
      </c>
      <c r="B445" t="s">
        <v>168</v>
      </c>
      <c r="C445" s="109" t="str">
        <f>IF(ISBLANK(K445),IFERROR(VLOOKUP(I445,FS_input_data!$C$107:$N$306,Export!J445,FALSE),""),K445)</f>
        <v/>
      </c>
      <c r="D445" s="6"/>
      <c r="E445" t="s">
        <v>1561</v>
      </c>
      <c r="F445" s="6"/>
      <c r="G445" s="6"/>
      <c r="H445" s="6" t="s">
        <v>2211</v>
      </c>
      <c r="I445" t="s">
        <v>1561</v>
      </c>
      <c r="J445" t="s">
        <v>1561</v>
      </c>
      <c r="L445">
        <f t="shared" si="13"/>
        <v>1</v>
      </c>
      <c r="M445" s="10"/>
      <c r="N445" s="10"/>
    </row>
    <row r="446" spans="1:14" x14ac:dyDescent="0.35">
      <c r="A446">
        <f t="shared" si="14"/>
        <v>445</v>
      </c>
      <c r="B446" t="s">
        <v>169</v>
      </c>
      <c r="C446" s="109" t="str">
        <f>IF(ISBLANK(K446),IFERROR(VLOOKUP(I446,FS_input_data!$C$107:$N$306,Export!J446,FALSE),""),K446)</f>
        <v/>
      </c>
      <c r="D446" s="6"/>
      <c r="E446" t="s">
        <v>1063</v>
      </c>
      <c r="F446" s="6"/>
      <c r="G446" s="6"/>
      <c r="H446" s="6" t="s">
        <v>2211</v>
      </c>
      <c r="I446" t="s">
        <v>1561</v>
      </c>
      <c r="J446" t="s">
        <v>1561</v>
      </c>
      <c r="L446" s="26" t="e">
        <f t="shared" si="13"/>
        <v>#VALUE!</v>
      </c>
      <c r="M446" s="10"/>
      <c r="N446" s="10"/>
    </row>
    <row r="447" spans="1:14" x14ac:dyDescent="0.35">
      <c r="A447" s="9">
        <f t="shared" si="14"/>
        <v>446</v>
      </c>
      <c r="B447" t="s">
        <v>109</v>
      </c>
      <c r="C447" s="109">
        <f>IF(ISBLANK(K447),IFERROR(VLOOKUP(I447,FS_input_data!$C$107:$N$306,Export!J447,FALSE),""),K447)</f>
        <v>31</v>
      </c>
      <c r="D447" s="6" t="b">
        <v>1</v>
      </c>
      <c r="F447" s="6"/>
      <c r="G447" s="6"/>
      <c r="H447" s="6" t="s">
        <v>2211</v>
      </c>
      <c r="I447" t="s">
        <v>1076</v>
      </c>
      <c r="J447">
        <v>3</v>
      </c>
      <c r="L447" s="9" t="e">
        <f t="shared" si="13"/>
        <v>#VALUE!</v>
      </c>
      <c r="M447" s="10"/>
      <c r="N447" s="10"/>
    </row>
    <row r="448" spans="1:14" x14ac:dyDescent="0.35">
      <c r="A448">
        <f t="shared" si="14"/>
        <v>447</v>
      </c>
      <c r="B448" t="s">
        <v>110</v>
      </c>
      <c r="C448" s="109" t="str">
        <f>IF(ISBLANK(K448),IFERROR(VLOOKUP(I448,FS_input_data!$C$107:$N$306,Export!J448,FALSE),""),K448)</f>
        <v/>
      </c>
      <c r="D448" s="6"/>
      <c r="E448" t="s">
        <v>1561</v>
      </c>
      <c r="F448" s="6"/>
      <c r="G448" s="6"/>
      <c r="H448" s="6" t="s">
        <v>2211</v>
      </c>
      <c r="I448" t="s">
        <v>1561</v>
      </c>
      <c r="J448" t="s">
        <v>1561</v>
      </c>
      <c r="L448">
        <f t="shared" si="13"/>
        <v>1</v>
      </c>
      <c r="M448" s="10"/>
      <c r="N448" s="10"/>
    </row>
    <row r="449" spans="1:14" x14ac:dyDescent="0.35">
      <c r="A449" s="9">
        <f t="shared" si="14"/>
        <v>448</v>
      </c>
      <c r="B449" t="s">
        <v>111</v>
      </c>
      <c r="C449" s="109">
        <f>IF(ISBLANK(K449),IFERROR(VLOOKUP(I449,FS_input_data!$C$107:$N$306,Export!J449,FALSE),""),K449)</f>
        <v>131</v>
      </c>
      <c r="D449" s="6" t="b">
        <v>1</v>
      </c>
      <c r="F449" s="6"/>
      <c r="G449" s="6"/>
      <c r="H449" s="6" t="s">
        <v>2211</v>
      </c>
      <c r="I449" t="s">
        <v>1076</v>
      </c>
      <c r="J449">
        <v>4</v>
      </c>
      <c r="L449" s="9" t="e">
        <f t="shared" si="13"/>
        <v>#VALUE!</v>
      </c>
      <c r="M449" s="10"/>
      <c r="N449" s="10"/>
    </row>
    <row r="450" spans="1:14" x14ac:dyDescent="0.35">
      <c r="A450">
        <f t="shared" si="14"/>
        <v>449</v>
      </c>
      <c r="B450" t="s">
        <v>112</v>
      </c>
      <c r="C450" s="109" t="str">
        <f>IF(ISBLANK(K450),IFERROR(VLOOKUP(I450,FS_input_data!$C$107:$N$306,Export!J450,FALSE),""),K450)</f>
        <v/>
      </c>
      <c r="D450" s="6"/>
      <c r="E450" t="s">
        <v>1561</v>
      </c>
      <c r="F450" s="6"/>
      <c r="G450" s="6"/>
      <c r="H450" s="6" t="s">
        <v>2211</v>
      </c>
      <c r="I450" t="s">
        <v>1561</v>
      </c>
      <c r="J450" t="s">
        <v>1561</v>
      </c>
      <c r="L450">
        <f t="shared" ref="L450:L513" si="15">FIND("/",B450)</f>
        <v>1</v>
      </c>
      <c r="M450" s="10"/>
      <c r="N450" s="10"/>
    </row>
    <row r="451" spans="1:14" x14ac:dyDescent="0.35">
      <c r="A451">
        <f t="shared" ref="A451:A514" si="16">A450+1</f>
        <v>450</v>
      </c>
      <c r="B451" t="s">
        <v>170</v>
      </c>
      <c r="C451" s="109" t="str">
        <f>IF(ISBLANK(K451),IFERROR(VLOOKUP(I451,FS_input_data!$C$107:$N$306,Export!J451,FALSE),""),K451)</f>
        <v/>
      </c>
      <c r="D451" s="6"/>
      <c r="E451" t="s">
        <v>1561</v>
      </c>
      <c r="F451" s="6"/>
      <c r="G451" s="6"/>
      <c r="H451" s="6" t="s">
        <v>2211</v>
      </c>
      <c r="I451" t="s">
        <v>1561</v>
      </c>
      <c r="J451" t="s">
        <v>1561</v>
      </c>
      <c r="L451">
        <f t="shared" si="15"/>
        <v>1</v>
      </c>
      <c r="M451" s="10"/>
      <c r="N451" s="10"/>
    </row>
    <row r="452" spans="1:14" x14ac:dyDescent="0.35">
      <c r="A452">
        <f t="shared" si="16"/>
        <v>451</v>
      </c>
      <c r="B452" t="s">
        <v>171</v>
      </c>
      <c r="C452" s="109" t="str">
        <f>IF(ISBLANK(K452),IFERROR(VLOOKUP(I452,FS_input_data!$C$107:$N$306,Export!J452,FALSE),""),K452)</f>
        <v/>
      </c>
      <c r="D452" s="6"/>
      <c r="E452" t="s">
        <v>1066</v>
      </c>
      <c r="F452" s="6"/>
      <c r="G452" s="6"/>
      <c r="H452" s="6" t="s">
        <v>2211</v>
      </c>
      <c r="I452" t="s">
        <v>1561</v>
      </c>
      <c r="J452" t="s">
        <v>1561</v>
      </c>
      <c r="L452" s="26" t="e">
        <f t="shared" si="15"/>
        <v>#VALUE!</v>
      </c>
      <c r="M452" s="10"/>
      <c r="N452" s="10"/>
    </row>
    <row r="453" spans="1:14" x14ac:dyDescent="0.35">
      <c r="A453" s="9">
        <f t="shared" si="16"/>
        <v>452</v>
      </c>
      <c r="B453" t="s">
        <v>109</v>
      </c>
      <c r="C453" s="109">
        <f>IF(ISBLANK(K453),IFERROR(VLOOKUP(I453,FS_input_data!$C$107:$N$306,Export!J453,FALSE),""),K453)</f>
        <v>32</v>
      </c>
      <c r="D453" s="6" t="b">
        <v>1</v>
      </c>
      <c r="F453" s="6"/>
      <c r="G453" s="6"/>
      <c r="H453" s="6" t="s">
        <v>2211</v>
      </c>
      <c r="I453" t="s">
        <v>1078</v>
      </c>
      <c r="J453">
        <v>3</v>
      </c>
      <c r="L453" s="9" t="e">
        <f t="shared" si="15"/>
        <v>#VALUE!</v>
      </c>
      <c r="M453" s="10"/>
      <c r="N453" s="10"/>
    </row>
    <row r="454" spans="1:14" x14ac:dyDescent="0.35">
      <c r="A454">
        <f t="shared" si="16"/>
        <v>453</v>
      </c>
      <c r="B454" t="s">
        <v>110</v>
      </c>
      <c r="C454" s="109" t="str">
        <f>IF(ISBLANK(K454),IFERROR(VLOOKUP(I454,FS_input_data!$C$107:$N$306,Export!J454,FALSE),""),K454)</f>
        <v/>
      </c>
      <c r="D454" s="6"/>
      <c r="E454" t="s">
        <v>1561</v>
      </c>
      <c r="F454" s="6"/>
      <c r="G454" s="6"/>
      <c r="H454" s="6" t="s">
        <v>2211</v>
      </c>
      <c r="I454" t="s">
        <v>1561</v>
      </c>
      <c r="J454" t="s">
        <v>1561</v>
      </c>
      <c r="L454">
        <f t="shared" si="15"/>
        <v>1</v>
      </c>
      <c r="M454" s="10"/>
      <c r="N454" s="10"/>
    </row>
    <row r="455" spans="1:14" x14ac:dyDescent="0.35">
      <c r="A455" s="9">
        <f t="shared" si="16"/>
        <v>454</v>
      </c>
      <c r="B455" t="s">
        <v>111</v>
      </c>
      <c r="C455" s="109">
        <f>IF(ISBLANK(K455),IFERROR(VLOOKUP(I455,FS_input_data!$C$107:$N$306,Export!J455,FALSE),""),K455)</f>
        <v>132</v>
      </c>
      <c r="D455" s="6" t="b">
        <v>1</v>
      </c>
      <c r="F455" s="6"/>
      <c r="G455" s="6"/>
      <c r="H455" s="6" t="s">
        <v>2211</v>
      </c>
      <c r="I455" t="s">
        <v>1078</v>
      </c>
      <c r="J455">
        <v>4</v>
      </c>
      <c r="L455" s="9" t="e">
        <f t="shared" si="15"/>
        <v>#VALUE!</v>
      </c>
      <c r="M455" s="10"/>
      <c r="N455" s="10"/>
    </row>
    <row r="456" spans="1:14" x14ac:dyDescent="0.35">
      <c r="A456">
        <f t="shared" si="16"/>
        <v>455</v>
      </c>
      <c r="B456" t="s">
        <v>112</v>
      </c>
      <c r="C456" s="109" t="str">
        <f>IF(ISBLANK(K456),IFERROR(VLOOKUP(I456,FS_input_data!$C$107:$N$306,Export!J456,FALSE),""),K456)</f>
        <v/>
      </c>
      <c r="D456" s="6"/>
      <c r="E456" t="s">
        <v>1561</v>
      </c>
      <c r="F456" s="6"/>
      <c r="G456" s="6"/>
      <c r="H456" s="6" t="s">
        <v>2211</v>
      </c>
      <c r="I456" t="s">
        <v>1561</v>
      </c>
      <c r="J456" t="s">
        <v>1561</v>
      </c>
      <c r="L456">
        <f t="shared" si="15"/>
        <v>1</v>
      </c>
      <c r="M456" s="10"/>
      <c r="N456" s="10"/>
    </row>
    <row r="457" spans="1:14" x14ac:dyDescent="0.35">
      <c r="A457">
        <f t="shared" si="16"/>
        <v>456</v>
      </c>
      <c r="B457" t="s">
        <v>172</v>
      </c>
      <c r="C457" s="109" t="str">
        <f>IF(ISBLANK(K457),IFERROR(VLOOKUP(I457,FS_input_data!$C$107:$N$306,Export!J457,FALSE),""),K457)</f>
        <v/>
      </c>
      <c r="D457" s="6"/>
      <c r="E457" t="s">
        <v>1561</v>
      </c>
      <c r="F457" s="6"/>
      <c r="G457" s="6"/>
      <c r="H457" s="6" t="s">
        <v>2211</v>
      </c>
      <c r="I457" t="s">
        <v>1561</v>
      </c>
      <c r="J457" t="s">
        <v>1561</v>
      </c>
      <c r="L457">
        <f t="shared" si="15"/>
        <v>1</v>
      </c>
      <c r="M457" s="10"/>
      <c r="N457" s="10"/>
    </row>
    <row r="458" spans="1:14" x14ac:dyDescent="0.35">
      <c r="A458">
        <f t="shared" si="16"/>
        <v>457</v>
      </c>
      <c r="B458" t="s">
        <v>173</v>
      </c>
      <c r="C458" s="109" t="str">
        <f>IF(ISBLANK(K458),IFERROR(VLOOKUP(I458,FS_input_data!$C$107:$N$306,Export!J458,FALSE),""),K458)</f>
        <v/>
      </c>
      <c r="D458" s="6"/>
      <c r="E458" t="s">
        <v>1069</v>
      </c>
      <c r="F458" s="6"/>
      <c r="G458" s="6"/>
      <c r="H458" s="6" t="s">
        <v>2211</v>
      </c>
      <c r="I458" t="s">
        <v>1561</v>
      </c>
      <c r="J458" t="s">
        <v>1561</v>
      </c>
      <c r="L458" s="26" t="e">
        <f t="shared" si="15"/>
        <v>#VALUE!</v>
      </c>
      <c r="M458" s="10"/>
      <c r="N458" s="10"/>
    </row>
    <row r="459" spans="1:14" x14ac:dyDescent="0.35">
      <c r="A459" s="9">
        <f t="shared" si="16"/>
        <v>458</v>
      </c>
      <c r="B459" t="s">
        <v>109</v>
      </c>
      <c r="C459" s="109">
        <f>IF(ISBLANK(K459),IFERROR(VLOOKUP(I459,FS_input_data!$C$107:$N$306,Export!J459,FALSE),""),K459)</f>
        <v>33</v>
      </c>
      <c r="D459" s="6" t="b">
        <v>1</v>
      </c>
      <c r="F459" s="6"/>
      <c r="G459" s="6"/>
      <c r="H459" s="6" t="s">
        <v>2211</v>
      </c>
      <c r="I459" t="s">
        <v>1080</v>
      </c>
      <c r="J459">
        <v>3</v>
      </c>
      <c r="L459" s="9" t="e">
        <f t="shared" si="15"/>
        <v>#VALUE!</v>
      </c>
      <c r="M459" s="10"/>
      <c r="N459" s="10"/>
    </row>
    <row r="460" spans="1:14" x14ac:dyDescent="0.35">
      <c r="A460">
        <f t="shared" si="16"/>
        <v>459</v>
      </c>
      <c r="B460" t="s">
        <v>110</v>
      </c>
      <c r="C460" s="109" t="str">
        <f>IF(ISBLANK(K460),IFERROR(VLOOKUP(I460,FS_input_data!$C$107:$N$306,Export!J460,FALSE),""),K460)</f>
        <v/>
      </c>
      <c r="D460" s="6"/>
      <c r="E460" t="s">
        <v>1561</v>
      </c>
      <c r="F460" s="6"/>
      <c r="G460" s="6"/>
      <c r="H460" s="6" t="s">
        <v>2211</v>
      </c>
      <c r="I460" t="s">
        <v>1561</v>
      </c>
      <c r="J460" t="s">
        <v>1561</v>
      </c>
      <c r="L460">
        <f t="shared" si="15"/>
        <v>1</v>
      </c>
      <c r="M460" s="10"/>
      <c r="N460" s="10"/>
    </row>
    <row r="461" spans="1:14" x14ac:dyDescent="0.35">
      <c r="A461" s="9">
        <f t="shared" si="16"/>
        <v>460</v>
      </c>
      <c r="B461" t="s">
        <v>111</v>
      </c>
      <c r="C461" s="109">
        <f>IF(ISBLANK(K461),IFERROR(VLOOKUP(I461,FS_input_data!$C$107:$N$306,Export!J461,FALSE),""),K461)</f>
        <v>133</v>
      </c>
      <c r="D461" s="6" t="b">
        <v>1</v>
      </c>
      <c r="F461" s="6"/>
      <c r="G461" s="6"/>
      <c r="H461" s="6" t="s">
        <v>2211</v>
      </c>
      <c r="I461" t="s">
        <v>1080</v>
      </c>
      <c r="J461">
        <v>4</v>
      </c>
      <c r="L461" s="9" t="e">
        <f t="shared" si="15"/>
        <v>#VALUE!</v>
      </c>
      <c r="M461" s="10"/>
      <c r="N461" s="10"/>
    </row>
    <row r="462" spans="1:14" x14ac:dyDescent="0.35">
      <c r="A462">
        <f t="shared" si="16"/>
        <v>461</v>
      </c>
      <c r="B462" t="s">
        <v>112</v>
      </c>
      <c r="C462" s="109" t="str">
        <f>IF(ISBLANK(K462),IFERROR(VLOOKUP(I462,FS_input_data!$C$107:$N$306,Export!J462,FALSE),""),K462)</f>
        <v/>
      </c>
      <c r="D462" s="6"/>
      <c r="E462" t="s">
        <v>1561</v>
      </c>
      <c r="F462" s="6"/>
      <c r="G462" s="6"/>
      <c r="H462" s="6" t="s">
        <v>2211</v>
      </c>
      <c r="I462" t="s">
        <v>1561</v>
      </c>
      <c r="J462" t="s">
        <v>1561</v>
      </c>
      <c r="L462">
        <f t="shared" si="15"/>
        <v>1</v>
      </c>
      <c r="M462" s="10"/>
      <c r="N462" s="10"/>
    </row>
    <row r="463" spans="1:14" x14ac:dyDescent="0.35">
      <c r="A463">
        <f t="shared" si="16"/>
        <v>462</v>
      </c>
      <c r="B463" t="s">
        <v>174</v>
      </c>
      <c r="C463" s="109" t="str">
        <f>IF(ISBLANK(K463),IFERROR(VLOOKUP(I463,FS_input_data!$C$107:$N$306,Export!J463,FALSE),""),K463)</f>
        <v/>
      </c>
      <c r="D463" s="6"/>
      <c r="E463" t="s">
        <v>1561</v>
      </c>
      <c r="F463" s="6"/>
      <c r="G463" s="6"/>
      <c r="H463" s="6" t="s">
        <v>2211</v>
      </c>
      <c r="I463" t="s">
        <v>1561</v>
      </c>
      <c r="J463" t="s">
        <v>1561</v>
      </c>
      <c r="L463">
        <f t="shared" si="15"/>
        <v>1</v>
      </c>
      <c r="M463" s="10"/>
      <c r="N463" s="10"/>
    </row>
    <row r="464" spans="1:14" x14ac:dyDescent="0.35">
      <c r="A464">
        <f t="shared" si="16"/>
        <v>463</v>
      </c>
      <c r="B464" t="s">
        <v>175</v>
      </c>
      <c r="C464" s="109" t="str">
        <f>IF(ISBLANK(K464),IFERROR(VLOOKUP(I464,FS_input_data!$C$107:$N$306,Export!J464,FALSE),""),K464)</f>
        <v/>
      </c>
      <c r="D464" s="6"/>
      <c r="E464" t="s">
        <v>1561</v>
      </c>
      <c r="F464" s="6"/>
      <c r="G464" s="6"/>
      <c r="H464" s="6" t="s">
        <v>2211</v>
      </c>
      <c r="I464" t="s">
        <v>1561</v>
      </c>
      <c r="J464" t="s">
        <v>1561</v>
      </c>
      <c r="L464">
        <f t="shared" si="15"/>
        <v>1</v>
      </c>
      <c r="M464" s="10"/>
      <c r="N464" s="10"/>
    </row>
    <row r="465" spans="1:14" x14ac:dyDescent="0.35">
      <c r="A465">
        <f t="shared" si="16"/>
        <v>464</v>
      </c>
      <c r="B465" t="s">
        <v>176</v>
      </c>
      <c r="C465" s="109" t="str">
        <f>IF(ISBLANK(K465),IFERROR(VLOOKUP(I465,FS_input_data!$C$107:$N$306,Export!J465,FALSE),""),K465)</f>
        <v/>
      </c>
      <c r="D465" s="6"/>
      <c r="E465" t="s">
        <v>1083</v>
      </c>
      <c r="F465" s="6"/>
      <c r="G465" s="6"/>
      <c r="H465" s="6" t="s">
        <v>2211</v>
      </c>
      <c r="I465" t="s">
        <v>1561</v>
      </c>
      <c r="J465" t="s">
        <v>1561</v>
      </c>
      <c r="L465" s="26" t="e">
        <f t="shared" si="15"/>
        <v>#VALUE!</v>
      </c>
      <c r="M465" s="10"/>
      <c r="N465" s="10"/>
    </row>
    <row r="466" spans="1:14" x14ac:dyDescent="0.35">
      <c r="A466" s="9">
        <f t="shared" si="16"/>
        <v>465</v>
      </c>
      <c r="B466" t="s">
        <v>109</v>
      </c>
      <c r="C466" s="109">
        <f>IF(ISBLANK(K466),IFERROR(VLOOKUP(I466,FS_input_data!$C$107:$N$306,Export!J466,FALSE),""),K466)</f>
        <v>146</v>
      </c>
      <c r="D466" s="6" t="b">
        <v>1</v>
      </c>
      <c r="F466" s="6"/>
      <c r="G466" s="6"/>
      <c r="H466" s="6" t="s">
        <v>2211</v>
      </c>
      <c r="I466" t="s">
        <v>1082</v>
      </c>
      <c r="J466">
        <v>3</v>
      </c>
      <c r="L466" s="9" t="e">
        <f t="shared" si="15"/>
        <v>#VALUE!</v>
      </c>
      <c r="M466" s="10"/>
      <c r="N466" s="10"/>
    </row>
    <row r="467" spans="1:14" x14ac:dyDescent="0.35">
      <c r="A467">
        <f t="shared" si="16"/>
        <v>466</v>
      </c>
      <c r="B467" t="s">
        <v>110</v>
      </c>
      <c r="C467" s="109" t="str">
        <f>IF(ISBLANK(K467),IFERROR(VLOOKUP(I467,FS_input_data!$C$107:$N$306,Export!J467,FALSE),""),K467)</f>
        <v/>
      </c>
      <c r="D467" s="6"/>
      <c r="E467" t="s">
        <v>1561</v>
      </c>
      <c r="F467" s="6"/>
      <c r="G467" s="6"/>
      <c r="H467" s="6" t="s">
        <v>2211</v>
      </c>
      <c r="I467" t="s">
        <v>1561</v>
      </c>
      <c r="J467" t="s">
        <v>1561</v>
      </c>
      <c r="L467">
        <f t="shared" si="15"/>
        <v>1</v>
      </c>
      <c r="M467" s="10"/>
      <c r="N467" s="10"/>
    </row>
    <row r="468" spans="1:14" x14ac:dyDescent="0.35">
      <c r="A468" s="9">
        <f t="shared" si="16"/>
        <v>467</v>
      </c>
      <c r="B468" t="s">
        <v>111</v>
      </c>
      <c r="C468" s="109">
        <f>IF(ISBLANK(K468),IFERROR(VLOOKUP(I468,FS_input_data!$C$107:$N$306,Export!J468,FALSE),""),K468)</f>
        <v>546</v>
      </c>
      <c r="D468" s="6" t="b">
        <v>1</v>
      </c>
      <c r="F468" s="6"/>
      <c r="G468" s="6"/>
      <c r="H468" s="6" t="s">
        <v>2211</v>
      </c>
      <c r="I468" t="s">
        <v>1082</v>
      </c>
      <c r="J468">
        <v>4</v>
      </c>
      <c r="L468" s="9" t="e">
        <f t="shared" si="15"/>
        <v>#VALUE!</v>
      </c>
      <c r="M468" s="10"/>
      <c r="N468" s="10"/>
    </row>
    <row r="469" spans="1:14" x14ac:dyDescent="0.35">
      <c r="A469">
        <f t="shared" si="16"/>
        <v>468</v>
      </c>
      <c r="B469" t="s">
        <v>112</v>
      </c>
      <c r="C469" s="109" t="str">
        <f>IF(ISBLANK(K469),IFERROR(VLOOKUP(I469,FS_input_data!$C$107:$N$306,Export!J469,FALSE),""),K469)</f>
        <v/>
      </c>
      <c r="D469" s="6"/>
      <c r="E469" t="s">
        <v>1561</v>
      </c>
      <c r="F469" s="6"/>
      <c r="G469" s="6"/>
      <c r="H469" s="6" t="s">
        <v>2211</v>
      </c>
      <c r="I469" t="s">
        <v>1561</v>
      </c>
      <c r="J469" t="s">
        <v>1561</v>
      </c>
      <c r="L469">
        <f t="shared" si="15"/>
        <v>1</v>
      </c>
      <c r="M469" s="10"/>
      <c r="N469" s="10"/>
    </row>
    <row r="470" spans="1:14" x14ac:dyDescent="0.35">
      <c r="A470">
        <f t="shared" si="16"/>
        <v>469</v>
      </c>
      <c r="B470" t="s">
        <v>177</v>
      </c>
      <c r="C470" s="109" t="str">
        <f>IF(ISBLANK(K470),IFERROR(VLOOKUP(I470,FS_input_data!$C$107:$N$306,Export!J470,FALSE),""),K470)</f>
        <v/>
      </c>
      <c r="D470" s="6"/>
      <c r="E470" t="s">
        <v>1060</v>
      </c>
      <c r="F470" s="6"/>
      <c r="G470" s="6"/>
      <c r="H470" s="6" t="s">
        <v>2211</v>
      </c>
      <c r="I470" t="s">
        <v>1561</v>
      </c>
      <c r="J470" t="s">
        <v>1561</v>
      </c>
      <c r="L470" s="26" t="e">
        <f t="shared" si="15"/>
        <v>#VALUE!</v>
      </c>
      <c r="M470" s="10"/>
      <c r="N470" s="10"/>
    </row>
    <row r="471" spans="1:14" x14ac:dyDescent="0.35">
      <c r="A471" s="9">
        <f t="shared" si="16"/>
        <v>470</v>
      </c>
      <c r="B471" t="s">
        <v>109</v>
      </c>
      <c r="C471" s="109">
        <f>IF(ISBLANK(K471),IFERROR(VLOOKUP(I471,FS_input_data!$C$107:$N$306,Export!J471,FALSE),""),K471)</f>
        <v>35</v>
      </c>
      <c r="D471" s="6" t="b">
        <v>1</v>
      </c>
      <c r="F471" s="6"/>
      <c r="G471" s="6"/>
      <c r="H471" s="6" t="s">
        <v>2211</v>
      </c>
      <c r="I471" t="s">
        <v>1085</v>
      </c>
      <c r="J471">
        <v>3</v>
      </c>
      <c r="L471" s="9" t="e">
        <f t="shared" si="15"/>
        <v>#VALUE!</v>
      </c>
      <c r="M471" s="10"/>
      <c r="N471" s="10"/>
    </row>
    <row r="472" spans="1:14" x14ac:dyDescent="0.35">
      <c r="A472">
        <f t="shared" si="16"/>
        <v>471</v>
      </c>
      <c r="B472" t="s">
        <v>110</v>
      </c>
      <c r="C472" s="109" t="str">
        <f>IF(ISBLANK(K472),IFERROR(VLOOKUP(I472,FS_input_data!$C$107:$N$306,Export!J472,FALSE),""),K472)</f>
        <v/>
      </c>
      <c r="D472" s="6"/>
      <c r="E472" t="s">
        <v>1561</v>
      </c>
      <c r="F472" s="6"/>
      <c r="G472" s="6"/>
      <c r="H472" s="6" t="s">
        <v>2211</v>
      </c>
      <c r="I472" t="s">
        <v>1561</v>
      </c>
      <c r="J472" t="s">
        <v>1561</v>
      </c>
      <c r="L472">
        <f t="shared" si="15"/>
        <v>1</v>
      </c>
      <c r="M472" s="10"/>
      <c r="N472" s="10"/>
    </row>
    <row r="473" spans="1:14" x14ac:dyDescent="0.35">
      <c r="A473" s="9">
        <f t="shared" si="16"/>
        <v>472</v>
      </c>
      <c r="B473" t="s">
        <v>111</v>
      </c>
      <c r="C473" s="109">
        <f>IF(ISBLANK(K473),IFERROR(VLOOKUP(I473,FS_input_data!$C$107:$N$306,Export!J473,FALSE),""),K473)</f>
        <v>135</v>
      </c>
      <c r="D473" s="6" t="b">
        <v>1</v>
      </c>
      <c r="F473" s="6"/>
      <c r="G473" s="6"/>
      <c r="H473" s="6" t="s">
        <v>2211</v>
      </c>
      <c r="I473" t="s">
        <v>1085</v>
      </c>
      <c r="J473">
        <v>4</v>
      </c>
      <c r="L473" s="9" t="e">
        <f t="shared" si="15"/>
        <v>#VALUE!</v>
      </c>
      <c r="M473" s="10"/>
      <c r="N473" s="10"/>
    </row>
    <row r="474" spans="1:14" x14ac:dyDescent="0.35">
      <c r="A474">
        <f t="shared" si="16"/>
        <v>473</v>
      </c>
      <c r="B474" t="s">
        <v>112</v>
      </c>
      <c r="C474" s="109" t="str">
        <f>IF(ISBLANK(K474),IFERROR(VLOOKUP(I474,FS_input_data!$C$107:$N$306,Export!J474,FALSE),""),K474)</f>
        <v/>
      </c>
      <c r="D474" s="6"/>
      <c r="E474" t="s">
        <v>1561</v>
      </c>
      <c r="F474" s="6"/>
      <c r="G474" s="6"/>
      <c r="H474" s="6" t="s">
        <v>2211</v>
      </c>
      <c r="I474" t="s">
        <v>1561</v>
      </c>
      <c r="J474" t="s">
        <v>1561</v>
      </c>
      <c r="L474">
        <f t="shared" si="15"/>
        <v>1</v>
      </c>
      <c r="M474" s="10"/>
      <c r="N474" s="10"/>
    </row>
    <row r="475" spans="1:14" x14ac:dyDescent="0.35">
      <c r="A475">
        <f t="shared" si="16"/>
        <v>474</v>
      </c>
      <c r="B475" t="s">
        <v>178</v>
      </c>
      <c r="C475" s="109" t="str">
        <f>IF(ISBLANK(K475),IFERROR(VLOOKUP(I475,FS_input_data!$C$107:$N$306,Export!J475,FALSE),""),K475)</f>
        <v/>
      </c>
      <c r="D475" s="6"/>
      <c r="E475" t="s">
        <v>1561</v>
      </c>
      <c r="F475" s="6"/>
      <c r="G475" s="6"/>
      <c r="H475" s="6" t="s">
        <v>2211</v>
      </c>
      <c r="I475" t="s">
        <v>1561</v>
      </c>
      <c r="J475" t="s">
        <v>1561</v>
      </c>
      <c r="L475">
        <f t="shared" si="15"/>
        <v>1</v>
      </c>
      <c r="M475" s="10"/>
      <c r="N475" s="10"/>
    </row>
    <row r="476" spans="1:14" x14ac:dyDescent="0.35">
      <c r="A476">
        <f t="shared" si="16"/>
        <v>475</v>
      </c>
      <c r="B476" t="s">
        <v>179</v>
      </c>
      <c r="C476" s="109" t="str">
        <f>IF(ISBLANK(K476),IFERROR(VLOOKUP(I476,FS_input_data!$C$107:$N$306,Export!J476,FALSE),""),K476)</f>
        <v/>
      </c>
      <c r="D476" s="6"/>
      <c r="E476" t="s">
        <v>1063</v>
      </c>
      <c r="F476" s="6"/>
      <c r="G476" s="6"/>
      <c r="H476" s="6" t="s">
        <v>2211</v>
      </c>
      <c r="I476" t="s">
        <v>1561</v>
      </c>
      <c r="J476" t="s">
        <v>1561</v>
      </c>
      <c r="L476" s="26" t="e">
        <f t="shared" si="15"/>
        <v>#VALUE!</v>
      </c>
      <c r="M476" s="10"/>
      <c r="N476" s="10"/>
    </row>
    <row r="477" spans="1:14" x14ac:dyDescent="0.35">
      <c r="A477" s="9">
        <f t="shared" si="16"/>
        <v>476</v>
      </c>
      <c r="B477" t="s">
        <v>109</v>
      </c>
      <c r="C477" s="109">
        <f>IF(ISBLANK(K477),IFERROR(VLOOKUP(I477,FS_input_data!$C$107:$N$306,Export!J477,FALSE),""),K477)</f>
        <v>36</v>
      </c>
      <c r="D477" s="6" t="b">
        <v>1</v>
      </c>
      <c r="F477" s="6"/>
      <c r="G477" s="6"/>
      <c r="H477" s="6" t="s">
        <v>2211</v>
      </c>
      <c r="I477" t="s">
        <v>1087</v>
      </c>
      <c r="J477">
        <v>3</v>
      </c>
      <c r="L477" s="9" t="e">
        <f t="shared" si="15"/>
        <v>#VALUE!</v>
      </c>
      <c r="M477" s="10"/>
      <c r="N477" s="10"/>
    </row>
    <row r="478" spans="1:14" x14ac:dyDescent="0.35">
      <c r="A478">
        <f t="shared" si="16"/>
        <v>477</v>
      </c>
      <c r="B478" t="s">
        <v>110</v>
      </c>
      <c r="C478" s="109" t="str">
        <f>IF(ISBLANK(K478),IFERROR(VLOOKUP(I478,FS_input_data!$C$107:$N$306,Export!J478,FALSE),""),K478)</f>
        <v/>
      </c>
      <c r="D478" s="6"/>
      <c r="E478" t="s">
        <v>1561</v>
      </c>
      <c r="F478" s="6"/>
      <c r="G478" s="6"/>
      <c r="H478" s="6" t="s">
        <v>2211</v>
      </c>
      <c r="I478" t="s">
        <v>1561</v>
      </c>
      <c r="J478" t="s">
        <v>1561</v>
      </c>
      <c r="L478">
        <f t="shared" si="15"/>
        <v>1</v>
      </c>
      <c r="M478" s="10"/>
      <c r="N478" s="10"/>
    </row>
    <row r="479" spans="1:14" x14ac:dyDescent="0.35">
      <c r="A479" s="9">
        <f t="shared" si="16"/>
        <v>478</v>
      </c>
      <c r="B479" t="s">
        <v>111</v>
      </c>
      <c r="C479" s="109">
        <f>IF(ISBLANK(K479),IFERROR(VLOOKUP(I479,FS_input_data!$C$107:$N$306,Export!J479,FALSE),""),K479)</f>
        <v>136</v>
      </c>
      <c r="D479" s="6" t="b">
        <v>1</v>
      </c>
      <c r="F479" s="6"/>
      <c r="G479" s="6"/>
      <c r="H479" s="6" t="s">
        <v>2211</v>
      </c>
      <c r="I479" t="s">
        <v>1087</v>
      </c>
      <c r="J479">
        <v>4</v>
      </c>
      <c r="L479" s="9" t="e">
        <f t="shared" si="15"/>
        <v>#VALUE!</v>
      </c>
      <c r="M479" s="10"/>
      <c r="N479" s="10"/>
    </row>
    <row r="480" spans="1:14" x14ac:dyDescent="0.35">
      <c r="A480">
        <f t="shared" si="16"/>
        <v>479</v>
      </c>
      <c r="B480" t="s">
        <v>112</v>
      </c>
      <c r="C480" s="109" t="str">
        <f>IF(ISBLANK(K480),IFERROR(VLOOKUP(I480,FS_input_data!$C$107:$N$306,Export!J480,FALSE),""),K480)</f>
        <v/>
      </c>
      <c r="D480" s="6"/>
      <c r="E480" t="s">
        <v>1561</v>
      </c>
      <c r="F480" s="6"/>
      <c r="G480" s="6"/>
      <c r="H480" s="6" t="s">
        <v>2211</v>
      </c>
      <c r="I480" t="s">
        <v>1561</v>
      </c>
      <c r="J480" t="s">
        <v>1561</v>
      </c>
      <c r="L480">
        <f t="shared" si="15"/>
        <v>1</v>
      </c>
      <c r="M480" s="10"/>
      <c r="N480" s="10"/>
    </row>
    <row r="481" spans="1:14" x14ac:dyDescent="0.35">
      <c r="A481">
        <f t="shared" si="16"/>
        <v>480</v>
      </c>
      <c r="B481" t="s">
        <v>180</v>
      </c>
      <c r="C481" s="109" t="str">
        <f>IF(ISBLANK(K481),IFERROR(VLOOKUP(I481,FS_input_data!$C$107:$N$306,Export!J481,FALSE),""),K481)</f>
        <v/>
      </c>
      <c r="D481" s="6"/>
      <c r="E481" t="s">
        <v>1561</v>
      </c>
      <c r="F481" s="6"/>
      <c r="G481" s="6"/>
      <c r="H481" s="6" t="s">
        <v>2211</v>
      </c>
      <c r="I481" t="s">
        <v>1561</v>
      </c>
      <c r="J481" t="s">
        <v>1561</v>
      </c>
      <c r="L481">
        <f t="shared" si="15"/>
        <v>1</v>
      </c>
      <c r="M481" s="10"/>
      <c r="N481" s="10"/>
    </row>
    <row r="482" spans="1:14" x14ac:dyDescent="0.35">
      <c r="A482">
        <f t="shared" si="16"/>
        <v>481</v>
      </c>
      <c r="B482" t="s">
        <v>181</v>
      </c>
      <c r="C482" s="109" t="str">
        <f>IF(ISBLANK(K482),IFERROR(VLOOKUP(I482,FS_input_data!$C$107:$N$306,Export!J482,FALSE),""),K482)</f>
        <v/>
      </c>
      <c r="D482" s="6"/>
      <c r="E482" t="s">
        <v>1066</v>
      </c>
      <c r="F482" s="6"/>
      <c r="G482" s="6"/>
      <c r="H482" s="6" t="s">
        <v>2211</v>
      </c>
      <c r="I482" t="s">
        <v>1561</v>
      </c>
      <c r="J482" t="s">
        <v>1561</v>
      </c>
      <c r="L482" s="26" t="e">
        <f t="shared" si="15"/>
        <v>#VALUE!</v>
      </c>
      <c r="M482" s="10"/>
      <c r="N482" s="10"/>
    </row>
    <row r="483" spans="1:14" x14ac:dyDescent="0.35">
      <c r="A483" s="9">
        <f t="shared" si="16"/>
        <v>482</v>
      </c>
      <c r="B483" t="s">
        <v>109</v>
      </c>
      <c r="C483" s="109">
        <f>IF(ISBLANK(K483),IFERROR(VLOOKUP(I483,FS_input_data!$C$107:$N$306,Export!J483,FALSE),""),K483)</f>
        <v>37</v>
      </c>
      <c r="D483" s="6" t="b">
        <v>1</v>
      </c>
      <c r="F483" s="6"/>
      <c r="G483" s="6"/>
      <c r="H483" s="6" t="s">
        <v>2211</v>
      </c>
      <c r="I483" t="s">
        <v>1089</v>
      </c>
      <c r="J483">
        <v>3</v>
      </c>
      <c r="L483" s="9" t="e">
        <f t="shared" si="15"/>
        <v>#VALUE!</v>
      </c>
      <c r="M483" s="10"/>
      <c r="N483" s="10"/>
    </row>
    <row r="484" spans="1:14" x14ac:dyDescent="0.35">
      <c r="A484">
        <f t="shared" si="16"/>
        <v>483</v>
      </c>
      <c r="B484" t="s">
        <v>110</v>
      </c>
      <c r="C484" s="109" t="str">
        <f>IF(ISBLANK(K484),IFERROR(VLOOKUP(I484,FS_input_data!$C$107:$N$306,Export!J484,FALSE),""),K484)</f>
        <v/>
      </c>
      <c r="D484" s="6"/>
      <c r="E484" t="s">
        <v>1561</v>
      </c>
      <c r="F484" s="6"/>
      <c r="G484" s="6"/>
      <c r="H484" s="6" t="s">
        <v>2211</v>
      </c>
      <c r="I484" t="s">
        <v>1561</v>
      </c>
      <c r="J484" t="s">
        <v>1561</v>
      </c>
      <c r="L484">
        <f t="shared" si="15"/>
        <v>1</v>
      </c>
      <c r="M484" s="10"/>
      <c r="N484" s="10"/>
    </row>
    <row r="485" spans="1:14" x14ac:dyDescent="0.35">
      <c r="A485" s="9">
        <f t="shared" si="16"/>
        <v>484</v>
      </c>
      <c r="B485" t="s">
        <v>111</v>
      </c>
      <c r="C485" s="109">
        <f>IF(ISBLANK(K485),IFERROR(VLOOKUP(I485,FS_input_data!$C$107:$N$306,Export!J485,FALSE),""),K485)</f>
        <v>137</v>
      </c>
      <c r="D485" s="6" t="b">
        <v>1</v>
      </c>
      <c r="F485" s="6"/>
      <c r="G485" s="6"/>
      <c r="H485" s="6" t="s">
        <v>2211</v>
      </c>
      <c r="I485" t="s">
        <v>1089</v>
      </c>
      <c r="J485">
        <v>4</v>
      </c>
      <c r="L485" s="9" t="e">
        <f t="shared" si="15"/>
        <v>#VALUE!</v>
      </c>
      <c r="M485" s="10"/>
      <c r="N485" s="10"/>
    </row>
    <row r="486" spans="1:14" x14ac:dyDescent="0.35">
      <c r="A486">
        <f t="shared" si="16"/>
        <v>485</v>
      </c>
      <c r="B486" t="s">
        <v>112</v>
      </c>
      <c r="C486" s="109" t="str">
        <f>IF(ISBLANK(K486),IFERROR(VLOOKUP(I486,FS_input_data!$C$107:$N$306,Export!J486,FALSE),""),K486)</f>
        <v/>
      </c>
      <c r="D486" s="6"/>
      <c r="E486" t="s">
        <v>1561</v>
      </c>
      <c r="F486" s="6"/>
      <c r="G486" s="6"/>
      <c r="H486" s="6" t="s">
        <v>2211</v>
      </c>
      <c r="I486" t="s">
        <v>1561</v>
      </c>
      <c r="J486" t="s">
        <v>1561</v>
      </c>
      <c r="L486">
        <f t="shared" si="15"/>
        <v>1</v>
      </c>
      <c r="M486" s="10"/>
      <c r="N486" s="10"/>
    </row>
    <row r="487" spans="1:14" ht="15.5" x14ac:dyDescent="0.35">
      <c r="A487">
        <f t="shared" si="16"/>
        <v>486</v>
      </c>
      <c r="B487" t="s">
        <v>182</v>
      </c>
      <c r="C487" s="109" t="str">
        <f>IF(ISBLANK(K487),IFERROR(VLOOKUP(I487,FS_input_data!$C$107:$N$306,Export!J487,FALSE),""),K487)</f>
        <v/>
      </c>
      <c r="D487" s="6"/>
      <c r="E487" t="s">
        <v>1561</v>
      </c>
      <c r="F487" s="6"/>
      <c r="G487" s="6"/>
      <c r="H487" s="6" t="s">
        <v>2211</v>
      </c>
      <c r="I487" t="s">
        <v>1561</v>
      </c>
      <c r="J487" t="s">
        <v>1561</v>
      </c>
      <c r="L487">
        <f t="shared" si="15"/>
        <v>1</v>
      </c>
      <c r="M487" s="22"/>
      <c r="N487" s="22"/>
    </row>
    <row r="488" spans="1:14" ht="15.5" x14ac:dyDescent="0.35">
      <c r="A488">
        <f t="shared" si="16"/>
        <v>487</v>
      </c>
      <c r="B488" t="s">
        <v>183</v>
      </c>
      <c r="C488" s="109" t="str">
        <f>IF(ISBLANK(K488),IFERROR(VLOOKUP(I488,FS_input_data!$C$107:$N$306,Export!J488,FALSE),""),K488)</f>
        <v/>
      </c>
      <c r="D488" s="6"/>
      <c r="E488" t="s">
        <v>1069</v>
      </c>
      <c r="F488" s="6"/>
      <c r="G488" s="6"/>
      <c r="H488" s="6" t="s">
        <v>2211</v>
      </c>
      <c r="I488" t="s">
        <v>1561</v>
      </c>
      <c r="J488" t="s">
        <v>1561</v>
      </c>
      <c r="L488" s="26" t="e">
        <f t="shared" si="15"/>
        <v>#VALUE!</v>
      </c>
      <c r="M488" s="22"/>
      <c r="N488" s="22"/>
    </row>
    <row r="489" spans="1:14" ht="15.5" x14ac:dyDescent="0.35">
      <c r="A489" s="9">
        <f t="shared" si="16"/>
        <v>488</v>
      </c>
      <c r="B489" t="s">
        <v>109</v>
      </c>
      <c r="C489" s="109">
        <f>IF(ISBLANK(K489),IFERROR(VLOOKUP(I489,FS_input_data!$C$107:$N$306,Export!J489,FALSE),""),K489)</f>
        <v>38</v>
      </c>
      <c r="D489" s="6" t="b">
        <v>1</v>
      </c>
      <c r="F489" s="6"/>
      <c r="G489" s="6"/>
      <c r="H489" s="6" t="s">
        <v>2211</v>
      </c>
      <c r="I489" t="s">
        <v>1091</v>
      </c>
      <c r="J489">
        <v>3</v>
      </c>
      <c r="L489" s="9" t="e">
        <f t="shared" si="15"/>
        <v>#VALUE!</v>
      </c>
      <c r="M489" s="22"/>
      <c r="N489" s="23"/>
    </row>
    <row r="490" spans="1:14" ht="15.5" x14ac:dyDescent="0.35">
      <c r="A490">
        <f t="shared" si="16"/>
        <v>489</v>
      </c>
      <c r="B490" t="s">
        <v>110</v>
      </c>
      <c r="C490" s="109" t="str">
        <f>IF(ISBLANK(K490),IFERROR(VLOOKUP(I490,FS_input_data!$C$107:$N$306,Export!J490,FALSE),""),K490)</f>
        <v/>
      </c>
      <c r="D490" s="6"/>
      <c r="E490" t="s">
        <v>1561</v>
      </c>
      <c r="F490" s="6"/>
      <c r="G490" s="6"/>
      <c r="H490" s="6" t="s">
        <v>2211</v>
      </c>
      <c r="I490" t="s">
        <v>1561</v>
      </c>
      <c r="J490" t="s">
        <v>1561</v>
      </c>
      <c r="L490">
        <f t="shared" si="15"/>
        <v>1</v>
      </c>
      <c r="M490" s="22"/>
      <c r="N490" s="23"/>
    </row>
    <row r="491" spans="1:14" ht="15.5" x14ac:dyDescent="0.35">
      <c r="A491" s="9">
        <f t="shared" si="16"/>
        <v>490</v>
      </c>
      <c r="B491" t="s">
        <v>111</v>
      </c>
      <c r="C491" s="109">
        <f>IF(ISBLANK(K491),IFERROR(VLOOKUP(I491,FS_input_data!$C$107:$N$306,Export!J491,FALSE),""),K491)</f>
        <v>138</v>
      </c>
      <c r="D491" s="6" t="b">
        <v>1</v>
      </c>
      <c r="F491" s="6"/>
      <c r="G491" s="6"/>
      <c r="H491" s="6" t="s">
        <v>2211</v>
      </c>
      <c r="I491" t="s">
        <v>1091</v>
      </c>
      <c r="J491">
        <v>4</v>
      </c>
      <c r="L491" s="9" t="e">
        <f t="shared" si="15"/>
        <v>#VALUE!</v>
      </c>
      <c r="M491" s="22"/>
      <c r="N491" s="23"/>
    </row>
    <row r="492" spans="1:14" ht="15.5" x14ac:dyDescent="0.35">
      <c r="A492">
        <f t="shared" si="16"/>
        <v>491</v>
      </c>
      <c r="B492" t="s">
        <v>112</v>
      </c>
      <c r="C492" s="109" t="str">
        <f>IF(ISBLANK(K492),IFERROR(VLOOKUP(I492,FS_input_data!$C$107:$N$306,Export!J492,FALSE),""),K492)</f>
        <v/>
      </c>
      <c r="D492" s="6"/>
      <c r="E492" t="s">
        <v>1561</v>
      </c>
      <c r="F492" s="6"/>
      <c r="G492" s="6"/>
      <c r="H492" s="6" t="s">
        <v>2211</v>
      </c>
      <c r="I492" t="s">
        <v>1561</v>
      </c>
      <c r="J492" t="s">
        <v>1561</v>
      </c>
      <c r="L492">
        <f t="shared" si="15"/>
        <v>1</v>
      </c>
      <c r="M492" s="22"/>
      <c r="N492" s="23"/>
    </row>
    <row r="493" spans="1:14" ht="15.5" x14ac:dyDescent="0.35">
      <c r="A493">
        <f t="shared" si="16"/>
        <v>492</v>
      </c>
      <c r="B493" t="s">
        <v>184</v>
      </c>
      <c r="C493" s="109" t="str">
        <f>IF(ISBLANK(K493),IFERROR(VLOOKUP(I493,FS_input_data!$C$107:$N$306,Export!J493,FALSE),""),K493)</f>
        <v/>
      </c>
      <c r="D493" s="6"/>
      <c r="E493" t="s">
        <v>1561</v>
      </c>
      <c r="F493" s="6"/>
      <c r="G493" s="6"/>
      <c r="H493" s="6" t="s">
        <v>2211</v>
      </c>
      <c r="I493" t="s">
        <v>1561</v>
      </c>
      <c r="J493" t="s">
        <v>1561</v>
      </c>
      <c r="L493">
        <f t="shared" si="15"/>
        <v>1</v>
      </c>
      <c r="M493" s="22"/>
      <c r="N493" s="23"/>
    </row>
    <row r="494" spans="1:14" ht="15.5" x14ac:dyDescent="0.35">
      <c r="A494">
        <f t="shared" si="16"/>
        <v>493</v>
      </c>
      <c r="B494" t="s">
        <v>185</v>
      </c>
      <c r="C494" s="109" t="str">
        <f>IF(ISBLANK(K494),IFERROR(VLOOKUP(I494,FS_input_data!$C$107:$N$306,Export!J494,FALSE),""),K494)</f>
        <v/>
      </c>
      <c r="D494" s="6"/>
      <c r="E494" t="s">
        <v>1561</v>
      </c>
      <c r="F494" s="6"/>
      <c r="G494" s="6"/>
      <c r="H494" s="6" t="s">
        <v>2211</v>
      </c>
      <c r="I494" t="s">
        <v>1561</v>
      </c>
      <c r="J494" t="s">
        <v>1561</v>
      </c>
      <c r="L494">
        <f t="shared" si="15"/>
        <v>1</v>
      </c>
      <c r="M494" s="22"/>
      <c r="N494" s="23"/>
    </row>
    <row r="495" spans="1:14" ht="15.5" x14ac:dyDescent="0.35">
      <c r="A495">
        <f t="shared" si="16"/>
        <v>494</v>
      </c>
      <c r="B495" t="s">
        <v>186</v>
      </c>
      <c r="C495" s="109" t="str">
        <f>IF(ISBLANK(K495),IFERROR(VLOOKUP(I495,FS_input_data!$C$107:$N$306,Export!J495,FALSE),""),K495)</f>
        <v/>
      </c>
      <c r="D495" s="6"/>
      <c r="E495" t="s">
        <v>1561</v>
      </c>
      <c r="F495" s="6"/>
      <c r="G495" s="6"/>
      <c r="H495" s="6" t="s">
        <v>2211</v>
      </c>
      <c r="I495" t="s">
        <v>1561</v>
      </c>
      <c r="J495" t="s">
        <v>1561</v>
      </c>
      <c r="L495">
        <f t="shared" si="15"/>
        <v>1</v>
      </c>
      <c r="M495" s="22"/>
      <c r="N495" s="23"/>
    </row>
    <row r="496" spans="1:14" ht="15.5" x14ac:dyDescent="0.35">
      <c r="A496">
        <f t="shared" si="16"/>
        <v>495</v>
      </c>
      <c r="B496" t="s">
        <v>187</v>
      </c>
      <c r="C496" s="109" t="str">
        <f>IF(ISBLANK(K496),IFERROR(VLOOKUP(I496,FS_input_data!$C$107:$N$306,Export!J496,FALSE),""),K496)</f>
        <v/>
      </c>
      <c r="D496" s="6"/>
      <c r="E496" t="s">
        <v>1094</v>
      </c>
      <c r="F496" s="6"/>
      <c r="G496" s="6"/>
      <c r="H496" s="6" t="s">
        <v>2211</v>
      </c>
      <c r="I496" t="s">
        <v>1561</v>
      </c>
      <c r="J496" t="s">
        <v>1561</v>
      </c>
      <c r="L496" s="26" t="e">
        <f t="shared" si="15"/>
        <v>#VALUE!</v>
      </c>
      <c r="M496" s="22"/>
      <c r="N496" s="23"/>
    </row>
    <row r="497" spans="1:14" ht="15.5" x14ac:dyDescent="0.35">
      <c r="A497" s="9">
        <f t="shared" si="16"/>
        <v>496</v>
      </c>
      <c r="B497" t="s">
        <v>109</v>
      </c>
      <c r="C497" s="109">
        <f>IF(ISBLANK(K497),IFERROR(VLOOKUP(I497,FS_input_data!$C$107:$N$306,Export!J497,FALSE),""),K497)</f>
        <v>39</v>
      </c>
      <c r="D497" s="6" t="b">
        <v>1</v>
      </c>
      <c r="F497" s="6"/>
      <c r="G497" s="6"/>
      <c r="H497" s="6" t="s">
        <v>2211</v>
      </c>
      <c r="I497" t="s">
        <v>1093</v>
      </c>
      <c r="J497">
        <v>3</v>
      </c>
      <c r="L497" s="9" t="e">
        <f t="shared" si="15"/>
        <v>#VALUE!</v>
      </c>
      <c r="M497" s="22"/>
      <c r="N497" s="23"/>
    </row>
    <row r="498" spans="1:14" ht="15.5" x14ac:dyDescent="0.35">
      <c r="A498">
        <f t="shared" si="16"/>
        <v>497</v>
      </c>
      <c r="B498" t="s">
        <v>110</v>
      </c>
      <c r="C498" s="109" t="str">
        <f>IF(ISBLANK(K498),IFERROR(VLOOKUP(I498,FS_input_data!$C$107:$N$306,Export!J498,FALSE),""),K498)</f>
        <v/>
      </c>
      <c r="D498" s="6"/>
      <c r="E498" t="s">
        <v>1561</v>
      </c>
      <c r="F498" s="6"/>
      <c r="G498" s="6"/>
      <c r="H498" s="6" t="s">
        <v>2211</v>
      </c>
      <c r="I498" t="s">
        <v>1561</v>
      </c>
      <c r="J498" t="s">
        <v>1561</v>
      </c>
      <c r="L498">
        <f t="shared" si="15"/>
        <v>1</v>
      </c>
      <c r="M498" s="22"/>
      <c r="N498" s="23"/>
    </row>
    <row r="499" spans="1:14" ht="15.5" x14ac:dyDescent="0.35">
      <c r="A499" s="9">
        <f t="shared" si="16"/>
        <v>498</v>
      </c>
      <c r="B499" t="s">
        <v>111</v>
      </c>
      <c r="C499" s="109">
        <f>IF(ISBLANK(K499),IFERROR(VLOOKUP(I499,FS_input_data!$C$107:$N$306,Export!J499,FALSE),""),K499)</f>
        <v>139</v>
      </c>
      <c r="D499" s="6" t="b">
        <v>1</v>
      </c>
      <c r="F499" s="6"/>
      <c r="G499" s="6"/>
      <c r="H499" s="6" t="s">
        <v>2211</v>
      </c>
      <c r="I499" t="s">
        <v>1093</v>
      </c>
      <c r="J499">
        <v>4</v>
      </c>
      <c r="L499" s="9" t="e">
        <f t="shared" si="15"/>
        <v>#VALUE!</v>
      </c>
      <c r="M499" s="22"/>
      <c r="N499" s="23"/>
    </row>
    <row r="500" spans="1:14" ht="15.5" x14ac:dyDescent="0.35">
      <c r="A500">
        <f t="shared" si="16"/>
        <v>499</v>
      </c>
      <c r="B500" t="s">
        <v>112</v>
      </c>
      <c r="C500" s="109" t="str">
        <f>IF(ISBLANK(K500),IFERROR(VLOOKUP(I500,FS_input_data!$C$107:$N$306,Export!J500,FALSE),""),K500)</f>
        <v/>
      </c>
      <c r="D500" s="6"/>
      <c r="E500" t="s">
        <v>1561</v>
      </c>
      <c r="F500" s="6"/>
      <c r="G500" s="6"/>
      <c r="H500" s="6" t="s">
        <v>2211</v>
      </c>
      <c r="I500" t="s">
        <v>1561</v>
      </c>
      <c r="J500" t="s">
        <v>1561</v>
      </c>
      <c r="L500">
        <f t="shared" si="15"/>
        <v>1</v>
      </c>
      <c r="M500" s="22"/>
      <c r="N500" s="23"/>
    </row>
    <row r="501" spans="1:14" ht="15.5" x14ac:dyDescent="0.35">
      <c r="A501">
        <f t="shared" si="16"/>
        <v>500</v>
      </c>
      <c r="B501" t="s">
        <v>188</v>
      </c>
      <c r="C501" s="109" t="str">
        <f>IF(ISBLANK(K501),IFERROR(VLOOKUP(I501,FS_input_data!$C$107:$N$306,Export!J501,FALSE),""),K501)</f>
        <v/>
      </c>
      <c r="D501" s="6"/>
      <c r="E501" t="s">
        <v>1561</v>
      </c>
      <c r="F501" s="6"/>
      <c r="G501" s="6"/>
      <c r="H501" s="6" t="s">
        <v>2211</v>
      </c>
      <c r="I501" t="s">
        <v>1561</v>
      </c>
      <c r="J501" t="s">
        <v>1561</v>
      </c>
      <c r="L501">
        <f t="shared" si="15"/>
        <v>1</v>
      </c>
      <c r="M501" s="22"/>
      <c r="N501" s="23"/>
    </row>
    <row r="502" spans="1:14" ht="15.5" x14ac:dyDescent="0.35">
      <c r="A502">
        <f t="shared" si="16"/>
        <v>501</v>
      </c>
      <c r="B502" t="s">
        <v>189</v>
      </c>
      <c r="C502" s="109" t="str">
        <f>IF(ISBLANK(K502),IFERROR(VLOOKUP(I502,FS_input_data!$C$107:$N$306,Export!J502,FALSE),""),K502)</f>
        <v/>
      </c>
      <c r="D502" s="6"/>
      <c r="E502" t="s">
        <v>1561</v>
      </c>
      <c r="F502" s="6"/>
      <c r="G502" s="6"/>
      <c r="H502" s="6" t="s">
        <v>2211</v>
      </c>
      <c r="I502" t="s">
        <v>1561</v>
      </c>
      <c r="J502" t="s">
        <v>1561</v>
      </c>
      <c r="L502">
        <f t="shared" si="15"/>
        <v>1</v>
      </c>
      <c r="M502" s="22"/>
      <c r="N502" s="23"/>
    </row>
    <row r="503" spans="1:14" ht="15.5" x14ac:dyDescent="0.35">
      <c r="A503">
        <f t="shared" si="16"/>
        <v>502</v>
      </c>
      <c r="B503" t="s">
        <v>190</v>
      </c>
      <c r="C503" s="109" t="str">
        <f>IF(ISBLANK(K503),IFERROR(VLOOKUP(I503,FS_input_data!$C$107:$N$306,Export!J503,FALSE),""),K503)</f>
        <v/>
      </c>
      <c r="D503" s="6"/>
      <c r="E503" t="s">
        <v>1097</v>
      </c>
      <c r="F503" s="6"/>
      <c r="G503" s="6"/>
      <c r="H503" s="6" t="s">
        <v>2211</v>
      </c>
      <c r="I503" t="s">
        <v>1561</v>
      </c>
      <c r="J503" t="s">
        <v>1561</v>
      </c>
      <c r="L503" s="26" t="e">
        <f t="shared" si="15"/>
        <v>#VALUE!</v>
      </c>
      <c r="M503" s="22"/>
      <c r="N503" s="23"/>
    </row>
    <row r="504" spans="1:14" ht="15.5" x14ac:dyDescent="0.35">
      <c r="A504" s="9">
        <f t="shared" si="16"/>
        <v>503</v>
      </c>
      <c r="B504" t="s">
        <v>109</v>
      </c>
      <c r="C504" s="109">
        <f>IF(ISBLANK(K504),IFERROR(VLOOKUP(I504,FS_input_data!$C$107:$N$306,Export!J504,FALSE),""),K504)</f>
        <v>83</v>
      </c>
      <c r="D504" s="6" t="b">
        <v>1</v>
      </c>
      <c r="F504" s="6"/>
      <c r="G504" s="6"/>
      <c r="H504" s="6" t="s">
        <v>2211</v>
      </c>
      <c r="I504" t="s">
        <v>1096</v>
      </c>
      <c r="J504">
        <v>3</v>
      </c>
      <c r="L504" s="9" t="e">
        <f t="shared" si="15"/>
        <v>#VALUE!</v>
      </c>
      <c r="M504" s="22"/>
      <c r="N504" s="23"/>
    </row>
    <row r="505" spans="1:14" ht="15.5" x14ac:dyDescent="0.35">
      <c r="A505">
        <f t="shared" si="16"/>
        <v>504</v>
      </c>
      <c r="B505" t="s">
        <v>110</v>
      </c>
      <c r="C505" s="109" t="str">
        <f>IF(ISBLANK(K505),IFERROR(VLOOKUP(I505,FS_input_data!$C$107:$N$306,Export!J505,FALSE),""),K505)</f>
        <v/>
      </c>
      <c r="D505" s="6"/>
      <c r="E505" t="s">
        <v>1561</v>
      </c>
      <c r="F505" s="6"/>
      <c r="G505" s="6"/>
      <c r="H505" s="6" t="s">
        <v>2211</v>
      </c>
      <c r="I505" t="s">
        <v>1561</v>
      </c>
      <c r="J505" t="s">
        <v>1561</v>
      </c>
      <c r="L505">
        <f t="shared" si="15"/>
        <v>1</v>
      </c>
      <c r="M505" s="22"/>
      <c r="N505" s="23"/>
    </row>
    <row r="506" spans="1:14" ht="15.5" x14ac:dyDescent="0.35">
      <c r="A506" s="9">
        <f t="shared" si="16"/>
        <v>505</v>
      </c>
      <c r="B506" t="s">
        <v>111</v>
      </c>
      <c r="C506" s="109">
        <f>IF(ISBLANK(K506),IFERROR(VLOOKUP(I506,FS_input_data!$C$107:$N$306,Export!J506,FALSE),""),K506)</f>
        <v>283</v>
      </c>
      <c r="D506" s="6" t="b">
        <v>1</v>
      </c>
      <c r="F506" s="6"/>
      <c r="G506" s="6"/>
      <c r="H506" s="6" t="s">
        <v>2211</v>
      </c>
      <c r="I506" t="s">
        <v>1096</v>
      </c>
      <c r="J506">
        <v>4</v>
      </c>
      <c r="L506" s="9" t="e">
        <f t="shared" si="15"/>
        <v>#VALUE!</v>
      </c>
      <c r="M506" s="22"/>
      <c r="N506" s="23"/>
    </row>
    <row r="507" spans="1:14" ht="15.5" x14ac:dyDescent="0.35">
      <c r="A507">
        <f t="shared" si="16"/>
        <v>506</v>
      </c>
      <c r="B507" t="s">
        <v>112</v>
      </c>
      <c r="C507" s="109" t="str">
        <f>IF(ISBLANK(K507),IFERROR(VLOOKUP(I507,FS_input_data!$C$107:$N$306,Export!J507,FALSE),""),K507)</f>
        <v/>
      </c>
      <c r="D507" s="6"/>
      <c r="E507" t="s">
        <v>1561</v>
      </c>
      <c r="F507" s="6"/>
      <c r="G507" s="6"/>
      <c r="H507" s="6" t="s">
        <v>2211</v>
      </c>
      <c r="I507" t="s">
        <v>1561</v>
      </c>
      <c r="J507" t="s">
        <v>1561</v>
      </c>
      <c r="L507">
        <f t="shared" si="15"/>
        <v>1</v>
      </c>
      <c r="M507" s="22"/>
      <c r="N507" s="23"/>
    </row>
    <row r="508" spans="1:14" ht="15.5" x14ac:dyDescent="0.35">
      <c r="A508">
        <f t="shared" si="16"/>
        <v>507</v>
      </c>
      <c r="B508" t="s">
        <v>191</v>
      </c>
      <c r="C508" s="109" t="str">
        <f>IF(ISBLANK(K508),IFERROR(VLOOKUP(I508,FS_input_data!$C$107:$N$306,Export!J508,FALSE),""),K508)</f>
        <v/>
      </c>
      <c r="D508" s="6"/>
      <c r="E508" t="s">
        <v>1100</v>
      </c>
      <c r="F508" s="6"/>
      <c r="G508" s="6"/>
      <c r="H508" s="6" t="s">
        <v>2211</v>
      </c>
      <c r="I508" t="s">
        <v>1561</v>
      </c>
      <c r="J508" t="s">
        <v>1561</v>
      </c>
      <c r="L508" s="26" t="e">
        <f t="shared" si="15"/>
        <v>#VALUE!</v>
      </c>
      <c r="M508" s="22"/>
      <c r="N508" s="23"/>
    </row>
    <row r="509" spans="1:14" ht="15.5" x14ac:dyDescent="0.35">
      <c r="A509" s="9">
        <f t="shared" si="16"/>
        <v>508</v>
      </c>
      <c r="B509" t="s">
        <v>109</v>
      </c>
      <c r="C509" s="109">
        <f>IF(ISBLANK(K509),IFERROR(VLOOKUP(I509,FS_input_data!$C$107:$N$306,Export!J509,FALSE),""),K509)</f>
        <v>41</v>
      </c>
      <c r="D509" s="6" t="b">
        <v>1</v>
      </c>
      <c r="F509" s="6"/>
      <c r="G509" s="6"/>
      <c r="H509" s="6" t="s">
        <v>2211</v>
      </c>
      <c r="I509" t="s">
        <v>1099</v>
      </c>
      <c r="J509">
        <v>3</v>
      </c>
      <c r="L509" s="9" t="e">
        <f t="shared" si="15"/>
        <v>#VALUE!</v>
      </c>
      <c r="M509" s="22"/>
      <c r="N509" s="23"/>
    </row>
    <row r="510" spans="1:14" ht="15.5" x14ac:dyDescent="0.35">
      <c r="A510">
        <f t="shared" si="16"/>
        <v>509</v>
      </c>
      <c r="B510" t="s">
        <v>110</v>
      </c>
      <c r="C510" s="109" t="str">
        <f>IF(ISBLANK(K510),IFERROR(VLOOKUP(I510,FS_input_data!$C$107:$N$306,Export!J510,FALSE),""),K510)</f>
        <v/>
      </c>
      <c r="D510" s="6"/>
      <c r="E510" t="s">
        <v>1561</v>
      </c>
      <c r="F510" s="6"/>
      <c r="G510" s="6"/>
      <c r="H510" s="6" t="s">
        <v>2211</v>
      </c>
      <c r="I510" t="s">
        <v>1561</v>
      </c>
      <c r="J510" t="s">
        <v>1561</v>
      </c>
      <c r="L510">
        <f t="shared" si="15"/>
        <v>1</v>
      </c>
      <c r="M510" s="24"/>
      <c r="N510" s="23"/>
    </row>
    <row r="511" spans="1:14" ht="15.5" x14ac:dyDescent="0.35">
      <c r="A511" s="9">
        <f t="shared" si="16"/>
        <v>510</v>
      </c>
      <c r="B511" t="s">
        <v>111</v>
      </c>
      <c r="C511" s="109">
        <f>IF(ISBLANK(K511),IFERROR(VLOOKUP(I511,FS_input_data!$C$107:$N$306,Export!J511,FALSE),""),K511)</f>
        <v>141</v>
      </c>
      <c r="D511" s="6" t="b">
        <v>1</v>
      </c>
      <c r="F511" s="6"/>
      <c r="G511" s="6"/>
      <c r="H511" s="6" t="s">
        <v>2211</v>
      </c>
      <c r="I511" t="s">
        <v>1099</v>
      </c>
      <c r="J511">
        <v>4</v>
      </c>
      <c r="L511" s="9" t="e">
        <f t="shared" si="15"/>
        <v>#VALUE!</v>
      </c>
      <c r="M511" s="22"/>
      <c r="N511" s="23"/>
    </row>
    <row r="512" spans="1:14" ht="15.5" x14ac:dyDescent="0.35">
      <c r="A512">
        <f t="shared" si="16"/>
        <v>511</v>
      </c>
      <c r="B512" t="s">
        <v>112</v>
      </c>
      <c r="C512" s="109" t="str">
        <f>IF(ISBLANK(K512),IFERROR(VLOOKUP(I512,FS_input_data!$C$107:$N$306,Export!J512,FALSE),""),K512)</f>
        <v/>
      </c>
      <c r="D512" s="6"/>
      <c r="E512" t="s">
        <v>1561</v>
      </c>
      <c r="F512" s="6"/>
      <c r="G512" s="6"/>
      <c r="H512" s="6" t="s">
        <v>2211</v>
      </c>
      <c r="I512" t="s">
        <v>1561</v>
      </c>
      <c r="J512" t="s">
        <v>1561</v>
      </c>
      <c r="L512">
        <f t="shared" si="15"/>
        <v>1</v>
      </c>
      <c r="M512" s="22"/>
      <c r="N512" s="23"/>
    </row>
    <row r="513" spans="1:14" ht="15.5" x14ac:dyDescent="0.35">
      <c r="A513">
        <f t="shared" si="16"/>
        <v>512</v>
      </c>
      <c r="B513" t="s">
        <v>192</v>
      </c>
      <c r="C513" s="109" t="str">
        <f>IF(ISBLANK(K513),IFERROR(VLOOKUP(I513,FS_input_data!$C$107:$N$306,Export!J513,FALSE),""),K513)</f>
        <v/>
      </c>
      <c r="D513" s="6"/>
      <c r="E513" t="s">
        <v>1561</v>
      </c>
      <c r="F513" s="6"/>
      <c r="G513" s="6"/>
      <c r="H513" s="6" t="s">
        <v>2211</v>
      </c>
      <c r="I513" t="s">
        <v>1561</v>
      </c>
      <c r="J513" t="s">
        <v>1561</v>
      </c>
      <c r="L513">
        <f t="shared" si="15"/>
        <v>1</v>
      </c>
      <c r="M513" s="22"/>
      <c r="N513" s="23"/>
    </row>
    <row r="514" spans="1:14" ht="15.5" x14ac:dyDescent="0.35">
      <c r="A514">
        <f t="shared" si="16"/>
        <v>513</v>
      </c>
      <c r="B514" t="s">
        <v>193</v>
      </c>
      <c r="C514" s="109" t="str">
        <f>IF(ISBLANK(K514),IFERROR(VLOOKUP(I514,FS_input_data!$C$107:$N$306,Export!J514,FALSE),""),K514)</f>
        <v/>
      </c>
      <c r="D514" s="6"/>
      <c r="E514" t="s">
        <v>1103</v>
      </c>
      <c r="F514" s="6"/>
      <c r="G514" s="6"/>
      <c r="H514" s="6" t="s">
        <v>2211</v>
      </c>
      <c r="I514" t="s">
        <v>1561</v>
      </c>
      <c r="J514" t="s">
        <v>1561</v>
      </c>
      <c r="L514" s="26" t="e">
        <f t="shared" ref="L514:L577" si="17">FIND("/",B514)</f>
        <v>#VALUE!</v>
      </c>
      <c r="M514" s="22"/>
      <c r="N514" s="23"/>
    </row>
    <row r="515" spans="1:14" ht="15.5" x14ac:dyDescent="0.35">
      <c r="A515" s="9">
        <f t="shared" ref="A515:A578" si="18">A514+1</f>
        <v>514</v>
      </c>
      <c r="B515" t="s">
        <v>109</v>
      </c>
      <c r="C515" s="109">
        <f>IF(ISBLANK(K515),IFERROR(VLOOKUP(I515,FS_input_data!$C$107:$N$306,Export!J515,FALSE),""),K515)</f>
        <v>42</v>
      </c>
      <c r="D515" s="6" t="b">
        <v>1</v>
      </c>
      <c r="F515" s="6"/>
      <c r="G515" s="6"/>
      <c r="H515" s="6" t="s">
        <v>2211</v>
      </c>
      <c r="I515" t="s">
        <v>1102</v>
      </c>
      <c r="J515">
        <v>3</v>
      </c>
      <c r="L515" s="9" t="e">
        <f t="shared" si="17"/>
        <v>#VALUE!</v>
      </c>
      <c r="M515" s="22"/>
      <c r="N515" s="23"/>
    </row>
    <row r="516" spans="1:14" ht="15.5" x14ac:dyDescent="0.35">
      <c r="A516">
        <f t="shared" si="18"/>
        <v>515</v>
      </c>
      <c r="B516" t="s">
        <v>110</v>
      </c>
      <c r="C516" s="109" t="str">
        <f>IF(ISBLANK(K516),IFERROR(VLOOKUP(I516,FS_input_data!$C$107:$N$306,Export!J516,FALSE),""),K516)</f>
        <v/>
      </c>
      <c r="D516" s="6"/>
      <c r="E516" t="s">
        <v>1561</v>
      </c>
      <c r="F516" s="6"/>
      <c r="G516" s="6"/>
      <c r="H516" s="6" t="s">
        <v>2211</v>
      </c>
      <c r="I516" t="s">
        <v>1561</v>
      </c>
      <c r="J516" t="s">
        <v>1561</v>
      </c>
      <c r="L516">
        <f t="shared" si="17"/>
        <v>1</v>
      </c>
      <c r="M516" s="22"/>
      <c r="N516" s="23"/>
    </row>
    <row r="517" spans="1:14" ht="15.5" x14ac:dyDescent="0.35">
      <c r="A517" s="9">
        <f t="shared" si="18"/>
        <v>516</v>
      </c>
      <c r="B517" t="s">
        <v>111</v>
      </c>
      <c r="C517" s="109">
        <f>IF(ISBLANK(K517),IFERROR(VLOOKUP(I517,FS_input_data!$C$107:$N$306,Export!J517,FALSE),""),K517)</f>
        <v>142</v>
      </c>
      <c r="D517" s="6" t="b">
        <v>1</v>
      </c>
      <c r="F517" s="6"/>
      <c r="G517" s="6"/>
      <c r="H517" s="6" t="s">
        <v>2211</v>
      </c>
      <c r="I517" t="s">
        <v>1102</v>
      </c>
      <c r="J517">
        <v>4</v>
      </c>
      <c r="L517" s="9" t="e">
        <f t="shared" si="17"/>
        <v>#VALUE!</v>
      </c>
      <c r="M517" s="22"/>
      <c r="N517" s="23"/>
    </row>
    <row r="518" spans="1:14" ht="15.5" x14ac:dyDescent="0.35">
      <c r="A518">
        <f t="shared" si="18"/>
        <v>517</v>
      </c>
      <c r="B518" t="s">
        <v>112</v>
      </c>
      <c r="C518" s="109" t="str">
        <f>IF(ISBLANK(K518),IFERROR(VLOOKUP(I518,FS_input_data!$C$107:$N$306,Export!J518,FALSE),""),K518)</f>
        <v/>
      </c>
      <c r="D518" s="6"/>
      <c r="E518" t="s">
        <v>1561</v>
      </c>
      <c r="F518" s="6"/>
      <c r="G518" s="6"/>
      <c r="H518" s="6" t="s">
        <v>2211</v>
      </c>
      <c r="I518" t="s">
        <v>1561</v>
      </c>
      <c r="J518" t="s">
        <v>1561</v>
      </c>
      <c r="L518">
        <f t="shared" si="17"/>
        <v>1</v>
      </c>
      <c r="M518" s="22"/>
      <c r="N518" s="23"/>
    </row>
    <row r="519" spans="1:14" ht="15.5" x14ac:dyDescent="0.35">
      <c r="A519">
        <f t="shared" si="18"/>
        <v>518</v>
      </c>
      <c r="B519" t="s">
        <v>194</v>
      </c>
      <c r="C519" s="109" t="str">
        <f>IF(ISBLANK(K519),IFERROR(VLOOKUP(I519,FS_input_data!$C$107:$N$306,Export!J519,FALSE),""),K519)</f>
        <v/>
      </c>
      <c r="D519" s="6"/>
      <c r="E519" t="s">
        <v>1561</v>
      </c>
      <c r="F519" s="6"/>
      <c r="G519" s="6"/>
      <c r="H519" s="6" t="s">
        <v>2211</v>
      </c>
      <c r="I519" t="s">
        <v>1561</v>
      </c>
      <c r="J519" t="s">
        <v>1561</v>
      </c>
      <c r="L519">
        <f t="shared" si="17"/>
        <v>1</v>
      </c>
      <c r="M519" s="22"/>
      <c r="N519" s="23"/>
    </row>
    <row r="520" spans="1:14" ht="15.5" x14ac:dyDescent="0.35">
      <c r="A520">
        <f t="shared" si="18"/>
        <v>519</v>
      </c>
      <c r="B520" t="s">
        <v>195</v>
      </c>
      <c r="C520" s="109" t="str">
        <f>IF(ISBLANK(K520),IFERROR(VLOOKUP(I520,FS_input_data!$C$107:$N$306,Export!J520,FALSE),""),K520)</f>
        <v/>
      </c>
      <c r="D520" s="6"/>
      <c r="E520" t="s">
        <v>1561</v>
      </c>
      <c r="F520" s="6"/>
      <c r="G520" s="6"/>
      <c r="H520" s="6" t="s">
        <v>2211</v>
      </c>
      <c r="I520" t="s">
        <v>1561</v>
      </c>
      <c r="J520" t="s">
        <v>1561</v>
      </c>
      <c r="L520">
        <f t="shared" si="17"/>
        <v>1</v>
      </c>
      <c r="M520" s="22"/>
      <c r="N520" s="23"/>
    </row>
    <row r="521" spans="1:14" ht="15.5" x14ac:dyDescent="0.35">
      <c r="A521">
        <f t="shared" si="18"/>
        <v>520</v>
      </c>
      <c r="B521" t="s">
        <v>196</v>
      </c>
      <c r="C521" s="109" t="str">
        <f>IF(ISBLANK(K521),IFERROR(VLOOKUP(I521,FS_input_data!$C$107:$N$306,Export!J521,FALSE),""),K521)</f>
        <v/>
      </c>
      <c r="D521" s="6"/>
      <c r="E521" t="s">
        <v>1561</v>
      </c>
      <c r="F521" s="6"/>
      <c r="G521" s="6"/>
      <c r="H521" s="6" t="s">
        <v>2211</v>
      </c>
      <c r="I521" t="s">
        <v>1561</v>
      </c>
      <c r="J521" t="s">
        <v>1561</v>
      </c>
      <c r="L521">
        <f t="shared" si="17"/>
        <v>1</v>
      </c>
      <c r="M521" s="22"/>
      <c r="N521" s="23"/>
    </row>
    <row r="522" spans="1:14" ht="15.5" x14ac:dyDescent="0.35">
      <c r="A522">
        <f t="shared" si="18"/>
        <v>521</v>
      </c>
      <c r="B522" t="s">
        <v>197</v>
      </c>
      <c r="C522" s="109" t="str">
        <f>IF(ISBLANK(K522),IFERROR(VLOOKUP(I522,FS_input_data!$C$107:$N$306,Export!J522,FALSE),""),K522)</f>
        <v/>
      </c>
      <c r="D522" s="6"/>
      <c r="E522" t="s">
        <v>1106</v>
      </c>
      <c r="F522" s="6"/>
      <c r="G522" s="6"/>
      <c r="H522" s="6" t="s">
        <v>2211</v>
      </c>
      <c r="I522" t="s">
        <v>1561</v>
      </c>
      <c r="J522" t="s">
        <v>1561</v>
      </c>
      <c r="L522" s="26" t="e">
        <f t="shared" si="17"/>
        <v>#VALUE!</v>
      </c>
      <c r="M522" s="22"/>
      <c r="N522" s="23"/>
    </row>
    <row r="523" spans="1:14" ht="15.5" x14ac:dyDescent="0.35">
      <c r="A523" s="9">
        <f t="shared" si="18"/>
        <v>522</v>
      </c>
      <c r="B523" t="s">
        <v>109</v>
      </c>
      <c r="C523" s="109">
        <f>IF(ISBLANK(K523),IFERROR(VLOOKUP(I523,FS_input_data!$C$107:$N$306,Export!J523,FALSE),""),K523)</f>
        <v>1914</v>
      </c>
      <c r="D523" s="6" t="b">
        <v>1</v>
      </c>
      <c r="F523" s="6"/>
      <c r="G523" s="6"/>
      <c r="H523" s="6" t="s">
        <v>2211</v>
      </c>
      <c r="I523" t="s">
        <v>1105</v>
      </c>
      <c r="J523">
        <v>3</v>
      </c>
      <c r="L523" s="9" t="e">
        <f t="shared" si="17"/>
        <v>#VALUE!</v>
      </c>
      <c r="M523" s="22"/>
      <c r="N523" s="23"/>
    </row>
    <row r="524" spans="1:14" ht="15.5" x14ac:dyDescent="0.35">
      <c r="A524">
        <f t="shared" si="18"/>
        <v>523</v>
      </c>
      <c r="B524" t="s">
        <v>110</v>
      </c>
      <c r="C524" s="109" t="str">
        <f>IF(ISBLANK(K524),IFERROR(VLOOKUP(I524,FS_input_data!$C$107:$N$306,Export!J524,FALSE),""),K524)</f>
        <v/>
      </c>
      <c r="D524" s="6"/>
      <c r="E524" t="s">
        <v>1561</v>
      </c>
      <c r="F524" s="6"/>
      <c r="G524" s="6"/>
      <c r="H524" s="6" t="s">
        <v>2211</v>
      </c>
      <c r="I524" t="s">
        <v>1561</v>
      </c>
      <c r="J524" t="s">
        <v>1561</v>
      </c>
      <c r="L524">
        <f t="shared" si="17"/>
        <v>1</v>
      </c>
      <c r="M524" s="22"/>
      <c r="N524" s="23"/>
    </row>
    <row r="525" spans="1:14" ht="15.5" x14ac:dyDescent="0.35">
      <c r="A525" s="9">
        <f t="shared" si="18"/>
        <v>524</v>
      </c>
      <c r="B525" t="s">
        <v>111</v>
      </c>
      <c r="C525" s="109">
        <f>IF(ISBLANK(K525),IFERROR(VLOOKUP(I525,FS_input_data!$C$107:$N$306,Export!J525,FALSE),""),K525)</f>
        <v>4814</v>
      </c>
      <c r="D525" s="6" t="b">
        <v>1</v>
      </c>
      <c r="F525" s="6"/>
      <c r="G525" s="6"/>
      <c r="H525" s="6" t="s">
        <v>2211</v>
      </c>
      <c r="I525" t="s">
        <v>1105</v>
      </c>
      <c r="J525">
        <v>4</v>
      </c>
      <c r="L525" s="9" t="e">
        <f t="shared" si="17"/>
        <v>#VALUE!</v>
      </c>
      <c r="M525" s="22"/>
      <c r="N525" s="23"/>
    </row>
    <row r="526" spans="1:14" ht="15.5" x14ac:dyDescent="0.35">
      <c r="A526">
        <f t="shared" si="18"/>
        <v>525</v>
      </c>
      <c r="B526" t="s">
        <v>112</v>
      </c>
      <c r="C526" s="109" t="str">
        <f>IF(ISBLANK(K526),IFERROR(VLOOKUP(I526,FS_input_data!$C$107:$N$306,Export!J526,FALSE),""),K526)</f>
        <v/>
      </c>
      <c r="D526" s="6"/>
      <c r="E526" t="s">
        <v>1561</v>
      </c>
      <c r="F526" s="6"/>
      <c r="G526" s="6"/>
      <c r="H526" s="6" t="s">
        <v>2211</v>
      </c>
      <c r="I526" t="s">
        <v>1561</v>
      </c>
      <c r="J526" t="s">
        <v>1561</v>
      </c>
      <c r="L526">
        <f t="shared" si="17"/>
        <v>1</v>
      </c>
      <c r="M526" s="22"/>
      <c r="N526" s="23"/>
    </row>
    <row r="527" spans="1:14" ht="15.5" x14ac:dyDescent="0.35">
      <c r="A527">
        <f t="shared" si="18"/>
        <v>526</v>
      </c>
      <c r="B527" t="s">
        <v>198</v>
      </c>
      <c r="C527" s="109" t="str">
        <f>IF(ISBLANK(K527),IFERROR(VLOOKUP(I527,FS_input_data!$C$107:$N$306,Export!J527,FALSE),""),K527)</f>
        <v/>
      </c>
      <c r="D527" s="6"/>
      <c r="E527" t="s">
        <v>1109</v>
      </c>
      <c r="F527" s="6"/>
      <c r="G527" s="6"/>
      <c r="H527" s="6" t="s">
        <v>2211</v>
      </c>
      <c r="I527" t="s">
        <v>1561</v>
      </c>
      <c r="J527" t="s">
        <v>1561</v>
      </c>
      <c r="L527" s="26" t="e">
        <f t="shared" si="17"/>
        <v>#VALUE!</v>
      </c>
      <c r="M527" s="22"/>
      <c r="N527" s="23"/>
    </row>
    <row r="528" spans="1:14" ht="15.5" x14ac:dyDescent="0.35">
      <c r="A528" s="9">
        <f t="shared" si="18"/>
        <v>527</v>
      </c>
      <c r="B528" t="s">
        <v>109</v>
      </c>
      <c r="C528" s="109">
        <f>IF(ISBLANK(K528),IFERROR(VLOOKUP(I528,FS_input_data!$C$107:$N$306,Export!J528,FALSE),""),K528)</f>
        <v>235</v>
      </c>
      <c r="D528" s="6" t="b">
        <v>1</v>
      </c>
      <c r="F528" s="6"/>
      <c r="G528" s="6"/>
      <c r="H528" s="6" t="s">
        <v>2211</v>
      </c>
      <c r="I528" t="s">
        <v>1108</v>
      </c>
      <c r="J528">
        <v>3</v>
      </c>
      <c r="L528" s="9" t="e">
        <f t="shared" si="17"/>
        <v>#VALUE!</v>
      </c>
      <c r="M528" s="22"/>
      <c r="N528" s="23"/>
    </row>
    <row r="529" spans="1:14" ht="15.5" x14ac:dyDescent="0.35">
      <c r="A529">
        <f t="shared" si="18"/>
        <v>528</v>
      </c>
      <c r="B529" t="s">
        <v>110</v>
      </c>
      <c r="C529" s="109" t="str">
        <f>IF(ISBLANK(K529),IFERROR(VLOOKUP(I529,FS_input_data!$C$107:$N$306,Export!J529,FALSE),""),K529)</f>
        <v/>
      </c>
      <c r="D529" s="6"/>
      <c r="E529" t="s">
        <v>1561</v>
      </c>
      <c r="F529" s="6"/>
      <c r="G529" s="6"/>
      <c r="H529" s="6" t="s">
        <v>2211</v>
      </c>
      <c r="I529" t="s">
        <v>1561</v>
      </c>
      <c r="J529" t="s">
        <v>1561</v>
      </c>
      <c r="L529">
        <f t="shared" si="17"/>
        <v>1</v>
      </c>
      <c r="M529" s="22"/>
      <c r="N529" s="23"/>
    </row>
    <row r="530" spans="1:14" ht="15.5" x14ac:dyDescent="0.35">
      <c r="A530" s="9">
        <f t="shared" si="18"/>
        <v>529</v>
      </c>
      <c r="B530" t="s">
        <v>111</v>
      </c>
      <c r="C530" s="109">
        <f>IF(ISBLANK(K530),IFERROR(VLOOKUP(I530,FS_input_data!$C$107:$N$306,Export!J530,FALSE),""),K530)</f>
        <v>735</v>
      </c>
      <c r="D530" s="6" t="b">
        <v>1</v>
      </c>
      <c r="F530" s="6"/>
      <c r="G530" s="6"/>
      <c r="H530" s="6" t="s">
        <v>2211</v>
      </c>
      <c r="I530" t="s">
        <v>1108</v>
      </c>
      <c r="J530">
        <v>4</v>
      </c>
      <c r="L530" s="9" t="e">
        <f t="shared" si="17"/>
        <v>#VALUE!</v>
      </c>
      <c r="M530" s="22"/>
      <c r="N530" s="23"/>
    </row>
    <row r="531" spans="1:14" ht="15.5" x14ac:dyDescent="0.35">
      <c r="A531">
        <f t="shared" si="18"/>
        <v>530</v>
      </c>
      <c r="B531" t="s">
        <v>112</v>
      </c>
      <c r="C531" s="109" t="str">
        <f>IF(ISBLANK(K531),IFERROR(VLOOKUP(I531,FS_input_data!$C$107:$N$306,Export!J531,FALSE),""),K531)</f>
        <v/>
      </c>
      <c r="D531" s="6"/>
      <c r="E531" t="s">
        <v>1561</v>
      </c>
      <c r="F531" s="6"/>
      <c r="G531" s="6"/>
      <c r="H531" s="6" t="s">
        <v>2211</v>
      </c>
      <c r="I531" t="s">
        <v>1561</v>
      </c>
      <c r="J531" t="s">
        <v>1561</v>
      </c>
      <c r="L531">
        <f t="shared" si="17"/>
        <v>1</v>
      </c>
      <c r="M531" s="22"/>
      <c r="N531" s="23"/>
    </row>
    <row r="532" spans="1:14" ht="15.5" x14ac:dyDescent="0.35">
      <c r="A532">
        <f t="shared" si="18"/>
        <v>531</v>
      </c>
      <c r="B532" t="s">
        <v>199</v>
      </c>
      <c r="C532" s="109" t="str">
        <f>IF(ISBLANK(K532),IFERROR(VLOOKUP(I532,FS_input_data!$C$107:$N$306,Export!J532,FALSE),""),K532)</f>
        <v/>
      </c>
      <c r="D532" s="6"/>
      <c r="E532" t="s">
        <v>1112</v>
      </c>
      <c r="F532" s="6"/>
      <c r="G532" s="6"/>
      <c r="H532" s="6" t="s">
        <v>2211</v>
      </c>
      <c r="I532" t="s">
        <v>1561</v>
      </c>
      <c r="J532" t="s">
        <v>1561</v>
      </c>
      <c r="L532" s="26" t="e">
        <f t="shared" si="17"/>
        <v>#VALUE!</v>
      </c>
      <c r="M532" s="24"/>
      <c r="N532" s="23"/>
    </row>
    <row r="533" spans="1:14" ht="15.5" x14ac:dyDescent="0.35">
      <c r="A533" s="9">
        <f t="shared" si="18"/>
        <v>532</v>
      </c>
      <c r="B533" t="s">
        <v>109</v>
      </c>
      <c r="C533" s="109">
        <f>IF(ISBLANK(K533),IFERROR(VLOOKUP(I533,FS_input_data!$C$107:$N$306,Export!J533,FALSE),""),K533)</f>
        <v>45</v>
      </c>
      <c r="D533" s="6" t="b">
        <v>1</v>
      </c>
      <c r="F533" s="6"/>
      <c r="G533" s="6"/>
      <c r="H533" s="6" t="s">
        <v>2211</v>
      </c>
      <c r="I533" t="s">
        <v>1111</v>
      </c>
      <c r="J533">
        <v>3</v>
      </c>
      <c r="L533" s="9" t="e">
        <f t="shared" si="17"/>
        <v>#VALUE!</v>
      </c>
      <c r="M533" s="22"/>
      <c r="N533" s="23"/>
    </row>
    <row r="534" spans="1:14" ht="15.5" x14ac:dyDescent="0.35">
      <c r="A534">
        <f t="shared" si="18"/>
        <v>533</v>
      </c>
      <c r="B534" t="s">
        <v>110</v>
      </c>
      <c r="C534" s="109" t="str">
        <f>IF(ISBLANK(K534),IFERROR(VLOOKUP(I534,FS_input_data!$C$107:$N$306,Export!J534,FALSE),""),K534)</f>
        <v/>
      </c>
      <c r="D534" s="6"/>
      <c r="E534" t="s">
        <v>1561</v>
      </c>
      <c r="F534" s="6"/>
      <c r="G534" s="6"/>
      <c r="H534" s="6" t="s">
        <v>2211</v>
      </c>
      <c r="I534" t="s">
        <v>1561</v>
      </c>
      <c r="J534" t="s">
        <v>1561</v>
      </c>
      <c r="L534">
        <f t="shared" si="17"/>
        <v>1</v>
      </c>
      <c r="M534" s="22"/>
      <c r="N534" s="23"/>
    </row>
    <row r="535" spans="1:14" ht="15.5" x14ac:dyDescent="0.35">
      <c r="A535" s="9">
        <f t="shared" si="18"/>
        <v>534</v>
      </c>
      <c r="B535" t="s">
        <v>111</v>
      </c>
      <c r="C535" s="109">
        <f>IF(ISBLANK(K535),IFERROR(VLOOKUP(I535,FS_input_data!$C$107:$N$306,Export!J535,FALSE),""),K535)</f>
        <v>145</v>
      </c>
      <c r="D535" s="6" t="b">
        <v>1</v>
      </c>
      <c r="F535" s="6"/>
      <c r="G535" s="6"/>
      <c r="H535" s="6" t="s">
        <v>2211</v>
      </c>
      <c r="I535" t="s">
        <v>1111</v>
      </c>
      <c r="J535">
        <v>4</v>
      </c>
      <c r="L535" s="9" t="e">
        <f t="shared" si="17"/>
        <v>#VALUE!</v>
      </c>
      <c r="M535" s="22"/>
      <c r="N535" s="23"/>
    </row>
    <row r="536" spans="1:14" ht="15.5" x14ac:dyDescent="0.35">
      <c r="A536">
        <f t="shared" si="18"/>
        <v>535</v>
      </c>
      <c r="B536" t="s">
        <v>112</v>
      </c>
      <c r="C536" s="109" t="str">
        <f>IF(ISBLANK(K536),IFERROR(VLOOKUP(I536,FS_input_data!$C$107:$N$306,Export!J536,FALSE),""),K536)</f>
        <v/>
      </c>
      <c r="D536" s="6"/>
      <c r="E536" t="s">
        <v>1561</v>
      </c>
      <c r="F536" s="6"/>
      <c r="G536" s="6"/>
      <c r="H536" s="6" t="s">
        <v>2211</v>
      </c>
      <c r="I536" t="s">
        <v>1561</v>
      </c>
      <c r="J536" t="s">
        <v>1561</v>
      </c>
      <c r="L536">
        <f t="shared" si="17"/>
        <v>1</v>
      </c>
      <c r="M536" s="22"/>
      <c r="N536" s="23"/>
    </row>
    <row r="537" spans="1:14" ht="15.5" x14ac:dyDescent="0.35">
      <c r="A537">
        <f t="shared" si="18"/>
        <v>536</v>
      </c>
      <c r="B537" t="s">
        <v>200</v>
      </c>
      <c r="C537" s="109" t="str">
        <f>IF(ISBLANK(K537),IFERROR(VLOOKUP(I537,FS_input_data!$C$107:$N$306,Export!J537,FALSE),""),K537)</f>
        <v/>
      </c>
      <c r="D537" s="6"/>
      <c r="E537" t="s">
        <v>1561</v>
      </c>
      <c r="F537" s="6"/>
      <c r="G537" s="6"/>
      <c r="H537" s="6" t="s">
        <v>2211</v>
      </c>
      <c r="I537" t="s">
        <v>1561</v>
      </c>
      <c r="J537" t="s">
        <v>1561</v>
      </c>
      <c r="L537">
        <f t="shared" si="17"/>
        <v>1</v>
      </c>
      <c r="M537" s="22"/>
      <c r="N537" s="23"/>
    </row>
    <row r="538" spans="1:14" ht="15.5" x14ac:dyDescent="0.35">
      <c r="A538">
        <f t="shared" si="18"/>
        <v>537</v>
      </c>
      <c r="B538" t="s">
        <v>201</v>
      </c>
      <c r="C538" s="109" t="str">
        <f>IF(ISBLANK(K538),IFERROR(VLOOKUP(I538,FS_input_data!$C$107:$N$306,Export!J538,FALSE),""),K538)</f>
        <v/>
      </c>
      <c r="D538" s="6"/>
      <c r="E538" t="s">
        <v>1115</v>
      </c>
      <c r="F538" s="6"/>
      <c r="G538" s="6"/>
      <c r="H538" s="6" t="s">
        <v>2211</v>
      </c>
      <c r="I538" t="s">
        <v>1561</v>
      </c>
      <c r="J538" t="s">
        <v>1561</v>
      </c>
      <c r="L538" s="26" t="e">
        <f t="shared" si="17"/>
        <v>#VALUE!</v>
      </c>
      <c r="M538" s="22"/>
      <c r="N538" s="23"/>
    </row>
    <row r="539" spans="1:14" ht="15.5" x14ac:dyDescent="0.35">
      <c r="A539" s="9">
        <f t="shared" si="18"/>
        <v>538</v>
      </c>
      <c r="B539" t="s">
        <v>109</v>
      </c>
      <c r="C539" s="109">
        <f>IF(ISBLANK(K539),IFERROR(VLOOKUP(I539,FS_input_data!$C$107:$N$306,Export!J539,FALSE),""),K539)</f>
        <v>46</v>
      </c>
      <c r="D539" s="6" t="b">
        <v>1</v>
      </c>
      <c r="F539" s="6"/>
      <c r="G539" s="6"/>
      <c r="H539" s="6" t="s">
        <v>2211</v>
      </c>
      <c r="I539" t="s">
        <v>1114</v>
      </c>
      <c r="J539">
        <v>3</v>
      </c>
      <c r="L539" s="9" t="e">
        <f t="shared" si="17"/>
        <v>#VALUE!</v>
      </c>
      <c r="M539" s="22"/>
      <c r="N539" s="23"/>
    </row>
    <row r="540" spans="1:14" ht="15.5" x14ac:dyDescent="0.35">
      <c r="A540">
        <f t="shared" si="18"/>
        <v>539</v>
      </c>
      <c r="B540" t="s">
        <v>110</v>
      </c>
      <c r="C540" s="109" t="str">
        <f>IF(ISBLANK(K540),IFERROR(VLOOKUP(I540,FS_input_data!$C$107:$N$306,Export!J540,FALSE),""),K540)</f>
        <v/>
      </c>
      <c r="D540" s="6"/>
      <c r="E540" t="s">
        <v>1561</v>
      </c>
      <c r="F540" s="6"/>
      <c r="G540" s="6"/>
      <c r="H540" s="6" t="s">
        <v>2211</v>
      </c>
      <c r="I540" t="s">
        <v>1561</v>
      </c>
      <c r="J540" t="s">
        <v>1561</v>
      </c>
      <c r="L540">
        <f t="shared" si="17"/>
        <v>1</v>
      </c>
      <c r="M540" s="22"/>
      <c r="N540" s="23"/>
    </row>
    <row r="541" spans="1:14" ht="15.5" x14ac:dyDescent="0.35">
      <c r="A541" s="9">
        <f t="shared" si="18"/>
        <v>540</v>
      </c>
      <c r="B541" t="s">
        <v>111</v>
      </c>
      <c r="C541" s="109">
        <f>IF(ISBLANK(K541),IFERROR(VLOOKUP(I541,FS_input_data!$C$107:$N$306,Export!J541,FALSE),""),K541)</f>
        <v>146</v>
      </c>
      <c r="D541" s="6" t="b">
        <v>1</v>
      </c>
      <c r="F541" s="6"/>
      <c r="G541" s="6"/>
      <c r="H541" s="6" t="s">
        <v>2211</v>
      </c>
      <c r="I541" t="s">
        <v>1114</v>
      </c>
      <c r="J541">
        <v>4</v>
      </c>
      <c r="L541" s="9" t="e">
        <f t="shared" si="17"/>
        <v>#VALUE!</v>
      </c>
      <c r="M541" s="22"/>
      <c r="N541" s="23"/>
    </row>
    <row r="542" spans="1:14" ht="15.5" x14ac:dyDescent="0.35">
      <c r="A542">
        <f t="shared" si="18"/>
        <v>541</v>
      </c>
      <c r="B542" t="s">
        <v>112</v>
      </c>
      <c r="C542" s="109" t="str">
        <f>IF(ISBLANK(K542),IFERROR(VLOOKUP(I542,FS_input_data!$C$107:$N$306,Export!J542,FALSE),""),K542)</f>
        <v/>
      </c>
      <c r="D542" s="6"/>
      <c r="E542" t="s">
        <v>1561</v>
      </c>
      <c r="F542" s="6"/>
      <c r="G542" s="6"/>
      <c r="H542" s="6" t="s">
        <v>2211</v>
      </c>
      <c r="I542" t="s">
        <v>1561</v>
      </c>
      <c r="J542" t="s">
        <v>1561</v>
      </c>
      <c r="L542">
        <f t="shared" si="17"/>
        <v>1</v>
      </c>
      <c r="M542" s="22"/>
      <c r="N542" s="23"/>
    </row>
    <row r="543" spans="1:14" ht="15.5" x14ac:dyDescent="0.35">
      <c r="A543">
        <f t="shared" si="18"/>
        <v>542</v>
      </c>
      <c r="B543" t="s">
        <v>202</v>
      </c>
      <c r="C543" s="109" t="str">
        <f>IF(ISBLANK(K543),IFERROR(VLOOKUP(I543,FS_input_data!$C$107:$N$306,Export!J543,FALSE),""),K543)</f>
        <v/>
      </c>
      <c r="D543" s="6"/>
      <c r="E543" t="s">
        <v>1561</v>
      </c>
      <c r="F543" s="6"/>
      <c r="G543" s="6"/>
      <c r="H543" s="6" t="s">
        <v>2211</v>
      </c>
      <c r="I543" t="s">
        <v>1561</v>
      </c>
      <c r="J543" t="s">
        <v>1561</v>
      </c>
      <c r="L543">
        <f t="shared" si="17"/>
        <v>1</v>
      </c>
      <c r="M543" s="22"/>
      <c r="N543" s="23"/>
    </row>
    <row r="544" spans="1:14" ht="15.5" x14ac:dyDescent="0.35">
      <c r="A544">
        <f t="shared" si="18"/>
        <v>543</v>
      </c>
      <c r="B544" t="s">
        <v>203</v>
      </c>
      <c r="C544" s="109" t="str">
        <f>IF(ISBLANK(K544),IFERROR(VLOOKUP(I544,FS_input_data!$C$107:$N$306,Export!J544,FALSE),""),K544)</f>
        <v/>
      </c>
      <c r="D544" s="6"/>
      <c r="E544" t="s">
        <v>1118</v>
      </c>
      <c r="F544" s="6"/>
      <c r="G544" s="6"/>
      <c r="H544" s="6" t="s">
        <v>2211</v>
      </c>
      <c r="I544" t="s">
        <v>1561</v>
      </c>
      <c r="J544" t="s">
        <v>1561</v>
      </c>
      <c r="L544" s="26" t="e">
        <f t="shared" si="17"/>
        <v>#VALUE!</v>
      </c>
      <c r="M544" s="22"/>
      <c r="N544" s="23"/>
    </row>
    <row r="545" spans="1:14" ht="15.5" x14ac:dyDescent="0.35">
      <c r="A545" s="9">
        <f t="shared" si="18"/>
        <v>544</v>
      </c>
      <c r="B545" t="s">
        <v>109</v>
      </c>
      <c r="C545" s="109">
        <f>IF(ISBLANK(K545),IFERROR(VLOOKUP(I545,FS_input_data!$C$107:$N$306,Export!J545,FALSE),""),K545)</f>
        <v>47</v>
      </c>
      <c r="D545" s="6" t="b">
        <v>1</v>
      </c>
      <c r="F545" s="6"/>
      <c r="G545" s="6"/>
      <c r="H545" s="6" t="s">
        <v>2211</v>
      </c>
      <c r="I545" t="s">
        <v>1117</v>
      </c>
      <c r="J545">
        <v>3</v>
      </c>
      <c r="L545" s="9" t="e">
        <f t="shared" si="17"/>
        <v>#VALUE!</v>
      </c>
      <c r="M545" s="22"/>
      <c r="N545" s="23"/>
    </row>
    <row r="546" spans="1:14" ht="15.5" x14ac:dyDescent="0.35">
      <c r="A546">
        <f t="shared" si="18"/>
        <v>545</v>
      </c>
      <c r="B546" t="s">
        <v>110</v>
      </c>
      <c r="C546" s="109" t="str">
        <f>IF(ISBLANK(K546),IFERROR(VLOOKUP(I546,FS_input_data!$C$107:$N$306,Export!J546,FALSE),""),K546)</f>
        <v/>
      </c>
      <c r="D546" s="6"/>
      <c r="E546" t="s">
        <v>1561</v>
      </c>
      <c r="F546" s="6"/>
      <c r="G546" s="6"/>
      <c r="H546" s="6" t="s">
        <v>2211</v>
      </c>
      <c r="I546" t="s">
        <v>1561</v>
      </c>
      <c r="J546" t="s">
        <v>1561</v>
      </c>
      <c r="L546">
        <f t="shared" si="17"/>
        <v>1</v>
      </c>
      <c r="M546" s="22"/>
      <c r="N546" s="23"/>
    </row>
    <row r="547" spans="1:14" ht="15.5" x14ac:dyDescent="0.35">
      <c r="A547" s="9">
        <f t="shared" si="18"/>
        <v>546</v>
      </c>
      <c r="B547" t="s">
        <v>111</v>
      </c>
      <c r="C547" s="109">
        <f>IF(ISBLANK(K547),IFERROR(VLOOKUP(I547,FS_input_data!$C$107:$N$306,Export!J547,FALSE),""),K547)</f>
        <v>147</v>
      </c>
      <c r="D547" s="6" t="b">
        <v>1</v>
      </c>
      <c r="F547" s="6"/>
      <c r="G547" s="6"/>
      <c r="H547" s="6" t="s">
        <v>2211</v>
      </c>
      <c r="I547" t="s">
        <v>1117</v>
      </c>
      <c r="J547">
        <v>4</v>
      </c>
      <c r="L547" s="9" t="e">
        <f t="shared" si="17"/>
        <v>#VALUE!</v>
      </c>
      <c r="M547" s="22"/>
      <c r="N547" s="23"/>
    </row>
    <row r="548" spans="1:14" ht="15.5" x14ac:dyDescent="0.35">
      <c r="A548">
        <f t="shared" si="18"/>
        <v>547</v>
      </c>
      <c r="B548" t="s">
        <v>112</v>
      </c>
      <c r="C548" s="109" t="str">
        <f>IF(ISBLANK(K548),IFERROR(VLOOKUP(I548,FS_input_data!$C$107:$N$306,Export!J548,FALSE),""),K548)</f>
        <v/>
      </c>
      <c r="D548" s="6"/>
      <c r="E548" t="s">
        <v>1561</v>
      </c>
      <c r="F548" s="6"/>
      <c r="G548" s="6"/>
      <c r="H548" s="6" t="s">
        <v>2211</v>
      </c>
      <c r="I548" t="s">
        <v>1561</v>
      </c>
      <c r="J548" t="s">
        <v>1561</v>
      </c>
      <c r="L548">
        <f t="shared" si="17"/>
        <v>1</v>
      </c>
      <c r="M548" s="22"/>
      <c r="N548" s="23"/>
    </row>
    <row r="549" spans="1:14" ht="15.5" x14ac:dyDescent="0.35">
      <c r="A549">
        <f t="shared" si="18"/>
        <v>548</v>
      </c>
      <c r="B549" t="s">
        <v>204</v>
      </c>
      <c r="C549" s="109" t="str">
        <f>IF(ISBLANK(K549),IFERROR(VLOOKUP(I549,FS_input_data!$C$107:$N$306,Export!J549,FALSE),""),K549)</f>
        <v/>
      </c>
      <c r="D549" s="6"/>
      <c r="E549" t="s">
        <v>1561</v>
      </c>
      <c r="F549" s="6"/>
      <c r="G549" s="6"/>
      <c r="H549" s="6" t="s">
        <v>2211</v>
      </c>
      <c r="I549" t="s">
        <v>1561</v>
      </c>
      <c r="J549" t="s">
        <v>1561</v>
      </c>
      <c r="L549">
        <f t="shared" si="17"/>
        <v>1</v>
      </c>
      <c r="M549" s="22"/>
      <c r="N549" s="23"/>
    </row>
    <row r="550" spans="1:14" ht="15.5" x14ac:dyDescent="0.35">
      <c r="A550">
        <f t="shared" si="18"/>
        <v>549</v>
      </c>
      <c r="B550" t="s">
        <v>205</v>
      </c>
      <c r="C550" s="109" t="str">
        <f>IF(ISBLANK(K550),IFERROR(VLOOKUP(I550,FS_input_data!$C$107:$N$306,Export!J550,FALSE),""),K550)</f>
        <v/>
      </c>
      <c r="D550" s="6"/>
      <c r="E550" t="s">
        <v>1121</v>
      </c>
      <c r="F550" s="6"/>
      <c r="G550" s="6"/>
      <c r="H550" s="6" t="s">
        <v>2211</v>
      </c>
      <c r="I550" t="s">
        <v>1561</v>
      </c>
      <c r="J550" t="s">
        <v>1561</v>
      </c>
      <c r="L550" s="26" t="e">
        <f t="shared" si="17"/>
        <v>#VALUE!</v>
      </c>
      <c r="M550" s="22"/>
      <c r="N550" s="23"/>
    </row>
    <row r="551" spans="1:14" ht="15.5" x14ac:dyDescent="0.35">
      <c r="A551" s="9">
        <f t="shared" si="18"/>
        <v>550</v>
      </c>
      <c r="B551" t="s">
        <v>109</v>
      </c>
      <c r="C551" s="109">
        <f>IF(ISBLANK(K551),IFERROR(VLOOKUP(I551,FS_input_data!$C$107:$N$306,Export!J551,FALSE),""),K551)</f>
        <v>48</v>
      </c>
      <c r="D551" s="6" t="b">
        <v>1</v>
      </c>
      <c r="F551" s="6"/>
      <c r="G551" s="6"/>
      <c r="H551" s="6" t="s">
        <v>2211</v>
      </c>
      <c r="I551" t="s">
        <v>1120</v>
      </c>
      <c r="J551">
        <v>3</v>
      </c>
      <c r="L551" s="9" t="e">
        <f t="shared" si="17"/>
        <v>#VALUE!</v>
      </c>
      <c r="M551" s="22"/>
      <c r="N551" s="23"/>
    </row>
    <row r="552" spans="1:14" ht="15.5" x14ac:dyDescent="0.35">
      <c r="A552">
        <f t="shared" si="18"/>
        <v>551</v>
      </c>
      <c r="B552" t="s">
        <v>110</v>
      </c>
      <c r="C552" s="109" t="str">
        <f>IF(ISBLANK(K552),IFERROR(VLOOKUP(I552,FS_input_data!$C$107:$N$306,Export!J552,FALSE),""),K552)</f>
        <v/>
      </c>
      <c r="D552" s="6"/>
      <c r="E552" t="s">
        <v>1561</v>
      </c>
      <c r="F552" s="6"/>
      <c r="G552" s="6"/>
      <c r="H552" s="6" t="s">
        <v>2211</v>
      </c>
      <c r="I552" t="s">
        <v>1561</v>
      </c>
      <c r="J552" t="s">
        <v>1561</v>
      </c>
      <c r="L552">
        <f t="shared" si="17"/>
        <v>1</v>
      </c>
      <c r="M552" s="22"/>
      <c r="N552" s="23"/>
    </row>
    <row r="553" spans="1:14" ht="15.5" x14ac:dyDescent="0.35">
      <c r="A553" s="9">
        <f t="shared" si="18"/>
        <v>552</v>
      </c>
      <c r="B553" t="s">
        <v>111</v>
      </c>
      <c r="C553" s="109">
        <f>IF(ISBLANK(K553),IFERROR(VLOOKUP(I553,FS_input_data!$C$107:$N$306,Export!J553,FALSE),""),K553)</f>
        <v>148</v>
      </c>
      <c r="D553" s="6" t="b">
        <v>1</v>
      </c>
      <c r="F553" s="6"/>
      <c r="G553" s="6"/>
      <c r="H553" s="6" t="s">
        <v>2211</v>
      </c>
      <c r="I553" t="s">
        <v>1120</v>
      </c>
      <c r="J553">
        <v>4</v>
      </c>
      <c r="L553" s="9" t="e">
        <f t="shared" si="17"/>
        <v>#VALUE!</v>
      </c>
      <c r="M553" s="22"/>
      <c r="N553" s="23"/>
    </row>
    <row r="554" spans="1:14" ht="15.5" x14ac:dyDescent="0.35">
      <c r="A554">
        <f t="shared" si="18"/>
        <v>553</v>
      </c>
      <c r="B554" t="s">
        <v>112</v>
      </c>
      <c r="C554" s="109" t="str">
        <f>IF(ISBLANK(K554),IFERROR(VLOOKUP(I554,FS_input_data!$C$107:$N$306,Export!J554,FALSE),""),K554)</f>
        <v/>
      </c>
      <c r="D554" s="6"/>
      <c r="E554" t="s">
        <v>1561</v>
      </c>
      <c r="F554" s="6"/>
      <c r="G554" s="6"/>
      <c r="H554" s="6" t="s">
        <v>2211</v>
      </c>
      <c r="I554" t="s">
        <v>1561</v>
      </c>
      <c r="J554" t="s">
        <v>1561</v>
      </c>
      <c r="L554">
        <f t="shared" si="17"/>
        <v>1</v>
      </c>
      <c r="M554" s="24"/>
      <c r="N554" s="23"/>
    </row>
    <row r="555" spans="1:14" ht="15.5" x14ac:dyDescent="0.35">
      <c r="A555">
        <f t="shared" si="18"/>
        <v>554</v>
      </c>
      <c r="B555" t="s">
        <v>206</v>
      </c>
      <c r="C555" s="109" t="str">
        <f>IF(ISBLANK(K555),IFERROR(VLOOKUP(I555,FS_input_data!$C$107:$N$306,Export!J555,FALSE),""),K555)</f>
        <v/>
      </c>
      <c r="D555" s="6"/>
      <c r="E555" t="s">
        <v>1561</v>
      </c>
      <c r="F555" s="6"/>
      <c r="G555" s="6"/>
      <c r="H555" s="6" t="s">
        <v>2211</v>
      </c>
      <c r="I555" t="s">
        <v>1561</v>
      </c>
      <c r="J555" t="s">
        <v>1561</v>
      </c>
      <c r="L555">
        <f t="shared" si="17"/>
        <v>1</v>
      </c>
      <c r="M555" s="22"/>
      <c r="N555" s="23"/>
    </row>
    <row r="556" spans="1:14" ht="15.5" x14ac:dyDescent="0.35">
      <c r="A556">
        <f t="shared" si="18"/>
        <v>555</v>
      </c>
      <c r="B556" t="s">
        <v>207</v>
      </c>
      <c r="C556" s="109" t="str">
        <f>IF(ISBLANK(K556),IFERROR(VLOOKUP(I556,FS_input_data!$C$107:$N$306,Export!J556,FALSE),""),K556)</f>
        <v/>
      </c>
      <c r="D556" s="6"/>
      <c r="E556" t="s">
        <v>1124</v>
      </c>
      <c r="F556" s="6"/>
      <c r="G556" s="6"/>
      <c r="H556" s="6" t="s">
        <v>2211</v>
      </c>
      <c r="I556" t="s">
        <v>1561</v>
      </c>
      <c r="J556" t="s">
        <v>1561</v>
      </c>
      <c r="L556" s="26" t="e">
        <f t="shared" si="17"/>
        <v>#VALUE!</v>
      </c>
      <c r="M556" s="22"/>
      <c r="N556" s="23"/>
    </row>
    <row r="557" spans="1:14" ht="15.5" x14ac:dyDescent="0.35">
      <c r="A557" s="9">
        <f t="shared" si="18"/>
        <v>556</v>
      </c>
      <c r="B557" t="s">
        <v>109</v>
      </c>
      <c r="C557" s="109">
        <f>IF(ISBLANK(K557),IFERROR(VLOOKUP(I557,FS_input_data!$C$107:$N$306,Export!J557,FALSE),""),K557)</f>
        <v>49</v>
      </c>
      <c r="D557" s="6" t="b">
        <v>1</v>
      </c>
      <c r="F557" s="6"/>
      <c r="G557" s="6"/>
      <c r="H557" s="6" t="s">
        <v>2211</v>
      </c>
      <c r="I557" t="s">
        <v>1123</v>
      </c>
      <c r="J557">
        <v>3</v>
      </c>
      <c r="L557" s="9" t="e">
        <f t="shared" si="17"/>
        <v>#VALUE!</v>
      </c>
      <c r="M557" s="22"/>
      <c r="N557" s="23"/>
    </row>
    <row r="558" spans="1:14" ht="15.5" x14ac:dyDescent="0.35">
      <c r="A558">
        <f t="shared" si="18"/>
        <v>557</v>
      </c>
      <c r="B558" t="s">
        <v>110</v>
      </c>
      <c r="C558" s="109" t="str">
        <f>IF(ISBLANK(K558),IFERROR(VLOOKUP(I558,FS_input_data!$C$107:$N$306,Export!J558,FALSE),""),K558)</f>
        <v/>
      </c>
      <c r="D558" s="6"/>
      <c r="E558" t="s">
        <v>1561</v>
      </c>
      <c r="F558" s="6"/>
      <c r="G558" s="6"/>
      <c r="H558" s="6" t="s">
        <v>2211</v>
      </c>
      <c r="I558" t="s">
        <v>1561</v>
      </c>
      <c r="J558" t="s">
        <v>1561</v>
      </c>
      <c r="L558">
        <f t="shared" si="17"/>
        <v>1</v>
      </c>
      <c r="M558" s="22"/>
      <c r="N558" s="23"/>
    </row>
    <row r="559" spans="1:14" ht="15.5" x14ac:dyDescent="0.35">
      <c r="A559" s="9">
        <f t="shared" si="18"/>
        <v>558</v>
      </c>
      <c r="B559" t="s">
        <v>111</v>
      </c>
      <c r="C559" s="109">
        <f>IF(ISBLANK(K559),IFERROR(VLOOKUP(I559,FS_input_data!$C$107:$N$306,Export!J559,FALSE),""),K559)</f>
        <v>149</v>
      </c>
      <c r="D559" s="6" t="b">
        <v>1</v>
      </c>
      <c r="F559" s="6"/>
      <c r="G559" s="6"/>
      <c r="H559" s="6" t="s">
        <v>2211</v>
      </c>
      <c r="I559" t="s">
        <v>1123</v>
      </c>
      <c r="J559">
        <v>4</v>
      </c>
      <c r="L559" s="9" t="e">
        <f t="shared" si="17"/>
        <v>#VALUE!</v>
      </c>
      <c r="M559" s="22"/>
      <c r="N559" s="23"/>
    </row>
    <row r="560" spans="1:14" ht="15.5" x14ac:dyDescent="0.35">
      <c r="A560">
        <f t="shared" si="18"/>
        <v>559</v>
      </c>
      <c r="B560" t="s">
        <v>112</v>
      </c>
      <c r="C560" s="109" t="str">
        <f>IF(ISBLANK(K560),IFERROR(VLOOKUP(I560,FS_input_data!$C$107:$N$306,Export!J560,FALSE),""),K560)</f>
        <v/>
      </c>
      <c r="D560" s="6"/>
      <c r="E560" t="s">
        <v>1561</v>
      </c>
      <c r="F560" s="6"/>
      <c r="G560" s="6"/>
      <c r="H560" s="6" t="s">
        <v>2211</v>
      </c>
      <c r="I560" t="s">
        <v>1561</v>
      </c>
      <c r="J560" t="s">
        <v>1561</v>
      </c>
      <c r="L560">
        <f t="shared" si="17"/>
        <v>1</v>
      </c>
      <c r="M560" s="22"/>
      <c r="N560" s="23"/>
    </row>
    <row r="561" spans="1:14" ht="15.5" x14ac:dyDescent="0.35">
      <c r="A561">
        <f t="shared" si="18"/>
        <v>560</v>
      </c>
      <c r="B561" t="s">
        <v>208</v>
      </c>
      <c r="C561" s="109" t="str">
        <f>IF(ISBLANK(K561),IFERROR(VLOOKUP(I561,FS_input_data!$C$107:$N$306,Export!J561,FALSE),""),K561)</f>
        <v/>
      </c>
      <c r="D561" s="6"/>
      <c r="E561" t="s">
        <v>1561</v>
      </c>
      <c r="F561" s="6"/>
      <c r="G561" s="6"/>
      <c r="H561" s="6" t="s">
        <v>2211</v>
      </c>
      <c r="I561" t="s">
        <v>1561</v>
      </c>
      <c r="J561" t="s">
        <v>1561</v>
      </c>
      <c r="L561">
        <f t="shared" si="17"/>
        <v>1</v>
      </c>
      <c r="M561" s="22"/>
      <c r="N561" s="23"/>
    </row>
    <row r="562" spans="1:14" ht="15.5" x14ac:dyDescent="0.35">
      <c r="A562">
        <f t="shared" si="18"/>
        <v>561</v>
      </c>
      <c r="B562" t="s">
        <v>209</v>
      </c>
      <c r="C562" s="109" t="str">
        <f>IF(ISBLANK(K562),IFERROR(VLOOKUP(I562,FS_input_data!$C$107:$N$306,Export!J562,FALSE),""),K562)</f>
        <v/>
      </c>
      <c r="D562" s="6"/>
      <c r="E562" t="s">
        <v>1561</v>
      </c>
      <c r="F562" s="6"/>
      <c r="G562" s="6"/>
      <c r="H562" s="6" t="s">
        <v>2211</v>
      </c>
      <c r="I562" t="s">
        <v>1561</v>
      </c>
      <c r="J562" t="s">
        <v>1561</v>
      </c>
      <c r="L562">
        <f t="shared" si="17"/>
        <v>1</v>
      </c>
      <c r="M562" s="22"/>
      <c r="N562" s="23"/>
    </row>
    <row r="563" spans="1:14" ht="15.5" x14ac:dyDescent="0.35">
      <c r="A563">
        <f t="shared" si="18"/>
        <v>562</v>
      </c>
      <c r="B563" t="s">
        <v>210</v>
      </c>
      <c r="C563" s="109" t="str">
        <f>IF(ISBLANK(K563),IFERROR(VLOOKUP(I563,FS_input_data!$C$107:$N$306,Export!J563,FALSE),""),K563)</f>
        <v/>
      </c>
      <c r="D563" s="6"/>
      <c r="E563" t="s">
        <v>1127</v>
      </c>
      <c r="F563" s="6"/>
      <c r="G563" s="6"/>
      <c r="H563" s="6" t="s">
        <v>2211</v>
      </c>
      <c r="I563" t="s">
        <v>1561</v>
      </c>
      <c r="J563" t="s">
        <v>1561</v>
      </c>
      <c r="L563" s="26" t="e">
        <f t="shared" si="17"/>
        <v>#VALUE!</v>
      </c>
      <c r="M563" s="22"/>
      <c r="N563" s="23"/>
    </row>
    <row r="564" spans="1:14" ht="15.5" x14ac:dyDescent="0.35">
      <c r="A564" s="9">
        <f t="shared" si="18"/>
        <v>563</v>
      </c>
      <c r="B564" t="s">
        <v>109</v>
      </c>
      <c r="C564" s="109">
        <f>IF(ISBLANK(K564),IFERROR(VLOOKUP(I564,FS_input_data!$C$107:$N$306,Export!J564,FALSE),""),K564)</f>
        <v>664</v>
      </c>
      <c r="D564" s="6" t="b">
        <v>1</v>
      </c>
      <c r="F564" s="6"/>
      <c r="G564" s="6"/>
      <c r="H564" s="6" t="s">
        <v>2211</v>
      </c>
      <c r="I564" t="s">
        <v>1126</v>
      </c>
      <c r="J564">
        <v>3</v>
      </c>
      <c r="L564" s="9" t="e">
        <f t="shared" si="17"/>
        <v>#VALUE!</v>
      </c>
      <c r="M564" s="22"/>
      <c r="N564" s="23"/>
    </row>
    <row r="565" spans="1:14" ht="15.5" x14ac:dyDescent="0.35">
      <c r="A565">
        <f t="shared" si="18"/>
        <v>564</v>
      </c>
      <c r="B565" t="s">
        <v>110</v>
      </c>
      <c r="C565" s="109" t="str">
        <f>IF(ISBLANK(K565),IFERROR(VLOOKUP(I565,FS_input_data!$C$107:$N$306,Export!J565,FALSE),""),K565)</f>
        <v/>
      </c>
      <c r="D565" s="6"/>
      <c r="E565" t="s">
        <v>1561</v>
      </c>
      <c r="F565" s="6"/>
      <c r="G565" s="6"/>
      <c r="H565" s="6" t="s">
        <v>2211</v>
      </c>
      <c r="I565" t="s">
        <v>1561</v>
      </c>
      <c r="J565" t="s">
        <v>1561</v>
      </c>
      <c r="L565">
        <f t="shared" si="17"/>
        <v>1</v>
      </c>
      <c r="M565" s="22"/>
      <c r="N565" s="23"/>
    </row>
    <row r="566" spans="1:14" ht="15.5" x14ac:dyDescent="0.35">
      <c r="A566" s="9">
        <f t="shared" si="18"/>
        <v>565</v>
      </c>
      <c r="B566" t="s">
        <v>111</v>
      </c>
      <c r="C566" s="109">
        <f>IF(ISBLANK(K566),IFERROR(VLOOKUP(I566,FS_input_data!$C$107:$N$306,Export!J566,FALSE),""),K566)</f>
        <v>1764</v>
      </c>
      <c r="D566" s="6" t="b">
        <v>1</v>
      </c>
      <c r="F566" s="6"/>
      <c r="G566" s="6"/>
      <c r="H566" s="6" t="s">
        <v>2211</v>
      </c>
      <c r="I566" t="s">
        <v>1126</v>
      </c>
      <c r="J566">
        <v>4</v>
      </c>
      <c r="L566" s="9" t="e">
        <f t="shared" si="17"/>
        <v>#VALUE!</v>
      </c>
      <c r="M566" s="22"/>
      <c r="N566" s="23"/>
    </row>
    <row r="567" spans="1:14" ht="15.5" x14ac:dyDescent="0.35">
      <c r="A567">
        <f t="shared" si="18"/>
        <v>566</v>
      </c>
      <c r="B567" t="s">
        <v>112</v>
      </c>
      <c r="C567" s="109" t="str">
        <f>IF(ISBLANK(K567),IFERROR(VLOOKUP(I567,FS_input_data!$C$107:$N$306,Export!J567,FALSE),""),K567)</f>
        <v/>
      </c>
      <c r="D567" s="6"/>
      <c r="E567" t="s">
        <v>1561</v>
      </c>
      <c r="F567" s="6"/>
      <c r="G567" s="6"/>
      <c r="H567" s="6" t="s">
        <v>2211</v>
      </c>
      <c r="I567" t="s">
        <v>1561</v>
      </c>
      <c r="J567" t="s">
        <v>1561</v>
      </c>
      <c r="L567">
        <f t="shared" si="17"/>
        <v>1</v>
      </c>
      <c r="M567" s="22"/>
      <c r="N567" s="23"/>
    </row>
    <row r="568" spans="1:14" ht="15.5" x14ac:dyDescent="0.35">
      <c r="A568">
        <f t="shared" si="18"/>
        <v>567</v>
      </c>
      <c r="B568" t="s">
        <v>211</v>
      </c>
      <c r="C568" s="109" t="str">
        <f>IF(ISBLANK(K568),IFERROR(VLOOKUP(I568,FS_input_data!$C$107:$N$306,Export!J568,FALSE),""),K568)</f>
        <v/>
      </c>
      <c r="D568" s="6"/>
      <c r="E568" t="s">
        <v>1130</v>
      </c>
      <c r="F568" s="6"/>
      <c r="G568" s="6"/>
      <c r="H568" s="6" t="s">
        <v>2211</v>
      </c>
      <c r="I568" t="s">
        <v>1561</v>
      </c>
      <c r="J568" t="s">
        <v>1561</v>
      </c>
      <c r="L568" s="26" t="e">
        <f t="shared" si="17"/>
        <v>#VALUE!</v>
      </c>
      <c r="M568" s="22"/>
      <c r="N568" s="23"/>
    </row>
    <row r="569" spans="1:14" ht="15.5" x14ac:dyDescent="0.35">
      <c r="A569" s="9">
        <f t="shared" si="18"/>
        <v>568</v>
      </c>
      <c r="B569" t="s">
        <v>109</v>
      </c>
      <c r="C569" s="109">
        <f>IF(ISBLANK(K569),IFERROR(VLOOKUP(I569,FS_input_data!$C$107:$N$306,Export!J569,FALSE),""),K569)</f>
        <v>162</v>
      </c>
      <c r="D569" s="6" t="b">
        <v>1</v>
      </c>
      <c r="F569" s="6"/>
      <c r="G569" s="6"/>
      <c r="H569" s="6" t="s">
        <v>2211</v>
      </c>
      <c r="I569" t="s">
        <v>1129</v>
      </c>
      <c r="J569">
        <v>3</v>
      </c>
      <c r="L569" s="9" t="e">
        <f t="shared" si="17"/>
        <v>#VALUE!</v>
      </c>
      <c r="M569" s="22"/>
      <c r="N569" s="23"/>
    </row>
    <row r="570" spans="1:14" ht="15.5" x14ac:dyDescent="0.35">
      <c r="A570">
        <f t="shared" si="18"/>
        <v>569</v>
      </c>
      <c r="B570" t="s">
        <v>110</v>
      </c>
      <c r="C570" s="109" t="str">
        <f>IF(ISBLANK(K570),IFERROR(VLOOKUP(I570,FS_input_data!$C$107:$N$306,Export!J570,FALSE),""),K570)</f>
        <v/>
      </c>
      <c r="D570" s="6"/>
      <c r="E570" t="s">
        <v>1561</v>
      </c>
      <c r="F570" s="6"/>
      <c r="G570" s="6"/>
      <c r="H570" s="6" t="s">
        <v>2211</v>
      </c>
      <c r="I570" t="s">
        <v>1561</v>
      </c>
      <c r="J570" t="s">
        <v>1561</v>
      </c>
      <c r="L570">
        <f t="shared" si="17"/>
        <v>1</v>
      </c>
      <c r="M570" s="22"/>
      <c r="N570" s="23"/>
    </row>
    <row r="571" spans="1:14" ht="15.5" x14ac:dyDescent="0.35">
      <c r="A571" s="9">
        <f t="shared" si="18"/>
        <v>570</v>
      </c>
      <c r="B571" t="s">
        <v>111</v>
      </c>
      <c r="C571" s="109">
        <f>IF(ISBLANK(K571),IFERROR(VLOOKUP(I571,FS_input_data!$C$107:$N$306,Export!J571,FALSE),""),K571)</f>
        <v>462</v>
      </c>
      <c r="D571" s="6" t="b">
        <v>1</v>
      </c>
      <c r="F571" s="6"/>
      <c r="G571" s="6"/>
      <c r="H571" s="6" t="s">
        <v>2211</v>
      </c>
      <c r="I571" t="s">
        <v>1129</v>
      </c>
      <c r="J571">
        <v>4</v>
      </c>
      <c r="L571" s="9" t="e">
        <f t="shared" si="17"/>
        <v>#VALUE!</v>
      </c>
      <c r="M571" s="22"/>
      <c r="N571" s="23"/>
    </row>
    <row r="572" spans="1:14" ht="15.5" x14ac:dyDescent="0.35">
      <c r="A572">
        <f t="shared" si="18"/>
        <v>571</v>
      </c>
      <c r="B572" t="s">
        <v>112</v>
      </c>
      <c r="C572" s="109" t="str">
        <f>IF(ISBLANK(K572),IFERROR(VLOOKUP(I572,FS_input_data!$C$107:$N$306,Export!J572,FALSE),""),K572)</f>
        <v/>
      </c>
      <c r="D572" s="6"/>
      <c r="E572" t="s">
        <v>1561</v>
      </c>
      <c r="F572" s="6"/>
      <c r="G572" s="6"/>
      <c r="H572" s="6" t="s">
        <v>2211</v>
      </c>
      <c r="I572" t="s">
        <v>1561</v>
      </c>
      <c r="J572" t="s">
        <v>1561</v>
      </c>
      <c r="L572">
        <f t="shared" si="17"/>
        <v>1</v>
      </c>
      <c r="M572" s="22"/>
      <c r="N572" s="23"/>
    </row>
    <row r="573" spans="1:14" ht="15.5" x14ac:dyDescent="0.35">
      <c r="A573">
        <f t="shared" si="18"/>
        <v>572</v>
      </c>
      <c r="B573" t="s">
        <v>212</v>
      </c>
      <c r="C573" s="109" t="str">
        <f>IF(ISBLANK(K573),IFERROR(VLOOKUP(I573,FS_input_data!$C$107:$N$306,Export!J573,FALSE),""),K573)</f>
        <v/>
      </c>
      <c r="D573" s="6"/>
      <c r="E573" t="s">
        <v>1133</v>
      </c>
      <c r="F573" s="6"/>
      <c r="G573" s="6"/>
      <c r="H573" s="6" t="s">
        <v>2211</v>
      </c>
      <c r="I573" t="s">
        <v>1561</v>
      </c>
      <c r="J573" t="s">
        <v>1561</v>
      </c>
      <c r="L573" s="26" t="e">
        <f t="shared" si="17"/>
        <v>#VALUE!</v>
      </c>
      <c r="M573" s="22"/>
      <c r="N573" s="23"/>
    </row>
    <row r="574" spans="1:14" ht="15.5" x14ac:dyDescent="0.35">
      <c r="A574" s="9">
        <f t="shared" si="18"/>
        <v>573</v>
      </c>
      <c r="B574" t="s">
        <v>109</v>
      </c>
      <c r="C574" s="109">
        <f>IF(ISBLANK(K574),IFERROR(VLOOKUP(I574,FS_input_data!$C$107:$N$306,Export!J574,FALSE),""),K574)</f>
        <v>107</v>
      </c>
      <c r="D574" s="6" t="b">
        <v>1</v>
      </c>
      <c r="F574" s="6"/>
      <c r="G574" s="6"/>
      <c r="H574" s="6" t="s">
        <v>2211</v>
      </c>
      <c r="I574" t="s">
        <v>1132</v>
      </c>
      <c r="J574">
        <v>3</v>
      </c>
      <c r="L574" s="9" t="e">
        <f t="shared" si="17"/>
        <v>#VALUE!</v>
      </c>
      <c r="M574" s="22"/>
      <c r="N574" s="23"/>
    </row>
    <row r="575" spans="1:14" ht="15.5" x14ac:dyDescent="0.35">
      <c r="A575">
        <f t="shared" si="18"/>
        <v>574</v>
      </c>
      <c r="B575" t="s">
        <v>110</v>
      </c>
      <c r="C575" s="109" t="str">
        <f>IF(ISBLANK(K575),IFERROR(VLOOKUP(I575,FS_input_data!$C$107:$N$306,Export!J575,FALSE),""),K575)</f>
        <v/>
      </c>
      <c r="D575" s="6"/>
      <c r="E575" t="s">
        <v>1561</v>
      </c>
      <c r="F575" s="6"/>
      <c r="G575" s="6"/>
      <c r="H575" s="6" t="s">
        <v>2211</v>
      </c>
      <c r="I575" t="s">
        <v>1561</v>
      </c>
      <c r="J575" t="s">
        <v>1561</v>
      </c>
      <c r="L575">
        <f t="shared" si="17"/>
        <v>1</v>
      </c>
      <c r="M575" s="22"/>
      <c r="N575" s="23"/>
    </row>
    <row r="576" spans="1:14" ht="15.5" x14ac:dyDescent="0.35">
      <c r="A576" s="9">
        <f t="shared" si="18"/>
        <v>575</v>
      </c>
      <c r="B576" t="s">
        <v>111</v>
      </c>
      <c r="C576" s="109">
        <f>IF(ISBLANK(K576),IFERROR(VLOOKUP(I576,FS_input_data!$C$107:$N$306,Export!J576,FALSE),""),K576)</f>
        <v>307</v>
      </c>
      <c r="D576" s="6" t="b">
        <v>1</v>
      </c>
      <c r="F576" s="6"/>
      <c r="G576" s="6"/>
      <c r="H576" s="6" t="s">
        <v>2211</v>
      </c>
      <c r="I576" t="s">
        <v>1132</v>
      </c>
      <c r="J576">
        <v>4</v>
      </c>
      <c r="L576" s="9" t="e">
        <f t="shared" si="17"/>
        <v>#VALUE!</v>
      </c>
      <c r="M576" s="22"/>
      <c r="N576" s="23"/>
    </row>
    <row r="577" spans="1:14" ht="15.5" x14ac:dyDescent="0.35">
      <c r="A577">
        <f t="shared" si="18"/>
        <v>576</v>
      </c>
      <c r="B577" t="s">
        <v>112</v>
      </c>
      <c r="C577" s="109" t="str">
        <f>IF(ISBLANK(K577),IFERROR(VLOOKUP(I577,FS_input_data!$C$107:$N$306,Export!J577,FALSE),""),K577)</f>
        <v/>
      </c>
      <c r="D577" s="6"/>
      <c r="E577" t="s">
        <v>1561</v>
      </c>
      <c r="F577" s="6"/>
      <c r="G577" s="6"/>
      <c r="H577" s="6" t="s">
        <v>2211</v>
      </c>
      <c r="I577" t="s">
        <v>1561</v>
      </c>
      <c r="J577" t="s">
        <v>1561</v>
      </c>
      <c r="L577">
        <f t="shared" si="17"/>
        <v>1</v>
      </c>
      <c r="M577" s="22"/>
      <c r="N577" s="23"/>
    </row>
    <row r="578" spans="1:14" ht="15.5" x14ac:dyDescent="0.35">
      <c r="A578">
        <f t="shared" si="18"/>
        <v>577</v>
      </c>
      <c r="B578" t="s">
        <v>213</v>
      </c>
      <c r="C578" s="109" t="str">
        <f>IF(ISBLANK(K578),IFERROR(VLOOKUP(I578,FS_input_data!$C$107:$N$306,Export!J578,FALSE),""),K578)</f>
        <v/>
      </c>
      <c r="D578" s="6"/>
      <c r="E578" t="s">
        <v>1136</v>
      </c>
      <c r="F578" s="6"/>
      <c r="G578" s="6"/>
      <c r="H578" s="6" t="s">
        <v>2211</v>
      </c>
      <c r="I578" t="s">
        <v>1561</v>
      </c>
      <c r="J578" t="s">
        <v>1561</v>
      </c>
      <c r="L578" s="26" t="e">
        <f t="shared" ref="L578:L641" si="19">FIND("/",B578)</f>
        <v>#VALUE!</v>
      </c>
      <c r="M578" s="22"/>
      <c r="N578" s="23"/>
    </row>
    <row r="579" spans="1:14" ht="15.5" x14ac:dyDescent="0.35">
      <c r="A579" s="9">
        <f t="shared" ref="A579:A642" si="20">A578+1</f>
        <v>578</v>
      </c>
      <c r="B579" t="s">
        <v>109</v>
      </c>
      <c r="C579" s="109">
        <f>IF(ISBLANK(K579),IFERROR(VLOOKUP(I579,FS_input_data!$C$107:$N$306,Export!J579,FALSE),""),K579)</f>
        <v>53</v>
      </c>
      <c r="D579" s="6" t="b">
        <v>1</v>
      </c>
      <c r="F579" s="6"/>
      <c r="G579" s="6"/>
      <c r="H579" s="6" t="s">
        <v>2211</v>
      </c>
      <c r="I579" t="s">
        <v>1135</v>
      </c>
      <c r="J579">
        <v>3</v>
      </c>
      <c r="L579" s="9" t="e">
        <f t="shared" si="19"/>
        <v>#VALUE!</v>
      </c>
      <c r="M579" s="22"/>
      <c r="N579" s="23"/>
    </row>
    <row r="580" spans="1:14" ht="15.5" x14ac:dyDescent="0.35">
      <c r="A580">
        <f t="shared" si="20"/>
        <v>579</v>
      </c>
      <c r="B580" t="s">
        <v>110</v>
      </c>
      <c r="C580" s="109" t="str">
        <f>IF(ISBLANK(K580),IFERROR(VLOOKUP(I580,FS_input_data!$C$107:$N$306,Export!J580,FALSE),""),K580)</f>
        <v/>
      </c>
      <c r="D580" s="6"/>
      <c r="E580" t="s">
        <v>1561</v>
      </c>
      <c r="F580" s="6"/>
      <c r="G580" s="6"/>
      <c r="H580" s="6" t="s">
        <v>2211</v>
      </c>
      <c r="I580" t="s">
        <v>1561</v>
      </c>
      <c r="J580" t="s">
        <v>1561</v>
      </c>
      <c r="L580">
        <f t="shared" si="19"/>
        <v>1</v>
      </c>
      <c r="M580" s="22"/>
      <c r="N580" s="23"/>
    </row>
    <row r="581" spans="1:14" ht="15.5" x14ac:dyDescent="0.35">
      <c r="A581" s="9">
        <f t="shared" si="20"/>
        <v>580</v>
      </c>
      <c r="B581" t="s">
        <v>111</v>
      </c>
      <c r="C581" s="109">
        <f>IF(ISBLANK(K581),IFERROR(VLOOKUP(I581,FS_input_data!$C$107:$N$306,Export!J581,FALSE),""),K581)</f>
        <v>153</v>
      </c>
      <c r="D581" s="6" t="b">
        <v>1</v>
      </c>
      <c r="F581" s="6"/>
      <c r="G581" s="6"/>
      <c r="H581" s="6" t="s">
        <v>2211</v>
      </c>
      <c r="I581" t="s">
        <v>1135</v>
      </c>
      <c r="J581">
        <v>4</v>
      </c>
      <c r="L581" s="9" t="e">
        <f t="shared" si="19"/>
        <v>#VALUE!</v>
      </c>
      <c r="M581" s="22"/>
      <c r="N581" s="23"/>
    </row>
    <row r="582" spans="1:14" ht="15.5" x14ac:dyDescent="0.35">
      <c r="A582">
        <f t="shared" si="20"/>
        <v>581</v>
      </c>
      <c r="B582" t="s">
        <v>112</v>
      </c>
      <c r="C582" s="109" t="str">
        <f>IF(ISBLANK(K582),IFERROR(VLOOKUP(I582,FS_input_data!$C$107:$N$306,Export!J582,FALSE),""),K582)</f>
        <v/>
      </c>
      <c r="D582" s="6"/>
      <c r="E582" t="s">
        <v>1561</v>
      </c>
      <c r="F582" s="6"/>
      <c r="G582" s="6"/>
      <c r="H582" s="6" t="s">
        <v>2211</v>
      </c>
      <c r="I582" t="s">
        <v>1561</v>
      </c>
      <c r="J582" t="s">
        <v>1561</v>
      </c>
      <c r="L582">
        <f t="shared" si="19"/>
        <v>1</v>
      </c>
      <c r="M582" s="22"/>
      <c r="N582" s="23"/>
    </row>
    <row r="583" spans="1:14" ht="15.5" x14ac:dyDescent="0.35">
      <c r="A583">
        <f t="shared" si="20"/>
        <v>582</v>
      </c>
      <c r="B583" t="s">
        <v>214</v>
      </c>
      <c r="C583" s="109" t="str">
        <f>IF(ISBLANK(K583),IFERROR(VLOOKUP(I583,FS_input_data!$C$107:$N$306,Export!J583,FALSE),""),K583)</f>
        <v/>
      </c>
      <c r="D583" s="6"/>
      <c r="E583" t="s">
        <v>1561</v>
      </c>
      <c r="F583" s="6"/>
      <c r="G583" s="6"/>
      <c r="H583" s="6" t="s">
        <v>2211</v>
      </c>
      <c r="I583" t="s">
        <v>1561</v>
      </c>
      <c r="J583" t="s">
        <v>1561</v>
      </c>
      <c r="L583">
        <f t="shared" si="19"/>
        <v>1</v>
      </c>
      <c r="M583" s="22"/>
      <c r="N583" s="23"/>
    </row>
    <row r="584" spans="1:14" ht="15.5" x14ac:dyDescent="0.35">
      <c r="A584">
        <f t="shared" si="20"/>
        <v>583</v>
      </c>
      <c r="B584" t="s">
        <v>215</v>
      </c>
      <c r="C584" s="109" t="str">
        <f>IF(ISBLANK(K584),IFERROR(VLOOKUP(I584,FS_input_data!$C$107:$N$306,Export!J584,FALSE),""),K584)</f>
        <v/>
      </c>
      <c r="D584" s="6"/>
      <c r="E584" t="s">
        <v>1139</v>
      </c>
      <c r="F584" s="6"/>
      <c r="G584" s="6"/>
      <c r="H584" s="6" t="s">
        <v>2211</v>
      </c>
      <c r="I584" t="s">
        <v>1561</v>
      </c>
      <c r="J584" t="s">
        <v>1561</v>
      </c>
      <c r="L584" s="26" t="e">
        <f t="shared" si="19"/>
        <v>#VALUE!</v>
      </c>
      <c r="M584" s="22"/>
      <c r="N584" s="23"/>
    </row>
    <row r="585" spans="1:14" ht="15.5" x14ac:dyDescent="0.35">
      <c r="A585" s="9">
        <f t="shared" si="20"/>
        <v>584</v>
      </c>
      <c r="B585" t="s">
        <v>109</v>
      </c>
      <c r="C585" s="109">
        <f>IF(ISBLANK(K585),IFERROR(VLOOKUP(I585,FS_input_data!$C$107:$N$306,Export!J585,FALSE),""),K585)</f>
        <v>54</v>
      </c>
      <c r="D585" s="6" t="b">
        <v>1</v>
      </c>
      <c r="F585" s="6"/>
      <c r="G585" s="6"/>
      <c r="H585" s="6" t="s">
        <v>2211</v>
      </c>
      <c r="I585" t="s">
        <v>1138</v>
      </c>
      <c r="J585">
        <v>3</v>
      </c>
      <c r="L585" s="9" t="e">
        <f t="shared" si="19"/>
        <v>#VALUE!</v>
      </c>
      <c r="M585" s="22"/>
      <c r="N585" s="23"/>
    </row>
    <row r="586" spans="1:14" ht="15.5" x14ac:dyDescent="0.35">
      <c r="A586">
        <f t="shared" si="20"/>
        <v>585</v>
      </c>
      <c r="B586" t="s">
        <v>110</v>
      </c>
      <c r="C586" s="109" t="str">
        <f>IF(ISBLANK(K586),IFERROR(VLOOKUP(I586,FS_input_data!$C$107:$N$306,Export!J586,FALSE),""),K586)</f>
        <v/>
      </c>
      <c r="D586" s="6"/>
      <c r="E586" t="s">
        <v>1561</v>
      </c>
      <c r="F586" s="6"/>
      <c r="G586" s="6"/>
      <c r="H586" s="6" t="s">
        <v>2211</v>
      </c>
      <c r="I586" t="s">
        <v>1561</v>
      </c>
      <c r="J586" t="s">
        <v>1561</v>
      </c>
      <c r="L586">
        <f t="shared" si="19"/>
        <v>1</v>
      </c>
      <c r="M586" s="24"/>
      <c r="N586" s="23"/>
    </row>
    <row r="587" spans="1:14" ht="15.5" x14ac:dyDescent="0.35">
      <c r="A587" s="9">
        <f t="shared" si="20"/>
        <v>586</v>
      </c>
      <c r="B587" t="s">
        <v>111</v>
      </c>
      <c r="C587" s="109">
        <f>IF(ISBLANK(K587),IFERROR(VLOOKUP(I587,FS_input_data!$C$107:$N$306,Export!J587,FALSE),""),K587)</f>
        <v>154</v>
      </c>
      <c r="D587" s="6" t="b">
        <v>1</v>
      </c>
      <c r="F587" s="6"/>
      <c r="G587" s="6"/>
      <c r="H587" s="6" t="s">
        <v>2211</v>
      </c>
      <c r="I587" t="s">
        <v>1138</v>
      </c>
      <c r="J587">
        <v>4</v>
      </c>
      <c r="L587" s="9" t="e">
        <f t="shared" si="19"/>
        <v>#VALUE!</v>
      </c>
      <c r="M587" s="22"/>
      <c r="N587" s="23"/>
    </row>
    <row r="588" spans="1:14" ht="15.5" x14ac:dyDescent="0.35">
      <c r="A588">
        <f t="shared" si="20"/>
        <v>587</v>
      </c>
      <c r="B588" t="s">
        <v>112</v>
      </c>
      <c r="C588" s="109" t="str">
        <f>IF(ISBLANK(K588),IFERROR(VLOOKUP(I588,FS_input_data!$C$107:$N$306,Export!J588,FALSE),""),K588)</f>
        <v/>
      </c>
      <c r="D588" s="6"/>
      <c r="E588" t="s">
        <v>1561</v>
      </c>
      <c r="F588" s="6"/>
      <c r="G588" s="6"/>
      <c r="H588" s="6" t="s">
        <v>2211</v>
      </c>
      <c r="I588" t="s">
        <v>1561</v>
      </c>
      <c r="J588" t="s">
        <v>1561</v>
      </c>
      <c r="L588">
        <f t="shared" si="19"/>
        <v>1</v>
      </c>
      <c r="M588" s="22"/>
      <c r="N588" s="23"/>
    </row>
    <row r="589" spans="1:14" ht="15.5" x14ac:dyDescent="0.35">
      <c r="A589">
        <f t="shared" si="20"/>
        <v>588</v>
      </c>
      <c r="B589" t="s">
        <v>216</v>
      </c>
      <c r="C589" s="109" t="str">
        <f>IF(ISBLANK(K589),IFERROR(VLOOKUP(I589,FS_input_data!$C$107:$N$306,Export!J589,FALSE),""),K589)</f>
        <v/>
      </c>
      <c r="D589" s="6"/>
      <c r="E589" t="s">
        <v>1561</v>
      </c>
      <c r="F589" s="6"/>
      <c r="G589" s="6"/>
      <c r="H589" s="6" t="s">
        <v>2211</v>
      </c>
      <c r="I589" t="s">
        <v>1561</v>
      </c>
      <c r="J589" t="s">
        <v>1561</v>
      </c>
      <c r="L589">
        <f t="shared" si="19"/>
        <v>1</v>
      </c>
      <c r="M589" s="22"/>
      <c r="N589" s="23"/>
    </row>
    <row r="590" spans="1:14" ht="15.5" x14ac:dyDescent="0.35">
      <c r="A590">
        <f t="shared" si="20"/>
        <v>589</v>
      </c>
      <c r="B590" t="s">
        <v>217</v>
      </c>
      <c r="C590" s="109" t="str">
        <f>IF(ISBLANK(K590),IFERROR(VLOOKUP(I590,FS_input_data!$C$107:$N$306,Export!J590,FALSE),""),K590)</f>
        <v/>
      </c>
      <c r="D590" s="6"/>
      <c r="E590" t="s">
        <v>1561</v>
      </c>
      <c r="F590" s="6"/>
      <c r="G590" s="6"/>
      <c r="H590" s="6" t="s">
        <v>2211</v>
      </c>
      <c r="I590" t="s">
        <v>1561</v>
      </c>
      <c r="J590" t="s">
        <v>1561</v>
      </c>
      <c r="L590">
        <f t="shared" si="19"/>
        <v>1</v>
      </c>
      <c r="M590" s="22"/>
      <c r="N590" s="23"/>
    </row>
    <row r="591" spans="1:14" ht="15.5" x14ac:dyDescent="0.35">
      <c r="A591">
        <f t="shared" si="20"/>
        <v>590</v>
      </c>
      <c r="B591" t="s">
        <v>218</v>
      </c>
      <c r="C591" s="109" t="str">
        <f>IF(ISBLANK(K591),IFERROR(VLOOKUP(I591,FS_input_data!$C$107:$N$306,Export!J591,FALSE),""),K591)</f>
        <v/>
      </c>
      <c r="D591" s="6"/>
      <c r="E591" t="s">
        <v>1142</v>
      </c>
      <c r="F591" s="6"/>
      <c r="G591" s="6"/>
      <c r="H591" s="6" t="s">
        <v>2211</v>
      </c>
      <c r="I591" t="s">
        <v>1561</v>
      </c>
      <c r="J591" t="s">
        <v>1561</v>
      </c>
      <c r="L591" s="26" t="e">
        <f t="shared" si="19"/>
        <v>#VALUE!</v>
      </c>
      <c r="M591" s="22"/>
      <c r="N591" s="23"/>
    </row>
    <row r="592" spans="1:14" ht="15.5" x14ac:dyDescent="0.35">
      <c r="A592" s="9">
        <f t="shared" si="20"/>
        <v>591</v>
      </c>
      <c r="B592" t="s">
        <v>109</v>
      </c>
      <c r="C592" s="109">
        <f>IF(ISBLANK(K592),IFERROR(VLOOKUP(I592,FS_input_data!$C$107:$N$306,Export!J592,FALSE),""),K592)</f>
        <v>55</v>
      </c>
      <c r="D592" s="6" t="b">
        <v>1</v>
      </c>
      <c r="F592" s="6"/>
      <c r="G592" s="6"/>
      <c r="H592" s="6" t="s">
        <v>2211</v>
      </c>
      <c r="I592" t="s">
        <v>1141</v>
      </c>
      <c r="J592">
        <v>3</v>
      </c>
      <c r="L592" s="9" t="e">
        <f t="shared" si="19"/>
        <v>#VALUE!</v>
      </c>
      <c r="M592" s="22"/>
      <c r="N592" s="23"/>
    </row>
    <row r="593" spans="1:14" ht="15.5" x14ac:dyDescent="0.35">
      <c r="A593">
        <f t="shared" si="20"/>
        <v>592</v>
      </c>
      <c r="B593" t="s">
        <v>110</v>
      </c>
      <c r="C593" s="109" t="str">
        <f>IF(ISBLANK(K593),IFERROR(VLOOKUP(I593,FS_input_data!$C$107:$N$306,Export!J593,FALSE),""),K593)</f>
        <v/>
      </c>
      <c r="D593" s="6"/>
      <c r="E593" t="s">
        <v>1561</v>
      </c>
      <c r="F593" s="6"/>
      <c r="G593" s="6"/>
      <c r="H593" s="6" t="s">
        <v>2211</v>
      </c>
      <c r="I593" t="s">
        <v>1561</v>
      </c>
      <c r="J593" t="s">
        <v>1561</v>
      </c>
      <c r="L593">
        <f t="shared" si="19"/>
        <v>1</v>
      </c>
      <c r="M593" s="22"/>
      <c r="N593" s="23"/>
    </row>
    <row r="594" spans="1:14" ht="15.5" x14ac:dyDescent="0.35">
      <c r="A594" s="9">
        <f t="shared" si="20"/>
        <v>593</v>
      </c>
      <c r="B594" t="s">
        <v>111</v>
      </c>
      <c r="C594" s="109">
        <f>IF(ISBLANK(K594),IFERROR(VLOOKUP(I594,FS_input_data!$C$107:$N$306,Export!J594,FALSE),""),K594)</f>
        <v>155</v>
      </c>
      <c r="D594" s="6" t="b">
        <v>1</v>
      </c>
      <c r="F594" s="6"/>
      <c r="G594" s="6"/>
      <c r="H594" s="6" t="s">
        <v>2211</v>
      </c>
      <c r="I594" t="s">
        <v>1141</v>
      </c>
      <c r="J594">
        <v>4</v>
      </c>
      <c r="L594" s="9" t="e">
        <f t="shared" si="19"/>
        <v>#VALUE!</v>
      </c>
      <c r="M594" s="22"/>
      <c r="N594" s="23"/>
    </row>
    <row r="595" spans="1:14" ht="15.5" x14ac:dyDescent="0.35">
      <c r="A595">
        <f t="shared" si="20"/>
        <v>594</v>
      </c>
      <c r="B595" t="s">
        <v>112</v>
      </c>
      <c r="C595" s="109" t="str">
        <f>IF(ISBLANK(K595),IFERROR(VLOOKUP(I595,FS_input_data!$C$107:$N$306,Export!J595,FALSE),""),K595)</f>
        <v/>
      </c>
      <c r="D595" s="6"/>
      <c r="E595" t="s">
        <v>1561</v>
      </c>
      <c r="F595" s="6"/>
      <c r="G595" s="6"/>
      <c r="H595" s="6" t="s">
        <v>2211</v>
      </c>
      <c r="I595" t="s">
        <v>1561</v>
      </c>
      <c r="J595" t="s">
        <v>1561</v>
      </c>
      <c r="L595">
        <f t="shared" si="19"/>
        <v>1</v>
      </c>
      <c r="M595" s="22"/>
      <c r="N595" s="23"/>
    </row>
    <row r="596" spans="1:14" ht="15.5" x14ac:dyDescent="0.35">
      <c r="A596">
        <f t="shared" si="20"/>
        <v>595</v>
      </c>
      <c r="B596" t="s">
        <v>219</v>
      </c>
      <c r="C596" s="109" t="str">
        <f>IF(ISBLANK(K596),IFERROR(VLOOKUP(I596,FS_input_data!$C$107:$N$306,Export!J596,FALSE),""),K596)</f>
        <v/>
      </c>
      <c r="D596" s="6"/>
      <c r="E596" t="s">
        <v>1561</v>
      </c>
      <c r="F596" s="6"/>
      <c r="G596" s="6"/>
      <c r="H596" s="6" t="s">
        <v>2211</v>
      </c>
      <c r="I596" t="s">
        <v>1561</v>
      </c>
      <c r="J596" t="s">
        <v>1561</v>
      </c>
      <c r="L596">
        <f t="shared" si="19"/>
        <v>1</v>
      </c>
      <c r="M596" s="22"/>
      <c r="N596" s="23"/>
    </row>
    <row r="597" spans="1:14" ht="15.5" x14ac:dyDescent="0.35">
      <c r="A597">
        <f t="shared" si="20"/>
        <v>596</v>
      </c>
      <c r="B597" t="s">
        <v>220</v>
      </c>
      <c r="C597" s="109" t="str">
        <f>IF(ISBLANK(K597),IFERROR(VLOOKUP(I597,FS_input_data!$C$107:$N$306,Export!J597,FALSE),""),K597)</f>
        <v/>
      </c>
      <c r="D597" s="6"/>
      <c r="E597" t="s">
        <v>1561</v>
      </c>
      <c r="F597" s="6"/>
      <c r="G597" s="6"/>
      <c r="H597" s="6" t="s">
        <v>2211</v>
      </c>
      <c r="I597" t="s">
        <v>1561</v>
      </c>
      <c r="J597" t="s">
        <v>1561</v>
      </c>
      <c r="L597">
        <f t="shared" si="19"/>
        <v>1</v>
      </c>
      <c r="M597" s="22"/>
      <c r="N597" s="23"/>
    </row>
    <row r="598" spans="1:14" ht="15.5" x14ac:dyDescent="0.35">
      <c r="A598">
        <f t="shared" si="20"/>
        <v>597</v>
      </c>
      <c r="B598" t="s">
        <v>221</v>
      </c>
      <c r="C598" s="109" t="str">
        <f>IF(ISBLANK(K598),IFERROR(VLOOKUP(I598,FS_input_data!$C$107:$N$306,Export!J598,FALSE),""),K598)</f>
        <v/>
      </c>
      <c r="D598" s="6"/>
      <c r="E598" t="s">
        <v>1145</v>
      </c>
      <c r="F598" s="6"/>
      <c r="G598" s="6"/>
      <c r="H598" s="6" t="s">
        <v>2211</v>
      </c>
      <c r="I598" t="s">
        <v>1561</v>
      </c>
      <c r="J598" t="s">
        <v>1561</v>
      </c>
      <c r="L598" s="26" t="e">
        <f t="shared" si="19"/>
        <v>#VALUE!</v>
      </c>
      <c r="M598" s="22"/>
      <c r="N598" s="23"/>
    </row>
    <row r="599" spans="1:14" ht="15.5" x14ac:dyDescent="0.35">
      <c r="A599" s="9">
        <f t="shared" si="20"/>
        <v>598</v>
      </c>
      <c r="B599" t="s">
        <v>109</v>
      </c>
      <c r="C599" s="109">
        <f>IF(ISBLANK(K599),IFERROR(VLOOKUP(I599,FS_input_data!$C$107:$N$306,Export!J599,FALSE),""),K599)</f>
        <v>177</v>
      </c>
      <c r="D599" s="6" t="b">
        <v>1</v>
      </c>
      <c r="F599" s="6"/>
      <c r="G599" s="6"/>
      <c r="H599" s="6" t="s">
        <v>2211</v>
      </c>
      <c r="I599" t="s">
        <v>1144</v>
      </c>
      <c r="J599">
        <v>3</v>
      </c>
      <c r="L599" s="9" t="e">
        <f t="shared" si="19"/>
        <v>#VALUE!</v>
      </c>
      <c r="M599" s="22"/>
      <c r="N599" s="23"/>
    </row>
    <row r="600" spans="1:14" ht="15.5" x14ac:dyDescent="0.35">
      <c r="A600">
        <f t="shared" si="20"/>
        <v>599</v>
      </c>
      <c r="B600" t="s">
        <v>110</v>
      </c>
      <c r="C600" s="109" t="str">
        <f>IF(ISBLANK(K600),IFERROR(VLOOKUP(I600,FS_input_data!$C$107:$N$306,Export!J600,FALSE),""),K600)</f>
        <v/>
      </c>
      <c r="D600" s="6"/>
      <c r="E600" t="s">
        <v>1561</v>
      </c>
      <c r="F600" s="6"/>
      <c r="G600" s="6"/>
      <c r="H600" s="6" t="s">
        <v>2211</v>
      </c>
      <c r="I600" t="s">
        <v>1561</v>
      </c>
      <c r="J600" t="s">
        <v>1561</v>
      </c>
      <c r="L600">
        <f t="shared" si="19"/>
        <v>1</v>
      </c>
      <c r="M600" s="22"/>
      <c r="N600" s="23"/>
    </row>
    <row r="601" spans="1:14" ht="15.5" x14ac:dyDescent="0.35">
      <c r="A601" s="9">
        <f t="shared" si="20"/>
        <v>600</v>
      </c>
      <c r="B601" t="s">
        <v>111</v>
      </c>
      <c r="C601" s="109">
        <f>IF(ISBLANK(K601),IFERROR(VLOOKUP(I601,FS_input_data!$C$107:$N$306,Export!J601,FALSE),""),K601)</f>
        <v>477</v>
      </c>
      <c r="D601" s="6" t="b">
        <v>1</v>
      </c>
      <c r="F601" s="6"/>
      <c r="G601" s="6"/>
      <c r="H601" s="6" t="s">
        <v>2211</v>
      </c>
      <c r="I601" t="s">
        <v>1144</v>
      </c>
      <c r="J601">
        <v>4</v>
      </c>
      <c r="L601" s="9" t="e">
        <f t="shared" si="19"/>
        <v>#VALUE!</v>
      </c>
      <c r="M601" s="22"/>
      <c r="N601" s="23"/>
    </row>
    <row r="602" spans="1:14" ht="15.5" x14ac:dyDescent="0.35">
      <c r="A602">
        <f t="shared" si="20"/>
        <v>601</v>
      </c>
      <c r="B602" t="s">
        <v>112</v>
      </c>
      <c r="C602" s="109" t="str">
        <f>IF(ISBLANK(K602),IFERROR(VLOOKUP(I602,FS_input_data!$C$107:$N$306,Export!J602,FALSE),""),K602)</f>
        <v/>
      </c>
      <c r="D602" s="6"/>
      <c r="E602" t="s">
        <v>1561</v>
      </c>
      <c r="F602" s="6"/>
      <c r="G602" s="6"/>
      <c r="H602" s="6" t="s">
        <v>2211</v>
      </c>
      <c r="I602" t="s">
        <v>1561</v>
      </c>
      <c r="J602" t="s">
        <v>1561</v>
      </c>
      <c r="L602">
        <f t="shared" si="19"/>
        <v>1</v>
      </c>
      <c r="M602" s="22"/>
      <c r="N602" s="23"/>
    </row>
    <row r="603" spans="1:14" ht="15.5" x14ac:dyDescent="0.35">
      <c r="A603">
        <f t="shared" si="20"/>
        <v>602</v>
      </c>
      <c r="B603" t="s">
        <v>222</v>
      </c>
      <c r="C603" s="109" t="str">
        <f>IF(ISBLANK(K603),IFERROR(VLOOKUP(I603,FS_input_data!$C$107:$N$306,Export!J603,FALSE),""),K603)</f>
        <v/>
      </c>
      <c r="D603" s="6"/>
      <c r="E603" t="s">
        <v>1133</v>
      </c>
      <c r="F603" s="6"/>
      <c r="G603" s="6"/>
      <c r="H603" s="6" t="s">
        <v>2211</v>
      </c>
      <c r="I603" t="s">
        <v>1561</v>
      </c>
      <c r="J603" t="s">
        <v>1561</v>
      </c>
      <c r="L603" s="26" t="e">
        <f t="shared" si="19"/>
        <v>#VALUE!</v>
      </c>
      <c r="M603" s="22"/>
      <c r="N603" s="23"/>
    </row>
    <row r="604" spans="1:14" ht="15.5" x14ac:dyDescent="0.35">
      <c r="A604" s="9">
        <f t="shared" si="20"/>
        <v>603</v>
      </c>
      <c r="B604" t="s">
        <v>109</v>
      </c>
      <c r="C604" s="109">
        <f>IF(ISBLANK(K604),IFERROR(VLOOKUP(I604,FS_input_data!$C$107:$N$306,Export!J604,FALSE),""),K604)</f>
        <v>117</v>
      </c>
      <c r="D604" s="6" t="b">
        <v>1</v>
      </c>
      <c r="F604" s="6"/>
      <c r="G604" s="6"/>
      <c r="H604" s="6" t="s">
        <v>2211</v>
      </c>
      <c r="I604" t="s">
        <v>1147</v>
      </c>
      <c r="J604">
        <v>3</v>
      </c>
      <c r="L604" s="9" t="e">
        <f t="shared" si="19"/>
        <v>#VALUE!</v>
      </c>
      <c r="M604" s="22"/>
      <c r="N604" s="23"/>
    </row>
    <row r="605" spans="1:14" ht="15.5" x14ac:dyDescent="0.35">
      <c r="A605">
        <f t="shared" si="20"/>
        <v>604</v>
      </c>
      <c r="B605" t="s">
        <v>110</v>
      </c>
      <c r="C605" s="109" t="str">
        <f>IF(ISBLANK(K605),IFERROR(VLOOKUP(I605,FS_input_data!$C$107:$N$306,Export!J605,FALSE),""),K605)</f>
        <v/>
      </c>
      <c r="D605" s="6"/>
      <c r="E605" t="s">
        <v>1561</v>
      </c>
      <c r="F605" s="6"/>
      <c r="G605" s="6"/>
      <c r="H605" s="6" t="s">
        <v>2211</v>
      </c>
      <c r="I605" t="s">
        <v>1561</v>
      </c>
      <c r="J605" t="s">
        <v>1561</v>
      </c>
      <c r="L605">
        <f t="shared" si="19"/>
        <v>1</v>
      </c>
      <c r="M605" s="22"/>
      <c r="N605" s="23"/>
    </row>
    <row r="606" spans="1:14" ht="15.5" x14ac:dyDescent="0.35">
      <c r="A606" s="9">
        <f t="shared" si="20"/>
        <v>605</v>
      </c>
      <c r="B606" t="s">
        <v>111</v>
      </c>
      <c r="C606" s="109">
        <f>IF(ISBLANK(K606),IFERROR(VLOOKUP(I606,FS_input_data!$C$107:$N$306,Export!J606,FALSE),""),K606)</f>
        <v>317</v>
      </c>
      <c r="D606" s="6" t="b">
        <v>1</v>
      </c>
      <c r="F606" s="6"/>
      <c r="G606" s="6"/>
      <c r="H606" s="6" t="s">
        <v>2211</v>
      </c>
      <c r="I606" t="s">
        <v>1147</v>
      </c>
      <c r="J606">
        <v>4</v>
      </c>
      <c r="L606" s="9" t="e">
        <f t="shared" si="19"/>
        <v>#VALUE!</v>
      </c>
      <c r="M606" s="22"/>
      <c r="N606" s="23"/>
    </row>
    <row r="607" spans="1:14" ht="15.5" x14ac:dyDescent="0.35">
      <c r="A607">
        <f t="shared" si="20"/>
        <v>606</v>
      </c>
      <c r="B607" t="s">
        <v>112</v>
      </c>
      <c r="C607" s="109" t="str">
        <f>IF(ISBLANK(K607),IFERROR(VLOOKUP(I607,FS_input_data!$C$107:$N$306,Export!J607,FALSE),""),K607)</f>
        <v/>
      </c>
      <c r="D607" s="6"/>
      <c r="E607" t="s">
        <v>1561</v>
      </c>
      <c r="F607" s="6"/>
      <c r="G607" s="6"/>
      <c r="H607" s="6" t="s">
        <v>2211</v>
      </c>
      <c r="I607" t="s">
        <v>1561</v>
      </c>
      <c r="J607" t="s">
        <v>1561</v>
      </c>
      <c r="L607">
        <f t="shared" si="19"/>
        <v>1</v>
      </c>
      <c r="M607" s="22"/>
      <c r="N607" s="23"/>
    </row>
    <row r="608" spans="1:14" ht="15.5" x14ac:dyDescent="0.35">
      <c r="A608">
        <f t="shared" si="20"/>
        <v>607</v>
      </c>
      <c r="B608" t="s">
        <v>223</v>
      </c>
      <c r="C608" s="109" t="str">
        <f>IF(ISBLANK(K608),IFERROR(VLOOKUP(I608,FS_input_data!$C$107:$N$306,Export!J608,FALSE),""),K608)</f>
        <v/>
      </c>
      <c r="D608" s="6"/>
      <c r="E608" t="s">
        <v>1136</v>
      </c>
      <c r="F608" s="6"/>
      <c r="G608" s="6"/>
      <c r="H608" s="6" t="s">
        <v>2211</v>
      </c>
      <c r="I608" t="s">
        <v>1561</v>
      </c>
      <c r="J608" t="s">
        <v>1561</v>
      </c>
      <c r="L608" s="26" t="e">
        <f t="shared" si="19"/>
        <v>#VALUE!</v>
      </c>
      <c r="M608" s="24"/>
      <c r="N608" s="23"/>
    </row>
    <row r="609" spans="1:14" ht="15.5" x14ac:dyDescent="0.35">
      <c r="A609" s="9">
        <f t="shared" si="20"/>
        <v>608</v>
      </c>
      <c r="B609" t="s">
        <v>109</v>
      </c>
      <c r="C609" s="109">
        <f>IF(ISBLANK(K609),IFERROR(VLOOKUP(I609,FS_input_data!$C$107:$N$306,Export!J609,FALSE),""),K609)</f>
        <v>58</v>
      </c>
      <c r="D609" s="6" t="b">
        <v>1</v>
      </c>
      <c r="F609" s="6"/>
      <c r="G609" s="6"/>
      <c r="H609" s="6" t="s">
        <v>2211</v>
      </c>
      <c r="I609" t="s">
        <v>1149</v>
      </c>
      <c r="J609">
        <v>3</v>
      </c>
      <c r="L609" s="9" t="e">
        <f t="shared" si="19"/>
        <v>#VALUE!</v>
      </c>
      <c r="M609" s="22"/>
      <c r="N609" s="23"/>
    </row>
    <row r="610" spans="1:14" ht="15.5" x14ac:dyDescent="0.35">
      <c r="A610">
        <f t="shared" si="20"/>
        <v>609</v>
      </c>
      <c r="B610" t="s">
        <v>110</v>
      </c>
      <c r="C610" s="109" t="str">
        <f>IF(ISBLANK(K610),IFERROR(VLOOKUP(I610,FS_input_data!$C$107:$N$306,Export!J610,FALSE),""),K610)</f>
        <v/>
      </c>
      <c r="D610" s="6"/>
      <c r="E610" t="s">
        <v>1561</v>
      </c>
      <c r="F610" s="6"/>
      <c r="G610" s="6"/>
      <c r="H610" s="6" t="s">
        <v>2211</v>
      </c>
      <c r="I610" t="s">
        <v>1561</v>
      </c>
      <c r="J610" t="s">
        <v>1561</v>
      </c>
      <c r="L610">
        <f t="shared" si="19"/>
        <v>1</v>
      </c>
      <c r="M610" s="22"/>
      <c r="N610" s="23"/>
    </row>
    <row r="611" spans="1:14" ht="15.5" x14ac:dyDescent="0.35">
      <c r="A611" s="9">
        <f t="shared" si="20"/>
        <v>610</v>
      </c>
      <c r="B611" t="s">
        <v>111</v>
      </c>
      <c r="C611" s="109">
        <f>IF(ISBLANK(K611),IFERROR(VLOOKUP(I611,FS_input_data!$C$107:$N$306,Export!J611,FALSE),""),K611)</f>
        <v>158</v>
      </c>
      <c r="D611" s="6" t="b">
        <v>1</v>
      </c>
      <c r="F611" s="6"/>
      <c r="G611" s="6"/>
      <c r="H611" s="6" t="s">
        <v>2211</v>
      </c>
      <c r="I611" t="s">
        <v>1149</v>
      </c>
      <c r="J611">
        <v>4</v>
      </c>
      <c r="L611" s="9" t="e">
        <f t="shared" si="19"/>
        <v>#VALUE!</v>
      </c>
      <c r="M611" s="22"/>
      <c r="N611" s="23"/>
    </row>
    <row r="612" spans="1:14" ht="15.5" x14ac:dyDescent="0.35">
      <c r="A612">
        <f t="shared" si="20"/>
        <v>611</v>
      </c>
      <c r="B612" t="s">
        <v>112</v>
      </c>
      <c r="C612" s="109" t="str">
        <f>IF(ISBLANK(K612),IFERROR(VLOOKUP(I612,FS_input_data!$C$107:$N$306,Export!J612,FALSE),""),K612)</f>
        <v/>
      </c>
      <c r="D612" s="6"/>
      <c r="E612" t="s">
        <v>1561</v>
      </c>
      <c r="F612" s="6"/>
      <c r="G612" s="6"/>
      <c r="H612" s="6" t="s">
        <v>2211</v>
      </c>
      <c r="I612" t="s">
        <v>1561</v>
      </c>
      <c r="J612" t="s">
        <v>1561</v>
      </c>
      <c r="L612">
        <f t="shared" si="19"/>
        <v>1</v>
      </c>
      <c r="M612" s="22"/>
      <c r="N612" s="23"/>
    </row>
    <row r="613" spans="1:14" ht="15.5" x14ac:dyDescent="0.35">
      <c r="A613">
        <f t="shared" si="20"/>
        <v>612</v>
      </c>
      <c r="B613" t="s">
        <v>224</v>
      </c>
      <c r="C613" s="109" t="str">
        <f>IF(ISBLANK(K613),IFERROR(VLOOKUP(I613,FS_input_data!$C$107:$N$306,Export!J613,FALSE),""),K613)</f>
        <v/>
      </c>
      <c r="D613" s="6"/>
      <c r="E613" t="s">
        <v>1561</v>
      </c>
      <c r="F613" s="6"/>
      <c r="G613" s="6"/>
      <c r="H613" s="6" t="s">
        <v>2211</v>
      </c>
      <c r="I613" t="s">
        <v>1561</v>
      </c>
      <c r="J613" t="s">
        <v>1561</v>
      </c>
      <c r="L613">
        <f t="shared" si="19"/>
        <v>1</v>
      </c>
      <c r="M613" s="22"/>
      <c r="N613" s="23"/>
    </row>
    <row r="614" spans="1:14" ht="15.5" x14ac:dyDescent="0.35">
      <c r="A614">
        <f t="shared" si="20"/>
        <v>613</v>
      </c>
      <c r="B614" t="s">
        <v>225</v>
      </c>
      <c r="C614" s="109" t="str">
        <f>IF(ISBLANK(K614),IFERROR(VLOOKUP(I614,FS_input_data!$C$107:$N$306,Export!J614,FALSE),""),K614)</f>
        <v/>
      </c>
      <c r="D614" s="6"/>
      <c r="E614" t="s">
        <v>1139</v>
      </c>
      <c r="F614" s="6"/>
      <c r="G614" s="6"/>
      <c r="H614" s="6" t="s">
        <v>2211</v>
      </c>
      <c r="I614" t="s">
        <v>1561</v>
      </c>
      <c r="J614" t="s">
        <v>1561</v>
      </c>
      <c r="L614" s="26" t="e">
        <f t="shared" si="19"/>
        <v>#VALUE!</v>
      </c>
      <c r="M614" s="22"/>
      <c r="N614" s="23"/>
    </row>
    <row r="615" spans="1:14" ht="15.5" x14ac:dyDescent="0.35">
      <c r="A615" s="9">
        <f t="shared" si="20"/>
        <v>614</v>
      </c>
      <c r="B615" t="s">
        <v>109</v>
      </c>
      <c r="C615" s="109">
        <f>IF(ISBLANK(K615),IFERROR(VLOOKUP(I615,FS_input_data!$C$107:$N$306,Export!J615,FALSE),""),K615)</f>
        <v>59</v>
      </c>
      <c r="D615" s="6" t="b">
        <v>1</v>
      </c>
      <c r="F615" s="6"/>
      <c r="G615" s="6"/>
      <c r="H615" s="6" t="s">
        <v>2211</v>
      </c>
      <c r="I615" t="s">
        <v>1151</v>
      </c>
      <c r="J615">
        <v>3</v>
      </c>
      <c r="L615" s="9" t="e">
        <f t="shared" si="19"/>
        <v>#VALUE!</v>
      </c>
      <c r="M615" s="22"/>
      <c r="N615" s="23"/>
    </row>
    <row r="616" spans="1:14" ht="15.5" x14ac:dyDescent="0.35">
      <c r="A616">
        <f t="shared" si="20"/>
        <v>615</v>
      </c>
      <c r="B616" t="s">
        <v>110</v>
      </c>
      <c r="C616" s="109" t="str">
        <f>IF(ISBLANK(K616),IFERROR(VLOOKUP(I616,FS_input_data!$C$107:$N$306,Export!J616,FALSE),""),K616)</f>
        <v/>
      </c>
      <c r="D616" s="6"/>
      <c r="E616" t="s">
        <v>1561</v>
      </c>
      <c r="F616" s="6"/>
      <c r="G616" s="6"/>
      <c r="H616" s="6" t="s">
        <v>2211</v>
      </c>
      <c r="I616" t="s">
        <v>1561</v>
      </c>
      <c r="J616" t="s">
        <v>1561</v>
      </c>
      <c r="L616">
        <f t="shared" si="19"/>
        <v>1</v>
      </c>
      <c r="M616" s="22"/>
      <c r="N616" s="23"/>
    </row>
    <row r="617" spans="1:14" ht="15.5" x14ac:dyDescent="0.35">
      <c r="A617" s="9">
        <f t="shared" si="20"/>
        <v>616</v>
      </c>
      <c r="B617" t="s">
        <v>111</v>
      </c>
      <c r="C617" s="109">
        <f>IF(ISBLANK(K617),IFERROR(VLOOKUP(I617,FS_input_data!$C$107:$N$306,Export!J617,FALSE),""),K617)</f>
        <v>159</v>
      </c>
      <c r="D617" s="6" t="b">
        <v>1</v>
      </c>
      <c r="F617" s="6"/>
      <c r="G617" s="6"/>
      <c r="H617" s="6" t="s">
        <v>2211</v>
      </c>
      <c r="I617" t="s">
        <v>1151</v>
      </c>
      <c r="J617">
        <v>4</v>
      </c>
      <c r="L617" s="9" t="e">
        <f t="shared" si="19"/>
        <v>#VALUE!</v>
      </c>
      <c r="M617" s="22"/>
      <c r="N617" s="23"/>
    </row>
    <row r="618" spans="1:14" ht="15.5" x14ac:dyDescent="0.35">
      <c r="A618">
        <f t="shared" si="20"/>
        <v>617</v>
      </c>
      <c r="B618" t="s">
        <v>112</v>
      </c>
      <c r="C618" s="109" t="str">
        <f>IF(ISBLANK(K618),IFERROR(VLOOKUP(I618,FS_input_data!$C$107:$N$306,Export!J618,FALSE),""),K618)</f>
        <v/>
      </c>
      <c r="D618" s="6"/>
      <c r="E618" t="s">
        <v>1561</v>
      </c>
      <c r="F618" s="6"/>
      <c r="G618" s="6"/>
      <c r="H618" s="6" t="s">
        <v>2211</v>
      </c>
      <c r="I618" t="s">
        <v>1561</v>
      </c>
      <c r="J618" t="s">
        <v>1561</v>
      </c>
      <c r="L618">
        <f t="shared" si="19"/>
        <v>1</v>
      </c>
      <c r="M618" s="22"/>
      <c r="N618" s="23"/>
    </row>
    <row r="619" spans="1:14" ht="15.5" x14ac:dyDescent="0.35">
      <c r="A619">
        <f t="shared" si="20"/>
        <v>618</v>
      </c>
      <c r="B619" t="s">
        <v>226</v>
      </c>
      <c r="C619" s="109" t="str">
        <f>IF(ISBLANK(K619),IFERROR(VLOOKUP(I619,FS_input_data!$C$107:$N$306,Export!J619,FALSE),""),K619)</f>
        <v/>
      </c>
      <c r="D619" s="6"/>
      <c r="E619" t="s">
        <v>1561</v>
      </c>
      <c r="F619" s="6"/>
      <c r="G619" s="6"/>
      <c r="H619" s="6" t="s">
        <v>2211</v>
      </c>
      <c r="I619" t="s">
        <v>1561</v>
      </c>
      <c r="J619" t="s">
        <v>1561</v>
      </c>
      <c r="L619">
        <f t="shared" si="19"/>
        <v>1</v>
      </c>
      <c r="M619" s="22"/>
      <c r="N619" s="23"/>
    </row>
    <row r="620" spans="1:14" ht="15.5" x14ac:dyDescent="0.35">
      <c r="A620">
        <f t="shared" si="20"/>
        <v>619</v>
      </c>
      <c r="B620" t="s">
        <v>227</v>
      </c>
      <c r="C620" s="109" t="str">
        <f>IF(ISBLANK(K620),IFERROR(VLOOKUP(I620,FS_input_data!$C$107:$N$306,Export!J620,FALSE),""),K620)</f>
        <v/>
      </c>
      <c r="D620" s="6"/>
      <c r="E620" t="s">
        <v>1561</v>
      </c>
      <c r="F620" s="6"/>
      <c r="G620" s="6"/>
      <c r="H620" s="6" t="s">
        <v>2211</v>
      </c>
      <c r="I620" t="s">
        <v>1561</v>
      </c>
      <c r="J620" t="s">
        <v>1561</v>
      </c>
      <c r="L620">
        <f t="shared" si="19"/>
        <v>1</v>
      </c>
      <c r="M620" s="22"/>
      <c r="N620" s="23"/>
    </row>
    <row r="621" spans="1:14" ht="15.5" x14ac:dyDescent="0.35">
      <c r="A621">
        <f t="shared" si="20"/>
        <v>620</v>
      </c>
      <c r="B621" t="s">
        <v>228</v>
      </c>
      <c r="C621" s="109" t="str">
        <f>IF(ISBLANK(K621),IFERROR(VLOOKUP(I621,FS_input_data!$C$107:$N$306,Export!J621,FALSE),""),K621)</f>
        <v/>
      </c>
      <c r="D621" s="6"/>
      <c r="E621" t="s">
        <v>1142</v>
      </c>
      <c r="F621" s="6"/>
      <c r="G621" s="6"/>
      <c r="H621" s="6" t="s">
        <v>2211</v>
      </c>
      <c r="I621" t="s">
        <v>1561</v>
      </c>
      <c r="J621" t="s">
        <v>1561</v>
      </c>
      <c r="L621" s="26" t="e">
        <f t="shared" si="19"/>
        <v>#VALUE!</v>
      </c>
      <c r="M621" s="22"/>
      <c r="N621" s="23"/>
    </row>
    <row r="622" spans="1:14" ht="15.5" x14ac:dyDescent="0.35">
      <c r="A622" s="9">
        <f t="shared" si="20"/>
        <v>621</v>
      </c>
      <c r="B622" t="s">
        <v>109</v>
      </c>
      <c r="C622" s="109">
        <f>IF(ISBLANK(K622),IFERROR(VLOOKUP(I622,FS_input_data!$C$107:$N$306,Export!J622,FALSE),""),K622)</f>
        <v>60</v>
      </c>
      <c r="D622" s="6" t="b">
        <v>1</v>
      </c>
      <c r="F622" s="6"/>
      <c r="G622" s="6"/>
      <c r="H622" s="6" t="s">
        <v>2211</v>
      </c>
      <c r="I622" t="s">
        <v>1153</v>
      </c>
      <c r="J622">
        <v>3</v>
      </c>
      <c r="L622" s="9" t="e">
        <f t="shared" si="19"/>
        <v>#VALUE!</v>
      </c>
      <c r="M622" s="22"/>
      <c r="N622" s="23"/>
    </row>
    <row r="623" spans="1:14" ht="15.5" x14ac:dyDescent="0.35">
      <c r="A623">
        <f t="shared" si="20"/>
        <v>622</v>
      </c>
      <c r="B623" t="s">
        <v>110</v>
      </c>
      <c r="C623" s="109" t="str">
        <f>IF(ISBLANK(K623),IFERROR(VLOOKUP(I623,FS_input_data!$C$107:$N$306,Export!J623,FALSE),""),K623)</f>
        <v/>
      </c>
      <c r="D623" s="6"/>
      <c r="E623" t="s">
        <v>1561</v>
      </c>
      <c r="F623" s="6"/>
      <c r="G623" s="6"/>
      <c r="H623" s="6" t="s">
        <v>2211</v>
      </c>
      <c r="I623" t="s">
        <v>1561</v>
      </c>
      <c r="J623" t="s">
        <v>1561</v>
      </c>
      <c r="L623">
        <f t="shared" si="19"/>
        <v>1</v>
      </c>
      <c r="M623" s="22"/>
      <c r="N623" s="23"/>
    </row>
    <row r="624" spans="1:14" ht="15.5" x14ac:dyDescent="0.35">
      <c r="A624" s="9">
        <f t="shared" si="20"/>
        <v>623</v>
      </c>
      <c r="B624" t="s">
        <v>111</v>
      </c>
      <c r="C624" s="109">
        <f>IF(ISBLANK(K624),IFERROR(VLOOKUP(I624,FS_input_data!$C$107:$N$306,Export!J624,FALSE),""),K624)</f>
        <v>160</v>
      </c>
      <c r="D624" s="6" t="b">
        <v>1</v>
      </c>
      <c r="F624" s="6"/>
      <c r="G624" s="6"/>
      <c r="H624" s="6" t="s">
        <v>2211</v>
      </c>
      <c r="I624" t="s">
        <v>1153</v>
      </c>
      <c r="J624">
        <v>4</v>
      </c>
      <c r="L624" s="9" t="e">
        <f t="shared" si="19"/>
        <v>#VALUE!</v>
      </c>
      <c r="M624" s="22"/>
      <c r="N624" s="23"/>
    </row>
    <row r="625" spans="1:14" ht="15.5" x14ac:dyDescent="0.35">
      <c r="A625">
        <f t="shared" si="20"/>
        <v>624</v>
      </c>
      <c r="B625" t="s">
        <v>112</v>
      </c>
      <c r="C625" s="109" t="str">
        <f>IF(ISBLANK(K625),IFERROR(VLOOKUP(I625,FS_input_data!$C$107:$N$306,Export!J625,FALSE),""),K625)</f>
        <v/>
      </c>
      <c r="D625" s="6"/>
      <c r="E625" t="s">
        <v>1561</v>
      </c>
      <c r="F625" s="6"/>
      <c r="G625" s="6"/>
      <c r="H625" s="6" t="s">
        <v>2211</v>
      </c>
      <c r="I625" t="s">
        <v>1561</v>
      </c>
      <c r="J625" t="s">
        <v>1561</v>
      </c>
      <c r="L625">
        <f t="shared" si="19"/>
        <v>1</v>
      </c>
      <c r="M625" s="22"/>
      <c r="N625" s="23"/>
    </row>
    <row r="626" spans="1:14" ht="15.5" x14ac:dyDescent="0.35">
      <c r="A626">
        <f t="shared" si="20"/>
        <v>625</v>
      </c>
      <c r="B626" t="s">
        <v>229</v>
      </c>
      <c r="C626" s="109" t="str">
        <f>IF(ISBLANK(K626),IFERROR(VLOOKUP(I626,FS_input_data!$C$107:$N$306,Export!J626,FALSE),""),K626)</f>
        <v/>
      </c>
      <c r="D626" s="6"/>
      <c r="E626" t="s">
        <v>1561</v>
      </c>
      <c r="F626" s="6"/>
      <c r="G626" s="6"/>
      <c r="H626" s="6" t="s">
        <v>2211</v>
      </c>
      <c r="I626" t="s">
        <v>1561</v>
      </c>
      <c r="J626" t="s">
        <v>1561</v>
      </c>
      <c r="L626">
        <f t="shared" si="19"/>
        <v>1</v>
      </c>
      <c r="M626" s="22"/>
      <c r="N626" s="23"/>
    </row>
    <row r="627" spans="1:14" ht="15.5" x14ac:dyDescent="0.35">
      <c r="A627">
        <f t="shared" si="20"/>
        <v>626</v>
      </c>
      <c r="B627" t="s">
        <v>230</v>
      </c>
      <c r="C627" s="109" t="str">
        <f>IF(ISBLANK(K627),IFERROR(VLOOKUP(I627,FS_input_data!$C$107:$N$306,Export!J627,FALSE),""),K627)</f>
        <v/>
      </c>
      <c r="D627" s="6"/>
      <c r="E627" t="s">
        <v>1561</v>
      </c>
      <c r="F627" s="6"/>
      <c r="G627" s="6"/>
      <c r="H627" s="6" t="s">
        <v>2211</v>
      </c>
      <c r="I627" t="s">
        <v>1561</v>
      </c>
      <c r="J627" t="s">
        <v>1561</v>
      </c>
      <c r="L627">
        <f t="shared" si="19"/>
        <v>1</v>
      </c>
      <c r="M627" s="22"/>
      <c r="N627" s="23"/>
    </row>
    <row r="628" spans="1:14" ht="15.5" x14ac:dyDescent="0.35">
      <c r="A628">
        <f t="shared" si="20"/>
        <v>627</v>
      </c>
      <c r="B628" t="s">
        <v>231</v>
      </c>
      <c r="C628" s="109" t="str">
        <f>IF(ISBLANK(K628),IFERROR(VLOOKUP(I628,FS_input_data!$C$107:$N$306,Export!J628,FALSE),""),K628)</f>
        <v/>
      </c>
      <c r="D628" s="6"/>
      <c r="E628" t="s">
        <v>1156</v>
      </c>
      <c r="F628" s="6"/>
      <c r="G628" s="6"/>
      <c r="H628" s="6" t="s">
        <v>2211</v>
      </c>
      <c r="I628" t="s">
        <v>1561</v>
      </c>
      <c r="J628" t="s">
        <v>1561</v>
      </c>
      <c r="L628" s="26" t="e">
        <f t="shared" si="19"/>
        <v>#VALUE!</v>
      </c>
      <c r="M628" s="22"/>
      <c r="N628" s="23"/>
    </row>
    <row r="629" spans="1:14" ht="15.5" x14ac:dyDescent="0.35">
      <c r="A629" s="9">
        <f t="shared" si="20"/>
        <v>628</v>
      </c>
      <c r="B629" t="s">
        <v>109</v>
      </c>
      <c r="C629" s="109">
        <f>IF(ISBLANK(K629),IFERROR(VLOOKUP(I629,FS_input_data!$C$107:$N$306,Export!J629,FALSE),""),K629)</f>
        <v>325</v>
      </c>
      <c r="D629" s="6" t="b">
        <v>1</v>
      </c>
      <c r="F629" s="6"/>
      <c r="G629" s="6"/>
      <c r="H629" s="6" t="s">
        <v>2211</v>
      </c>
      <c r="I629" t="s">
        <v>1155</v>
      </c>
      <c r="J629">
        <v>3</v>
      </c>
      <c r="L629" s="9" t="e">
        <f t="shared" si="19"/>
        <v>#VALUE!</v>
      </c>
      <c r="M629" s="22"/>
      <c r="N629" s="23"/>
    </row>
    <row r="630" spans="1:14" ht="15.5" x14ac:dyDescent="0.35">
      <c r="A630">
        <f t="shared" si="20"/>
        <v>629</v>
      </c>
      <c r="B630" t="s">
        <v>110</v>
      </c>
      <c r="C630" s="109" t="str">
        <f>IF(ISBLANK(K630),IFERROR(VLOOKUP(I630,FS_input_data!$C$107:$N$306,Export!J630,FALSE),""),K630)</f>
        <v/>
      </c>
      <c r="D630" s="6"/>
      <c r="E630" t="s">
        <v>1561</v>
      </c>
      <c r="F630" s="6"/>
      <c r="G630" s="6"/>
      <c r="H630" s="6" t="s">
        <v>2211</v>
      </c>
      <c r="I630" t="s">
        <v>1561</v>
      </c>
      <c r="J630" t="s">
        <v>1561</v>
      </c>
      <c r="L630">
        <f t="shared" si="19"/>
        <v>1</v>
      </c>
      <c r="M630" s="24"/>
      <c r="N630" s="23"/>
    </row>
    <row r="631" spans="1:14" ht="15.5" x14ac:dyDescent="0.35">
      <c r="A631" s="9">
        <f t="shared" si="20"/>
        <v>630</v>
      </c>
      <c r="B631" t="s">
        <v>111</v>
      </c>
      <c r="C631" s="109">
        <f>IF(ISBLANK(K631),IFERROR(VLOOKUP(I631,FS_input_data!$C$107:$N$306,Export!J631,FALSE),""),K631)</f>
        <v>825</v>
      </c>
      <c r="D631" s="6" t="b">
        <v>1</v>
      </c>
      <c r="F631" s="6"/>
      <c r="G631" s="6"/>
      <c r="H631" s="6" t="s">
        <v>2211</v>
      </c>
      <c r="I631" t="s">
        <v>1155</v>
      </c>
      <c r="J631">
        <v>4</v>
      </c>
      <c r="L631" s="9" t="e">
        <f t="shared" si="19"/>
        <v>#VALUE!</v>
      </c>
      <c r="M631" s="24"/>
      <c r="N631" s="23"/>
    </row>
    <row r="632" spans="1:14" ht="15.5" x14ac:dyDescent="0.35">
      <c r="A632">
        <f t="shared" si="20"/>
        <v>631</v>
      </c>
      <c r="B632" t="s">
        <v>112</v>
      </c>
      <c r="C632" s="109" t="str">
        <f>IF(ISBLANK(K632),IFERROR(VLOOKUP(I632,FS_input_data!$C$107:$N$306,Export!J632,FALSE),""),K632)</f>
        <v/>
      </c>
      <c r="D632" s="6"/>
      <c r="E632" t="s">
        <v>1561</v>
      </c>
      <c r="F632" s="6"/>
      <c r="G632" s="6"/>
      <c r="H632" s="6" t="s">
        <v>2211</v>
      </c>
      <c r="I632" t="s">
        <v>1561</v>
      </c>
      <c r="J632" t="s">
        <v>1561</v>
      </c>
      <c r="L632">
        <f t="shared" si="19"/>
        <v>1</v>
      </c>
      <c r="M632" s="22"/>
      <c r="N632" s="23"/>
    </row>
    <row r="633" spans="1:14" ht="15.5" x14ac:dyDescent="0.35">
      <c r="A633">
        <f t="shared" si="20"/>
        <v>632</v>
      </c>
      <c r="B633" t="s">
        <v>232</v>
      </c>
      <c r="C633" s="109" t="str">
        <f>IF(ISBLANK(K633),IFERROR(VLOOKUP(I633,FS_input_data!$C$107:$N$306,Export!J633,FALSE),""),K633)</f>
        <v/>
      </c>
      <c r="D633" s="6"/>
      <c r="E633" t="s">
        <v>1133</v>
      </c>
      <c r="F633" s="6"/>
      <c r="G633" s="6"/>
      <c r="H633" s="6" t="s">
        <v>2211</v>
      </c>
      <c r="I633" t="s">
        <v>1561</v>
      </c>
      <c r="J633" t="s">
        <v>1561</v>
      </c>
      <c r="L633" s="26" t="e">
        <f t="shared" si="19"/>
        <v>#VALUE!</v>
      </c>
      <c r="M633" s="22"/>
      <c r="N633" s="23"/>
    </row>
    <row r="634" spans="1:14" ht="15.5" x14ac:dyDescent="0.35">
      <c r="A634" s="9">
        <f t="shared" si="20"/>
        <v>633</v>
      </c>
      <c r="B634" t="s">
        <v>109</v>
      </c>
      <c r="C634" s="109">
        <f>IF(ISBLANK(K634),IFERROR(VLOOKUP(I634,FS_input_data!$C$107:$N$306,Export!J634,FALSE),""),K634)</f>
        <v>127</v>
      </c>
      <c r="D634" s="6" t="b">
        <v>1</v>
      </c>
      <c r="F634" s="6"/>
      <c r="G634" s="6"/>
      <c r="H634" s="6" t="s">
        <v>2211</v>
      </c>
      <c r="I634" t="s">
        <v>1157</v>
      </c>
      <c r="J634">
        <v>3</v>
      </c>
      <c r="L634" s="9" t="e">
        <f t="shared" si="19"/>
        <v>#VALUE!</v>
      </c>
      <c r="M634" s="22"/>
      <c r="N634" s="23"/>
    </row>
    <row r="635" spans="1:14" ht="15.5" x14ac:dyDescent="0.35">
      <c r="A635">
        <f t="shared" si="20"/>
        <v>634</v>
      </c>
      <c r="B635" t="s">
        <v>110</v>
      </c>
      <c r="C635" s="109" t="str">
        <f>IF(ISBLANK(K635),IFERROR(VLOOKUP(I635,FS_input_data!$C$107:$N$306,Export!J635,FALSE),""),K635)</f>
        <v/>
      </c>
      <c r="D635" s="6"/>
      <c r="E635" t="s">
        <v>1561</v>
      </c>
      <c r="F635" s="6"/>
      <c r="G635" s="6"/>
      <c r="H635" s="6" t="s">
        <v>2211</v>
      </c>
      <c r="I635" t="s">
        <v>1561</v>
      </c>
      <c r="J635" t="s">
        <v>1561</v>
      </c>
      <c r="L635">
        <f t="shared" si="19"/>
        <v>1</v>
      </c>
      <c r="M635" s="22"/>
      <c r="N635" s="23"/>
    </row>
    <row r="636" spans="1:14" ht="15.5" x14ac:dyDescent="0.35">
      <c r="A636" s="9">
        <f t="shared" si="20"/>
        <v>635</v>
      </c>
      <c r="B636" t="s">
        <v>111</v>
      </c>
      <c r="C636" s="109">
        <f>IF(ISBLANK(K636),IFERROR(VLOOKUP(I636,FS_input_data!$C$107:$N$306,Export!J636,FALSE),""),K636)</f>
        <v>327</v>
      </c>
      <c r="D636" s="6" t="b">
        <v>1</v>
      </c>
      <c r="F636" s="6"/>
      <c r="G636" s="6"/>
      <c r="H636" s="6" t="s">
        <v>2211</v>
      </c>
      <c r="I636" t="s">
        <v>1157</v>
      </c>
      <c r="J636">
        <v>4</v>
      </c>
      <c r="L636" s="9" t="e">
        <f t="shared" si="19"/>
        <v>#VALUE!</v>
      </c>
      <c r="M636" s="22"/>
      <c r="N636" s="23"/>
    </row>
    <row r="637" spans="1:14" ht="15.5" x14ac:dyDescent="0.35">
      <c r="A637">
        <f t="shared" si="20"/>
        <v>636</v>
      </c>
      <c r="B637" t="s">
        <v>112</v>
      </c>
      <c r="C637" s="109" t="str">
        <f>IF(ISBLANK(K637),IFERROR(VLOOKUP(I637,FS_input_data!$C$107:$N$306,Export!J637,FALSE),""),K637)</f>
        <v/>
      </c>
      <c r="D637" s="6"/>
      <c r="E637" t="s">
        <v>1561</v>
      </c>
      <c r="F637" s="6"/>
      <c r="G637" s="6"/>
      <c r="H637" s="6" t="s">
        <v>2211</v>
      </c>
      <c r="I637" t="s">
        <v>1561</v>
      </c>
      <c r="J637" t="s">
        <v>1561</v>
      </c>
      <c r="L637">
        <f t="shared" si="19"/>
        <v>1</v>
      </c>
      <c r="M637" s="22"/>
      <c r="N637" s="23"/>
    </row>
    <row r="638" spans="1:14" ht="15.5" x14ac:dyDescent="0.35">
      <c r="A638">
        <f t="shared" si="20"/>
        <v>637</v>
      </c>
      <c r="B638" t="s">
        <v>233</v>
      </c>
      <c r="C638" s="109" t="str">
        <f>IF(ISBLANK(K638),IFERROR(VLOOKUP(I638,FS_input_data!$C$107:$N$306,Export!J638,FALSE),""),K638)</f>
        <v/>
      </c>
      <c r="D638" s="6"/>
      <c r="E638" t="s">
        <v>1136</v>
      </c>
      <c r="F638" s="6"/>
      <c r="G638" s="6"/>
      <c r="H638" s="6" t="s">
        <v>2211</v>
      </c>
      <c r="I638" t="s">
        <v>1561</v>
      </c>
      <c r="J638" t="s">
        <v>1561</v>
      </c>
      <c r="L638" s="26" t="e">
        <f t="shared" si="19"/>
        <v>#VALUE!</v>
      </c>
      <c r="M638" s="22"/>
      <c r="N638" s="23"/>
    </row>
    <row r="639" spans="1:14" ht="15.5" x14ac:dyDescent="0.35">
      <c r="A639" s="9">
        <f t="shared" si="20"/>
        <v>638</v>
      </c>
      <c r="B639" t="s">
        <v>109</v>
      </c>
      <c r="C639" s="109">
        <f>IF(ISBLANK(K639),IFERROR(VLOOKUP(I639,FS_input_data!$C$107:$N$306,Export!J639,FALSE),""),K639)</f>
        <v>63</v>
      </c>
      <c r="D639" s="6" t="b">
        <v>1</v>
      </c>
      <c r="F639" s="6"/>
      <c r="G639" s="6"/>
      <c r="H639" s="6" t="s">
        <v>2211</v>
      </c>
      <c r="I639" t="s">
        <v>1159</v>
      </c>
      <c r="J639">
        <v>3</v>
      </c>
      <c r="L639" s="9" t="e">
        <f t="shared" si="19"/>
        <v>#VALUE!</v>
      </c>
      <c r="M639" s="22"/>
      <c r="N639" s="23"/>
    </row>
    <row r="640" spans="1:14" ht="15.5" x14ac:dyDescent="0.35">
      <c r="A640">
        <f t="shared" si="20"/>
        <v>639</v>
      </c>
      <c r="B640" t="s">
        <v>110</v>
      </c>
      <c r="C640" s="109" t="str">
        <f>IF(ISBLANK(K640),IFERROR(VLOOKUP(I640,FS_input_data!$C$107:$N$306,Export!J640,FALSE),""),K640)</f>
        <v/>
      </c>
      <c r="D640" s="6"/>
      <c r="E640" t="s">
        <v>1561</v>
      </c>
      <c r="F640" s="6"/>
      <c r="G640" s="6"/>
      <c r="H640" s="6" t="s">
        <v>2211</v>
      </c>
      <c r="I640" t="s">
        <v>1561</v>
      </c>
      <c r="J640" t="s">
        <v>1561</v>
      </c>
      <c r="L640">
        <f t="shared" si="19"/>
        <v>1</v>
      </c>
      <c r="M640" s="22"/>
      <c r="N640" s="23"/>
    </row>
    <row r="641" spans="1:14" ht="15.5" x14ac:dyDescent="0.35">
      <c r="A641" s="9">
        <f t="shared" si="20"/>
        <v>640</v>
      </c>
      <c r="B641" t="s">
        <v>111</v>
      </c>
      <c r="C641" s="109">
        <f>IF(ISBLANK(K641),IFERROR(VLOOKUP(I641,FS_input_data!$C$107:$N$306,Export!J641,FALSE),""),K641)</f>
        <v>163</v>
      </c>
      <c r="D641" s="6" t="b">
        <v>1</v>
      </c>
      <c r="F641" s="6"/>
      <c r="G641" s="6"/>
      <c r="H641" s="6" t="s">
        <v>2211</v>
      </c>
      <c r="I641" t="s">
        <v>1159</v>
      </c>
      <c r="J641">
        <v>4</v>
      </c>
      <c r="L641" s="9" t="e">
        <f t="shared" si="19"/>
        <v>#VALUE!</v>
      </c>
      <c r="M641" s="22"/>
      <c r="N641" s="23"/>
    </row>
    <row r="642" spans="1:14" ht="15.5" x14ac:dyDescent="0.35">
      <c r="A642">
        <f t="shared" si="20"/>
        <v>641</v>
      </c>
      <c r="B642" t="s">
        <v>112</v>
      </c>
      <c r="C642" s="109" t="str">
        <f>IF(ISBLANK(K642),IFERROR(VLOOKUP(I642,FS_input_data!$C$107:$N$306,Export!J642,FALSE),""),K642)</f>
        <v/>
      </c>
      <c r="D642" s="6"/>
      <c r="E642" t="s">
        <v>1561</v>
      </c>
      <c r="F642" s="6"/>
      <c r="G642" s="6"/>
      <c r="H642" s="6" t="s">
        <v>2211</v>
      </c>
      <c r="I642" t="s">
        <v>1561</v>
      </c>
      <c r="J642" t="s">
        <v>1561</v>
      </c>
      <c r="L642">
        <f t="shared" ref="L642:L705" si="21">FIND("/",B642)</f>
        <v>1</v>
      </c>
      <c r="M642" s="22"/>
      <c r="N642" s="23"/>
    </row>
    <row r="643" spans="1:14" ht="15.5" x14ac:dyDescent="0.35">
      <c r="A643">
        <f t="shared" ref="A643:A706" si="22">A642+1</f>
        <v>642</v>
      </c>
      <c r="B643" t="s">
        <v>234</v>
      </c>
      <c r="C643" s="109" t="str">
        <f>IF(ISBLANK(K643),IFERROR(VLOOKUP(I643,FS_input_data!$C$107:$N$306,Export!J643,FALSE),""),K643)</f>
        <v/>
      </c>
      <c r="D643" s="6"/>
      <c r="E643" t="s">
        <v>1561</v>
      </c>
      <c r="F643" s="6"/>
      <c r="G643" s="6"/>
      <c r="H643" s="6" t="s">
        <v>2211</v>
      </c>
      <c r="I643" t="s">
        <v>1561</v>
      </c>
      <c r="J643" t="s">
        <v>1561</v>
      </c>
      <c r="L643">
        <f t="shared" si="21"/>
        <v>1</v>
      </c>
      <c r="M643" s="22"/>
      <c r="N643" s="23"/>
    </row>
    <row r="644" spans="1:14" ht="15.5" x14ac:dyDescent="0.35">
      <c r="A644">
        <f t="shared" si="22"/>
        <v>643</v>
      </c>
      <c r="B644" t="s">
        <v>235</v>
      </c>
      <c r="C644" s="109" t="str">
        <f>IF(ISBLANK(K644),IFERROR(VLOOKUP(I644,FS_input_data!$C$107:$N$306,Export!J644,FALSE),""),K644)</f>
        <v/>
      </c>
      <c r="D644" s="6"/>
      <c r="E644" t="s">
        <v>1139</v>
      </c>
      <c r="F644" s="6"/>
      <c r="G644" s="6"/>
      <c r="H644" s="6" t="s">
        <v>2211</v>
      </c>
      <c r="I644" t="s">
        <v>1561</v>
      </c>
      <c r="J644" t="s">
        <v>1561</v>
      </c>
      <c r="L644" s="26" t="e">
        <f t="shared" si="21"/>
        <v>#VALUE!</v>
      </c>
      <c r="M644" s="22"/>
      <c r="N644" s="23"/>
    </row>
    <row r="645" spans="1:14" ht="15.5" x14ac:dyDescent="0.35">
      <c r="A645" s="9">
        <f t="shared" si="22"/>
        <v>644</v>
      </c>
      <c r="B645" t="s">
        <v>109</v>
      </c>
      <c r="C645" s="109">
        <f>IF(ISBLANK(K645),IFERROR(VLOOKUP(I645,FS_input_data!$C$107:$N$306,Export!J645,FALSE),""),K645)</f>
        <v>64</v>
      </c>
      <c r="D645" s="6" t="b">
        <v>1</v>
      </c>
      <c r="F645" s="6"/>
      <c r="G645" s="6"/>
      <c r="H645" s="6" t="s">
        <v>2211</v>
      </c>
      <c r="I645" t="s">
        <v>1161</v>
      </c>
      <c r="J645">
        <v>3</v>
      </c>
      <c r="L645" s="9" t="e">
        <f t="shared" si="21"/>
        <v>#VALUE!</v>
      </c>
      <c r="M645" s="22"/>
      <c r="N645" s="23"/>
    </row>
    <row r="646" spans="1:14" ht="15.5" x14ac:dyDescent="0.35">
      <c r="A646">
        <f t="shared" si="22"/>
        <v>645</v>
      </c>
      <c r="B646" t="s">
        <v>110</v>
      </c>
      <c r="C646" s="109" t="str">
        <f>IF(ISBLANK(K646),IFERROR(VLOOKUP(I646,FS_input_data!$C$107:$N$306,Export!J646,FALSE),""),K646)</f>
        <v/>
      </c>
      <c r="D646" s="6"/>
      <c r="E646" t="s">
        <v>1561</v>
      </c>
      <c r="F646" s="6"/>
      <c r="G646" s="6"/>
      <c r="H646" s="6" t="s">
        <v>2211</v>
      </c>
      <c r="I646" t="s">
        <v>1561</v>
      </c>
      <c r="J646" t="s">
        <v>1561</v>
      </c>
      <c r="L646">
        <f t="shared" si="21"/>
        <v>1</v>
      </c>
      <c r="M646" s="22"/>
      <c r="N646" s="23"/>
    </row>
    <row r="647" spans="1:14" ht="15.5" x14ac:dyDescent="0.35">
      <c r="A647" s="9">
        <f t="shared" si="22"/>
        <v>646</v>
      </c>
      <c r="B647" t="s">
        <v>111</v>
      </c>
      <c r="C647" s="109">
        <f>IF(ISBLANK(K647),IFERROR(VLOOKUP(I647,FS_input_data!$C$107:$N$306,Export!J647,FALSE),""),K647)</f>
        <v>164</v>
      </c>
      <c r="D647" s="6" t="b">
        <v>1</v>
      </c>
      <c r="F647" s="6"/>
      <c r="G647" s="6"/>
      <c r="H647" s="6" t="s">
        <v>2211</v>
      </c>
      <c r="I647" t="s">
        <v>1161</v>
      </c>
      <c r="J647">
        <v>4</v>
      </c>
      <c r="L647" s="9" t="e">
        <f t="shared" si="21"/>
        <v>#VALUE!</v>
      </c>
      <c r="M647" s="22"/>
      <c r="N647" s="23"/>
    </row>
    <row r="648" spans="1:14" ht="15.5" x14ac:dyDescent="0.35">
      <c r="A648">
        <f t="shared" si="22"/>
        <v>647</v>
      </c>
      <c r="B648" t="s">
        <v>112</v>
      </c>
      <c r="C648" s="109" t="str">
        <f>IF(ISBLANK(K648),IFERROR(VLOOKUP(I648,FS_input_data!$C$107:$N$306,Export!J648,FALSE),""),K648)</f>
        <v/>
      </c>
      <c r="D648" s="6"/>
      <c r="E648" t="s">
        <v>1561</v>
      </c>
      <c r="F648" s="6"/>
      <c r="G648" s="6"/>
      <c r="H648" s="6" t="s">
        <v>2211</v>
      </c>
      <c r="I648" t="s">
        <v>1561</v>
      </c>
      <c r="J648" t="s">
        <v>1561</v>
      </c>
      <c r="L648">
        <f t="shared" si="21"/>
        <v>1</v>
      </c>
      <c r="M648" s="22"/>
      <c r="N648" s="23"/>
    </row>
    <row r="649" spans="1:14" ht="15.5" x14ac:dyDescent="0.35">
      <c r="A649">
        <f t="shared" si="22"/>
        <v>648</v>
      </c>
      <c r="B649" t="s">
        <v>236</v>
      </c>
      <c r="C649" s="109" t="str">
        <f>IF(ISBLANK(K649),IFERROR(VLOOKUP(I649,FS_input_data!$C$107:$N$306,Export!J649,FALSE),""),K649)</f>
        <v/>
      </c>
      <c r="D649" s="6"/>
      <c r="E649" t="s">
        <v>1561</v>
      </c>
      <c r="F649" s="6"/>
      <c r="G649" s="6"/>
      <c r="H649" s="6" t="s">
        <v>2211</v>
      </c>
      <c r="I649" t="s">
        <v>1561</v>
      </c>
      <c r="J649" t="s">
        <v>1561</v>
      </c>
      <c r="L649">
        <f t="shared" si="21"/>
        <v>1</v>
      </c>
      <c r="M649" s="22"/>
      <c r="N649" s="23"/>
    </row>
    <row r="650" spans="1:14" ht="15.5" x14ac:dyDescent="0.35">
      <c r="A650">
        <f t="shared" si="22"/>
        <v>649</v>
      </c>
      <c r="B650" t="s">
        <v>237</v>
      </c>
      <c r="C650" s="109" t="str">
        <f>IF(ISBLANK(K650),IFERROR(VLOOKUP(I650,FS_input_data!$C$107:$N$306,Export!J650,FALSE),""),K650)</f>
        <v/>
      </c>
      <c r="D650" s="6"/>
      <c r="E650" t="s">
        <v>1561</v>
      </c>
      <c r="F650" s="6"/>
      <c r="G650" s="6"/>
      <c r="H650" s="6" t="s">
        <v>2211</v>
      </c>
      <c r="I650" t="s">
        <v>1561</v>
      </c>
      <c r="J650" t="s">
        <v>1561</v>
      </c>
      <c r="L650">
        <f t="shared" si="21"/>
        <v>1</v>
      </c>
      <c r="M650" s="22"/>
      <c r="N650" s="23"/>
    </row>
    <row r="651" spans="1:14" ht="15.5" x14ac:dyDescent="0.35">
      <c r="A651">
        <f t="shared" si="22"/>
        <v>650</v>
      </c>
      <c r="B651" t="s">
        <v>238</v>
      </c>
      <c r="C651" s="109" t="str">
        <f>IF(ISBLANK(K651),IFERROR(VLOOKUP(I651,FS_input_data!$C$107:$N$306,Export!J651,FALSE),""),K651)</f>
        <v/>
      </c>
      <c r="D651" s="6"/>
      <c r="E651" t="s">
        <v>1164</v>
      </c>
      <c r="F651" s="6"/>
      <c r="G651" s="6"/>
      <c r="H651" s="6" t="s">
        <v>2211</v>
      </c>
      <c r="I651" t="s">
        <v>1561</v>
      </c>
      <c r="J651" t="s">
        <v>1561</v>
      </c>
      <c r="L651" s="26" t="e">
        <f t="shared" si="21"/>
        <v>#VALUE!</v>
      </c>
      <c r="M651" s="22"/>
      <c r="N651" s="23"/>
    </row>
    <row r="652" spans="1:14" ht="15.5" x14ac:dyDescent="0.35">
      <c r="A652" s="9">
        <f t="shared" si="22"/>
        <v>651</v>
      </c>
      <c r="B652" t="s">
        <v>109</v>
      </c>
      <c r="C652" s="109">
        <f>IF(ISBLANK(K652),IFERROR(VLOOKUP(I652,FS_input_data!$C$107:$N$306,Export!J652,FALSE),""),K652)</f>
        <v>65</v>
      </c>
      <c r="D652" s="6" t="b">
        <v>1</v>
      </c>
      <c r="E652" t="s">
        <v>1561</v>
      </c>
      <c r="F652" s="6"/>
      <c r="G652" s="6"/>
      <c r="H652" s="6" t="s">
        <v>2211</v>
      </c>
      <c r="I652" t="s">
        <v>1163</v>
      </c>
      <c r="J652">
        <v>3</v>
      </c>
      <c r="L652" s="9" t="e">
        <f t="shared" si="21"/>
        <v>#VALUE!</v>
      </c>
      <c r="M652" s="22"/>
      <c r="N652" s="23"/>
    </row>
    <row r="653" spans="1:14" ht="15.5" x14ac:dyDescent="0.35">
      <c r="A653">
        <f t="shared" si="22"/>
        <v>652</v>
      </c>
      <c r="B653" t="s">
        <v>110</v>
      </c>
      <c r="C653" s="109" t="str">
        <f>IF(ISBLANK(K653),IFERROR(VLOOKUP(I653,FS_input_data!$C$107:$N$306,Export!J653,FALSE),""),K653)</f>
        <v/>
      </c>
      <c r="D653" s="6"/>
      <c r="F653" s="6"/>
      <c r="G653" s="6"/>
      <c r="H653" s="6" t="s">
        <v>2211</v>
      </c>
      <c r="I653" t="s">
        <v>1561</v>
      </c>
      <c r="J653" t="s">
        <v>1561</v>
      </c>
      <c r="L653">
        <f t="shared" si="21"/>
        <v>1</v>
      </c>
      <c r="M653" s="24"/>
      <c r="N653" s="23"/>
    </row>
    <row r="654" spans="1:14" ht="15.5" x14ac:dyDescent="0.35">
      <c r="A654" s="9">
        <f t="shared" si="22"/>
        <v>653</v>
      </c>
      <c r="B654" t="s">
        <v>111</v>
      </c>
      <c r="C654" s="109">
        <f>IF(ISBLANK(K654),IFERROR(VLOOKUP(I654,FS_input_data!$C$107:$N$306,Export!J654,FALSE),""),K654)</f>
        <v>165</v>
      </c>
      <c r="D654" s="6" t="b">
        <v>1</v>
      </c>
      <c r="E654" t="s">
        <v>1561</v>
      </c>
      <c r="F654" s="6"/>
      <c r="G654" s="6"/>
      <c r="H654" s="6" t="s">
        <v>2211</v>
      </c>
      <c r="I654" t="s">
        <v>1163</v>
      </c>
      <c r="J654">
        <v>4</v>
      </c>
      <c r="L654" s="9" t="e">
        <f t="shared" si="21"/>
        <v>#VALUE!</v>
      </c>
      <c r="M654" s="22"/>
      <c r="N654" s="23"/>
    </row>
    <row r="655" spans="1:14" ht="15.5" x14ac:dyDescent="0.35">
      <c r="A655">
        <f t="shared" si="22"/>
        <v>654</v>
      </c>
      <c r="B655" t="s">
        <v>112</v>
      </c>
      <c r="C655" s="109" t="str">
        <f>IF(ISBLANK(K655),IFERROR(VLOOKUP(I655,FS_input_data!$C$107:$N$306,Export!J655,FALSE),""),K655)</f>
        <v/>
      </c>
      <c r="D655" s="6"/>
      <c r="E655" t="s">
        <v>1561</v>
      </c>
      <c r="F655" s="6"/>
      <c r="G655" s="6"/>
      <c r="H655" s="6" t="s">
        <v>2211</v>
      </c>
      <c r="I655" t="s">
        <v>1561</v>
      </c>
      <c r="J655" t="s">
        <v>1561</v>
      </c>
      <c r="L655">
        <f t="shared" si="21"/>
        <v>1</v>
      </c>
      <c r="M655" s="22"/>
      <c r="N655" s="23"/>
    </row>
    <row r="656" spans="1:14" ht="15.5" x14ac:dyDescent="0.35">
      <c r="A656">
        <f t="shared" si="22"/>
        <v>655</v>
      </c>
      <c r="B656" t="s">
        <v>239</v>
      </c>
      <c r="C656" s="109" t="str">
        <f>IF(ISBLANK(K656),IFERROR(VLOOKUP(I656,FS_input_data!$C$107:$N$306,Export!J656,FALSE),""),K656)</f>
        <v/>
      </c>
      <c r="D656" s="6"/>
      <c r="E656" t="s">
        <v>1561</v>
      </c>
      <c r="F656" s="6"/>
      <c r="G656" s="6"/>
      <c r="H656" s="6" t="s">
        <v>2211</v>
      </c>
      <c r="I656" t="s">
        <v>1561</v>
      </c>
      <c r="J656" t="s">
        <v>1561</v>
      </c>
      <c r="L656">
        <f t="shared" si="21"/>
        <v>1</v>
      </c>
      <c r="M656" s="22"/>
      <c r="N656" s="23"/>
    </row>
    <row r="657" spans="1:14" ht="15.5" x14ac:dyDescent="0.35">
      <c r="A657">
        <f t="shared" si="22"/>
        <v>656</v>
      </c>
      <c r="B657" t="s">
        <v>240</v>
      </c>
      <c r="C657" s="109" t="str">
        <f>IF(ISBLANK(K657),IFERROR(VLOOKUP(I657,FS_input_data!$C$107:$N$306,Export!J657,FALSE),""),K657)</f>
        <v/>
      </c>
      <c r="D657" s="6"/>
      <c r="E657" t="s">
        <v>1167</v>
      </c>
      <c r="F657" s="6"/>
      <c r="G657" s="6"/>
      <c r="H657" s="6" t="s">
        <v>2211</v>
      </c>
      <c r="I657" t="s">
        <v>1561</v>
      </c>
      <c r="J657" t="s">
        <v>1561</v>
      </c>
      <c r="L657" s="26" t="e">
        <f t="shared" si="21"/>
        <v>#VALUE!</v>
      </c>
      <c r="M657" s="22"/>
      <c r="N657" s="23"/>
    </row>
    <row r="658" spans="1:14" ht="15.5" x14ac:dyDescent="0.35">
      <c r="A658" s="9">
        <f t="shared" si="22"/>
        <v>657</v>
      </c>
      <c r="B658" t="s">
        <v>109</v>
      </c>
      <c r="C658" s="109">
        <f>IF(ISBLANK(K658),IFERROR(VLOOKUP(I658,FS_input_data!$C$107:$N$306,Export!J658,FALSE),""),K658)</f>
        <v>66</v>
      </c>
      <c r="D658" s="6" t="b">
        <v>1</v>
      </c>
      <c r="E658" t="s">
        <v>1561</v>
      </c>
      <c r="F658" s="6"/>
      <c r="G658" s="6"/>
      <c r="H658" s="6" t="s">
        <v>2211</v>
      </c>
      <c r="I658" t="s">
        <v>1166</v>
      </c>
      <c r="J658">
        <v>3</v>
      </c>
      <c r="L658" s="9" t="e">
        <f t="shared" si="21"/>
        <v>#VALUE!</v>
      </c>
      <c r="M658" s="22"/>
      <c r="N658" s="23"/>
    </row>
    <row r="659" spans="1:14" ht="15.5" x14ac:dyDescent="0.35">
      <c r="A659">
        <f t="shared" si="22"/>
        <v>658</v>
      </c>
      <c r="B659" t="s">
        <v>110</v>
      </c>
      <c r="C659" s="109" t="str">
        <f>IF(ISBLANK(K659),IFERROR(VLOOKUP(I659,FS_input_data!$C$107:$N$306,Export!J659,FALSE),""),K659)</f>
        <v/>
      </c>
      <c r="D659" s="6"/>
      <c r="F659" s="6"/>
      <c r="G659" s="6"/>
      <c r="H659" s="6" t="s">
        <v>2211</v>
      </c>
      <c r="I659" t="s">
        <v>1561</v>
      </c>
      <c r="J659" t="s">
        <v>1561</v>
      </c>
      <c r="L659">
        <f t="shared" si="21"/>
        <v>1</v>
      </c>
      <c r="M659" s="22"/>
      <c r="N659" s="23"/>
    </row>
    <row r="660" spans="1:14" ht="15.5" x14ac:dyDescent="0.35">
      <c r="A660" s="9">
        <f t="shared" si="22"/>
        <v>659</v>
      </c>
      <c r="B660" t="s">
        <v>111</v>
      </c>
      <c r="C660" s="109">
        <f>IF(ISBLANK(K660),IFERROR(VLOOKUP(I660,FS_input_data!$C$107:$N$306,Export!J660,FALSE),""),K660)</f>
        <v>166</v>
      </c>
      <c r="D660" s="6" t="b">
        <v>1</v>
      </c>
      <c r="E660" t="s">
        <v>1561</v>
      </c>
      <c r="F660" s="6"/>
      <c r="G660" s="6"/>
      <c r="H660" s="6" t="s">
        <v>2211</v>
      </c>
      <c r="I660" t="s">
        <v>1166</v>
      </c>
      <c r="J660">
        <v>4</v>
      </c>
      <c r="L660" s="9" t="e">
        <f t="shared" si="21"/>
        <v>#VALUE!</v>
      </c>
      <c r="M660" s="22"/>
      <c r="N660" s="23"/>
    </row>
    <row r="661" spans="1:14" ht="15.5" x14ac:dyDescent="0.35">
      <c r="A661">
        <f t="shared" si="22"/>
        <v>660</v>
      </c>
      <c r="B661" t="s">
        <v>112</v>
      </c>
      <c r="C661" s="109" t="str">
        <f>IF(ISBLANK(K661),IFERROR(VLOOKUP(I661,FS_input_data!$C$107:$N$306,Export!J661,FALSE),""),K661)</f>
        <v/>
      </c>
      <c r="D661" s="6"/>
      <c r="E661" t="s">
        <v>1561</v>
      </c>
      <c r="F661" s="6"/>
      <c r="G661" s="6"/>
      <c r="H661" s="6" t="s">
        <v>2211</v>
      </c>
      <c r="I661" t="s">
        <v>1561</v>
      </c>
      <c r="J661" t="s">
        <v>1561</v>
      </c>
      <c r="L661">
        <f t="shared" si="21"/>
        <v>1</v>
      </c>
      <c r="M661" s="22"/>
      <c r="N661" s="23"/>
    </row>
    <row r="662" spans="1:14" ht="15.5" x14ac:dyDescent="0.35">
      <c r="A662">
        <f t="shared" si="22"/>
        <v>661</v>
      </c>
      <c r="B662" t="s">
        <v>241</v>
      </c>
      <c r="C662" s="109" t="str">
        <f>IF(ISBLANK(K662),IFERROR(VLOOKUP(I662,FS_input_data!$C$107:$N$306,Export!J662,FALSE),""),K662)</f>
        <v/>
      </c>
      <c r="D662" s="6"/>
      <c r="E662" t="s">
        <v>1561</v>
      </c>
      <c r="F662" s="6"/>
      <c r="G662" s="6"/>
      <c r="H662" s="6" t="s">
        <v>2211</v>
      </c>
      <c r="I662" t="s">
        <v>1561</v>
      </c>
      <c r="J662" t="s">
        <v>1561</v>
      </c>
      <c r="L662">
        <f t="shared" si="21"/>
        <v>1</v>
      </c>
      <c r="M662" s="22"/>
      <c r="N662" s="23"/>
    </row>
    <row r="663" spans="1:14" ht="15.5" x14ac:dyDescent="0.35">
      <c r="A663">
        <f t="shared" si="22"/>
        <v>662</v>
      </c>
      <c r="B663" t="s">
        <v>242</v>
      </c>
      <c r="C663" s="109" t="str">
        <f>IF(ISBLANK(K663),IFERROR(VLOOKUP(I663,FS_input_data!$C$107:$N$306,Export!J663,FALSE),""),K663)</f>
        <v/>
      </c>
      <c r="D663" s="6"/>
      <c r="E663" t="s">
        <v>1170</v>
      </c>
      <c r="F663" s="6"/>
      <c r="G663" s="6"/>
      <c r="H663" s="6" t="s">
        <v>2211</v>
      </c>
      <c r="I663" t="s">
        <v>1561</v>
      </c>
      <c r="J663" t="s">
        <v>1561</v>
      </c>
      <c r="L663" s="26" t="e">
        <f t="shared" si="21"/>
        <v>#VALUE!</v>
      </c>
      <c r="M663" s="22"/>
      <c r="N663" s="23"/>
    </row>
    <row r="664" spans="1:14" ht="15.5" x14ac:dyDescent="0.35">
      <c r="A664" s="9">
        <f t="shared" si="22"/>
        <v>663</v>
      </c>
      <c r="B664" t="s">
        <v>109</v>
      </c>
      <c r="C664" s="109">
        <f>IF(ISBLANK(K664),IFERROR(VLOOKUP(I664,FS_input_data!$C$107:$N$306,Export!J664,FALSE),""),K664)</f>
        <v>67</v>
      </c>
      <c r="D664" s="6" t="b">
        <v>1</v>
      </c>
      <c r="E664" t="s">
        <v>1561</v>
      </c>
      <c r="F664" s="6"/>
      <c r="G664" s="6"/>
      <c r="H664" s="6" t="s">
        <v>2211</v>
      </c>
      <c r="I664" t="s">
        <v>1169</v>
      </c>
      <c r="J664">
        <v>3</v>
      </c>
      <c r="L664" s="9" t="e">
        <f t="shared" si="21"/>
        <v>#VALUE!</v>
      </c>
      <c r="M664" s="22"/>
      <c r="N664" s="23"/>
    </row>
    <row r="665" spans="1:14" ht="15.5" x14ac:dyDescent="0.35">
      <c r="A665">
        <f t="shared" si="22"/>
        <v>664</v>
      </c>
      <c r="B665" t="s">
        <v>110</v>
      </c>
      <c r="C665" s="109" t="str">
        <f>IF(ISBLANK(K665),IFERROR(VLOOKUP(I665,FS_input_data!$C$107:$N$306,Export!J665,FALSE),""),K665)</f>
        <v/>
      </c>
      <c r="D665" s="6"/>
      <c r="F665" s="6"/>
      <c r="G665" s="6"/>
      <c r="H665" s="6" t="s">
        <v>2211</v>
      </c>
      <c r="I665" t="s">
        <v>1561</v>
      </c>
      <c r="J665" t="s">
        <v>1561</v>
      </c>
      <c r="L665">
        <f t="shared" si="21"/>
        <v>1</v>
      </c>
      <c r="M665" s="22"/>
      <c r="N665" s="23"/>
    </row>
    <row r="666" spans="1:14" ht="15.5" x14ac:dyDescent="0.35">
      <c r="A666" s="9">
        <f t="shared" si="22"/>
        <v>665</v>
      </c>
      <c r="B666" t="s">
        <v>111</v>
      </c>
      <c r="C666" s="109">
        <f>IF(ISBLANK(K666),IFERROR(VLOOKUP(I666,FS_input_data!$C$107:$N$306,Export!J666,FALSE),""),K666)</f>
        <v>167</v>
      </c>
      <c r="D666" s="6" t="b">
        <v>1</v>
      </c>
      <c r="F666" s="6"/>
      <c r="G666" s="6"/>
      <c r="H666" s="6" t="s">
        <v>2211</v>
      </c>
      <c r="I666" t="s">
        <v>1169</v>
      </c>
      <c r="J666">
        <v>4</v>
      </c>
      <c r="L666" s="9" t="e">
        <f t="shared" si="21"/>
        <v>#VALUE!</v>
      </c>
      <c r="M666" s="22"/>
      <c r="N666" s="23"/>
    </row>
    <row r="667" spans="1:14" ht="15.5" x14ac:dyDescent="0.35">
      <c r="A667">
        <f t="shared" si="22"/>
        <v>666</v>
      </c>
      <c r="B667" t="s">
        <v>112</v>
      </c>
      <c r="C667" s="109" t="str">
        <f>IF(ISBLANK(K667),IFERROR(VLOOKUP(I667,FS_input_data!$C$107:$N$306,Export!J667,FALSE),""),K667)</f>
        <v/>
      </c>
      <c r="D667" s="6"/>
      <c r="E667" t="s">
        <v>1561</v>
      </c>
      <c r="F667" s="6"/>
      <c r="G667" s="6"/>
      <c r="H667" s="6" t="s">
        <v>2211</v>
      </c>
      <c r="I667" t="s">
        <v>1561</v>
      </c>
      <c r="J667" t="s">
        <v>1561</v>
      </c>
      <c r="L667">
        <f t="shared" si="21"/>
        <v>1</v>
      </c>
      <c r="M667" s="22"/>
      <c r="N667" s="23"/>
    </row>
    <row r="668" spans="1:14" ht="15.5" x14ac:dyDescent="0.35">
      <c r="A668">
        <f t="shared" si="22"/>
        <v>667</v>
      </c>
      <c r="B668" t="s">
        <v>243</v>
      </c>
      <c r="C668" s="109" t="str">
        <f>IF(ISBLANK(K668),IFERROR(VLOOKUP(I668,FS_input_data!$C$107:$N$306,Export!J668,FALSE),""),K668)</f>
        <v/>
      </c>
      <c r="D668" s="6"/>
      <c r="E668" t="s">
        <v>1561</v>
      </c>
      <c r="F668" s="6"/>
      <c r="G668" s="6"/>
      <c r="H668" s="6" t="s">
        <v>2211</v>
      </c>
      <c r="I668" t="s">
        <v>1561</v>
      </c>
      <c r="J668" t="s">
        <v>1561</v>
      </c>
      <c r="L668">
        <f t="shared" si="21"/>
        <v>1</v>
      </c>
      <c r="M668" s="22"/>
      <c r="N668" s="23"/>
    </row>
    <row r="669" spans="1:14" ht="15.5" x14ac:dyDescent="0.35">
      <c r="A669">
        <f t="shared" si="22"/>
        <v>668</v>
      </c>
      <c r="B669" t="s">
        <v>244</v>
      </c>
      <c r="C669" s="109" t="str">
        <f>IF(ISBLANK(K669),IFERROR(VLOOKUP(I669,FS_input_data!$C$107:$N$306,Export!J669,FALSE),""),K669)</f>
        <v/>
      </c>
      <c r="D669" s="6"/>
      <c r="E669" t="s">
        <v>1561</v>
      </c>
      <c r="F669" s="6"/>
      <c r="G669" s="6"/>
      <c r="H669" s="6" t="s">
        <v>2211</v>
      </c>
      <c r="I669" t="s">
        <v>1561</v>
      </c>
      <c r="J669" t="s">
        <v>1561</v>
      </c>
      <c r="L669">
        <f t="shared" si="21"/>
        <v>1</v>
      </c>
      <c r="M669" s="22"/>
      <c r="N669" s="23"/>
    </row>
    <row r="670" spans="1:14" ht="15.5" x14ac:dyDescent="0.35">
      <c r="A670">
        <f t="shared" si="22"/>
        <v>669</v>
      </c>
      <c r="B670" t="s">
        <v>245</v>
      </c>
      <c r="C670" s="109" t="str">
        <f>IF(ISBLANK(K670),IFERROR(VLOOKUP(I670,FS_input_data!$C$107:$N$306,Export!J670,FALSE),""),K670)</f>
        <v/>
      </c>
      <c r="D670" s="6"/>
      <c r="E670" t="s">
        <v>1561</v>
      </c>
      <c r="F670" s="6"/>
      <c r="G670" s="6"/>
      <c r="H670" s="6" t="s">
        <v>2211</v>
      </c>
      <c r="I670" t="s">
        <v>1561</v>
      </c>
      <c r="J670" t="s">
        <v>1561</v>
      </c>
      <c r="L670">
        <f t="shared" si="21"/>
        <v>1</v>
      </c>
      <c r="M670" s="22"/>
      <c r="N670" s="23"/>
    </row>
    <row r="671" spans="1:14" ht="15.5" x14ac:dyDescent="0.35">
      <c r="A671">
        <f t="shared" si="22"/>
        <v>670</v>
      </c>
      <c r="B671" t="s">
        <v>246</v>
      </c>
      <c r="C671" s="109" t="str">
        <f>IF(ISBLANK(K671),IFERROR(VLOOKUP(I671,FS_input_data!$C$107:$N$306,Export!J671,FALSE),""),K671)</f>
        <v/>
      </c>
      <c r="D671" s="6"/>
      <c r="E671" t="s">
        <v>1173</v>
      </c>
      <c r="F671" s="6"/>
      <c r="G671" s="6"/>
      <c r="H671" s="6" t="s">
        <v>2211</v>
      </c>
      <c r="I671" t="s">
        <v>1561</v>
      </c>
      <c r="J671" t="s">
        <v>1561</v>
      </c>
      <c r="L671" s="26" t="e">
        <f t="shared" si="21"/>
        <v>#VALUE!</v>
      </c>
      <c r="M671" s="22"/>
      <c r="N671" s="23"/>
    </row>
    <row r="672" spans="1:14" ht="15.5" x14ac:dyDescent="0.35">
      <c r="A672" s="9">
        <f t="shared" si="22"/>
        <v>671</v>
      </c>
      <c r="B672" t="s">
        <v>109</v>
      </c>
      <c r="C672" s="109">
        <f>IF(ISBLANK(K672),IFERROR(VLOOKUP(I672,FS_input_data!$C$107:$N$306,Export!J672,FALSE),""),K672)</f>
        <v>930</v>
      </c>
      <c r="D672" s="6" t="b">
        <v>1</v>
      </c>
      <c r="F672" s="6"/>
      <c r="G672" s="6"/>
      <c r="H672" s="6" t="s">
        <v>2211</v>
      </c>
      <c r="I672" t="s">
        <v>1172</v>
      </c>
      <c r="J672">
        <v>3</v>
      </c>
      <c r="L672" s="9" t="e">
        <f t="shared" si="21"/>
        <v>#VALUE!</v>
      </c>
      <c r="M672" s="22"/>
      <c r="N672" s="23"/>
    </row>
    <row r="673" spans="1:14" ht="15.5" x14ac:dyDescent="0.35">
      <c r="A673">
        <f t="shared" si="22"/>
        <v>672</v>
      </c>
      <c r="B673" t="s">
        <v>110</v>
      </c>
      <c r="C673" s="109" t="str">
        <f>IF(ISBLANK(K673),IFERROR(VLOOKUP(I673,FS_input_data!$C$107:$N$306,Export!J673,FALSE),""),K673)</f>
        <v/>
      </c>
      <c r="D673" s="6"/>
      <c r="E673" t="s">
        <v>1561</v>
      </c>
      <c r="F673" s="6"/>
      <c r="G673" s="6"/>
      <c r="H673" s="6" t="s">
        <v>2211</v>
      </c>
      <c r="I673" t="s">
        <v>1561</v>
      </c>
      <c r="J673" t="s">
        <v>1561</v>
      </c>
      <c r="L673">
        <f t="shared" si="21"/>
        <v>1</v>
      </c>
      <c r="M673" s="22"/>
      <c r="N673" s="23"/>
    </row>
    <row r="674" spans="1:14" ht="15.5" x14ac:dyDescent="0.35">
      <c r="A674" s="9">
        <f t="shared" si="22"/>
        <v>673</v>
      </c>
      <c r="B674" t="s">
        <v>111</v>
      </c>
      <c r="C674" s="109">
        <f>IF(ISBLANK(K674),IFERROR(VLOOKUP(I674,FS_input_data!$C$107:$N$306,Export!J674,FALSE),""),K674)</f>
        <v>2130</v>
      </c>
      <c r="D674" s="6" t="b">
        <v>1</v>
      </c>
      <c r="F674" s="6"/>
      <c r="G674" s="6"/>
      <c r="H674" s="6" t="s">
        <v>2211</v>
      </c>
      <c r="I674" t="s">
        <v>1172</v>
      </c>
      <c r="J674">
        <v>4</v>
      </c>
      <c r="L674" s="9" t="e">
        <f t="shared" si="21"/>
        <v>#VALUE!</v>
      </c>
      <c r="M674" s="22"/>
      <c r="N674" s="23"/>
    </row>
    <row r="675" spans="1:14" ht="15.5" x14ac:dyDescent="0.35">
      <c r="A675">
        <f t="shared" si="22"/>
        <v>674</v>
      </c>
      <c r="B675" t="s">
        <v>112</v>
      </c>
      <c r="C675" s="109" t="str">
        <f>IF(ISBLANK(K675),IFERROR(VLOOKUP(I675,FS_input_data!$C$107:$N$306,Export!J675,FALSE),""),K675)</f>
        <v/>
      </c>
      <c r="D675" s="6"/>
      <c r="E675" t="s">
        <v>1561</v>
      </c>
      <c r="F675" s="6"/>
      <c r="G675" s="6"/>
      <c r="H675" s="6" t="s">
        <v>2211</v>
      </c>
      <c r="I675" t="s">
        <v>1561</v>
      </c>
      <c r="J675" t="s">
        <v>1561</v>
      </c>
      <c r="L675">
        <f t="shared" si="21"/>
        <v>1</v>
      </c>
      <c r="M675" s="22"/>
      <c r="N675" s="23"/>
    </row>
    <row r="676" spans="1:14" ht="15.5" x14ac:dyDescent="0.35">
      <c r="A676">
        <f t="shared" si="22"/>
        <v>675</v>
      </c>
      <c r="B676" t="s">
        <v>247</v>
      </c>
      <c r="C676" s="109" t="str">
        <f>IF(ISBLANK(K676),IFERROR(VLOOKUP(I676,FS_input_data!$C$107:$N$306,Export!J676,FALSE),""),K676)</f>
        <v/>
      </c>
      <c r="D676" s="6"/>
      <c r="E676" t="s">
        <v>1176</v>
      </c>
      <c r="F676" s="6"/>
      <c r="G676" s="6"/>
      <c r="H676" s="6" t="s">
        <v>2211</v>
      </c>
      <c r="I676" t="s">
        <v>1561</v>
      </c>
      <c r="J676" t="s">
        <v>1561</v>
      </c>
      <c r="L676" s="26" t="e">
        <f t="shared" si="21"/>
        <v>#VALUE!</v>
      </c>
      <c r="M676" s="25"/>
      <c r="N676" s="23"/>
    </row>
    <row r="677" spans="1:14" x14ac:dyDescent="0.35">
      <c r="A677" s="9">
        <f t="shared" si="22"/>
        <v>676</v>
      </c>
      <c r="B677" t="s">
        <v>109</v>
      </c>
      <c r="C677" s="109">
        <f>IF(ISBLANK(K677),IFERROR(VLOOKUP(I677,FS_input_data!$C$107:$N$306,Export!J677,FALSE),""),K677)</f>
        <v>846</v>
      </c>
      <c r="D677" s="6" t="b">
        <v>1</v>
      </c>
      <c r="F677" s="6"/>
      <c r="G677" s="6"/>
      <c r="H677" s="6" t="s">
        <v>2211</v>
      </c>
      <c r="I677" t="s">
        <v>1175</v>
      </c>
      <c r="J677">
        <v>3</v>
      </c>
      <c r="L677" s="9" t="e">
        <f t="shared" si="21"/>
        <v>#VALUE!</v>
      </c>
    </row>
    <row r="678" spans="1:14" x14ac:dyDescent="0.35">
      <c r="A678">
        <f t="shared" si="22"/>
        <v>677</v>
      </c>
      <c r="B678" t="s">
        <v>110</v>
      </c>
      <c r="C678" s="109" t="str">
        <f>IF(ISBLANK(K678),IFERROR(VLOOKUP(I678,FS_input_data!$C$107:$N$306,Export!J678,FALSE),""),K678)</f>
        <v/>
      </c>
      <c r="D678" s="6"/>
      <c r="E678" t="s">
        <v>1561</v>
      </c>
      <c r="F678" s="6"/>
      <c r="G678" s="6"/>
      <c r="H678" s="6" t="s">
        <v>2211</v>
      </c>
      <c r="I678" t="s">
        <v>1561</v>
      </c>
      <c r="J678" t="s">
        <v>1561</v>
      </c>
      <c r="L678">
        <f t="shared" si="21"/>
        <v>1</v>
      </c>
    </row>
    <row r="679" spans="1:14" x14ac:dyDescent="0.35">
      <c r="A679" s="9">
        <f t="shared" si="22"/>
        <v>678</v>
      </c>
      <c r="B679" t="s">
        <v>111</v>
      </c>
      <c r="C679" s="109">
        <f>IF(ISBLANK(K679),IFERROR(VLOOKUP(I679,FS_input_data!$C$107:$N$306,Export!J679,FALSE),""),K679)</f>
        <v>1946</v>
      </c>
      <c r="D679" s="6" t="b">
        <v>1</v>
      </c>
      <c r="F679" s="6"/>
      <c r="G679" s="6"/>
      <c r="H679" s="6" t="s">
        <v>2211</v>
      </c>
      <c r="I679" t="s">
        <v>1175</v>
      </c>
      <c r="J679">
        <v>4</v>
      </c>
      <c r="L679" s="9" t="e">
        <f t="shared" si="21"/>
        <v>#VALUE!</v>
      </c>
    </row>
    <row r="680" spans="1:14" x14ac:dyDescent="0.35">
      <c r="A680">
        <f t="shared" si="22"/>
        <v>679</v>
      </c>
      <c r="B680" t="s">
        <v>112</v>
      </c>
      <c r="C680" s="109" t="str">
        <f>IF(ISBLANK(K680),IFERROR(VLOOKUP(I680,FS_input_data!$C$107:$N$306,Export!J680,FALSE),""),K680)</f>
        <v/>
      </c>
      <c r="D680" s="6"/>
      <c r="E680" t="s">
        <v>1561</v>
      </c>
      <c r="F680" s="6"/>
      <c r="G680" s="6"/>
      <c r="H680" s="6" t="s">
        <v>2211</v>
      </c>
      <c r="I680" t="s">
        <v>1561</v>
      </c>
      <c r="J680" t="s">
        <v>1561</v>
      </c>
      <c r="L680">
        <f t="shared" si="21"/>
        <v>1</v>
      </c>
    </row>
    <row r="681" spans="1:14" x14ac:dyDescent="0.35">
      <c r="A681">
        <f t="shared" si="22"/>
        <v>680</v>
      </c>
      <c r="B681" t="s">
        <v>248</v>
      </c>
      <c r="C681" s="109" t="str">
        <f>IF(ISBLANK(K681),IFERROR(VLOOKUP(I681,FS_input_data!$C$107:$N$306,Export!J681,FALSE),""),K681)</f>
        <v/>
      </c>
      <c r="D681" s="6"/>
      <c r="E681" t="s">
        <v>1057</v>
      </c>
      <c r="F681" s="6"/>
      <c r="G681" s="6"/>
      <c r="H681" s="6" t="s">
        <v>2211</v>
      </c>
      <c r="I681" t="s">
        <v>1561</v>
      </c>
      <c r="J681" t="s">
        <v>1561</v>
      </c>
      <c r="L681" s="26" t="e">
        <f t="shared" si="21"/>
        <v>#VALUE!</v>
      </c>
    </row>
    <row r="682" spans="1:14" x14ac:dyDescent="0.35">
      <c r="A682" s="9">
        <f t="shared" si="22"/>
        <v>681</v>
      </c>
      <c r="B682" t="s">
        <v>109</v>
      </c>
      <c r="C682" s="109">
        <f>IF(ISBLANK(K682),IFERROR(VLOOKUP(I682,FS_input_data!$C$107:$N$306,Export!J682,FALSE),""),K682)</f>
        <v>290</v>
      </c>
      <c r="D682" s="6" t="b">
        <v>1</v>
      </c>
      <c r="F682" s="6"/>
      <c r="G682" s="6"/>
      <c r="H682" s="6" t="s">
        <v>2211</v>
      </c>
      <c r="I682" t="s">
        <v>1178</v>
      </c>
      <c r="J682">
        <v>3</v>
      </c>
      <c r="L682" s="9" t="e">
        <f t="shared" si="21"/>
        <v>#VALUE!</v>
      </c>
    </row>
    <row r="683" spans="1:14" x14ac:dyDescent="0.35">
      <c r="A683">
        <f t="shared" si="22"/>
        <v>682</v>
      </c>
      <c r="B683" t="s">
        <v>110</v>
      </c>
      <c r="C683" s="109" t="str">
        <f>IF(ISBLANK(K683),IFERROR(VLOOKUP(I683,FS_input_data!$C$107:$N$306,Export!J683,FALSE),""),K683)</f>
        <v/>
      </c>
      <c r="D683" s="6"/>
      <c r="E683" t="s">
        <v>1561</v>
      </c>
      <c r="F683" s="6"/>
      <c r="G683" s="6"/>
      <c r="H683" s="6" t="s">
        <v>2211</v>
      </c>
      <c r="I683" t="s">
        <v>1561</v>
      </c>
      <c r="J683" t="s">
        <v>1561</v>
      </c>
      <c r="L683">
        <f t="shared" si="21"/>
        <v>1</v>
      </c>
    </row>
    <row r="684" spans="1:14" x14ac:dyDescent="0.35">
      <c r="A684" s="9">
        <f t="shared" si="22"/>
        <v>683</v>
      </c>
      <c r="B684" t="s">
        <v>111</v>
      </c>
      <c r="C684" s="109">
        <f>IF(ISBLANK(K684),IFERROR(VLOOKUP(I684,FS_input_data!$C$107:$N$306,Export!J684,FALSE),""),K684)</f>
        <v>690</v>
      </c>
      <c r="D684" s="6" t="b">
        <v>1</v>
      </c>
      <c r="F684" s="6"/>
      <c r="G684" s="6"/>
      <c r="H684" s="6" t="s">
        <v>2211</v>
      </c>
      <c r="I684" t="s">
        <v>1178</v>
      </c>
      <c r="J684">
        <v>4</v>
      </c>
      <c r="L684" s="9" t="e">
        <f t="shared" si="21"/>
        <v>#VALUE!</v>
      </c>
    </row>
    <row r="685" spans="1:14" x14ac:dyDescent="0.35">
      <c r="A685">
        <f t="shared" si="22"/>
        <v>684</v>
      </c>
      <c r="B685" t="s">
        <v>112</v>
      </c>
      <c r="C685" s="109" t="str">
        <f>IF(ISBLANK(K685),IFERROR(VLOOKUP(I685,FS_input_data!$C$107:$N$306,Export!J685,FALSE),""),K685)</f>
        <v/>
      </c>
      <c r="D685" s="6"/>
      <c r="E685" t="s">
        <v>1561</v>
      </c>
      <c r="F685" s="6"/>
      <c r="G685" s="6"/>
      <c r="H685" s="6" t="s">
        <v>2211</v>
      </c>
      <c r="I685" t="s">
        <v>1561</v>
      </c>
      <c r="J685" t="s">
        <v>1561</v>
      </c>
      <c r="L685">
        <f t="shared" si="21"/>
        <v>1</v>
      </c>
    </row>
    <row r="686" spans="1:14" x14ac:dyDescent="0.35">
      <c r="A686">
        <f t="shared" si="22"/>
        <v>685</v>
      </c>
      <c r="B686" t="s">
        <v>249</v>
      </c>
      <c r="C686" s="109" t="str">
        <f>IF(ISBLANK(K686),IFERROR(VLOOKUP(I686,FS_input_data!$C$107:$N$306,Export!J686,FALSE),""),K686)</f>
        <v/>
      </c>
      <c r="D686" s="6"/>
      <c r="E686" t="s">
        <v>1060</v>
      </c>
      <c r="F686" s="6"/>
      <c r="G686" s="6"/>
      <c r="H686" s="6" t="s">
        <v>2211</v>
      </c>
      <c r="I686" t="s">
        <v>1561</v>
      </c>
      <c r="J686" t="s">
        <v>1561</v>
      </c>
      <c r="L686" s="26" t="e">
        <f t="shared" si="21"/>
        <v>#VALUE!</v>
      </c>
    </row>
    <row r="687" spans="1:14" x14ac:dyDescent="0.35">
      <c r="A687" s="9">
        <f t="shared" si="22"/>
        <v>686</v>
      </c>
      <c r="B687" t="s">
        <v>109</v>
      </c>
      <c r="C687" s="109">
        <f>IF(ISBLANK(K687),IFERROR(VLOOKUP(I687,FS_input_data!$C$107:$N$306,Export!J687,FALSE),""),K687)</f>
        <v>71</v>
      </c>
      <c r="D687" s="6" t="b">
        <v>1</v>
      </c>
      <c r="E687" t="s">
        <v>1561</v>
      </c>
      <c r="F687" s="6"/>
      <c r="G687" s="6"/>
      <c r="H687" s="6" t="s">
        <v>2211</v>
      </c>
      <c r="I687" t="s">
        <v>1180</v>
      </c>
      <c r="J687">
        <v>3</v>
      </c>
      <c r="L687" s="9" t="e">
        <f t="shared" si="21"/>
        <v>#VALUE!</v>
      </c>
    </row>
    <row r="688" spans="1:14" x14ac:dyDescent="0.35">
      <c r="A688">
        <f t="shared" si="22"/>
        <v>687</v>
      </c>
      <c r="B688" t="s">
        <v>110</v>
      </c>
      <c r="C688" s="109" t="str">
        <f>IF(ISBLANK(K688),IFERROR(VLOOKUP(I688,FS_input_data!$C$107:$N$306,Export!J688,FALSE),""),K688)</f>
        <v/>
      </c>
      <c r="D688" s="6"/>
      <c r="F688" s="6"/>
      <c r="G688" s="6"/>
      <c r="H688" s="6" t="s">
        <v>2211</v>
      </c>
      <c r="I688" t="s">
        <v>1561</v>
      </c>
      <c r="J688" t="s">
        <v>1561</v>
      </c>
      <c r="L688">
        <f t="shared" si="21"/>
        <v>1</v>
      </c>
    </row>
    <row r="689" spans="1:12" x14ac:dyDescent="0.35">
      <c r="A689" s="9">
        <f t="shared" si="22"/>
        <v>688</v>
      </c>
      <c r="B689" t="s">
        <v>111</v>
      </c>
      <c r="C689" s="109">
        <f>IF(ISBLANK(K689),IFERROR(VLOOKUP(I689,FS_input_data!$C$107:$N$306,Export!J689,FALSE),""),K689)</f>
        <v>171</v>
      </c>
      <c r="D689" s="6" t="b">
        <v>1</v>
      </c>
      <c r="E689" t="s">
        <v>1561</v>
      </c>
      <c r="F689" s="6"/>
      <c r="G689" s="6"/>
      <c r="H689" s="6" t="s">
        <v>2211</v>
      </c>
      <c r="I689" t="s">
        <v>1180</v>
      </c>
      <c r="J689">
        <v>4</v>
      </c>
      <c r="L689" s="9" t="e">
        <f t="shared" si="21"/>
        <v>#VALUE!</v>
      </c>
    </row>
    <row r="690" spans="1:12" x14ac:dyDescent="0.35">
      <c r="A690">
        <f t="shared" si="22"/>
        <v>689</v>
      </c>
      <c r="B690" t="s">
        <v>112</v>
      </c>
      <c r="C690" s="109" t="str">
        <f>IF(ISBLANK(K690),IFERROR(VLOOKUP(I690,FS_input_data!$C$107:$N$306,Export!J690,FALSE),""),K690)</f>
        <v/>
      </c>
      <c r="D690" s="6"/>
      <c r="E690" t="s">
        <v>1561</v>
      </c>
      <c r="F690" s="6"/>
      <c r="G690" s="6"/>
      <c r="H690" s="6" t="s">
        <v>2211</v>
      </c>
      <c r="I690" t="s">
        <v>1561</v>
      </c>
      <c r="J690" t="s">
        <v>1561</v>
      </c>
      <c r="L690">
        <f t="shared" si="21"/>
        <v>1</v>
      </c>
    </row>
    <row r="691" spans="1:12" x14ac:dyDescent="0.35">
      <c r="A691">
        <f t="shared" si="22"/>
        <v>690</v>
      </c>
      <c r="B691" t="s">
        <v>250</v>
      </c>
      <c r="C691" s="109" t="str">
        <f>IF(ISBLANK(K691),IFERROR(VLOOKUP(I691,FS_input_data!$C$107:$N$306,Export!J691,FALSE),""),K691)</f>
        <v/>
      </c>
      <c r="D691" s="6"/>
      <c r="E691" t="s">
        <v>1561</v>
      </c>
      <c r="F691" s="6"/>
      <c r="G691" s="6"/>
      <c r="H691" s="6" t="s">
        <v>2211</v>
      </c>
      <c r="I691" t="s">
        <v>1561</v>
      </c>
      <c r="J691" t="s">
        <v>1561</v>
      </c>
      <c r="L691">
        <f t="shared" si="21"/>
        <v>1</v>
      </c>
    </row>
    <row r="692" spans="1:12" x14ac:dyDescent="0.35">
      <c r="A692">
        <f t="shared" si="22"/>
        <v>691</v>
      </c>
      <c r="B692" t="s">
        <v>251</v>
      </c>
      <c r="C692" s="109" t="str">
        <f>IF(ISBLANK(K692),IFERROR(VLOOKUP(I692,FS_input_data!$C$107:$N$306,Export!J692,FALSE),""),K692)</f>
        <v/>
      </c>
      <c r="D692" s="6"/>
      <c r="E692" t="s">
        <v>1063</v>
      </c>
      <c r="F692" s="6"/>
      <c r="G692" s="6"/>
      <c r="H692" s="6" t="s">
        <v>2211</v>
      </c>
      <c r="I692" t="s">
        <v>1561</v>
      </c>
      <c r="J692" t="s">
        <v>1561</v>
      </c>
      <c r="L692" s="26" t="e">
        <f t="shared" si="21"/>
        <v>#VALUE!</v>
      </c>
    </row>
    <row r="693" spans="1:12" x14ac:dyDescent="0.35">
      <c r="A693" s="9">
        <f t="shared" si="22"/>
        <v>692</v>
      </c>
      <c r="B693" t="s">
        <v>109</v>
      </c>
      <c r="C693" s="109">
        <f>IF(ISBLANK(K693),IFERROR(VLOOKUP(I693,FS_input_data!$C$107:$N$306,Export!J693,FALSE),""),K693)</f>
        <v>72</v>
      </c>
      <c r="D693" s="6" t="b">
        <v>1</v>
      </c>
      <c r="E693" t="s">
        <v>1561</v>
      </c>
      <c r="F693" s="6"/>
      <c r="G693" s="6"/>
      <c r="H693" s="6" t="s">
        <v>2211</v>
      </c>
      <c r="I693" t="s">
        <v>1182</v>
      </c>
      <c r="J693">
        <v>3</v>
      </c>
      <c r="L693" s="9" t="e">
        <f t="shared" si="21"/>
        <v>#VALUE!</v>
      </c>
    </row>
    <row r="694" spans="1:12" x14ac:dyDescent="0.35">
      <c r="A694">
        <f t="shared" si="22"/>
        <v>693</v>
      </c>
      <c r="B694" t="s">
        <v>110</v>
      </c>
      <c r="C694" s="109" t="str">
        <f>IF(ISBLANK(K694),IFERROR(VLOOKUP(I694,FS_input_data!$C$107:$N$306,Export!J694,FALSE),""),K694)</f>
        <v/>
      </c>
      <c r="D694" s="6"/>
      <c r="F694" s="6"/>
      <c r="G694" s="6"/>
      <c r="H694" s="6" t="s">
        <v>2211</v>
      </c>
      <c r="I694" t="s">
        <v>1561</v>
      </c>
      <c r="J694" t="s">
        <v>1561</v>
      </c>
      <c r="L694">
        <f t="shared" si="21"/>
        <v>1</v>
      </c>
    </row>
    <row r="695" spans="1:12" x14ac:dyDescent="0.35">
      <c r="A695" s="9">
        <f t="shared" si="22"/>
        <v>694</v>
      </c>
      <c r="B695" t="s">
        <v>111</v>
      </c>
      <c r="C695" s="109">
        <f>IF(ISBLANK(K695),IFERROR(VLOOKUP(I695,FS_input_data!$C$107:$N$306,Export!J695,FALSE),""),K695)</f>
        <v>172</v>
      </c>
      <c r="D695" s="6" t="b">
        <v>1</v>
      </c>
      <c r="E695" t="s">
        <v>1561</v>
      </c>
      <c r="F695" s="6"/>
      <c r="G695" s="6"/>
      <c r="H695" s="6" t="s">
        <v>2211</v>
      </c>
      <c r="I695" t="s">
        <v>1182</v>
      </c>
      <c r="J695">
        <v>4</v>
      </c>
      <c r="L695" s="9" t="e">
        <f t="shared" si="21"/>
        <v>#VALUE!</v>
      </c>
    </row>
    <row r="696" spans="1:12" x14ac:dyDescent="0.35">
      <c r="A696">
        <f t="shared" si="22"/>
        <v>695</v>
      </c>
      <c r="B696" t="s">
        <v>112</v>
      </c>
      <c r="C696" s="109" t="str">
        <f>IF(ISBLANK(K696),IFERROR(VLOOKUP(I696,FS_input_data!$C$107:$N$306,Export!J696,FALSE),""),K696)</f>
        <v/>
      </c>
      <c r="D696" s="6"/>
      <c r="E696" t="s">
        <v>1561</v>
      </c>
      <c r="F696" s="6"/>
      <c r="G696" s="6"/>
      <c r="H696" s="6" t="s">
        <v>2211</v>
      </c>
      <c r="I696" t="s">
        <v>1561</v>
      </c>
      <c r="J696" t="s">
        <v>1561</v>
      </c>
      <c r="L696">
        <f t="shared" si="21"/>
        <v>1</v>
      </c>
    </row>
    <row r="697" spans="1:12" x14ac:dyDescent="0.35">
      <c r="A697">
        <f t="shared" si="22"/>
        <v>696</v>
      </c>
      <c r="B697" t="s">
        <v>252</v>
      </c>
      <c r="C697" s="109" t="str">
        <f>IF(ISBLANK(K697),IFERROR(VLOOKUP(I697,FS_input_data!$C$107:$N$306,Export!J697,FALSE),""),K697)</f>
        <v/>
      </c>
      <c r="D697" s="6"/>
      <c r="E697" t="s">
        <v>1561</v>
      </c>
      <c r="F697" s="6"/>
      <c r="G697" s="6"/>
      <c r="H697" s="6" t="s">
        <v>2211</v>
      </c>
      <c r="I697" t="s">
        <v>1561</v>
      </c>
      <c r="J697" t="s">
        <v>1561</v>
      </c>
      <c r="L697">
        <f t="shared" si="21"/>
        <v>1</v>
      </c>
    </row>
    <row r="698" spans="1:12" x14ac:dyDescent="0.35">
      <c r="A698">
        <f t="shared" si="22"/>
        <v>697</v>
      </c>
      <c r="B698" t="s">
        <v>253</v>
      </c>
      <c r="C698" s="109" t="str">
        <f>IF(ISBLANK(K698),IFERROR(VLOOKUP(I698,FS_input_data!$C$107:$N$306,Export!J698,FALSE),""),K698)</f>
        <v/>
      </c>
      <c r="D698" s="6"/>
      <c r="E698" t="s">
        <v>1066</v>
      </c>
      <c r="F698" s="6"/>
      <c r="G698" s="6"/>
      <c r="H698" s="6" t="s">
        <v>2211</v>
      </c>
      <c r="I698" t="s">
        <v>1561</v>
      </c>
      <c r="J698" t="s">
        <v>1561</v>
      </c>
      <c r="L698" s="26" t="e">
        <f t="shared" si="21"/>
        <v>#VALUE!</v>
      </c>
    </row>
    <row r="699" spans="1:12" x14ac:dyDescent="0.35">
      <c r="A699" s="9">
        <f t="shared" si="22"/>
        <v>698</v>
      </c>
      <c r="B699" t="s">
        <v>109</v>
      </c>
      <c r="C699" s="109">
        <f>IF(ISBLANK(K699),IFERROR(VLOOKUP(I699,FS_input_data!$C$107:$N$306,Export!J699,FALSE),""),K699)</f>
        <v>73</v>
      </c>
      <c r="D699" s="6" t="b">
        <v>1</v>
      </c>
      <c r="E699" t="s">
        <v>1561</v>
      </c>
      <c r="F699" s="6"/>
      <c r="G699" s="6"/>
      <c r="H699" s="6" t="s">
        <v>2211</v>
      </c>
      <c r="I699" t="s">
        <v>1184</v>
      </c>
      <c r="J699">
        <v>3</v>
      </c>
      <c r="L699" s="9" t="e">
        <f t="shared" si="21"/>
        <v>#VALUE!</v>
      </c>
    </row>
    <row r="700" spans="1:12" x14ac:dyDescent="0.35">
      <c r="A700">
        <f t="shared" si="22"/>
        <v>699</v>
      </c>
      <c r="B700" t="s">
        <v>110</v>
      </c>
      <c r="C700" s="109" t="str">
        <f>IF(ISBLANK(K700),IFERROR(VLOOKUP(I700,FS_input_data!$C$107:$N$306,Export!J700,FALSE),""),K700)</f>
        <v/>
      </c>
      <c r="D700" s="6"/>
      <c r="F700" s="6"/>
      <c r="G700" s="6"/>
      <c r="H700" s="6" t="s">
        <v>2211</v>
      </c>
      <c r="I700" t="s">
        <v>1561</v>
      </c>
      <c r="J700" t="s">
        <v>1561</v>
      </c>
      <c r="L700">
        <f t="shared" si="21"/>
        <v>1</v>
      </c>
    </row>
    <row r="701" spans="1:12" x14ac:dyDescent="0.35">
      <c r="A701" s="9">
        <f t="shared" si="22"/>
        <v>700</v>
      </c>
      <c r="B701" t="s">
        <v>111</v>
      </c>
      <c r="C701" s="109">
        <f>IF(ISBLANK(K701),IFERROR(VLOOKUP(I701,FS_input_data!$C$107:$N$306,Export!J701,FALSE),""),K701)</f>
        <v>173</v>
      </c>
      <c r="D701" s="6" t="b">
        <v>1</v>
      </c>
      <c r="E701" t="s">
        <v>1561</v>
      </c>
      <c r="F701" s="6"/>
      <c r="G701" s="6"/>
      <c r="H701" s="6" t="s">
        <v>2211</v>
      </c>
      <c r="I701" t="s">
        <v>1184</v>
      </c>
      <c r="J701">
        <v>4</v>
      </c>
      <c r="L701" s="9" t="e">
        <f t="shared" si="21"/>
        <v>#VALUE!</v>
      </c>
    </row>
    <row r="702" spans="1:12" x14ac:dyDescent="0.35">
      <c r="A702">
        <f t="shared" si="22"/>
        <v>701</v>
      </c>
      <c r="B702" t="s">
        <v>112</v>
      </c>
      <c r="C702" s="109" t="str">
        <f>IF(ISBLANK(K702),IFERROR(VLOOKUP(I702,FS_input_data!$C$107:$N$306,Export!J702,FALSE),""),K702)</f>
        <v/>
      </c>
      <c r="D702" s="6"/>
      <c r="E702" t="s">
        <v>1561</v>
      </c>
      <c r="F702" s="6"/>
      <c r="G702" s="6"/>
      <c r="H702" s="6" t="s">
        <v>2211</v>
      </c>
      <c r="I702" t="s">
        <v>1561</v>
      </c>
      <c r="J702" t="s">
        <v>1561</v>
      </c>
      <c r="L702">
        <f t="shared" si="21"/>
        <v>1</v>
      </c>
    </row>
    <row r="703" spans="1:12" x14ac:dyDescent="0.35">
      <c r="A703">
        <f t="shared" si="22"/>
        <v>702</v>
      </c>
      <c r="B703" t="s">
        <v>254</v>
      </c>
      <c r="C703" s="109" t="str">
        <f>IF(ISBLANK(K703),IFERROR(VLOOKUP(I703,FS_input_data!$C$107:$N$306,Export!J703,FALSE),""),K703)</f>
        <v/>
      </c>
      <c r="D703" s="6"/>
      <c r="E703" t="s">
        <v>1561</v>
      </c>
      <c r="F703" s="6"/>
      <c r="G703" s="6"/>
      <c r="H703" s="6" t="s">
        <v>2211</v>
      </c>
      <c r="I703" t="s">
        <v>1561</v>
      </c>
      <c r="J703" t="s">
        <v>1561</v>
      </c>
      <c r="L703">
        <f t="shared" si="21"/>
        <v>1</v>
      </c>
    </row>
    <row r="704" spans="1:12" x14ac:dyDescent="0.35">
      <c r="A704">
        <f t="shared" si="22"/>
        <v>703</v>
      </c>
      <c r="B704" t="s">
        <v>255</v>
      </c>
      <c r="C704" s="109" t="str">
        <f>IF(ISBLANK(K704),IFERROR(VLOOKUP(I704,FS_input_data!$C$107:$N$306,Export!J704,FALSE),""),K704)</f>
        <v/>
      </c>
      <c r="D704" s="6"/>
      <c r="E704" t="s">
        <v>1187</v>
      </c>
      <c r="F704" s="6"/>
      <c r="G704" s="6"/>
      <c r="H704" s="6" t="s">
        <v>2211</v>
      </c>
      <c r="I704" t="s">
        <v>1561</v>
      </c>
      <c r="J704" t="s">
        <v>1561</v>
      </c>
      <c r="L704" s="26" t="e">
        <f t="shared" si="21"/>
        <v>#VALUE!</v>
      </c>
    </row>
    <row r="705" spans="1:12" x14ac:dyDescent="0.35">
      <c r="A705" s="9">
        <f t="shared" si="22"/>
        <v>704</v>
      </c>
      <c r="B705" t="s">
        <v>109</v>
      </c>
      <c r="C705" s="109">
        <f>IF(ISBLANK(K705),IFERROR(VLOOKUP(I705,FS_input_data!$C$107:$N$306,Export!J705,FALSE),""),K705)</f>
        <v>74</v>
      </c>
      <c r="D705" s="6" t="b">
        <v>1</v>
      </c>
      <c r="E705" t="s">
        <v>1561</v>
      </c>
      <c r="F705" s="6"/>
      <c r="G705" s="6"/>
      <c r="H705" s="6" t="s">
        <v>2211</v>
      </c>
      <c r="I705" t="s">
        <v>1186</v>
      </c>
      <c r="J705">
        <v>3</v>
      </c>
      <c r="L705" s="9" t="e">
        <f t="shared" si="21"/>
        <v>#VALUE!</v>
      </c>
    </row>
    <row r="706" spans="1:12" x14ac:dyDescent="0.35">
      <c r="A706">
        <f t="shared" si="22"/>
        <v>705</v>
      </c>
      <c r="B706" t="s">
        <v>110</v>
      </c>
      <c r="C706" s="109" t="str">
        <f>IF(ISBLANK(K706),IFERROR(VLOOKUP(I706,FS_input_data!$C$107:$N$306,Export!J706,FALSE),""),K706)</f>
        <v/>
      </c>
      <c r="D706" s="6"/>
      <c r="F706" s="6"/>
      <c r="G706" s="6"/>
      <c r="H706" s="6" t="s">
        <v>2211</v>
      </c>
      <c r="I706" t="s">
        <v>1561</v>
      </c>
      <c r="J706" t="s">
        <v>1561</v>
      </c>
      <c r="L706">
        <f t="shared" ref="L706:L769" si="23">FIND("/",B706)</f>
        <v>1</v>
      </c>
    </row>
    <row r="707" spans="1:12" x14ac:dyDescent="0.35">
      <c r="A707" s="9">
        <f t="shared" ref="A707:A770" si="24">A706+1</f>
        <v>706</v>
      </c>
      <c r="B707" t="s">
        <v>111</v>
      </c>
      <c r="C707" s="109">
        <f>IF(ISBLANK(K707),IFERROR(VLOOKUP(I707,FS_input_data!$C$107:$N$306,Export!J707,FALSE),""),K707)</f>
        <v>174</v>
      </c>
      <c r="D707" s="6" t="b">
        <v>1</v>
      </c>
      <c r="E707" t="s">
        <v>1561</v>
      </c>
      <c r="F707" s="6"/>
      <c r="G707" s="6"/>
      <c r="H707" s="6" t="s">
        <v>2211</v>
      </c>
      <c r="I707" t="s">
        <v>1186</v>
      </c>
      <c r="J707">
        <v>4</v>
      </c>
      <c r="L707" s="9" t="e">
        <f t="shared" si="23"/>
        <v>#VALUE!</v>
      </c>
    </row>
    <row r="708" spans="1:12" x14ac:dyDescent="0.35">
      <c r="A708">
        <f t="shared" si="24"/>
        <v>707</v>
      </c>
      <c r="B708" t="s">
        <v>112</v>
      </c>
      <c r="C708" s="109" t="str">
        <f>IF(ISBLANK(K708),IFERROR(VLOOKUP(I708,FS_input_data!$C$107:$N$306,Export!J708,FALSE),""),K708)</f>
        <v/>
      </c>
      <c r="D708" s="6"/>
      <c r="E708" t="s">
        <v>1561</v>
      </c>
      <c r="F708" s="6"/>
      <c r="G708" s="6"/>
      <c r="H708" s="6" t="s">
        <v>2211</v>
      </c>
      <c r="I708" t="s">
        <v>1561</v>
      </c>
      <c r="J708" t="s">
        <v>1561</v>
      </c>
      <c r="L708">
        <f t="shared" si="23"/>
        <v>1</v>
      </c>
    </row>
    <row r="709" spans="1:12" x14ac:dyDescent="0.35">
      <c r="A709">
        <f t="shared" si="24"/>
        <v>708</v>
      </c>
      <c r="B709" t="s">
        <v>256</v>
      </c>
      <c r="C709" s="109" t="str">
        <f>IF(ISBLANK(K709),IFERROR(VLOOKUP(I709,FS_input_data!$C$107:$N$306,Export!J709,FALSE),""),K709)</f>
        <v/>
      </c>
      <c r="D709" s="6"/>
      <c r="E709" t="s">
        <v>1561</v>
      </c>
      <c r="F709" s="6"/>
      <c r="G709" s="6"/>
      <c r="H709" s="6" t="s">
        <v>2211</v>
      </c>
      <c r="I709" t="s">
        <v>1561</v>
      </c>
      <c r="J709" t="s">
        <v>1561</v>
      </c>
      <c r="L709">
        <f t="shared" si="23"/>
        <v>1</v>
      </c>
    </row>
    <row r="710" spans="1:12" x14ac:dyDescent="0.35">
      <c r="A710">
        <f t="shared" si="24"/>
        <v>709</v>
      </c>
      <c r="B710" t="s">
        <v>257</v>
      </c>
      <c r="C710" s="109" t="str">
        <f>IF(ISBLANK(K710),IFERROR(VLOOKUP(I710,FS_input_data!$C$107:$N$306,Export!J710,FALSE),""),K710)</f>
        <v/>
      </c>
      <c r="D710" s="6"/>
      <c r="E710" t="s">
        <v>1561</v>
      </c>
      <c r="F710" s="6"/>
      <c r="G710" s="6"/>
      <c r="H710" s="6" t="s">
        <v>2211</v>
      </c>
      <c r="I710" t="s">
        <v>1561</v>
      </c>
      <c r="J710" t="s">
        <v>1561</v>
      </c>
      <c r="L710">
        <f t="shared" si="23"/>
        <v>1</v>
      </c>
    </row>
    <row r="711" spans="1:12" x14ac:dyDescent="0.35">
      <c r="A711">
        <f t="shared" si="24"/>
        <v>710</v>
      </c>
      <c r="B711" t="s">
        <v>258</v>
      </c>
      <c r="C711" s="109" t="str">
        <f>IF(ISBLANK(K711),IFERROR(VLOOKUP(I711,FS_input_data!$C$107:$N$306,Export!J711,FALSE),""),K711)</f>
        <v/>
      </c>
      <c r="D711" s="6"/>
      <c r="E711" t="s">
        <v>1190</v>
      </c>
      <c r="F711" s="6"/>
      <c r="G711" s="6"/>
      <c r="H711" s="6" t="s">
        <v>2211</v>
      </c>
      <c r="I711" t="s">
        <v>1561</v>
      </c>
      <c r="J711" t="s">
        <v>1561</v>
      </c>
      <c r="L711" s="26" t="e">
        <f t="shared" si="23"/>
        <v>#VALUE!</v>
      </c>
    </row>
    <row r="712" spans="1:12" x14ac:dyDescent="0.35">
      <c r="A712" s="9">
        <f t="shared" si="24"/>
        <v>711</v>
      </c>
      <c r="B712" t="s">
        <v>109</v>
      </c>
      <c r="C712" s="109">
        <f>IF(ISBLANK(K712),IFERROR(VLOOKUP(I712,FS_input_data!$C$107:$N$306,Export!J712,FALSE),""),K712)</f>
        <v>310</v>
      </c>
      <c r="D712" s="6" t="b">
        <v>1</v>
      </c>
      <c r="E712" t="s">
        <v>1561</v>
      </c>
      <c r="F712" s="6"/>
      <c r="G712" s="6"/>
      <c r="H712" s="6" t="s">
        <v>2211</v>
      </c>
      <c r="I712" t="s">
        <v>1189</v>
      </c>
      <c r="J712">
        <v>3</v>
      </c>
      <c r="L712" s="9" t="e">
        <f t="shared" si="23"/>
        <v>#VALUE!</v>
      </c>
    </row>
    <row r="713" spans="1:12" x14ac:dyDescent="0.35">
      <c r="A713">
        <f t="shared" si="24"/>
        <v>712</v>
      </c>
      <c r="B713" t="s">
        <v>110</v>
      </c>
      <c r="C713" s="109" t="str">
        <f>IF(ISBLANK(K713),IFERROR(VLOOKUP(I713,FS_input_data!$C$107:$N$306,Export!J713,FALSE),""),K713)</f>
        <v/>
      </c>
      <c r="D713" s="6"/>
      <c r="F713" s="6"/>
      <c r="G713" s="6"/>
      <c r="H713" s="6" t="s">
        <v>2211</v>
      </c>
      <c r="I713" t="s">
        <v>1561</v>
      </c>
      <c r="J713" t="s">
        <v>1561</v>
      </c>
      <c r="L713">
        <f t="shared" si="23"/>
        <v>1</v>
      </c>
    </row>
    <row r="714" spans="1:12" x14ac:dyDescent="0.35">
      <c r="A714" s="9">
        <f t="shared" si="24"/>
        <v>713</v>
      </c>
      <c r="B714" t="s">
        <v>111</v>
      </c>
      <c r="C714" s="109">
        <f>IF(ISBLANK(K714),IFERROR(VLOOKUP(I714,FS_input_data!$C$107:$N$306,Export!J714,FALSE),""),K714)</f>
        <v>710</v>
      </c>
      <c r="D714" s="6" t="b">
        <v>1</v>
      </c>
      <c r="E714" t="s">
        <v>1561</v>
      </c>
      <c r="F714" s="6"/>
      <c r="G714" s="6"/>
      <c r="H714" s="6" t="s">
        <v>2211</v>
      </c>
      <c r="I714" t="s">
        <v>1189</v>
      </c>
      <c r="J714">
        <v>4</v>
      </c>
      <c r="L714" s="9" t="e">
        <f t="shared" si="23"/>
        <v>#VALUE!</v>
      </c>
    </row>
    <row r="715" spans="1:12" x14ac:dyDescent="0.35">
      <c r="A715">
        <f t="shared" si="24"/>
        <v>714</v>
      </c>
      <c r="B715" t="s">
        <v>112</v>
      </c>
      <c r="C715" s="109" t="str">
        <f>IF(ISBLANK(K715),IFERROR(VLOOKUP(I715,FS_input_data!$C$107:$N$306,Export!J715,FALSE),""),K715)</f>
        <v/>
      </c>
      <c r="D715" s="6"/>
      <c r="E715" t="s">
        <v>1561</v>
      </c>
      <c r="F715" s="6"/>
      <c r="G715" s="6"/>
      <c r="H715" s="6" t="s">
        <v>2211</v>
      </c>
      <c r="I715" t="s">
        <v>1561</v>
      </c>
      <c r="J715" t="s">
        <v>1561</v>
      </c>
      <c r="L715">
        <f t="shared" si="23"/>
        <v>1</v>
      </c>
    </row>
    <row r="716" spans="1:12" x14ac:dyDescent="0.35">
      <c r="A716">
        <f t="shared" si="24"/>
        <v>715</v>
      </c>
      <c r="B716" t="s">
        <v>259</v>
      </c>
      <c r="C716" s="109" t="str">
        <f>IF(ISBLANK(K716),IFERROR(VLOOKUP(I716,FS_input_data!$C$107:$N$306,Export!J716,FALSE),""),K716)</f>
        <v/>
      </c>
      <c r="D716" s="6"/>
      <c r="E716" t="s">
        <v>1060</v>
      </c>
      <c r="F716" s="6"/>
      <c r="G716" s="6"/>
      <c r="H716" s="6" t="s">
        <v>2211</v>
      </c>
      <c r="I716" t="s">
        <v>1561</v>
      </c>
      <c r="J716" t="s">
        <v>1561</v>
      </c>
      <c r="L716" s="26" t="e">
        <f t="shared" si="23"/>
        <v>#VALUE!</v>
      </c>
    </row>
    <row r="717" spans="1:12" x14ac:dyDescent="0.35">
      <c r="A717" s="9">
        <f t="shared" si="24"/>
        <v>716</v>
      </c>
      <c r="B717" t="s">
        <v>109</v>
      </c>
      <c r="C717" s="109">
        <f>IF(ISBLANK(K717),IFERROR(VLOOKUP(I717,FS_input_data!$C$107:$N$306,Export!J717,FALSE),""),K717)</f>
        <v>76</v>
      </c>
      <c r="D717" s="6" t="b">
        <v>1</v>
      </c>
      <c r="E717" t="s">
        <v>1561</v>
      </c>
      <c r="F717" s="6"/>
      <c r="G717" s="6"/>
      <c r="H717" s="6" t="s">
        <v>2211</v>
      </c>
      <c r="I717" t="s">
        <v>1192</v>
      </c>
      <c r="J717">
        <v>3</v>
      </c>
      <c r="L717" s="9" t="e">
        <f t="shared" si="23"/>
        <v>#VALUE!</v>
      </c>
    </row>
    <row r="718" spans="1:12" x14ac:dyDescent="0.35">
      <c r="A718">
        <f t="shared" si="24"/>
        <v>717</v>
      </c>
      <c r="B718" t="s">
        <v>110</v>
      </c>
      <c r="C718" s="109" t="str">
        <f>IF(ISBLANK(K718),IFERROR(VLOOKUP(I718,FS_input_data!$C$107:$N$306,Export!J718,FALSE),""),K718)</f>
        <v/>
      </c>
      <c r="D718" s="6"/>
      <c r="F718" s="6"/>
      <c r="G718" s="6"/>
      <c r="H718" s="6" t="s">
        <v>2211</v>
      </c>
      <c r="I718" t="s">
        <v>1561</v>
      </c>
      <c r="J718" t="s">
        <v>1561</v>
      </c>
      <c r="L718">
        <f t="shared" si="23"/>
        <v>1</v>
      </c>
    </row>
    <row r="719" spans="1:12" x14ac:dyDescent="0.35">
      <c r="A719" s="9">
        <f t="shared" si="24"/>
        <v>718</v>
      </c>
      <c r="B719" t="s">
        <v>111</v>
      </c>
      <c r="C719" s="109">
        <f>IF(ISBLANK(K719),IFERROR(VLOOKUP(I719,FS_input_data!$C$107:$N$306,Export!J719,FALSE),""),K719)</f>
        <v>176</v>
      </c>
      <c r="D719" s="6" t="b">
        <v>1</v>
      </c>
      <c r="E719" t="s">
        <v>1561</v>
      </c>
      <c r="F719" s="6"/>
      <c r="G719" s="6"/>
      <c r="H719" s="6" t="s">
        <v>2211</v>
      </c>
      <c r="I719" t="s">
        <v>1192</v>
      </c>
      <c r="J719">
        <v>4</v>
      </c>
      <c r="L719" s="9" t="e">
        <f t="shared" si="23"/>
        <v>#VALUE!</v>
      </c>
    </row>
    <row r="720" spans="1:12" x14ac:dyDescent="0.35">
      <c r="A720">
        <f t="shared" si="24"/>
        <v>719</v>
      </c>
      <c r="B720" t="s">
        <v>112</v>
      </c>
      <c r="C720" s="109" t="str">
        <f>IF(ISBLANK(K720),IFERROR(VLOOKUP(I720,FS_input_data!$C$107:$N$306,Export!J720,FALSE),""),K720)</f>
        <v/>
      </c>
      <c r="D720" s="6"/>
      <c r="E720" t="s">
        <v>1561</v>
      </c>
      <c r="F720" s="6"/>
      <c r="G720" s="6"/>
      <c r="H720" s="6" t="s">
        <v>2211</v>
      </c>
      <c r="I720" t="s">
        <v>1561</v>
      </c>
      <c r="J720" t="s">
        <v>1561</v>
      </c>
      <c r="L720">
        <f t="shared" si="23"/>
        <v>1</v>
      </c>
    </row>
    <row r="721" spans="1:12" x14ac:dyDescent="0.35">
      <c r="A721">
        <f t="shared" si="24"/>
        <v>720</v>
      </c>
      <c r="B721" t="s">
        <v>260</v>
      </c>
      <c r="C721" s="109" t="str">
        <f>IF(ISBLANK(K721),IFERROR(VLOOKUP(I721,FS_input_data!$C$107:$N$306,Export!J721,FALSE),""),K721)</f>
        <v/>
      </c>
      <c r="D721" s="6"/>
      <c r="E721" t="s">
        <v>1561</v>
      </c>
      <c r="F721" s="6"/>
      <c r="G721" s="6"/>
      <c r="H721" s="6" t="s">
        <v>2211</v>
      </c>
      <c r="I721" t="s">
        <v>1561</v>
      </c>
      <c r="J721" t="s">
        <v>1561</v>
      </c>
      <c r="L721">
        <f t="shared" si="23"/>
        <v>1</v>
      </c>
    </row>
    <row r="722" spans="1:12" x14ac:dyDescent="0.35">
      <c r="A722">
        <f t="shared" si="24"/>
        <v>721</v>
      </c>
      <c r="B722" t="s">
        <v>261</v>
      </c>
      <c r="C722" s="109" t="str">
        <f>IF(ISBLANK(K722),IFERROR(VLOOKUP(I722,FS_input_data!$C$107:$N$306,Export!J722,FALSE),""),K722)</f>
        <v/>
      </c>
      <c r="D722" s="6"/>
      <c r="E722" t="s">
        <v>1063</v>
      </c>
      <c r="F722" s="6"/>
      <c r="G722" s="6"/>
      <c r="H722" s="6" t="s">
        <v>2211</v>
      </c>
      <c r="I722" t="s">
        <v>1561</v>
      </c>
      <c r="J722" t="s">
        <v>1561</v>
      </c>
      <c r="L722" s="26" t="e">
        <f t="shared" si="23"/>
        <v>#VALUE!</v>
      </c>
    </row>
    <row r="723" spans="1:12" x14ac:dyDescent="0.35">
      <c r="A723" s="9">
        <f t="shared" si="24"/>
        <v>722</v>
      </c>
      <c r="B723" t="s">
        <v>109</v>
      </c>
      <c r="C723" s="109">
        <f>IF(ISBLANK(K723),IFERROR(VLOOKUP(I723,FS_input_data!$C$107:$N$306,Export!J723,FALSE),""),K723)</f>
        <v>77</v>
      </c>
      <c r="D723" s="6" t="b">
        <v>1</v>
      </c>
      <c r="E723" t="s">
        <v>1561</v>
      </c>
      <c r="F723" s="6"/>
      <c r="G723" s="6"/>
      <c r="H723" s="6" t="s">
        <v>2211</v>
      </c>
      <c r="I723" t="s">
        <v>1194</v>
      </c>
      <c r="J723">
        <v>3</v>
      </c>
      <c r="L723" s="9" t="e">
        <f t="shared" si="23"/>
        <v>#VALUE!</v>
      </c>
    </row>
    <row r="724" spans="1:12" x14ac:dyDescent="0.35">
      <c r="A724">
        <f t="shared" si="24"/>
        <v>723</v>
      </c>
      <c r="B724" t="s">
        <v>110</v>
      </c>
      <c r="C724" s="109" t="str">
        <f>IF(ISBLANK(K724),IFERROR(VLOOKUP(I724,FS_input_data!$C$107:$N$306,Export!J724,FALSE),""),K724)</f>
        <v/>
      </c>
      <c r="D724" s="6"/>
      <c r="F724" s="6"/>
      <c r="G724" s="6"/>
      <c r="H724" s="6" t="s">
        <v>2211</v>
      </c>
      <c r="I724" t="s">
        <v>1561</v>
      </c>
      <c r="J724" t="s">
        <v>1561</v>
      </c>
      <c r="L724">
        <f t="shared" si="23"/>
        <v>1</v>
      </c>
    </row>
    <row r="725" spans="1:12" x14ac:dyDescent="0.35">
      <c r="A725" s="9">
        <f t="shared" si="24"/>
        <v>724</v>
      </c>
      <c r="B725" t="s">
        <v>111</v>
      </c>
      <c r="C725" s="109">
        <f>IF(ISBLANK(K725),IFERROR(VLOOKUP(I725,FS_input_data!$C$107:$N$306,Export!J725,FALSE),""),K725)</f>
        <v>177</v>
      </c>
      <c r="D725" s="6" t="b">
        <v>1</v>
      </c>
      <c r="E725" t="s">
        <v>1561</v>
      </c>
      <c r="F725" s="6"/>
      <c r="G725" s="6"/>
      <c r="H725" s="6" t="s">
        <v>2211</v>
      </c>
      <c r="I725" t="s">
        <v>1194</v>
      </c>
      <c r="J725">
        <v>4</v>
      </c>
      <c r="L725" s="9" t="e">
        <f t="shared" si="23"/>
        <v>#VALUE!</v>
      </c>
    </row>
    <row r="726" spans="1:12" x14ac:dyDescent="0.35">
      <c r="A726">
        <f t="shared" si="24"/>
        <v>725</v>
      </c>
      <c r="B726" t="s">
        <v>112</v>
      </c>
      <c r="C726" s="109" t="str">
        <f>IF(ISBLANK(K726),IFERROR(VLOOKUP(I726,FS_input_data!$C$107:$N$306,Export!J726,FALSE),""),K726)</f>
        <v/>
      </c>
      <c r="D726" s="6"/>
      <c r="E726" t="s">
        <v>1561</v>
      </c>
      <c r="F726" s="6"/>
      <c r="G726" s="6"/>
      <c r="H726" s="6" t="s">
        <v>2211</v>
      </c>
      <c r="I726" t="s">
        <v>1561</v>
      </c>
      <c r="J726" t="s">
        <v>1561</v>
      </c>
      <c r="L726">
        <f t="shared" si="23"/>
        <v>1</v>
      </c>
    </row>
    <row r="727" spans="1:12" x14ac:dyDescent="0.35">
      <c r="A727">
        <f t="shared" si="24"/>
        <v>726</v>
      </c>
      <c r="B727" t="s">
        <v>262</v>
      </c>
      <c r="C727" s="109" t="str">
        <f>IF(ISBLANK(K727),IFERROR(VLOOKUP(I727,FS_input_data!$C$107:$N$306,Export!J727,FALSE),""),K727)</f>
        <v/>
      </c>
      <c r="D727" s="6"/>
      <c r="E727" t="s">
        <v>1561</v>
      </c>
      <c r="F727" s="6"/>
      <c r="G727" s="6"/>
      <c r="H727" s="6" t="s">
        <v>2211</v>
      </c>
      <c r="I727" t="s">
        <v>1561</v>
      </c>
      <c r="J727" t="s">
        <v>1561</v>
      </c>
      <c r="L727">
        <f t="shared" si="23"/>
        <v>1</v>
      </c>
    </row>
    <row r="728" spans="1:12" x14ac:dyDescent="0.35">
      <c r="A728">
        <f t="shared" si="24"/>
        <v>727</v>
      </c>
      <c r="B728" t="s">
        <v>263</v>
      </c>
      <c r="C728" s="109" t="str">
        <f>IF(ISBLANK(K728),IFERROR(VLOOKUP(I728,FS_input_data!$C$107:$N$306,Export!J728,FALSE),""),K728)</f>
        <v/>
      </c>
      <c r="D728" s="6"/>
      <c r="E728" t="s">
        <v>1066</v>
      </c>
      <c r="F728" s="6"/>
      <c r="G728" s="6"/>
      <c r="H728" s="6" t="s">
        <v>2211</v>
      </c>
      <c r="I728" t="s">
        <v>1561</v>
      </c>
      <c r="J728" t="s">
        <v>1561</v>
      </c>
      <c r="L728" s="26" t="e">
        <f t="shared" si="23"/>
        <v>#VALUE!</v>
      </c>
    </row>
    <row r="729" spans="1:12" x14ac:dyDescent="0.35">
      <c r="A729" s="9">
        <f t="shared" si="24"/>
        <v>728</v>
      </c>
      <c r="B729" t="s">
        <v>109</v>
      </c>
      <c r="C729" s="109">
        <f>IF(ISBLANK(K729),IFERROR(VLOOKUP(I729,FS_input_data!$C$107:$N$306,Export!J729,FALSE),""),K729)</f>
        <v>78</v>
      </c>
      <c r="D729" s="6" t="b">
        <v>1</v>
      </c>
      <c r="E729" t="s">
        <v>1561</v>
      </c>
      <c r="F729" s="6"/>
      <c r="G729" s="6"/>
      <c r="H729" s="6" t="s">
        <v>2211</v>
      </c>
      <c r="I729" t="s">
        <v>1196</v>
      </c>
      <c r="J729">
        <v>3</v>
      </c>
      <c r="L729" s="9" t="e">
        <f t="shared" si="23"/>
        <v>#VALUE!</v>
      </c>
    </row>
    <row r="730" spans="1:12" x14ac:dyDescent="0.35">
      <c r="A730">
        <f t="shared" si="24"/>
        <v>729</v>
      </c>
      <c r="B730" t="s">
        <v>110</v>
      </c>
      <c r="C730" s="109" t="str">
        <f>IF(ISBLANK(K730),IFERROR(VLOOKUP(I730,FS_input_data!$C$107:$N$306,Export!J730,FALSE),""),K730)</f>
        <v/>
      </c>
      <c r="D730" s="6"/>
      <c r="F730" s="6"/>
      <c r="G730" s="6"/>
      <c r="H730" s="6" t="s">
        <v>2211</v>
      </c>
      <c r="I730" t="s">
        <v>1561</v>
      </c>
      <c r="J730" t="s">
        <v>1561</v>
      </c>
      <c r="L730">
        <f t="shared" si="23"/>
        <v>1</v>
      </c>
    </row>
    <row r="731" spans="1:12" x14ac:dyDescent="0.35">
      <c r="A731" s="9">
        <f t="shared" si="24"/>
        <v>730</v>
      </c>
      <c r="B731" t="s">
        <v>111</v>
      </c>
      <c r="C731" s="109">
        <f>IF(ISBLANK(K731),IFERROR(VLOOKUP(I731,FS_input_data!$C$107:$N$306,Export!J731,FALSE),""),K731)</f>
        <v>178</v>
      </c>
      <c r="D731" s="6" t="b">
        <v>1</v>
      </c>
      <c r="E731" t="s">
        <v>1561</v>
      </c>
      <c r="F731" s="6"/>
      <c r="G731" s="6"/>
      <c r="H731" s="6" t="s">
        <v>2211</v>
      </c>
      <c r="I731" t="s">
        <v>1196</v>
      </c>
      <c r="J731">
        <v>4</v>
      </c>
      <c r="L731" s="9" t="e">
        <f t="shared" si="23"/>
        <v>#VALUE!</v>
      </c>
    </row>
    <row r="732" spans="1:12" x14ac:dyDescent="0.35">
      <c r="A732">
        <f t="shared" si="24"/>
        <v>731</v>
      </c>
      <c r="B732" t="s">
        <v>112</v>
      </c>
      <c r="C732" s="109" t="str">
        <f>IF(ISBLANK(K732),IFERROR(VLOOKUP(I732,FS_input_data!$C$107:$N$306,Export!J732,FALSE),""),K732)</f>
        <v/>
      </c>
      <c r="D732" s="6"/>
      <c r="E732" t="s">
        <v>1561</v>
      </c>
      <c r="F732" s="6"/>
      <c r="G732" s="6"/>
      <c r="H732" s="6" t="s">
        <v>2211</v>
      </c>
      <c r="I732" t="s">
        <v>1561</v>
      </c>
      <c r="J732" t="s">
        <v>1561</v>
      </c>
      <c r="L732">
        <f t="shared" si="23"/>
        <v>1</v>
      </c>
    </row>
    <row r="733" spans="1:12" x14ac:dyDescent="0.35">
      <c r="A733">
        <f t="shared" si="24"/>
        <v>732</v>
      </c>
      <c r="B733" t="s">
        <v>264</v>
      </c>
      <c r="C733" s="109" t="str">
        <f>IF(ISBLANK(K733),IFERROR(VLOOKUP(I733,FS_input_data!$C$107:$N$306,Export!J733,FALSE),""),K733)</f>
        <v/>
      </c>
      <c r="D733" s="6"/>
      <c r="E733" t="s">
        <v>1561</v>
      </c>
      <c r="F733" s="6"/>
      <c r="G733" s="6"/>
      <c r="H733" s="6" t="s">
        <v>2211</v>
      </c>
      <c r="I733" t="s">
        <v>1561</v>
      </c>
      <c r="J733" t="s">
        <v>1561</v>
      </c>
      <c r="L733">
        <f t="shared" si="23"/>
        <v>1</v>
      </c>
    </row>
    <row r="734" spans="1:12" x14ac:dyDescent="0.35">
      <c r="A734">
        <f t="shared" si="24"/>
        <v>733</v>
      </c>
      <c r="B734" t="s">
        <v>265</v>
      </c>
      <c r="C734" s="109" t="str">
        <f>IF(ISBLANK(K734),IFERROR(VLOOKUP(I734,FS_input_data!$C$107:$N$306,Export!J734,FALSE),""),K734)</f>
        <v/>
      </c>
      <c r="D734" s="6"/>
      <c r="E734" t="s">
        <v>1187</v>
      </c>
      <c r="F734" s="6"/>
      <c r="G734" s="6"/>
      <c r="H734" s="6" t="s">
        <v>2211</v>
      </c>
      <c r="I734" t="s">
        <v>1561</v>
      </c>
      <c r="J734" t="s">
        <v>1561</v>
      </c>
      <c r="L734" s="26" t="e">
        <f t="shared" si="23"/>
        <v>#VALUE!</v>
      </c>
    </row>
    <row r="735" spans="1:12" x14ac:dyDescent="0.35">
      <c r="A735" s="9">
        <f t="shared" si="24"/>
        <v>734</v>
      </c>
      <c r="B735" t="s">
        <v>109</v>
      </c>
      <c r="C735" s="109">
        <f>IF(ISBLANK(K735),IFERROR(VLOOKUP(I735,FS_input_data!$C$107:$N$306,Export!J735,FALSE),""),K735)</f>
        <v>79</v>
      </c>
      <c r="D735" s="6" t="b">
        <v>1</v>
      </c>
      <c r="E735" t="s">
        <v>1561</v>
      </c>
      <c r="F735" s="6"/>
      <c r="G735" s="6"/>
      <c r="H735" s="6" t="s">
        <v>2211</v>
      </c>
      <c r="I735" t="s">
        <v>1198</v>
      </c>
      <c r="J735">
        <v>3</v>
      </c>
      <c r="L735" s="9" t="e">
        <f t="shared" si="23"/>
        <v>#VALUE!</v>
      </c>
    </row>
    <row r="736" spans="1:12" x14ac:dyDescent="0.35">
      <c r="A736">
        <f t="shared" si="24"/>
        <v>735</v>
      </c>
      <c r="B736" t="s">
        <v>110</v>
      </c>
      <c r="C736" s="109" t="str">
        <f>IF(ISBLANK(K736),IFERROR(VLOOKUP(I736,FS_input_data!$C$107:$N$306,Export!J736,FALSE),""),K736)</f>
        <v/>
      </c>
      <c r="D736" s="6"/>
      <c r="F736" s="6"/>
      <c r="G736" s="6"/>
      <c r="H736" s="6" t="s">
        <v>2211</v>
      </c>
      <c r="I736" t="s">
        <v>1561</v>
      </c>
      <c r="J736" t="s">
        <v>1561</v>
      </c>
      <c r="L736">
        <f t="shared" si="23"/>
        <v>1</v>
      </c>
    </row>
    <row r="737" spans="1:12" x14ac:dyDescent="0.35">
      <c r="A737" s="9">
        <f t="shared" si="24"/>
        <v>736</v>
      </c>
      <c r="B737" t="s">
        <v>111</v>
      </c>
      <c r="C737" s="109">
        <f>IF(ISBLANK(K737),IFERROR(VLOOKUP(I737,FS_input_data!$C$107:$N$306,Export!J737,FALSE),""),K737)</f>
        <v>179</v>
      </c>
      <c r="D737" s="6" t="b">
        <v>1</v>
      </c>
      <c r="E737" t="s">
        <v>1561</v>
      </c>
      <c r="F737" s="6"/>
      <c r="G737" s="6"/>
      <c r="H737" s="6" t="s">
        <v>2211</v>
      </c>
      <c r="I737" t="s">
        <v>1198</v>
      </c>
      <c r="J737">
        <v>4</v>
      </c>
      <c r="L737" s="9" t="e">
        <f t="shared" si="23"/>
        <v>#VALUE!</v>
      </c>
    </row>
    <row r="738" spans="1:12" x14ac:dyDescent="0.35">
      <c r="A738">
        <f t="shared" si="24"/>
        <v>737</v>
      </c>
      <c r="B738" t="s">
        <v>112</v>
      </c>
      <c r="C738" s="109" t="str">
        <f>IF(ISBLANK(K738),IFERROR(VLOOKUP(I738,FS_input_data!$C$107:$N$306,Export!J738,FALSE),""),K738)</f>
        <v/>
      </c>
      <c r="D738" s="6"/>
      <c r="E738" t="s">
        <v>1561</v>
      </c>
      <c r="F738" s="6"/>
      <c r="G738" s="6"/>
      <c r="H738" s="6" t="s">
        <v>2211</v>
      </c>
      <c r="I738" t="s">
        <v>1561</v>
      </c>
      <c r="J738" t="s">
        <v>1561</v>
      </c>
      <c r="L738">
        <f t="shared" si="23"/>
        <v>1</v>
      </c>
    </row>
    <row r="739" spans="1:12" x14ac:dyDescent="0.35">
      <c r="A739">
        <f t="shared" si="24"/>
        <v>738</v>
      </c>
      <c r="B739" t="s">
        <v>266</v>
      </c>
      <c r="C739" s="109" t="str">
        <f>IF(ISBLANK(K739),IFERROR(VLOOKUP(I739,FS_input_data!$C$107:$N$306,Export!J739,FALSE),""),K739)</f>
        <v/>
      </c>
      <c r="D739" s="6"/>
      <c r="E739" t="s">
        <v>1561</v>
      </c>
      <c r="F739" s="6"/>
      <c r="G739" s="6"/>
      <c r="H739" s="6" t="s">
        <v>2211</v>
      </c>
      <c r="I739" t="s">
        <v>1561</v>
      </c>
      <c r="J739" t="s">
        <v>1561</v>
      </c>
      <c r="L739">
        <f t="shared" si="23"/>
        <v>1</v>
      </c>
    </row>
    <row r="740" spans="1:12" x14ac:dyDescent="0.35">
      <c r="A740">
        <f t="shared" si="24"/>
        <v>739</v>
      </c>
      <c r="B740" t="s">
        <v>267</v>
      </c>
      <c r="C740" s="109" t="str">
        <f>IF(ISBLANK(K740),IFERROR(VLOOKUP(I740,FS_input_data!$C$107:$N$306,Export!J740,FALSE),""),K740)</f>
        <v/>
      </c>
      <c r="D740" s="6"/>
      <c r="E740" t="s">
        <v>1561</v>
      </c>
      <c r="F740" s="6"/>
      <c r="G740" s="6"/>
      <c r="H740" s="6" t="s">
        <v>2211</v>
      </c>
      <c r="I740" t="s">
        <v>1561</v>
      </c>
      <c r="J740" t="s">
        <v>1561</v>
      </c>
      <c r="L740">
        <f t="shared" si="23"/>
        <v>1</v>
      </c>
    </row>
    <row r="741" spans="1:12" x14ac:dyDescent="0.35">
      <c r="A741">
        <f t="shared" si="24"/>
        <v>740</v>
      </c>
      <c r="B741" t="s">
        <v>268</v>
      </c>
      <c r="C741" s="109" t="str">
        <f>IF(ISBLANK(K741),IFERROR(VLOOKUP(I741,FS_input_data!$C$107:$N$306,Export!J741,FALSE),""),K741)</f>
        <v/>
      </c>
      <c r="D741" s="6"/>
      <c r="E741" t="s">
        <v>1201</v>
      </c>
      <c r="F741" s="6"/>
      <c r="G741" s="6"/>
      <c r="H741" s="6" t="s">
        <v>2211</v>
      </c>
      <c r="I741" t="s">
        <v>1561</v>
      </c>
      <c r="J741" t="s">
        <v>1561</v>
      </c>
      <c r="L741" s="26" t="e">
        <f t="shared" si="23"/>
        <v>#VALUE!</v>
      </c>
    </row>
    <row r="742" spans="1:12" x14ac:dyDescent="0.35">
      <c r="A742" s="9">
        <f t="shared" si="24"/>
        <v>741</v>
      </c>
      <c r="B742" t="s">
        <v>109</v>
      </c>
      <c r="C742" s="109">
        <f>IF(ISBLANK(K742),IFERROR(VLOOKUP(I742,FS_input_data!$C$107:$N$306,Export!J742,FALSE),""),K742)</f>
        <v>246</v>
      </c>
      <c r="D742" s="6" t="b">
        <v>1</v>
      </c>
      <c r="E742" t="s">
        <v>1561</v>
      </c>
      <c r="F742" s="6"/>
      <c r="G742" s="6"/>
      <c r="H742" s="6" t="s">
        <v>2211</v>
      </c>
      <c r="I742" t="s">
        <v>1200</v>
      </c>
      <c r="J742">
        <v>3</v>
      </c>
      <c r="L742" s="9" t="e">
        <f t="shared" si="23"/>
        <v>#VALUE!</v>
      </c>
    </row>
    <row r="743" spans="1:12" x14ac:dyDescent="0.35">
      <c r="A743">
        <f t="shared" si="24"/>
        <v>742</v>
      </c>
      <c r="B743" t="s">
        <v>110</v>
      </c>
      <c r="C743" s="109" t="str">
        <f>IF(ISBLANK(K743),IFERROR(VLOOKUP(I743,FS_input_data!$C$107:$N$306,Export!J743,FALSE),""),K743)</f>
        <v/>
      </c>
      <c r="D743" s="6"/>
      <c r="F743" s="6"/>
      <c r="G743" s="6"/>
      <c r="H743" s="6" t="s">
        <v>2211</v>
      </c>
      <c r="I743" t="s">
        <v>1561</v>
      </c>
      <c r="J743" t="s">
        <v>1561</v>
      </c>
      <c r="L743">
        <f t="shared" si="23"/>
        <v>1</v>
      </c>
    </row>
    <row r="744" spans="1:12" x14ac:dyDescent="0.35">
      <c r="A744" s="9">
        <f t="shared" si="24"/>
        <v>743</v>
      </c>
      <c r="B744" t="s">
        <v>111</v>
      </c>
      <c r="C744" s="109">
        <f>IF(ISBLANK(K744),IFERROR(VLOOKUP(I744,FS_input_data!$C$107:$N$306,Export!J744,FALSE),""),K744)</f>
        <v>546</v>
      </c>
      <c r="D744" s="6" t="b">
        <v>1</v>
      </c>
      <c r="E744" t="s">
        <v>1561</v>
      </c>
      <c r="F744" s="6"/>
      <c r="G744" s="6"/>
      <c r="H744" s="6" t="s">
        <v>2211</v>
      </c>
      <c r="I744" t="s">
        <v>1200</v>
      </c>
      <c r="J744">
        <v>4</v>
      </c>
      <c r="L744" s="9" t="e">
        <f t="shared" si="23"/>
        <v>#VALUE!</v>
      </c>
    </row>
    <row r="745" spans="1:12" x14ac:dyDescent="0.35">
      <c r="A745">
        <f t="shared" si="24"/>
        <v>744</v>
      </c>
      <c r="B745" t="s">
        <v>112</v>
      </c>
      <c r="C745" s="109" t="str">
        <f>IF(ISBLANK(K745),IFERROR(VLOOKUP(I745,FS_input_data!$C$107:$N$306,Export!J745,FALSE),""),K745)</f>
        <v/>
      </c>
      <c r="D745" s="6"/>
      <c r="E745" t="s">
        <v>1561</v>
      </c>
      <c r="F745" s="6"/>
      <c r="G745" s="6"/>
      <c r="H745" s="6" t="s">
        <v>2211</v>
      </c>
      <c r="I745" t="s">
        <v>1561</v>
      </c>
      <c r="J745" t="s">
        <v>1561</v>
      </c>
      <c r="L745">
        <f t="shared" si="23"/>
        <v>1</v>
      </c>
    </row>
    <row r="746" spans="1:12" x14ac:dyDescent="0.35">
      <c r="A746">
        <f t="shared" si="24"/>
        <v>745</v>
      </c>
      <c r="B746" t="s">
        <v>269</v>
      </c>
      <c r="C746" s="109" t="str">
        <f>IF(ISBLANK(K746),IFERROR(VLOOKUP(I746,FS_input_data!$C$107:$N$306,Export!J746,FALSE),""),K746)</f>
        <v/>
      </c>
      <c r="D746" s="6"/>
      <c r="E746" t="s">
        <v>1204</v>
      </c>
      <c r="F746" s="6"/>
      <c r="G746" s="6"/>
      <c r="H746" s="6" t="s">
        <v>2211</v>
      </c>
      <c r="I746" t="s">
        <v>1561</v>
      </c>
      <c r="J746" t="s">
        <v>1561</v>
      </c>
      <c r="L746" s="26" t="e">
        <f t="shared" si="23"/>
        <v>#VALUE!</v>
      </c>
    </row>
    <row r="747" spans="1:12" x14ac:dyDescent="0.35">
      <c r="A747" s="9">
        <f t="shared" si="24"/>
        <v>746</v>
      </c>
      <c r="B747" t="s">
        <v>109</v>
      </c>
      <c r="C747" s="109">
        <f>IF(ISBLANK(K747),IFERROR(VLOOKUP(I747,FS_input_data!$C$107:$N$306,Export!J747,FALSE),""),K747)</f>
        <v>81</v>
      </c>
      <c r="D747" s="6" t="b">
        <v>1</v>
      </c>
      <c r="E747" t="s">
        <v>1561</v>
      </c>
      <c r="F747" s="6"/>
      <c r="G747" s="6"/>
      <c r="H747" s="6" t="s">
        <v>2211</v>
      </c>
      <c r="I747" t="s">
        <v>1203</v>
      </c>
      <c r="J747">
        <v>3</v>
      </c>
      <c r="L747" s="9" t="e">
        <f t="shared" si="23"/>
        <v>#VALUE!</v>
      </c>
    </row>
    <row r="748" spans="1:12" x14ac:dyDescent="0.35">
      <c r="A748">
        <f t="shared" si="24"/>
        <v>747</v>
      </c>
      <c r="B748" t="s">
        <v>110</v>
      </c>
      <c r="C748" s="109" t="str">
        <f>IF(ISBLANK(K748),IFERROR(VLOOKUP(I748,FS_input_data!$C$107:$N$306,Export!J748,FALSE),""),K748)</f>
        <v/>
      </c>
      <c r="D748" s="6"/>
      <c r="F748" s="6"/>
      <c r="G748" s="6"/>
      <c r="H748" s="6" t="s">
        <v>2211</v>
      </c>
      <c r="I748" t="s">
        <v>1561</v>
      </c>
      <c r="J748" t="s">
        <v>1561</v>
      </c>
      <c r="L748">
        <f t="shared" si="23"/>
        <v>1</v>
      </c>
    </row>
    <row r="749" spans="1:12" x14ac:dyDescent="0.35">
      <c r="A749" s="9">
        <f t="shared" si="24"/>
        <v>748</v>
      </c>
      <c r="B749" t="s">
        <v>111</v>
      </c>
      <c r="C749" s="109">
        <f>IF(ISBLANK(K749),IFERROR(VLOOKUP(I749,FS_input_data!$C$107:$N$306,Export!J749,FALSE),""),K749)</f>
        <v>181</v>
      </c>
      <c r="D749" s="6" t="b">
        <v>1</v>
      </c>
      <c r="F749" s="6"/>
      <c r="G749" s="6"/>
      <c r="H749" s="6" t="s">
        <v>2211</v>
      </c>
      <c r="I749" t="s">
        <v>1203</v>
      </c>
      <c r="J749">
        <v>4</v>
      </c>
      <c r="L749" s="9" t="e">
        <f t="shared" si="23"/>
        <v>#VALUE!</v>
      </c>
    </row>
    <row r="750" spans="1:12" x14ac:dyDescent="0.35">
      <c r="A750">
        <f t="shared" si="24"/>
        <v>749</v>
      </c>
      <c r="B750" t="s">
        <v>112</v>
      </c>
      <c r="C750" s="109" t="str">
        <f>IF(ISBLANK(K750),IFERROR(VLOOKUP(I750,FS_input_data!$C$107:$N$306,Export!J750,FALSE),""),K750)</f>
        <v/>
      </c>
      <c r="D750" s="6"/>
      <c r="E750" t="s">
        <v>1561</v>
      </c>
      <c r="F750" s="6"/>
      <c r="G750" s="6"/>
      <c r="H750" s="6" t="s">
        <v>2211</v>
      </c>
      <c r="I750" t="s">
        <v>1561</v>
      </c>
      <c r="J750" t="s">
        <v>1561</v>
      </c>
      <c r="L750">
        <f t="shared" si="23"/>
        <v>1</v>
      </c>
    </row>
    <row r="751" spans="1:12" x14ac:dyDescent="0.35">
      <c r="A751">
        <f t="shared" si="24"/>
        <v>750</v>
      </c>
      <c r="B751" t="s">
        <v>270</v>
      </c>
      <c r="C751" s="109" t="str">
        <f>IF(ISBLANK(K751),IFERROR(VLOOKUP(I751,FS_input_data!$C$107:$N$306,Export!J751,FALSE),""),K751)</f>
        <v/>
      </c>
      <c r="D751" s="6"/>
      <c r="E751" t="s">
        <v>1561</v>
      </c>
      <c r="F751" s="6"/>
      <c r="G751" s="6"/>
      <c r="H751" s="6" t="s">
        <v>2211</v>
      </c>
      <c r="I751" t="s">
        <v>1561</v>
      </c>
      <c r="J751" t="s">
        <v>1561</v>
      </c>
      <c r="L751">
        <f t="shared" si="23"/>
        <v>1</v>
      </c>
    </row>
    <row r="752" spans="1:12" x14ac:dyDescent="0.35">
      <c r="A752">
        <f t="shared" si="24"/>
        <v>751</v>
      </c>
      <c r="B752" t="s">
        <v>271</v>
      </c>
      <c r="C752" s="109" t="str">
        <f>IF(ISBLANK(K752),IFERROR(VLOOKUP(I752,FS_input_data!$C$107:$N$306,Export!J752,FALSE),""),K752)</f>
        <v/>
      </c>
      <c r="D752" s="6"/>
      <c r="E752" t="s">
        <v>1207</v>
      </c>
      <c r="F752" s="6"/>
      <c r="G752" s="6"/>
      <c r="H752" s="6" t="s">
        <v>2211</v>
      </c>
      <c r="I752" t="s">
        <v>1561</v>
      </c>
      <c r="J752" t="s">
        <v>1561</v>
      </c>
      <c r="L752" s="26" t="e">
        <f t="shared" si="23"/>
        <v>#VALUE!</v>
      </c>
    </row>
    <row r="753" spans="1:12" x14ac:dyDescent="0.35">
      <c r="A753" s="9">
        <f t="shared" si="24"/>
        <v>752</v>
      </c>
      <c r="B753" t="s">
        <v>109</v>
      </c>
      <c r="C753" s="109">
        <f>IF(ISBLANK(K753),IFERROR(VLOOKUP(I753,FS_input_data!$C$107:$N$306,Export!J753,FALSE),""),K753)</f>
        <v>82</v>
      </c>
      <c r="D753" s="6" t="b">
        <v>1</v>
      </c>
      <c r="E753" t="s">
        <v>1561</v>
      </c>
      <c r="F753" s="6"/>
      <c r="G753" s="6"/>
      <c r="H753" s="6" t="s">
        <v>2211</v>
      </c>
      <c r="I753" t="s">
        <v>1206</v>
      </c>
      <c r="J753">
        <v>3</v>
      </c>
      <c r="L753" s="9" t="e">
        <f t="shared" si="23"/>
        <v>#VALUE!</v>
      </c>
    </row>
    <row r="754" spans="1:12" x14ac:dyDescent="0.35">
      <c r="A754">
        <f t="shared" si="24"/>
        <v>753</v>
      </c>
      <c r="B754" t="s">
        <v>110</v>
      </c>
      <c r="C754" s="109" t="str">
        <f>IF(ISBLANK(K754),IFERROR(VLOOKUP(I754,FS_input_data!$C$107:$N$306,Export!J754,FALSE),""),K754)</f>
        <v/>
      </c>
      <c r="D754" s="6"/>
      <c r="F754" s="6"/>
      <c r="G754" s="6"/>
      <c r="H754" s="6" t="s">
        <v>2211</v>
      </c>
      <c r="I754" t="s">
        <v>1561</v>
      </c>
      <c r="J754" t="s">
        <v>1561</v>
      </c>
      <c r="L754">
        <f t="shared" si="23"/>
        <v>1</v>
      </c>
    </row>
    <row r="755" spans="1:12" x14ac:dyDescent="0.35">
      <c r="A755" s="9">
        <f t="shared" si="24"/>
        <v>754</v>
      </c>
      <c r="B755" t="s">
        <v>111</v>
      </c>
      <c r="C755" s="109">
        <f>IF(ISBLANK(K755),IFERROR(VLOOKUP(I755,FS_input_data!$C$107:$N$306,Export!J755,FALSE),""),K755)</f>
        <v>182</v>
      </c>
      <c r="D755" s="6" t="b">
        <v>1</v>
      </c>
      <c r="E755" t="s">
        <v>1561</v>
      </c>
      <c r="F755" s="6"/>
      <c r="G755" s="6"/>
      <c r="H755" s="6" t="s">
        <v>2211</v>
      </c>
      <c r="I755" t="s">
        <v>1206</v>
      </c>
      <c r="J755">
        <v>4</v>
      </c>
      <c r="L755" s="9" t="e">
        <f t="shared" si="23"/>
        <v>#VALUE!</v>
      </c>
    </row>
    <row r="756" spans="1:12" x14ac:dyDescent="0.35">
      <c r="A756">
        <f t="shared" si="24"/>
        <v>755</v>
      </c>
      <c r="B756" t="s">
        <v>112</v>
      </c>
      <c r="C756" s="109" t="str">
        <f>IF(ISBLANK(K756),IFERROR(VLOOKUP(I756,FS_input_data!$C$107:$N$306,Export!J756,FALSE),""),K756)</f>
        <v/>
      </c>
      <c r="D756" s="6"/>
      <c r="E756" t="s">
        <v>1561</v>
      </c>
      <c r="F756" s="6"/>
      <c r="G756" s="6"/>
      <c r="H756" s="6" t="s">
        <v>2211</v>
      </c>
      <c r="I756" t="s">
        <v>1561</v>
      </c>
      <c r="J756" t="s">
        <v>1561</v>
      </c>
      <c r="L756">
        <f t="shared" si="23"/>
        <v>1</v>
      </c>
    </row>
    <row r="757" spans="1:12" x14ac:dyDescent="0.35">
      <c r="A757">
        <f t="shared" si="24"/>
        <v>756</v>
      </c>
      <c r="B757" t="s">
        <v>272</v>
      </c>
      <c r="C757" s="109" t="str">
        <f>IF(ISBLANK(K757),IFERROR(VLOOKUP(I757,FS_input_data!$C$107:$N$306,Export!J757,FALSE),""),K757)</f>
        <v/>
      </c>
      <c r="D757" s="6"/>
      <c r="E757" t="s">
        <v>1561</v>
      </c>
      <c r="F757" s="6"/>
      <c r="G757" s="6"/>
      <c r="H757" s="6" t="s">
        <v>2211</v>
      </c>
      <c r="I757" t="s">
        <v>1561</v>
      </c>
      <c r="J757" t="s">
        <v>1561</v>
      </c>
      <c r="L757">
        <f t="shared" si="23"/>
        <v>1</v>
      </c>
    </row>
    <row r="758" spans="1:12" x14ac:dyDescent="0.35">
      <c r="A758">
        <f t="shared" si="24"/>
        <v>757</v>
      </c>
      <c r="B758" t="s">
        <v>273</v>
      </c>
      <c r="C758" s="109" t="str">
        <f>IF(ISBLANK(K758),IFERROR(VLOOKUP(I758,FS_input_data!$C$107:$N$306,Export!J758,FALSE),""),K758)</f>
        <v/>
      </c>
      <c r="D758" s="6"/>
      <c r="E758" t="s">
        <v>1210</v>
      </c>
      <c r="F758" s="6"/>
      <c r="G758" s="6"/>
      <c r="H758" s="6" t="s">
        <v>2211</v>
      </c>
      <c r="I758" t="s">
        <v>1561</v>
      </c>
      <c r="J758" t="s">
        <v>1561</v>
      </c>
      <c r="L758" s="26" t="e">
        <f t="shared" si="23"/>
        <v>#VALUE!</v>
      </c>
    </row>
    <row r="759" spans="1:12" x14ac:dyDescent="0.35">
      <c r="A759" s="9">
        <f t="shared" si="24"/>
        <v>758</v>
      </c>
      <c r="B759" t="s">
        <v>109</v>
      </c>
      <c r="C759" s="109">
        <f>IF(ISBLANK(K759),IFERROR(VLOOKUP(I759,FS_input_data!$C$107:$N$306,Export!J759,FALSE),""),K759)</f>
        <v>83</v>
      </c>
      <c r="D759" s="6" t="b">
        <v>1</v>
      </c>
      <c r="E759" t="s">
        <v>1561</v>
      </c>
      <c r="F759" s="6"/>
      <c r="G759" s="6"/>
      <c r="H759" s="6" t="s">
        <v>2211</v>
      </c>
      <c r="I759" t="s">
        <v>1209</v>
      </c>
      <c r="J759">
        <v>3</v>
      </c>
      <c r="L759" s="9" t="e">
        <f t="shared" si="23"/>
        <v>#VALUE!</v>
      </c>
    </row>
    <row r="760" spans="1:12" x14ac:dyDescent="0.35">
      <c r="A760">
        <f t="shared" si="24"/>
        <v>759</v>
      </c>
      <c r="B760" t="s">
        <v>110</v>
      </c>
      <c r="C760" s="109" t="str">
        <f>IF(ISBLANK(K760),IFERROR(VLOOKUP(I760,FS_input_data!$C$107:$N$306,Export!J760,FALSE),""),K760)</f>
        <v/>
      </c>
      <c r="D760" s="6"/>
      <c r="F760" s="6"/>
      <c r="G760" s="6"/>
      <c r="H760" s="6" t="s">
        <v>2211</v>
      </c>
      <c r="I760" t="s">
        <v>1561</v>
      </c>
      <c r="J760" t="s">
        <v>1561</v>
      </c>
      <c r="L760">
        <f t="shared" si="23"/>
        <v>1</v>
      </c>
    </row>
    <row r="761" spans="1:12" x14ac:dyDescent="0.35">
      <c r="A761" s="9">
        <f t="shared" si="24"/>
        <v>760</v>
      </c>
      <c r="B761" t="s">
        <v>111</v>
      </c>
      <c r="C761" s="109">
        <f>IF(ISBLANK(K761),IFERROR(VLOOKUP(I761,FS_input_data!$C$107:$N$306,Export!J761,FALSE),""),K761)</f>
        <v>183</v>
      </c>
      <c r="D761" s="6" t="b">
        <v>1</v>
      </c>
      <c r="E761" t="s">
        <v>1561</v>
      </c>
      <c r="F761" s="6"/>
      <c r="G761" s="6"/>
      <c r="H761" s="6" t="s">
        <v>2211</v>
      </c>
      <c r="I761" t="s">
        <v>1209</v>
      </c>
      <c r="J761">
        <v>4</v>
      </c>
      <c r="L761" s="9" t="e">
        <f t="shared" si="23"/>
        <v>#VALUE!</v>
      </c>
    </row>
    <row r="762" spans="1:12" x14ac:dyDescent="0.35">
      <c r="A762">
        <f t="shared" si="24"/>
        <v>761</v>
      </c>
      <c r="B762" t="s">
        <v>112</v>
      </c>
      <c r="C762" s="109" t="str">
        <f>IF(ISBLANK(K762),IFERROR(VLOOKUP(I762,FS_input_data!$C$107:$N$306,Export!J762,FALSE),""),K762)</f>
        <v/>
      </c>
      <c r="D762" s="6"/>
      <c r="E762" t="s">
        <v>1561</v>
      </c>
      <c r="F762" s="6"/>
      <c r="G762" s="6"/>
      <c r="H762" s="6" t="s">
        <v>2211</v>
      </c>
      <c r="I762" t="s">
        <v>1561</v>
      </c>
      <c r="J762" t="s">
        <v>1561</v>
      </c>
      <c r="L762">
        <f t="shared" si="23"/>
        <v>1</v>
      </c>
    </row>
    <row r="763" spans="1:12" x14ac:dyDescent="0.35">
      <c r="A763">
        <f t="shared" si="24"/>
        <v>762</v>
      </c>
      <c r="B763" t="s">
        <v>274</v>
      </c>
      <c r="C763" s="109" t="str">
        <f>IF(ISBLANK(K763),IFERROR(VLOOKUP(I763,FS_input_data!$C$107:$N$306,Export!J763,FALSE),""),K763)</f>
        <v/>
      </c>
      <c r="D763" s="6"/>
      <c r="E763" t="s">
        <v>1561</v>
      </c>
      <c r="F763" s="6"/>
      <c r="G763" s="6"/>
      <c r="H763" s="6" t="s">
        <v>2211</v>
      </c>
      <c r="I763" t="s">
        <v>1561</v>
      </c>
      <c r="J763" t="s">
        <v>1561</v>
      </c>
      <c r="L763">
        <f t="shared" si="23"/>
        <v>1</v>
      </c>
    </row>
    <row r="764" spans="1:12" x14ac:dyDescent="0.35">
      <c r="A764">
        <f t="shared" si="24"/>
        <v>763</v>
      </c>
      <c r="B764" t="s">
        <v>275</v>
      </c>
      <c r="C764" s="109" t="str">
        <f>IF(ISBLANK(K764),IFERROR(VLOOKUP(I764,FS_input_data!$C$107:$N$306,Export!J764,FALSE),""),K764)</f>
        <v/>
      </c>
      <c r="D764" s="6"/>
      <c r="E764" t="s">
        <v>1561</v>
      </c>
      <c r="F764" s="6"/>
      <c r="G764" s="6"/>
      <c r="H764" s="6" t="s">
        <v>2211</v>
      </c>
      <c r="I764" t="s">
        <v>1561</v>
      </c>
      <c r="J764" t="s">
        <v>1561</v>
      </c>
      <c r="L764">
        <f t="shared" si="23"/>
        <v>1</v>
      </c>
    </row>
    <row r="765" spans="1:12" x14ac:dyDescent="0.35">
      <c r="A765">
        <f t="shared" si="24"/>
        <v>764</v>
      </c>
      <c r="B765" t="s">
        <v>276</v>
      </c>
      <c r="C765" s="109" t="str">
        <f>IF(ISBLANK(K765),IFERROR(VLOOKUP(I765,FS_input_data!$C$107:$N$306,Export!J765,FALSE),""),K765)</f>
        <v/>
      </c>
      <c r="D765" s="6"/>
      <c r="E765" t="s">
        <v>1561</v>
      </c>
      <c r="F765" s="6"/>
      <c r="G765" s="6"/>
      <c r="H765" s="6" t="s">
        <v>2211</v>
      </c>
      <c r="I765" t="s">
        <v>1561</v>
      </c>
      <c r="J765" t="s">
        <v>1561</v>
      </c>
      <c r="L765">
        <f t="shared" si="23"/>
        <v>1</v>
      </c>
    </row>
    <row r="766" spans="1:12" x14ac:dyDescent="0.35">
      <c r="A766">
        <f t="shared" si="24"/>
        <v>765</v>
      </c>
      <c r="B766" t="s">
        <v>277</v>
      </c>
      <c r="C766" s="109" t="str">
        <f>IF(ISBLANK(K766),IFERROR(VLOOKUP(I766,FS_input_data!$C$107:$N$306,Export!J766,FALSE),""),K766)</f>
        <v/>
      </c>
      <c r="D766" s="6"/>
      <c r="E766" t="s">
        <v>1213</v>
      </c>
      <c r="F766" s="6"/>
      <c r="G766" s="6"/>
      <c r="H766" s="6" t="s">
        <v>2211</v>
      </c>
      <c r="I766" t="s">
        <v>1561</v>
      </c>
      <c r="J766" t="s">
        <v>1561</v>
      </c>
      <c r="L766" s="26" t="e">
        <f t="shared" si="23"/>
        <v>#VALUE!</v>
      </c>
    </row>
    <row r="767" spans="1:12" x14ac:dyDescent="0.35">
      <c r="A767" s="9">
        <f t="shared" si="24"/>
        <v>766</v>
      </c>
      <c r="B767" t="s">
        <v>109</v>
      </c>
      <c r="C767" s="109">
        <f>IF(ISBLANK(K767),IFERROR(VLOOKUP(I767,FS_input_data!$C$107:$N$306,Export!J767,FALSE),""),K767)</f>
        <v>84</v>
      </c>
      <c r="D767" s="6" t="b">
        <v>1</v>
      </c>
      <c r="E767" t="s">
        <v>1561</v>
      </c>
      <c r="F767" s="6"/>
      <c r="G767" s="6"/>
      <c r="H767" s="6" t="s">
        <v>2211</v>
      </c>
      <c r="I767" t="s">
        <v>1212</v>
      </c>
      <c r="J767">
        <v>3</v>
      </c>
      <c r="L767" s="9" t="e">
        <f t="shared" si="23"/>
        <v>#VALUE!</v>
      </c>
    </row>
    <row r="768" spans="1:12" x14ac:dyDescent="0.35">
      <c r="A768">
        <f t="shared" si="24"/>
        <v>767</v>
      </c>
      <c r="B768" t="s">
        <v>110</v>
      </c>
      <c r="C768" s="109" t="str">
        <f>IF(ISBLANK(K768),IFERROR(VLOOKUP(I768,FS_input_data!$C$107:$N$306,Export!J768,FALSE),""),K768)</f>
        <v/>
      </c>
      <c r="D768" s="6"/>
      <c r="F768" s="6"/>
      <c r="G768" s="6"/>
      <c r="H768" s="6" t="s">
        <v>2211</v>
      </c>
      <c r="I768" t="s">
        <v>1561</v>
      </c>
      <c r="J768" t="s">
        <v>1561</v>
      </c>
      <c r="L768">
        <f t="shared" si="23"/>
        <v>1</v>
      </c>
    </row>
    <row r="769" spans="1:12" x14ac:dyDescent="0.35">
      <c r="A769" s="9">
        <f t="shared" si="24"/>
        <v>768</v>
      </c>
      <c r="B769" t="s">
        <v>111</v>
      </c>
      <c r="C769" s="109">
        <f>IF(ISBLANK(K769),IFERROR(VLOOKUP(I769,FS_input_data!$C$107:$N$306,Export!J769,FALSE),""),K769)</f>
        <v>184</v>
      </c>
      <c r="D769" s="6" t="b">
        <v>1</v>
      </c>
      <c r="E769" t="s">
        <v>1561</v>
      </c>
      <c r="F769" s="6"/>
      <c r="G769" s="6"/>
      <c r="H769" s="6" t="s">
        <v>2211</v>
      </c>
      <c r="I769" t="s">
        <v>1212</v>
      </c>
      <c r="J769">
        <v>4</v>
      </c>
      <c r="L769" s="9" t="e">
        <f t="shared" si="23"/>
        <v>#VALUE!</v>
      </c>
    </row>
    <row r="770" spans="1:12" x14ac:dyDescent="0.35">
      <c r="A770">
        <f t="shared" si="24"/>
        <v>769</v>
      </c>
      <c r="B770" t="s">
        <v>112</v>
      </c>
      <c r="C770" s="109" t="str">
        <f>IF(ISBLANK(K770),IFERROR(VLOOKUP(I770,FS_input_data!$C$107:$N$306,Export!J770,FALSE),""),K770)</f>
        <v/>
      </c>
      <c r="D770" s="6"/>
      <c r="E770" t="s">
        <v>1561</v>
      </c>
      <c r="F770" s="6"/>
      <c r="G770" s="6"/>
      <c r="H770" s="6" t="s">
        <v>2211</v>
      </c>
      <c r="I770" t="s">
        <v>1561</v>
      </c>
      <c r="J770" t="s">
        <v>1561</v>
      </c>
      <c r="L770">
        <f t="shared" ref="L770:L833" si="25">FIND("/",B770)</f>
        <v>1</v>
      </c>
    </row>
    <row r="771" spans="1:12" x14ac:dyDescent="0.35">
      <c r="A771">
        <f t="shared" ref="A771:A834" si="26">A770+1</f>
        <v>770</v>
      </c>
      <c r="B771" t="s">
        <v>278</v>
      </c>
      <c r="C771" s="109" t="str">
        <f>IF(ISBLANK(K771),IFERROR(VLOOKUP(I771,FS_input_data!$C$107:$N$306,Export!J771,FALSE),""),K771)</f>
        <v/>
      </c>
      <c r="D771" s="6"/>
      <c r="E771" t="s">
        <v>1561</v>
      </c>
      <c r="F771" s="6"/>
      <c r="G771" s="6"/>
      <c r="H771" s="6" t="s">
        <v>2211</v>
      </c>
      <c r="I771" t="s">
        <v>1561</v>
      </c>
      <c r="J771" t="s">
        <v>1561</v>
      </c>
      <c r="L771">
        <f t="shared" si="25"/>
        <v>1</v>
      </c>
    </row>
    <row r="772" spans="1:12" x14ac:dyDescent="0.35">
      <c r="A772">
        <f t="shared" si="26"/>
        <v>771</v>
      </c>
      <c r="B772" t="s">
        <v>279</v>
      </c>
      <c r="C772" s="109" t="str">
        <f>IF(ISBLANK(K772),IFERROR(VLOOKUP(I772,FS_input_data!$C$107:$N$306,Export!J772,FALSE),""),K772)</f>
        <v/>
      </c>
      <c r="D772" s="6"/>
      <c r="E772" t="s">
        <v>1561</v>
      </c>
      <c r="F772" s="6"/>
      <c r="G772" s="6"/>
      <c r="H772" s="6" t="s">
        <v>2211</v>
      </c>
      <c r="I772" t="s">
        <v>1561</v>
      </c>
      <c r="J772" t="s">
        <v>1561</v>
      </c>
      <c r="L772">
        <f t="shared" si="25"/>
        <v>1</v>
      </c>
    </row>
    <row r="773" spans="1:12" x14ac:dyDescent="0.35">
      <c r="A773">
        <f t="shared" si="26"/>
        <v>772</v>
      </c>
      <c r="B773" t="s">
        <v>280</v>
      </c>
      <c r="C773" s="109" t="str">
        <f>IF(ISBLANK(K773),IFERROR(VLOOKUP(I773,FS_input_data!$C$107:$N$306,Export!J773,FALSE),""),K773)</f>
        <v/>
      </c>
      <c r="D773" s="6"/>
      <c r="E773" t="s">
        <v>1216</v>
      </c>
      <c r="F773" s="6"/>
      <c r="G773" s="6"/>
      <c r="H773" s="6" t="s">
        <v>2211</v>
      </c>
      <c r="I773" t="s">
        <v>1561</v>
      </c>
      <c r="J773" t="s">
        <v>1561</v>
      </c>
      <c r="L773" s="26" t="e">
        <f t="shared" si="25"/>
        <v>#VALUE!</v>
      </c>
    </row>
    <row r="774" spans="1:12" x14ac:dyDescent="0.35">
      <c r="A774" s="9">
        <f t="shared" si="26"/>
        <v>773</v>
      </c>
      <c r="B774" t="s">
        <v>109</v>
      </c>
      <c r="C774" s="109">
        <f>IF(ISBLANK(K774),IFERROR(VLOOKUP(I774,FS_input_data!$C$107:$N$306,Export!J774,FALSE),""),K774)</f>
        <v>85</v>
      </c>
      <c r="D774" s="6" t="b">
        <v>1</v>
      </c>
      <c r="E774" t="s">
        <v>1561</v>
      </c>
      <c r="F774" s="6"/>
      <c r="G774" s="6"/>
      <c r="H774" s="6" t="s">
        <v>2211</v>
      </c>
      <c r="I774" t="s">
        <v>1215</v>
      </c>
      <c r="J774">
        <v>3</v>
      </c>
      <c r="L774" s="9" t="e">
        <f t="shared" si="25"/>
        <v>#VALUE!</v>
      </c>
    </row>
    <row r="775" spans="1:12" x14ac:dyDescent="0.35">
      <c r="A775">
        <f t="shared" si="26"/>
        <v>774</v>
      </c>
      <c r="B775" t="s">
        <v>110</v>
      </c>
      <c r="C775" s="109" t="str">
        <f>IF(ISBLANK(K775),IFERROR(VLOOKUP(I775,FS_input_data!$C$107:$N$306,Export!J775,FALSE),""),K775)</f>
        <v/>
      </c>
      <c r="D775" s="6"/>
      <c r="F775" s="6"/>
      <c r="G775" s="6"/>
      <c r="H775" s="6" t="s">
        <v>2211</v>
      </c>
      <c r="I775" t="s">
        <v>1561</v>
      </c>
      <c r="J775" t="s">
        <v>1561</v>
      </c>
      <c r="L775">
        <f t="shared" si="25"/>
        <v>1</v>
      </c>
    </row>
    <row r="776" spans="1:12" x14ac:dyDescent="0.35">
      <c r="A776" s="9">
        <f t="shared" si="26"/>
        <v>775</v>
      </c>
      <c r="B776" t="s">
        <v>111</v>
      </c>
      <c r="C776" s="109">
        <f>IF(ISBLANK(K776),IFERROR(VLOOKUP(I776,FS_input_data!$C$107:$N$306,Export!J776,FALSE),""),K776)</f>
        <v>185</v>
      </c>
      <c r="D776" s="6" t="b">
        <v>1</v>
      </c>
      <c r="E776" t="s">
        <v>1561</v>
      </c>
      <c r="F776" s="6"/>
      <c r="G776" s="6"/>
      <c r="H776" s="6" t="s">
        <v>2211</v>
      </c>
      <c r="I776" t="s">
        <v>1215</v>
      </c>
      <c r="J776">
        <v>4</v>
      </c>
      <c r="L776" s="9" t="e">
        <f t="shared" si="25"/>
        <v>#VALUE!</v>
      </c>
    </row>
    <row r="777" spans="1:12" x14ac:dyDescent="0.35">
      <c r="A777">
        <f t="shared" si="26"/>
        <v>776</v>
      </c>
      <c r="B777" t="s">
        <v>112</v>
      </c>
      <c r="C777" s="109" t="str">
        <f>IF(ISBLANK(K777),IFERROR(VLOOKUP(I777,FS_input_data!$C$107:$N$306,Export!J777,FALSE),""),K777)</f>
        <v/>
      </c>
      <c r="D777" s="6"/>
      <c r="E777" t="s">
        <v>1561</v>
      </c>
      <c r="F777" s="6"/>
      <c r="G777" s="6"/>
      <c r="H777" s="6" t="s">
        <v>2211</v>
      </c>
      <c r="I777" t="s">
        <v>1561</v>
      </c>
      <c r="J777" t="s">
        <v>1561</v>
      </c>
      <c r="L777">
        <f t="shared" si="25"/>
        <v>1</v>
      </c>
    </row>
    <row r="778" spans="1:12" x14ac:dyDescent="0.35">
      <c r="A778">
        <f t="shared" si="26"/>
        <v>777</v>
      </c>
      <c r="B778" t="s">
        <v>281</v>
      </c>
      <c r="C778" s="109" t="str">
        <f>IF(ISBLANK(K778),IFERROR(VLOOKUP(I778,FS_input_data!$C$107:$N$306,Export!J778,FALSE),""),K778)</f>
        <v/>
      </c>
      <c r="D778" s="6"/>
      <c r="E778" t="s">
        <v>1561</v>
      </c>
      <c r="F778" s="6"/>
      <c r="G778" s="6"/>
      <c r="H778" s="6" t="s">
        <v>2211</v>
      </c>
      <c r="I778" t="s">
        <v>1561</v>
      </c>
      <c r="J778" t="s">
        <v>1561</v>
      </c>
      <c r="L778">
        <f t="shared" si="25"/>
        <v>1</v>
      </c>
    </row>
    <row r="779" spans="1:12" x14ac:dyDescent="0.35">
      <c r="A779">
        <f t="shared" si="26"/>
        <v>778</v>
      </c>
      <c r="B779" t="s">
        <v>282</v>
      </c>
      <c r="C779" s="109" t="str">
        <f>IF(ISBLANK(K779),IFERROR(VLOOKUP(I779,FS_input_data!$C$107:$N$306,Export!J779,FALSE),""),K779)</f>
        <v/>
      </c>
      <c r="D779" s="6"/>
      <c r="E779" t="s">
        <v>1561</v>
      </c>
      <c r="F779" s="6"/>
      <c r="G779" s="6"/>
      <c r="H779" s="6" t="s">
        <v>2211</v>
      </c>
      <c r="I779" t="s">
        <v>1561</v>
      </c>
      <c r="J779" t="s">
        <v>1561</v>
      </c>
      <c r="L779">
        <f t="shared" si="25"/>
        <v>1</v>
      </c>
    </row>
    <row r="780" spans="1:12" x14ac:dyDescent="0.35">
      <c r="A780">
        <f t="shared" si="26"/>
        <v>779</v>
      </c>
      <c r="B780" t="s">
        <v>283</v>
      </c>
      <c r="C780" s="109" t="str">
        <f>IF(ISBLANK(K780),IFERROR(VLOOKUP(I780,FS_input_data!$C$107:$N$306,Export!J780,FALSE),""),K780)</f>
        <v/>
      </c>
      <c r="D780" s="6"/>
      <c r="E780" t="s">
        <v>1219</v>
      </c>
      <c r="F780" s="6"/>
      <c r="G780" s="6"/>
      <c r="H780" s="6" t="s">
        <v>2211</v>
      </c>
      <c r="I780" t="s">
        <v>1561</v>
      </c>
      <c r="J780" t="s">
        <v>1561</v>
      </c>
      <c r="L780" s="26" t="e">
        <f t="shared" si="25"/>
        <v>#VALUE!</v>
      </c>
    </row>
    <row r="781" spans="1:12" x14ac:dyDescent="0.35">
      <c r="A781" s="9">
        <f t="shared" si="26"/>
        <v>780</v>
      </c>
      <c r="B781" t="s">
        <v>109</v>
      </c>
      <c r="C781" s="109">
        <f>IF(ISBLANK(K781),IFERROR(VLOOKUP(I781,FS_input_data!$C$107:$N$306,Export!J781,FALSE),""),K781)</f>
        <v>86</v>
      </c>
      <c r="D781" s="6" t="b">
        <v>1</v>
      </c>
      <c r="E781" t="s">
        <v>1561</v>
      </c>
      <c r="F781" s="6"/>
      <c r="G781" s="6"/>
      <c r="H781" s="6" t="s">
        <v>2211</v>
      </c>
      <c r="I781" t="s">
        <v>1218</v>
      </c>
      <c r="J781">
        <v>3</v>
      </c>
      <c r="L781" s="9" t="e">
        <f t="shared" si="25"/>
        <v>#VALUE!</v>
      </c>
    </row>
    <row r="782" spans="1:12" x14ac:dyDescent="0.35">
      <c r="A782">
        <f t="shared" si="26"/>
        <v>781</v>
      </c>
      <c r="B782" t="s">
        <v>110</v>
      </c>
      <c r="C782" s="109" t="str">
        <f>IF(ISBLANK(K782),IFERROR(VLOOKUP(I782,FS_input_data!$C$107:$N$306,Export!J782,FALSE),""),K782)</f>
        <v/>
      </c>
      <c r="D782" s="6"/>
      <c r="F782" s="6"/>
      <c r="G782" s="6"/>
      <c r="H782" s="6" t="s">
        <v>2211</v>
      </c>
      <c r="I782" t="s">
        <v>1561</v>
      </c>
      <c r="J782" t="s">
        <v>1561</v>
      </c>
      <c r="L782">
        <f t="shared" si="25"/>
        <v>1</v>
      </c>
    </row>
    <row r="783" spans="1:12" x14ac:dyDescent="0.35">
      <c r="A783" s="9">
        <f t="shared" si="26"/>
        <v>782</v>
      </c>
      <c r="B783" t="s">
        <v>111</v>
      </c>
      <c r="C783" s="109">
        <f>IF(ISBLANK(K783),IFERROR(VLOOKUP(I783,FS_input_data!$C$107:$N$306,Export!J783,FALSE),""),K783)</f>
        <v>186</v>
      </c>
      <c r="D783" s="6" t="b">
        <v>1</v>
      </c>
      <c r="E783" t="s">
        <v>1561</v>
      </c>
      <c r="F783" s="6"/>
      <c r="G783" s="6"/>
      <c r="H783" s="6" t="s">
        <v>2211</v>
      </c>
      <c r="I783" t="s">
        <v>1218</v>
      </c>
      <c r="J783">
        <v>4</v>
      </c>
      <c r="L783" s="9" t="e">
        <f t="shared" si="25"/>
        <v>#VALUE!</v>
      </c>
    </row>
    <row r="784" spans="1:12" x14ac:dyDescent="0.35">
      <c r="A784">
        <f t="shared" si="26"/>
        <v>783</v>
      </c>
      <c r="B784" t="s">
        <v>112</v>
      </c>
      <c r="C784" s="109" t="str">
        <f>IF(ISBLANK(K784),IFERROR(VLOOKUP(I784,FS_input_data!$C$107:$N$306,Export!J784,FALSE),""),K784)</f>
        <v/>
      </c>
      <c r="D784" s="6"/>
      <c r="E784" t="s">
        <v>1561</v>
      </c>
      <c r="F784" s="6"/>
      <c r="G784" s="6"/>
      <c r="H784" s="6" t="s">
        <v>2211</v>
      </c>
      <c r="I784" t="s">
        <v>1561</v>
      </c>
      <c r="J784" t="s">
        <v>1561</v>
      </c>
      <c r="L784">
        <f t="shared" si="25"/>
        <v>1</v>
      </c>
    </row>
    <row r="785" spans="1:12" x14ac:dyDescent="0.35">
      <c r="A785">
        <f t="shared" si="26"/>
        <v>784</v>
      </c>
      <c r="B785" t="s">
        <v>284</v>
      </c>
      <c r="C785" s="109" t="str">
        <f>IF(ISBLANK(K785),IFERROR(VLOOKUP(I785,FS_input_data!$C$107:$N$306,Export!J785,FALSE),""),K785)</f>
        <v/>
      </c>
      <c r="D785" s="6"/>
      <c r="E785" t="s">
        <v>1561</v>
      </c>
      <c r="F785" s="6"/>
      <c r="G785" s="6"/>
      <c r="H785" s="6" t="s">
        <v>2211</v>
      </c>
      <c r="I785" t="s">
        <v>1561</v>
      </c>
      <c r="J785" t="s">
        <v>1561</v>
      </c>
      <c r="L785">
        <f t="shared" si="25"/>
        <v>1</v>
      </c>
    </row>
    <row r="786" spans="1:12" x14ac:dyDescent="0.35">
      <c r="A786">
        <f t="shared" si="26"/>
        <v>785</v>
      </c>
      <c r="B786" t="s">
        <v>285</v>
      </c>
      <c r="C786" s="109" t="str">
        <f>IF(ISBLANK(K786),IFERROR(VLOOKUP(I786,FS_input_data!$C$107:$N$306,Export!J786,FALSE),""),K786)</f>
        <v/>
      </c>
      <c r="D786" s="6"/>
      <c r="E786" t="s">
        <v>1222</v>
      </c>
      <c r="F786" s="6"/>
      <c r="G786" s="6"/>
      <c r="H786" s="6" t="s">
        <v>2211</v>
      </c>
      <c r="I786" t="s">
        <v>1561</v>
      </c>
      <c r="J786" t="s">
        <v>1561</v>
      </c>
      <c r="L786" s="26" t="e">
        <f t="shared" si="25"/>
        <v>#VALUE!</v>
      </c>
    </row>
    <row r="787" spans="1:12" x14ac:dyDescent="0.35">
      <c r="A787" s="9">
        <f t="shared" si="26"/>
        <v>786</v>
      </c>
      <c r="B787" t="s">
        <v>109</v>
      </c>
      <c r="C787" s="109">
        <f>IF(ISBLANK(K787),IFERROR(VLOOKUP(I787,FS_input_data!$C$107:$N$306,Export!J787,FALSE),""),K787)</f>
        <v>87</v>
      </c>
      <c r="D787" s="6" t="b">
        <v>1</v>
      </c>
      <c r="E787" t="s">
        <v>1561</v>
      </c>
      <c r="F787" s="6"/>
      <c r="G787" s="6"/>
      <c r="H787" s="6" t="s">
        <v>2211</v>
      </c>
      <c r="I787" t="s">
        <v>1221</v>
      </c>
      <c r="J787">
        <v>3</v>
      </c>
      <c r="L787" s="9" t="e">
        <f t="shared" si="25"/>
        <v>#VALUE!</v>
      </c>
    </row>
    <row r="788" spans="1:12" x14ac:dyDescent="0.35">
      <c r="A788">
        <f t="shared" si="26"/>
        <v>787</v>
      </c>
      <c r="B788" t="s">
        <v>110</v>
      </c>
      <c r="C788" s="109" t="str">
        <f>IF(ISBLANK(K788),IFERROR(VLOOKUP(I788,FS_input_data!$C$107:$N$306,Export!J788,FALSE),""),K788)</f>
        <v/>
      </c>
      <c r="D788" s="6"/>
      <c r="F788" s="6"/>
      <c r="G788" s="6"/>
      <c r="H788" s="6" t="s">
        <v>2211</v>
      </c>
      <c r="I788" t="s">
        <v>1561</v>
      </c>
      <c r="J788" t="s">
        <v>1561</v>
      </c>
      <c r="L788">
        <f t="shared" si="25"/>
        <v>1</v>
      </c>
    </row>
    <row r="789" spans="1:12" x14ac:dyDescent="0.35">
      <c r="A789" s="9">
        <f t="shared" si="26"/>
        <v>788</v>
      </c>
      <c r="B789" t="s">
        <v>111</v>
      </c>
      <c r="C789" s="109">
        <f>IF(ISBLANK(K789),IFERROR(VLOOKUP(I789,FS_input_data!$C$107:$N$306,Export!J789,FALSE),""),K789)</f>
        <v>187</v>
      </c>
      <c r="D789" s="6" t="b">
        <v>1</v>
      </c>
      <c r="E789" t="s">
        <v>1561</v>
      </c>
      <c r="F789" s="6"/>
      <c r="G789" s="6"/>
      <c r="H789" s="6" t="s">
        <v>2211</v>
      </c>
      <c r="I789" t="s">
        <v>1221</v>
      </c>
      <c r="J789">
        <v>4</v>
      </c>
      <c r="L789" s="9" t="e">
        <f t="shared" si="25"/>
        <v>#VALUE!</v>
      </c>
    </row>
    <row r="790" spans="1:12" x14ac:dyDescent="0.35">
      <c r="A790">
        <f t="shared" si="26"/>
        <v>789</v>
      </c>
      <c r="B790" t="s">
        <v>112</v>
      </c>
      <c r="C790" s="109" t="str">
        <f>IF(ISBLANK(K790),IFERROR(VLOOKUP(I790,FS_input_data!$C$107:$N$306,Export!J790,FALSE),""),K790)</f>
        <v/>
      </c>
      <c r="D790" s="6"/>
      <c r="E790" t="s">
        <v>1561</v>
      </c>
      <c r="F790" s="6"/>
      <c r="G790" s="6"/>
      <c r="H790" s="6" t="s">
        <v>2211</v>
      </c>
      <c r="I790" t="s">
        <v>1561</v>
      </c>
      <c r="J790" t="s">
        <v>1561</v>
      </c>
      <c r="L790">
        <f t="shared" si="25"/>
        <v>1</v>
      </c>
    </row>
    <row r="791" spans="1:12" x14ac:dyDescent="0.35">
      <c r="A791">
        <f t="shared" si="26"/>
        <v>790</v>
      </c>
      <c r="B791" t="s">
        <v>286</v>
      </c>
      <c r="C791" s="109" t="str">
        <f>IF(ISBLANK(K791),IFERROR(VLOOKUP(I791,FS_input_data!$C$107:$N$306,Export!J791,FALSE),""),K791)</f>
        <v/>
      </c>
      <c r="D791" s="6"/>
      <c r="E791" t="s">
        <v>1561</v>
      </c>
      <c r="F791" s="6"/>
      <c r="G791" s="6"/>
      <c r="H791" s="6" t="s">
        <v>2211</v>
      </c>
      <c r="I791" t="s">
        <v>1561</v>
      </c>
      <c r="J791" t="s">
        <v>1561</v>
      </c>
      <c r="L791">
        <f t="shared" si="25"/>
        <v>1</v>
      </c>
    </row>
    <row r="792" spans="1:12" x14ac:dyDescent="0.35">
      <c r="A792">
        <f t="shared" si="26"/>
        <v>791</v>
      </c>
      <c r="B792" t="s">
        <v>287</v>
      </c>
      <c r="C792" s="109" t="str">
        <f>IF(ISBLANK(K792),IFERROR(VLOOKUP(I792,FS_input_data!$C$107:$N$306,Export!J792,FALSE),""),K792)</f>
        <v/>
      </c>
      <c r="D792" s="6"/>
      <c r="E792" t="s">
        <v>1561</v>
      </c>
      <c r="F792" s="6"/>
      <c r="G792" s="6"/>
      <c r="H792" s="6" t="s">
        <v>2211</v>
      </c>
      <c r="I792" t="s">
        <v>1561</v>
      </c>
      <c r="J792" t="s">
        <v>1561</v>
      </c>
      <c r="L792">
        <f t="shared" si="25"/>
        <v>1</v>
      </c>
    </row>
    <row r="793" spans="1:12" x14ac:dyDescent="0.35">
      <c r="A793">
        <f t="shared" si="26"/>
        <v>792</v>
      </c>
      <c r="B793" t="s">
        <v>288</v>
      </c>
      <c r="C793" s="109" t="str">
        <f>IF(ISBLANK(K793),IFERROR(VLOOKUP(I793,FS_input_data!$C$107:$N$306,Export!J793,FALSE),""),K793)</f>
        <v/>
      </c>
      <c r="D793" s="6"/>
      <c r="E793" t="s">
        <v>1225</v>
      </c>
      <c r="F793" s="6"/>
      <c r="G793" s="6"/>
      <c r="H793" s="6" t="s">
        <v>2211</v>
      </c>
      <c r="I793" t="s">
        <v>1561</v>
      </c>
      <c r="J793" t="s">
        <v>1561</v>
      </c>
      <c r="L793" s="26" t="e">
        <f t="shared" si="25"/>
        <v>#VALUE!</v>
      </c>
    </row>
    <row r="794" spans="1:12" x14ac:dyDescent="0.35">
      <c r="A794" s="9">
        <f t="shared" si="26"/>
        <v>793</v>
      </c>
      <c r="B794" t="s">
        <v>109</v>
      </c>
      <c r="C794" s="109">
        <f>IF(ISBLANK(K794),IFERROR(VLOOKUP(I794,FS_input_data!$C$107:$N$306,Export!J794,FALSE),""),K794)</f>
        <v>2613</v>
      </c>
      <c r="D794" s="6" t="b">
        <v>1</v>
      </c>
      <c r="E794" t="s">
        <v>1561</v>
      </c>
      <c r="F794" s="6"/>
      <c r="G794" s="6"/>
      <c r="H794" s="6" t="s">
        <v>2211</v>
      </c>
      <c r="I794" t="s">
        <v>1387</v>
      </c>
      <c r="J794">
        <v>3</v>
      </c>
      <c r="L794" s="9" t="e">
        <f t="shared" si="25"/>
        <v>#VALUE!</v>
      </c>
    </row>
    <row r="795" spans="1:12" x14ac:dyDescent="0.35">
      <c r="A795">
        <f t="shared" si="26"/>
        <v>794</v>
      </c>
      <c r="B795" t="s">
        <v>110</v>
      </c>
      <c r="C795" s="109" t="str">
        <f>IF(ISBLANK(K795),IFERROR(VLOOKUP(I795,FS_input_data!$C$107:$N$306,Export!J795,FALSE),""),K795)</f>
        <v/>
      </c>
      <c r="D795" s="6"/>
      <c r="F795" s="6"/>
      <c r="G795" s="6"/>
      <c r="H795" s="6" t="s">
        <v>2211</v>
      </c>
      <c r="I795" t="s">
        <v>1561</v>
      </c>
      <c r="J795" t="s">
        <v>1561</v>
      </c>
      <c r="L795">
        <f t="shared" si="25"/>
        <v>1</v>
      </c>
    </row>
    <row r="796" spans="1:12" x14ac:dyDescent="0.35">
      <c r="A796" s="9">
        <f t="shared" si="26"/>
        <v>795</v>
      </c>
      <c r="B796" t="s">
        <v>111</v>
      </c>
      <c r="C796" s="109">
        <f>IF(ISBLANK(K796),IFERROR(VLOOKUP(I796,FS_input_data!$C$107:$N$306,Export!J796,FALSE),""),K796)</f>
        <v>8613</v>
      </c>
      <c r="D796" s="6" t="b">
        <v>1</v>
      </c>
      <c r="F796" s="6"/>
      <c r="G796" s="6"/>
      <c r="H796" s="6" t="s">
        <v>2211</v>
      </c>
      <c r="I796" t="s">
        <v>1387</v>
      </c>
      <c r="J796">
        <v>4</v>
      </c>
      <c r="L796" s="9" t="e">
        <f t="shared" si="25"/>
        <v>#VALUE!</v>
      </c>
    </row>
    <row r="797" spans="1:12" x14ac:dyDescent="0.35">
      <c r="A797">
        <f t="shared" si="26"/>
        <v>796</v>
      </c>
      <c r="B797" t="s">
        <v>112</v>
      </c>
      <c r="C797" s="109" t="str">
        <f>IF(ISBLANK(K797),IFERROR(VLOOKUP(I797,FS_input_data!$C$107:$N$306,Export!J797,FALSE),""),K797)</f>
        <v/>
      </c>
      <c r="D797" s="6"/>
      <c r="E797" t="s">
        <v>1561</v>
      </c>
      <c r="F797" s="6"/>
      <c r="G797" s="6"/>
      <c r="H797" s="6" t="s">
        <v>2211</v>
      </c>
      <c r="I797" t="s">
        <v>1561</v>
      </c>
      <c r="J797" t="s">
        <v>1561</v>
      </c>
      <c r="L797">
        <f t="shared" si="25"/>
        <v>1</v>
      </c>
    </row>
    <row r="798" spans="1:12" x14ac:dyDescent="0.35">
      <c r="A798">
        <f t="shared" si="26"/>
        <v>797</v>
      </c>
      <c r="B798" t="s">
        <v>289</v>
      </c>
      <c r="C798" s="109" t="str">
        <f>IF(ISBLANK(K798),IFERROR(VLOOKUP(I798,FS_input_data!$C$107:$N$306,Export!J798,FALSE),""),K798)</f>
        <v/>
      </c>
      <c r="D798" s="6"/>
      <c r="E798" t="s">
        <v>1228</v>
      </c>
      <c r="F798" s="6"/>
      <c r="G798" s="6"/>
      <c r="H798" s="6" t="s">
        <v>2211</v>
      </c>
      <c r="I798" t="s">
        <v>1561</v>
      </c>
      <c r="J798" t="s">
        <v>1561</v>
      </c>
      <c r="L798" s="26" t="e">
        <f t="shared" si="25"/>
        <v>#VALUE!</v>
      </c>
    </row>
    <row r="799" spans="1:12" x14ac:dyDescent="0.35">
      <c r="A799" s="9">
        <f t="shared" si="26"/>
        <v>798</v>
      </c>
      <c r="B799" t="s">
        <v>109</v>
      </c>
      <c r="C799" s="109">
        <f>IF(ISBLANK(K799),IFERROR(VLOOKUP(I799,FS_input_data!$C$107:$N$306,Export!J799,FALSE),""),K799)</f>
        <v>50</v>
      </c>
      <c r="D799" s="6" t="b">
        <v>1</v>
      </c>
      <c r="E799" t="s">
        <v>1561</v>
      </c>
      <c r="F799" s="6"/>
      <c r="G799" s="6"/>
      <c r="H799" s="6" t="s">
        <v>2211</v>
      </c>
      <c r="I799" t="s">
        <v>1227</v>
      </c>
      <c r="J799">
        <v>3</v>
      </c>
      <c r="L799" s="9" t="e">
        <f t="shared" si="25"/>
        <v>#VALUE!</v>
      </c>
    </row>
    <row r="800" spans="1:12" x14ac:dyDescent="0.35">
      <c r="A800">
        <f t="shared" si="26"/>
        <v>799</v>
      </c>
      <c r="B800" t="s">
        <v>110</v>
      </c>
      <c r="C800" s="109" t="str">
        <f>IF(ISBLANK(K800),IFERROR(VLOOKUP(I800,FS_input_data!$C$107:$N$306,Export!J800,FALSE),""),K800)</f>
        <v/>
      </c>
      <c r="D800" s="6"/>
      <c r="F800" s="6"/>
      <c r="G800" s="6"/>
      <c r="H800" s="6" t="s">
        <v>2211</v>
      </c>
      <c r="I800" t="s">
        <v>1561</v>
      </c>
      <c r="J800" t="s">
        <v>1561</v>
      </c>
      <c r="L800">
        <f t="shared" si="25"/>
        <v>1</v>
      </c>
    </row>
    <row r="801" spans="1:12" x14ac:dyDescent="0.35">
      <c r="A801" s="9">
        <f t="shared" si="26"/>
        <v>800</v>
      </c>
      <c r="B801" t="s">
        <v>111</v>
      </c>
      <c r="C801" s="109">
        <f>IF(ISBLANK(K801),IFERROR(VLOOKUP(I801,FS_input_data!$C$107:$N$306,Export!J801,FALSE),""),K801)</f>
        <v>750</v>
      </c>
      <c r="D801" s="6" t="b">
        <v>1</v>
      </c>
      <c r="E801" t="s">
        <v>1561</v>
      </c>
      <c r="F801" s="6"/>
      <c r="G801" s="6"/>
      <c r="H801" s="6" t="s">
        <v>2211</v>
      </c>
      <c r="I801" t="s">
        <v>1227</v>
      </c>
      <c r="J801">
        <v>4</v>
      </c>
      <c r="L801" s="9" t="e">
        <f t="shared" si="25"/>
        <v>#VALUE!</v>
      </c>
    </row>
    <row r="802" spans="1:12" x14ac:dyDescent="0.35">
      <c r="A802">
        <f t="shared" si="26"/>
        <v>801</v>
      </c>
      <c r="B802" t="s">
        <v>112</v>
      </c>
      <c r="C802" s="109" t="str">
        <f>IF(ISBLANK(K802),IFERROR(VLOOKUP(I802,FS_input_data!$C$107:$N$306,Export!J802,FALSE),""),K802)</f>
        <v/>
      </c>
      <c r="D802" s="6"/>
      <c r="E802" t="s">
        <v>1561</v>
      </c>
      <c r="F802" s="6"/>
      <c r="G802" s="6"/>
      <c r="H802" s="6" t="s">
        <v>2211</v>
      </c>
      <c r="I802" t="s">
        <v>1561</v>
      </c>
      <c r="J802" t="s">
        <v>1561</v>
      </c>
      <c r="L802">
        <f t="shared" si="25"/>
        <v>1</v>
      </c>
    </row>
    <row r="803" spans="1:12" x14ac:dyDescent="0.35">
      <c r="A803">
        <f t="shared" si="26"/>
        <v>802</v>
      </c>
      <c r="B803" t="s">
        <v>290</v>
      </c>
      <c r="C803" s="109" t="str">
        <f>IF(ISBLANK(K803),IFERROR(VLOOKUP(I803,FS_input_data!$C$107:$N$306,Export!J803,FALSE),""),K803)</f>
        <v/>
      </c>
      <c r="D803" s="6"/>
      <c r="E803" t="s">
        <v>1231</v>
      </c>
      <c r="F803" s="6"/>
      <c r="G803" s="6"/>
      <c r="H803" s="6" t="s">
        <v>2211</v>
      </c>
      <c r="I803" t="s">
        <v>1561</v>
      </c>
      <c r="J803" t="s">
        <v>1561</v>
      </c>
      <c r="L803" s="26" t="e">
        <f t="shared" si="25"/>
        <v>#VALUE!</v>
      </c>
    </row>
    <row r="804" spans="1:12" x14ac:dyDescent="0.35">
      <c r="A804" s="9">
        <f t="shared" si="26"/>
        <v>803</v>
      </c>
      <c r="B804" t="s">
        <v>109</v>
      </c>
      <c r="C804" s="109">
        <f>IF(ISBLANK(K804),IFERROR(VLOOKUP(I804,FS_input_data!$C$107:$N$306,Export!J804,FALSE),""),K804)</f>
        <v>2</v>
      </c>
      <c r="D804" s="6" t="b">
        <v>1</v>
      </c>
      <c r="E804" t="s">
        <v>1561</v>
      </c>
      <c r="F804" s="6"/>
      <c r="G804" s="6"/>
      <c r="H804" s="6" t="s">
        <v>2211</v>
      </c>
      <c r="I804" t="s">
        <v>1230</v>
      </c>
      <c r="J804">
        <v>3</v>
      </c>
      <c r="L804" s="9" t="e">
        <f t="shared" si="25"/>
        <v>#VALUE!</v>
      </c>
    </row>
    <row r="805" spans="1:12" x14ac:dyDescent="0.35">
      <c r="A805">
        <f t="shared" si="26"/>
        <v>804</v>
      </c>
      <c r="B805" t="s">
        <v>110</v>
      </c>
      <c r="C805" s="109" t="str">
        <f>IF(ISBLANK(K805),IFERROR(VLOOKUP(I805,FS_input_data!$C$107:$N$306,Export!J805,FALSE),""),K805)</f>
        <v/>
      </c>
      <c r="D805" s="6"/>
      <c r="F805" s="6"/>
      <c r="G805" s="6"/>
      <c r="H805" s="6" t="s">
        <v>2211</v>
      </c>
      <c r="I805" t="s">
        <v>1561</v>
      </c>
      <c r="J805" t="s">
        <v>1561</v>
      </c>
      <c r="L805">
        <f t="shared" si="25"/>
        <v>1</v>
      </c>
    </row>
    <row r="806" spans="1:12" x14ac:dyDescent="0.35">
      <c r="A806" s="9">
        <f t="shared" si="26"/>
        <v>805</v>
      </c>
      <c r="B806" t="s">
        <v>111</v>
      </c>
      <c r="C806" s="109">
        <f>IF(ISBLANK(K806),IFERROR(VLOOKUP(I806,FS_input_data!$C$107:$N$306,Export!J806,FALSE),""),K806)</f>
        <v>102</v>
      </c>
      <c r="D806" s="6" t="b">
        <v>1</v>
      </c>
      <c r="E806" t="s">
        <v>1561</v>
      </c>
      <c r="F806" s="6"/>
      <c r="G806" s="6"/>
      <c r="H806" s="6" t="s">
        <v>2211</v>
      </c>
      <c r="I806" t="s">
        <v>1230</v>
      </c>
      <c r="J806">
        <v>4</v>
      </c>
      <c r="L806" s="9" t="e">
        <f t="shared" si="25"/>
        <v>#VALUE!</v>
      </c>
    </row>
    <row r="807" spans="1:12" x14ac:dyDescent="0.35">
      <c r="A807">
        <f t="shared" si="26"/>
        <v>806</v>
      </c>
      <c r="B807" t="s">
        <v>112</v>
      </c>
      <c r="C807" s="109" t="str">
        <f>IF(ISBLANK(K807),IFERROR(VLOOKUP(I807,FS_input_data!$C$107:$N$306,Export!J807,FALSE),""),K807)</f>
        <v/>
      </c>
      <c r="D807" s="6"/>
      <c r="E807" t="s">
        <v>1561</v>
      </c>
      <c r="F807" s="6"/>
      <c r="G807" s="6"/>
      <c r="H807" s="6" t="s">
        <v>2211</v>
      </c>
      <c r="I807" t="s">
        <v>1561</v>
      </c>
      <c r="J807" t="s">
        <v>1561</v>
      </c>
      <c r="L807">
        <f t="shared" si="25"/>
        <v>1</v>
      </c>
    </row>
    <row r="808" spans="1:12" x14ac:dyDescent="0.35">
      <c r="A808">
        <f t="shared" si="26"/>
        <v>807</v>
      </c>
      <c r="B808" t="s">
        <v>291</v>
      </c>
      <c r="C808" s="109" t="str">
        <f>IF(ISBLANK(K808),IFERROR(VLOOKUP(I808,FS_input_data!$C$107:$N$306,Export!J808,FALSE),""),K808)</f>
        <v/>
      </c>
      <c r="D808" s="6"/>
      <c r="E808" t="s">
        <v>1561</v>
      </c>
      <c r="F808" s="6"/>
      <c r="G808" s="6"/>
      <c r="H808" s="6" t="s">
        <v>2211</v>
      </c>
      <c r="I808" t="s">
        <v>1561</v>
      </c>
      <c r="J808" t="s">
        <v>1561</v>
      </c>
      <c r="L808">
        <f t="shared" si="25"/>
        <v>1</v>
      </c>
    </row>
    <row r="809" spans="1:12" x14ac:dyDescent="0.35">
      <c r="A809">
        <f t="shared" si="26"/>
        <v>808</v>
      </c>
      <c r="B809" t="s">
        <v>292</v>
      </c>
      <c r="C809" s="109" t="str">
        <f>IF(ISBLANK(K809),IFERROR(VLOOKUP(I809,FS_input_data!$C$107:$N$306,Export!J809,FALSE),""),K809)</f>
        <v/>
      </c>
      <c r="D809" s="6"/>
      <c r="E809" t="s">
        <v>1234</v>
      </c>
      <c r="F809" s="6"/>
      <c r="G809" s="6"/>
      <c r="H809" s="6" t="s">
        <v>2211</v>
      </c>
      <c r="I809" t="s">
        <v>1561</v>
      </c>
      <c r="J809" t="s">
        <v>1561</v>
      </c>
      <c r="L809" s="26" t="e">
        <f t="shared" si="25"/>
        <v>#VALUE!</v>
      </c>
    </row>
    <row r="810" spans="1:12" x14ac:dyDescent="0.35">
      <c r="A810" s="9">
        <f t="shared" si="26"/>
        <v>809</v>
      </c>
      <c r="B810" t="s">
        <v>109</v>
      </c>
      <c r="C810" s="109">
        <f>IF(ISBLANK(K810),IFERROR(VLOOKUP(I810,FS_input_data!$C$107:$N$306,Export!J810,FALSE),""),K810)</f>
        <v>3</v>
      </c>
      <c r="D810" s="6" t="b">
        <v>1</v>
      </c>
      <c r="E810" t="s">
        <v>1561</v>
      </c>
      <c r="F810" s="6"/>
      <c r="G810" s="6"/>
      <c r="H810" s="6" t="s">
        <v>2211</v>
      </c>
      <c r="I810" t="s">
        <v>1233</v>
      </c>
      <c r="J810">
        <v>3</v>
      </c>
      <c r="L810" s="9" t="e">
        <f t="shared" si="25"/>
        <v>#VALUE!</v>
      </c>
    </row>
    <row r="811" spans="1:12" x14ac:dyDescent="0.35">
      <c r="A811">
        <f t="shared" si="26"/>
        <v>810</v>
      </c>
      <c r="B811" t="s">
        <v>110</v>
      </c>
      <c r="C811" s="109" t="str">
        <f>IF(ISBLANK(K811),IFERROR(VLOOKUP(I811,FS_input_data!$C$107:$N$306,Export!J811,FALSE),""),K811)</f>
        <v/>
      </c>
      <c r="D811" s="6"/>
      <c r="F811" s="6"/>
      <c r="G811" s="6"/>
      <c r="H811" s="6" t="s">
        <v>2211</v>
      </c>
      <c r="I811" t="s">
        <v>1561</v>
      </c>
      <c r="J811" t="s">
        <v>1561</v>
      </c>
      <c r="L811">
        <f t="shared" si="25"/>
        <v>1</v>
      </c>
    </row>
    <row r="812" spans="1:12" x14ac:dyDescent="0.35">
      <c r="A812" s="9">
        <f t="shared" si="26"/>
        <v>811</v>
      </c>
      <c r="B812" t="s">
        <v>111</v>
      </c>
      <c r="C812" s="109">
        <f>IF(ISBLANK(K812),IFERROR(VLOOKUP(I812,FS_input_data!$C$107:$N$306,Export!J812,FALSE),""),K812)</f>
        <v>103</v>
      </c>
      <c r="D812" s="6" t="b">
        <v>1</v>
      </c>
      <c r="E812" t="s">
        <v>1561</v>
      </c>
      <c r="F812" s="6"/>
      <c r="G812" s="6"/>
      <c r="H812" s="6" t="s">
        <v>2211</v>
      </c>
      <c r="I812" t="s">
        <v>1233</v>
      </c>
      <c r="J812">
        <v>4</v>
      </c>
      <c r="L812" s="9" t="e">
        <f t="shared" si="25"/>
        <v>#VALUE!</v>
      </c>
    </row>
    <row r="813" spans="1:12" x14ac:dyDescent="0.35">
      <c r="A813">
        <f t="shared" si="26"/>
        <v>812</v>
      </c>
      <c r="B813" t="s">
        <v>112</v>
      </c>
      <c r="C813" s="109" t="str">
        <f>IF(ISBLANK(K813),IFERROR(VLOOKUP(I813,FS_input_data!$C$107:$N$306,Export!J813,FALSE),""),K813)</f>
        <v/>
      </c>
      <c r="D813" s="6"/>
      <c r="E813" t="s">
        <v>1561</v>
      </c>
      <c r="F813" s="6"/>
      <c r="G813" s="6"/>
      <c r="H813" s="6" t="s">
        <v>2211</v>
      </c>
      <c r="I813" t="s">
        <v>1561</v>
      </c>
      <c r="J813" t="s">
        <v>1561</v>
      </c>
      <c r="L813">
        <f t="shared" si="25"/>
        <v>1</v>
      </c>
    </row>
    <row r="814" spans="1:12" x14ac:dyDescent="0.35">
      <c r="A814">
        <f t="shared" si="26"/>
        <v>813</v>
      </c>
      <c r="B814" t="s">
        <v>293</v>
      </c>
      <c r="C814" s="109" t="str">
        <f>IF(ISBLANK(K814),IFERROR(VLOOKUP(I814,FS_input_data!$C$107:$N$306,Export!J814,FALSE),""),K814)</f>
        <v/>
      </c>
      <c r="D814" s="6"/>
      <c r="E814" t="s">
        <v>1237</v>
      </c>
      <c r="F814" s="6"/>
      <c r="G814" s="6"/>
      <c r="H814" s="6" t="s">
        <v>2211</v>
      </c>
      <c r="I814" t="s">
        <v>1561</v>
      </c>
      <c r="J814" t="s">
        <v>1561</v>
      </c>
      <c r="L814" s="26" t="e">
        <f t="shared" si="25"/>
        <v>#VALUE!</v>
      </c>
    </row>
    <row r="815" spans="1:12" x14ac:dyDescent="0.35">
      <c r="A815" s="9">
        <f t="shared" si="26"/>
        <v>814</v>
      </c>
      <c r="B815" t="s">
        <v>109</v>
      </c>
      <c r="C815" s="109">
        <f>IF(ISBLANK(K815),IFERROR(VLOOKUP(I815,FS_input_data!$C$107:$N$306,Export!J815,FALSE),""),K815)</f>
        <v>4</v>
      </c>
      <c r="D815" s="6" t="b">
        <v>1</v>
      </c>
      <c r="E815" t="s">
        <v>1561</v>
      </c>
      <c r="F815" s="6"/>
      <c r="G815" s="6"/>
      <c r="H815" s="6" t="s">
        <v>2211</v>
      </c>
      <c r="I815" t="s">
        <v>1236</v>
      </c>
      <c r="J815">
        <v>3</v>
      </c>
      <c r="L815" s="9" t="e">
        <f t="shared" si="25"/>
        <v>#VALUE!</v>
      </c>
    </row>
    <row r="816" spans="1:12" x14ac:dyDescent="0.35">
      <c r="A816">
        <f t="shared" si="26"/>
        <v>815</v>
      </c>
      <c r="B816" t="s">
        <v>110</v>
      </c>
      <c r="C816" s="109" t="str">
        <f>IF(ISBLANK(K816),IFERROR(VLOOKUP(I816,FS_input_data!$C$107:$N$306,Export!J816,FALSE),""),K816)</f>
        <v/>
      </c>
      <c r="D816" s="6"/>
      <c r="F816" s="6"/>
      <c r="G816" s="6"/>
      <c r="H816" s="6" t="s">
        <v>2211</v>
      </c>
      <c r="I816" t="s">
        <v>1561</v>
      </c>
      <c r="J816" t="s">
        <v>1561</v>
      </c>
      <c r="L816">
        <f t="shared" si="25"/>
        <v>1</v>
      </c>
    </row>
    <row r="817" spans="1:12" x14ac:dyDescent="0.35">
      <c r="A817" s="9">
        <f t="shared" si="26"/>
        <v>816</v>
      </c>
      <c r="B817" t="s">
        <v>111</v>
      </c>
      <c r="C817" s="109">
        <f>IF(ISBLANK(K817),IFERROR(VLOOKUP(I817,FS_input_data!$C$107:$N$306,Export!J817,FALSE),""),K817)</f>
        <v>104</v>
      </c>
      <c r="D817" s="6" t="b">
        <v>1</v>
      </c>
      <c r="E817" t="s">
        <v>1561</v>
      </c>
      <c r="F817" s="6"/>
      <c r="G817" s="6"/>
      <c r="H817" s="6" t="s">
        <v>2211</v>
      </c>
      <c r="I817" t="s">
        <v>1236</v>
      </c>
      <c r="J817">
        <v>4</v>
      </c>
      <c r="L817" s="9" t="e">
        <f t="shared" si="25"/>
        <v>#VALUE!</v>
      </c>
    </row>
    <row r="818" spans="1:12" x14ac:dyDescent="0.35">
      <c r="A818">
        <f t="shared" si="26"/>
        <v>817</v>
      </c>
      <c r="B818" t="s">
        <v>112</v>
      </c>
      <c r="C818" s="109" t="str">
        <f>IF(ISBLANK(K818),IFERROR(VLOOKUP(I818,FS_input_data!$C$107:$N$306,Export!J818,FALSE),""),K818)</f>
        <v/>
      </c>
      <c r="D818" s="6"/>
      <c r="E818" t="s">
        <v>1561</v>
      </c>
      <c r="F818" s="6"/>
      <c r="G818" s="6"/>
      <c r="H818" s="6" t="s">
        <v>2211</v>
      </c>
      <c r="I818" t="s">
        <v>1561</v>
      </c>
      <c r="J818" t="s">
        <v>1561</v>
      </c>
      <c r="L818">
        <f t="shared" si="25"/>
        <v>1</v>
      </c>
    </row>
    <row r="819" spans="1:12" x14ac:dyDescent="0.35">
      <c r="A819">
        <f t="shared" si="26"/>
        <v>818</v>
      </c>
      <c r="B819" t="s">
        <v>294</v>
      </c>
      <c r="C819" s="109" t="str">
        <f>IF(ISBLANK(K819),IFERROR(VLOOKUP(I819,FS_input_data!$C$107:$N$306,Export!J819,FALSE),""),K819)</f>
        <v/>
      </c>
      <c r="D819" s="6"/>
      <c r="E819" t="s">
        <v>1561</v>
      </c>
      <c r="F819" s="6"/>
      <c r="G819" s="6"/>
      <c r="H819" s="6" t="s">
        <v>2211</v>
      </c>
      <c r="I819" t="s">
        <v>1561</v>
      </c>
      <c r="J819" t="s">
        <v>1561</v>
      </c>
      <c r="L819">
        <f t="shared" si="25"/>
        <v>1</v>
      </c>
    </row>
    <row r="820" spans="1:12" x14ac:dyDescent="0.35">
      <c r="A820">
        <f t="shared" si="26"/>
        <v>819</v>
      </c>
      <c r="B820" t="s">
        <v>295</v>
      </c>
      <c r="C820" s="109" t="str">
        <f>IF(ISBLANK(K820),IFERROR(VLOOKUP(I820,FS_input_data!$C$107:$N$306,Export!J820,FALSE),""),K820)</f>
        <v/>
      </c>
      <c r="D820" s="6"/>
      <c r="E820" t="s">
        <v>1561</v>
      </c>
      <c r="F820" s="6"/>
      <c r="G820" s="6"/>
      <c r="H820" s="6" t="s">
        <v>2211</v>
      </c>
      <c r="I820" t="s">
        <v>1561</v>
      </c>
      <c r="J820" t="s">
        <v>1561</v>
      </c>
      <c r="L820">
        <f t="shared" si="25"/>
        <v>1</v>
      </c>
    </row>
    <row r="821" spans="1:12" x14ac:dyDescent="0.35">
      <c r="A821">
        <f t="shared" si="26"/>
        <v>820</v>
      </c>
      <c r="B821" t="s">
        <v>296</v>
      </c>
      <c r="C821" s="109" t="str">
        <f>IF(ISBLANK(K821),IFERROR(VLOOKUP(I821,FS_input_data!$C$107:$N$306,Export!J821,FALSE),""),K821)</f>
        <v/>
      </c>
      <c r="D821" s="6"/>
      <c r="E821" t="s">
        <v>1240</v>
      </c>
      <c r="F821" s="6"/>
      <c r="G821" s="6"/>
      <c r="H821" s="6" t="s">
        <v>2211</v>
      </c>
      <c r="I821" t="s">
        <v>1561</v>
      </c>
      <c r="J821" t="s">
        <v>1561</v>
      </c>
      <c r="L821" s="26" t="e">
        <f t="shared" si="25"/>
        <v>#VALUE!</v>
      </c>
    </row>
    <row r="822" spans="1:12" x14ac:dyDescent="0.35">
      <c r="A822" s="9">
        <f t="shared" si="26"/>
        <v>821</v>
      </c>
      <c r="B822" t="s">
        <v>109</v>
      </c>
      <c r="C822" s="109">
        <f>IF(ISBLANK(K822),IFERROR(VLOOKUP(I822,FS_input_data!$C$107:$N$306,Export!J822,FALSE),""),K822)</f>
        <v>5</v>
      </c>
      <c r="D822" s="6" t="b">
        <v>1</v>
      </c>
      <c r="E822" t="s">
        <v>1561</v>
      </c>
      <c r="F822" s="6"/>
      <c r="G822" s="6"/>
      <c r="H822" s="6" t="s">
        <v>2211</v>
      </c>
      <c r="I822" t="s">
        <v>1239</v>
      </c>
      <c r="J822">
        <v>3</v>
      </c>
      <c r="L822" s="9" t="e">
        <f t="shared" si="25"/>
        <v>#VALUE!</v>
      </c>
    </row>
    <row r="823" spans="1:12" x14ac:dyDescent="0.35">
      <c r="A823">
        <f t="shared" si="26"/>
        <v>822</v>
      </c>
      <c r="B823" t="s">
        <v>110</v>
      </c>
      <c r="C823" s="109" t="str">
        <f>IF(ISBLANK(K823),IFERROR(VLOOKUP(I823,FS_input_data!$C$107:$N$306,Export!J823,FALSE),""),K823)</f>
        <v/>
      </c>
      <c r="D823" s="6"/>
      <c r="F823" s="6"/>
      <c r="G823" s="6"/>
      <c r="H823" s="6" t="s">
        <v>2211</v>
      </c>
      <c r="I823" t="s">
        <v>1561</v>
      </c>
      <c r="J823" t="s">
        <v>1561</v>
      </c>
      <c r="L823">
        <f t="shared" si="25"/>
        <v>1</v>
      </c>
    </row>
    <row r="824" spans="1:12" x14ac:dyDescent="0.35">
      <c r="A824" s="9">
        <f t="shared" si="26"/>
        <v>823</v>
      </c>
      <c r="B824" t="s">
        <v>111</v>
      </c>
      <c r="C824" s="109">
        <f>IF(ISBLANK(K824),IFERROR(VLOOKUP(I824,FS_input_data!$C$107:$N$306,Export!J824,FALSE),""),K824)</f>
        <v>105</v>
      </c>
      <c r="D824" s="6" t="b">
        <v>1</v>
      </c>
      <c r="E824" t="s">
        <v>1561</v>
      </c>
      <c r="F824" s="6"/>
      <c r="G824" s="6"/>
      <c r="H824" s="6" t="s">
        <v>2211</v>
      </c>
      <c r="I824" t="s">
        <v>1239</v>
      </c>
      <c r="J824">
        <v>4</v>
      </c>
      <c r="L824" s="9" t="e">
        <f t="shared" si="25"/>
        <v>#VALUE!</v>
      </c>
    </row>
    <row r="825" spans="1:12" x14ac:dyDescent="0.35">
      <c r="A825">
        <f t="shared" si="26"/>
        <v>824</v>
      </c>
      <c r="B825" t="s">
        <v>112</v>
      </c>
      <c r="C825" s="109" t="str">
        <f>IF(ISBLANK(K825),IFERROR(VLOOKUP(I825,FS_input_data!$C$107:$N$306,Export!J825,FALSE),""),K825)</f>
        <v/>
      </c>
      <c r="D825" s="6"/>
      <c r="E825" t="s">
        <v>1561</v>
      </c>
      <c r="F825" s="6"/>
      <c r="G825" s="6"/>
      <c r="H825" s="6" t="s">
        <v>2211</v>
      </c>
      <c r="I825" t="s">
        <v>1561</v>
      </c>
      <c r="J825" t="s">
        <v>1561</v>
      </c>
      <c r="L825">
        <f t="shared" si="25"/>
        <v>1</v>
      </c>
    </row>
    <row r="826" spans="1:12" x14ac:dyDescent="0.35">
      <c r="A826">
        <f t="shared" si="26"/>
        <v>825</v>
      </c>
      <c r="B826" t="s">
        <v>297</v>
      </c>
      <c r="C826" s="109" t="str">
        <f>IF(ISBLANK(K826),IFERROR(VLOOKUP(I826,FS_input_data!$C$107:$N$306,Export!J826,FALSE),""),K826)</f>
        <v/>
      </c>
      <c r="D826" s="6"/>
      <c r="E826" t="s">
        <v>1243</v>
      </c>
      <c r="F826" s="6"/>
      <c r="G826" s="6"/>
      <c r="H826" s="6" t="s">
        <v>2211</v>
      </c>
      <c r="I826" t="s">
        <v>1561</v>
      </c>
      <c r="J826" t="s">
        <v>1561</v>
      </c>
      <c r="L826" s="26" t="e">
        <f t="shared" si="25"/>
        <v>#VALUE!</v>
      </c>
    </row>
    <row r="827" spans="1:12" x14ac:dyDescent="0.35">
      <c r="A827" s="9">
        <f t="shared" si="26"/>
        <v>826</v>
      </c>
      <c r="B827" t="s">
        <v>109</v>
      </c>
      <c r="C827" s="109">
        <f>IF(ISBLANK(K827),IFERROR(VLOOKUP(I827,FS_input_data!$C$107:$N$306,Export!J827,FALSE),""),K827)</f>
        <v>6</v>
      </c>
      <c r="D827" s="6" t="b">
        <v>1</v>
      </c>
      <c r="E827" t="s">
        <v>1561</v>
      </c>
      <c r="F827" s="6"/>
      <c r="G827" s="6"/>
      <c r="H827" s="6" t="s">
        <v>2211</v>
      </c>
      <c r="I827" t="s">
        <v>1242</v>
      </c>
      <c r="J827">
        <v>3</v>
      </c>
      <c r="L827" s="9" t="e">
        <f t="shared" si="25"/>
        <v>#VALUE!</v>
      </c>
    </row>
    <row r="828" spans="1:12" x14ac:dyDescent="0.35">
      <c r="A828">
        <f t="shared" si="26"/>
        <v>827</v>
      </c>
      <c r="B828" t="s">
        <v>110</v>
      </c>
      <c r="C828" s="109" t="str">
        <f>IF(ISBLANK(K828),IFERROR(VLOOKUP(I828,FS_input_data!$C$107:$N$306,Export!J828,FALSE),""),K828)</f>
        <v/>
      </c>
      <c r="D828" s="6"/>
      <c r="F828" s="6"/>
      <c r="G828" s="6"/>
      <c r="H828" s="6" t="s">
        <v>2211</v>
      </c>
      <c r="I828" t="s">
        <v>1561</v>
      </c>
      <c r="J828" t="s">
        <v>1561</v>
      </c>
      <c r="L828">
        <f t="shared" si="25"/>
        <v>1</v>
      </c>
    </row>
    <row r="829" spans="1:12" x14ac:dyDescent="0.35">
      <c r="A829" s="9">
        <f t="shared" si="26"/>
        <v>828</v>
      </c>
      <c r="B829" t="s">
        <v>111</v>
      </c>
      <c r="C829" s="109">
        <f>IF(ISBLANK(K829),IFERROR(VLOOKUP(I829,FS_input_data!$C$107:$N$306,Export!J829,FALSE),""),K829)</f>
        <v>106</v>
      </c>
      <c r="D829" s="6" t="b">
        <v>1</v>
      </c>
      <c r="E829" t="s">
        <v>1561</v>
      </c>
      <c r="F829" s="6"/>
      <c r="G829" s="6"/>
      <c r="H829" s="6" t="s">
        <v>2211</v>
      </c>
      <c r="I829" t="s">
        <v>1242</v>
      </c>
      <c r="J829">
        <v>4</v>
      </c>
      <c r="L829" s="9" t="e">
        <f t="shared" si="25"/>
        <v>#VALUE!</v>
      </c>
    </row>
    <row r="830" spans="1:12" x14ac:dyDescent="0.35">
      <c r="A830">
        <f t="shared" si="26"/>
        <v>829</v>
      </c>
      <c r="B830" t="s">
        <v>112</v>
      </c>
      <c r="C830" s="109" t="str">
        <f>IF(ISBLANK(K830),IFERROR(VLOOKUP(I830,FS_input_data!$C$107:$N$306,Export!J830,FALSE),""),K830)</f>
        <v/>
      </c>
      <c r="D830" s="6"/>
      <c r="E830" t="s">
        <v>1561</v>
      </c>
      <c r="F830" s="6"/>
      <c r="G830" s="6"/>
      <c r="H830" s="6" t="s">
        <v>2211</v>
      </c>
      <c r="I830" t="s">
        <v>1561</v>
      </c>
      <c r="J830" t="s">
        <v>1561</v>
      </c>
      <c r="L830">
        <f t="shared" si="25"/>
        <v>1</v>
      </c>
    </row>
    <row r="831" spans="1:12" x14ac:dyDescent="0.35">
      <c r="A831">
        <f t="shared" si="26"/>
        <v>830</v>
      </c>
      <c r="B831" t="s">
        <v>298</v>
      </c>
      <c r="C831" s="109" t="str">
        <f>IF(ISBLANK(K831),IFERROR(VLOOKUP(I831,FS_input_data!$C$107:$N$306,Export!J831,FALSE),""),K831)</f>
        <v/>
      </c>
      <c r="D831" s="6"/>
      <c r="E831" t="s">
        <v>1561</v>
      </c>
      <c r="F831" s="6"/>
      <c r="G831" s="6"/>
      <c r="H831" s="6" t="s">
        <v>2211</v>
      </c>
      <c r="I831" t="s">
        <v>1561</v>
      </c>
      <c r="J831" t="s">
        <v>1561</v>
      </c>
      <c r="L831">
        <f t="shared" si="25"/>
        <v>1</v>
      </c>
    </row>
    <row r="832" spans="1:12" x14ac:dyDescent="0.35">
      <c r="A832">
        <f t="shared" si="26"/>
        <v>831</v>
      </c>
      <c r="B832" t="s">
        <v>299</v>
      </c>
      <c r="C832" s="109" t="str">
        <f>IF(ISBLANK(K832),IFERROR(VLOOKUP(I832,FS_input_data!$C$107:$N$306,Export!J832,FALSE),""),K832)</f>
        <v/>
      </c>
      <c r="D832" s="6"/>
      <c r="E832" t="s">
        <v>1561</v>
      </c>
      <c r="F832" s="6"/>
      <c r="G832" s="6"/>
      <c r="H832" s="6" t="s">
        <v>2211</v>
      </c>
      <c r="I832" t="s">
        <v>1561</v>
      </c>
      <c r="J832" t="s">
        <v>1561</v>
      </c>
      <c r="L832">
        <f t="shared" si="25"/>
        <v>1</v>
      </c>
    </row>
    <row r="833" spans="1:12" x14ac:dyDescent="0.35">
      <c r="A833">
        <f t="shared" si="26"/>
        <v>832</v>
      </c>
      <c r="B833" t="s">
        <v>300</v>
      </c>
      <c r="C833" s="109" t="str">
        <f>IF(ISBLANK(K833),IFERROR(VLOOKUP(I833,FS_input_data!$C$107:$N$306,Export!J833,FALSE),""),K833)</f>
        <v/>
      </c>
      <c r="D833" s="6"/>
      <c r="E833" t="s">
        <v>1246</v>
      </c>
      <c r="F833" s="6"/>
      <c r="G833" s="6"/>
      <c r="H833" s="6" t="s">
        <v>2211</v>
      </c>
      <c r="I833" t="s">
        <v>1561</v>
      </c>
      <c r="J833" t="s">
        <v>1561</v>
      </c>
      <c r="L833" s="26" t="e">
        <f t="shared" si="25"/>
        <v>#VALUE!</v>
      </c>
    </row>
    <row r="834" spans="1:12" x14ac:dyDescent="0.35">
      <c r="A834" s="9">
        <f t="shared" si="26"/>
        <v>833</v>
      </c>
      <c r="B834" t="s">
        <v>109</v>
      </c>
      <c r="C834" s="109">
        <f>IF(ISBLANK(K834),IFERROR(VLOOKUP(I834,FS_input_data!$C$107:$N$306,Export!J834,FALSE),""),K834)</f>
        <v>7</v>
      </c>
      <c r="D834" s="6" t="b">
        <v>1</v>
      </c>
      <c r="E834" t="s">
        <v>1561</v>
      </c>
      <c r="F834" s="6"/>
      <c r="G834" s="6"/>
      <c r="H834" s="6" t="s">
        <v>2211</v>
      </c>
      <c r="I834" t="s">
        <v>1245</v>
      </c>
      <c r="J834">
        <v>3</v>
      </c>
      <c r="L834" s="9" t="e">
        <f t="shared" ref="L834:L897" si="27">FIND("/",B834)</f>
        <v>#VALUE!</v>
      </c>
    </row>
    <row r="835" spans="1:12" x14ac:dyDescent="0.35">
      <c r="A835">
        <f t="shared" ref="A835:A898" si="28">A834+1</f>
        <v>834</v>
      </c>
      <c r="B835" t="s">
        <v>110</v>
      </c>
      <c r="C835" s="109" t="str">
        <f>IF(ISBLANK(K835),IFERROR(VLOOKUP(I835,FS_input_data!$C$107:$N$306,Export!J835,FALSE),""),K835)</f>
        <v/>
      </c>
      <c r="D835" s="6"/>
      <c r="F835" s="6"/>
      <c r="G835" s="6"/>
      <c r="H835" s="6" t="s">
        <v>2211</v>
      </c>
      <c r="I835" t="s">
        <v>1561</v>
      </c>
      <c r="J835" t="s">
        <v>1561</v>
      </c>
      <c r="L835">
        <f t="shared" si="27"/>
        <v>1</v>
      </c>
    </row>
    <row r="836" spans="1:12" x14ac:dyDescent="0.35">
      <c r="A836" s="9">
        <f t="shared" si="28"/>
        <v>835</v>
      </c>
      <c r="B836" t="s">
        <v>111</v>
      </c>
      <c r="C836" s="109">
        <f>IF(ISBLANK(K836),IFERROR(VLOOKUP(I836,FS_input_data!$C$107:$N$306,Export!J836,FALSE),""),K836)</f>
        <v>107</v>
      </c>
      <c r="D836" s="6" t="b">
        <v>1</v>
      </c>
      <c r="E836" t="s">
        <v>1561</v>
      </c>
      <c r="F836" s="6"/>
      <c r="G836" s="6"/>
      <c r="H836" s="6" t="s">
        <v>2211</v>
      </c>
      <c r="I836" t="s">
        <v>1245</v>
      </c>
      <c r="J836">
        <v>4</v>
      </c>
      <c r="L836" s="9" t="e">
        <f t="shared" si="27"/>
        <v>#VALUE!</v>
      </c>
    </row>
    <row r="837" spans="1:12" x14ac:dyDescent="0.35">
      <c r="A837">
        <f t="shared" si="28"/>
        <v>836</v>
      </c>
      <c r="B837" t="s">
        <v>112</v>
      </c>
      <c r="C837" s="109" t="str">
        <f>IF(ISBLANK(K837),IFERROR(VLOOKUP(I837,FS_input_data!$C$107:$N$306,Export!J837,FALSE),""),K837)</f>
        <v/>
      </c>
      <c r="D837" s="6"/>
      <c r="E837" t="s">
        <v>1561</v>
      </c>
      <c r="F837" s="6"/>
      <c r="G837" s="6"/>
      <c r="H837" s="6" t="s">
        <v>2211</v>
      </c>
      <c r="I837" t="s">
        <v>1561</v>
      </c>
      <c r="J837" t="s">
        <v>1561</v>
      </c>
      <c r="L837">
        <f t="shared" si="27"/>
        <v>1</v>
      </c>
    </row>
    <row r="838" spans="1:12" x14ac:dyDescent="0.35">
      <c r="A838">
        <f t="shared" si="28"/>
        <v>837</v>
      </c>
      <c r="B838" t="s">
        <v>301</v>
      </c>
      <c r="C838" s="109" t="str">
        <f>IF(ISBLANK(K838),IFERROR(VLOOKUP(I838,FS_input_data!$C$107:$N$306,Export!J838,FALSE),""),K838)</f>
        <v/>
      </c>
      <c r="D838" s="6"/>
      <c r="E838" t="s">
        <v>1249</v>
      </c>
      <c r="F838" s="6"/>
      <c r="G838" s="6"/>
      <c r="H838" s="6" t="s">
        <v>2211</v>
      </c>
      <c r="I838" t="s">
        <v>1561</v>
      </c>
      <c r="J838" t="s">
        <v>1561</v>
      </c>
      <c r="L838" s="26" t="e">
        <f t="shared" si="27"/>
        <v>#VALUE!</v>
      </c>
    </row>
    <row r="839" spans="1:12" x14ac:dyDescent="0.35">
      <c r="A839" s="9">
        <f t="shared" si="28"/>
        <v>838</v>
      </c>
      <c r="B839" t="s">
        <v>109</v>
      </c>
      <c r="C839" s="109">
        <f>IF(ISBLANK(K839),IFERROR(VLOOKUP(I839,FS_input_data!$C$107:$N$306,Export!J839,FALSE),""),K839)</f>
        <v>8</v>
      </c>
      <c r="D839" s="6" t="b">
        <v>1</v>
      </c>
      <c r="E839" t="s">
        <v>1561</v>
      </c>
      <c r="F839" s="6"/>
      <c r="G839" s="6"/>
      <c r="H839" s="6" t="s">
        <v>2211</v>
      </c>
      <c r="I839" t="s">
        <v>1248</v>
      </c>
      <c r="J839">
        <v>3</v>
      </c>
      <c r="L839" s="9" t="e">
        <f t="shared" si="27"/>
        <v>#VALUE!</v>
      </c>
    </row>
    <row r="840" spans="1:12" x14ac:dyDescent="0.35">
      <c r="A840">
        <f t="shared" si="28"/>
        <v>839</v>
      </c>
      <c r="B840" t="s">
        <v>110</v>
      </c>
      <c r="C840" s="109" t="str">
        <f>IF(ISBLANK(K840),IFERROR(VLOOKUP(I840,FS_input_data!$C$107:$N$306,Export!J840,FALSE),""),K840)</f>
        <v/>
      </c>
      <c r="D840" s="6"/>
      <c r="F840" s="6"/>
      <c r="G840" s="6"/>
      <c r="H840" s="6" t="s">
        <v>2211</v>
      </c>
      <c r="I840" t="s">
        <v>1561</v>
      </c>
      <c r="J840" t="s">
        <v>1561</v>
      </c>
      <c r="L840">
        <f t="shared" si="27"/>
        <v>1</v>
      </c>
    </row>
    <row r="841" spans="1:12" x14ac:dyDescent="0.35">
      <c r="A841" s="9">
        <f t="shared" si="28"/>
        <v>840</v>
      </c>
      <c r="B841" t="s">
        <v>111</v>
      </c>
      <c r="C841" s="109">
        <f>IF(ISBLANK(K841),IFERROR(VLOOKUP(I841,FS_input_data!$C$107:$N$306,Export!J841,FALSE),""),K841)</f>
        <v>108</v>
      </c>
      <c r="D841" s="6" t="b">
        <v>1</v>
      </c>
      <c r="E841" t="s">
        <v>1561</v>
      </c>
      <c r="F841" s="6"/>
      <c r="G841" s="6"/>
      <c r="H841" s="6" t="s">
        <v>2211</v>
      </c>
      <c r="I841" t="s">
        <v>1248</v>
      </c>
      <c r="J841">
        <v>4</v>
      </c>
      <c r="L841" s="9" t="e">
        <f t="shared" si="27"/>
        <v>#VALUE!</v>
      </c>
    </row>
    <row r="842" spans="1:12" x14ac:dyDescent="0.35">
      <c r="A842">
        <f t="shared" si="28"/>
        <v>841</v>
      </c>
      <c r="B842" t="s">
        <v>112</v>
      </c>
      <c r="C842" s="109" t="str">
        <f>IF(ISBLANK(K842),IFERROR(VLOOKUP(I842,FS_input_data!$C$107:$N$306,Export!J842,FALSE),""),K842)</f>
        <v/>
      </c>
      <c r="D842" s="6"/>
      <c r="E842" t="s">
        <v>1561</v>
      </c>
      <c r="F842" s="6"/>
      <c r="G842" s="6"/>
      <c r="H842" s="6" t="s">
        <v>2211</v>
      </c>
      <c r="I842" t="s">
        <v>1561</v>
      </c>
      <c r="J842" t="s">
        <v>1561</v>
      </c>
      <c r="L842">
        <f t="shared" si="27"/>
        <v>1</v>
      </c>
    </row>
    <row r="843" spans="1:12" x14ac:dyDescent="0.35">
      <c r="A843">
        <f t="shared" si="28"/>
        <v>842</v>
      </c>
      <c r="B843" t="s">
        <v>302</v>
      </c>
      <c r="C843" s="109" t="str">
        <f>IF(ISBLANK(K843),IFERROR(VLOOKUP(I843,FS_input_data!$C$107:$N$306,Export!J843,FALSE),""),K843)</f>
        <v/>
      </c>
      <c r="D843" s="6"/>
      <c r="E843" t="s">
        <v>1561</v>
      </c>
      <c r="F843" s="6"/>
      <c r="G843" s="6"/>
      <c r="H843" s="6" t="s">
        <v>2211</v>
      </c>
      <c r="I843" t="s">
        <v>1561</v>
      </c>
      <c r="J843" t="s">
        <v>1561</v>
      </c>
      <c r="L843">
        <f t="shared" si="27"/>
        <v>1</v>
      </c>
    </row>
    <row r="844" spans="1:12" x14ac:dyDescent="0.35">
      <c r="A844">
        <f t="shared" si="28"/>
        <v>843</v>
      </c>
      <c r="B844" t="s">
        <v>303</v>
      </c>
      <c r="C844" s="109" t="str">
        <f>IF(ISBLANK(K844),IFERROR(VLOOKUP(I844,FS_input_data!$C$107:$N$306,Export!J844,FALSE),""),K844)</f>
        <v/>
      </c>
      <c r="D844" s="6"/>
      <c r="E844" t="s">
        <v>1252</v>
      </c>
      <c r="F844" s="6"/>
      <c r="G844" s="6"/>
      <c r="H844" s="6" t="s">
        <v>2211</v>
      </c>
      <c r="I844" t="s">
        <v>1561</v>
      </c>
      <c r="J844" t="s">
        <v>1561</v>
      </c>
      <c r="L844" s="26" t="e">
        <f t="shared" si="27"/>
        <v>#VALUE!</v>
      </c>
    </row>
    <row r="845" spans="1:12" x14ac:dyDescent="0.35">
      <c r="A845" s="9">
        <f t="shared" si="28"/>
        <v>844</v>
      </c>
      <c r="B845" t="s">
        <v>109</v>
      </c>
      <c r="C845" s="109">
        <f>IF(ISBLANK(K845),IFERROR(VLOOKUP(I845,FS_input_data!$C$107:$N$306,Export!J845,FALSE),""),K845)</f>
        <v>9</v>
      </c>
      <c r="D845" s="6" t="b">
        <v>1</v>
      </c>
      <c r="E845" t="s">
        <v>1561</v>
      </c>
      <c r="F845" s="6"/>
      <c r="G845" s="6"/>
      <c r="H845" s="6" t="s">
        <v>2211</v>
      </c>
      <c r="I845" t="s">
        <v>1251</v>
      </c>
      <c r="J845">
        <v>3</v>
      </c>
      <c r="L845" s="9" t="e">
        <f t="shared" si="27"/>
        <v>#VALUE!</v>
      </c>
    </row>
    <row r="846" spans="1:12" x14ac:dyDescent="0.35">
      <c r="A846">
        <f t="shared" si="28"/>
        <v>845</v>
      </c>
      <c r="B846" t="s">
        <v>110</v>
      </c>
      <c r="C846" s="109" t="str">
        <f>IF(ISBLANK(K846),IFERROR(VLOOKUP(I846,FS_input_data!$C$107:$N$306,Export!J846,FALSE),""),K846)</f>
        <v/>
      </c>
      <c r="D846" s="6"/>
      <c r="F846" s="6"/>
      <c r="G846" s="6"/>
      <c r="H846" s="6" t="s">
        <v>2211</v>
      </c>
      <c r="I846" t="s">
        <v>1561</v>
      </c>
      <c r="J846" t="s">
        <v>1561</v>
      </c>
      <c r="L846">
        <f t="shared" si="27"/>
        <v>1</v>
      </c>
    </row>
    <row r="847" spans="1:12" x14ac:dyDescent="0.35">
      <c r="A847" s="9">
        <f t="shared" si="28"/>
        <v>846</v>
      </c>
      <c r="B847" t="s">
        <v>111</v>
      </c>
      <c r="C847" s="109">
        <f>IF(ISBLANK(K847),IFERROR(VLOOKUP(I847,FS_input_data!$C$107:$N$306,Export!J847,FALSE),""),K847)</f>
        <v>109</v>
      </c>
      <c r="D847" s="6" t="b">
        <v>1</v>
      </c>
      <c r="E847" t="s">
        <v>1561</v>
      </c>
      <c r="F847" s="6"/>
      <c r="G847" s="6"/>
      <c r="H847" s="6" t="s">
        <v>2211</v>
      </c>
      <c r="I847" t="s">
        <v>1251</v>
      </c>
      <c r="J847">
        <v>4</v>
      </c>
      <c r="L847" s="9" t="e">
        <f t="shared" si="27"/>
        <v>#VALUE!</v>
      </c>
    </row>
    <row r="848" spans="1:12" x14ac:dyDescent="0.35">
      <c r="A848">
        <f t="shared" si="28"/>
        <v>847</v>
      </c>
      <c r="B848" t="s">
        <v>112</v>
      </c>
      <c r="C848" s="109" t="str">
        <f>IF(ISBLANK(K848),IFERROR(VLOOKUP(I848,FS_input_data!$C$107:$N$306,Export!J848,FALSE),""),K848)</f>
        <v/>
      </c>
      <c r="D848" s="6"/>
      <c r="E848" t="s">
        <v>1561</v>
      </c>
      <c r="F848" s="6"/>
      <c r="G848" s="6"/>
      <c r="H848" s="6" t="s">
        <v>2211</v>
      </c>
      <c r="I848" t="s">
        <v>1561</v>
      </c>
      <c r="J848" t="s">
        <v>1561</v>
      </c>
      <c r="L848">
        <f t="shared" si="27"/>
        <v>1</v>
      </c>
    </row>
    <row r="849" spans="1:12" x14ac:dyDescent="0.35">
      <c r="A849">
        <f t="shared" si="28"/>
        <v>848</v>
      </c>
      <c r="B849" t="s">
        <v>304</v>
      </c>
      <c r="C849" s="109" t="str">
        <f>IF(ISBLANK(K849),IFERROR(VLOOKUP(I849,FS_input_data!$C$107:$N$306,Export!J849,FALSE),""),K849)</f>
        <v/>
      </c>
      <c r="D849" s="6"/>
      <c r="E849" t="s">
        <v>1561</v>
      </c>
      <c r="F849" s="6"/>
      <c r="G849" s="6"/>
      <c r="H849" s="6" t="s">
        <v>2211</v>
      </c>
      <c r="I849" t="s">
        <v>1561</v>
      </c>
      <c r="J849" t="s">
        <v>1561</v>
      </c>
      <c r="L849">
        <f t="shared" si="27"/>
        <v>1</v>
      </c>
    </row>
    <row r="850" spans="1:12" x14ac:dyDescent="0.35">
      <c r="A850">
        <f t="shared" si="28"/>
        <v>849</v>
      </c>
      <c r="B850" t="s">
        <v>305</v>
      </c>
      <c r="C850" s="109" t="str">
        <f>IF(ISBLANK(K850),IFERROR(VLOOKUP(I850,FS_input_data!$C$107:$N$306,Export!J850,FALSE),""),K850)</f>
        <v/>
      </c>
      <c r="D850" s="6"/>
      <c r="E850" t="s">
        <v>1561</v>
      </c>
      <c r="F850" s="6"/>
      <c r="G850" s="6"/>
      <c r="H850" s="6" t="s">
        <v>2211</v>
      </c>
      <c r="I850" t="s">
        <v>1561</v>
      </c>
      <c r="J850" t="s">
        <v>1561</v>
      </c>
      <c r="L850">
        <f t="shared" si="27"/>
        <v>1</v>
      </c>
    </row>
    <row r="851" spans="1:12" x14ac:dyDescent="0.35">
      <c r="A851">
        <f t="shared" si="28"/>
        <v>850</v>
      </c>
      <c r="B851" t="s">
        <v>306</v>
      </c>
      <c r="C851" s="109" t="str">
        <f>IF(ISBLANK(K851),IFERROR(VLOOKUP(I851,FS_input_data!$C$107:$N$306,Export!J851,FALSE),""),K851)</f>
        <v/>
      </c>
      <c r="D851" s="6"/>
      <c r="E851" t="s">
        <v>1255</v>
      </c>
      <c r="F851" s="6"/>
      <c r="G851" s="6"/>
      <c r="H851" s="6" t="s">
        <v>2211</v>
      </c>
      <c r="I851" t="s">
        <v>1561</v>
      </c>
      <c r="J851" t="s">
        <v>1561</v>
      </c>
      <c r="L851" s="26" t="e">
        <f t="shared" si="27"/>
        <v>#VALUE!</v>
      </c>
    </row>
    <row r="852" spans="1:12" x14ac:dyDescent="0.35">
      <c r="A852" s="9">
        <f t="shared" si="28"/>
        <v>851</v>
      </c>
      <c r="B852" t="s">
        <v>109</v>
      </c>
      <c r="C852" s="109">
        <f>IF(ISBLANK(K852),IFERROR(VLOOKUP(I852,FS_input_data!$C$107:$N$306,Export!J852,FALSE),""),K852)</f>
        <v>10</v>
      </c>
      <c r="D852" s="6" t="b">
        <v>1</v>
      </c>
      <c r="E852" t="s">
        <v>1561</v>
      </c>
      <c r="F852" s="6"/>
      <c r="G852" s="6"/>
      <c r="H852" s="6" t="s">
        <v>2211</v>
      </c>
      <c r="I852" t="s">
        <v>1254</v>
      </c>
      <c r="J852">
        <v>3</v>
      </c>
      <c r="L852" s="9" t="e">
        <f t="shared" si="27"/>
        <v>#VALUE!</v>
      </c>
    </row>
    <row r="853" spans="1:12" x14ac:dyDescent="0.35">
      <c r="A853">
        <f t="shared" si="28"/>
        <v>852</v>
      </c>
      <c r="B853" t="s">
        <v>110</v>
      </c>
      <c r="C853" s="109" t="str">
        <f>IF(ISBLANK(K853),IFERROR(VLOOKUP(I853,FS_input_data!$C$107:$N$306,Export!J853,FALSE),""),K853)</f>
        <v/>
      </c>
      <c r="D853" s="6"/>
      <c r="F853" s="6"/>
      <c r="G853" s="6"/>
      <c r="H853" s="6" t="s">
        <v>2211</v>
      </c>
      <c r="I853" t="s">
        <v>1561</v>
      </c>
      <c r="J853" t="s">
        <v>1561</v>
      </c>
      <c r="L853">
        <f t="shared" si="27"/>
        <v>1</v>
      </c>
    </row>
    <row r="854" spans="1:12" x14ac:dyDescent="0.35">
      <c r="A854" s="9">
        <f t="shared" si="28"/>
        <v>853</v>
      </c>
      <c r="B854" t="s">
        <v>111</v>
      </c>
      <c r="C854" s="109">
        <f>IF(ISBLANK(K854),IFERROR(VLOOKUP(I854,FS_input_data!$C$107:$N$306,Export!J854,FALSE),""),K854)</f>
        <v>110</v>
      </c>
      <c r="D854" s="6" t="b">
        <v>1</v>
      </c>
      <c r="F854" s="6"/>
      <c r="G854" s="6"/>
      <c r="H854" s="6" t="s">
        <v>2211</v>
      </c>
      <c r="I854" t="s">
        <v>1254</v>
      </c>
      <c r="J854">
        <v>4</v>
      </c>
      <c r="L854" s="9" t="e">
        <f t="shared" si="27"/>
        <v>#VALUE!</v>
      </c>
    </row>
    <row r="855" spans="1:12" x14ac:dyDescent="0.35">
      <c r="A855">
        <f t="shared" si="28"/>
        <v>854</v>
      </c>
      <c r="B855" t="s">
        <v>112</v>
      </c>
      <c r="C855" s="109" t="str">
        <f>IF(ISBLANK(K855),IFERROR(VLOOKUP(I855,FS_input_data!$C$107:$N$306,Export!J855,FALSE),""),K855)</f>
        <v/>
      </c>
      <c r="D855" s="6"/>
      <c r="E855" t="s">
        <v>1561</v>
      </c>
      <c r="F855" s="6"/>
      <c r="G855" s="6"/>
      <c r="H855" s="6" t="s">
        <v>2211</v>
      </c>
      <c r="I855" t="s">
        <v>1561</v>
      </c>
      <c r="J855" t="s">
        <v>1561</v>
      </c>
      <c r="L855">
        <f t="shared" si="27"/>
        <v>1</v>
      </c>
    </row>
    <row r="856" spans="1:12" x14ac:dyDescent="0.35">
      <c r="A856">
        <f t="shared" si="28"/>
        <v>855</v>
      </c>
      <c r="B856" t="s">
        <v>307</v>
      </c>
      <c r="C856" s="109" t="str">
        <f>IF(ISBLANK(K856),IFERROR(VLOOKUP(I856,FS_input_data!$C$107:$N$306,Export!J856,FALSE),""),K856)</f>
        <v/>
      </c>
      <c r="D856" s="6"/>
      <c r="E856" t="s">
        <v>1561</v>
      </c>
      <c r="F856" s="6"/>
      <c r="G856" s="6"/>
      <c r="H856" s="6" t="s">
        <v>2211</v>
      </c>
      <c r="I856" t="s">
        <v>1561</v>
      </c>
      <c r="J856" t="s">
        <v>1561</v>
      </c>
      <c r="L856">
        <f t="shared" si="27"/>
        <v>1</v>
      </c>
    </row>
    <row r="857" spans="1:12" x14ac:dyDescent="0.35">
      <c r="A857">
        <f t="shared" si="28"/>
        <v>856</v>
      </c>
      <c r="B857" t="s">
        <v>308</v>
      </c>
      <c r="C857" s="109" t="str">
        <f>IF(ISBLANK(K857),IFERROR(VLOOKUP(I857,FS_input_data!$C$107:$N$306,Export!J857,FALSE),""),K857)</f>
        <v/>
      </c>
      <c r="D857" s="6"/>
      <c r="E857" t="s">
        <v>1258</v>
      </c>
      <c r="F857" s="6"/>
      <c r="G857" s="6"/>
      <c r="H857" s="6" t="s">
        <v>2211</v>
      </c>
      <c r="I857" t="s">
        <v>1561</v>
      </c>
      <c r="J857" t="s">
        <v>1561</v>
      </c>
      <c r="L857" s="26" t="e">
        <f t="shared" si="27"/>
        <v>#VALUE!</v>
      </c>
    </row>
    <row r="858" spans="1:12" x14ac:dyDescent="0.35">
      <c r="A858" s="9">
        <f t="shared" si="28"/>
        <v>857</v>
      </c>
      <c r="B858" t="s">
        <v>109</v>
      </c>
      <c r="C858" s="109">
        <f>IF(ISBLANK(K858),IFERROR(VLOOKUP(I858,FS_input_data!$C$107:$N$306,Export!J858,FALSE),""),K858)</f>
        <v>11</v>
      </c>
      <c r="D858" s="6" t="b">
        <v>1</v>
      </c>
      <c r="E858" t="s">
        <v>1561</v>
      </c>
      <c r="F858" s="6"/>
      <c r="G858" s="6"/>
      <c r="H858" s="6" t="s">
        <v>2211</v>
      </c>
      <c r="I858" t="s">
        <v>1257</v>
      </c>
      <c r="J858">
        <v>3</v>
      </c>
      <c r="L858" s="9" t="e">
        <f t="shared" si="27"/>
        <v>#VALUE!</v>
      </c>
    </row>
    <row r="859" spans="1:12" x14ac:dyDescent="0.35">
      <c r="A859">
        <f t="shared" si="28"/>
        <v>858</v>
      </c>
      <c r="B859" t="s">
        <v>110</v>
      </c>
      <c r="C859" s="109" t="str">
        <f>IF(ISBLANK(K859),IFERROR(VLOOKUP(I859,FS_input_data!$C$107:$N$306,Export!J859,FALSE),""),K859)</f>
        <v/>
      </c>
      <c r="D859" s="6"/>
      <c r="F859" s="6"/>
      <c r="G859" s="6"/>
      <c r="H859" s="6" t="s">
        <v>2211</v>
      </c>
      <c r="I859" t="s">
        <v>1561</v>
      </c>
      <c r="J859" t="s">
        <v>1561</v>
      </c>
      <c r="L859">
        <f t="shared" si="27"/>
        <v>1</v>
      </c>
    </row>
    <row r="860" spans="1:12" x14ac:dyDescent="0.35">
      <c r="A860" s="9">
        <f t="shared" si="28"/>
        <v>859</v>
      </c>
      <c r="B860" t="s">
        <v>111</v>
      </c>
      <c r="C860" s="109">
        <f>IF(ISBLANK(K860),IFERROR(VLOOKUP(I860,FS_input_data!$C$107:$N$306,Export!J860,FALSE),""),K860)</f>
        <v>111</v>
      </c>
      <c r="D860" s="6" t="b">
        <v>1</v>
      </c>
      <c r="E860" t="s">
        <v>1561</v>
      </c>
      <c r="F860" s="6"/>
      <c r="G860" s="6"/>
      <c r="H860" s="6" t="s">
        <v>2211</v>
      </c>
      <c r="I860" t="s">
        <v>1257</v>
      </c>
      <c r="J860">
        <v>4</v>
      </c>
      <c r="L860" s="9" t="e">
        <f t="shared" si="27"/>
        <v>#VALUE!</v>
      </c>
    </row>
    <row r="861" spans="1:12" x14ac:dyDescent="0.35">
      <c r="A861">
        <f t="shared" si="28"/>
        <v>860</v>
      </c>
      <c r="B861" t="s">
        <v>112</v>
      </c>
      <c r="C861" s="109" t="str">
        <f>IF(ISBLANK(K861),IFERROR(VLOOKUP(I861,FS_input_data!$C$107:$N$306,Export!J861,FALSE),""),K861)</f>
        <v/>
      </c>
      <c r="D861" s="6"/>
      <c r="E861" t="s">
        <v>1561</v>
      </c>
      <c r="F861" s="6"/>
      <c r="G861" s="6"/>
      <c r="H861" s="6" t="s">
        <v>2211</v>
      </c>
      <c r="I861" t="s">
        <v>1561</v>
      </c>
      <c r="J861" t="s">
        <v>1561</v>
      </c>
      <c r="L861">
        <f t="shared" si="27"/>
        <v>1</v>
      </c>
    </row>
    <row r="862" spans="1:12" x14ac:dyDescent="0.35">
      <c r="A862">
        <f t="shared" si="28"/>
        <v>861</v>
      </c>
      <c r="B862" t="s">
        <v>309</v>
      </c>
      <c r="C862" s="109" t="str">
        <f>IF(ISBLANK(K862),IFERROR(VLOOKUP(I862,FS_input_data!$C$107:$N$306,Export!J862,FALSE),""),K862)</f>
        <v/>
      </c>
      <c r="D862" s="6"/>
      <c r="E862" t="s">
        <v>1561</v>
      </c>
      <c r="F862" s="6"/>
      <c r="G862" s="6"/>
      <c r="H862" s="6" t="s">
        <v>2211</v>
      </c>
      <c r="I862" t="s">
        <v>1561</v>
      </c>
      <c r="J862" t="s">
        <v>1561</v>
      </c>
      <c r="L862">
        <f t="shared" si="27"/>
        <v>1</v>
      </c>
    </row>
    <row r="863" spans="1:12" x14ac:dyDescent="0.35">
      <c r="A863">
        <f t="shared" si="28"/>
        <v>862</v>
      </c>
      <c r="B863" t="s">
        <v>310</v>
      </c>
      <c r="C863" s="109" t="str">
        <f>IF(ISBLANK(K863),IFERROR(VLOOKUP(I863,FS_input_data!$C$107:$N$306,Export!J863,FALSE),""),K863)</f>
        <v/>
      </c>
      <c r="D863" s="6"/>
      <c r="E863" t="s">
        <v>2215</v>
      </c>
      <c r="F863" s="6"/>
      <c r="G863" s="6"/>
      <c r="H863" s="6" t="s">
        <v>2211</v>
      </c>
      <c r="I863" t="s">
        <v>1561</v>
      </c>
      <c r="J863" t="s">
        <v>1561</v>
      </c>
      <c r="L863" s="26" t="e">
        <f t="shared" si="27"/>
        <v>#VALUE!</v>
      </c>
    </row>
    <row r="864" spans="1:12" x14ac:dyDescent="0.35">
      <c r="A864" s="9">
        <f t="shared" si="28"/>
        <v>863</v>
      </c>
      <c r="B864" t="s">
        <v>109</v>
      </c>
      <c r="C864" s="109">
        <f>IF(ISBLANK(K864),IFERROR(VLOOKUP(I864,FS_input_data!$C$107:$N$306,Export!J864,FALSE),""),K864)</f>
        <v>12</v>
      </c>
      <c r="D864" s="6" t="b">
        <v>1</v>
      </c>
      <c r="E864" t="s">
        <v>1561</v>
      </c>
      <c r="F864" s="6"/>
      <c r="G864" s="6"/>
      <c r="H864" s="6" t="s">
        <v>2211</v>
      </c>
      <c r="I864" t="s">
        <v>1260</v>
      </c>
      <c r="J864">
        <v>3</v>
      </c>
      <c r="L864" s="9" t="e">
        <f t="shared" si="27"/>
        <v>#VALUE!</v>
      </c>
    </row>
    <row r="865" spans="1:12" x14ac:dyDescent="0.35">
      <c r="A865">
        <f t="shared" si="28"/>
        <v>864</v>
      </c>
      <c r="B865" t="s">
        <v>110</v>
      </c>
      <c r="C865" s="109" t="str">
        <f>IF(ISBLANK(K865),IFERROR(VLOOKUP(I865,FS_input_data!$C$107:$N$306,Export!J865,FALSE),""),K865)</f>
        <v/>
      </c>
      <c r="D865" s="6"/>
      <c r="F865" s="6"/>
      <c r="G865" s="6"/>
      <c r="H865" s="6" t="s">
        <v>2211</v>
      </c>
      <c r="I865" t="s">
        <v>1561</v>
      </c>
      <c r="J865" t="s">
        <v>1561</v>
      </c>
      <c r="L865">
        <f t="shared" si="27"/>
        <v>1</v>
      </c>
    </row>
    <row r="866" spans="1:12" x14ac:dyDescent="0.35">
      <c r="A866" s="9">
        <f t="shared" si="28"/>
        <v>865</v>
      </c>
      <c r="B866" t="s">
        <v>111</v>
      </c>
      <c r="C866" s="109">
        <f>IF(ISBLANK(K866),IFERROR(VLOOKUP(I866,FS_input_data!$C$107:$N$306,Export!J866,FALSE),""),K866)</f>
        <v>112</v>
      </c>
      <c r="D866" s="6" t="b">
        <v>1</v>
      </c>
      <c r="E866" t="s">
        <v>1561</v>
      </c>
      <c r="F866" s="6"/>
      <c r="G866" s="6"/>
      <c r="H866" s="6" t="s">
        <v>2211</v>
      </c>
      <c r="I866" t="s">
        <v>1260</v>
      </c>
      <c r="J866">
        <v>4</v>
      </c>
      <c r="L866" s="9" t="e">
        <f t="shared" si="27"/>
        <v>#VALUE!</v>
      </c>
    </row>
    <row r="867" spans="1:12" x14ac:dyDescent="0.35">
      <c r="A867">
        <f t="shared" si="28"/>
        <v>866</v>
      </c>
      <c r="B867" t="s">
        <v>112</v>
      </c>
      <c r="C867" s="109" t="str">
        <f>IF(ISBLANK(K867),IFERROR(VLOOKUP(I867,FS_input_data!$C$107:$N$306,Export!J867,FALSE),""),K867)</f>
        <v/>
      </c>
      <c r="D867" s="6"/>
      <c r="E867" t="s">
        <v>1561</v>
      </c>
      <c r="F867" s="6"/>
      <c r="G867" s="6"/>
      <c r="H867" s="6" t="s">
        <v>2211</v>
      </c>
      <c r="I867" t="s">
        <v>1561</v>
      </c>
      <c r="J867" t="s">
        <v>1561</v>
      </c>
      <c r="L867">
        <f t="shared" si="27"/>
        <v>1</v>
      </c>
    </row>
    <row r="868" spans="1:12" x14ac:dyDescent="0.35">
      <c r="A868">
        <f t="shared" si="28"/>
        <v>867</v>
      </c>
      <c r="B868" t="s">
        <v>311</v>
      </c>
      <c r="C868" s="109" t="str">
        <f>IF(ISBLANK(K868),IFERROR(VLOOKUP(I868,FS_input_data!$C$107:$N$306,Export!J868,FALSE),""),K868)</f>
        <v/>
      </c>
      <c r="D868" s="6"/>
      <c r="E868" t="s">
        <v>1561</v>
      </c>
      <c r="F868" s="6"/>
      <c r="G868" s="6"/>
      <c r="H868" s="6" t="s">
        <v>2211</v>
      </c>
      <c r="I868" t="s">
        <v>1561</v>
      </c>
      <c r="J868" t="s">
        <v>1561</v>
      </c>
      <c r="L868">
        <f t="shared" si="27"/>
        <v>1</v>
      </c>
    </row>
    <row r="869" spans="1:12" x14ac:dyDescent="0.35">
      <c r="A869">
        <f t="shared" si="28"/>
        <v>868</v>
      </c>
      <c r="B869" t="s">
        <v>312</v>
      </c>
      <c r="C869" s="109" t="str">
        <f>IF(ISBLANK(K869),IFERROR(VLOOKUP(I869,FS_input_data!$C$107:$N$306,Export!J869,FALSE),""),K869)</f>
        <v/>
      </c>
      <c r="D869" s="6"/>
      <c r="E869" t="s">
        <v>1561</v>
      </c>
      <c r="F869" s="6"/>
      <c r="G869" s="6"/>
      <c r="H869" s="6" t="s">
        <v>2211</v>
      </c>
      <c r="I869" t="s">
        <v>1561</v>
      </c>
      <c r="J869" t="s">
        <v>1561</v>
      </c>
      <c r="L869">
        <f t="shared" si="27"/>
        <v>1</v>
      </c>
    </row>
    <row r="870" spans="1:12" x14ac:dyDescent="0.35">
      <c r="A870">
        <f t="shared" si="28"/>
        <v>869</v>
      </c>
      <c r="B870" t="s">
        <v>313</v>
      </c>
      <c r="C870" s="109" t="str">
        <f>IF(ISBLANK(K870),IFERROR(VLOOKUP(I870,FS_input_data!$C$107:$N$306,Export!J870,FALSE),""),K870)</f>
        <v/>
      </c>
      <c r="D870" s="6"/>
      <c r="E870" t="s">
        <v>1264</v>
      </c>
      <c r="F870" s="6"/>
      <c r="G870" s="6"/>
      <c r="H870" s="6" t="s">
        <v>2211</v>
      </c>
      <c r="I870" t="s">
        <v>1561</v>
      </c>
      <c r="J870" t="s">
        <v>1561</v>
      </c>
      <c r="L870" s="26" t="e">
        <f t="shared" si="27"/>
        <v>#VALUE!</v>
      </c>
    </row>
    <row r="871" spans="1:12" x14ac:dyDescent="0.35">
      <c r="A871" s="9">
        <f t="shared" si="28"/>
        <v>870</v>
      </c>
      <c r="B871" t="s">
        <v>109</v>
      </c>
      <c r="C871" s="109">
        <f>IF(ISBLANK(K871),IFERROR(VLOOKUP(I871,FS_input_data!$C$107:$N$306,Export!J871,FALSE),""),K871)</f>
        <v>2563</v>
      </c>
      <c r="D871" s="6" t="b">
        <v>1</v>
      </c>
      <c r="E871" t="s">
        <v>1561</v>
      </c>
      <c r="F871" s="6"/>
      <c r="G871" s="6"/>
      <c r="H871" s="6" t="s">
        <v>2211</v>
      </c>
      <c r="I871" t="s">
        <v>1263</v>
      </c>
      <c r="J871">
        <v>3</v>
      </c>
      <c r="L871" s="9" t="e">
        <f t="shared" si="27"/>
        <v>#VALUE!</v>
      </c>
    </row>
    <row r="872" spans="1:12" x14ac:dyDescent="0.35">
      <c r="A872">
        <f t="shared" si="28"/>
        <v>871</v>
      </c>
      <c r="B872" t="s">
        <v>110</v>
      </c>
      <c r="C872" s="109" t="str">
        <f>IF(ISBLANK(K872),IFERROR(VLOOKUP(I872,FS_input_data!$C$107:$N$306,Export!J872,FALSE),""),K872)</f>
        <v/>
      </c>
      <c r="D872" s="6"/>
      <c r="F872" s="6"/>
      <c r="G872" s="6"/>
      <c r="H872" s="6" t="s">
        <v>2211</v>
      </c>
      <c r="I872" t="s">
        <v>1561</v>
      </c>
      <c r="J872" t="s">
        <v>1561</v>
      </c>
      <c r="L872">
        <f t="shared" si="27"/>
        <v>1</v>
      </c>
    </row>
    <row r="873" spans="1:12" x14ac:dyDescent="0.35">
      <c r="A873" s="9">
        <f t="shared" si="28"/>
        <v>872</v>
      </c>
      <c r="B873" t="s">
        <v>111</v>
      </c>
      <c r="C873" s="109">
        <f>IF(ISBLANK(K873),IFERROR(VLOOKUP(I873,FS_input_data!$C$107:$N$306,Export!J873,FALSE),""),K873)</f>
        <v>7863</v>
      </c>
      <c r="D873" s="6" t="b">
        <v>1</v>
      </c>
      <c r="E873" t="s">
        <v>1561</v>
      </c>
      <c r="F873" s="6"/>
      <c r="G873" s="6"/>
      <c r="H873" s="6" t="s">
        <v>2211</v>
      </c>
      <c r="I873" t="s">
        <v>1263</v>
      </c>
      <c r="J873">
        <v>4</v>
      </c>
      <c r="L873" s="9" t="e">
        <f t="shared" si="27"/>
        <v>#VALUE!</v>
      </c>
    </row>
    <row r="874" spans="1:12" x14ac:dyDescent="0.35">
      <c r="A874">
        <f t="shared" si="28"/>
        <v>873</v>
      </c>
      <c r="B874" t="s">
        <v>112</v>
      </c>
      <c r="C874" s="109" t="str">
        <f>IF(ISBLANK(K874),IFERROR(VLOOKUP(I874,FS_input_data!$C$107:$N$306,Export!J874,FALSE),""),K874)</f>
        <v/>
      </c>
      <c r="D874" s="6"/>
      <c r="E874" t="s">
        <v>1561</v>
      </c>
      <c r="F874" s="6"/>
      <c r="G874" s="6"/>
      <c r="H874" s="6" t="s">
        <v>2211</v>
      </c>
      <c r="I874" t="s">
        <v>1561</v>
      </c>
      <c r="J874" t="s">
        <v>1561</v>
      </c>
      <c r="L874">
        <f t="shared" si="27"/>
        <v>1</v>
      </c>
    </row>
    <row r="875" spans="1:12" x14ac:dyDescent="0.35">
      <c r="A875">
        <f t="shared" si="28"/>
        <v>874</v>
      </c>
      <c r="B875" t="s">
        <v>314</v>
      </c>
      <c r="C875" s="109" t="str">
        <f>IF(ISBLANK(K875),IFERROR(VLOOKUP(I875,FS_input_data!$C$107:$N$306,Export!J875,FALSE),""),K875)</f>
        <v/>
      </c>
      <c r="D875" s="6"/>
      <c r="E875" t="s">
        <v>1267</v>
      </c>
      <c r="F875" s="6"/>
      <c r="G875" s="6"/>
      <c r="H875" s="6" t="s">
        <v>2211</v>
      </c>
      <c r="I875" t="s">
        <v>1561</v>
      </c>
      <c r="J875" t="s">
        <v>1561</v>
      </c>
      <c r="L875" s="26" t="e">
        <f t="shared" si="27"/>
        <v>#VALUE!</v>
      </c>
    </row>
    <row r="876" spans="1:12" x14ac:dyDescent="0.35">
      <c r="A876" s="9">
        <f t="shared" si="28"/>
        <v>875</v>
      </c>
      <c r="B876" t="s">
        <v>109</v>
      </c>
      <c r="C876" s="109">
        <f>IF(ISBLANK(K876),IFERROR(VLOOKUP(I876,FS_input_data!$C$107:$N$306,Export!J876,FALSE),""),K876)</f>
        <v>1442</v>
      </c>
      <c r="D876" s="6" t="b">
        <v>1</v>
      </c>
      <c r="E876" t="s">
        <v>1561</v>
      </c>
      <c r="F876" s="6"/>
      <c r="G876" s="6"/>
      <c r="H876" s="6" t="s">
        <v>2211</v>
      </c>
      <c r="I876" t="s">
        <v>1266</v>
      </c>
      <c r="J876">
        <v>3</v>
      </c>
      <c r="L876" s="9" t="e">
        <f t="shared" si="27"/>
        <v>#VALUE!</v>
      </c>
    </row>
    <row r="877" spans="1:12" x14ac:dyDescent="0.35">
      <c r="A877">
        <f t="shared" si="28"/>
        <v>876</v>
      </c>
      <c r="B877" t="s">
        <v>110</v>
      </c>
      <c r="C877" s="109" t="str">
        <f>IF(ISBLANK(K877),IFERROR(VLOOKUP(I877,FS_input_data!$C$107:$N$306,Export!J877,FALSE),""),K877)</f>
        <v/>
      </c>
      <c r="D877" s="6"/>
      <c r="F877" s="6"/>
      <c r="G877" s="6"/>
      <c r="H877" s="6" t="s">
        <v>2211</v>
      </c>
      <c r="I877" t="s">
        <v>1561</v>
      </c>
      <c r="J877" t="s">
        <v>1561</v>
      </c>
      <c r="L877">
        <f t="shared" si="27"/>
        <v>1</v>
      </c>
    </row>
    <row r="878" spans="1:12" x14ac:dyDescent="0.35">
      <c r="A878" s="9">
        <f t="shared" si="28"/>
        <v>877</v>
      </c>
      <c r="B878" t="s">
        <v>111</v>
      </c>
      <c r="C878" s="109">
        <f>IF(ISBLANK(K878),IFERROR(VLOOKUP(I878,FS_input_data!$C$107:$N$306,Export!J878,FALSE),""),K878)</f>
        <v>4042</v>
      </c>
      <c r="D878" s="6" t="b">
        <v>1</v>
      </c>
      <c r="E878" t="s">
        <v>1561</v>
      </c>
      <c r="F878" s="6"/>
      <c r="G878" s="6"/>
      <c r="H878" s="6" t="s">
        <v>2211</v>
      </c>
      <c r="I878" t="s">
        <v>1266</v>
      </c>
      <c r="J878">
        <v>4</v>
      </c>
      <c r="L878" s="9" t="e">
        <f t="shared" si="27"/>
        <v>#VALUE!</v>
      </c>
    </row>
    <row r="879" spans="1:12" x14ac:dyDescent="0.35">
      <c r="A879">
        <f t="shared" si="28"/>
        <v>878</v>
      </c>
      <c r="B879" t="s">
        <v>112</v>
      </c>
      <c r="C879" s="109" t="str">
        <f>IF(ISBLANK(K879),IFERROR(VLOOKUP(I879,FS_input_data!$C$107:$N$306,Export!J879,FALSE),""),K879)</f>
        <v/>
      </c>
      <c r="D879" s="6"/>
      <c r="E879" t="s">
        <v>1561</v>
      </c>
      <c r="F879" s="6"/>
      <c r="G879" s="6"/>
      <c r="H879" s="6" t="s">
        <v>2211</v>
      </c>
      <c r="I879" t="s">
        <v>1561</v>
      </c>
      <c r="J879" t="s">
        <v>1561</v>
      </c>
      <c r="L879">
        <f t="shared" si="27"/>
        <v>1</v>
      </c>
    </row>
    <row r="880" spans="1:12" x14ac:dyDescent="0.35">
      <c r="A880">
        <f t="shared" si="28"/>
        <v>879</v>
      </c>
      <c r="B880" t="s">
        <v>315</v>
      </c>
      <c r="C880" s="109" t="str">
        <f>IF(ISBLANK(K880),IFERROR(VLOOKUP(I880,FS_input_data!$C$107:$N$306,Export!J880,FALSE),""),K880)</f>
        <v/>
      </c>
      <c r="D880" s="6"/>
      <c r="E880" t="s">
        <v>1270</v>
      </c>
      <c r="F880" s="6"/>
      <c r="G880" s="6"/>
      <c r="H880" s="6" t="s">
        <v>2211</v>
      </c>
      <c r="I880" t="s">
        <v>1561</v>
      </c>
      <c r="J880" t="s">
        <v>1561</v>
      </c>
      <c r="L880" s="26" t="e">
        <f t="shared" si="27"/>
        <v>#VALUE!</v>
      </c>
    </row>
    <row r="881" spans="1:12" x14ac:dyDescent="0.35">
      <c r="A881" s="9">
        <f t="shared" si="28"/>
        <v>880</v>
      </c>
      <c r="B881" t="s">
        <v>109</v>
      </c>
      <c r="C881" s="109">
        <f>IF(ISBLANK(K881),IFERROR(VLOOKUP(I881,FS_input_data!$C$107:$N$306,Export!J881,FALSE),""),K881)</f>
        <v>15</v>
      </c>
      <c r="D881" s="6" t="b">
        <v>1</v>
      </c>
      <c r="E881" t="s">
        <v>1561</v>
      </c>
      <c r="F881" s="6"/>
      <c r="G881" s="6"/>
      <c r="H881" s="6" t="s">
        <v>2211</v>
      </c>
      <c r="I881" t="s">
        <v>1269</v>
      </c>
      <c r="J881">
        <v>3</v>
      </c>
      <c r="L881" s="9" t="e">
        <f t="shared" si="27"/>
        <v>#VALUE!</v>
      </c>
    </row>
    <row r="882" spans="1:12" x14ac:dyDescent="0.35">
      <c r="A882">
        <f t="shared" si="28"/>
        <v>881</v>
      </c>
      <c r="B882" t="s">
        <v>110</v>
      </c>
      <c r="C882" s="109" t="str">
        <f>IF(ISBLANK(K882),IFERROR(VLOOKUP(I882,FS_input_data!$C$107:$N$306,Export!J882,FALSE),""),K882)</f>
        <v/>
      </c>
      <c r="D882" s="6"/>
      <c r="F882" s="6"/>
      <c r="G882" s="6"/>
      <c r="H882" s="6" t="s">
        <v>2211</v>
      </c>
      <c r="I882" t="s">
        <v>1561</v>
      </c>
      <c r="J882" t="s">
        <v>1561</v>
      </c>
      <c r="L882">
        <f t="shared" si="27"/>
        <v>1</v>
      </c>
    </row>
    <row r="883" spans="1:12" x14ac:dyDescent="0.35">
      <c r="A883" s="9">
        <f t="shared" si="28"/>
        <v>882</v>
      </c>
      <c r="B883" t="s">
        <v>111</v>
      </c>
      <c r="C883" s="109">
        <f>IF(ISBLANK(K883),IFERROR(VLOOKUP(I883,FS_input_data!$C$107:$N$306,Export!J883,FALSE),""),K883)</f>
        <v>115</v>
      </c>
      <c r="D883" s="6" t="b">
        <v>1</v>
      </c>
      <c r="E883" t="s">
        <v>1561</v>
      </c>
      <c r="F883" s="6"/>
      <c r="G883" s="6"/>
      <c r="H883" s="6" t="s">
        <v>2211</v>
      </c>
      <c r="I883" t="s">
        <v>1269</v>
      </c>
      <c r="J883">
        <v>4</v>
      </c>
      <c r="L883" s="9" t="e">
        <f t="shared" si="27"/>
        <v>#VALUE!</v>
      </c>
    </row>
    <row r="884" spans="1:12" x14ac:dyDescent="0.35">
      <c r="A884">
        <f t="shared" si="28"/>
        <v>883</v>
      </c>
      <c r="B884" t="s">
        <v>112</v>
      </c>
      <c r="C884" s="109" t="str">
        <f>IF(ISBLANK(K884),IFERROR(VLOOKUP(I884,FS_input_data!$C$107:$N$306,Export!J884,FALSE),""),K884)</f>
        <v/>
      </c>
      <c r="D884" s="6"/>
      <c r="E884" t="s">
        <v>1561</v>
      </c>
      <c r="F884" s="6"/>
      <c r="G884" s="6"/>
      <c r="H884" s="6" t="s">
        <v>2211</v>
      </c>
      <c r="I884" t="s">
        <v>1561</v>
      </c>
      <c r="J884" t="s">
        <v>1561</v>
      </c>
      <c r="L884">
        <f t="shared" si="27"/>
        <v>1</v>
      </c>
    </row>
    <row r="885" spans="1:12" x14ac:dyDescent="0.35">
      <c r="A885">
        <f t="shared" si="28"/>
        <v>884</v>
      </c>
      <c r="B885" t="s">
        <v>316</v>
      </c>
      <c r="C885" s="109" t="str">
        <f>IF(ISBLANK(K885),IFERROR(VLOOKUP(I885,FS_input_data!$C$107:$N$306,Export!J885,FALSE),""),K885)</f>
        <v/>
      </c>
      <c r="D885" s="6"/>
      <c r="E885" t="s">
        <v>1561</v>
      </c>
      <c r="F885" s="6"/>
      <c r="G885" s="6"/>
      <c r="H885" s="6" t="s">
        <v>2211</v>
      </c>
      <c r="I885" t="s">
        <v>1561</v>
      </c>
      <c r="J885" t="s">
        <v>1561</v>
      </c>
      <c r="L885">
        <f t="shared" si="27"/>
        <v>1</v>
      </c>
    </row>
    <row r="886" spans="1:12" x14ac:dyDescent="0.35">
      <c r="A886">
        <f t="shared" si="28"/>
        <v>885</v>
      </c>
      <c r="B886" t="s">
        <v>317</v>
      </c>
      <c r="C886" s="109" t="str">
        <f>IF(ISBLANK(K886),IFERROR(VLOOKUP(I886,FS_input_data!$C$107:$N$306,Export!J886,FALSE),""),K886)</f>
        <v/>
      </c>
      <c r="D886" s="6"/>
      <c r="E886" t="s">
        <v>1273</v>
      </c>
      <c r="F886" s="6"/>
      <c r="G886" s="6"/>
      <c r="H886" s="6" t="s">
        <v>2211</v>
      </c>
      <c r="I886" t="s">
        <v>1561</v>
      </c>
      <c r="J886" t="s">
        <v>1561</v>
      </c>
      <c r="L886" s="26" t="e">
        <f t="shared" si="27"/>
        <v>#VALUE!</v>
      </c>
    </row>
    <row r="887" spans="1:12" x14ac:dyDescent="0.35">
      <c r="A887" s="9">
        <f t="shared" si="28"/>
        <v>886</v>
      </c>
      <c r="B887" t="s">
        <v>109</v>
      </c>
      <c r="C887" s="109">
        <f>IF(ISBLANK(K887),IFERROR(VLOOKUP(I887,FS_input_data!$C$107:$N$306,Export!J887,FALSE),""),K887)</f>
        <v>1386</v>
      </c>
      <c r="D887" s="6" t="b">
        <v>1</v>
      </c>
      <c r="E887" t="s">
        <v>1561</v>
      </c>
      <c r="F887" s="6"/>
      <c r="G887" s="6"/>
      <c r="H887" s="6" t="s">
        <v>2211</v>
      </c>
      <c r="I887" t="s">
        <v>1272</v>
      </c>
      <c r="J887">
        <v>3</v>
      </c>
      <c r="L887" s="9" t="e">
        <f t="shared" si="27"/>
        <v>#VALUE!</v>
      </c>
    </row>
    <row r="888" spans="1:12" x14ac:dyDescent="0.35">
      <c r="A888">
        <f t="shared" si="28"/>
        <v>887</v>
      </c>
      <c r="B888" t="s">
        <v>110</v>
      </c>
      <c r="C888" s="109" t="str">
        <f>IF(ISBLANK(K888),IFERROR(VLOOKUP(I888,FS_input_data!$C$107:$N$306,Export!J888,FALSE),""),K888)</f>
        <v/>
      </c>
      <c r="D888" s="6"/>
      <c r="F888" s="6"/>
      <c r="G888" s="6"/>
      <c r="H888" s="6" t="s">
        <v>2211</v>
      </c>
      <c r="I888" t="s">
        <v>1561</v>
      </c>
      <c r="J888" t="s">
        <v>1561</v>
      </c>
      <c r="L888">
        <f t="shared" si="27"/>
        <v>1</v>
      </c>
    </row>
    <row r="889" spans="1:12" x14ac:dyDescent="0.35">
      <c r="A889" s="9">
        <f t="shared" si="28"/>
        <v>888</v>
      </c>
      <c r="B889" t="s">
        <v>111</v>
      </c>
      <c r="C889" s="109">
        <f>IF(ISBLANK(K889),IFERROR(VLOOKUP(I889,FS_input_data!$C$107:$N$306,Export!J889,FALSE),""),K889)</f>
        <v>3686</v>
      </c>
      <c r="D889" s="6" t="b">
        <v>1</v>
      </c>
      <c r="E889" t="s">
        <v>1561</v>
      </c>
      <c r="F889" s="6"/>
      <c r="G889" s="6"/>
      <c r="H889" s="6" t="s">
        <v>2211</v>
      </c>
      <c r="I889" t="s">
        <v>1272</v>
      </c>
      <c r="J889">
        <v>4</v>
      </c>
      <c r="L889" s="9" t="e">
        <f t="shared" si="27"/>
        <v>#VALUE!</v>
      </c>
    </row>
    <row r="890" spans="1:12" x14ac:dyDescent="0.35">
      <c r="A890">
        <f t="shared" si="28"/>
        <v>889</v>
      </c>
      <c r="B890" t="s">
        <v>112</v>
      </c>
      <c r="C890" s="109" t="str">
        <f>IF(ISBLANK(K890),IFERROR(VLOOKUP(I890,FS_input_data!$C$107:$N$306,Export!J890,FALSE),""),K890)</f>
        <v/>
      </c>
      <c r="D890" s="6"/>
      <c r="E890" t="s">
        <v>1561</v>
      </c>
      <c r="F890" s="6"/>
      <c r="G890" s="6"/>
      <c r="H890" s="6" t="s">
        <v>2211</v>
      </c>
      <c r="I890" t="s">
        <v>1561</v>
      </c>
      <c r="J890" t="s">
        <v>1561</v>
      </c>
      <c r="L890">
        <f t="shared" si="27"/>
        <v>1</v>
      </c>
    </row>
    <row r="891" spans="1:12" x14ac:dyDescent="0.35">
      <c r="A891">
        <f t="shared" si="28"/>
        <v>890</v>
      </c>
      <c r="B891" t="s">
        <v>318</v>
      </c>
      <c r="C891" s="109" t="str">
        <f>IF(ISBLANK(K891),IFERROR(VLOOKUP(I891,FS_input_data!$C$107:$N$306,Export!J891,FALSE),""),K891)</f>
        <v/>
      </c>
      <c r="D891" s="6"/>
      <c r="E891" t="s">
        <v>1276</v>
      </c>
      <c r="F891" s="6"/>
      <c r="G891" s="6"/>
      <c r="H891" s="6" t="s">
        <v>2211</v>
      </c>
      <c r="I891" t="s">
        <v>1561</v>
      </c>
      <c r="J891" t="s">
        <v>1561</v>
      </c>
      <c r="L891" s="26" t="e">
        <f t="shared" si="27"/>
        <v>#VALUE!</v>
      </c>
    </row>
    <row r="892" spans="1:12" x14ac:dyDescent="0.35">
      <c r="A892" s="9">
        <f t="shared" si="28"/>
        <v>891</v>
      </c>
      <c r="B892" t="s">
        <v>109</v>
      </c>
      <c r="C892" s="109">
        <f>IF(ISBLANK(K892),IFERROR(VLOOKUP(I892,FS_input_data!$C$107:$N$306,Export!J892,FALSE),""),K892)</f>
        <v>1368</v>
      </c>
      <c r="D892" s="6" t="b">
        <v>1</v>
      </c>
      <c r="E892" t="s">
        <v>1561</v>
      </c>
      <c r="F892" s="6"/>
      <c r="G892" s="6"/>
      <c r="H892" s="6" t="s">
        <v>2211</v>
      </c>
      <c r="I892" t="s">
        <v>1275</v>
      </c>
      <c r="J892">
        <v>3</v>
      </c>
      <c r="L892" s="9" t="e">
        <f t="shared" si="27"/>
        <v>#VALUE!</v>
      </c>
    </row>
    <row r="893" spans="1:12" x14ac:dyDescent="0.35">
      <c r="A893">
        <f t="shared" si="28"/>
        <v>892</v>
      </c>
      <c r="B893" t="s">
        <v>110</v>
      </c>
      <c r="C893" s="109" t="str">
        <f>IF(ISBLANK(K893),IFERROR(VLOOKUP(I893,FS_input_data!$C$107:$N$306,Export!J893,FALSE),""),K893)</f>
        <v/>
      </c>
      <c r="D893" s="6"/>
      <c r="F893" s="6"/>
      <c r="G893" s="6"/>
      <c r="H893" s="6" t="s">
        <v>2211</v>
      </c>
      <c r="I893" t="s">
        <v>1561</v>
      </c>
      <c r="J893" t="s">
        <v>1561</v>
      </c>
      <c r="L893">
        <f t="shared" si="27"/>
        <v>1</v>
      </c>
    </row>
    <row r="894" spans="1:12" x14ac:dyDescent="0.35">
      <c r="A894" s="9">
        <f t="shared" si="28"/>
        <v>893</v>
      </c>
      <c r="B894" t="s">
        <v>111</v>
      </c>
      <c r="C894" s="109">
        <f>IF(ISBLANK(K894),IFERROR(VLOOKUP(I894,FS_input_data!$C$107:$N$306,Export!J894,FALSE),""),K894)</f>
        <v>3568</v>
      </c>
      <c r="D894" s="6" t="b">
        <v>1</v>
      </c>
      <c r="E894" t="s">
        <v>1561</v>
      </c>
      <c r="F894" s="6"/>
      <c r="G894" s="6"/>
      <c r="H894" s="6" t="s">
        <v>2211</v>
      </c>
      <c r="I894" t="s">
        <v>1275</v>
      </c>
      <c r="J894">
        <v>4</v>
      </c>
      <c r="L894" s="9" t="e">
        <f t="shared" si="27"/>
        <v>#VALUE!</v>
      </c>
    </row>
    <row r="895" spans="1:12" x14ac:dyDescent="0.35">
      <c r="A895">
        <f t="shared" si="28"/>
        <v>894</v>
      </c>
      <c r="B895" t="s">
        <v>112</v>
      </c>
      <c r="C895" s="109" t="str">
        <f>IF(ISBLANK(K895),IFERROR(VLOOKUP(I895,FS_input_data!$C$107:$N$306,Export!J895,FALSE),""),K895)</f>
        <v/>
      </c>
      <c r="D895" s="6"/>
      <c r="E895" t="s">
        <v>1561</v>
      </c>
      <c r="F895" s="6"/>
      <c r="G895" s="6"/>
      <c r="H895" s="6" t="s">
        <v>2211</v>
      </c>
      <c r="I895" t="s">
        <v>1561</v>
      </c>
      <c r="J895" t="s">
        <v>1561</v>
      </c>
      <c r="L895">
        <f t="shared" si="27"/>
        <v>1</v>
      </c>
    </row>
    <row r="896" spans="1:12" x14ac:dyDescent="0.35">
      <c r="A896">
        <f t="shared" si="28"/>
        <v>895</v>
      </c>
      <c r="B896" t="s">
        <v>319</v>
      </c>
      <c r="C896" s="109" t="str">
        <f>IF(ISBLANK(K896),IFERROR(VLOOKUP(I896,FS_input_data!$C$107:$N$306,Export!J896,FALSE),""),K896)</f>
        <v/>
      </c>
      <c r="D896" s="6"/>
      <c r="E896" t="s">
        <v>1561</v>
      </c>
      <c r="F896" s="6"/>
      <c r="G896" s="6"/>
      <c r="H896" s="6" t="s">
        <v>2211</v>
      </c>
      <c r="I896" t="s">
        <v>1561</v>
      </c>
      <c r="J896" t="s">
        <v>1561</v>
      </c>
      <c r="L896">
        <f t="shared" si="27"/>
        <v>1</v>
      </c>
    </row>
    <row r="897" spans="1:12" x14ac:dyDescent="0.35">
      <c r="A897">
        <f t="shared" si="28"/>
        <v>896</v>
      </c>
      <c r="B897" t="s">
        <v>320</v>
      </c>
      <c r="C897" s="109" t="str">
        <f>IF(ISBLANK(K897),IFERROR(VLOOKUP(I897,FS_input_data!$C$107:$N$306,Export!J897,FALSE),""),K897)</f>
        <v/>
      </c>
      <c r="D897" s="6"/>
      <c r="E897" t="s">
        <v>1279</v>
      </c>
      <c r="F897" s="6"/>
      <c r="G897" s="6"/>
      <c r="H897" s="6" t="s">
        <v>2211</v>
      </c>
      <c r="I897" t="s">
        <v>1561</v>
      </c>
      <c r="J897" t="s">
        <v>1561</v>
      </c>
      <c r="L897" s="26" t="e">
        <f t="shared" si="27"/>
        <v>#VALUE!</v>
      </c>
    </row>
    <row r="898" spans="1:12" x14ac:dyDescent="0.35">
      <c r="A898" s="9">
        <f t="shared" si="28"/>
        <v>897</v>
      </c>
      <c r="B898" t="s">
        <v>109</v>
      </c>
      <c r="C898" s="109">
        <f>IF(ISBLANK(K898),IFERROR(VLOOKUP(I898,FS_input_data!$C$107:$N$306,Export!J898,FALSE),""),K898)</f>
        <v>18</v>
      </c>
      <c r="D898" s="6" t="b">
        <v>1</v>
      </c>
      <c r="E898" t="s">
        <v>1561</v>
      </c>
      <c r="F898" s="6"/>
      <c r="G898" s="6"/>
      <c r="H898" s="6" t="s">
        <v>2211</v>
      </c>
      <c r="I898" t="s">
        <v>1278</v>
      </c>
      <c r="J898">
        <v>3</v>
      </c>
      <c r="L898" s="9" t="e">
        <f t="shared" ref="L898:L961" si="29">FIND("/",B898)</f>
        <v>#VALUE!</v>
      </c>
    </row>
    <row r="899" spans="1:12" x14ac:dyDescent="0.35">
      <c r="A899">
        <f t="shared" ref="A899:A962" si="30">A898+1</f>
        <v>898</v>
      </c>
      <c r="B899" t="s">
        <v>110</v>
      </c>
      <c r="C899" s="109" t="str">
        <f>IF(ISBLANK(K899),IFERROR(VLOOKUP(I899,FS_input_data!$C$107:$N$306,Export!J899,FALSE),""),K899)</f>
        <v/>
      </c>
      <c r="D899" s="6"/>
      <c r="F899" s="6"/>
      <c r="G899" s="6"/>
      <c r="H899" s="6" t="s">
        <v>2211</v>
      </c>
      <c r="I899" t="s">
        <v>1561</v>
      </c>
      <c r="J899" t="s">
        <v>1561</v>
      </c>
      <c r="L899">
        <f t="shared" si="29"/>
        <v>1</v>
      </c>
    </row>
    <row r="900" spans="1:12" x14ac:dyDescent="0.35">
      <c r="A900" s="9">
        <f t="shared" si="30"/>
        <v>899</v>
      </c>
      <c r="B900" t="s">
        <v>111</v>
      </c>
      <c r="C900" s="109">
        <f>IF(ISBLANK(K900),IFERROR(VLOOKUP(I900,FS_input_data!$C$107:$N$306,Export!J900,FALSE),""),K900)</f>
        <v>118</v>
      </c>
      <c r="D900" s="6" t="b">
        <v>1</v>
      </c>
      <c r="E900" t="s">
        <v>1561</v>
      </c>
      <c r="F900" s="6"/>
      <c r="G900" s="6"/>
      <c r="H900" s="6" t="s">
        <v>2211</v>
      </c>
      <c r="I900" t="s">
        <v>1278</v>
      </c>
      <c r="J900">
        <v>4</v>
      </c>
      <c r="L900" s="9" t="e">
        <f t="shared" si="29"/>
        <v>#VALUE!</v>
      </c>
    </row>
    <row r="901" spans="1:12" x14ac:dyDescent="0.35">
      <c r="A901">
        <f t="shared" si="30"/>
        <v>900</v>
      </c>
      <c r="B901" t="s">
        <v>112</v>
      </c>
      <c r="C901" s="109" t="str">
        <f>IF(ISBLANK(K901),IFERROR(VLOOKUP(I901,FS_input_data!$C$107:$N$306,Export!J901,FALSE),""),K901)</f>
        <v/>
      </c>
      <c r="D901" s="6"/>
      <c r="E901" t="s">
        <v>1561</v>
      </c>
      <c r="F901" s="6"/>
      <c r="G901" s="6"/>
      <c r="H901" s="6" t="s">
        <v>2211</v>
      </c>
      <c r="I901" t="s">
        <v>1561</v>
      </c>
      <c r="J901" t="s">
        <v>1561</v>
      </c>
      <c r="L901">
        <f t="shared" si="29"/>
        <v>1</v>
      </c>
    </row>
    <row r="902" spans="1:12" x14ac:dyDescent="0.35">
      <c r="A902">
        <f t="shared" si="30"/>
        <v>901</v>
      </c>
      <c r="B902" t="s">
        <v>321</v>
      </c>
      <c r="C902" s="109" t="str">
        <f>IF(ISBLANK(K902),IFERROR(VLOOKUP(I902,FS_input_data!$C$107:$N$306,Export!J902,FALSE),""),K902)</f>
        <v/>
      </c>
      <c r="D902" s="6"/>
      <c r="E902" t="s">
        <v>1561</v>
      </c>
      <c r="F902" s="6"/>
      <c r="G902" s="6"/>
      <c r="H902" s="6" t="s">
        <v>2211</v>
      </c>
      <c r="I902" t="s">
        <v>1561</v>
      </c>
      <c r="J902" t="s">
        <v>1561</v>
      </c>
      <c r="L902">
        <f t="shared" si="29"/>
        <v>1</v>
      </c>
    </row>
    <row r="903" spans="1:12" x14ac:dyDescent="0.35">
      <c r="A903">
        <f t="shared" si="30"/>
        <v>902</v>
      </c>
      <c r="B903" t="s">
        <v>322</v>
      </c>
      <c r="C903" s="109" t="str">
        <f>IF(ISBLANK(K903),IFERROR(VLOOKUP(I903,FS_input_data!$C$107:$N$306,Export!J903,FALSE),""),K903)</f>
        <v/>
      </c>
      <c r="D903" s="6"/>
      <c r="E903" t="s">
        <v>1561</v>
      </c>
      <c r="F903" s="6"/>
      <c r="G903" s="6"/>
      <c r="H903" s="6" t="s">
        <v>2211</v>
      </c>
      <c r="I903" t="s">
        <v>1561</v>
      </c>
      <c r="J903" t="s">
        <v>1561</v>
      </c>
      <c r="L903">
        <f t="shared" si="29"/>
        <v>1</v>
      </c>
    </row>
    <row r="904" spans="1:12" x14ac:dyDescent="0.35">
      <c r="A904">
        <f t="shared" si="30"/>
        <v>903</v>
      </c>
      <c r="B904" t="s">
        <v>323</v>
      </c>
      <c r="C904" s="109" t="str">
        <f>IF(ISBLANK(K904),IFERROR(VLOOKUP(I904,FS_input_data!$C$107:$N$306,Export!J904,FALSE),""),K904)</f>
        <v/>
      </c>
      <c r="D904" s="6"/>
      <c r="E904" t="s">
        <v>1282</v>
      </c>
      <c r="F904" s="6"/>
      <c r="G904" s="6"/>
      <c r="H904" s="6" t="s">
        <v>2211</v>
      </c>
      <c r="I904" t="s">
        <v>1561</v>
      </c>
      <c r="J904" t="s">
        <v>1561</v>
      </c>
      <c r="L904" s="26" t="e">
        <f t="shared" si="29"/>
        <v>#VALUE!</v>
      </c>
    </row>
    <row r="905" spans="1:12" x14ac:dyDescent="0.35">
      <c r="A905" s="9">
        <f t="shared" si="30"/>
        <v>904</v>
      </c>
      <c r="B905" t="s">
        <v>109</v>
      </c>
      <c r="C905" s="109">
        <f>IF(ISBLANK(K905),IFERROR(VLOOKUP(I905,FS_input_data!$C$107:$N$306,Export!J905,FALSE),""),K905)</f>
        <v>41</v>
      </c>
      <c r="D905" s="6" t="b">
        <v>1</v>
      </c>
      <c r="E905" t="s">
        <v>1561</v>
      </c>
      <c r="F905" s="6"/>
      <c r="G905" s="6"/>
      <c r="H905" s="6" t="s">
        <v>2211</v>
      </c>
      <c r="I905" t="s">
        <v>1281</v>
      </c>
      <c r="J905">
        <v>3</v>
      </c>
      <c r="L905" s="9" t="e">
        <f t="shared" si="29"/>
        <v>#VALUE!</v>
      </c>
    </row>
    <row r="906" spans="1:12" x14ac:dyDescent="0.35">
      <c r="A906">
        <f t="shared" si="30"/>
        <v>905</v>
      </c>
      <c r="B906" t="s">
        <v>110</v>
      </c>
      <c r="C906" s="109" t="str">
        <f>IF(ISBLANK(K906),IFERROR(VLOOKUP(I906,FS_input_data!$C$107:$N$306,Export!J906,FALSE),""),K906)</f>
        <v/>
      </c>
      <c r="D906" s="6"/>
      <c r="F906" s="6"/>
      <c r="G906" s="6"/>
      <c r="H906" s="6" t="s">
        <v>2211</v>
      </c>
      <c r="I906" t="s">
        <v>1561</v>
      </c>
      <c r="J906" t="s">
        <v>1561</v>
      </c>
      <c r="L906">
        <f t="shared" si="29"/>
        <v>1</v>
      </c>
    </row>
    <row r="907" spans="1:12" x14ac:dyDescent="0.35">
      <c r="A907" s="9">
        <f t="shared" si="30"/>
        <v>906</v>
      </c>
      <c r="B907" t="s">
        <v>111</v>
      </c>
      <c r="C907" s="109">
        <f>IF(ISBLANK(K907),IFERROR(VLOOKUP(I907,FS_input_data!$C$107:$N$306,Export!J907,FALSE),""),K907)</f>
        <v>241</v>
      </c>
      <c r="D907" s="6" t="b">
        <v>1</v>
      </c>
      <c r="E907" t="s">
        <v>1561</v>
      </c>
      <c r="F907" s="6"/>
      <c r="G907" s="6"/>
      <c r="H907" s="6" t="s">
        <v>2211</v>
      </c>
      <c r="I907" t="s">
        <v>1281</v>
      </c>
      <c r="J907">
        <v>4</v>
      </c>
      <c r="L907" s="9" t="e">
        <f t="shared" si="29"/>
        <v>#VALUE!</v>
      </c>
    </row>
    <row r="908" spans="1:12" x14ac:dyDescent="0.35">
      <c r="A908">
        <f t="shared" si="30"/>
        <v>907</v>
      </c>
      <c r="B908" t="s">
        <v>112</v>
      </c>
      <c r="C908" s="109" t="str">
        <f>IF(ISBLANK(K908),IFERROR(VLOOKUP(I908,FS_input_data!$C$107:$N$306,Export!J908,FALSE),""),K908)</f>
        <v/>
      </c>
      <c r="D908" s="6"/>
      <c r="E908" t="s">
        <v>1561</v>
      </c>
      <c r="F908" s="6"/>
      <c r="G908" s="6"/>
      <c r="H908" s="6" t="s">
        <v>2211</v>
      </c>
      <c r="I908" t="s">
        <v>1561</v>
      </c>
      <c r="J908" t="s">
        <v>1561</v>
      </c>
      <c r="L908">
        <f t="shared" si="29"/>
        <v>1</v>
      </c>
    </row>
    <row r="909" spans="1:12" x14ac:dyDescent="0.35">
      <c r="A909">
        <f t="shared" si="30"/>
        <v>908</v>
      </c>
      <c r="B909" t="s">
        <v>324</v>
      </c>
      <c r="C909" s="109" t="str">
        <f>IF(ISBLANK(K909),IFERROR(VLOOKUP(I909,FS_input_data!$C$107:$N$306,Export!J909,FALSE),""),K909)</f>
        <v/>
      </c>
      <c r="D909" s="6"/>
      <c r="E909" t="s">
        <v>1285</v>
      </c>
      <c r="F909" s="6"/>
      <c r="G909" s="6"/>
      <c r="H909" s="6" t="s">
        <v>2211</v>
      </c>
      <c r="I909" t="s">
        <v>1561</v>
      </c>
      <c r="J909" t="s">
        <v>1561</v>
      </c>
      <c r="L909" s="26" t="e">
        <f t="shared" si="29"/>
        <v>#VALUE!</v>
      </c>
    </row>
    <row r="910" spans="1:12" x14ac:dyDescent="0.35">
      <c r="A910" s="9">
        <f t="shared" si="30"/>
        <v>909</v>
      </c>
      <c r="B910" t="s">
        <v>109</v>
      </c>
      <c r="C910" s="109">
        <f>IF(ISBLANK(K910),IFERROR(VLOOKUP(I910,FS_input_data!$C$107:$N$306,Export!J910,FALSE),""),K910)</f>
        <v>20</v>
      </c>
      <c r="D910" s="6" t="b">
        <v>1</v>
      </c>
      <c r="E910" t="s">
        <v>1561</v>
      </c>
      <c r="F910" s="6"/>
      <c r="G910" s="6"/>
      <c r="H910" s="6" t="s">
        <v>2211</v>
      </c>
      <c r="I910" t="s">
        <v>1284</v>
      </c>
      <c r="J910">
        <v>3</v>
      </c>
      <c r="L910" s="9" t="e">
        <f t="shared" si="29"/>
        <v>#VALUE!</v>
      </c>
    </row>
    <row r="911" spans="1:12" x14ac:dyDescent="0.35">
      <c r="A911">
        <f t="shared" si="30"/>
        <v>910</v>
      </c>
      <c r="B911" t="s">
        <v>110</v>
      </c>
      <c r="C911" s="109" t="str">
        <f>IF(ISBLANK(K911),IFERROR(VLOOKUP(I911,FS_input_data!$C$107:$N$306,Export!J911,FALSE),""),K911)</f>
        <v/>
      </c>
      <c r="D911" s="6"/>
      <c r="F911" s="6"/>
      <c r="G911" s="6"/>
      <c r="H911" s="6" t="s">
        <v>2211</v>
      </c>
      <c r="I911" t="s">
        <v>1561</v>
      </c>
      <c r="J911" t="s">
        <v>1561</v>
      </c>
      <c r="L911">
        <f t="shared" si="29"/>
        <v>1</v>
      </c>
    </row>
    <row r="912" spans="1:12" x14ac:dyDescent="0.35">
      <c r="A912" s="9">
        <f t="shared" si="30"/>
        <v>911</v>
      </c>
      <c r="B912" t="s">
        <v>111</v>
      </c>
      <c r="C912" s="109">
        <f>IF(ISBLANK(K912),IFERROR(VLOOKUP(I912,FS_input_data!$C$107:$N$306,Export!J912,FALSE),""),K912)</f>
        <v>120</v>
      </c>
      <c r="D912" s="6" t="b">
        <v>1</v>
      </c>
      <c r="E912" t="s">
        <v>1561</v>
      </c>
      <c r="F912" s="6"/>
      <c r="G912" s="6"/>
      <c r="H912" s="6" t="s">
        <v>2211</v>
      </c>
      <c r="I912" t="s">
        <v>1284</v>
      </c>
      <c r="J912">
        <v>4</v>
      </c>
      <c r="L912" s="9" t="e">
        <f t="shared" si="29"/>
        <v>#VALUE!</v>
      </c>
    </row>
    <row r="913" spans="1:12" x14ac:dyDescent="0.35">
      <c r="A913">
        <f t="shared" si="30"/>
        <v>912</v>
      </c>
      <c r="B913" t="s">
        <v>112</v>
      </c>
      <c r="C913" s="109" t="str">
        <f>IF(ISBLANK(K913),IFERROR(VLOOKUP(I913,FS_input_data!$C$107:$N$306,Export!J913,FALSE),""),K913)</f>
        <v/>
      </c>
      <c r="D913" s="6"/>
      <c r="E913" t="s">
        <v>1561</v>
      </c>
      <c r="F913" s="6"/>
      <c r="G913" s="6"/>
      <c r="H913" s="6" t="s">
        <v>2211</v>
      </c>
      <c r="I913" t="s">
        <v>1561</v>
      </c>
      <c r="J913" t="s">
        <v>1561</v>
      </c>
      <c r="L913">
        <f t="shared" si="29"/>
        <v>1</v>
      </c>
    </row>
    <row r="914" spans="1:12" x14ac:dyDescent="0.35">
      <c r="A914">
        <f t="shared" si="30"/>
        <v>913</v>
      </c>
      <c r="B914" t="s">
        <v>325</v>
      </c>
      <c r="C914" s="109" t="str">
        <f>IF(ISBLANK(K914),IFERROR(VLOOKUP(I914,FS_input_data!$C$107:$N$306,Export!J914,FALSE),""),K914)</f>
        <v/>
      </c>
      <c r="D914" s="6"/>
      <c r="E914" t="s">
        <v>1561</v>
      </c>
      <c r="F914" s="6"/>
      <c r="G914" s="6"/>
      <c r="H914" s="6" t="s">
        <v>2211</v>
      </c>
      <c r="I914" t="s">
        <v>1561</v>
      </c>
      <c r="J914" t="s">
        <v>1561</v>
      </c>
      <c r="L914">
        <f t="shared" si="29"/>
        <v>1</v>
      </c>
    </row>
    <row r="915" spans="1:12" x14ac:dyDescent="0.35">
      <c r="A915">
        <f t="shared" si="30"/>
        <v>914</v>
      </c>
      <c r="B915" t="s">
        <v>326</v>
      </c>
      <c r="C915" s="109" t="str">
        <f>IF(ISBLANK(K915),IFERROR(VLOOKUP(I915,FS_input_data!$C$107:$N$306,Export!J915,FALSE),""),K915)</f>
        <v/>
      </c>
      <c r="D915" s="6"/>
      <c r="E915" t="s">
        <v>1288</v>
      </c>
      <c r="F915" s="6"/>
      <c r="G915" s="6"/>
      <c r="H915" s="6" t="s">
        <v>2211</v>
      </c>
      <c r="I915" t="s">
        <v>1561</v>
      </c>
      <c r="J915" t="s">
        <v>1561</v>
      </c>
      <c r="L915" s="26" t="e">
        <f t="shared" si="29"/>
        <v>#VALUE!</v>
      </c>
    </row>
    <row r="916" spans="1:12" x14ac:dyDescent="0.35">
      <c r="A916" s="9">
        <f t="shared" si="30"/>
        <v>915</v>
      </c>
      <c r="B916" t="s">
        <v>109</v>
      </c>
      <c r="C916" s="109">
        <f>IF(ISBLANK(K916),IFERROR(VLOOKUP(I916,FS_input_data!$C$107:$N$306,Export!J916,FALSE),""),K916)</f>
        <v>21</v>
      </c>
      <c r="D916" s="6" t="b">
        <v>1</v>
      </c>
      <c r="E916" t="s">
        <v>1561</v>
      </c>
      <c r="F916" s="6"/>
      <c r="G916" s="6"/>
      <c r="H916" s="6" t="s">
        <v>2211</v>
      </c>
      <c r="I916" t="s">
        <v>1287</v>
      </c>
      <c r="J916">
        <v>3</v>
      </c>
      <c r="L916" s="9" t="e">
        <f t="shared" si="29"/>
        <v>#VALUE!</v>
      </c>
    </row>
    <row r="917" spans="1:12" x14ac:dyDescent="0.35">
      <c r="A917">
        <f t="shared" si="30"/>
        <v>916</v>
      </c>
      <c r="B917" t="s">
        <v>110</v>
      </c>
      <c r="C917" s="109" t="str">
        <f>IF(ISBLANK(K917),IFERROR(VLOOKUP(I917,FS_input_data!$C$107:$N$306,Export!J917,FALSE),""),K917)</f>
        <v/>
      </c>
      <c r="D917" s="6"/>
      <c r="F917" s="6"/>
      <c r="G917" s="6"/>
      <c r="H917" s="6" t="s">
        <v>2211</v>
      </c>
      <c r="I917" t="s">
        <v>1561</v>
      </c>
      <c r="J917" t="s">
        <v>1561</v>
      </c>
      <c r="L917">
        <f t="shared" si="29"/>
        <v>1</v>
      </c>
    </row>
    <row r="918" spans="1:12" x14ac:dyDescent="0.35">
      <c r="A918" s="9">
        <f t="shared" si="30"/>
        <v>917</v>
      </c>
      <c r="B918" t="s">
        <v>111</v>
      </c>
      <c r="C918" s="109">
        <f>IF(ISBLANK(K918),IFERROR(VLOOKUP(I918,FS_input_data!$C$107:$N$306,Export!J918,FALSE),""),K918)</f>
        <v>121</v>
      </c>
      <c r="D918" s="6" t="b">
        <v>1</v>
      </c>
      <c r="E918" t="s">
        <v>1561</v>
      </c>
      <c r="F918" s="6"/>
      <c r="G918" s="6"/>
      <c r="H918" s="6" t="s">
        <v>2211</v>
      </c>
      <c r="I918" t="s">
        <v>1287</v>
      </c>
      <c r="J918">
        <v>4</v>
      </c>
      <c r="L918" s="9" t="e">
        <f t="shared" si="29"/>
        <v>#VALUE!</v>
      </c>
    </row>
    <row r="919" spans="1:12" x14ac:dyDescent="0.35">
      <c r="A919">
        <f t="shared" si="30"/>
        <v>918</v>
      </c>
      <c r="B919" t="s">
        <v>112</v>
      </c>
      <c r="C919" s="109" t="str">
        <f>IF(ISBLANK(K919),IFERROR(VLOOKUP(I919,FS_input_data!$C$107:$N$306,Export!J919,FALSE),""),K919)</f>
        <v/>
      </c>
      <c r="D919" s="6"/>
      <c r="E919" t="s">
        <v>1561</v>
      </c>
      <c r="F919" s="6"/>
      <c r="G919" s="6"/>
      <c r="H919" s="6" t="s">
        <v>2211</v>
      </c>
      <c r="I919" t="s">
        <v>1561</v>
      </c>
      <c r="J919" t="s">
        <v>1561</v>
      </c>
      <c r="L919">
        <f t="shared" si="29"/>
        <v>1</v>
      </c>
    </row>
    <row r="920" spans="1:12" x14ac:dyDescent="0.35">
      <c r="A920">
        <f t="shared" si="30"/>
        <v>919</v>
      </c>
      <c r="B920" t="s">
        <v>327</v>
      </c>
      <c r="C920" s="109" t="str">
        <f>IF(ISBLANK(K920),IFERROR(VLOOKUP(I920,FS_input_data!$C$107:$N$306,Export!J920,FALSE),""),K920)</f>
        <v/>
      </c>
      <c r="D920" s="6"/>
      <c r="E920" t="s">
        <v>1561</v>
      </c>
      <c r="F920" s="6"/>
      <c r="G920" s="6"/>
      <c r="H920" s="6" t="s">
        <v>2211</v>
      </c>
      <c r="I920" t="s">
        <v>1561</v>
      </c>
      <c r="J920" t="s">
        <v>1561</v>
      </c>
      <c r="L920">
        <f t="shared" si="29"/>
        <v>1</v>
      </c>
    </row>
    <row r="921" spans="1:12" x14ac:dyDescent="0.35">
      <c r="A921">
        <f t="shared" si="30"/>
        <v>920</v>
      </c>
      <c r="B921" t="s">
        <v>328</v>
      </c>
      <c r="C921" s="109" t="str">
        <f>IF(ISBLANK(K921),IFERROR(VLOOKUP(I921,FS_input_data!$C$107:$N$306,Export!J921,FALSE),""),K921)</f>
        <v/>
      </c>
      <c r="D921" s="6"/>
      <c r="E921" t="s">
        <v>1561</v>
      </c>
      <c r="F921" s="6"/>
      <c r="G921" s="6"/>
      <c r="H921" s="6" t="s">
        <v>2211</v>
      </c>
      <c r="I921" t="s">
        <v>1561</v>
      </c>
      <c r="J921" t="s">
        <v>1561</v>
      </c>
      <c r="L921">
        <f t="shared" si="29"/>
        <v>1</v>
      </c>
    </row>
    <row r="922" spans="1:12" x14ac:dyDescent="0.35">
      <c r="A922">
        <f t="shared" si="30"/>
        <v>921</v>
      </c>
      <c r="B922" t="s">
        <v>329</v>
      </c>
      <c r="C922" s="109" t="str">
        <f>IF(ISBLANK(K922),IFERROR(VLOOKUP(I922,FS_input_data!$C$107:$N$306,Export!J922,FALSE),""),K922)</f>
        <v/>
      </c>
      <c r="D922" s="6"/>
      <c r="E922" t="s">
        <v>1561</v>
      </c>
      <c r="F922" s="6"/>
      <c r="G922" s="6"/>
      <c r="H922" s="6" t="s">
        <v>2211</v>
      </c>
      <c r="I922" t="s">
        <v>1561</v>
      </c>
      <c r="J922" t="s">
        <v>1561</v>
      </c>
      <c r="L922">
        <f t="shared" si="29"/>
        <v>1</v>
      </c>
    </row>
    <row r="923" spans="1:12" x14ac:dyDescent="0.35">
      <c r="A923">
        <f t="shared" si="30"/>
        <v>922</v>
      </c>
      <c r="B923" t="s">
        <v>330</v>
      </c>
      <c r="C923" s="109" t="str">
        <f>IF(ISBLANK(K923),IFERROR(VLOOKUP(I923,FS_input_data!$C$107:$N$306,Export!J923,FALSE),""),K923)</f>
        <v/>
      </c>
      <c r="D923" s="6"/>
      <c r="E923" t="s">
        <v>1291</v>
      </c>
      <c r="F923" s="6"/>
      <c r="G923" s="6"/>
      <c r="H923" s="6" t="s">
        <v>2211</v>
      </c>
      <c r="I923" t="s">
        <v>1561</v>
      </c>
      <c r="J923" t="s">
        <v>1561</v>
      </c>
      <c r="L923" s="26" t="e">
        <f t="shared" si="29"/>
        <v>#VALUE!</v>
      </c>
    </row>
    <row r="924" spans="1:12" x14ac:dyDescent="0.35">
      <c r="A924" s="9">
        <f t="shared" si="30"/>
        <v>923</v>
      </c>
      <c r="B924" t="s">
        <v>109</v>
      </c>
      <c r="C924" s="109">
        <f>IF(ISBLANK(K924),IFERROR(VLOOKUP(I924,FS_input_data!$C$107:$N$306,Export!J924,FALSE),""),K924)</f>
        <v>187</v>
      </c>
      <c r="D924" s="6" t="b">
        <v>1</v>
      </c>
      <c r="E924" t="s">
        <v>1561</v>
      </c>
      <c r="F924" s="6"/>
      <c r="G924" s="6"/>
      <c r="H924" s="6" t="s">
        <v>2211</v>
      </c>
      <c r="I924" t="s">
        <v>1290</v>
      </c>
      <c r="J924">
        <v>3</v>
      </c>
      <c r="L924" s="9" t="e">
        <f t="shared" si="29"/>
        <v>#VALUE!</v>
      </c>
    </row>
    <row r="925" spans="1:12" x14ac:dyDescent="0.35">
      <c r="A925">
        <f t="shared" si="30"/>
        <v>924</v>
      </c>
      <c r="B925" t="s">
        <v>110</v>
      </c>
      <c r="C925" s="109" t="str">
        <f>IF(ISBLANK(K925),IFERROR(VLOOKUP(I925,FS_input_data!$C$107:$N$306,Export!J925,FALSE),""),K925)</f>
        <v/>
      </c>
      <c r="D925" s="6"/>
      <c r="F925" s="6"/>
      <c r="G925" s="6"/>
      <c r="H925" s="6" t="s">
        <v>2211</v>
      </c>
      <c r="I925" t="s">
        <v>1561</v>
      </c>
      <c r="J925" t="s">
        <v>1561</v>
      </c>
      <c r="L925">
        <f t="shared" si="29"/>
        <v>1</v>
      </c>
    </row>
    <row r="926" spans="1:12" x14ac:dyDescent="0.35">
      <c r="A926" s="9">
        <f t="shared" si="30"/>
        <v>925</v>
      </c>
      <c r="B926" t="s">
        <v>111</v>
      </c>
      <c r="C926" s="109">
        <f>IF(ISBLANK(K926),IFERROR(VLOOKUP(I926,FS_input_data!$C$107:$N$306,Export!J926,FALSE),""),K926)</f>
        <v>887</v>
      </c>
      <c r="D926" s="6" t="b">
        <v>1</v>
      </c>
      <c r="E926" t="s">
        <v>1561</v>
      </c>
      <c r="F926" s="6"/>
      <c r="G926" s="6"/>
      <c r="H926" s="6" t="s">
        <v>2211</v>
      </c>
      <c r="I926" t="s">
        <v>1290</v>
      </c>
      <c r="J926">
        <v>4</v>
      </c>
      <c r="L926" s="9" t="e">
        <f t="shared" si="29"/>
        <v>#VALUE!</v>
      </c>
    </row>
    <row r="927" spans="1:12" x14ac:dyDescent="0.35">
      <c r="A927">
        <f t="shared" si="30"/>
        <v>926</v>
      </c>
      <c r="B927" t="s">
        <v>112</v>
      </c>
      <c r="C927" s="109" t="str">
        <f>IF(ISBLANK(K927),IFERROR(VLOOKUP(I927,FS_input_data!$C$107:$N$306,Export!J927,FALSE),""),K927)</f>
        <v/>
      </c>
      <c r="D927" s="6"/>
      <c r="E927" t="s">
        <v>1561</v>
      </c>
      <c r="F927" s="6"/>
      <c r="G927" s="6"/>
      <c r="H927" s="6" t="s">
        <v>2211</v>
      </c>
      <c r="I927" t="s">
        <v>1561</v>
      </c>
      <c r="J927" t="s">
        <v>1561</v>
      </c>
      <c r="L927">
        <f t="shared" si="29"/>
        <v>1</v>
      </c>
    </row>
    <row r="928" spans="1:12" x14ac:dyDescent="0.35">
      <c r="A928">
        <f t="shared" si="30"/>
        <v>927</v>
      </c>
      <c r="B928" t="s">
        <v>331</v>
      </c>
      <c r="C928" s="109" t="str">
        <f>IF(ISBLANK(K928),IFERROR(VLOOKUP(I928,FS_input_data!$C$107:$N$306,Export!J928,FALSE),""),K928)</f>
        <v/>
      </c>
      <c r="D928" s="6"/>
      <c r="E928" t="s">
        <v>1294</v>
      </c>
      <c r="F928" s="6"/>
      <c r="G928" s="6"/>
      <c r="H928" s="6" t="s">
        <v>2211</v>
      </c>
      <c r="I928" t="s">
        <v>1561</v>
      </c>
      <c r="J928" t="s">
        <v>1561</v>
      </c>
      <c r="L928" s="26" t="e">
        <f t="shared" si="29"/>
        <v>#VALUE!</v>
      </c>
    </row>
    <row r="929" spans="1:12" x14ac:dyDescent="0.35">
      <c r="A929" s="9">
        <f t="shared" si="30"/>
        <v>928</v>
      </c>
      <c r="B929" t="s">
        <v>109</v>
      </c>
      <c r="C929" s="109">
        <f>IF(ISBLANK(K929),IFERROR(VLOOKUP(I929,FS_input_data!$C$107:$N$306,Export!J929,FALSE),""),K929)</f>
        <v>23</v>
      </c>
      <c r="D929" s="6" t="b">
        <v>1</v>
      </c>
      <c r="E929" t="s">
        <v>1561</v>
      </c>
      <c r="F929" s="6"/>
      <c r="G929" s="6"/>
      <c r="H929" s="6" t="s">
        <v>2211</v>
      </c>
      <c r="I929" t="s">
        <v>1293</v>
      </c>
      <c r="J929">
        <v>3</v>
      </c>
      <c r="L929" s="9" t="e">
        <f t="shared" si="29"/>
        <v>#VALUE!</v>
      </c>
    </row>
    <row r="930" spans="1:12" x14ac:dyDescent="0.35">
      <c r="A930">
        <f t="shared" si="30"/>
        <v>929</v>
      </c>
      <c r="B930" t="s">
        <v>110</v>
      </c>
      <c r="C930" s="109" t="str">
        <f>IF(ISBLANK(K930),IFERROR(VLOOKUP(I930,FS_input_data!$C$107:$N$306,Export!J930,FALSE),""),K930)</f>
        <v/>
      </c>
      <c r="D930" s="6"/>
      <c r="F930" s="6"/>
      <c r="G930" s="6"/>
      <c r="H930" s="6" t="s">
        <v>2211</v>
      </c>
      <c r="I930" t="s">
        <v>1561</v>
      </c>
      <c r="J930" t="s">
        <v>1561</v>
      </c>
      <c r="L930">
        <f t="shared" si="29"/>
        <v>1</v>
      </c>
    </row>
    <row r="931" spans="1:12" x14ac:dyDescent="0.35">
      <c r="A931" s="9">
        <f t="shared" si="30"/>
        <v>930</v>
      </c>
      <c r="B931" t="s">
        <v>111</v>
      </c>
      <c r="C931" s="109">
        <f>IF(ISBLANK(K931),IFERROR(VLOOKUP(I931,FS_input_data!$C$107:$N$306,Export!J931,FALSE),""),K931)</f>
        <v>123</v>
      </c>
      <c r="D931" s="6" t="b">
        <v>1</v>
      </c>
      <c r="E931" t="s">
        <v>1561</v>
      </c>
      <c r="F931" s="6"/>
      <c r="G931" s="6"/>
      <c r="H931" s="6" t="s">
        <v>2211</v>
      </c>
      <c r="I931" t="s">
        <v>1293</v>
      </c>
      <c r="J931">
        <v>4</v>
      </c>
      <c r="L931" s="9" t="e">
        <f t="shared" si="29"/>
        <v>#VALUE!</v>
      </c>
    </row>
    <row r="932" spans="1:12" x14ac:dyDescent="0.35">
      <c r="A932">
        <f t="shared" si="30"/>
        <v>931</v>
      </c>
      <c r="B932" t="s">
        <v>112</v>
      </c>
      <c r="C932" s="109" t="str">
        <f>IF(ISBLANK(K932),IFERROR(VLOOKUP(I932,FS_input_data!$C$107:$N$306,Export!J932,FALSE),""),K932)</f>
        <v/>
      </c>
      <c r="D932" s="6"/>
      <c r="E932" t="s">
        <v>1561</v>
      </c>
      <c r="F932" s="6"/>
      <c r="G932" s="6"/>
      <c r="H932" s="6" t="s">
        <v>2211</v>
      </c>
      <c r="I932" t="s">
        <v>1561</v>
      </c>
      <c r="J932" t="s">
        <v>1561</v>
      </c>
      <c r="L932">
        <f t="shared" si="29"/>
        <v>1</v>
      </c>
    </row>
    <row r="933" spans="1:12" x14ac:dyDescent="0.35">
      <c r="A933">
        <f t="shared" si="30"/>
        <v>932</v>
      </c>
      <c r="B933" t="s">
        <v>332</v>
      </c>
      <c r="C933" s="109" t="str">
        <f>IF(ISBLANK(K933),IFERROR(VLOOKUP(I933,FS_input_data!$C$107:$N$306,Export!J933,FALSE),""),K933)</f>
        <v/>
      </c>
      <c r="D933" s="6"/>
      <c r="E933" t="s">
        <v>1561</v>
      </c>
      <c r="F933" s="6"/>
      <c r="G933" s="6"/>
      <c r="H933" s="6" t="s">
        <v>2211</v>
      </c>
      <c r="I933" t="s">
        <v>1561</v>
      </c>
      <c r="J933" t="s">
        <v>1561</v>
      </c>
      <c r="L933">
        <f t="shared" si="29"/>
        <v>1</v>
      </c>
    </row>
    <row r="934" spans="1:12" x14ac:dyDescent="0.35">
      <c r="A934">
        <f t="shared" si="30"/>
        <v>933</v>
      </c>
      <c r="B934" t="s">
        <v>333</v>
      </c>
      <c r="C934" s="109" t="str">
        <f>IF(ISBLANK(K934),IFERROR(VLOOKUP(I934,FS_input_data!$C$107:$N$306,Export!J934,FALSE),""),K934)</f>
        <v/>
      </c>
      <c r="D934" s="6"/>
      <c r="E934" t="s">
        <v>1297</v>
      </c>
      <c r="F934" s="6"/>
      <c r="G934" s="6"/>
      <c r="H934" s="6" t="s">
        <v>2211</v>
      </c>
      <c r="I934" t="s">
        <v>1561</v>
      </c>
      <c r="J934" t="s">
        <v>1561</v>
      </c>
      <c r="L934" s="26" t="e">
        <f t="shared" si="29"/>
        <v>#VALUE!</v>
      </c>
    </row>
    <row r="935" spans="1:12" x14ac:dyDescent="0.35">
      <c r="A935" s="9">
        <f t="shared" si="30"/>
        <v>934</v>
      </c>
      <c r="B935" t="s">
        <v>109</v>
      </c>
      <c r="C935" s="109">
        <f>IF(ISBLANK(K935),IFERROR(VLOOKUP(I935,FS_input_data!$C$107:$N$306,Export!J935,FALSE),""),K935)</f>
        <v>24</v>
      </c>
      <c r="D935" s="6" t="b">
        <v>1</v>
      </c>
      <c r="E935" t="s">
        <v>1561</v>
      </c>
      <c r="F935" s="6"/>
      <c r="G935" s="6"/>
      <c r="H935" s="6" t="s">
        <v>2211</v>
      </c>
      <c r="I935" t="s">
        <v>1296</v>
      </c>
      <c r="J935">
        <v>3</v>
      </c>
      <c r="L935" s="9" t="e">
        <f t="shared" si="29"/>
        <v>#VALUE!</v>
      </c>
    </row>
    <row r="936" spans="1:12" x14ac:dyDescent="0.35">
      <c r="A936">
        <f t="shared" si="30"/>
        <v>935</v>
      </c>
      <c r="B936" t="s">
        <v>110</v>
      </c>
      <c r="C936" s="109" t="str">
        <f>IF(ISBLANK(K936),IFERROR(VLOOKUP(I936,FS_input_data!$C$107:$N$306,Export!J936,FALSE),""),K936)</f>
        <v/>
      </c>
      <c r="D936" s="6"/>
      <c r="F936" s="6"/>
      <c r="G936" s="6"/>
      <c r="H936" s="6" t="s">
        <v>2211</v>
      </c>
      <c r="I936" t="s">
        <v>1561</v>
      </c>
      <c r="J936" t="s">
        <v>1561</v>
      </c>
      <c r="L936">
        <f t="shared" si="29"/>
        <v>1</v>
      </c>
    </row>
    <row r="937" spans="1:12" x14ac:dyDescent="0.35">
      <c r="A937" s="9">
        <f t="shared" si="30"/>
        <v>936</v>
      </c>
      <c r="B937" t="s">
        <v>111</v>
      </c>
      <c r="C937" s="109">
        <f>IF(ISBLANK(K937),IFERROR(VLOOKUP(I937,FS_input_data!$C$107:$N$306,Export!J937,FALSE),""),K937)</f>
        <v>124</v>
      </c>
      <c r="D937" s="6" t="b">
        <v>1</v>
      </c>
      <c r="F937" s="6"/>
      <c r="G937" s="6"/>
      <c r="H937" s="6" t="s">
        <v>2211</v>
      </c>
      <c r="I937" t="s">
        <v>1296</v>
      </c>
      <c r="J937">
        <v>4</v>
      </c>
      <c r="L937" s="9" t="e">
        <f t="shared" si="29"/>
        <v>#VALUE!</v>
      </c>
    </row>
    <row r="938" spans="1:12" x14ac:dyDescent="0.35">
      <c r="A938">
        <f t="shared" si="30"/>
        <v>937</v>
      </c>
      <c r="B938" t="s">
        <v>112</v>
      </c>
      <c r="C938" s="109" t="str">
        <f>IF(ISBLANK(K938),IFERROR(VLOOKUP(I938,FS_input_data!$C$107:$N$306,Export!J938,FALSE),""),K938)</f>
        <v/>
      </c>
      <c r="D938" s="6"/>
      <c r="E938" t="s">
        <v>1561</v>
      </c>
      <c r="F938" s="6"/>
      <c r="G938" s="6"/>
      <c r="H938" s="6" t="s">
        <v>2211</v>
      </c>
      <c r="I938" t="s">
        <v>1561</v>
      </c>
      <c r="J938" t="s">
        <v>1561</v>
      </c>
      <c r="L938">
        <f t="shared" si="29"/>
        <v>1</v>
      </c>
    </row>
    <row r="939" spans="1:12" x14ac:dyDescent="0.35">
      <c r="A939">
        <f t="shared" si="30"/>
        <v>938</v>
      </c>
      <c r="B939" t="s">
        <v>334</v>
      </c>
      <c r="C939" s="109" t="str">
        <f>IF(ISBLANK(K939),IFERROR(VLOOKUP(I939,FS_input_data!$C$107:$N$306,Export!J939,FALSE),""),K939)</f>
        <v/>
      </c>
      <c r="D939" s="6"/>
      <c r="E939" t="s">
        <v>1561</v>
      </c>
      <c r="F939" s="6"/>
      <c r="G939" s="6"/>
      <c r="H939" s="6" t="s">
        <v>2211</v>
      </c>
      <c r="I939" t="s">
        <v>1561</v>
      </c>
      <c r="J939" t="s">
        <v>1561</v>
      </c>
      <c r="L939">
        <f t="shared" si="29"/>
        <v>1</v>
      </c>
    </row>
    <row r="940" spans="1:12" x14ac:dyDescent="0.35">
      <c r="A940">
        <f t="shared" si="30"/>
        <v>939</v>
      </c>
      <c r="B940" t="s">
        <v>335</v>
      </c>
      <c r="C940" s="109" t="str">
        <f>IF(ISBLANK(K940),IFERROR(VLOOKUP(I940,FS_input_data!$C$107:$N$306,Export!J940,FALSE),""),K940)</f>
        <v/>
      </c>
      <c r="D940" s="6"/>
      <c r="E940" t="s">
        <v>1300</v>
      </c>
      <c r="F940" s="6"/>
      <c r="G940" s="6"/>
      <c r="H940" s="6" t="s">
        <v>2211</v>
      </c>
      <c r="I940" t="s">
        <v>1561</v>
      </c>
      <c r="J940" t="s">
        <v>1561</v>
      </c>
      <c r="L940" s="26" t="e">
        <f t="shared" si="29"/>
        <v>#VALUE!</v>
      </c>
    </row>
    <row r="941" spans="1:12" x14ac:dyDescent="0.35">
      <c r="A941" s="9">
        <f t="shared" si="30"/>
        <v>940</v>
      </c>
      <c r="B941" t="s">
        <v>109</v>
      </c>
      <c r="C941" s="109">
        <f>IF(ISBLANK(K941),IFERROR(VLOOKUP(I941,FS_input_data!$C$107:$N$306,Export!J941,FALSE),""),K941)</f>
        <v>140</v>
      </c>
      <c r="D941" s="6" t="b">
        <v>1</v>
      </c>
      <c r="E941" t="s">
        <v>1561</v>
      </c>
      <c r="F941" s="6"/>
      <c r="G941" s="6"/>
      <c r="H941" s="6" t="s">
        <v>2211</v>
      </c>
      <c r="I941" t="s">
        <v>1299</v>
      </c>
      <c r="J941">
        <v>3</v>
      </c>
      <c r="L941" s="9" t="e">
        <f t="shared" si="29"/>
        <v>#VALUE!</v>
      </c>
    </row>
    <row r="942" spans="1:12" x14ac:dyDescent="0.35">
      <c r="A942">
        <f t="shared" si="30"/>
        <v>941</v>
      </c>
      <c r="B942" t="s">
        <v>110</v>
      </c>
      <c r="C942" s="109" t="str">
        <f>IF(ISBLANK(K942),IFERROR(VLOOKUP(I942,FS_input_data!$C$107:$N$306,Export!J942,FALSE),""),K942)</f>
        <v/>
      </c>
      <c r="D942" s="6"/>
      <c r="F942" s="6"/>
      <c r="G942" s="6"/>
      <c r="H942" s="6" t="s">
        <v>2211</v>
      </c>
      <c r="I942" t="s">
        <v>1561</v>
      </c>
      <c r="J942" t="s">
        <v>1561</v>
      </c>
      <c r="L942">
        <f t="shared" si="29"/>
        <v>1</v>
      </c>
    </row>
    <row r="943" spans="1:12" x14ac:dyDescent="0.35">
      <c r="A943" s="9">
        <f t="shared" si="30"/>
        <v>942</v>
      </c>
      <c r="B943" t="s">
        <v>111</v>
      </c>
      <c r="C943" s="109">
        <f>IF(ISBLANK(K943),IFERROR(VLOOKUP(I943,FS_input_data!$C$107:$N$306,Export!J943,FALSE),""),K943)</f>
        <v>640</v>
      </c>
      <c r="D943" s="6" t="b">
        <v>1</v>
      </c>
      <c r="E943" t="s">
        <v>1561</v>
      </c>
      <c r="F943" s="6"/>
      <c r="G943" s="6"/>
      <c r="H943" s="6" t="s">
        <v>2211</v>
      </c>
      <c r="I943" t="s">
        <v>1299</v>
      </c>
      <c r="J943">
        <v>4</v>
      </c>
      <c r="L943" s="9" t="e">
        <f t="shared" si="29"/>
        <v>#VALUE!</v>
      </c>
    </row>
    <row r="944" spans="1:12" x14ac:dyDescent="0.35">
      <c r="A944">
        <f t="shared" si="30"/>
        <v>943</v>
      </c>
      <c r="B944" t="s">
        <v>112</v>
      </c>
      <c r="C944" s="109" t="str">
        <f>IF(ISBLANK(K944),IFERROR(VLOOKUP(I944,FS_input_data!$C$107:$N$306,Export!J944,FALSE),""),K944)</f>
        <v/>
      </c>
      <c r="D944" s="6"/>
      <c r="E944" t="s">
        <v>1561</v>
      </c>
      <c r="F944" s="6"/>
      <c r="G944" s="6"/>
      <c r="H944" s="6" t="s">
        <v>2211</v>
      </c>
      <c r="I944" t="s">
        <v>1561</v>
      </c>
      <c r="J944" t="s">
        <v>1561</v>
      </c>
      <c r="L944">
        <f t="shared" si="29"/>
        <v>1</v>
      </c>
    </row>
    <row r="945" spans="1:12" x14ac:dyDescent="0.35">
      <c r="A945">
        <f t="shared" si="30"/>
        <v>944</v>
      </c>
      <c r="B945" t="s">
        <v>336</v>
      </c>
      <c r="C945" s="109" t="str">
        <f>IF(ISBLANK(K945),IFERROR(VLOOKUP(I945,FS_input_data!$C$107:$N$306,Export!J945,FALSE),""),K945)</f>
        <v/>
      </c>
      <c r="D945" s="6"/>
      <c r="E945" t="s">
        <v>1303</v>
      </c>
      <c r="F945" s="6"/>
      <c r="G945" s="6"/>
      <c r="H945" s="6" t="s">
        <v>2211</v>
      </c>
      <c r="I945" t="s">
        <v>1561</v>
      </c>
      <c r="J945" t="s">
        <v>1561</v>
      </c>
      <c r="L945" s="26" t="e">
        <f t="shared" si="29"/>
        <v>#VALUE!</v>
      </c>
    </row>
    <row r="946" spans="1:12" x14ac:dyDescent="0.35">
      <c r="A946" s="9">
        <f t="shared" si="30"/>
        <v>945</v>
      </c>
      <c r="B946" t="s">
        <v>109</v>
      </c>
      <c r="C946" s="109">
        <f>IF(ISBLANK(K946),IFERROR(VLOOKUP(I946,FS_input_data!$C$107:$N$306,Export!J946,FALSE),""),K946)</f>
        <v>26</v>
      </c>
      <c r="D946" s="6" t="b">
        <v>1</v>
      </c>
      <c r="E946" t="s">
        <v>1561</v>
      </c>
      <c r="F946" s="6"/>
      <c r="G946" s="6"/>
      <c r="H946" s="6" t="s">
        <v>2211</v>
      </c>
      <c r="I946" t="s">
        <v>1302</v>
      </c>
      <c r="J946">
        <v>3</v>
      </c>
      <c r="L946" s="9" t="e">
        <f t="shared" si="29"/>
        <v>#VALUE!</v>
      </c>
    </row>
    <row r="947" spans="1:12" x14ac:dyDescent="0.35">
      <c r="A947">
        <f t="shared" si="30"/>
        <v>946</v>
      </c>
      <c r="B947" t="s">
        <v>110</v>
      </c>
      <c r="C947" s="109" t="str">
        <f>IF(ISBLANK(K947),IFERROR(VLOOKUP(I947,FS_input_data!$C$107:$N$306,Export!J947,FALSE),""),K947)</f>
        <v/>
      </c>
      <c r="D947" s="6"/>
      <c r="F947" s="6"/>
      <c r="G947" s="6"/>
      <c r="H947" s="6" t="s">
        <v>2211</v>
      </c>
      <c r="I947" t="s">
        <v>1561</v>
      </c>
      <c r="J947" t="s">
        <v>1561</v>
      </c>
      <c r="L947">
        <f t="shared" si="29"/>
        <v>1</v>
      </c>
    </row>
    <row r="948" spans="1:12" x14ac:dyDescent="0.35">
      <c r="A948" s="9">
        <f t="shared" si="30"/>
        <v>947</v>
      </c>
      <c r="B948" t="s">
        <v>111</v>
      </c>
      <c r="C948" s="109">
        <f>IF(ISBLANK(K948),IFERROR(VLOOKUP(I948,FS_input_data!$C$107:$N$306,Export!J948,FALSE),""),K948)</f>
        <v>126</v>
      </c>
      <c r="D948" s="6" t="b">
        <v>1</v>
      </c>
      <c r="E948" t="s">
        <v>1561</v>
      </c>
      <c r="F948" s="6"/>
      <c r="G948" s="6"/>
      <c r="H948" s="6" t="s">
        <v>2211</v>
      </c>
      <c r="I948" t="s">
        <v>1302</v>
      </c>
      <c r="J948">
        <v>4</v>
      </c>
      <c r="L948" s="9" t="e">
        <f t="shared" si="29"/>
        <v>#VALUE!</v>
      </c>
    </row>
    <row r="949" spans="1:12" x14ac:dyDescent="0.35">
      <c r="A949">
        <f t="shared" si="30"/>
        <v>948</v>
      </c>
      <c r="B949" t="s">
        <v>112</v>
      </c>
      <c r="C949" s="109" t="str">
        <f>IF(ISBLANK(K949),IFERROR(VLOOKUP(I949,FS_input_data!$C$107:$N$306,Export!J949,FALSE),""),K949)</f>
        <v/>
      </c>
      <c r="D949" s="6"/>
      <c r="E949" t="s">
        <v>1561</v>
      </c>
      <c r="F949" s="6"/>
      <c r="G949" s="6"/>
      <c r="H949" s="6" t="s">
        <v>2211</v>
      </c>
      <c r="I949" t="s">
        <v>1561</v>
      </c>
      <c r="J949" t="s">
        <v>1561</v>
      </c>
      <c r="L949">
        <f t="shared" si="29"/>
        <v>1</v>
      </c>
    </row>
    <row r="950" spans="1:12" x14ac:dyDescent="0.35">
      <c r="A950">
        <f t="shared" si="30"/>
        <v>949</v>
      </c>
      <c r="B950" t="s">
        <v>337</v>
      </c>
      <c r="C950" s="109" t="str">
        <f>IF(ISBLANK(K950),IFERROR(VLOOKUP(I950,FS_input_data!$C$107:$N$306,Export!J950,FALSE),""),K950)</f>
        <v/>
      </c>
      <c r="D950" s="6"/>
      <c r="E950" t="s">
        <v>1561</v>
      </c>
      <c r="F950" s="6"/>
      <c r="G950" s="6"/>
      <c r="H950" s="6" t="s">
        <v>2211</v>
      </c>
      <c r="I950" t="s">
        <v>1561</v>
      </c>
      <c r="J950" t="s">
        <v>1561</v>
      </c>
      <c r="L950">
        <f t="shared" si="29"/>
        <v>1</v>
      </c>
    </row>
    <row r="951" spans="1:12" x14ac:dyDescent="0.35">
      <c r="A951">
        <f t="shared" si="30"/>
        <v>950</v>
      </c>
      <c r="B951" t="s">
        <v>338</v>
      </c>
      <c r="C951" s="109" t="str">
        <f>IF(ISBLANK(K951),IFERROR(VLOOKUP(I951,FS_input_data!$C$107:$N$306,Export!J951,FALSE),""),K951)</f>
        <v/>
      </c>
      <c r="D951" s="6"/>
      <c r="E951" t="s">
        <v>1306</v>
      </c>
      <c r="F951" s="6"/>
      <c r="G951" s="6"/>
      <c r="H951" s="6" t="s">
        <v>2211</v>
      </c>
      <c r="I951" t="s">
        <v>1561</v>
      </c>
      <c r="J951" t="s">
        <v>1561</v>
      </c>
      <c r="L951" s="26" t="e">
        <f t="shared" si="29"/>
        <v>#VALUE!</v>
      </c>
    </row>
    <row r="952" spans="1:12" x14ac:dyDescent="0.35">
      <c r="A952" s="9">
        <f t="shared" si="30"/>
        <v>951</v>
      </c>
      <c r="B952" t="s">
        <v>109</v>
      </c>
      <c r="C952" s="109">
        <f>IF(ISBLANK(K952),IFERROR(VLOOKUP(I952,FS_input_data!$C$107:$N$306,Export!J952,FALSE),""),K952)</f>
        <v>27</v>
      </c>
      <c r="D952" s="6" t="b">
        <v>1</v>
      </c>
      <c r="E952" t="s">
        <v>1561</v>
      </c>
      <c r="F952" s="6"/>
      <c r="G952" s="6"/>
      <c r="H952" s="6" t="s">
        <v>2211</v>
      </c>
      <c r="I952" t="s">
        <v>1305</v>
      </c>
      <c r="J952">
        <v>3</v>
      </c>
      <c r="L952" s="9" t="e">
        <f t="shared" si="29"/>
        <v>#VALUE!</v>
      </c>
    </row>
    <row r="953" spans="1:12" x14ac:dyDescent="0.35">
      <c r="A953">
        <f t="shared" si="30"/>
        <v>952</v>
      </c>
      <c r="B953" t="s">
        <v>110</v>
      </c>
      <c r="C953" s="109" t="str">
        <f>IF(ISBLANK(K953),IFERROR(VLOOKUP(I953,FS_input_data!$C$107:$N$306,Export!J953,FALSE),""),K953)</f>
        <v/>
      </c>
      <c r="D953" s="6"/>
      <c r="F953" s="6"/>
      <c r="G953" s="6"/>
      <c r="H953" s="6" t="s">
        <v>2211</v>
      </c>
      <c r="I953" t="s">
        <v>1561</v>
      </c>
      <c r="J953" t="s">
        <v>1561</v>
      </c>
      <c r="L953">
        <f t="shared" si="29"/>
        <v>1</v>
      </c>
    </row>
    <row r="954" spans="1:12" x14ac:dyDescent="0.35">
      <c r="A954" s="9">
        <f t="shared" si="30"/>
        <v>953</v>
      </c>
      <c r="B954" t="s">
        <v>111</v>
      </c>
      <c r="C954" s="109">
        <f>IF(ISBLANK(K954),IFERROR(VLOOKUP(I954,FS_input_data!$C$107:$N$306,Export!J954,FALSE),""),K954)</f>
        <v>127</v>
      </c>
      <c r="D954" s="6" t="b">
        <v>1</v>
      </c>
      <c r="E954" t="s">
        <v>1561</v>
      </c>
      <c r="F954" s="6"/>
      <c r="G954" s="6"/>
      <c r="H954" s="6" t="s">
        <v>2211</v>
      </c>
      <c r="I954" t="s">
        <v>1305</v>
      </c>
      <c r="J954">
        <v>4</v>
      </c>
      <c r="L954" s="9" t="e">
        <f t="shared" si="29"/>
        <v>#VALUE!</v>
      </c>
    </row>
    <row r="955" spans="1:12" x14ac:dyDescent="0.35">
      <c r="A955">
        <f t="shared" si="30"/>
        <v>954</v>
      </c>
      <c r="B955" t="s">
        <v>112</v>
      </c>
      <c r="C955" s="109" t="str">
        <f>IF(ISBLANK(K955),IFERROR(VLOOKUP(I955,FS_input_data!$C$107:$N$306,Export!J955,FALSE),""),K955)</f>
        <v/>
      </c>
      <c r="D955" s="6"/>
      <c r="E955" t="s">
        <v>1561</v>
      </c>
      <c r="F955" s="6"/>
      <c r="G955" s="6"/>
      <c r="H955" s="6" t="s">
        <v>2211</v>
      </c>
      <c r="I955" t="s">
        <v>1561</v>
      </c>
      <c r="J955" t="s">
        <v>1561</v>
      </c>
      <c r="L955">
        <f t="shared" si="29"/>
        <v>1</v>
      </c>
    </row>
    <row r="956" spans="1:12" x14ac:dyDescent="0.35">
      <c r="A956">
        <f t="shared" si="30"/>
        <v>955</v>
      </c>
      <c r="B956" t="s">
        <v>339</v>
      </c>
      <c r="C956" s="109" t="str">
        <f>IF(ISBLANK(K956),IFERROR(VLOOKUP(I956,FS_input_data!$C$107:$N$306,Export!J956,FALSE),""),K956)</f>
        <v/>
      </c>
      <c r="D956" s="6"/>
      <c r="E956" t="s">
        <v>1561</v>
      </c>
      <c r="F956" s="6"/>
      <c r="G956" s="6"/>
      <c r="H956" s="6" t="s">
        <v>2211</v>
      </c>
      <c r="I956" t="s">
        <v>1561</v>
      </c>
      <c r="J956" t="s">
        <v>1561</v>
      </c>
      <c r="L956">
        <f t="shared" si="29"/>
        <v>1</v>
      </c>
    </row>
    <row r="957" spans="1:12" x14ac:dyDescent="0.35">
      <c r="A957">
        <f t="shared" si="30"/>
        <v>956</v>
      </c>
      <c r="B957" t="s">
        <v>340</v>
      </c>
      <c r="C957" s="109" t="str">
        <f>IF(ISBLANK(K957),IFERROR(VLOOKUP(I957,FS_input_data!$C$107:$N$306,Export!J957,FALSE),""),K957)</f>
        <v/>
      </c>
      <c r="D957" s="6"/>
      <c r="E957" t="s">
        <v>1309</v>
      </c>
      <c r="F957" s="6"/>
      <c r="G957" s="6"/>
      <c r="H957" s="6" t="s">
        <v>2211</v>
      </c>
      <c r="I957" t="s">
        <v>1561</v>
      </c>
      <c r="J957" t="s">
        <v>1561</v>
      </c>
      <c r="L957" s="26" t="e">
        <f t="shared" si="29"/>
        <v>#VALUE!</v>
      </c>
    </row>
    <row r="958" spans="1:12" x14ac:dyDescent="0.35">
      <c r="A958" s="9">
        <f t="shared" si="30"/>
        <v>957</v>
      </c>
      <c r="B958" t="s">
        <v>109</v>
      </c>
      <c r="C958" s="109">
        <f>IF(ISBLANK(K958),IFERROR(VLOOKUP(I958,FS_input_data!$C$107:$N$306,Export!J958,FALSE),""),K958)</f>
        <v>28</v>
      </c>
      <c r="D958" s="6" t="b">
        <v>1</v>
      </c>
      <c r="E958" t="s">
        <v>1561</v>
      </c>
      <c r="F958" s="6"/>
      <c r="G958" s="6"/>
      <c r="H958" s="6" t="s">
        <v>2211</v>
      </c>
      <c r="I958" t="s">
        <v>1308</v>
      </c>
      <c r="J958">
        <v>3</v>
      </c>
      <c r="L958" s="9" t="e">
        <f t="shared" si="29"/>
        <v>#VALUE!</v>
      </c>
    </row>
    <row r="959" spans="1:12" x14ac:dyDescent="0.35">
      <c r="A959">
        <f t="shared" si="30"/>
        <v>958</v>
      </c>
      <c r="B959" t="s">
        <v>110</v>
      </c>
      <c r="C959" s="109" t="str">
        <f>IF(ISBLANK(K959),IFERROR(VLOOKUP(I959,FS_input_data!$C$107:$N$306,Export!J959,FALSE),""),K959)</f>
        <v/>
      </c>
      <c r="D959" s="6"/>
      <c r="F959" s="6"/>
      <c r="G959" s="6"/>
      <c r="H959" s="6" t="s">
        <v>2211</v>
      </c>
      <c r="I959" t="s">
        <v>1561</v>
      </c>
      <c r="J959" t="s">
        <v>1561</v>
      </c>
      <c r="L959">
        <f t="shared" si="29"/>
        <v>1</v>
      </c>
    </row>
    <row r="960" spans="1:12" x14ac:dyDescent="0.35">
      <c r="A960" s="9">
        <f t="shared" si="30"/>
        <v>959</v>
      </c>
      <c r="B960" t="s">
        <v>111</v>
      </c>
      <c r="C960" s="109">
        <f>IF(ISBLANK(K960),IFERROR(VLOOKUP(I960,FS_input_data!$C$107:$N$306,Export!J960,FALSE),""),K960)</f>
        <v>128</v>
      </c>
      <c r="D960" s="6" t="b">
        <v>1</v>
      </c>
      <c r="E960" t="s">
        <v>1561</v>
      </c>
      <c r="F960" s="6"/>
      <c r="G960" s="6"/>
      <c r="H960" s="6" t="s">
        <v>2211</v>
      </c>
      <c r="I960" t="s">
        <v>1308</v>
      </c>
      <c r="J960">
        <v>4</v>
      </c>
      <c r="L960" s="9" t="e">
        <f t="shared" si="29"/>
        <v>#VALUE!</v>
      </c>
    </row>
    <row r="961" spans="1:12" x14ac:dyDescent="0.35">
      <c r="A961">
        <f t="shared" si="30"/>
        <v>960</v>
      </c>
      <c r="B961" t="s">
        <v>112</v>
      </c>
      <c r="C961" s="109" t="str">
        <f>IF(ISBLANK(K961),IFERROR(VLOOKUP(I961,FS_input_data!$C$107:$N$306,Export!J961,FALSE),""),K961)</f>
        <v/>
      </c>
      <c r="D961" s="6"/>
      <c r="E961" t="s">
        <v>1561</v>
      </c>
      <c r="F961" s="6"/>
      <c r="G961" s="6"/>
      <c r="H961" s="6" t="s">
        <v>2211</v>
      </c>
      <c r="I961" t="s">
        <v>1561</v>
      </c>
      <c r="J961" t="s">
        <v>1561</v>
      </c>
      <c r="L961">
        <f t="shared" si="29"/>
        <v>1</v>
      </c>
    </row>
    <row r="962" spans="1:12" x14ac:dyDescent="0.35">
      <c r="A962">
        <f t="shared" si="30"/>
        <v>961</v>
      </c>
      <c r="B962" t="s">
        <v>341</v>
      </c>
      <c r="C962" s="109" t="str">
        <f>IF(ISBLANK(K962),IFERROR(VLOOKUP(I962,FS_input_data!$C$107:$N$306,Export!J962,FALSE),""),K962)</f>
        <v/>
      </c>
      <c r="D962" s="6"/>
      <c r="E962" t="s">
        <v>1561</v>
      </c>
      <c r="F962" s="6"/>
      <c r="G962" s="6"/>
      <c r="H962" s="6" t="s">
        <v>2211</v>
      </c>
      <c r="I962" t="s">
        <v>1561</v>
      </c>
      <c r="J962" t="s">
        <v>1561</v>
      </c>
      <c r="L962">
        <f t="shared" ref="L962:L1025" si="31">FIND("/",B962)</f>
        <v>1</v>
      </c>
    </row>
    <row r="963" spans="1:12" x14ac:dyDescent="0.35">
      <c r="A963">
        <f t="shared" ref="A963:A1026" si="32">A962+1</f>
        <v>962</v>
      </c>
      <c r="B963" t="s">
        <v>342</v>
      </c>
      <c r="C963" s="109" t="str">
        <f>IF(ISBLANK(K963),IFERROR(VLOOKUP(I963,FS_input_data!$C$107:$N$306,Export!J963,FALSE),""),K963)</f>
        <v/>
      </c>
      <c r="D963" s="6"/>
      <c r="E963" t="s">
        <v>1312</v>
      </c>
      <c r="F963" s="6"/>
      <c r="G963" s="6"/>
      <c r="H963" s="6" t="s">
        <v>2211</v>
      </c>
      <c r="I963" t="s">
        <v>1561</v>
      </c>
      <c r="J963" t="s">
        <v>1561</v>
      </c>
      <c r="L963" s="26" t="e">
        <f t="shared" si="31"/>
        <v>#VALUE!</v>
      </c>
    </row>
    <row r="964" spans="1:12" x14ac:dyDescent="0.35">
      <c r="A964" s="9">
        <f t="shared" si="32"/>
        <v>963</v>
      </c>
      <c r="B964" t="s">
        <v>109</v>
      </c>
      <c r="C964" s="109">
        <f>IF(ISBLANK(K964),IFERROR(VLOOKUP(I964,FS_input_data!$C$107:$N$306,Export!J964,FALSE),""),K964)</f>
        <v>29</v>
      </c>
      <c r="D964" s="6" t="b">
        <v>1</v>
      </c>
      <c r="E964" t="s">
        <v>1561</v>
      </c>
      <c r="F964" s="6"/>
      <c r="G964" s="6"/>
      <c r="H964" s="6" t="s">
        <v>2211</v>
      </c>
      <c r="I964" t="s">
        <v>1311</v>
      </c>
      <c r="J964">
        <v>3</v>
      </c>
      <c r="L964" s="9" t="e">
        <f t="shared" si="31"/>
        <v>#VALUE!</v>
      </c>
    </row>
    <row r="965" spans="1:12" x14ac:dyDescent="0.35">
      <c r="A965">
        <f t="shared" si="32"/>
        <v>964</v>
      </c>
      <c r="B965" t="s">
        <v>110</v>
      </c>
      <c r="C965" s="109" t="str">
        <f>IF(ISBLANK(K965),IFERROR(VLOOKUP(I965,FS_input_data!$C$107:$N$306,Export!J965,FALSE),""),K965)</f>
        <v/>
      </c>
      <c r="D965" s="6"/>
      <c r="F965" s="6"/>
      <c r="G965" s="6"/>
      <c r="H965" s="6" t="s">
        <v>2211</v>
      </c>
      <c r="I965" t="s">
        <v>1561</v>
      </c>
      <c r="J965" t="s">
        <v>1561</v>
      </c>
      <c r="L965">
        <f t="shared" si="31"/>
        <v>1</v>
      </c>
    </row>
    <row r="966" spans="1:12" x14ac:dyDescent="0.35">
      <c r="A966" s="9">
        <f t="shared" si="32"/>
        <v>965</v>
      </c>
      <c r="B966" t="s">
        <v>111</v>
      </c>
      <c r="C966" s="109">
        <f>IF(ISBLANK(K966),IFERROR(VLOOKUP(I966,FS_input_data!$C$107:$N$306,Export!J966,FALSE),""),K966)</f>
        <v>129</v>
      </c>
      <c r="D966" s="6" t="b">
        <v>1</v>
      </c>
      <c r="E966" t="s">
        <v>1561</v>
      </c>
      <c r="F966" s="6"/>
      <c r="G966" s="6"/>
      <c r="H966" s="6" t="s">
        <v>2211</v>
      </c>
      <c r="I966" t="s">
        <v>1311</v>
      </c>
      <c r="J966">
        <v>4</v>
      </c>
      <c r="L966" s="9" t="e">
        <f t="shared" si="31"/>
        <v>#VALUE!</v>
      </c>
    </row>
    <row r="967" spans="1:12" x14ac:dyDescent="0.35">
      <c r="A967">
        <f t="shared" si="32"/>
        <v>966</v>
      </c>
      <c r="B967" t="s">
        <v>112</v>
      </c>
      <c r="C967" s="109" t="str">
        <f>IF(ISBLANK(K967),IFERROR(VLOOKUP(I967,FS_input_data!$C$107:$N$306,Export!J967,FALSE),""),K967)</f>
        <v/>
      </c>
      <c r="D967" s="6"/>
      <c r="E967" t="s">
        <v>1561</v>
      </c>
      <c r="F967" s="6"/>
      <c r="G967" s="6"/>
      <c r="H967" s="6" t="s">
        <v>2211</v>
      </c>
      <c r="I967" t="s">
        <v>1561</v>
      </c>
      <c r="J967" t="s">
        <v>1561</v>
      </c>
      <c r="L967">
        <f t="shared" si="31"/>
        <v>1</v>
      </c>
    </row>
    <row r="968" spans="1:12" x14ac:dyDescent="0.35">
      <c r="A968">
        <f t="shared" si="32"/>
        <v>967</v>
      </c>
      <c r="B968" t="s">
        <v>343</v>
      </c>
      <c r="C968" s="109" t="str">
        <f>IF(ISBLANK(K968),IFERROR(VLOOKUP(I968,FS_input_data!$C$107:$N$306,Export!J968,FALSE),""),K968)</f>
        <v/>
      </c>
      <c r="D968" s="6"/>
      <c r="E968" t="s">
        <v>1561</v>
      </c>
      <c r="F968" s="6"/>
      <c r="G968" s="6"/>
      <c r="H968" s="6" t="s">
        <v>2211</v>
      </c>
      <c r="I968" t="s">
        <v>1561</v>
      </c>
      <c r="J968" t="s">
        <v>1561</v>
      </c>
      <c r="L968">
        <f t="shared" si="31"/>
        <v>1</v>
      </c>
    </row>
    <row r="969" spans="1:12" x14ac:dyDescent="0.35">
      <c r="A969">
        <f t="shared" si="32"/>
        <v>968</v>
      </c>
      <c r="B969" t="s">
        <v>344</v>
      </c>
      <c r="C969" s="109" t="str">
        <f>IF(ISBLANK(K969),IFERROR(VLOOKUP(I969,FS_input_data!$C$107:$N$306,Export!J969,FALSE),""),K969)</f>
        <v/>
      </c>
      <c r="D969" s="6"/>
      <c r="E969" t="s">
        <v>1315</v>
      </c>
      <c r="F969" s="6"/>
      <c r="G969" s="6"/>
      <c r="H969" s="6" t="s">
        <v>2211</v>
      </c>
      <c r="I969" t="s">
        <v>1561</v>
      </c>
      <c r="J969" t="s">
        <v>1561</v>
      </c>
      <c r="L969" s="26" t="e">
        <f t="shared" si="31"/>
        <v>#VALUE!</v>
      </c>
    </row>
    <row r="970" spans="1:12" x14ac:dyDescent="0.35">
      <c r="A970" s="9">
        <f t="shared" si="32"/>
        <v>969</v>
      </c>
      <c r="B970" t="s">
        <v>109</v>
      </c>
      <c r="C970" s="109">
        <f>IF(ISBLANK(K970),IFERROR(VLOOKUP(I970,FS_input_data!$C$107:$N$306,Export!J970,FALSE),""),K970)</f>
        <v>30</v>
      </c>
      <c r="D970" s="6" t="b">
        <v>1</v>
      </c>
      <c r="E970" t="s">
        <v>1561</v>
      </c>
      <c r="F970" s="6"/>
      <c r="G970" s="6"/>
      <c r="H970" s="6" t="s">
        <v>2211</v>
      </c>
      <c r="I970" t="s">
        <v>1314</v>
      </c>
      <c r="J970">
        <v>3</v>
      </c>
      <c r="L970" s="9" t="e">
        <f t="shared" si="31"/>
        <v>#VALUE!</v>
      </c>
    </row>
    <row r="971" spans="1:12" x14ac:dyDescent="0.35">
      <c r="A971">
        <f t="shared" si="32"/>
        <v>970</v>
      </c>
      <c r="B971" t="s">
        <v>110</v>
      </c>
      <c r="C971" s="109" t="str">
        <f>IF(ISBLANK(K971),IFERROR(VLOOKUP(I971,FS_input_data!$C$107:$N$306,Export!J971,FALSE),""),K971)</f>
        <v/>
      </c>
      <c r="D971" s="6"/>
      <c r="F971" s="6"/>
      <c r="G971" s="6"/>
      <c r="H971" s="6" t="s">
        <v>2211</v>
      </c>
      <c r="I971" t="s">
        <v>1561</v>
      </c>
      <c r="J971" t="s">
        <v>1561</v>
      </c>
      <c r="L971">
        <f t="shared" si="31"/>
        <v>1</v>
      </c>
    </row>
    <row r="972" spans="1:12" x14ac:dyDescent="0.35">
      <c r="A972" s="9">
        <f t="shared" si="32"/>
        <v>971</v>
      </c>
      <c r="B972" t="s">
        <v>111</v>
      </c>
      <c r="C972" s="109">
        <f>IF(ISBLANK(K972),IFERROR(VLOOKUP(I972,FS_input_data!$C$107:$N$306,Export!J972,FALSE),""),K972)</f>
        <v>130</v>
      </c>
      <c r="D972" s="6" t="b">
        <v>1</v>
      </c>
      <c r="E972" t="s">
        <v>1561</v>
      </c>
      <c r="F972" s="6"/>
      <c r="G972" s="6"/>
      <c r="H972" s="6" t="s">
        <v>2211</v>
      </c>
      <c r="I972" t="s">
        <v>1314</v>
      </c>
      <c r="J972">
        <v>4</v>
      </c>
      <c r="L972" s="9" t="e">
        <f t="shared" si="31"/>
        <v>#VALUE!</v>
      </c>
    </row>
    <row r="973" spans="1:12" x14ac:dyDescent="0.35">
      <c r="A973">
        <f t="shared" si="32"/>
        <v>972</v>
      </c>
      <c r="B973" t="s">
        <v>112</v>
      </c>
      <c r="C973" s="109" t="str">
        <f>IF(ISBLANK(K973),IFERROR(VLOOKUP(I973,FS_input_data!$C$107:$N$306,Export!J973,FALSE),""),K973)</f>
        <v/>
      </c>
      <c r="D973" s="6"/>
      <c r="E973" t="s">
        <v>1561</v>
      </c>
      <c r="F973" s="6"/>
      <c r="G973" s="6"/>
      <c r="H973" s="6" t="s">
        <v>2211</v>
      </c>
      <c r="I973" t="s">
        <v>1561</v>
      </c>
      <c r="J973" t="s">
        <v>1561</v>
      </c>
      <c r="L973">
        <f t="shared" si="31"/>
        <v>1</v>
      </c>
    </row>
    <row r="974" spans="1:12" x14ac:dyDescent="0.35">
      <c r="A974">
        <f t="shared" si="32"/>
        <v>973</v>
      </c>
      <c r="B974" t="s">
        <v>345</v>
      </c>
      <c r="C974" s="109" t="str">
        <f>IF(ISBLANK(K974),IFERROR(VLOOKUP(I974,FS_input_data!$C$107:$N$306,Export!J974,FALSE),""),K974)</f>
        <v/>
      </c>
      <c r="D974" s="6"/>
      <c r="E974" t="s">
        <v>1561</v>
      </c>
      <c r="F974" s="6"/>
      <c r="G974" s="6"/>
      <c r="H974" s="6" t="s">
        <v>2211</v>
      </c>
      <c r="I974" t="s">
        <v>1561</v>
      </c>
      <c r="J974" t="s">
        <v>1561</v>
      </c>
      <c r="L974">
        <f t="shared" si="31"/>
        <v>1</v>
      </c>
    </row>
    <row r="975" spans="1:12" x14ac:dyDescent="0.35">
      <c r="A975">
        <f t="shared" si="32"/>
        <v>974</v>
      </c>
      <c r="B975" t="s">
        <v>346</v>
      </c>
      <c r="C975" s="109" t="str">
        <f>IF(ISBLANK(K975),IFERROR(VLOOKUP(I975,FS_input_data!$C$107:$N$306,Export!J975,FALSE),""),K975)</f>
        <v/>
      </c>
      <c r="D975" s="6"/>
      <c r="E975" t="s">
        <v>1561</v>
      </c>
      <c r="F975" s="6"/>
      <c r="G975" s="6"/>
      <c r="H975" s="6" t="s">
        <v>2211</v>
      </c>
      <c r="I975" t="s">
        <v>1561</v>
      </c>
      <c r="J975" t="s">
        <v>1561</v>
      </c>
      <c r="L975">
        <f t="shared" si="31"/>
        <v>1</v>
      </c>
    </row>
    <row r="976" spans="1:12" x14ac:dyDescent="0.35">
      <c r="A976">
        <f t="shared" si="32"/>
        <v>975</v>
      </c>
      <c r="B976" t="s">
        <v>347</v>
      </c>
      <c r="C976" s="109" t="str">
        <f>IF(ISBLANK(K976),IFERROR(VLOOKUP(I976,FS_input_data!$C$107:$N$306,Export!J976,FALSE),""),K976)</f>
        <v/>
      </c>
      <c r="D976" s="6"/>
      <c r="E976" t="s">
        <v>1561</v>
      </c>
      <c r="F976" s="6"/>
      <c r="G976" s="6"/>
      <c r="H976" s="6" t="s">
        <v>2211</v>
      </c>
      <c r="I976" t="s">
        <v>1561</v>
      </c>
      <c r="J976" t="s">
        <v>1561</v>
      </c>
      <c r="L976">
        <f t="shared" si="31"/>
        <v>1</v>
      </c>
    </row>
    <row r="977" spans="1:12" x14ac:dyDescent="0.35">
      <c r="A977">
        <f t="shared" si="32"/>
        <v>976</v>
      </c>
      <c r="B977" t="s">
        <v>348</v>
      </c>
      <c r="C977" s="109" t="str">
        <f>IF(ISBLANK(K977),IFERROR(VLOOKUP(I977,FS_input_data!$C$107:$N$306,Export!J977,FALSE),""),K977)</f>
        <v/>
      </c>
      <c r="D977" s="6"/>
      <c r="E977" t="s">
        <v>1318</v>
      </c>
      <c r="F977" s="6"/>
      <c r="G977" s="6"/>
      <c r="H977" s="6" t="s">
        <v>2211</v>
      </c>
      <c r="I977" t="s">
        <v>1561</v>
      </c>
      <c r="J977" t="s">
        <v>1561</v>
      </c>
      <c r="L977" s="26" t="e">
        <f t="shared" si="31"/>
        <v>#VALUE!</v>
      </c>
    </row>
    <row r="978" spans="1:12" x14ac:dyDescent="0.35">
      <c r="A978" s="9">
        <f t="shared" si="32"/>
        <v>977</v>
      </c>
      <c r="B978" t="s">
        <v>109</v>
      </c>
      <c r="C978" s="109">
        <f>IF(ISBLANK(K978),IFERROR(VLOOKUP(I978,FS_input_data!$C$107:$N$306,Export!J978,FALSE),""),K978)</f>
        <v>761</v>
      </c>
      <c r="D978" s="6" t="b">
        <v>1</v>
      </c>
      <c r="E978" t="s">
        <v>1561</v>
      </c>
      <c r="F978" s="6"/>
      <c r="G978" s="6"/>
      <c r="H978" s="6" t="s">
        <v>2211</v>
      </c>
      <c r="I978" t="s">
        <v>1317</v>
      </c>
      <c r="J978">
        <v>3</v>
      </c>
      <c r="L978" s="9" t="e">
        <f t="shared" si="31"/>
        <v>#VALUE!</v>
      </c>
    </row>
    <row r="979" spans="1:12" x14ac:dyDescent="0.35">
      <c r="A979">
        <f t="shared" si="32"/>
        <v>978</v>
      </c>
      <c r="B979" t="s">
        <v>110</v>
      </c>
      <c r="C979" s="109" t="str">
        <f>IF(ISBLANK(K979),IFERROR(VLOOKUP(I979,FS_input_data!$C$107:$N$306,Export!J979,FALSE),""),K979)</f>
        <v/>
      </c>
      <c r="D979" s="6"/>
      <c r="F979" s="6"/>
      <c r="G979" s="6"/>
      <c r="H979" s="6" t="s">
        <v>2211</v>
      </c>
      <c r="I979" t="s">
        <v>1561</v>
      </c>
      <c r="J979" t="s">
        <v>1561</v>
      </c>
      <c r="L979">
        <f t="shared" si="31"/>
        <v>1</v>
      </c>
    </row>
    <row r="980" spans="1:12" x14ac:dyDescent="0.35">
      <c r="A980" s="9">
        <f t="shared" si="32"/>
        <v>979</v>
      </c>
      <c r="B980" t="s">
        <v>111</v>
      </c>
      <c r="C980" s="109">
        <f>IF(ISBLANK(K980),IFERROR(VLOOKUP(I980,FS_input_data!$C$107:$N$306,Export!J980,FALSE),""),K980)</f>
        <v>2461</v>
      </c>
      <c r="D980" s="6" t="b">
        <v>1</v>
      </c>
      <c r="E980" t="s">
        <v>1561</v>
      </c>
      <c r="F980" s="6"/>
      <c r="G980" s="6"/>
      <c r="H980" s="6" t="s">
        <v>2211</v>
      </c>
      <c r="I980" t="s">
        <v>1317</v>
      </c>
      <c r="J980">
        <v>4</v>
      </c>
      <c r="L980" s="9" t="e">
        <f t="shared" si="31"/>
        <v>#VALUE!</v>
      </c>
    </row>
    <row r="981" spans="1:12" x14ac:dyDescent="0.35">
      <c r="A981">
        <f t="shared" si="32"/>
        <v>980</v>
      </c>
      <c r="B981" t="s">
        <v>112</v>
      </c>
      <c r="C981" s="109" t="str">
        <f>IF(ISBLANK(K981),IFERROR(VLOOKUP(I981,FS_input_data!$C$107:$N$306,Export!J981,FALSE),""),K981)</f>
        <v/>
      </c>
      <c r="D981" s="6"/>
      <c r="E981" t="s">
        <v>1561</v>
      </c>
      <c r="F981" s="6"/>
      <c r="G981" s="6"/>
      <c r="H981" s="6" t="s">
        <v>2211</v>
      </c>
      <c r="I981" t="s">
        <v>1561</v>
      </c>
      <c r="J981" t="s">
        <v>1561</v>
      </c>
      <c r="L981">
        <f t="shared" si="31"/>
        <v>1</v>
      </c>
    </row>
    <row r="982" spans="1:12" x14ac:dyDescent="0.35">
      <c r="A982">
        <f t="shared" si="32"/>
        <v>981</v>
      </c>
      <c r="B982" t="s">
        <v>349</v>
      </c>
      <c r="C982" s="109" t="str">
        <f>IF(ISBLANK(K982),IFERROR(VLOOKUP(I982,FS_input_data!$C$107:$N$306,Export!J982,FALSE),""),K982)</f>
        <v/>
      </c>
      <c r="D982" s="6"/>
      <c r="E982" t="s">
        <v>1294</v>
      </c>
      <c r="F982" s="6"/>
      <c r="G982" s="6"/>
      <c r="H982" s="6" t="s">
        <v>2211</v>
      </c>
      <c r="I982" t="s">
        <v>1561</v>
      </c>
      <c r="J982" t="s">
        <v>1561</v>
      </c>
      <c r="L982" s="26" t="e">
        <f t="shared" si="31"/>
        <v>#VALUE!</v>
      </c>
    </row>
    <row r="983" spans="1:12" x14ac:dyDescent="0.35">
      <c r="A983" s="9">
        <f t="shared" si="32"/>
        <v>982</v>
      </c>
      <c r="B983" t="s">
        <v>109</v>
      </c>
      <c r="C983" s="109">
        <f>IF(ISBLANK(K983),IFERROR(VLOOKUP(I983,FS_input_data!$C$107:$N$306,Export!J983,FALSE),""),K983)</f>
        <v>105</v>
      </c>
      <c r="D983" s="6" t="b">
        <v>1</v>
      </c>
      <c r="E983" t="s">
        <v>1561</v>
      </c>
      <c r="F983" s="6"/>
      <c r="G983" s="6"/>
      <c r="H983" s="6" t="s">
        <v>2211</v>
      </c>
      <c r="I983" t="s">
        <v>1320</v>
      </c>
      <c r="J983">
        <v>3</v>
      </c>
      <c r="L983" s="9" t="e">
        <f t="shared" si="31"/>
        <v>#VALUE!</v>
      </c>
    </row>
    <row r="984" spans="1:12" x14ac:dyDescent="0.35">
      <c r="A984">
        <f t="shared" si="32"/>
        <v>983</v>
      </c>
      <c r="B984" t="s">
        <v>110</v>
      </c>
      <c r="C984" s="109" t="str">
        <f>IF(ISBLANK(K984),IFERROR(VLOOKUP(I984,FS_input_data!$C$107:$N$306,Export!J984,FALSE),""),K984)</f>
        <v/>
      </c>
      <c r="D984" s="6"/>
      <c r="F984" s="6"/>
      <c r="G984" s="6"/>
      <c r="H984" s="6" t="s">
        <v>2211</v>
      </c>
      <c r="I984" t="s">
        <v>1561</v>
      </c>
      <c r="J984" t="s">
        <v>1561</v>
      </c>
      <c r="L984">
        <f t="shared" si="31"/>
        <v>1</v>
      </c>
    </row>
    <row r="985" spans="1:12" x14ac:dyDescent="0.35">
      <c r="A985" s="9">
        <f t="shared" si="32"/>
        <v>984</v>
      </c>
      <c r="B985" t="s">
        <v>111</v>
      </c>
      <c r="C985" s="109">
        <f>IF(ISBLANK(K985),IFERROR(VLOOKUP(I985,FS_input_data!$C$107:$N$306,Export!J985,FALSE),""),K985)</f>
        <v>405</v>
      </c>
      <c r="D985" s="6" t="b">
        <v>1</v>
      </c>
      <c r="E985" t="s">
        <v>1561</v>
      </c>
      <c r="F985" s="6"/>
      <c r="G985" s="6"/>
      <c r="H985" s="6" t="s">
        <v>2211</v>
      </c>
      <c r="I985" t="s">
        <v>1320</v>
      </c>
      <c r="J985">
        <v>4</v>
      </c>
      <c r="L985" s="9" t="e">
        <f t="shared" si="31"/>
        <v>#VALUE!</v>
      </c>
    </row>
    <row r="986" spans="1:12" x14ac:dyDescent="0.35">
      <c r="A986">
        <f t="shared" si="32"/>
        <v>985</v>
      </c>
      <c r="B986" t="s">
        <v>112</v>
      </c>
      <c r="C986" s="109" t="str">
        <f>IF(ISBLANK(K986),IFERROR(VLOOKUP(I986,FS_input_data!$C$107:$N$306,Export!J986,FALSE),""),K986)</f>
        <v/>
      </c>
      <c r="D986" s="6"/>
      <c r="E986" t="s">
        <v>1561</v>
      </c>
      <c r="F986" s="6"/>
      <c r="G986" s="6"/>
      <c r="H986" s="6" t="s">
        <v>2211</v>
      </c>
      <c r="I986" t="s">
        <v>1561</v>
      </c>
      <c r="J986" t="s">
        <v>1561</v>
      </c>
      <c r="L986">
        <f t="shared" si="31"/>
        <v>1</v>
      </c>
    </row>
    <row r="987" spans="1:12" x14ac:dyDescent="0.35">
      <c r="A987">
        <f t="shared" si="32"/>
        <v>986</v>
      </c>
      <c r="B987" t="s">
        <v>350</v>
      </c>
      <c r="C987" s="109" t="str">
        <f>IF(ISBLANK(K987),IFERROR(VLOOKUP(I987,FS_input_data!$C$107:$N$306,Export!J987,FALSE),""),K987)</f>
        <v/>
      </c>
      <c r="D987" s="6"/>
      <c r="E987" t="s">
        <v>1133</v>
      </c>
      <c r="F987" s="6"/>
      <c r="G987" s="6"/>
      <c r="H987" s="6" t="s">
        <v>2211</v>
      </c>
      <c r="I987" t="s">
        <v>1561</v>
      </c>
      <c r="J987" t="s">
        <v>1561</v>
      </c>
      <c r="L987" s="26" t="e">
        <f t="shared" si="31"/>
        <v>#VALUE!</v>
      </c>
    </row>
    <row r="988" spans="1:12" x14ac:dyDescent="0.35">
      <c r="A988" s="9">
        <f t="shared" si="32"/>
        <v>987</v>
      </c>
      <c r="B988" t="s">
        <v>109</v>
      </c>
      <c r="C988" s="109">
        <f>IF(ISBLANK(K988),IFERROR(VLOOKUP(I988,FS_input_data!$C$107:$N$306,Export!J988,FALSE),""),K988)</f>
        <v>69</v>
      </c>
      <c r="D988" s="6" t="b">
        <v>1</v>
      </c>
      <c r="E988" t="s">
        <v>1561</v>
      </c>
      <c r="F988" s="6"/>
      <c r="G988" s="6"/>
      <c r="H988" s="6" t="s">
        <v>2211</v>
      </c>
      <c r="I988" t="s">
        <v>1322</v>
      </c>
      <c r="J988">
        <v>3</v>
      </c>
      <c r="L988" s="9" t="e">
        <f t="shared" si="31"/>
        <v>#VALUE!</v>
      </c>
    </row>
    <row r="989" spans="1:12" x14ac:dyDescent="0.35">
      <c r="A989">
        <f t="shared" si="32"/>
        <v>988</v>
      </c>
      <c r="B989" t="s">
        <v>110</v>
      </c>
      <c r="C989" s="109" t="str">
        <f>IF(ISBLANK(K989),IFERROR(VLOOKUP(I989,FS_input_data!$C$107:$N$306,Export!J989,FALSE),""),K989)</f>
        <v/>
      </c>
      <c r="D989" s="6"/>
      <c r="F989" s="6"/>
      <c r="G989" s="6"/>
      <c r="H989" s="6" t="s">
        <v>2211</v>
      </c>
      <c r="I989" t="s">
        <v>1561</v>
      </c>
      <c r="J989" t="s">
        <v>1561</v>
      </c>
      <c r="L989">
        <f t="shared" si="31"/>
        <v>1</v>
      </c>
    </row>
    <row r="990" spans="1:12" x14ac:dyDescent="0.35">
      <c r="A990" s="9">
        <f t="shared" si="32"/>
        <v>989</v>
      </c>
      <c r="B990" t="s">
        <v>111</v>
      </c>
      <c r="C990" s="109">
        <f>IF(ISBLANK(K990),IFERROR(VLOOKUP(I990,FS_input_data!$C$107:$N$306,Export!J990,FALSE),""),K990)</f>
        <v>269</v>
      </c>
      <c r="D990" s="6" t="b">
        <v>1</v>
      </c>
      <c r="E990" t="s">
        <v>1561</v>
      </c>
      <c r="F990" s="6"/>
      <c r="G990" s="6"/>
      <c r="H990" s="6" t="s">
        <v>2211</v>
      </c>
      <c r="I990" t="s">
        <v>1322</v>
      </c>
      <c r="J990">
        <v>4</v>
      </c>
      <c r="L990" s="9" t="e">
        <f t="shared" si="31"/>
        <v>#VALUE!</v>
      </c>
    </row>
    <row r="991" spans="1:12" x14ac:dyDescent="0.35">
      <c r="A991">
        <f t="shared" si="32"/>
        <v>990</v>
      </c>
      <c r="B991" t="s">
        <v>112</v>
      </c>
      <c r="C991" s="109" t="str">
        <f>IF(ISBLANK(K991),IFERROR(VLOOKUP(I991,FS_input_data!$C$107:$N$306,Export!J991,FALSE),""),K991)</f>
        <v/>
      </c>
      <c r="D991" s="6"/>
      <c r="E991" t="s">
        <v>1561</v>
      </c>
      <c r="F991" s="6"/>
      <c r="G991" s="6"/>
      <c r="H991" s="6" t="s">
        <v>2211</v>
      </c>
      <c r="I991" t="s">
        <v>1561</v>
      </c>
      <c r="J991" t="s">
        <v>1561</v>
      </c>
      <c r="L991">
        <f t="shared" si="31"/>
        <v>1</v>
      </c>
    </row>
    <row r="992" spans="1:12" x14ac:dyDescent="0.35">
      <c r="A992">
        <f t="shared" si="32"/>
        <v>991</v>
      </c>
      <c r="B992" t="s">
        <v>351</v>
      </c>
      <c r="C992" s="109" t="str">
        <f>IF(ISBLANK(K992),IFERROR(VLOOKUP(I992,FS_input_data!$C$107:$N$306,Export!J992,FALSE),""),K992)</f>
        <v/>
      </c>
      <c r="D992" s="6"/>
      <c r="E992" t="s">
        <v>1136</v>
      </c>
      <c r="F992" s="6"/>
      <c r="G992" s="6"/>
      <c r="H992" s="6" t="s">
        <v>2211</v>
      </c>
      <c r="I992" t="s">
        <v>1561</v>
      </c>
      <c r="J992" t="s">
        <v>1561</v>
      </c>
      <c r="L992" s="26" t="e">
        <f t="shared" si="31"/>
        <v>#VALUE!</v>
      </c>
    </row>
    <row r="993" spans="1:12" x14ac:dyDescent="0.35">
      <c r="A993" s="9">
        <f t="shared" si="32"/>
        <v>992</v>
      </c>
      <c r="B993" t="s">
        <v>109</v>
      </c>
      <c r="C993" s="109">
        <f>IF(ISBLANK(K993),IFERROR(VLOOKUP(I993,FS_input_data!$C$107:$N$306,Export!J993,FALSE),""),K993)</f>
        <v>34</v>
      </c>
      <c r="D993" s="6" t="b">
        <v>1</v>
      </c>
      <c r="E993" t="s">
        <v>1561</v>
      </c>
      <c r="F993" s="6"/>
      <c r="G993" s="6"/>
      <c r="H993" s="6" t="s">
        <v>2211</v>
      </c>
      <c r="I993" t="s">
        <v>1324</v>
      </c>
      <c r="J993">
        <v>3</v>
      </c>
      <c r="L993" s="9" t="e">
        <f t="shared" si="31"/>
        <v>#VALUE!</v>
      </c>
    </row>
    <row r="994" spans="1:12" x14ac:dyDescent="0.35">
      <c r="A994">
        <f t="shared" si="32"/>
        <v>993</v>
      </c>
      <c r="B994" t="s">
        <v>110</v>
      </c>
      <c r="C994" s="109" t="str">
        <f>IF(ISBLANK(K994),IFERROR(VLOOKUP(I994,FS_input_data!$C$107:$N$306,Export!J994,FALSE),""),K994)</f>
        <v/>
      </c>
      <c r="D994" s="6"/>
      <c r="F994" s="6"/>
      <c r="G994" s="6"/>
      <c r="H994" s="6" t="s">
        <v>2211</v>
      </c>
      <c r="I994" t="s">
        <v>1561</v>
      </c>
      <c r="J994" t="s">
        <v>1561</v>
      </c>
      <c r="L994">
        <f t="shared" si="31"/>
        <v>1</v>
      </c>
    </row>
    <row r="995" spans="1:12" x14ac:dyDescent="0.35">
      <c r="A995" s="9">
        <f t="shared" si="32"/>
        <v>994</v>
      </c>
      <c r="B995" t="s">
        <v>111</v>
      </c>
      <c r="C995" s="109">
        <f>IF(ISBLANK(K995),IFERROR(VLOOKUP(I995,FS_input_data!$C$107:$N$306,Export!J995,FALSE),""),K995)</f>
        <v>134</v>
      </c>
      <c r="D995" s="6" t="b">
        <v>1</v>
      </c>
      <c r="E995" t="s">
        <v>1561</v>
      </c>
      <c r="F995" s="6"/>
      <c r="G995" s="6"/>
      <c r="H995" s="6" t="s">
        <v>2211</v>
      </c>
      <c r="I995" t="s">
        <v>1324</v>
      </c>
      <c r="J995">
        <v>4</v>
      </c>
      <c r="L995" s="9" t="e">
        <f t="shared" si="31"/>
        <v>#VALUE!</v>
      </c>
    </row>
    <row r="996" spans="1:12" x14ac:dyDescent="0.35">
      <c r="A996">
        <f t="shared" si="32"/>
        <v>995</v>
      </c>
      <c r="B996" t="s">
        <v>112</v>
      </c>
      <c r="C996" s="109" t="str">
        <f>IF(ISBLANK(K996),IFERROR(VLOOKUP(I996,FS_input_data!$C$107:$N$306,Export!J996,FALSE),""),K996)</f>
        <v/>
      </c>
      <c r="D996" s="6"/>
      <c r="E996" t="s">
        <v>1561</v>
      </c>
      <c r="F996" s="6"/>
      <c r="G996" s="6"/>
      <c r="H996" s="6" t="s">
        <v>2211</v>
      </c>
      <c r="I996" t="s">
        <v>1561</v>
      </c>
      <c r="J996" t="s">
        <v>1561</v>
      </c>
      <c r="L996">
        <f t="shared" si="31"/>
        <v>1</v>
      </c>
    </row>
    <row r="997" spans="1:12" x14ac:dyDescent="0.35">
      <c r="A997">
        <f t="shared" si="32"/>
        <v>996</v>
      </c>
      <c r="B997" t="s">
        <v>352</v>
      </c>
      <c r="C997" s="109" t="str">
        <f>IF(ISBLANK(K997),IFERROR(VLOOKUP(I997,FS_input_data!$C$107:$N$306,Export!J997,FALSE),""),K997)</f>
        <v/>
      </c>
      <c r="D997" s="6"/>
      <c r="E997" t="s">
        <v>1561</v>
      </c>
      <c r="F997" s="6"/>
      <c r="G997" s="6"/>
      <c r="H997" s="6" t="s">
        <v>2211</v>
      </c>
      <c r="I997" t="s">
        <v>1561</v>
      </c>
      <c r="J997" t="s">
        <v>1561</v>
      </c>
      <c r="L997">
        <f t="shared" si="31"/>
        <v>1</v>
      </c>
    </row>
    <row r="998" spans="1:12" x14ac:dyDescent="0.35">
      <c r="A998">
        <f t="shared" si="32"/>
        <v>997</v>
      </c>
      <c r="B998" t="s">
        <v>353</v>
      </c>
      <c r="C998" s="109" t="str">
        <f>IF(ISBLANK(K998),IFERROR(VLOOKUP(I998,FS_input_data!$C$107:$N$306,Export!J998,FALSE),""),K998)</f>
        <v/>
      </c>
      <c r="D998" s="6"/>
      <c r="E998" t="s">
        <v>1139</v>
      </c>
      <c r="F998" s="6"/>
      <c r="G998" s="6"/>
      <c r="H998" s="6" t="s">
        <v>2211</v>
      </c>
      <c r="I998" t="s">
        <v>1561</v>
      </c>
      <c r="J998" t="s">
        <v>1561</v>
      </c>
      <c r="L998" s="26" t="e">
        <f t="shared" si="31"/>
        <v>#VALUE!</v>
      </c>
    </row>
    <row r="999" spans="1:12" x14ac:dyDescent="0.35">
      <c r="A999" s="9">
        <f t="shared" si="32"/>
        <v>998</v>
      </c>
      <c r="B999" t="s">
        <v>109</v>
      </c>
      <c r="C999" s="109">
        <f>IF(ISBLANK(K999),IFERROR(VLOOKUP(I999,FS_input_data!$C$107:$N$306,Export!J999,FALSE),""),K999)</f>
        <v>35</v>
      </c>
      <c r="D999" s="6" t="b">
        <v>1</v>
      </c>
      <c r="E999" t="s">
        <v>1561</v>
      </c>
      <c r="F999" s="6"/>
      <c r="G999" s="6"/>
      <c r="H999" s="6" t="s">
        <v>2211</v>
      </c>
      <c r="I999" t="s">
        <v>1326</v>
      </c>
      <c r="J999">
        <v>3</v>
      </c>
      <c r="L999" s="9" t="e">
        <f t="shared" si="31"/>
        <v>#VALUE!</v>
      </c>
    </row>
    <row r="1000" spans="1:12" x14ac:dyDescent="0.35">
      <c r="A1000">
        <f t="shared" si="32"/>
        <v>999</v>
      </c>
      <c r="B1000" t="s">
        <v>110</v>
      </c>
      <c r="C1000" s="109" t="str">
        <f>IF(ISBLANK(K1000),IFERROR(VLOOKUP(I1000,FS_input_data!$C$107:$N$306,Export!J1000,FALSE),""),K1000)</f>
        <v/>
      </c>
      <c r="D1000" s="6"/>
      <c r="F1000" s="6"/>
      <c r="G1000" s="6"/>
      <c r="H1000" s="6" t="s">
        <v>2211</v>
      </c>
      <c r="I1000" t="s">
        <v>1561</v>
      </c>
      <c r="J1000" t="s">
        <v>1561</v>
      </c>
      <c r="L1000">
        <f t="shared" si="31"/>
        <v>1</v>
      </c>
    </row>
    <row r="1001" spans="1:12" x14ac:dyDescent="0.35">
      <c r="A1001" s="9">
        <f t="shared" si="32"/>
        <v>1000</v>
      </c>
      <c r="B1001" t="s">
        <v>111</v>
      </c>
      <c r="C1001" s="109">
        <f>IF(ISBLANK(K1001),IFERROR(VLOOKUP(I1001,FS_input_data!$C$107:$N$306,Export!J1001,FALSE),""),K1001)</f>
        <v>135</v>
      </c>
      <c r="D1001" s="6" t="b">
        <v>1</v>
      </c>
      <c r="E1001" t="s">
        <v>1561</v>
      </c>
      <c r="F1001" s="6"/>
      <c r="G1001" s="6"/>
      <c r="H1001" s="6" t="s">
        <v>2211</v>
      </c>
      <c r="I1001" t="s">
        <v>1326</v>
      </c>
      <c r="J1001">
        <v>4</v>
      </c>
      <c r="L1001" s="9" t="e">
        <f t="shared" si="31"/>
        <v>#VALUE!</v>
      </c>
    </row>
    <row r="1002" spans="1:12" x14ac:dyDescent="0.35">
      <c r="A1002">
        <f t="shared" si="32"/>
        <v>1001</v>
      </c>
      <c r="B1002" t="s">
        <v>112</v>
      </c>
      <c r="C1002" s="109" t="str">
        <f>IF(ISBLANK(K1002),IFERROR(VLOOKUP(I1002,FS_input_data!$C$107:$N$306,Export!J1002,FALSE),""),K1002)</f>
        <v/>
      </c>
      <c r="D1002" s="6"/>
      <c r="E1002" t="s">
        <v>1561</v>
      </c>
      <c r="F1002" s="6"/>
      <c r="G1002" s="6"/>
      <c r="H1002" s="6" t="s">
        <v>2211</v>
      </c>
      <c r="I1002" t="s">
        <v>1561</v>
      </c>
      <c r="J1002" t="s">
        <v>1561</v>
      </c>
      <c r="L1002">
        <f t="shared" si="31"/>
        <v>1</v>
      </c>
    </row>
    <row r="1003" spans="1:12" x14ac:dyDescent="0.35">
      <c r="A1003">
        <f t="shared" si="32"/>
        <v>1002</v>
      </c>
      <c r="B1003" t="s">
        <v>354</v>
      </c>
      <c r="C1003" s="109" t="str">
        <f>IF(ISBLANK(K1003),IFERROR(VLOOKUP(I1003,FS_input_data!$C$107:$N$306,Export!J1003,FALSE),""),K1003)</f>
        <v/>
      </c>
      <c r="D1003" s="6"/>
      <c r="E1003" t="s">
        <v>1561</v>
      </c>
      <c r="F1003" s="6"/>
      <c r="G1003" s="6"/>
      <c r="H1003" s="6" t="s">
        <v>2211</v>
      </c>
      <c r="I1003" t="s">
        <v>1561</v>
      </c>
      <c r="J1003" t="s">
        <v>1561</v>
      </c>
      <c r="L1003">
        <f t="shared" si="31"/>
        <v>1</v>
      </c>
    </row>
    <row r="1004" spans="1:12" x14ac:dyDescent="0.35">
      <c r="A1004">
        <f t="shared" si="32"/>
        <v>1003</v>
      </c>
      <c r="B1004" t="s">
        <v>355</v>
      </c>
      <c r="C1004" s="109" t="str">
        <f>IF(ISBLANK(K1004),IFERROR(VLOOKUP(I1004,FS_input_data!$C$107:$N$306,Export!J1004,FALSE),""),K1004)</f>
        <v/>
      </c>
      <c r="D1004" s="6"/>
      <c r="E1004" t="s">
        <v>1561</v>
      </c>
      <c r="F1004" s="6"/>
      <c r="G1004" s="6"/>
      <c r="H1004" s="6" t="s">
        <v>2211</v>
      </c>
      <c r="I1004" t="s">
        <v>1561</v>
      </c>
      <c r="J1004" t="s">
        <v>1561</v>
      </c>
      <c r="L1004">
        <f t="shared" si="31"/>
        <v>1</v>
      </c>
    </row>
    <row r="1005" spans="1:12" x14ac:dyDescent="0.35">
      <c r="A1005">
        <f t="shared" si="32"/>
        <v>1004</v>
      </c>
      <c r="B1005" t="s">
        <v>356</v>
      </c>
      <c r="C1005" s="109" t="str">
        <f>IF(ISBLANK(K1005),IFERROR(VLOOKUP(I1005,FS_input_data!$C$107:$N$306,Export!J1005,FALSE),""),K1005)</f>
        <v/>
      </c>
      <c r="D1005" s="6"/>
      <c r="E1005" t="s">
        <v>1142</v>
      </c>
      <c r="F1005" s="6"/>
      <c r="G1005" s="6"/>
      <c r="H1005" s="6" t="s">
        <v>2211</v>
      </c>
      <c r="I1005" t="s">
        <v>1561</v>
      </c>
      <c r="J1005" t="s">
        <v>1561</v>
      </c>
      <c r="L1005" s="26" t="e">
        <f t="shared" si="31"/>
        <v>#VALUE!</v>
      </c>
    </row>
    <row r="1006" spans="1:12" x14ac:dyDescent="0.35">
      <c r="A1006" s="9">
        <f t="shared" si="32"/>
        <v>1005</v>
      </c>
      <c r="B1006" t="s">
        <v>109</v>
      </c>
      <c r="C1006" s="109">
        <f>IF(ISBLANK(K1006),IFERROR(VLOOKUP(I1006,FS_input_data!$C$107:$N$306,Export!J1006,FALSE),""),K1006)</f>
        <v>36</v>
      </c>
      <c r="D1006" s="6" t="b">
        <v>1</v>
      </c>
      <c r="E1006" t="s">
        <v>1561</v>
      </c>
      <c r="F1006" s="6"/>
      <c r="G1006" s="6"/>
      <c r="H1006" s="6" t="s">
        <v>2211</v>
      </c>
      <c r="I1006" t="s">
        <v>1328</v>
      </c>
      <c r="J1006">
        <v>3</v>
      </c>
      <c r="L1006" s="9" t="e">
        <f t="shared" si="31"/>
        <v>#VALUE!</v>
      </c>
    </row>
    <row r="1007" spans="1:12" x14ac:dyDescent="0.35">
      <c r="A1007">
        <f t="shared" si="32"/>
        <v>1006</v>
      </c>
      <c r="B1007" t="s">
        <v>110</v>
      </c>
      <c r="C1007" s="109" t="str">
        <f>IF(ISBLANK(K1007),IFERROR(VLOOKUP(I1007,FS_input_data!$C$107:$N$306,Export!J1007,FALSE),""),K1007)</f>
        <v/>
      </c>
      <c r="D1007" s="6"/>
      <c r="F1007" s="6"/>
      <c r="G1007" s="6"/>
      <c r="H1007" s="6" t="s">
        <v>2211</v>
      </c>
      <c r="I1007" t="s">
        <v>1561</v>
      </c>
      <c r="J1007" t="s">
        <v>1561</v>
      </c>
      <c r="L1007">
        <f t="shared" si="31"/>
        <v>1</v>
      </c>
    </row>
    <row r="1008" spans="1:12" x14ac:dyDescent="0.35">
      <c r="A1008" s="9">
        <f t="shared" si="32"/>
        <v>1007</v>
      </c>
      <c r="B1008" t="s">
        <v>111</v>
      </c>
      <c r="C1008" s="109">
        <f>IF(ISBLANK(K1008),IFERROR(VLOOKUP(I1008,FS_input_data!$C$107:$N$306,Export!J1008,FALSE),""),K1008)</f>
        <v>136</v>
      </c>
      <c r="D1008" s="6" t="b">
        <v>1</v>
      </c>
      <c r="E1008" t="s">
        <v>1561</v>
      </c>
      <c r="F1008" s="6"/>
      <c r="G1008" s="6"/>
      <c r="H1008" s="6" t="s">
        <v>2211</v>
      </c>
      <c r="I1008" t="s">
        <v>1328</v>
      </c>
      <c r="J1008">
        <v>4</v>
      </c>
      <c r="L1008" s="9" t="e">
        <f t="shared" si="31"/>
        <v>#VALUE!</v>
      </c>
    </row>
    <row r="1009" spans="1:12" x14ac:dyDescent="0.35">
      <c r="A1009">
        <f t="shared" si="32"/>
        <v>1008</v>
      </c>
      <c r="B1009" t="s">
        <v>112</v>
      </c>
      <c r="C1009" s="109" t="str">
        <f>IF(ISBLANK(K1009),IFERROR(VLOOKUP(I1009,FS_input_data!$C$107:$N$306,Export!J1009,FALSE),""),K1009)</f>
        <v/>
      </c>
      <c r="D1009" s="6"/>
      <c r="E1009" t="s">
        <v>1561</v>
      </c>
      <c r="F1009" s="6"/>
      <c r="G1009" s="6"/>
      <c r="H1009" s="6" t="s">
        <v>2211</v>
      </c>
      <c r="I1009" t="s">
        <v>1561</v>
      </c>
      <c r="J1009" t="s">
        <v>1561</v>
      </c>
      <c r="L1009">
        <f t="shared" si="31"/>
        <v>1</v>
      </c>
    </row>
    <row r="1010" spans="1:12" x14ac:dyDescent="0.35">
      <c r="A1010">
        <f t="shared" si="32"/>
        <v>1009</v>
      </c>
      <c r="B1010" t="s">
        <v>357</v>
      </c>
      <c r="C1010" s="109" t="str">
        <f>IF(ISBLANK(K1010),IFERROR(VLOOKUP(I1010,FS_input_data!$C$107:$N$306,Export!J1010,FALSE),""),K1010)</f>
        <v/>
      </c>
      <c r="D1010" s="6"/>
      <c r="E1010" t="s">
        <v>1561</v>
      </c>
      <c r="F1010" s="6"/>
      <c r="G1010" s="6"/>
      <c r="H1010" s="6" t="s">
        <v>2211</v>
      </c>
      <c r="I1010" t="s">
        <v>1561</v>
      </c>
      <c r="J1010" t="s">
        <v>1561</v>
      </c>
      <c r="L1010">
        <f t="shared" si="31"/>
        <v>1</v>
      </c>
    </row>
    <row r="1011" spans="1:12" x14ac:dyDescent="0.35">
      <c r="A1011">
        <f t="shared" si="32"/>
        <v>1010</v>
      </c>
      <c r="B1011" t="s">
        <v>358</v>
      </c>
      <c r="C1011" s="109" t="str">
        <f>IF(ISBLANK(K1011),IFERROR(VLOOKUP(I1011,FS_input_data!$C$107:$N$306,Export!J1011,FALSE),""),K1011)</f>
        <v/>
      </c>
      <c r="D1011" s="6"/>
      <c r="E1011" t="s">
        <v>1561</v>
      </c>
      <c r="F1011" s="6"/>
      <c r="G1011" s="6"/>
      <c r="H1011" s="6" t="s">
        <v>2211</v>
      </c>
      <c r="I1011" t="s">
        <v>1561</v>
      </c>
      <c r="J1011" t="s">
        <v>1561</v>
      </c>
      <c r="L1011">
        <f t="shared" si="31"/>
        <v>1</v>
      </c>
    </row>
    <row r="1012" spans="1:12" x14ac:dyDescent="0.35">
      <c r="A1012">
        <f t="shared" si="32"/>
        <v>1011</v>
      </c>
      <c r="B1012" t="s">
        <v>359</v>
      </c>
      <c r="C1012" s="109" t="str">
        <f>IF(ISBLANK(K1012),IFERROR(VLOOKUP(I1012,FS_input_data!$C$107:$N$306,Export!J1012,FALSE),""),K1012)</f>
        <v/>
      </c>
      <c r="D1012" s="6"/>
      <c r="E1012" t="s">
        <v>1331</v>
      </c>
      <c r="F1012" s="6"/>
      <c r="G1012" s="6"/>
      <c r="H1012" s="6" t="s">
        <v>2211</v>
      </c>
      <c r="I1012" t="s">
        <v>1561</v>
      </c>
      <c r="J1012" t="s">
        <v>1561</v>
      </c>
      <c r="L1012" s="26" t="e">
        <f t="shared" si="31"/>
        <v>#VALUE!</v>
      </c>
    </row>
    <row r="1013" spans="1:12" x14ac:dyDescent="0.35">
      <c r="A1013" s="9">
        <f t="shared" si="32"/>
        <v>1012</v>
      </c>
      <c r="B1013" t="s">
        <v>109</v>
      </c>
      <c r="C1013" s="109">
        <f>IF(ISBLANK(K1013),IFERROR(VLOOKUP(I1013,FS_input_data!$C$107:$N$306,Export!J1013,FALSE),""),K1013)</f>
        <v>120</v>
      </c>
      <c r="D1013" s="6" t="b">
        <v>1</v>
      </c>
      <c r="E1013" t="s">
        <v>1561</v>
      </c>
      <c r="F1013" s="6"/>
      <c r="G1013" s="6"/>
      <c r="H1013" s="6" t="s">
        <v>2211</v>
      </c>
      <c r="I1013" t="s">
        <v>1330</v>
      </c>
      <c r="J1013">
        <v>3</v>
      </c>
      <c r="L1013" s="9" t="e">
        <f t="shared" si="31"/>
        <v>#VALUE!</v>
      </c>
    </row>
    <row r="1014" spans="1:12" x14ac:dyDescent="0.35">
      <c r="A1014">
        <f t="shared" si="32"/>
        <v>1013</v>
      </c>
      <c r="B1014" t="s">
        <v>110</v>
      </c>
      <c r="C1014" s="109" t="str">
        <f>IF(ISBLANK(K1014),IFERROR(VLOOKUP(I1014,FS_input_data!$C$107:$N$306,Export!J1014,FALSE),""),K1014)</f>
        <v/>
      </c>
      <c r="D1014" s="6"/>
      <c r="F1014" s="6"/>
      <c r="G1014" s="6"/>
      <c r="H1014" s="6" t="s">
        <v>2211</v>
      </c>
      <c r="I1014" t="s">
        <v>1561</v>
      </c>
      <c r="J1014" t="s">
        <v>1561</v>
      </c>
      <c r="L1014">
        <f t="shared" si="31"/>
        <v>1</v>
      </c>
    </row>
    <row r="1015" spans="1:12" x14ac:dyDescent="0.35">
      <c r="A1015" s="9">
        <f t="shared" si="32"/>
        <v>1014</v>
      </c>
      <c r="B1015" t="s">
        <v>111</v>
      </c>
      <c r="C1015" s="109">
        <f>IF(ISBLANK(K1015),IFERROR(VLOOKUP(I1015,FS_input_data!$C$107:$N$306,Export!J1015,FALSE),""),K1015)</f>
        <v>420</v>
      </c>
      <c r="D1015" s="6" t="b">
        <v>1</v>
      </c>
      <c r="E1015" t="s">
        <v>1561</v>
      </c>
      <c r="F1015" s="6"/>
      <c r="G1015" s="6"/>
      <c r="H1015" s="6" t="s">
        <v>2211</v>
      </c>
      <c r="I1015" t="s">
        <v>1330</v>
      </c>
      <c r="J1015">
        <v>4</v>
      </c>
      <c r="L1015" s="9" t="e">
        <f t="shared" si="31"/>
        <v>#VALUE!</v>
      </c>
    </row>
    <row r="1016" spans="1:12" x14ac:dyDescent="0.35">
      <c r="A1016">
        <f t="shared" si="32"/>
        <v>1015</v>
      </c>
      <c r="B1016" t="s">
        <v>112</v>
      </c>
      <c r="C1016" s="109" t="str">
        <f>IF(ISBLANK(K1016),IFERROR(VLOOKUP(I1016,FS_input_data!$C$107:$N$306,Export!J1016,FALSE),""),K1016)</f>
        <v/>
      </c>
      <c r="D1016" s="6"/>
      <c r="E1016" t="s">
        <v>1561</v>
      </c>
      <c r="F1016" s="6"/>
      <c r="G1016" s="6"/>
      <c r="H1016" s="6" t="s">
        <v>2211</v>
      </c>
      <c r="I1016" t="s">
        <v>1561</v>
      </c>
      <c r="J1016" t="s">
        <v>1561</v>
      </c>
      <c r="L1016">
        <f t="shared" si="31"/>
        <v>1</v>
      </c>
    </row>
    <row r="1017" spans="1:12" x14ac:dyDescent="0.35">
      <c r="A1017">
        <f t="shared" si="32"/>
        <v>1016</v>
      </c>
      <c r="B1017" t="s">
        <v>360</v>
      </c>
      <c r="C1017" s="109" t="str">
        <f>IF(ISBLANK(K1017),IFERROR(VLOOKUP(I1017,FS_input_data!$C$107:$N$306,Export!J1017,FALSE),""),K1017)</f>
        <v/>
      </c>
      <c r="D1017" s="6"/>
      <c r="E1017" t="s">
        <v>1133</v>
      </c>
      <c r="F1017" s="6"/>
      <c r="G1017" s="6"/>
      <c r="H1017" s="6" t="s">
        <v>2211</v>
      </c>
      <c r="I1017" t="s">
        <v>1561</v>
      </c>
      <c r="J1017" t="s">
        <v>1561</v>
      </c>
      <c r="L1017" s="26" t="e">
        <f t="shared" si="31"/>
        <v>#VALUE!</v>
      </c>
    </row>
    <row r="1018" spans="1:12" x14ac:dyDescent="0.35">
      <c r="A1018" s="9">
        <f t="shared" si="32"/>
        <v>1017</v>
      </c>
      <c r="B1018" t="s">
        <v>109</v>
      </c>
      <c r="C1018" s="109">
        <f>IF(ISBLANK(K1018),IFERROR(VLOOKUP(I1018,FS_input_data!$C$107:$N$306,Export!J1018,FALSE),""),K1018)</f>
        <v>79</v>
      </c>
      <c r="D1018" s="6" t="b">
        <v>1</v>
      </c>
      <c r="E1018" t="s">
        <v>1561</v>
      </c>
      <c r="F1018" s="6"/>
      <c r="G1018" s="6"/>
      <c r="H1018" s="6" t="s">
        <v>2211</v>
      </c>
      <c r="I1018" t="s">
        <v>1333</v>
      </c>
      <c r="J1018">
        <v>3</v>
      </c>
      <c r="L1018" s="9" t="e">
        <f t="shared" si="31"/>
        <v>#VALUE!</v>
      </c>
    </row>
    <row r="1019" spans="1:12" x14ac:dyDescent="0.35">
      <c r="A1019">
        <f t="shared" si="32"/>
        <v>1018</v>
      </c>
      <c r="B1019" t="s">
        <v>110</v>
      </c>
      <c r="C1019" s="109" t="str">
        <f>IF(ISBLANK(K1019),IFERROR(VLOOKUP(I1019,FS_input_data!$C$107:$N$306,Export!J1019,FALSE),""),K1019)</f>
        <v/>
      </c>
      <c r="D1019" s="6"/>
      <c r="F1019" s="6"/>
      <c r="G1019" s="6"/>
      <c r="H1019" s="6" t="s">
        <v>2211</v>
      </c>
      <c r="I1019" t="s">
        <v>1561</v>
      </c>
      <c r="J1019" t="s">
        <v>1561</v>
      </c>
      <c r="L1019">
        <f t="shared" si="31"/>
        <v>1</v>
      </c>
    </row>
    <row r="1020" spans="1:12" x14ac:dyDescent="0.35">
      <c r="A1020" s="9">
        <f t="shared" si="32"/>
        <v>1019</v>
      </c>
      <c r="B1020" t="s">
        <v>111</v>
      </c>
      <c r="C1020" s="109">
        <f>IF(ISBLANK(K1020),IFERROR(VLOOKUP(I1020,FS_input_data!$C$107:$N$306,Export!J1020,FALSE),""),K1020)</f>
        <v>279</v>
      </c>
      <c r="D1020" s="6" t="b">
        <v>1</v>
      </c>
      <c r="E1020" t="s">
        <v>1561</v>
      </c>
      <c r="F1020" s="6"/>
      <c r="G1020" s="6"/>
      <c r="H1020" s="6" t="s">
        <v>2211</v>
      </c>
      <c r="I1020" t="s">
        <v>1333</v>
      </c>
      <c r="J1020">
        <v>4</v>
      </c>
      <c r="L1020" s="9" t="e">
        <f t="shared" si="31"/>
        <v>#VALUE!</v>
      </c>
    </row>
    <row r="1021" spans="1:12" x14ac:dyDescent="0.35">
      <c r="A1021">
        <f t="shared" si="32"/>
        <v>1020</v>
      </c>
      <c r="B1021" t="s">
        <v>112</v>
      </c>
      <c r="C1021" s="109" t="str">
        <f>IF(ISBLANK(K1021),IFERROR(VLOOKUP(I1021,FS_input_data!$C$107:$N$306,Export!J1021,FALSE),""),K1021)</f>
        <v/>
      </c>
      <c r="D1021" s="6"/>
      <c r="E1021" t="s">
        <v>1561</v>
      </c>
      <c r="F1021" s="6"/>
      <c r="G1021" s="6"/>
      <c r="H1021" s="6" t="s">
        <v>2211</v>
      </c>
      <c r="I1021" t="s">
        <v>1561</v>
      </c>
      <c r="J1021" t="s">
        <v>1561</v>
      </c>
      <c r="L1021">
        <f t="shared" si="31"/>
        <v>1</v>
      </c>
    </row>
    <row r="1022" spans="1:12" x14ac:dyDescent="0.35">
      <c r="A1022">
        <f t="shared" si="32"/>
        <v>1021</v>
      </c>
      <c r="B1022" t="s">
        <v>361</v>
      </c>
      <c r="C1022" s="109" t="str">
        <f>IF(ISBLANK(K1022),IFERROR(VLOOKUP(I1022,FS_input_data!$C$107:$N$306,Export!J1022,FALSE),""),K1022)</f>
        <v/>
      </c>
      <c r="D1022" s="6"/>
      <c r="E1022" t="s">
        <v>1136</v>
      </c>
      <c r="F1022" s="6"/>
      <c r="G1022" s="6"/>
      <c r="H1022" s="6" t="s">
        <v>2211</v>
      </c>
      <c r="I1022" t="s">
        <v>1561</v>
      </c>
      <c r="J1022" t="s">
        <v>1561</v>
      </c>
      <c r="L1022" s="26" t="e">
        <f t="shared" si="31"/>
        <v>#VALUE!</v>
      </c>
    </row>
    <row r="1023" spans="1:12" x14ac:dyDescent="0.35">
      <c r="A1023" s="9">
        <f t="shared" si="32"/>
        <v>1022</v>
      </c>
      <c r="B1023" t="s">
        <v>109</v>
      </c>
      <c r="C1023" s="109">
        <f>IF(ISBLANK(K1023),IFERROR(VLOOKUP(I1023,FS_input_data!$C$107:$N$306,Export!J1023,FALSE),""),K1023)</f>
        <v>39</v>
      </c>
      <c r="D1023" s="6" t="b">
        <v>1</v>
      </c>
      <c r="E1023" t="s">
        <v>1561</v>
      </c>
      <c r="F1023" s="6"/>
      <c r="G1023" s="6"/>
      <c r="H1023" s="6" t="s">
        <v>2211</v>
      </c>
      <c r="I1023" t="s">
        <v>1335</v>
      </c>
      <c r="J1023">
        <v>3</v>
      </c>
      <c r="L1023" s="9" t="e">
        <f t="shared" si="31"/>
        <v>#VALUE!</v>
      </c>
    </row>
    <row r="1024" spans="1:12" x14ac:dyDescent="0.35">
      <c r="A1024">
        <f t="shared" si="32"/>
        <v>1023</v>
      </c>
      <c r="B1024" t="s">
        <v>110</v>
      </c>
      <c r="C1024" s="109" t="str">
        <f>IF(ISBLANK(K1024),IFERROR(VLOOKUP(I1024,FS_input_data!$C$107:$N$306,Export!J1024,FALSE),""),K1024)</f>
        <v/>
      </c>
      <c r="D1024" s="6"/>
      <c r="F1024" s="6"/>
      <c r="G1024" s="6"/>
      <c r="H1024" s="6" t="s">
        <v>2211</v>
      </c>
      <c r="I1024" t="s">
        <v>1561</v>
      </c>
      <c r="J1024" t="s">
        <v>1561</v>
      </c>
      <c r="L1024">
        <f t="shared" si="31"/>
        <v>1</v>
      </c>
    </row>
    <row r="1025" spans="1:12" x14ac:dyDescent="0.35">
      <c r="A1025" s="9">
        <f t="shared" si="32"/>
        <v>1024</v>
      </c>
      <c r="B1025" t="s">
        <v>111</v>
      </c>
      <c r="C1025" s="109">
        <f>IF(ISBLANK(K1025),IFERROR(VLOOKUP(I1025,FS_input_data!$C$107:$N$306,Export!J1025,FALSE),""),K1025)</f>
        <v>139</v>
      </c>
      <c r="D1025" s="6" t="b">
        <v>1</v>
      </c>
      <c r="E1025" t="s">
        <v>1561</v>
      </c>
      <c r="F1025" s="6"/>
      <c r="G1025" s="6"/>
      <c r="H1025" s="6" t="s">
        <v>2211</v>
      </c>
      <c r="I1025" t="s">
        <v>1335</v>
      </c>
      <c r="J1025">
        <v>4</v>
      </c>
      <c r="L1025" s="9" t="e">
        <f t="shared" si="31"/>
        <v>#VALUE!</v>
      </c>
    </row>
    <row r="1026" spans="1:12" x14ac:dyDescent="0.35">
      <c r="A1026">
        <f t="shared" si="32"/>
        <v>1025</v>
      </c>
      <c r="B1026" t="s">
        <v>112</v>
      </c>
      <c r="C1026" s="109" t="str">
        <f>IF(ISBLANK(K1026),IFERROR(VLOOKUP(I1026,FS_input_data!$C$107:$N$306,Export!J1026,FALSE),""),K1026)</f>
        <v/>
      </c>
      <c r="D1026" s="6"/>
      <c r="E1026" t="s">
        <v>1561</v>
      </c>
      <c r="F1026" s="6"/>
      <c r="G1026" s="6"/>
      <c r="H1026" s="6" t="s">
        <v>2211</v>
      </c>
      <c r="I1026" t="s">
        <v>1561</v>
      </c>
      <c r="J1026" t="s">
        <v>1561</v>
      </c>
      <c r="L1026">
        <f t="shared" ref="L1026:L1089" si="33">FIND("/",B1026)</f>
        <v>1</v>
      </c>
    </row>
    <row r="1027" spans="1:12" x14ac:dyDescent="0.35">
      <c r="A1027">
        <f t="shared" ref="A1027:A1090" si="34">A1026+1</f>
        <v>1026</v>
      </c>
      <c r="B1027" t="s">
        <v>362</v>
      </c>
      <c r="C1027" s="109" t="str">
        <f>IF(ISBLANK(K1027),IFERROR(VLOOKUP(I1027,FS_input_data!$C$107:$N$306,Export!J1027,FALSE),""),K1027)</f>
        <v/>
      </c>
      <c r="D1027" s="6"/>
      <c r="E1027" t="s">
        <v>1561</v>
      </c>
      <c r="F1027" s="6"/>
      <c r="G1027" s="6"/>
      <c r="H1027" s="6" t="s">
        <v>2211</v>
      </c>
      <c r="I1027" t="s">
        <v>1561</v>
      </c>
      <c r="J1027" t="s">
        <v>1561</v>
      </c>
      <c r="L1027">
        <f t="shared" si="33"/>
        <v>1</v>
      </c>
    </row>
    <row r="1028" spans="1:12" x14ac:dyDescent="0.35">
      <c r="A1028">
        <f t="shared" si="34"/>
        <v>1027</v>
      </c>
      <c r="B1028" t="s">
        <v>363</v>
      </c>
      <c r="C1028" s="109" t="str">
        <f>IF(ISBLANK(K1028),IFERROR(VLOOKUP(I1028,FS_input_data!$C$107:$N$306,Export!J1028,FALSE),""),K1028)</f>
        <v/>
      </c>
      <c r="D1028" s="6"/>
      <c r="E1028" t="s">
        <v>1139</v>
      </c>
      <c r="F1028" s="6"/>
      <c r="G1028" s="6"/>
      <c r="H1028" s="6" t="s">
        <v>2211</v>
      </c>
      <c r="I1028" t="s">
        <v>1561</v>
      </c>
      <c r="J1028" t="s">
        <v>1561</v>
      </c>
      <c r="L1028" s="26" t="e">
        <f t="shared" si="33"/>
        <v>#VALUE!</v>
      </c>
    </row>
    <row r="1029" spans="1:12" x14ac:dyDescent="0.35">
      <c r="A1029" s="9">
        <f t="shared" si="34"/>
        <v>1028</v>
      </c>
      <c r="B1029" t="s">
        <v>109</v>
      </c>
      <c r="C1029" s="109">
        <f>IF(ISBLANK(K1029),IFERROR(VLOOKUP(I1029,FS_input_data!$C$107:$N$306,Export!J1029,FALSE),""),K1029)</f>
        <v>40</v>
      </c>
      <c r="D1029" s="6" t="b">
        <v>1</v>
      </c>
      <c r="E1029" t="s">
        <v>1561</v>
      </c>
      <c r="F1029" s="6"/>
      <c r="G1029" s="6"/>
      <c r="H1029" s="6" t="s">
        <v>2211</v>
      </c>
      <c r="I1029" t="s">
        <v>1337</v>
      </c>
      <c r="J1029">
        <v>3</v>
      </c>
      <c r="L1029" s="9" t="e">
        <f t="shared" si="33"/>
        <v>#VALUE!</v>
      </c>
    </row>
    <row r="1030" spans="1:12" x14ac:dyDescent="0.35">
      <c r="A1030">
        <f t="shared" si="34"/>
        <v>1029</v>
      </c>
      <c r="B1030" t="s">
        <v>110</v>
      </c>
      <c r="C1030" s="109" t="str">
        <f>IF(ISBLANK(K1030),IFERROR(VLOOKUP(I1030,FS_input_data!$C$107:$N$306,Export!J1030,FALSE),""),K1030)</f>
        <v/>
      </c>
      <c r="D1030" s="6"/>
      <c r="F1030" s="6"/>
      <c r="G1030" s="6"/>
      <c r="H1030" s="6" t="s">
        <v>2211</v>
      </c>
      <c r="I1030" t="s">
        <v>1561</v>
      </c>
      <c r="J1030" t="s">
        <v>1561</v>
      </c>
      <c r="L1030">
        <f t="shared" si="33"/>
        <v>1</v>
      </c>
    </row>
    <row r="1031" spans="1:12" x14ac:dyDescent="0.35">
      <c r="A1031" s="9">
        <f t="shared" si="34"/>
        <v>1030</v>
      </c>
      <c r="B1031" t="s">
        <v>111</v>
      </c>
      <c r="C1031" s="109">
        <f>IF(ISBLANK(K1031),IFERROR(VLOOKUP(I1031,FS_input_data!$C$107:$N$306,Export!J1031,FALSE),""),K1031)</f>
        <v>140</v>
      </c>
      <c r="D1031" s="6" t="b">
        <v>1</v>
      </c>
      <c r="E1031" t="s">
        <v>1561</v>
      </c>
      <c r="F1031" s="6"/>
      <c r="G1031" s="6"/>
      <c r="H1031" s="6" t="s">
        <v>2211</v>
      </c>
      <c r="I1031" t="s">
        <v>1337</v>
      </c>
      <c r="J1031">
        <v>4</v>
      </c>
      <c r="L1031" s="9" t="e">
        <f t="shared" si="33"/>
        <v>#VALUE!</v>
      </c>
    </row>
    <row r="1032" spans="1:12" x14ac:dyDescent="0.35">
      <c r="A1032">
        <f t="shared" si="34"/>
        <v>1031</v>
      </c>
      <c r="B1032" t="s">
        <v>112</v>
      </c>
      <c r="C1032" s="109" t="str">
        <f>IF(ISBLANK(K1032),IFERROR(VLOOKUP(I1032,FS_input_data!$C$107:$N$306,Export!J1032,FALSE),""),K1032)</f>
        <v/>
      </c>
      <c r="D1032" s="6"/>
      <c r="E1032" t="s">
        <v>1561</v>
      </c>
      <c r="F1032" s="6"/>
      <c r="G1032" s="6"/>
      <c r="H1032" s="6" t="s">
        <v>2211</v>
      </c>
      <c r="I1032" t="s">
        <v>1561</v>
      </c>
      <c r="J1032" t="s">
        <v>1561</v>
      </c>
      <c r="L1032">
        <f t="shared" si="33"/>
        <v>1</v>
      </c>
    </row>
    <row r="1033" spans="1:12" x14ac:dyDescent="0.35">
      <c r="A1033">
        <f t="shared" si="34"/>
        <v>1032</v>
      </c>
      <c r="B1033" t="s">
        <v>364</v>
      </c>
      <c r="C1033" s="109" t="str">
        <f>IF(ISBLANK(K1033),IFERROR(VLOOKUP(I1033,FS_input_data!$C$107:$N$306,Export!J1033,FALSE),""),K1033)</f>
        <v/>
      </c>
      <c r="D1033" s="6"/>
      <c r="E1033" t="s">
        <v>1561</v>
      </c>
      <c r="F1033" s="6"/>
      <c r="G1033" s="6"/>
      <c r="H1033" s="6" t="s">
        <v>2211</v>
      </c>
      <c r="I1033" t="s">
        <v>1561</v>
      </c>
      <c r="J1033" t="s">
        <v>1561</v>
      </c>
      <c r="L1033">
        <f t="shared" si="33"/>
        <v>1</v>
      </c>
    </row>
    <row r="1034" spans="1:12" x14ac:dyDescent="0.35">
      <c r="A1034">
        <f t="shared" si="34"/>
        <v>1033</v>
      </c>
      <c r="B1034" t="s">
        <v>365</v>
      </c>
      <c r="C1034" s="109" t="str">
        <f>IF(ISBLANK(K1034),IFERROR(VLOOKUP(I1034,FS_input_data!$C$107:$N$306,Export!J1034,FALSE),""),K1034)</f>
        <v/>
      </c>
      <c r="D1034" s="6"/>
      <c r="E1034" t="s">
        <v>1561</v>
      </c>
      <c r="F1034" s="6"/>
      <c r="G1034" s="6"/>
      <c r="H1034" s="6" t="s">
        <v>2211</v>
      </c>
      <c r="I1034" t="s">
        <v>1561</v>
      </c>
      <c r="J1034" t="s">
        <v>1561</v>
      </c>
      <c r="L1034">
        <f t="shared" si="33"/>
        <v>1</v>
      </c>
    </row>
    <row r="1035" spans="1:12" x14ac:dyDescent="0.35">
      <c r="A1035">
        <f t="shared" si="34"/>
        <v>1034</v>
      </c>
      <c r="B1035" t="s">
        <v>366</v>
      </c>
      <c r="C1035" s="109" t="str">
        <f>IF(ISBLANK(K1035),IFERROR(VLOOKUP(I1035,FS_input_data!$C$107:$N$306,Export!J1035,FALSE),""),K1035)</f>
        <v/>
      </c>
      <c r="D1035" s="6"/>
      <c r="E1035" t="s">
        <v>1142</v>
      </c>
      <c r="F1035" s="6"/>
      <c r="G1035" s="6"/>
      <c r="H1035" s="6" t="s">
        <v>2211</v>
      </c>
      <c r="I1035" t="s">
        <v>1561</v>
      </c>
      <c r="J1035" t="s">
        <v>1561</v>
      </c>
      <c r="L1035" s="26" t="e">
        <f t="shared" si="33"/>
        <v>#VALUE!</v>
      </c>
    </row>
    <row r="1036" spans="1:12" x14ac:dyDescent="0.35">
      <c r="A1036" s="9">
        <f t="shared" si="34"/>
        <v>1035</v>
      </c>
      <c r="B1036" t="s">
        <v>109</v>
      </c>
      <c r="C1036" s="109">
        <f>IF(ISBLANK(K1036),IFERROR(VLOOKUP(I1036,FS_input_data!$C$107:$N$306,Export!J1036,FALSE),""),K1036)</f>
        <v>41</v>
      </c>
      <c r="D1036" s="6" t="b">
        <v>1</v>
      </c>
      <c r="E1036" t="s">
        <v>1561</v>
      </c>
      <c r="F1036" s="6"/>
      <c r="G1036" s="6"/>
      <c r="H1036" s="6" t="s">
        <v>2211</v>
      </c>
      <c r="I1036" t="s">
        <v>1339</v>
      </c>
      <c r="J1036">
        <v>3</v>
      </c>
      <c r="L1036" s="9" t="e">
        <f t="shared" si="33"/>
        <v>#VALUE!</v>
      </c>
    </row>
    <row r="1037" spans="1:12" x14ac:dyDescent="0.35">
      <c r="A1037">
        <f t="shared" si="34"/>
        <v>1036</v>
      </c>
      <c r="B1037" t="s">
        <v>110</v>
      </c>
      <c r="C1037" s="109" t="str">
        <f>IF(ISBLANK(K1037),IFERROR(VLOOKUP(I1037,FS_input_data!$C$107:$N$306,Export!J1037,FALSE),""),K1037)</f>
        <v/>
      </c>
      <c r="D1037" s="6"/>
      <c r="F1037" s="6"/>
      <c r="G1037" s="6"/>
      <c r="H1037" s="6" t="s">
        <v>2211</v>
      </c>
      <c r="I1037" t="s">
        <v>1561</v>
      </c>
      <c r="J1037" t="s">
        <v>1561</v>
      </c>
      <c r="L1037">
        <f t="shared" si="33"/>
        <v>1</v>
      </c>
    </row>
    <row r="1038" spans="1:12" x14ac:dyDescent="0.35">
      <c r="A1038" s="9">
        <f t="shared" si="34"/>
        <v>1037</v>
      </c>
      <c r="B1038" t="s">
        <v>111</v>
      </c>
      <c r="C1038" s="109">
        <f>IF(ISBLANK(K1038),IFERROR(VLOOKUP(I1038,FS_input_data!$C$107:$N$306,Export!J1038,FALSE),""),K1038)</f>
        <v>141</v>
      </c>
      <c r="D1038" s="6" t="b">
        <v>1</v>
      </c>
      <c r="E1038" t="s">
        <v>1561</v>
      </c>
      <c r="F1038" s="6"/>
      <c r="G1038" s="6"/>
      <c r="H1038" s="6" t="s">
        <v>2211</v>
      </c>
      <c r="I1038" t="s">
        <v>1339</v>
      </c>
      <c r="J1038">
        <v>4</v>
      </c>
      <c r="L1038" s="9" t="e">
        <f t="shared" si="33"/>
        <v>#VALUE!</v>
      </c>
    </row>
    <row r="1039" spans="1:12" x14ac:dyDescent="0.35">
      <c r="A1039">
        <f t="shared" si="34"/>
        <v>1038</v>
      </c>
      <c r="B1039" t="s">
        <v>112</v>
      </c>
      <c r="C1039" s="109" t="str">
        <f>IF(ISBLANK(K1039),IFERROR(VLOOKUP(I1039,FS_input_data!$C$107:$N$306,Export!J1039,FALSE),""),K1039)</f>
        <v/>
      </c>
      <c r="D1039" s="6"/>
      <c r="E1039" t="s">
        <v>1561</v>
      </c>
      <c r="F1039" s="6"/>
      <c r="G1039" s="6"/>
      <c r="H1039" s="6" t="s">
        <v>2211</v>
      </c>
      <c r="I1039" t="s">
        <v>1561</v>
      </c>
      <c r="J1039" t="s">
        <v>1561</v>
      </c>
      <c r="L1039">
        <f t="shared" si="33"/>
        <v>1</v>
      </c>
    </row>
    <row r="1040" spans="1:12" x14ac:dyDescent="0.35">
      <c r="A1040">
        <f t="shared" si="34"/>
        <v>1039</v>
      </c>
      <c r="B1040" t="s">
        <v>367</v>
      </c>
      <c r="C1040" s="109" t="str">
        <f>IF(ISBLANK(K1040),IFERROR(VLOOKUP(I1040,FS_input_data!$C$107:$N$306,Export!J1040,FALSE),""),K1040)</f>
        <v/>
      </c>
      <c r="D1040" s="6"/>
      <c r="E1040" t="s">
        <v>1561</v>
      </c>
      <c r="F1040" s="6"/>
      <c r="G1040" s="6"/>
      <c r="H1040" s="6" t="s">
        <v>2211</v>
      </c>
      <c r="I1040" t="s">
        <v>1561</v>
      </c>
      <c r="J1040" t="s">
        <v>1561</v>
      </c>
      <c r="L1040">
        <f t="shared" si="33"/>
        <v>1</v>
      </c>
    </row>
    <row r="1041" spans="1:12" x14ac:dyDescent="0.35">
      <c r="A1041">
        <f t="shared" si="34"/>
        <v>1040</v>
      </c>
      <c r="B1041" t="s">
        <v>368</v>
      </c>
      <c r="C1041" s="109" t="str">
        <f>IF(ISBLANK(K1041),IFERROR(VLOOKUP(I1041,FS_input_data!$C$107:$N$306,Export!J1041,FALSE),""),K1041)</f>
        <v/>
      </c>
      <c r="D1041" s="6"/>
      <c r="E1041" t="s">
        <v>1561</v>
      </c>
      <c r="F1041" s="6"/>
      <c r="G1041" s="6"/>
      <c r="H1041" s="6" t="s">
        <v>2211</v>
      </c>
      <c r="I1041" t="s">
        <v>1561</v>
      </c>
      <c r="J1041" t="s">
        <v>1561</v>
      </c>
      <c r="L1041">
        <f t="shared" si="33"/>
        <v>1</v>
      </c>
    </row>
    <row r="1042" spans="1:12" x14ac:dyDescent="0.35">
      <c r="A1042">
        <f t="shared" si="34"/>
        <v>1041</v>
      </c>
      <c r="B1042" t="s">
        <v>369</v>
      </c>
      <c r="C1042" s="109" t="str">
        <f>IF(ISBLANK(K1042),IFERROR(VLOOKUP(I1042,FS_input_data!$C$107:$N$306,Export!J1042,FALSE),""),K1042)</f>
        <v/>
      </c>
      <c r="D1042" s="6"/>
      <c r="E1042" t="s">
        <v>1342</v>
      </c>
      <c r="F1042" s="6"/>
      <c r="G1042" s="6"/>
      <c r="H1042" s="6" t="s">
        <v>2211</v>
      </c>
      <c r="I1042" t="s">
        <v>1561</v>
      </c>
      <c r="J1042" t="s">
        <v>1561</v>
      </c>
      <c r="L1042" s="26" t="e">
        <f t="shared" si="33"/>
        <v>#VALUE!</v>
      </c>
    </row>
    <row r="1043" spans="1:12" x14ac:dyDescent="0.35">
      <c r="A1043" s="9">
        <f t="shared" si="34"/>
        <v>1042</v>
      </c>
      <c r="B1043" t="s">
        <v>109</v>
      </c>
      <c r="C1043" s="109">
        <f>IF(ISBLANK(K1043),IFERROR(VLOOKUP(I1043,FS_input_data!$C$107:$N$306,Export!J1043,FALSE),""),K1043)</f>
        <v>482</v>
      </c>
      <c r="D1043" s="6" t="b">
        <v>1</v>
      </c>
      <c r="E1043" t="s">
        <v>1561</v>
      </c>
      <c r="F1043" s="6"/>
      <c r="G1043" s="6"/>
      <c r="H1043" s="6" t="s">
        <v>2211</v>
      </c>
      <c r="I1043" t="s">
        <v>1341</v>
      </c>
      <c r="J1043">
        <v>3</v>
      </c>
      <c r="L1043" s="9" t="e">
        <f t="shared" si="33"/>
        <v>#VALUE!</v>
      </c>
    </row>
    <row r="1044" spans="1:12" x14ac:dyDescent="0.35">
      <c r="A1044">
        <f t="shared" si="34"/>
        <v>1043</v>
      </c>
      <c r="B1044" t="s">
        <v>110</v>
      </c>
      <c r="C1044" s="109" t="str">
        <f>IF(ISBLANK(K1044),IFERROR(VLOOKUP(I1044,FS_input_data!$C$107:$N$306,Export!J1044,FALSE),""),K1044)</f>
        <v/>
      </c>
      <c r="D1044" s="6"/>
      <c r="F1044" s="6"/>
      <c r="G1044" s="6"/>
      <c r="H1044" s="6" t="s">
        <v>2211</v>
      </c>
      <c r="I1044" t="s">
        <v>1561</v>
      </c>
      <c r="J1044" t="s">
        <v>1561</v>
      </c>
      <c r="L1044">
        <f t="shared" si="33"/>
        <v>1</v>
      </c>
    </row>
    <row r="1045" spans="1:12" x14ac:dyDescent="0.35">
      <c r="A1045" s="9">
        <f t="shared" si="34"/>
        <v>1044</v>
      </c>
      <c r="B1045" t="s">
        <v>111</v>
      </c>
      <c r="C1045" s="109">
        <f>IF(ISBLANK(K1045),IFERROR(VLOOKUP(I1045,FS_input_data!$C$107:$N$306,Export!J1045,FALSE),""),K1045)</f>
        <v>1482</v>
      </c>
      <c r="D1045" s="6" t="b">
        <v>1</v>
      </c>
      <c r="E1045" t="s">
        <v>1561</v>
      </c>
      <c r="F1045" s="6"/>
      <c r="G1045" s="6"/>
      <c r="H1045" s="6" t="s">
        <v>2211</v>
      </c>
      <c r="I1045" t="s">
        <v>1341</v>
      </c>
      <c r="J1045">
        <v>4</v>
      </c>
      <c r="L1045" s="9" t="e">
        <f t="shared" si="33"/>
        <v>#VALUE!</v>
      </c>
    </row>
    <row r="1046" spans="1:12" x14ac:dyDescent="0.35">
      <c r="A1046">
        <f t="shared" si="34"/>
        <v>1045</v>
      </c>
      <c r="B1046" t="s">
        <v>112</v>
      </c>
      <c r="C1046" s="109" t="str">
        <f>IF(ISBLANK(K1046),IFERROR(VLOOKUP(I1046,FS_input_data!$C$107:$N$306,Export!J1046,FALSE),""),K1046)</f>
        <v/>
      </c>
      <c r="D1046" s="6"/>
      <c r="E1046" t="s">
        <v>1561</v>
      </c>
      <c r="F1046" s="6"/>
      <c r="G1046" s="6"/>
      <c r="H1046" s="6" t="s">
        <v>2211</v>
      </c>
      <c r="I1046" t="s">
        <v>1561</v>
      </c>
      <c r="J1046" t="s">
        <v>1561</v>
      </c>
      <c r="L1046">
        <f t="shared" si="33"/>
        <v>1</v>
      </c>
    </row>
    <row r="1047" spans="1:12" x14ac:dyDescent="0.35">
      <c r="A1047">
        <f t="shared" si="34"/>
        <v>1046</v>
      </c>
      <c r="B1047" t="s">
        <v>370</v>
      </c>
      <c r="C1047" s="109" t="str">
        <f>IF(ISBLANK(K1047),IFERROR(VLOOKUP(I1047,FS_input_data!$C$107:$N$306,Export!J1047,FALSE),""),K1047)</f>
        <v/>
      </c>
      <c r="D1047" s="6"/>
      <c r="E1047" t="s">
        <v>1303</v>
      </c>
      <c r="F1047" s="6"/>
      <c r="G1047" s="6"/>
      <c r="H1047" s="6" t="s">
        <v>2211</v>
      </c>
      <c r="I1047" t="s">
        <v>1561</v>
      </c>
      <c r="J1047" t="s">
        <v>1561</v>
      </c>
      <c r="L1047" s="26" t="e">
        <f t="shared" si="33"/>
        <v>#VALUE!</v>
      </c>
    </row>
    <row r="1048" spans="1:12" x14ac:dyDescent="0.35">
      <c r="A1048" s="9">
        <f t="shared" si="34"/>
        <v>1047</v>
      </c>
      <c r="B1048" t="s">
        <v>109</v>
      </c>
      <c r="C1048" s="109">
        <f>IF(ISBLANK(K1048),IFERROR(VLOOKUP(I1048,FS_input_data!$C$107:$N$306,Export!J1048,FALSE),""),K1048)</f>
        <v>43</v>
      </c>
      <c r="D1048" s="6" t="b">
        <v>1</v>
      </c>
      <c r="E1048" t="s">
        <v>1561</v>
      </c>
      <c r="F1048" s="6"/>
      <c r="G1048" s="6"/>
      <c r="H1048" s="6" t="s">
        <v>2211</v>
      </c>
      <c r="I1048" t="s">
        <v>1344</v>
      </c>
      <c r="J1048">
        <v>3</v>
      </c>
      <c r="L1048" s="9" t="e">
        <f t="shared" si="33"/>
        <v>#VALUE!</v>
      </c>
    </row>
    <row r="1049" spans="1:12" x14ac:dyDescent="0.35">
      <c r="A1049">
        <f t="shared" si="34"/>
        <v>1048</v>
      </c>
      <c r="B1049" t="s">
        <v>110</v>
      </c>
      <c r="C1049" s="109" t="str">
        <f>IF(ISBLANK(K1049),IFERROR(VLOOKUP(I1049,FS_input_data!$C$107:$N$306,Export!J1049,FALSE),""),K1049)</f>
        <v/>
      </c>
      <c r="D1049" s="6"/>
      <c r="F1049" s="6"/>
      <c r="G1049" s="6"/>
      <c r="H1049" s="6" t="s">
        <v>2211</v>
      </c>
      <c r="I1049" t="s">
        <v>1561</v>
      </c>
      <c r="J1049" t="s">
        <v>1561</v>
      </c>
      <c r="L1049">
        <f t="shared" si="33"/>
        <v>1</v>
      </c>
    </row>
    <row r="1050" spans="1:12" x14ac:dyDescent="0.35">
      <c r="A1050" s="9">
        <f t="shared" si="34"/>
        <v>1049</v>
      </c>
      <c r="B1050" t="s">
        <v>111</v>
      </c>
      <c r="C1050" s="109">
        <f>IF(ISBLANK(K1050),IFERROR(VLOOKUP(I1050,FS_input_data!$C$107:$N$306,Export!J1050,FALSE),""),K1050)</f>
        <v>143</v>
      </c>
      <c r="D1050" s="6" t="b">
        <v>1</v>
      </c>
      <c r="E1050" t="s">
        <v>1561</v>
      </c>
      <c r="F1050" s="6"/>
      <c r="G1050" s="6"/>
      <c r="H1050" s="6" t="s">
        <v>2211</v>
      </c>
      <c r="I1050" t="s">
        <v>1344</v>
      </c>
      <c r="J1050">
        <v>4</v>
      </c>
      <c r="L1050" s="9" t="e">
        <f t="shared" si="33"/>
        <v>#VALUE!</v>
      </c>
    </row>
    <row r="1051" spans="1:12" x14ac:dyDescent="0.35">
      <c r="A1051">
        <f t="shared" si="34"/>
        <v>1050</v>
      </c>
      <c r="B1051" t="s">
        <v>112</v>
      </c>
      <c r="C1051" s="109" t="str">
        <f>IF(ISBLANK(K1051),IFERROR(VLOOKUP(I1051,FS_input_data!$C$107:$N$306,Export!J1051,FALSE),""),K1051)</f>
        <v/>
      </c>
      <c r="D1051" s="6"/>
      <c r="E1051" t="s">
        <v>1561</v>
      </c>
      <c r="F1051" s="6"/>
      <c r="G1051" s="6"/>
      <c r="H1051" s="6" t="s">
        <v>2211</v>
      </c>
      <c r="I1051" t="s">
        <v>1561</v>
      </c>
      <c r="J1051" t="s">
        <v>1561</v>
      </c>
      <c r="L1051">
        <f t="shared" si="33"/>
        <v>1</v>
      </c>
    </row>
    <row r="1052" spans="1:12" x14ac:dyDescent="0.35">
      <c r="A1052">
        <f t="shared" si="34"/>
        <v>1051</v>
      </c>
      <c r="B1052" t="s">
        <v>371</v>
      </c>
      <c r="C1052" s="109" t="str">
        <f>IF(ISBLANK(K1052),IFERROR(VLOOKUP(I1052,FS_input_data!$C$107:$N$306,Export!J1052,FALSE),""),K1052)</f>
        <v/>
      </c>
      <c r="D1052" s="6"/>
      <c r="E1052" t="s">
        <v>1561</v>
      </c>
      <c r="F1052" s="6"/>
      <c r="G1052" s="6"/>
      <c r="H1052" s="6" t="s">
        <v>2211</v>
      </c>
      <c r="I1052" t="s">
        <v>1561</v>
      </c>
      <c r="J1052" t="s">
        <v>1561</v>
      </c>
      <c r="L1052">
        <f t="shared" si="33"/>
        <v>1</v>
      </c>
    </row>
    <row r="1053" spans="1:12" x14ac:dyDescent="0.35">
      <c r="A1053">
        <f t="shared" si="34"/>
        <v>1052</v>
      </c>
      <c r="B1053" t="s">
        <v>372</v>
      </c>
      <c r="C1053" s="109" t="str">
        <f>IF(ISBLANK(K1053),IFERROR(VLOOKUP(I1053,FS_input_data!$C$107:$N$306,Export!J1053,FALSE),""),K1053)</f>
        <v/>
      </c>
      <c r="D1053" s="6"/>
      <c r="E1053" t="s">
        <v>1306</v>
      </c>
      <c r="F1053" s="6"/>
      <c r="G1053" s="6"/>
      <c r="H1053" s="6" t="s">
        <v>2211</v>
      </c>
      <c r="I1053" t="s">
        <v>1561</v>
      </c>
      <c r="J1053" t="s">
        <v>1561</v>
      </c>
      <c r="L1053" s="26" t="e">
        <f t="shared" si="33"/>
        <v>#VALUE!</v>
      </c>
    </row>
    <row r="1054" spans="1:12" x14ac:dyDescent="0.35">
      <c r="A1054" s="9">
        <f t="shared" si="34"/>
        <v>1053</v>
      </c>
      <c r="B1054" t="s">
        <v>109</v>
      </c>
      <c r="C1054" s="109">
        <f>IF(ISBLANK(K1054),IFERROR(VLOOKUP(I1054,FS_input_data!$C$107:$N$306,Export!J1054,FALSE),""),K1054)</f>
        <v>44</v>
      </c>
      <c r="D1054" s="6" t="b">
        <v>1</v>
      </c>
      <c r="E1054" t="s">
        <v>1561</v>
      </c>
      <c r="F1054" s="6"/>
      <c r="G1054" s="6"/>
      <c r="H1054" s="6" t="s">
        <v>2211</v>
      </c>
      <c r="I1054" t="s">
        <v>1346</v>
      </c>
      <c r="J1054">
        <v>3</v>
      </c>
      <c r="L1054" s="9" t="e">
        <f t="shared" si="33"/>
        <v>#VALUE!</v>
      </c>
    </row>
    <row r="1055" spans="1:12" x14ac:dyDescent="0.35">
      <c r="A1055">
        <f t="shared" si="34"/>
        <v>1054</v>
      </c>
      <c r="B1055" t="s">
        <v>110</v>
      </c>
      <c r="C1055" s="109" t="str">
        <f>IF(ISBLANK(K1055),IFERROR(VLOOKUP(I1055,FS_input_data!$C$107:$N$306,Export!J1055,FALSE),""),K1055)</f>
        <v/>
      </c>
      <c r="D1055" s="6"/>
      <c r="F1055" s="6"/>
      <c r="G1055" s="6"/>
      <c r="H1055" s="6" t="s">
        <v>2211</v>
      </c>
      <c r="I1055" t="s">
        <v>1561</v>
      </c>
      <c r="J1055" t="s">
        <v>1561</v>
      </c>
      <c r="L1055">
        <f t="shared" si="33"/>
        <v>1</v>
      </c>
    </row>
    <row r="1056" spans="1:12" x14ac:dyDescent="0.35">
      <c r="A1056" s="9">
        <f t="shared" si="34"/>
        <v>1055</v>
      </c>
      <c r="B1056" t="s">
        <v>111</v>
      </c>
      <c r="C1056" s="109">
        <f>IF(ISBLANK(K1056),IFERROR(VLOOKUP(I1056,FS_input_data!$C$107:$N$306,Export!J1056,FALSE),""),K1056)</f>
        <v>144</v>
      </c>
      <c r="D1056" s="6" t="b">
        <v>1</v>
      </c>
      <c r="E1056" t="s">
        <v>1561</v>
      </c>
      <c r="F1056" s="6"/>
      <c r="G1056" s="6"/>
      <c r="H1056" s="6" t="s">
        <v>2211</v>
      </c>
      <c r="I1056" t="s">
        <v>1346</v>
      </c>
      <c r="J1056">
        <v>4</v>
      </c>
      <c r="L1056" s="9" t="e">
        <f t="shared" si="33"/>
        <v>#VALUE!</v>
      </c>
    </row>
    <row r="1057" spans="1:12" x14ac:dyDescent="0.35">
      <c r="A1057">
        <f t="shared" si="34"/>
        <v>1056</v>
      </c>
      <c r="B1057" t="s">
        <v>112</v>
      </c>
      <c r="C1057" s="109" t="str">
        <f>IF(ISBLANK(K1057),IFERROR(VLOOKUP(I1057,FS_input_data!$C$107:$N$306,Export!J1057,FALSE),""),K1057)</f>
        <v/>
      </c>
      <c r="D1057" s="6"/>
      <c r="E1057" t="s">
        <v>1561</v>
      </c>
      <c r="F1057" s="6"/>
      <c r="G1057" s="6"/>
      <c r="H1057" s="6" t="s">
        <v>2211</v>
      </c>
      <c r="I1057" t="s">
        <v>1561</v>
      </c>
      <c r="J1057" t="s">
        <v>1561</v>
      </c>
      <c r="L1057">
        <f t="shared" si="33"/>
        <v>1</v>
      </c>
    </row>
    <row r="1058" spans="1:12" x14ac:dyDescent="0.35">
      <c r="A1058">
        <f t="shared" si="34"/>
        <v>1057</v>
      </c>
      <c r="B1058" t="s">
        <v>373</v>
      </c>
      <c r="C1058" s="109" t="str">
        <f>IF(ISBLANK(K1058),IFERROR(VLOOKUP(I1058,FS_input_data!$C$107:$N$306,Export!J1058,FALSE),""),K1058)</f>
        <v/>
      </c>
      <c r="D1058" s="6"/>
      <c r="E1058" t="s">
        <v>1561</v>
      </c>
      <c r="F1058" s="6"/>
      <c r="G1058" s="6"/>
      <c r="H1058" s="6" t="s">
        <v>2211</v>
      </c>
      <c r="I1058" t="s">
        <v>1561</v>
      </c>
      <c r="J1058" t="s">
        <v>1561</v>
      </c>
      <c r="L1058">
        <f t="shared" si="33"/>
        <v>1</v>
      </c>
    </row>
    <row r="1059" spans="1:12" x14ac:dyDescent="0.35">
      <c r="A1059">
        <f t="shared" si="34"/>
        <v>1058</v>
      </c>
      <c r="B1059" t="s">
        <v>374</v>
      </c>
      <c r="C1059" s="109" t="str">
        <f>IF(ISBLANK(K1059),IFERROR(VLOOKUP(I1059,FS_input_data!$C$107:$N$306,Export!J1059,FALSE),""),K1059)</f>
        <v/>
      </c>
      <c r="D1059" s="6"/>
      <c r="E1059" t="s">
        <v>1309</v>
      </c>
      <c r="F1059" s="6"/>
      <c r="G1059" s="6"/>
      <c r="H1059" s="6" t="s">
        <v>2211</v>
      </c>
      <c r="I1059" t="s">
        <v>1561</v>
      </c>
      <c r="J1059" t="s">
        <v>1561</v>
      </c>
      <c r="L1059" s="26" t="e">
        <f t="shared" si="33"/>
        <v>#VALUE!</v>
      </c>
    </row>
    <row r="1060" spans="1:12" x14ac:dyDescent="0.35">
      <c r="A1060" s="9">
        <f t="shared" si="34"/>
        <v>1059</v>
      </c>
      <c r="B1060" t="s">
        <v>109</v>
      </c>
      <c r="C1060" s="109">
        <f>IF(ISBLANK(K1060),IFERROR(VLOOKUP(I1060,FS_input_data!$C$107:$N$306,Export!J1060,FALSE),""),K1060)</f>
        <v>45</v>
      </c>
      <c r="D1060" s="6" t="b">
        <v>1</v>
      </c>
      <c r="E1060" t="s">
        <v>1561</v>
      </c>
      <c r="F1060" s="6"/>
      <c r="G1060" s="6"/>
      <c r="H1060" s="6" t="s">
        <v>2211</v>
      </c>
      <c r="I1060" t="s">
        <v>1348</v>
      </c>
      <c r="J1060">
        <v>3</v>
      </c>
      <c r="L1060" s="9" t="e">
        <f t="shared" si="33"/>
        <v>#VALUE!</v>
      </c>
    </row>
    <row r="1061" spans="1:12" x14ac:dyDescent="0.35">
      <c r="A1061">
        <f t="shared" si="34"/>
        <v>1060</v>
      </c>
      <c r="B1061" t="s">
        <v>110</v>
      </c>
      <c r="C1061" s="109" t="str">
        <f>IF(ISBLANK(K1061),IFERROR(VLOOKUP(I1061,FS_input_data!$C$107:$N$306,Export!J1061,FALSE),""),K1061)</f>
        <v/>
      </c>
      <c r="D1061" s="6"/>
      <c r="F1061" s="6"/>
      <c r="G1061" s="6"/>
      <c r="H1061" s="6" t="s">
        <v>2211</v>
      </c>
      <c r="I1061" t="s">
        <v>1561</v>
      </c>
      <c r="J1061" t="s">
        <v>1561</v>
      </c>
      <c r="L1061">
        <f t="shared" si="33"/>
        <v>1</v>
      </c>
    </row>
    <row r="1062" spans="1:12" x14ac:dyDescent="0.35">
      <c r="A1062" s="9">
        <f t="shared" si="34"/>
        <v>1061</v>
      </c>
      <c r="B1062" t="s">
        <v>111</v>
      </c>
      <c r="C1062" s="109">
        <f>IF(ISBLANK(K1062),IFERROR(VLOOKUP(I1062,FS_input_data!$C$107:$N$306,Export!J1062,FALSE),""),K1062)</f>
        <v>145</v>
      </c>
      <c r="D1062" s="6" t="b">
        <v>1</v>
      </c>
      <c r="E1062" t="s">
        <v>1561</v>
      </c>
      <c r="F1062" s="6"/>
      <c r="G1062" s="6"/>
      <c r="H1062" s="6" t="s">
        <v>2211</v>
      </c>
      <c r="I1062" t="s">
        <v>1348</v>
      </c>
      <c r="J1062">
        <v>4</v>
      </c>
      <c r="L1062" s="9" t="e">
        <f t="shared" si="33"/>
        <v>#VALUE!</v>
      </c>
    </row>
    <row r="1063" spans="1:12" x14ac:dyDescent="0.35">
      <c r="A1063">
        <f t="shared" si="34"/>
        <v>1062</v>
      </c>
      <c r="B1063" t="s">
        <v>112</v>
      </c>
      <c r="C1063" s="109" t="str">
        <f>IF(ISBLANK(K1063),IFERROR(VLOOKUP(I1063,FS_input_data!$C$107:$N$306,Export!J1063,FALSE),""),K1063)</f>
        <v/>
      </c>
      <c r="D1063" s="6"/>
      <c r="E1063" t="s">
        <v>1561</v>
      </c>
      <c r="F1063" s="6"/>
      <c r="G1063" s="6"/>
      <c r="H1063" s="6" t="s">
        <v>2211</v>
      </c>
      <c r="I1063" t="s">
        <v>1561</v>
      </c>
      <c r="J1063" t="s">
        <v>1561</v>
      </c>
      <c r="L1063">
        <f t="shared" si="33"/>
        <v>1</v>
      </c>
    </row>
    <row r="1064" spans="1:12" x14ac:dyDescent="0.35">
      <c r="A1064">
        <f t="shared" si="34"/>
        <v>1063</v>
      </c>
      <c r="B1064" t="s">
        <v>375</v>
      </c>
      <c r="C1064" s="109" t="str">
        <f>IF(ISBLANK(K1064),IFERROR(VLOOKUP(I1064,FS_input_data!$C$107:$N$306,Export!J1064,FALSE),""),K1064)</f>
        <v/>
      </c>
      <c r="D1064" s="6"/>
      <c r="E1064" t="s">
        <v>1561</v>
      </c>
      <c r="F1064" s="6"/>
      <c r="G1064" s="6"/>
      <c r="H1064" s="6" t="s">
        <v>2211</v>
      </c>
      <c r="I1064" t="s">
        <v>1561</v>
      </c>
      <c r="J1064" t="s">
        <v>1561</v>
      </c>
      <c r="L1064">
        <f t="shared" si="33"/>
        <v>1</v>
      </c>
    </row>
    <row r="1065" spans="1:12" x14ac:dyDescent="0.35">
      <c r="A1065">
        <f t="shared" si="34"/>
        <v>1064</v>
      </c>
      <c r="B1065" t="s">
        <v>376</v>
      </c>
      <c r="C1065" s="109" t="str">
        <f>IF(ISBLANK(K1065),IFERROR(VLOOKUP(I1065,FS_input_data!$C$107:$N$306,Export!J1065,FALSE),""),K1065)</f>
        <v/>
      </c>
      <c r="D1065" s="6"/>
      <c r="E1065" t="s">
        <v>1351</v>
      </c>
      <c r="F1065" s="6"/>
      <c r="G1065" s="6"/>
      <c r="H1065" s="6" t="s">
        <v>2211</v>
      </c>
      <c r="I1065" t="s">
        <v>1561</v>
      </c>
      <c r="J1065" t="s">
        <v>1561</v>
      </c>
      <c r="L1065" s="26" t="e">
        <f t="shared" si="33"/>
        <v>#VALUE!</v>
      </c>
    </row>
    <row r="1066" spans="1:12" x14ac:dyDescent="0.35">
      <c r="A1066" s="9">
        <f t="shared" si="34"/>
        <v>1065</v>
      </c>
      <c r="B1066" t="s">
        <v>109</v>
      </c>
      <c r="C1066" s="109">
        <f>IF(ISBLANK(K1066),IFERROR(VLOOKUP(I1066,FS_input_data!$C$107:$N$306,Export!J1066,FALSE),""),K1066)</f>
        <v>95</v>
      </c>
      <c r="D1066" s="6" t="b">
        <v>1</v>
      </c>
      <c r="E1066" t="s">
        <v>1561</v>
      </c>
      <c r="F1066" s="6"/>
      <c r="G1066" s="6"/>
      <c r="H1066" s="6" t="s">
        <v>2211</v>
      </c>
      <c r="I1066" t="s">
        <v>1350</v>
      </c>
      <c r="J1066">
        <v>3</v>
      </c>
      <c r="L1066" s="9" t="e">
        <f t="shared" si="33"/>
        <v>#VALUE!</v>
      </c>
    </row>
    <row r="1067" spans="1:12" x14ac:dyDescent="0.35">
      <c r="A1067">
        <f t="shared" si="34"/>
        <v>1066</v>
      </c>
      <c r="B1067" t="s">
        <v>110</v>
      </c>
      <c r="C1067" s="109" t="str">
        <f>IF(ISBLANK(K1067),IFERROR(VLOOKUP(I1067,FS_input_data!$C$107:$N$306,Export!J1067,FALSE),""),K1067)</f>
        <v/>
      </c>
      <c r="D1067" s="6"/>
      <c r="F1067" s="6"/>
      <c r="G1067" s="6"/>
      <c r="H1067" s="6" t="s">
        <v>2211</v>
      </c>
      <c r="I1067" t="s">
        <v>1561</v>
      </c>
      <c r="J1067" t="s">
        <v>1561</v>
      </c>
      <c r="L1067">
        <f t="shared" si="33"/>
        <v>1</v>
      </c>
    </row>
    <row r="1068" spans="1:12" x14ac:dyDescent="0.35">
      <c r="A1068" s="9">
        <f t="shared" si="34"/>
        <v>1067</v>
      </c>
      <c r="B1068" t="s">
        <v>111</v>
      </c>
      <c r="C1068" s="109">
        <f>IF(ISBLANK(K1068),IFERROR(VLOOKUP(I1068,FS_input_data!$C$107:$N$306,Export!J1068,FALSE),""),K1068)</f>
        <v>295</v>
      </c>
      <c r="D1068" s="6" t="b">
        <v>1</v>
      </c>
      <c r="E1068" t="s">
        <v>1561</v>
      </c>
      <c r="F1068" s="6"/>
      <c r="G1068" s="6"/>
      <c r="H1068" s="6" t="s">
        <v>2211</v>
      </c>
      <c r="I1068" t="s">
        <v>1350</v>
      </c>
      <c r="J1068">
        <v>4</v>
      </c>
      <c r="L1068" s="9" t="e">
        <f t="shared" si="33"/>
        <v>#VALUE!</v>
      </c>
    </row>
    <row r="1069" spans="1:12" x14ac:dyDescent="0.35">
      <c r="A1069">
        <f t="shared" si="34"/>
        <v>1068</v>
      </c>
      <c r="B1069" t="s">
        <v>112</v>
      </c>
      <c r="C1069" s="109" t="str">
        <f>IF(ISBLANK(K1069),IFERROR(VLOOKUP(I1069,FS_input_data!$C$107:$N$306,Export!J1069,FALSE),""),K1069)</f>
        <v/>
      </c>
      <c r="D1069" s="6"/>
      <c r="E1069" t="s">
        <v>1561</v>
      </c>
      <c r="F1069" s="6"/>
      <c r="G1069" s="6"/>
      <c r="H1069" s="6" t="s">
        <v>2211</v>
      </c>
      <c r="I1069" t="s">
        <v>1561</v>
      </c>
      <c r="J1069" t="s">
        <v>1561</v>
      </c>
      <c r="L1069">
        <f t="shared" si="33"/>
        <v>1</v>
      </c>
    </row>
    <row r="1070" spans="1:12" x14ac:dyDescent="0.35">
      <c r="A1070">
        <f t="shared" si="34"/>
        <v>1069</v>
      </c>
      <c r="B1070" t="s">
        <v>377</v>
      </c>
      <c r="C1070" s="109" t="str">
        <f>IF(ISBLANK(K1070),IFERROR(VLOOKUP(I1070,FS_input_data!$C$107:$N$306,Export!J1070,FALSE),""),K1070)</f>
        <v/>
      </c>
      <c r="D1070" s="6"/>
      <c r="E1070" t="s">
        <v>1136</v>
      </c>
      <c r="F1070" s="6"/>
      <c r="G1070" s="6"/>
      <c r="H1070" s="6" t="s">
        <v>2211</v>
      </c>
      <c r="I1070" t="s">
        <v>1561</v>
      </c>
      <c r="J1070" t="s">
        <v>1561</v>
      </c>
      <c r="L1070" s="26" t="e">
        <f t="shared" si="33"/>
        <v>#VALUE!</v>
      </c>
    </row>
    <row r="1071" spans="1:12" x14ac:dyDescent="0.35">
      <c r="A1071" s="9">
        <f t="shared" si="34"/>
        <v>1070</v>
      </c>
      <c r="B1071" t="s">
        <v>109</v>
      </c>
      <c r="C1071" s="109">
        <f>IF(ISBLANK(K1071),IFERROR(VLOOKUP(I1071,FS_input_data!$C$107:$N$306,Export!J1071,FALSE),""),K1071)</f>
        <v>47</v>
      </c>
      <c r="D1071" s="6" t="b">
        <v>1</v>
      </c>
      <c r="E1071" t="s">
        <v>1561</v>
      </c>
      <c r="F1071" s="6"/>
      <c r="G1071" s="6"/>
      <c r="H1071" s="6" t="s">
        <v>2211</v>
      </c>
      <c r="I1071" t="s">
        <v>1353</v>
      </c>
      <c r="J1071">
        <v>3</v>
      </c>
      <c r="L1071" s="9" t="e">
        <f t="shared" si="33"/>
        <v>#VALUE!</v>
      </c>
    </row>
    <row r="1072" spans="1:12" x14ac:dyDescent="0.35">
      <c r="A1072">
        <f t="shared" si="34"/>
        <v>1071</v>
      </c>
      <c r="B1072" t="s">
        <v>110</v>
      </c>
      <c r="C1072" s="109" t="str">
        <f>IF(ISBLANK(K1072),IFERROR(VLOOKUP(I1072,FS_input_data!$C$107:$N$306,Export!J1072,FALSE),""),K1072)</f>
        <v/>
      </c>
      <c r="D1072" s="6"/>
      <c r="F1072" s="6"/>
      <c r="G1072" s="6"/>
      <c r="H1072" s="6" t="s">
        <v>2211</v>
      </c>
      <c r="I1072" t="s">
        <v>1561</v>
      </c>
      <c r="J1072" t="s">
        <v>1561</v>
      </c>
      <c r="L1072">
        <f t="shared" si="33"/>
        <v>1</v>
      </c>
    </row>
    <row r="1073" spans="1:12" x14ac:dyDescent="0.35">
      <c r="A1073" s="9">
        <f t="shared" si="34"/>
        <v>1072</v>
      </c>
      <c r="B1073" t="s">
        <v>111</v>
      </c>
      <c r="C1073" s="109">
        <f>IF(ISBLANK(K1073),IFERROR(VLOOKUP(I1073,FS_input_data!$C$107:$N$306,Export!J1073,FALSE),""),K1073)</f>
        <v>147</v>
      </c>
      <c r="D1073" s="6" t="b">
        <v>1</v>
      </c>
      <c r="E1073" t="s">
        <v>1561</v>
      </c>
      <c r="F1073" s="6"/>
      <c r="G1073" s="6"/>
      <c r="H1073" s="6" t="s">
        <v>2211</v>
      </c>
      <c r="I1073" t="s">
        <v>1353</v>
      </c>
      <c r="J1073">
        <v>4</v>
      </c>
      <c r="L1073" s="9" t="e">
        <f t="shared" si="33"/>
        <v>#VALUE!</v>
      </c>
    </row>
    <row r="1074" spans="1:12" x14ac:dyDescent="0.35">
      <c r="A1074">
        <f t="shared" si="34"/>
        <v>1073</v>
      </c>
      <c r="B1074" t="s">
        <v>112</v>
      </c>
      <c r="C1074" s="109" t="str">
        <f>IF(ISBLANK(K1074),IFERROR(VLOOKUP(I1074,FS_input_data!$C$107:$N$306,Export!J1074,FALSE),""),K1074)</f>
        <v/>
      </c>
      <c r="D1074" s="6"/>
      <c r="E1074" t="s">
        <v>1561</v>
      </c>
      <c r="F1074" s="6"/>
      <c r="G1074" s="6"/>
      <c r="H1074" s="6" t="s">
        <v>2211</v>
      </c>
      <c r="I1074" t="s">
        <v>1561</v>
      </c>
      <c r="J1074" t="s">
        <v>1561</v>
      </c>
      <c r="L1074">
        <f t="shared" si="33"/>
        <v>1</v>
      </c>
    </row>
    <row r="1075" spans="1:12" x14ac:dyDescent="0.35">
      <c r="A1075">
        <f t="shared" si="34"/>
        <v>1074</v>
      </c>
      <c r="B1075" t="s">
        <v>378</v>
      </c>
      <c r="C1075" s="109" t="str">
        <f>IF(ISBLANK(K1075),IFERROR(VLOOKUP(I1075,FS_input_data!$C$107:$N$306,Export!J1075,FALSE),""),K1075)</f>
        <v/>
      </c>
      <c r="D1075" s="6"/>
      <c r="E1075" t="s">
        <v>1561</v>
      </c>
      <c r="F1075" s="6"/>
      <c r="G1075" s="6"/>
      <c r="H1075" s="6" t="s">
        <v>2211</v>
      </c>
      <c r="I1075" t="s">
        <v>1561</v>
      </c>
      <c r="J1075" t="s">
        <v>1561</v>
      </c>
      <c r="L1075">
        <f t="shared" si="33"/>
        <v>1</v>
      </c>
    </row>
    <row r="1076" spans="1:12" x14ac:dyDescent="0.35">
      <c r="A1076">
        <f t="shared" si="34"/>
        <v>1075</v>
      </c>
      <c r="B1076" t="s">
        <v>379</v>
      </c>
      <c r="C1076" s="109" t="str">
        <f>IF(ISBLANK(K1076),IFERROR(VLOOKUP(I1076,FS_input_data!$C$107:$N$306,Export!J1076,FALSE),""),K1076)</f>
        <v/>
      </c>
      <c r="D1076" s="6"/>
      <c r="E1076" t="s">
        <v>1139</v>
      </c>
      <c r="F1076" s="6"/>
      <c r="G1076" s="6"/>
      <c r="H1076" s="6" t="s">
        <v>2211</v>
      </c>
      <c r="I1076" t="s">
        <v>1561</v>
      </c>
      <c r="J1076" t="s">
        <v>1561</v>
      </c>
      <c r="L1076" s="26" t="e">
        <f t="shared" si="33"/>
        <v>#VALUE!</v>
      </c>
    </row>
    <row r="1077" spans="1:12" x14ac:dyDescent="0.35">
      <c r="A1077" s="9">
        <f t="shared" si="34"/>
        <v>1076</v>
      </c>
      <c r="B1077" t="s">
        <v>109</v>
      </c>
      <c r="C1077" s="109">
        <f>IF(ISBLANK(K1077),IFERROR(VLOOKUP(I1077,FS_input_data!$C$107:$N$306,Export!J1077,FALSE),""),K1077)</f>
        <v>48</v>
      </c>
      <c r="D1077" s="6" t="b">
        <v>1</v>
      </c>
      <c r="E1077" t="s">
        <v>1561</v>
      </c>
      <c r="F1077" s="6"/>
      <c r="G1077" s="6"/>
      <c r="H1077" s="6" t="s">
        <v>2211</v>
      </c>
      <c r="I1077" t="s">
        <v>1355</v>
      </c>
      <c r="J1077">
        <v>3</v>
      </c>
      <c r="L1077" s="9" t="e">
        <f t="shared" si="33"/>
        <v>#VALUE!</v>
      </c>
    </row>
    <row r="1078" spans="1:12" x14ac:dyDescent="0.35">
      <c r="A1078">
        <f t="shared" si="34"/>
        <v>1077</v>
      </c>
      <c r="B1078" t="s">
        <v>110</v>
      </c>
      <c r="C1078" s="109" t="str">
        <f>IF(ISBLANK(K1078),IFERROR(VLOOKUP(I1078,FS_input_data!$C$107:$N$306,Export!J1078,FALSE),""),K1078)</f>
        <v/>
      </c>
      <c r="D1078" s="6"/>
      <c r="F1078" s="6"/>
      <c r="G1078" s="6"/>
      <c r="H1078" s="6" t="s">
        <v>2211</v>
      </c>
      <c r="I1078" t="s">
        <v>1561</v>
      </c>
      <c r="J1078" t="s">
        <v>1561</v>
      </c>
      <c r="L1078">
        <f t="shared" si="33"/>
        <v>1</v>
      </c>
    </row>
    <row r="1079" spans="1:12" x14ac:dyDescent="0.35">
      <c r="A1079" s="9">
        <f t="shared" si="34"/>
        <v>1078</v>
      </c>
      <c r="B1079" t="s">
        <v>111</v>
      </c>
      <c r="C1079" s="109">
        <f>IF(ISBLANK(K1079),IFERROR(VLOOKUP(I1079,FS_input_data!$C$107:$N$306,Export!J1079,FALSE),""),K1079)</f>
        <v>148</v>
      </c>
      <c r="D1079" s="6" t="b">
        <v>1</v>
      </c>
      <c r="E1079" t="s">
        <v>1561</v>
      </c>
      <c r="F1079" s="6"/>
      <c r="G1079" s="6"/>
      <c r="H1079" s="6" t="s">
        <v>2211</v>
      </c>
      <c r="I1079" t="s">
        <v>1355</v>
      </c>
      <c r="J1079">
        <v>4</v>
      </c>
      <c r="L1079" s="9" t="e">
        <f t="shared" si="33"/>
        <v>#VALUE!</v>
      </c>
    </row>
    <row r="1080" spans="1:12" x14ac:dyDescent="0.35">
      <c r="A1080">
        <f t="shared" si="34"/>
        <v>1079</v>
      </c>
      <c r="B1080" t="s">
        <v>112</v>
      </c>
      <c r="C1080" s="109" t="str">
        <f>IF(ISBLANK(K1080),IFERROR(VLOOKUP(I1080,FS_input_data!$C$107:$N$306,Export!J1080,FALSE),""),K1080)</f>
        <v/>
      </c>
      <c r="D1080" s="6"/>
      <c r="E1080" t="s">
        <v>1561</v>
      </c>
      <c r="F1080" s="6"/>
      <c r="G1080" s="6"/>
      <c r="H1080" s="6" t="s">
        <v>2211</v>
      </c>
      <c r="I1080" t="s">
        <v>1561</v>
      </c>
      <c r="J1080" t="s">
        <v>1561</v>
      </c>
      <c r="L1080">
        <f t="shared" si="33"/>
        <v>1</v>
      </c>
    </row>
    <row r="1081" spans="1:12" x14ac:dyDescent="0.35">
      <c r="A1081">
        <f t="shared" si="34"/>
        <v>1080</v>
      </c>
      <c r="B1081" t="s">
        <v>380</v>
      </c>
      <c r="C1081" s="109" t="str">
        <f>IF(ISBLANK(K1081),IFERROR(VLOOKUP(I1081,FS_input_data!$C$107:$N$306,Export!J1081,FALSE),""),K1081)</f>
        <v/>
      </c>
      <c r="D1081" s="6"/>
      <c r="E1081" t="s">
        <v>1561</v>
      </c>
      <c r="F1081" s="6"/>
      <c r="G1081" s="6"/>
      <c r="H1081" s="6" t="s">
        <v>2211</v>
      </c>
      <c r="I1081" t="s">
        <v>1561</v>
      </c>
      <c r="J1081" t="s">
        <v>1561</v>
      </c>
      <c r="L1081">
        <f t="shared" si="33"/>
        <v>1</v>
      </c>
    </row>
    <row r="1082" spans="1:12" x14ac:dyDescent="0.35">
      <c r="A1082">
        <f t="shared" si="34"/>
        <v>1081</v>
      </c>
      <c r="B1082" t="s">
        <v>381</v>
      </c>
      <c r="C1082" s="109" t="str">
        <f>IF(ISBLANK(K1082),IFERROR(VLOOKUP(I1082,FS_input_data!$C$107:$N$306,Export!J1082,FALSE),""),K1082)</f>
        <v/>
      </c>
      <c r="D1082" s="6"/>
      <c r="E1082" t="s">
        <v>1561</v>
      </c>
      <c r="F1082" s="6"/>
      <c r="G1082" s="6"/>
      <c r="H1082" s="6" t="s">
        <v>2211</v>
      </c>
      <c r="I1082" t="s">
        <v>1561</v>
      </c>
      <c r="J1082" t="s">
        <v>1561</v>
      </c>
      <c r="L1082">
        <f t="shared" si="33"/>
        <v>1</v>
      </c>
    </row>
    <row r="1083" spans="1:12" x14ac:dyDescent="0.35">
      <c r="A1083">
        <f t="shared" si="34"/>
        <v>1082</v>
      </c>
      <c r="B1083" t="s">
        <v>382</v>
      </c>
      <c r="C1083" s="109" t="str">
        <f>IF(ISBLANK(K1083),IFERROR(VLOOKUP(I1083,FS_input_data!$C$107:$N$306,Export!J1083,FALSE),""),K1083)</f>
        <v/>
      </c>
      <c r="D1083" s="6"/>
      <c r="E1083" t="s">
        <v>1358</v>
      </c>
      <c r="F1083" s="6"/>
      <c r="G1083" s="6"/>
      <c r="H1083" s="6" t="s">
        <v>2211</v>
      </c>
      <c r="I1083" t="s">
        <v>1561</v>
      </c>
      <c r="J1083" t="s">
        <v>1561</v>
      </c>
      <c r="L1083" s="26" t="e">
        <f t="shared" si="33"/>
        <v>#VALUE!</v>
      </c>
    </row>
    <row r="1084" spans="1:12" x14ac:dyDescent="0.35">
      <c r="A1084" s="9">
        <f t="shared" si="34"/>
        <v>1083</v>
      </c>
      <c r="B1084" t="s">
        <v>109</v>
      </c>
      <c r="C1084" s="109">
        <f>IF(ISBLANK(K1084),IFERROR(VLOOKUP(I1084,FS_input_data!$C$107:$N$306,Export!J1084,FALSE),""),K1084)</f>
        <v>49</v>
      </c>
      <c r="D1084" s="6" t="b">
        <v>1</v>
      </c>
      <c r="E1084" t="s">
        <v>1561</v>
      </c>
      <c r="F1084" s="6"/>
      <c r="G1084" s="6"/>
      <c r="H1084" s="6" t="s">
        <v>2211</v>
      </c>
      <c r="I1084" t="s">
        <v>1357</v>
      </c>
      <c r="J1084">
        <v>3</v>
      </c>
      <c r="L1084" s="9" t="e">
        <f t="shared" si="33"/>
        <v>#VALUE!</v>
      </c>
    </row>
    <row r="1085" spans="1:12" x14ac:dyDescent="0.35">
      <c r="A1085">
        <f t="shared" si="34"/>
        <v>1084</v>
      </c>
      <c r="B1085" t="s">
        <v>110</v>
      </c>
      <c r="C1085" s="109" t="str">
        <f>IF(ISBLANK(K1085),IFERROR(VLOOKUP(I1085,FS_input_data!$C$107:$N$306,Export!J1085,FALSE),""),K1085)</f>
        <v/>
      </c>
      <c r="D1085" s="6"/>
      <c r="F1085" s="6"/>
      <c r="G1085" s="6"/>
      <c r="H1085" s="6" t="s">
        <v>2211</v>
      </c>
      <c r="I1085" t="s">
        <v>1561</v>
      </c>
      <c r="J1085" t="s">
        <v>1561</v>
      </c>
      <c r="L1085">
        <f t="shared" si="33"/>
        <v>1</v>
      </c>
    </row>
    <row r="1086" spans="1:12" x14ac:dyDescent="0.35">
      <c r="A1086" s="9">
        <f t="shared" si="34"/>
        <v>1085</v>
      </c>
      <c r="B1086" t="s">
        <v>111</v>
      </c>
      <c r="C1086" s="109">
        <f>IF(ISBLANK(K1086),IFERROR(VLOOKUP(I1086,FS_input_data!$C$107:$N$306,Export!J1086,FALSE),""),K1086)</f>
        <v>149</v>
      </c>
      <c r="D1086" s="6" t="b">
        <v>1</v>
      </c>
      <c r="E1086" t="s">
        <v>1561</v>
      </c>
      <c r="F1086" s="6"/>
      <c r="G1086" s="6"/>
      <c r="H1086" s="6" t="s">
        <v>2211</v>
      </c>
      <c r="I1086" t="s">
        <v>1357</v>
      </c>
      <c r="J1086">
        <v>4</v>
      </c>
      <c r="L1086" s="9" t="e">
        <f t="shared" si="33"/>
        <v>#VALUE!</v>
      </c>
    </row>
    <row r="1087" spans="1:12" x14ac:dyDescent="0.35">
      <c r="A1087">
        <f t="shared" si="34"/>
        <v>1086</v>
      </c>
      <c r="B1087" t="s">
        <v>112</v>
      </c>
      <c r="C1087" s="109" t="str">
        <f>IF(ISBLANK(K1087),IFERROR(VLOOKUP(I1087,FS_input_data!$C$107:$N$306,Export!J1087,FALSE),""),K1087)</f>
        <v/>
      </c>
      <c r="D1087" s="6"/>
      <c r="E1087" t="s">
        <v>1561</v>
      </c>
      <c r="F1087" s="6"/>
      <c r="G1087" s="6"/>
      <c r="H1087" s="6" t="s">
        <v>2211</v>
      </c>
      <c r="I1087" t="s">
        <v>1561</v>
      </c>
      <c r="J1087" t="s">
        <v>1561</v>
      </c>
      <c r="L1087">
        <f t="shared" si="33"/>
        <v>1</v>
      </c>
    </row>
    <row r="1088" spans="1:12" x14ac:dyDescent="0.35">
      <c r="A1088">
        <f t="shared" si="34"/>
        <v>1087</v>
      </c>
      <c r="B1088" t="s">
        <v>383</v>
      </c>
      <c r="C1088" s="109" t="str">
        <f>IF(ISBLANK(K1088),IFERROR(VLOOKUP(I1088,FS_input_data!$C$107:$N$306,Export!J1088,FALSE),""),K1088)</f>
        <v/>
      </c>
      <c r="D1088" s="6"/>
      <c r="E1088" t="s">
        <v>1561</v>
      </c>
      <c r="F1088" s="6"/>
      <c r="G1088" s="6"/>
      <c r="H1088" s="6" t="s">
        <v>2211</v>
      </c>
      <c r="I1088" t="s">
        <v>1561</v>
      </c>
      <c r="J1088" t="s">
        <v>1561</v>
      </c>
      <c r="L1088">
        <f t="shared" si="33"/>
        <v>1</v>
      </c>
    </row>
    <row r="1089" spans="1:12" x14ac:dyDescent="0.35">
      <c r="A1089">
        <f t="shared" si="34"/>
        <v>1088</v>
      </c>
      <c r="B1089" t="s">
        <v>384</v>
      </c>
      <c r="C1089" s="109" t="str">
        <f>IF(ISBLANK(K1089),IFERROR(VLOOKUP(I1089,FS_input_data!$C$107:$N$306,Export!J1089,FALSE),""),K1089)</f>
        <v/>
      </c>
      <c r="D1089" s="6"/>
      <c r="E1089" t="s">
        <v>1361</v>
      </c>
      <c r="F1089" s="6"/>
      <c r="G1089" s="6"/>
      <c r="H1089" s="6" t="s">
        <v>2211</v>
      </c>
      <c r="I1089" t="s">
        <v>1561</v>
      </c>
      <c r="J1089" t="s">
        <v>1561</v>
      </c>
      <c r="L1089" s="26" t="e">
        <f t="shared" si="33"/>
        <v>#VALUE!</v>
      </c>
    </row>
    <row r="1090" spans="1:12" x14ac:dyDescent="0.35">
      <c r="A1090" s="9">
        <f t="shared" si="34"/>
        <v>1089</v>
      </c>
      <c r="B1090" t="s">
        <v>109</v>
      </c>
      <c r="C1090" s="109">
        <f>IF(ISBLANK(K1090),IFERROR(VLOOKUP(I1090,FS_input_data!$C$107:$N$306,Export!J1090,FALSE),""),K1090)</f>
        <v>50</v>
      </c>
      <c r="D1090" s="6" t="b">
        <v>1</v>
      </c>
      <c r="E1090" t="s">
        <v>1561</v>
      </c>
      <c r="F1090" s="6"/>
      <c r="G1090" s="6"/>
      <c r="H1090" s="6" t="s">
        <v>2211</v>
      </c>
      <c r="I1090" t="s">
        <v>1360</v>
      </c>
      <c r="J1090">
        <v>3</v>
      </c>
      <c r="L1090" s="9" t="e">
        <f t="shared" ref="L1090:L1153" si="35">FIND("/",B1090)</f>
        <v>#VALUE!</v>
      </c>
    </row>
    <row r="1091" spans="1:12" x14ac:dyDescent="0.35">
      <c r="A1091">
        <f t="shared" ref="A1091:A1154" si="36">A1090+1</f>
        <v>1090</v>
      </c>
      <c r="B1091" t="s">
        <v>110</v>
      </c>
      <c r="C1091" s="109" t="str">
        <f>IF(ISBLANK(K1091),IFERROR(VLOOKUP(I1091,FS_input_data!$C$107:$N$306,Export!J1091,FALSE),""),K1091)</f>
        <v/>
      </c>
      <c r="D1091" s="6"/>
      <c r="F1091" s="6"/>
      <c r="G1091" s="6"/>
      <c r="H1091" s="6" t="s">
        <v>2211</v>
      </c>
      <c r="I1091" t="s">
        <v>1561</v>
      </c>
      <c r="J1091" t="s">
        <v>1561</v>
      </c>
      <c r="L1091">
        <f t="shared" si="35"/>
        <v>1</v>
      </c>
    </row>
    <row r="1092" spans="1:12" x14ac:dyDescent="0.35">
      <c r="A1092" s="9">
        <f t="shared" si="36"/>
        <v>1091</v>
      </c>
      <c r="B1092" t="s">
        <v>111</v>
      </c>
      <c r="C1092" s="109">
        <f>IF(ISBLANK(K1092),IFERROR(VLOOKUP(I1092,FS_input_data!$C$107:$N$306,Export!J1092,FALSE),""),K1092)</f>
        <v>150</v>
      </c>
      <c r="D1092" s="6" t="b">
        <v>1</v>
      </c>
      <c r="E1092" t="s">
        <v>1561</v>
      </c>
      <c r="F1092" s="6"/>
      <c r="G1092" s="6"/>
      <c r="H1092" s="6" t="s">
        <v>2211</v>
      </c>
      <c r="I1092" t="s">
        <v>1360</v>
      </c>
      <c r="J1092">
        <v>4</v>
      </c>
      <c r="L1092" s="9" t="e">
        <f t="shared" si="35"/>
        <v>#VALUE!</v>
      </c>
    </row>
    <row r="1093" spans="1:12" x14ac:dyDescent="0.35">
      <c r="A1093">
        <f t="shared" si="36"/>
        <v>1092</v>
      </c>
      <c r="B1093" t="s">
        <v>112</v>
      </c>
      <c r="C1093" s="109" t="str">
        <f>IF(ISBLANK(K1093),IFERROR(VLOOKUP(I1093,FS_input_data!$C$107:$N$306,Export!J1093,FALSE),""),K1093)</f>
        <v/>
      </c>
      <c r="D1093" s="6"/>
      <c r="E1093" t="s">
        <v>1561</v>
      </c>
      <c r="F1093" s="6"/>
      <c r="G1093" s="6"/>
      <c r="H1093" s="6" t="s">
        <v>2211</v>
      </c>
      <c r="I1093" t="s">
        <v>1561</v>
      </c>
      <c r="J1093" t="s">
        <v>1561</v>
      </c>
      <c r="L1093">
        <f t="shared" si="35"/>
        <v>1</v>
      </c>
    </row>
    <row r="1094" spans="1:12" x14ac:dyDescent="0.35">
      <c r="A1094">
        <f t="shared" si="36"/>
        <v>1093</v>
      </c>
      <c r="B1094" t="s">
        <v>385</v>
      </c>
      <c r="C1094" s="109" t="str">
        <f>IF(ISBLANK(K1094),IFERROR(VLOOKUP(I1094,FS_input_data!$C$107:$N$306,Export!J1094,FALSE),""),K1094)</f>
        <v/>
      </c>
      <c r="D1094" s="6"/>
      <c r="E1094" t="s">
        <v>1561</v>
      </c>
      <c r="F1094" s="6"/>
      <c r="G1094" s="6"/>
      <c r="H1094" s="6" t="s">
        <v>2211</v>
      </c>
      <c r="I1094" t="s">
        <v>1561</v>
      </c>
      <c r="J1094" t="s">
        <v>1561</v>
      </c>
      <c r="L1094">
        <f t="shared" si="35"/>
        <v>1</v>
      </c>
    </row>
    <row r="1095" spans="1:12" x14ac:dyDescent="0.35">
      <c r="A1095">
        <f t="shared" si="36"/>
        <v>1094</v>
      </c>
      <c r="B1095" t="s">
        <v>386</v>
      </c>
      <c r="C1095" s="109" t="str">
        <f>IF(ISBLANK(K1095),IFERROR(VLOOKUP(I1095,FS_input_data!$C$107:$N$306,Export!J1095,FALSE),""),K1095)</f>
        <v/>
      </c>
      <c r="D1095" s="6"/>
      <c r="E1095" t="s">
        <v>1364</v>
      </c>
      <c r="F1095" s="6"/>
      <c r="G1095" s="6"/>
      <c r="H1095" s="6" t="s">
        <v>2211</v>
      </c>
      <c r="I1095" t="s">
        <v>1561</v>
      </c>
      <c r="J1095" t="s">
        <v>1561</v>
      </c>
      <c r="L1095" s="26" t="e">
        <f t="shared" si="35"/>
        <v>#VALUE!</v>
      </c>
    </row>
    <row r="1096" spans="1:12" x14ac:dyDescent="0.35">
      <c r="A1096" s="9">
        <f t="shared" si="36"/>
        <v>1095</v>
      </c>
      <c r="B1096" t="s">
        <v>109</v>
      </c>
      <c r="C1096" s="109">
        <f>IF(ISBLANK(K1096),IFERROR(VLOOKUP(I1096,FS_input_data!$C$107:$N$306,Export!J1096,FALSE),""),K1096)</f>
        <v>51</v>
      </c>
      <c r="D1096" s="6" t="b">
        <v>1</v>
      </c>
      <c r="E1096" t="s">
        <v>1561</v>
      </c>
      <c r="F1096" s="6"/>
      <c r="G1096" s="6"/>
      <c r="H1096" s="6" t="s">
        <v>2211</v>
      </c>
      <c r="I1096" t="s">
        <v>1363</v>
      </c>
      <c r="J1096">
        <v>3</v>
      </c>
      <c r="L1096" s="9" t="e">
        <f t="shared" si="35"/>
        <v>#VALUE!</v>
      </c>
    </row>
    <row r="1097" spans="1:12" x14ac:dyDescent="0.35">
      <c r="A1097">
        <f t="shared" si="36"/>
        <v>1096</v>
      </c>
      <c r="B1097" t="s">
        <v>110</v>
      </c>
      <c r="C1097" s="109" t="str">
        <f>IF(ISBLANK(K1097),IFERROR(VLOOKUP(I1097,FS_input_data!$C$107:$N$306,Export!J1097,FALSE),""),K1097)</f>
        <v/>
      </c>
      <c r="D1097" s="6"/>
      <c r="F1097" s="6"/>
      <c r="G1097" s="6"/>
      <c r="H1097" s="6" t="s">
        <v>2211</v>
      </c>
      <c r="I1097" t="s">
        <v>1561</v>
      </c>
      <c r="J1097" t="s">
        <v>1561</v>
      </c>
      <c r="L1097">
        <f t="shared" si="35"/>
        <v>1</v>
      </c>
    </row>
    <row r="1098" spans="1:12" x14ac:dyDescent="0.35">
      <c r="A1098" s="9">
        <f t="shared" si="36"/>
        <v>1097</v>
      </c>
      <c r="B1098" t="s">
        <v>111</v>
      </c>
      <c r="C1098" s="109">
        <f>IF(ISBLANK(K1098),IFERROR(VLOOKUP(I1098,FS_input_data!$C$107:$N$306,Export!J1098,FALSE),""),K1098)</f>
        <v>151</v>
      </c>
      <c r="D1098" s="6" t="b">
        <v>1</v>
      </c>
      <c r="E1098" t="s">
        <v>1561</v>
      </c>
      <c r="F1098" s="6"/>
      <c r="G1098" s="6"/>
      <c r="H1098" s="6" t="s">
        <v>2211</v>
      </c>
      <c r="I1098" t="s">
        <v>1363</v>
      </c>
      <c r="J1098">
        <v>4</v>
      </c>
      <c r="L1098" s="9" t="e">
        <f t="shared" si="35"/>
        <v>#VALUE!</v>
      </c>
    </row>
    <row r="1099" spans="1:12" x14ac:dyDescent="0.35">
      <c r="A1099">
        <f t="shared" si="36"/>
        <v>1098</v>
      </c>
      <c r="B1099" t="s">
        <v>112</v>
      </c>
      <c r="C1099" s="109" t="str">
        <f>IF(ISBLANK(K1099),IFERROR(VLOOKUP(I1099,FS_input_data!$C$107:$N$306,Export!J1099,FALSE),""),K1099)</f>
        <v/>
      </c>
      <c r="D1099" s="6"/>
      <c r="E1099" t="s">
        <v>1561</v>
      </c>
      <c r="F1099" s="6"/>
      <c r="G1099" s="6"/>
      <c r="H1099" s="6" t="s">
        <v>2211</v>
      </c>
      <c r="I1099" t="s">
        <v>1561</v>
      </c>
      <c r="J1099" t="s">
        <v>1561</v>
      </c>
      <c r="L1099">
        <f t="shared" si="35"/>
        <v>1</v>
      </c>
    </row>
    <row r="1100" spans="1:12" x14ac:dyDescent="0.35">
      <c r="A1100">
        <f t="shared" si="36"/>
        <v>1099</v>
      </c>
      <c r="B1100" t="s">
        <v>387</v>
      </c>
      <c r="C1100" s="109" t="str">
        <f>IF(ISBLANK(K1100),IFERROR(VLOOKUP(I1100,FS_input_data!$C$107:$N$306,Export!J1100,FALSE),""),K1100)</f>
        <v/>
      </c>
      <c r="D1100" s="6"/>
      <c r="E1100" t="s">
        <v>1561</v>
      </c>
      <c r="F1100" s="6"/>
      <c r="G1100" s="6"/>
      <c r="H1100" s="6" t="s">
        <v>2211</v>
      </c>
      <c r="I1100" t="s">
        <v>1561</v>
      </c>
      <c r="J1100" t="s">
        <v>1561</v>
      </c>
      <c r="L1100">
        <f t="shared" si="35"/>
        <v>1</v>
      </c>
    </row>
    <row r="1101" spans="1:12" x14ac:dyDescent="0.35">
      <c r="A1101">
        <f t="shared" si="36"/>
        <v>1100</v>
      </c>
      <c r="B1101" t="s">
        <v>388</v>
      </c>
      <c r="C1101" s="109" t="str">
        <f>IF(ISBLANK(K1101),IFERROR(VLOOKUP(I1101,FS_input_data!$C$107:$N$306,Export!J1101,FALSE),""),K1101)</f>
        <v/>
      </c>
      <c r="D1101" s="6"/>
      <c r="E1101" t="s">
        <v>1367</v>
      </c>
      <c r="F1101" s="6"/>
      <c r="G1101" s="6"/>
      <c r="H1101" s="6" t="s">
        <v>2211</v>
      </c>
      <c r="I1101" t="s">
        <v>1561</v>
      </c>
      <c r="J1101" t="s">
        <v>1561</v>
      </c>
      <c r="L1101" s="26" t="e">
        <f t="shared" si="35"/>
        <v>#VALUE!</v>
      </c>
    </row>
    <row r="1102" spans="1:12" x14ac:dyDescent="0.35">
      <c r="A1102" s="9">
        <f t="shared" si="36"/>
        <v>1101</v>
      </c>
      <c r="B1102" t="s">
        <v>109</v>
      </c>
      <c r="C1102" s="109">
        <f>IF(ISBLANK(K1102),IFERROR(VLOOKUP(I1102,FS_input_data!$C$107:$N$306,Export!J1102,FALSE),""),K1102)</f>
        <v>52</v>
      </c>
      <c r="D1102" s="6" t="b">
        <v>1</v>
      </c>
      <c r="E1102" t="s">
        <v>1561</v>
      </c>
      <c r="F1102" s="6"/>
      <c r="G1102" s="6"/>
      <c r="H1102" s="6" t="s">
        <v>2211</v>
      </c>
      <c r="I1102" t="s">
        <v>1366</v>
      </c>
      <c r="J1102">
        <v>3</v>
      </c>
      <c r="L1102" s="9" t="e">
        <f t="shared" si="35"/>
        <v>#VALUE!</v>
      </c>
    </row>
    <row r="1103" spans="1:12" x14ac:dyDescent="0.35">
      <c r="A1103">
        <f t="shared" si="36"/>
        <v>1102</v>
      </c>
      <c r="B1103" t="s">
        <v>110</v>
      </c>
      <c r="C1103" s="109" t="str">
        <f>IF(ISBLANK(K1103),IFERROR(VLOOKUP(I1103,FS_input_data!$C$107:$N$306,Export!J1103,FALSE),""),K1103)</f>
        <v/>
      </c>
      <c r="D1103" s="6"/>
      <c r="F1103" s="6"/>
      <c r="G1103" s="6"/>
      <c r="H1103" s="6" t="s">
        <v>2211</v>
      </c>
      <c r="I1103" t="s">
        <v>1561</v>
      </c>
      <c r="J1103" t="s">
        <v>1561</v>
      </c>
      <c r="L1103">
        <f t="shared" si="35"/>
        <v>1</v>
      </c>
    </row>
    <row r="1104" spans="1:12" x14ac:dyDescent="0.35">
      <c r="A1104" s="9">
        <f t="shared" si="36"/>
        <v>1103</v>
      </c>
      <c r="B1104" t="s">
        <v>111</v>
      </c>
      <c r="C1104" s="109">
        <f>IF(ISBLANK(K1104),IFERROR(VLOOKUP(I1104,FS_input_data!$C$107:$N$306,Export!J1104,FALSE),""),K1104)</f>
        <v>152</v>
      </c>
      <c r="D1104" s="6" t="b">
        <v>1</v>
      </c>
      <c r="E1104" t="s">
        <v>1561</v>
      </c>
      <c r="F1104" s="6"/>
      <c r="G1104" s="6"/>
      <c r="H1104" s="6" t="s">
        <v>2211</v>
      </c>
      <c r="I1104" t="s">
        <v>1366</v>
      </c>
      <c r="J1104">
        <v>4</v>
      </c>
      <c r="L1104" s="9" t="e">
        <f t="shared" si="35"/>
        <v>#VALUE!</v>
      </c>
    </row>
    <row r="1105" spans="1:12" x14ac:dyDescent="0.35">
      <c r="A1105">
        <f t="shared" si="36"/>
        <v>1104</v>
      </c>
      <c r="B1105" t="s">
        <v>112</v>
      </c>
      <c r="C1105" s="109" t="str">
        <f>IF(ISBLANK(K1105),IFERROR(VLOOKUP(I1105,FS_input_data!$C$107:$N$306,Export!J1105,FALSE),""),K1105)</f>
        <v/>
      </c>
      <c r="D1105" s="6"/>
      <c r="E1105" t="s">
        <v>1561</v>
      </c>
      <c r="F1105" s="6"/>
      <c r="G1105" s="6"/>
      <c r="H1105" s="6" t="s">
        <v>2211</v>
      </c>
      <c r="I1105" t="s">
        <v>1561</v>
      </c>
      <c r="J1105" t="s">
        <v>1561</v>
      </c>
      <c r="L1105">
        <f t="shared" si="35"/>
        <v>1</v>
      </c>
    </row>
    <row r="1106" spans="1:12" x14ac:dyDescent="0.35">
      <c r="A1106">
        <f t="shared" si="36"/>
        <v>1105</v>
      </c>
      <c r="B1106" t="s">
        <v>389</v>
      </c>
      <c r="C1106" s="109" t="str">
        <f>IF(ISBLANK(K1106),IFERROR(VLOOKUP(I1106,FS_input_data!$C$107:$N$306,Export!J1106,FALSE),""),K1106)</f>
        <v/>
      </c>
      <c r="D1106" s="6"/>
      <c r="E1106" t="s">
        <v>1561</v>
      </c>
      <c r="F1106" s="6"/>
      <c r="G1106" s="6"/>
      <c r="H1106" s="6" t="s">
        <v>2211</v>
      </c>
      <c r="I1106" t="s">
        <v>1561</v>
      </c>
      <c r="J1106" t="s">
        <v>1561</v>
      </c>
      <c r="L1106">
        <f t="shared" si="35"/>
        <v>1</v>
      </c>
    </row>
    <row r="1107" spans="1:12" x14ac:dyDescent="0.35">
      <c r="A1107">
        <f t="shared" si="36"/>
        <v>1106</v>
      </c>
      <c r="B1107" t="s">
        <v>390</v>
      </c>
      <c r="C1107" s="109" t="str">
        <f>IF(ISBLANK(K1107),IFERROR(VLOOKUP(I1107,FS_input_data!$C$107:$N$306,Export!J1107,FALSE),""),K1107)</f>
        <v/>
      </c>
      <c r="D1107" s="6"/>
      <c r="E1107" t="s">
        <v>1370</v>
      </c>
      <c r="F1107" s="6"/>
      <c r="G1107" s="6"/>
      <c r="H1107" s="6" t="s">
        <v>2211</v>
      </c>
      <c r="I1107" t="s">
        <v>1561</v>
      </c>
      <c r="J1107" t="s">
        <v>1561</v>
      </c>
      <c r="L1107" s="26" t="e">
        <f t="shared" si="35"/>
        <v>#VALUE!</v>
      </c>
    </row>
    <row r="1108" spans="1:12" x14ac:dyDescent="0.35">
      <c r="A1108" s="9">
        <f t="shared" si="36"/>
        <v>1107</v>
      </c>
      <c r="B1108" t="s">
        <v>109</v>
      </c>
      <c r="C1108" s="109">
        <f>IF(ISBLANK(K1108),IFERROR(VLOOKUP(I1108,FS_input_data!$C$107:$N$306,Export!J1108,FALSE),""),K1108)</f>
        <v>53</v>
      </c>
      <c r="D1108" s="6" t="b">
        <v>1</v>
      </c>
      <c r="E1108" t="s">
        <v>1561</v>
      </c>
      <c r="F1108" s="6"/>
      <c r="G1108" s="6"/>
      <c r="H1108" s="6" t="s">
        <v>2211</v>
      </c>
      <c r="I1108" t="s">
        <v>1369</v>
      </c>
      <c r="J1108">
        <v>3</v>
      </c>
      <c r="L1108" s="9" t="e">
        <f t="shared" si="35"/>
        <v>#VALUE!</v>
      </c>
    </row>
    <row r="1109" spans="1:12" x14ac:dyDescent="0.35">
      <c r="A1109">
        <f t="shared" si="36"/>
        <v>1108</v>
      </c>
      <c r="B1109" t="s">
        <v>110</v>
      </c>
      <c r="C1109" s="109" t="str">
        <f>IF(ISBLANK(K1109),IFERROR(VLOOKUP(I1109,FS_input_data!$C$107:$N$306,Export!J1109,FALSE),""),K1109)</f>
        <v/>
      </c>
      <c r="D1109" s="6"/>
      <c r="F1109" s="6"/>
      <c r="G1109" s="6"/>
      <c r="H1109" s="6" t="s">
        <v>2211</v>
      </c>
      <c r="I1109" t="s">
        <v>1561</v>
      </c>
      <c r="J1109" t="s">
        <v>1561</v>
      </c>
      <c r="L1109">
        <f t="shared" si="35"/>
        <v>1</v>
      </c>
    </row>
    <row r="1110" spans="1:12" x14ac:dyDescent="0.35">
      <c r="A1110" s="9">
        <f t="shared" si="36"/>
        <v>1109</v>
      </c>
      <c r="B1110" t="s">
        <v>111</v>
      </c>
      <c r="C1110" s="109">
        <f>IF(ISBLANK(K1110),IFERROR(VLOOKUP(I1110,FS_input_data!$C$107:$N$306,Export!J1110,FALSE),""),K1110)</f>
        <v>153</v>
      </c>
      <c r="D1110" s="6" t="b">
        <v>1</v>
      </c>
      <c r="F1110" s="6"/>
      <c r="G1110" s="6"/>
      <c r="H1110" s="6" t="s">
        <v>2211</v>
      </c>
      <c r="I1110" t="s">
        <v>1369</v>
      </c>
      <c r="J1110">
        <v>4</v>
      </c>
      <c r="L1110" s="9" t="e">
        <f t="shared" si="35"/>
        <v>#VALUE!</v>
      </c>
    </row>
    <row r="1111" spans="1:12" x14ac:dyDescent="0.35">
      <c r="A1111">
        <f t="shared" si="36"/>
        <v>1110</v>
      </c>
      <c r="B1111" t="s">
        <v>112</v>
      </c>
      <c r="C1111" s="109" t="str">
        <f>IF(ISBLANK(K1111),IFERROR(VLOOKUP(I1111,FS_input_data!$C$107:$N$306,Export!J1111,FALSE),""),K1111)</f>
        <v/>
      </c>
      <c r="D1111" s="6"/>
      <c r="E1111" t="s">
        <v>1561</v>
      </c>
      <c r="F1111" s="6"/>
      <c r="G1111" s="6"/>
      <c r="H1111" s="6" t="s">
        <v>2211</v>
      </c>
      <c r="I1111" t="s">
        <v>1561</v>
      </c>
      <c r="J1111" t="s">
        <v>1561</v>
      </c>
      <c r="L1111">
        <f t="shared" si="35"/>
        <v>1</v>
      </c>
    </row>
    <row r="1112" spans="1:12" x14ac:dyDescent="0.35">
      <c r="A1112">
        <f t="shared" si="36"/>
        <v>1111</v>
      </c>
      <c r="B1112" t="s">
        <v>391</v>
      </c>
      <c r="C1112" s="109" t="str">
        <f>IF(ISBLANK(K1112),IFERROR(VLOOKUP(I1112,FS_input_data!$C$107:$N$306,Export!J1112,FALSE),""),K1112)</f>
        <v/>
      </c>
      <c r="D1112" s="6"/>
      <c r="E1112" t="s">
        <v>1561</v>
      </c>
      <c r="F1112" s="6"/>
      <c r="G1112" s="6"/>
      <c r="H1112" s="6" t="s">
        <v>2211</v>
      </c>
      <c r="I1112" t="s">
        <v>1561</v>
      </c>
      <c r="J1112" t="s">
        <v>1561</v>
      </c>
      <c r="L1112">
        <f t="shared" si="35"/>
        <v>1</v>
      </c>
    </row>
    <row r="1113" spans="1:12" x14ac:dyDescent="0.35">
      <c r="A1113">
        <f t="shared" si="36"/>
        <v>1112</v>
      </c>
      <c r="B1113" t="s">
        <v>392</v>
      </c>
      <c r="C1113" s="109" t="str">
        <f>IF(ISBLANK(K1113),IFERROR(VLOOKUP(I1113,FS_input_data!$C$107:$N$306,Export!J1113,FALSE),""),K1113)</f>
        <v/>
      </c>
      <c r="D1113" s="6"/>
      <c r="E1113" t="s">
        <v>1561</v>
      </c>
      <c r="F1113" s="6"/>
      <c r="G1113" s="6"/>
      <c r="H1113" s="6" t="s">
        <v>2211</v>
      </c>
      <c r="I1113" t="s">
        <v>1561</v>
      </c>
      <c r="J1113" t="s">
        <v>1561</v>
      </c>
      <c r="L1113">
        <f t="shared" si="35"/>
        <v>1</v>
      </c>
    </row>
    <row r="1114" spans="1:12" x14ac:dyDescent="0.35">
      <c r="A1114">
        <f t="shared" si="36"/>
        <v>1113</v>
      </c>
      <c r="B1114" t="s">
        <v>393</v>
      </c>
      <c r="C1114" s="109" t="str">
        <f>IF(ISBLANK(K1114),IFERROR(VLOOKUP(I1114,FS_input_data!$C$107:$N$306,Export!J1114,FALSE),""),K1114)</f>
        <v/>
      </c>
      <c r="D1114" s="6"/>
      <c r="E1114" t="s">
        <v>1373</v>
      </c>
      <c r="F1114" s="6"/>
      <c r="G1114" s="6"/>
      <c r="H1114" s="6" t="s">
        <v>2211</v>
      </c>
      <c r="I1114" t="s">
        <v>1561</v>
      </c>
      <c r="J1114" t="s">
        <v>1561</v>
      </c>
      <c r="L1114" s="26" t="e">
        <f t="shared" si="35"/>
        <v>#VALUE!</v>
      </c>
    </row>
    <row r="1115" spans="1:12" x14ac:dyDescent="0.35">
      <c r="A1115" s="9">
        <f t="shared" si="36"/>
        <v>1114</v>
      </c>
      <c r="B1115" t="s">
        <v>109</v>
      </c>
      <c r="C1115" s="109">
        <f>IF(ISBLANK(K1115),IFERROR(VLOOKUP(I1115,FS_input_data!$C$107:$N$306,Export!J1115,FALSE),""),K1115)</f>
        <v>54</v>
      </c>
      <c r="D1115" s="6" t="b">
        <v>1</v>
      </c>
      <c r="E1115" t="s">
        <v>1561</v>
      </c>
      <c r="F1115" s="6"/>
      <c r="G1115" s="6"/>
      <c r="H1115" s="6" t="s">
        <v>2211</v>
      </c>
      <c r="I1115" t="s">
        <v>1372</v>
      </c>
      <c r="J1115">
        <v>3</v>
      </c>
      <c r="L1115" s="9" t="e">
        <f t="shared" si="35"/>
        <v>#VALUE!</v>
      </c>
    </row>
    <row r="1116" spans="1:12" x14ac:dyDescent="0.35">
      <c r="A1116">
        <f t="shared" si="36"/>
        <v>1115</v>
      </c>
      <c r="B1116" t="s">
        <v>110</v>
      </c>
      <c r="C1116" s="109" t="str">
        <f>IF(ISBLANK(K1116),IFERROR(VLOOKUP(I1116,FS_input_data!$C$107:$N$306,Export!J1116,FALSE),""),K1116)</f>
        <v/>
      </c>
      <c r="D1116" s="6"/>
      <c r="F1116" s="6"/>
      <c r="G1116" s="6"/>
      <c r="H1116" s="6" t="s">
        <v>2211</v>
      </c>
      <c r="I1116" t="s">
        <v>1561</v>
      </c>
      <c r="J1116" t="s">
        <v>1561</v>
      </c>
      <c r="L1116">
        <f t="shared" si="35"/>
        <v>1</v>
      </c>
    </row>
    <row r="1117" spans="1:12" x14ac:dyDescent="0.35">
      <c r="A1117" s="9">
        <f t="shared" si="36"/>
        <v>1116</v>
      </c>
      <c r="B1117" t="s">
        <v>111</v>
      </c>
      <c r="C1117" s="109">
        <f>IF(ISBLANK(K1117),IFERROR(VLOOKUP(I1117,FS_input_data!$C$107:$N$306,Export!J1117,FALSE),""),K1117)</f>
        <v>154</v>
      </c>
      <c r="D1117" s="6" t="b">
        <v>1</v>
      </c>
      <c r="E1117" t="s">
        <v>1561</v>
      </c>
      <c r="F1117" s="6"/>
      <c r="G1117" s="6"/>
      <c r="H1117" s="6" t="s">
        <v>2211</v>
      </c>
      <c r="I1117" t="s">
        <v>1372</v>
      </c>
      <c r="J1117">
        <v>4</v>
      </c>
      <c r="L1117" s="9" t="e">
        <f t="shared" si="35"/>
        <v>#VALUE!</v>
      </c>
    </row>
    <row r="1118" spans="1:12" x14ac:dyDescent="0.35">
      <c r="A1118">
        <f t="shared" si="36"/>
        <v>1117</v>
      </c>
      <c r="B1118" t="s">
        <v>112</v>
      </c>
      <c r="C1118" s="109" t="str">
        <f>IF(ISBLANK(K1118),IFERROR(VLOOKUP(I1118,FS_input_data!$C$107:$N$306,Export!J1118,FALSE),""),K1118)</f>
        <v/>
      </c>
      <c r="D1118" s="6"/>
      <c r="E1118" t="s">
        <v>1561</v>
      </c>
      <c r="F1118" s="6"/>
      <c r="G1118" s="6"/>
      <c r="H1118" s="6" t="s">
        <v>2211</v>
      </c>
      <c r="I1118" t="s">
        <v>1561</v>
      </c>
      <c r="J1118" t="s">
        <v>1561</v>
      </c>
      <c r="L1118">
        <f t="shared" si="35"/>
        <v>1</v>
      </c>
    </row>
    <row r="1119" spans="1:12" x14ac:dyDescent="0.35">
      <c r="A1119">
        <f t="shared" si="36"/>
        <v>1118</v>
      </c>
      <c r="B1119" t="s">
        <v>394</v>
      </c>
      <c r="C1119" s="109" t="str">
        <f>IF(ISBLANK(K1119),IFERROR(VLOOKUP(I1119,FS_input_data!$C$107:$N$306,Export!J1119,FALSE),""),K1119)</f>
        <v/>
      </c>
      <c r="D1119" s="6"/>
      <c r="E1119" t="s">
        <v>1561</v>
      </c>
      <c r="F1119" s="6"/>
      <c r="G1119" s="6"/>
      <c r="H1119" s="6" t="s">
        <v>2211</v>
      </c>
      <c r="I1119" t="s">
        <v>1561</v>
      </c>
      <c r="J1119" t="s">
        <v>1561</v>
      </c>
      <c r="L1119">
        <f t="shared" si="35"/>
        <v>1</v>
      </c>
    </row>
    <row r="1120" spans="1:12" x14ac:dyDescent="0.35">
      <c r="A1120">
        <f t="shared" si="36"/>
        <v>1119</v>
      </c>
      <c r="B1120" t="s">
        <v>395</v>
      </c>
      <c r="C1120" s="109" t="str">
        <f>IF(ISBLANK(K1120),IFERROR(VLOOKUP(I1120,FS_input_data!$C$107:$N$306,Export!J1120,FALSE),""),K1120)</f>
        <v/>
      </c>
      <c r="D1120" s="6"/>
      <c r="E1120" t="s">
        <v>1561</v>
      </c>
      <c r="F1120" s="6"/>
      <c r="G1120" s="6"/>
      <c r="H1120" s="6" t="s">
        <v>2211</v>
      </c>
      <c r="I1120" t="s">
        <v>1561</v>
      </c>
      <c r="J1120" t="s">
        <v>1561</v>
      </c>
      <c r="L1120">
        <f t="shared" si="35"/>
        <v>1</v>
      </c>
    </row>
    <row r="1121" spans="1:12" x14ac:dyDescent="0.35">
      <c r="A1121">
        <f t="shared" si="36"/>
        <v>1120</v>
      </c>
      <c r="B1121" t="s">
        <v>396</v>
      </c>
      <c r="C1121" s="109" t="str">
        <f>IF(ISBLANK(K1121),IFERROR(VLOOKUP(I1121,FS_input_data!$C$107:$N$306,Export!J1121,FALSE),""),K1121)</f>
        <v/>
      </c>
      <c r="D1121" s="6"/>
      <c r="E1121" t="s">
        <v>1376</v>
      </c>
      <c r="F1121" s="6"/>
      <c r="G1121" s="6"/>
      <c r="H1121" s="6" t="s">
        <v>2211</v>
      </c>
      <c r="I1121" t="s">
        <v>1561</v>
      </c>
      <c r="J1121" t="s">
        <v>1561</v>
      </c>
      <c r="L1121" s="26" t="e">
        <f t="shared" si="35"/>
        <v>#VALUE!</v>
      </c>
    </row>
    <row r="1122" spans="1:12" x14ac:dyDescent="0.35">
      <c r="A1122" s="9">
        <f t="shared" si="36"/>
        <v>1121</v>
      </c>
      <c r="B1122" t="s">
        <v>109</v>
      </c>
      <c r="C1122" s="109">
        <f>IF(ISBLANK(K1122),IFERROR(VLOOKUP(I1122,FS_input_data!$C$107:$N$306,Export!J1122,FALSE),""),K1122)</f>
        <v>173</v>
      </c>
      <c r="D1122" s="6" t="b">
        <v>1</v>
      </c>
      <c r="E1122" t="s">
        <v>1561</v>
      </c>
      <c r="F1122" s="6"/>
      <c r="G1122" s="6"/>
      <c r="H1122" s="6" t="s">
        <v>2211</v>
      </c>
      <c r="I1122" t="s">
        <v>1375</v>
      </c>
      <c r="J1122">
        <v>3</v>
      </c>
      <c r="L1122" s="9" t="e">
        <f t="shared" si="35"/>
        <v>#VALUE!</v>
      </c>
    </row>
    <row r="1123" spans="1:12" x14ac:dyDescent="0.35">
      <c r="A1123">
        <f t="shared" si="36"/>
        <v>1122</v>
      </c>
      <c r="B1123" t="s">
        <v>110</v>
      </c>
      <c r="C1123" s="109" t="str">
        <f>IF(ISBLANK(K1123),IFERROR(VLOOKUP(I1123,FS_input_data!$C$107:$N$306,Export!J1123,FALSE),""),K1123)</f>
        <v/>
      </c>
      <c r="D1123" s="6"/>
      <c r="F1123" s="6"/>
      <c r="G1123" s="6"/>
      <c r="H1123" s="6" t="s">
        <v>2211</v>
      </c>
      <c r="I1123" t="s">
        <v>1561</v>
      </c>
      <c r="J1123" t="s">
        <v>1561</v>
      </c>
      <c r="L1123">
        <f t="shared" si="35"/>
        <v>1</v>
      </c>
    </row>
    <row r="1124" spans="1:12" x14ac:dyDescent="0.35">
      <c r="A1124" s="9">
        <f t="shared" si="36"/>
        <v>1123</v>
      </c>
      <c r="B1124" t="s">
        <v>111</v>
      </c>
      <c r="C1124" s="109">
        <f>IF(ISBLANK(K1124),IFERROR(VLOOKUP(I1124,FS_input_data!$C$107:$N$306,Export!J1124,FALSE),""),K1124)</f>
        <v>473</v>
      </c>
      <c r="D1124" s="6" t="b">
        <v>1</v>
      </c>
      <c r="E1124" t="s">
        <v>1561</v>
      </c>
      <c r="F1124" s="6"/>
      <c r="G1124" s="6"/>
      <c r="H1124" s="6" t="s">
        <v>2211</v>
      </c>
      <c r="I1124" t="s">
        <v>1375</v>
      </c>
      <c r="J1124">
        <v>4</v>
      </c>
      <c r="L1124" s="9" t="e">
        <f t="shared" si="35"/>
        <v>#VALUE!</v>
      </c>
    </row>
    <row r="1125" spans="1:12" x14ac:dyDescent="0.35">
      <c r="A1125">
        <f t="shared" si="36"/>
        <v>1124</v>
      </c>
      <c r="B1125" t="s">
        <v>112</v>
      </c>
      <c r="C1125" s="109" t="str">
        <f>IF(ISBLANK(K1125),IFERROR(VLOOKUP(I1125,FS_input_data!$C$107:$N$306,Export!J1125,FALSE),""),K1125)</f>
        <v/>
      </c>
      <c r="D1125" s="6"/>
      <c r="E1125" t="s">
        <v>1561</v>
      </c>
      <c r="F1125" s="6"/>
      <c r="G1125" s="6"/>
      <c r="H1125" s="6" t="s">
        <v>2211</v>
      </c>
      <c r="I1125" t="s">
        <v>1561</v>
      </c>
      <c r="J1125" t="s">
        <v>1561</v>
      </c>
      <c r="L1125">
        <f t="shared" si="35"/>
        <v>1</v>
      </c>
    </row>
    <row r="1126" spans="1:12" x14ac:dyDescent="0.35">
      <c r="A1126">
        <f t="shared" si="36"/>
        <v>1125</v>
      </c>
      <c r="B1126" t="s">
        <v>397</v>
      </c>
      <c r="C1126" s="109" t="str">
        <f>IF(ISBLANK(K1126),IFERROR(VLOOKUP(I1126,FS_input_data!$C$107:$N$306,Export!J1126,FALSE),""),K1126)</f>
        <v/>
      </c>
      <c r="D1126" s="6"/>
      <c r="E1126" t="s">
        <v>1379</v>
      </c>
      <c r="F1126" s="6"/>
      <c r="G1126" s="6"/>
      <c r="H1126" s="6" t="s">
        <v>2211</v>
      </c>
      <c r="I1126" t="s">
        <v>1561</v>
      </c>
      <c r="J1126" t="s">
        <v>1561</v>
      </c>
      <c r="L1126" s="26" t="e">
        <f t="shared" si="35"/>
        <v>#VALUE!</v>
      </c>
    </row>
    <row r="1127" spans="1:12" x14ac:dyDescent="0.35">
      <c r="A1127" s="9">
        <f t="shared" si="36"/>
        <v>1126</v>
      </c>
      <c r="B1127" t="s">
        <v>109</v>
      </c>
      <c r="C1127" s="109">
        <f>IF(ISBLANK(K1127),IFERROR(VLOOKUP(I1127,FS_input_data!$C$107:$N$306,Export!J1127,FALSE),""),K1127)</f>
        <v>56</v>
      </c>
      <c r="D1127" s="6" t="b">
        <v>1</v>
      </c>
      <c r="E1127" t="s">
        <v>1561</v>
      </c>
      <c r="F1127" s="6"/>
      <c r="G1127" s="6"/>
      <c r="H1127" s="6" t="s">
        <v>2211</v>
      </c>
      <c r="I1127" t="s">
        <v>1378</v>
      </c>
      <c r="J1127">
        <v>3</v>
      </c>
      <c r="L1127" s="9" t="e">
        <f t="shared" si="35"/>
        <v>#VALUE!</v>
      </c>
    </row>
    <row r="1128" spans="1:12" x14ac:dyDescent="0.35">
      <c r="A1128">
        <f t="shared" si="36"/>
        <v>1127</v>
      </c>
      <c r="B1128" t="s">
        <v>110</v>
      </c>
      <c r="C1128" s="109" t="str">
        <f>IF(ISBLANK(K1128),IFERROR(VLOOKUP(I1128,FS_input_data!$C$107:$N$306,Export!J1128,FALSE),""),K1128)</f>
        <v/>
      </c>
      <c r="D1128" s="6"/>
      <c r="F1128" s="6"/>
      <c r="G1128" s="6"/>
      <c r="H1128" s="6" t="s">
        <v>2211</v>
      </c>
      <c r="I1128" t="s">
        <v>1561</v>
      </c>
      <c r="J1128" t="s">
        <v>1561</v>
      </c>
      <c r="L1128">
        <f t="shared" si="35"/>
        <v>1</v>
      </c>
    </row>
    <row r="1129" spans="1:12" x14ac:dyDescent="0.35">
      <c r="A1129" s="9">
        <f t="shared" si="36"/>
        <v>1128</v>
      </c>
      <c r="B1129" t="s">
        <v>111</v>
      </c>
      <c r="C1129" s="109">
        <f>IF(ISBLANK(K1129),IFERROR(VLOOKUP(I1129,FS_input_data!$C$107:$N$306,Export!J1129,FALSE),""),K1129)</f>
        <v>156</v>
      </c>
      <c r="D1129" s="6" t="b">
        <v>1</v>
      </c>
      <c r="F1129" s="6"/>
      <c r="G1129" s="6"/>
      <c r="H1129" s="6" t="s">
        <v>2211</v>
      </c>
      <c r="I1129" t="s">
        <v>1378</v>
      </c>
      <c r="J1129">
        <v>4</v>
      </c>
      <c r="L1129" s="9" t="e">
        <f t="shared" si="35"/>
        <v>#VALUE!</v>
      </c>
    </row>
    <row r="1130" spans="1:12" x14ac:dyDescent="0.35">
      <c r="A1130">
        <f t="shared" si="36"/>
        <v>1129</v>
      </c>
      <c r="B1130" t="s">
        <v>112</v>
      </c>
      <c r="C1130" s="109" t="str">
        <f>IF(ISBLANK(K1130),IFERROR(VLOOKUP(I1130,FS_input_data!$C$107:$N$306,Export!J1130,FALSE),""),K1130)</f>
        <v/>
      </c>
      <c r="D1130" s="6"/>
      <c r="E1130" t="s">
        <v>1561</v>
      </c>
      <c r="F1130" s="6"/>
      <c r="G1130" s="6"/>
      <c r="H1130" s="6" t="s">
        <v>2211</v>
      </c>
      <c r="I1130" t="s">
        <v>1561</v>
      </c>
      <c r="J1130" t="s">
        <v>1561</v>
      </c>
      <c r="L1130">
        <f t="shared" si="35"/>
        <v>1</v>
      </c>
    </row>
    <row r="1131" spans="1:12" x14ac:dyDescent="0.35">
      <c r="A1131">
        <f t="shared" si="36"/>
        <v>1130</v>
      </c>
      <c r="B1131" t="s">
        <v>398</v>
      </c>
      <c r="C1131" s="109" t="str">
        <f>IF(ISBLANK(K1131),IFERROR(VLOOKUP(I1131,FS_input_data!$C$107:$N$306,Export!J1131,FALSE),""),K1131)</f>
        <v/>
      </c>
      <c r="D1131" s="6"/>
      <c r="E1131" t="s">
        <v>1561</v>
      </c>
      <c r="F1131" s="6"/>
      <c r="G1131" s="6"/>
      <c r="H1131" s="6" t="s">
        <v>2211</v>
      </c>
      <c r="I1131" t="s">
        <v>1561</v>
      </c>
      <c r="J1131" t="s">
        <v>1561</v>
      </c>
      <c r="L1131">
        <f t="shared" si="35"/>
        <v>1</v>
      </c>
    </row>
    <row r="1132" spans="1:12" x14ac:dyDescent="0.35">
      <c r="A1132">
        <f t="shared" si="36"/>
        <v>1131</v>
      </c>
      <c r="B1132" t="s">
        <v>399</v>
      </c>
      <c r="C1132" s="109" t="str">
        <f>IF(ISBLANK(K1132),IFERROR(VLOOKUP(I1132,FS_input_data!$C$107:$N$306,Export!J1132,FALSE),""),K1132)</f>
        <v/>
      </c>
      <c r="D1132" s="6"/>
      <c r="E1132" t="s">
        <v>1103</v>
      </c>
      <c r="F1132" s="6"/>
      <c r="G1132" s="6"/>
      <c r="H1132" s="6" t="s">
        <v>2211</v>
      </c>
      <c r="I1132" t="s">
        <v>1561</v>
      </c>
      <c r="J1132" t="s">
        <v>1561</v>
      </c>
      <c r="L1132" s="26" t="e">
        <f t="shared" si="35"/>
        <v>#VALUE!</v>
      </c>
    </row>
    <row r="1133" spans="1:12" x14ac:dyDescent="0.35">
      <c r="A1133" s="9">
        <f t="shared" si="36"/>
        <v>1132</v>
      </c>
      <c r="B1133" t="s">
        <v>109</v>
      </c>
      <c r="C1133" s="109">
        <f>IF(ISBLANK(K1133),IFERROR(VLOOKUP(I1133,FS_input_data!$C$107:$N$306,Export!J1133,FALSE),""),K1133)</f>
        <v>117</v>
      </c>
      <c r="D1133" s="6" t="b">
        <v>1</v>
      </c>
      <c r="E1133" t="s">
        <v>1561</v>
      </c>
      <c r="F1133" s="6"/>
      <c r="G1133" s="6"/>
      <c r="H1133" s="6" t="s">
        <v>2211</v>
      </c>
      <c r="I1133" t="s">
        <v>1381</v>
      </c>
      <c r="J1133">
        <v>3</v>
      </c>
      <c r="L1133" s="9" t="e">
        <f t="shared" si="35"/>
        <v>#VALUE!</v>
      </c>
    </row>
    <row r="1134" spans="1:12" x14ac:dyDescent="0.35">
      <c r="A1134">
        <f t="shared" si="36"/>
        <v>1133</v>
      </c>
      <c r="B1134" t="s">
        <v>110</v>
      </c>
      <c r="C1134" s="109" t="str">
        <f>IF(ISBLANK(K1134),IFERROR(VLOOKUP(I1134,FS_input_data!$C$107:$N$306,Export!J1134,FALSE),""),K1134)</f>
        <v/>
      </c>
      <c r="D1134" s="6"/>
      <c r="F1134" s="6"/>
      <c r="G1134" s="6"/>
      <c r="H1134" s="6" t="s">
        <v>2211</v>
      </c>
      <c r="I1134" t="s">
        <v>1561</v>
      </c>
      <c r="J1134" t="s">
        <v>1561</v>
      </c>
      <c r="L1134">
        <f t="shared" si="35"/>
        <v>1</v>
      </c>
    </row>
    <row r="1135" spans="1:12" x14ac:dyDescent="0.35">
      <c r="A1135" s="9">
        <f t="shared" si="36"/>
        <v>1134</v>
      </c>
      <c r="B1135" t="s">
        <v>111</v>
      </c>
      <c r="C1135" s="109">
        <f>IF(ISBLANK(K1135),IFERROR(VLOOKUP(I1135,FS_input_data!$C$107:$N$306,Export!J1135,FALSE),""),K1135)</f>
        <v>317</v>
      </c>
      <c r="D1135" s="6" t="b">
        <v>1</v>
      </c>
      <c r="E1135" t="s">
        <v>1561</v>
      </c>
      <c r="F1135" s="6"/>
      <c r="G1135" s="6"/>
      <c r="H1135" s="6" t="s">
        <v>2211</v>
      </c>
      <c r="I1135" t="s">
        <v>1381</v>
      </c>
      <c r="J1135">
        <v>4</v>
      </c>
      <c r="L1135" s="9" t="e">
        <f t="shared" si="35"/>
        <v>#VALUE!</v>
      </c>
    </row>
    <row r="1136" spans="1:12" x14ac:dyDescent="0.35">
      <c r="A1136">
        <f t="shared" si="36"/>
        <v>1135</v>
      </c>
      <c r="B1136" t="s">
        <v>112</v>
      </c>
      <c r="C1136" s="109" t="str">
        <f>IF(ISBLANK(K1136),IFERROR(VLOOKUP(I1136,FS_input_data!$C$107:$N$306,Export!J1136,FALSE),""),K1136)</f>
        <v/>
      </c>
      <c r="D1136" s="6"/>
      <c r="E1136" t="s">
        <v>1561</v>
      </c>
      <c r="F1136" s="6"/>
      <c r="G1136" s="6"/>
      <c r="H1136" s="6" t="s">
        <v>2211</v>
      </c>
      <c r="I1136" t="s">
        <v>1561</v>
      </c>
      <c r="J1136" t="s">
        <v>1561</v>
      </c>
      <c r="L1136">
        <f t="shared" si="35"/>
        <v>1</v>
      </c>
    </row>
    <row r="1137" spans="1:12" x14ac:dyDescent="0.35">
      <c r="A1137">
        <f t="shared" si="36"/>
        <v>1136</v>
      </c>
      <c r="B1137" t="s">
        <v>400</v>
      </c>
      <c r="C1137" s="109" t="str">
        <f>IF(ISBLANK(K1137),IFERROR(VLOOKUP(I1137,FS_input_data!$C$107:$N$306,Export!J1137,FALSE),""),K1137)</f>
        <v/>
      </c>
      <c r="D1137" s="6"/>
      <c r="E1137" t="s">
        <v>1285</v>
      </c>
      <c r="F1137" s="6"/>
      <c r="G1137" s="6"/>
      <c r="H1137" s="6" t="s">
        <v>2211</v>
      </c>
      <c r="I1137" t="s">
        <v>1561</v>
      </c>
      <c r="J1137" t="s">
        <v>1561</v>
      </c>
      <c r="L1137" s="26" t="e">
        <f t="shared" si="35"/>
        <v>#VALUE!</v>
      </c>
    </row>
    <row r="1138" spans="1:12" x14ac:dyDescent="0.35">
      <c r="A1138" s="9">
        <f t="shared" si="36"/>
        <v>1137</v>
      </c>
      <c r="B1138" t="s">
        <v>109</v>
      </c>
      <c r="C1138" s="109">
        <f>IF(ISBLANK(K1138),IFERROR(VLOOKUP(I1138,FS_input_data!$C$107:$N$306,Export!J1138,FALSE),""),K1138)</f>
        <v>58</v>
      </c>
      <c r="D1138" s="6" t="b">
        <v>1</v>
      </c>
      <c r="E1138" t="s">
        <v>1561</v>
      </c>
      <c r="F1138" s="6"/>
      <c r="G1138" s="6"/>
      <c r="H1138" s="6" t="s">
        <v>2211</v>
      </c>
      <c r="I1138" t="s">
        <v>1383</v>
      </c>
      <c r="J1138">
        <v>3</v>
      </c>
      <c r="L1138" s="9" t="e">
        <f t="shared" si="35"/>
        <v>#VALUE!</v>
      </c>
    </row>
    <row r="1139" spans="1:12" x14ac:dyDescent="0.35">
      <c r="A1139">
        <f t="shared" si="36"/>
        <v>1138</v>
      </c>
      <c r="B1139" t="s">
        <v>110</v>
      </c>
      <c r="C1139" s="109" t="str">
        <f>IF(ISBLANK(K1139),IFERROR(VLOOKUP(I1139,FS_input_data!$C$107:$N$306,Export!J1139,FALSE),""),K1139)</f>
        <v/>
      </c>
      <c r="D1139" s="6"/>
      <c r="F1139" s="6"/>
      <c r="G1139" s="6"/>
      <c r="H1139" s="6" t="s">
        <v>2211</v>
      </c>
      <c r="I1139" t="s">
        <v>1561</v>
      </c>
      <c r="J1139" t="s">
        <v>1561</v>
      </c>
      <c r="L1139">
        <f t="shared" si="35"/>
        <v>1</v>
      </c>
    </row>
    <row r="1140" spans="1:12" x14ac:dyDescent="0.35">
      <c r="A1140" s="9">
        <f t="shared" si="36"/>
        <v>1139</v>
      </c>
      <c r="B1140" t="s">
        <v>111</v>
      </c>
      <c r="C1140" s="109">
        <f>IF(ISBLANK(K1140),IFERROR(VLOOKUP(I1140,FS_input_data!$C$107:$N$306,Export!J1140,FALSE),""),K1140)</f>
        <v>158</v>
      </c>
      <c r="D1140" s="6" t="b">
        <v>1</v>
      </c>
      <c r="E1140" t="s">
        <v>1561</v>
      </c>
      <c r="F1140" s="6"/>
      <c r="G1140" s="6"/>
      <c r="H1140" s="6" t="s">
        <v>2211</v>
      </c>
      <c r="I1140" t="s">
        <v>1383</v>
      </c>
      <c r="J1140">
        <v>4</v>
      </c>
      <c r="L1140" s="9" t="e">
        <f t="shared" si="35"/>
        <v>#VALUE!</v>
      </c>
    </row>
    <row r="1141" spans="1:12" x14ac:dyDescent="0.35">
      <c r="A1141">
        <f t="shared" si="36"/>
        <v>1140</v>
      </c>
      <c r="B1141" t="s">
        <v>112</v>
      </c>
      <c r="C1141" s="109" t="str">
        <f>IF(ISBLANK(K1141),IFERROR(VLOOKUP(I1141,FS_input_data!$C$107:$N$306,Export!J1141,FALSE),""),K1141)</f>
        <v/>
      </c>
      <c r="D1141" s="6"/>
      <c r="E1141" t="s">
        <v>1561</v>
      </c>
      <c r="F1141" s="6"/>
      <c r="G1141" s="6"/>
      <c r="H1141" s="6" t="s">
        <v>2211</v>
      </c>
      <c r="I1141" t="s">
        <v>1561</v>
      </c>
      <c r="J1141" t="s">
        <v>1561</v>
      </c>
      <c r="L1141">
        <f t="shared" si="35"/>
        <v>1</v>
      </c>
    </row>
    <row r="1142" spans="1:12" x14ac:dyDescent="0.35">
      <c r="A1142">
        <f t="shared" si="36"/>
        <v>1141</v>
      </c>
      <c r="B1142" t="s">
        <v>401</v>
      </c>
      <c r="C1142" s="109" t="str">
        <f>IF(ISBLANK(K1142),IFERROR(VLOOKUP(I1142,FS_input_data!$C$107:$N$306,Export!J1142,FALSE),""),K1142)</f>
        <v/>
      </c>
      <c r="D1142" s="6"/>
      <c r="E1142" t="s">
        <v>1561</v>
      </c>
      <c r="F1142" s="6"/>
      <c r="G1142" s="6"/>
      <c r="H1142" s="6" t="s">
        <v>2211</v>
      </c>
      <c r="I1142" t="s">
        <v>1561</v>
      </c>
      <c r="J1142" t="s">
        <v>1561</v>
      </c>
      <c r="L1142">
        <f t="shared" si="35"/>
        <v>1</v>
      </c>
    </row>
    <row r="1143" spans="1:12" x14ac:dyDescent="0.35">
      <c r="A1143">
        <f t="shared" si="36"/>
        <v>1142</v>
      </c>
      <c r="B1143" t="s">
        <v>402</v>
      </c>
      <c r="C1143" s="109" t="str">
        <f>IF(ISBLANK(K1143),IFERROR(VLOOKUP(I1143,FS_input_data!$C$107:$N$306,Export!J1143,FALSE),""),K1143)</f>
        <v/>
      </c>
      <c r="D1143" s="6"/>
      <c r="E1143" t="s">
        <v>1288</v>
      </c>
      <c r="F1143" s="6"/>
      <c r="G1143" s="6"/>
      <c r="H1143" s="6" t="s">
        <v>2211</v>
      </c>
      <c r="I1143" t="s">
        <v>1561</v>
      </c>
      <c r="J1143" t="s">
        <v>1561</v>
      </c>
      <c r="L1143" s="26" t="e">
        <f t="shared" si="35"/>
        <v>#VALUE!</v>
      </c>
    </row>
    <row r="1144" spans="1:12" x14ac:dyDescent="0.35">
      <c r="A1144" s="9">
        <f t="shared" si="36"/>
        <v>1143</v>
      </c>
      <c r="B1144" t="s">
        <v>109</v>
      </c>
      <c r="C1144" s="109">
        <f>IF(ISBLANK(K1144),IFERROR(VLOOKUP(I1144,FS_input_data!$C$107:$N$306,Export!J1144,FALSE),""),K1144)</f>
        <v>59</v>
      </c>
      <c r="D1144" s="6" t="b">
        <v>1</v>
      </c>
      <c r="E1144" t="s">
        <v>1561</v>
      </c>
      <c r="F1144" s="6"/>
      <c r="G1144" s="6"/>
      <c r="H1144" s="6" t="s">
        <v>2211</v>
      </c>
      <c r="I1144" t="s">
        <v>1385</v>
      </c>
      <c r="J1144">
        <v>3</v>
      </c>
      <c r="L1144" s="9" t="e">
        <f t="shared" si="35"/>
        <v>#VALUE!</v>
      </c>
    </row>
    <row r="1145" spans="1:12" x14ac:dyDescent="0.35">
      <c r="A1145">
        <f t="shared" si="36"/>
        <v>1144</v>
      </c>
      <c r="B1145" t="s">
        <v>110</v>
      </c>
      <c r="C1145" s="109" t="str">
        <f>IF(ISBLANK(K1145),IFERROR(VLOOKUP(I1145,FS_input_data!$C$107:$N$306,Export!J1145,FALSE),""),K1145)</f>
        <v/>
      </c>
      <c r="D1145" s="6"/>
      <c r="F1145" s="6"/>
      <c r="G1145" s="6"/>
      <c r="H1145" s="6" t="s">
        <v>2211</v>
      </c>
      <c r="I1145" t="s">
        <v>1561</v>
      </c>
      <c r="J1145" t="s">
        <v>1561</v>
      </c>
      <c r="L1145">
        <f t="shared" si="35"/>
        <v>1</v>
      </c>
    </row>
    <row r="1146" spans="1:12" x14ac:dyDescent="0.35">
      <c r="A1146" s="9">
        <f t="shared" si="36"/>
        <v>1145</v>
      </c>
      <c r="B1146" t="s">
        <v>111</v>
      </c>
      <c r="C1146" s="109">
        <f>IF(ISBLANK(K1146),IFERROR(VLOOKUP(I1146,FS_input_data!$C$107:$N$306,Export!J1146,FALSE),""),K1146)</f>
        <v>159</v>
      </c>
      <c r="D1146" s="6" t="b">
        <v>1</v>
      </c>
      <c r="E1146" t="s">
        <v>1561</v>
      </c>
      <c r="F1146" s="6"/>
      <c r="G1146" s="6"/>
      <c r="H1146" s="6" t="s">
        <v>2211</v>
      </c>
      <c r="I1146" t="s">
        <v>1385</v>
      </c>
      <c r="J1146">
        <v>4</v>
      </c>
      <c r="L1146" s="9" t="e">
        <f t="shared" si="35"/>
        <v>#VALUE!</v>
      </c>
    </row>
    <row r="1147" spans="1:12" x14ac:dyDescent="0.35">
      <c r="A1147">
        <f t="shared" si="36"/>
        <v>1146</v>
      </c>
      <c r="B1147" t="s">
        <v>112</v>
      </c>
      <c r="C1147" s="109" t="str">
        <f>IF(ISBLANK(K1147),IFERROR(VLOOKUP(I1147,FS_input_data!$C$107:$N$306,Export!J1147,FALSE),""),K1147)</f>
        <v/>
      </c>
      <c r="D1147" s="6"/>
      <c r="E1147" t="s">
        <v>1561</v>
      </c>
      <c r="F1147" s="6"/>
      <c r="G1147" s="6"/>
      <c r="H1147" s="6" t="s">
        <v>2211</v>
      </c>
      <c r="I1147" t="s">
        <v>1561</v>
      </c>
      <c r="J1147" t="s">
        <v>1561</v>
      </c>
      <c r="L1147">
        <f t="shared" si="35"/>
        <v>1</v>
      </c>
    </row>
    <row r="1148" spans="1:12" x14ac:dyDescent="0.35">
      <c r="A1148">
        <f t="shared" si="36"/>
        <v>1147</v>
      </c>
      <c r="B1148" t="s">
        <v>403</v>
      </c>
      <c r="C1148" s="109" t="str">
        <f>IF(ISBLANK(K1148),IFERROR(VLOOKUP(I1148,FS_input_data!$C$107:$N$306,Export!J1148,FALSE),""),K1148)</f>
        <v/>
      </c>
      <c r="D1148" s="6"/>
      <c r="E1148" t="s">
        <v>1561</v>
      </c>
      <c r="F1148" s="6"/>
      <c r="G1148" s="6"/>
      <c r="H1148" s="6" t="s">
        <v>2211</v>
      </c>
      <c r="I1148" t="s">
        <v>1561</v>
      </c>
      <c r="J1148" t="s">
        <v>1561</v>
      </c>
      <c r="L1148">
        <f t="shared" si="35"/>
        <v>1</v>
      </c>
    </row>
    <row r="1149" spans="1:12" x14ac:dyDescent="0.35">
      <c r="A1149">
        <f t="shared" si="36"/>
        <v>1148</v>
      </c>
      <c r="B1149" t="s">
        <v>404</v>
      </c>
      <c r="C1149" s="109" t="str">
        <f>IF(ISBLANK(K1149),IFERROR(VLOOKUP(I1149,FS_input_data!$C$107:$N$306,Export!J1149,FALSE),""),K1149)</f>
        <v/>
      </c>
      <c r="D1149" s="6"/>
      <c r="E1149" t="s">
        <v>1561</v>
      </c>
      <c r="F1149" s="6"/>
      <c r="G1149" s="6"/>
      <c r="H1149" s="6" t="s">
        <v>2211</v>
      </c>
      <c r="I1149" t="s">
        <v>1561</v>
      </c>
      <c r="J1149" t="s">
        <v>1561</v>
      </c>
      <c r="L1149">
        <f t="shared" si="35"/>
        <v>1</v>
      </c>
    </row>
    <row r="1150" spans="1:12" x14ac:dyDescent="0.35">
      <c r="A1150">
        <f t="shared" si="36"/>
        <v>1149</v>
      </c>
      <c r="B1150" t="s">
        <v>405</v>
      </c>
      <c r="C1150" s="109" t="str">
        <f>IF(ISBLANK(K1150),IFERROR(VLOOKUP(I1150,FS_input_data!$C$107:$N$306,Export!J1150,FALSE),""),K1150)</f>
        <v/>
      </c>
      <c r="D1150" s="6"/>
      <c r="E1150" t="s">
        <v>1561</v>
      </c>
      <c r="F1150" s="6"/>
      <c r="G1150" s="6"/>
      <c r="H1150" s="6" t="s">
        <v>2211</v>
      </c>
      <c r="I1150" t="s">
        <v>1561</v>
      </c>
      <c r="J1150" t="s">
        <v>1561</v>
      </c>
      <c r="L1150">
        <f t="shared" si="35"/>
        <v>1</v>
      </c>
    </row>
    <row r="1151" spans="1:12" x14ac:dyDescent="0.35">
      <c r="A1151">
        <f t="shared" si="36"/>
        <v>1150</v>
      </c>
      <c r="B1151" t="s">
        <v>406</v>
      </c>
      <c r="C1151" s="109" t="str">
        <f>IF(ISBLANK(K1151),IFERROR(VLOOKUP(I1151,FS_input_data!$C$107:$N$306,Export!J1151,FALSE),""),K1151)</f>
        <v/>
      </c>
      <c r="D1151" s="6"/>
      <c r="E1151" t="s">
        <v>1561</v>
      </c>
      <c r="F1151" s="6"/>
      <c r="G1151" s="6"/>
      <c r="H1151" s="6" t="s">
        <v>2211</v>
      </c>
      <c r="I1151" t="s">
        <v>1561</v>
      </c>
      <c r="J1151" t="s">
        <v>1561</v>
      </c>
      <c r="L1151">
        <f t="shared" si="35"/>
        <v>1</v>
      </c>
    </row>
    <row r="1152" spans="1:12" x14ac:dyDescent="0.35">
      <c r="A1152">
        <f t="shared" si="36"/>
        <v>1151</v>
      </c>
      <c r="B1152" t="s">
        <v>407</v>
      </c>
      <c r="C1152" s="109" t="str">
        <f>IF(ISBLANK(K1152),IFERROR(VLOOKUP(I1152,FS_input_data!$C$107:$N$306,Export!J1152,FALSE),""),K1152)</f>
        <v/>
      </c>
      <c r="D1152" s="6"/>
      <c r="E1152" t="s">
        <v>1561</v>
      </c>
      <c r="F1152" s="6"/>
      <c r="G1152" s="6"/>
      <c r="H1152" s="6" t="s">
        <v>2211</v>
      </c>
      <c r="I1152" t="s">
        <v>1561</v>
      </c>
      <c r="J1152" t="s">
        <v>1561</v>
      </c>
      <c r="L1152">
        <f t="shared" si="35"/>
        <v>1</v>
      </c>
    </row>
    <row r="1153" spans="1:12" x14ac:dyDescent="0.35">
      <c r="A1153">
        <f t="shared" si="36"/>
        <v>1152</v>
      </c>
      <c r="B1153" t="s">
        <v>408</v>
      </c>
      <c r="C1153" s="109" t="str">
        <f>IF(ISBLANK(K1153),IFERROR(VLOOKUP(I1153,FS_input_data!$C$107:$N$306,Export!J1153,FALSE),""),K1153)</f>
        <v/>
      </c>
      <c r="D1153" s="6"/>
      <c r="E1153" t="s">
        <v>1561</v>
      </c>
      <c r="F1153" s="6"/>
      <c r="G1153" s="6"/>
      <c r="H1153" s="6" t="s">
        <v>2211</v>
      </c>
      <c r="I1153" t="s">
        <v>1561</v>
      </c>
      <c r="J1153" t="s">
        <v>1561</v>
      </c>
      <c r="L1153">
        <f t="shared" si="35"/>
        <v>1</v>
      </c>
    </row>
    <row r="1154" spans="1:12" x14ac:dyDescent="0.35">
      <c r="A1154">
        <f t="shared" si="36"/>
        <v>1153</v>
      </c>
      <c r="B1154" t="s">
        <v>409</v>
      </c>
      <c r="C1154" s="109" t="str">
        <f>IF(ISBLANK(K1154),IFERROR(VLOOKUP(I1154,FS_input_data!$C$107:$N$306,Export!J1154,FALSE),""),K1154)</f>
        <v/>
      </c>
      <c r="D1154" s="6"/>
      <c r="E1154" t="s">
        <v>1561</v>
      </c>
      <c r="F1154" s="6"/>
      <c r="G1154" s="6"/>
      <c r="H1154" s="6" t="s">
        <v>1389</v>
      </c>
      <c r="I1154" t="s">
        <v>1561</v>
      </c>
      <c r="J1154" t="s">
        <v>1561</v>
      </c>
      <c r="L1154" s="9" t="e">
        <f t="shared" ref="L1154:L1217" si="37">FIND("/",B1154)</f>
        <v>#VALUE!</v>
      </c>
    </row>
    <row r="1155" spans="1:12" x14ac:dyDescent="0.35">
      <c r="A1155">
        <f t="shared" ref="A1155:A1218" si="38">A1154+1</f>
        <v>1154</v>
      </c>
      <c r="B1155" t="s">
        <v>410</v>
      </c>
      <c r="C1155" s="109" t="str">
        <f>IF(ISBLANK(K1155),IFERROR(VLOOKUP(I1155,FS_input_data!$C$107:$N$306,Export!J1155,FALSE),""),K1155)</f>
        <v/>
      </c>
      <c r="D1155" s="6"/>
      <c r="E1155" t="s">
        <v>1561</v>
      </c>
      <c r="F1155" s="6"/>
      <c r="G1155" s="6"/>
      <c r="H1155" s="6" t="s">
        <v>1389</v>
      </c>
      <c r="I1155" t="s">
        <v>1561</v>
      </c>
      <c r="J1155" t="s">
        <v>1561</v>
      </c>
      <c r="L1155" s="26" t="e">
        <f t="shared" si="37"/>
        <v>#VALUE!</v>
      </c>
    </row>
    <row r="1156" spans="1:12" x14ac:dyDescent="0.35">
      <c r="A1156">
        <f t="shared" si="38"/>
        <v>1155</v>
      </c>
      <c r="B1156" t="s">
        <v>411</v>
      </c>
      <c r="C1156" s="109" t="str">
        <f>IF(ISBLANK(K1156),IFERROR(VLOOKUP(I1156,FS_input_data!$C$107:$N$306,Export!J1156,FALSE),""),K1156)</f>
        <v/>
      </c>
      <c r="D1156" s="6"/>
      <c r="E1156" t="s">
        <v>1392</v>
      </c>
      <c r="F1156" s="6"/>
      <c r="G1156" s="6"/>
      <c r="H1156" s="6" t="s">
        <v>1389</v>
      </c>
      <c r="I1156" t="s">
        <v>1561</v>
      </c>
      <c r="J1156" t="s">
        <v>1561</v>
      </c>
      <c r="L1156" s="26" t="e">
        <f t="shared" si="37"/>
        <v>#VALUE!</v>
      </c>
    </row>
    <row r="1157" spans="1:12" x14ac:dyDescent="0.35">
      <c r="A1157" s="9">
        <f t="shared" si="38"/>
        <v>1156</v>
      </c>
      <c r="B1157" t="s">
        <v>109</v>
      </c>
      <c r="C1157" s="109">
        <f>IF(ISBLANK(K1157),IFERROR(VLOOKUP(I1157,FS_input_data!$C$107:$N$306,Export!J1157,FALSE),""),K1157)</f>
        <v>18</v>
      </c>
      <c r="D1157" s="6" t="b">
        <v>1</v>
      </c>
      <c r="E1157" t="s">
        <v>1561</v>
      </c>
      <c r="F1157" s="6"/>
      <c r="G1157" s="6"/>
      <c r="H1157" s="6" t="s">
        <v>1389</v>
      </c>
      <c r="I1157" t="s">
        <v>1391</v>
      </c>
      <c r="J1157">
        <v>3</v>
      </c>
      <c r="L1157" s="9" t="e">
        <f t="shared" si="37"/>
        <v>#VALUE!</v>
      </c>
    </row>
    <row r="1158" spans="1:12" x14ac:dyDescent="0.35">
      <c r="A1158">
        <f t="shared" si="38"/>
        <v>1157</v>
      </c>
      <c r="B1158" t="s">
        <v>110</v>
      </c>
      <c r="C1158" s="109" t="str">
        <f>IF(ISBLANK(K1158),IFERROR(VLOOKUP(I1158,FS_input_data!$C$107:$N$306,Export!J1158,FALSE),""),K1158)</f>
        <v/>
      </c>
      <c r="D1158" s="6"/>
      <c r="F1158" s="6"/>
      <c r="G1158" s="6"/>
      <c r="H1158" s="6" t="s">
        <v>1389</v>
      </c>
      <c r="I1158" t="s">
        <v>1561</v>
      </c>
      <c r="J1158" t="s">
        <v>1561</v>
      </c>
      <c r="L1158">
        <f t="shared" si="37"/>
        <v>1</v>
      </c>
    </row>
    <row r="1159" spans="1:12" x14ac:dyDescent="0.35">
      <c r="A1159" s="9">
        <f t="shared" si="38"/>
        <v>1158</v>
      </c>
      <c r="B1159" t="s">
        <v>111</v>
      </c>
      <c r="C1159" s="109">
        <f>IF(ISBLANK(K1159),IFERROR(VLOOKUP(I1159,FS_input_data!$C$107:$N$306,Export!J1159,FALSE),""),K1159)</f>
        <v>418</v>
      </c>
      <c r="D1159" s="6" t="b">
        <v>1</v>
      </c>
      <c r="E1159" t="s">
        <v>1561</v>
      </c>
      <c r="F1159" s="6"/>
      <c r="G1159" s="6"/>
      <c r="H1159" s="6" t="s">
        <v>1389</v>
      </c>
      <c r="I1159" t="s">
        <v>1391</v>
      </c>
      <c r="J1159">
        <v>4</v>
      </c>
      <c r="L1159" s="9" t="e">
        <f t="shared" si="37"/>
        <v>#VALUE!</v>
      </c>
    </row>
    <row r="1160" spans="1:12" x14ac:dyDescent="0.35">
      <c r="A1160">
        <f t="shared" si="38"/>
        <v>1159</v>
      </c>
      <c r="B1160" t="s">
        <v>112</v>
      </c>
      <c r="C1160" s="109" t="str">
        <f>IF(ISBLANK(K1160),IFERROR(VLOOKUP(I1160,FS_input_data!$C$107:$N$306,Export!J1160,FALSE),""),K1160)</f>
        <v/>
      </c>
      <c r="D1160" s="6"/>
      <c r="E1160" t="s">
        <v>1561</v>
      </c>
      <c r="F1160" s="6"/>
      <c r="G1160" s="6"/>
      <c r="H1160" s="6" t="s">
        <v>1389</v>
      </c>
      <c r="I1160" t="s">
        <v>1561</v>
      </c>
      <c r="J1160" t="s">
        <v>1561</v>
      </c>
      <c r="L1160">
        <f t="shared" si="37"/>
        <v>1</v>
      </c>
    </row>
    <row r="1161" spans="1:12" x14ac:dyDescent="0.35">
      <c r="A1161">
        <f t="shared" si="38"/>
        <v>1160</v>
      </c>
      <c r="B1161" t="s">
        <v>412</v>
      </c>
      <c r="C1161" s="109" t="str">
        <f>IF(ISBLANK(K1161),IFERROR(VLOOKUP(I1161,FS_input_data!$C$107:$N$306,Export!J1161,FALSE),""),K1161)</f>
        <v/>
      </c>
      <c r="D1161" s="6"/>
      <c r="E1161" t="s">
        <v>1395</v>
      </c>
      <c r="F1161" s="6"/>
      <c r="G1161" s="6"/>
      <c r="H1161" s="6" t="s">
        <v>1389</v>
      </c>
      <c r="I1161" t="s">
        <v>1561</v>
      </c>
      <c r="J1161" t="s">
        <v>1561</v>
      </c>
      <c r="L1161" s="26" t="e">
        <f t="shared" si="37"/>
        <v>#VALUE!</v>
      </c>
    </row>
    <row r="1162" spans="1:12" x14ac:dyDescent="0.35">
      <c r="A1162" s="9">
        <f t="shared" si="38"/>
        <v>1161</v>
      </c>
      <c r="B1162" t="s">
        <v>109</v>
      </c>
      <c r="C1162" s="109">
        <f>IF(ISBLANK(K1162),IFERROR(VLOOKUP(I1162,FS_input_data!$C$107:$N$306,Export!J1162,FALSE),""),K1162)</f>
        <v>2</v>
      </c>
      <c r="D1162" s="6" t="b">
        <v>1</v>
      </c>
      <c r="E1162" t="s">
        <v>1561</v>
      </c>
      <c r="F1162" s="6"/>
      <c r="G1162" s="6"/>
      <c r="H1162" s="6" t="s">
        <v>1389</v>
      </c>
      <c r="I1162" t="s">
        <v>1394</v>
      </c>
      <c r="J1162">
        <v>3</v>
      </c>
      <c r="L1162" s="9" t="e">
        <f t="shared" si="37"/>
        <v>#VALUE!</v>
      </c>
    </row>
    <row r="1163" spans="1:12" x14ac:dyDescent="0.35">
      <c r="A1163">
        <f t="shared" si="38"/>
        <v>1162</v>
      </c>
      <c r="B1163" t="s">
        <v>110</v>
      </c>
      <c r="C1163" s="109" t="str">
        <f>IF(ISBLANK(K1163),IFERROR(VLOOKUP(I1163,FS_input_data!$C$107:$N$306,Export!J1163,FALSE),""),K1163)</f>
        <v/>
      </c>
      <c r="D1163" s="6"/>
      <c r="F1163" s="6"/>
      <c r="G1163" s="6"/>
      <c r="H1163" s="6" t="s">
        <v>1389</v>
      </c>
      <c r="I1163" t="s">
        <v>1561</v>
      </c>
      <c r="J1163" t="s">
        <v>1561</v>
      </c>
      <c r="L1163">
        <f t="shared" si="37"/>
        <v>1</v>
      </c>
    </row>
    <row r="1164" spans="1:12" x14ac:dyDescent="0.35">
      <c r="A1164" s="9">
        <f t="shared" si="38"/>
        <v>1163</v>
      </c>
      <c r="B1164" t="s">
        <v>111</v>
      </c>
      <c r="C1164" s="109">
        <f>IF(ISBLANK(K1164),IFERROR(VLOOKUP(I1164,FS_input_data!$C$107:$N$306,Export!J1164,FALSE),""),K1164)</f>
        <v>102</v>
      </c>
      <c r="D1164" s="6" t="b">
        <v>1</v>
      </c>
      <c r="E1164" t="s">
        <v>1561</v>
      </c>
      <c r="F1164" s="6"/>
      <c r="G1164" s="6"/>
      <c r="H1164" s="6" t="s">
        <v>1389</v>
      </c>
      <c r="I1164" t="s">
        <v>1394</v>
      </c>
      <c r="J1164">
        <v>4</v>
      </c>
      <c r="L1164" s="9" t="e">
        <f t="shared" si="37"/>
        <v>#VALUE!</v>
      </c>
    </row>
    <row r="1165" spans="1:12" x14ac:dyDescent="0.35">
      <c r="A1165">
        <f t="shared" si="38"/>
        <v>1164</v>
      </c>
      <c r="B1165" t="s">
        <v>112</v>
      </c>
      <c r="C1165" s="109" t="str">
        <f>IF(ISBLANK(K1165),IFERROR(VLOOKUP(I1165,FS_input_data!$C$107:$N$306,Export!J1165,FALSE),""),K1165)</f>
        <v/>
      </c>
      <c r="D1165" s="6"/>
      <c r="E1165" t="s">
        <v>1561</v>
      </c>
      <c r="F1165" s="6"/>
      <c r="G1165" s="6"/>
      <c r="H1165" s="6" t="s">
        <v>1389</v>
      </c>
      <c r="I1165" t="s">
        <v>1561</v>
      </c>
      <c r="J1165" t="s">
        <v>1561</v>
      </c>
      <c r="L1165">
        <f t="shared" si="37"/>
        <v>1</v>
      </c>
    </row>
    <row r="1166" spans="1:12" x14ac:dyDescent="0.35">
      <c r="A1166">
        <f t="shared" si="38"/>
        <v>1165</v>
      </c>
      <c r="B1166" t="s">
        <v>413</v>
      </c>
      <c r="C1166" s="109" t="str">
        <f>IF(ISBLANK(K1166),IFERROR(VLOOKUP(I1166,FS_input_data!$C$107:$N$306,Export!J1166,FALSE),""),K1166)</f>
        <v/>
      </c>
      <c r="D1166" s="6"/>
      <c r="E1166" t="s">
        <v>1561</v>
      </c>
      <c r="F1166" s="6"/>
      <c r="G1166" s="6"/>
      <c r="H1166" s="6" t="s">
        <v>1389</v>
      </c>
      <c r="I1166" t="s">
        <v>1561</v>
      </c>
      <c r="J1166" t="s">
        <v>1561</v>
      </c>
      <c r="L1166">
        <f t="shared" si="37"/>
        <v>1</v>
      </c>
    </row>
    <row r="1167" spans="1:12" x14ac:dyDescent="0.35">
      <c r="A1167">
        <f t="shared" si="38"/>
        <v>1166</v>
      </c>
      <c r="B1167" t="s">
        <v>414</v>
      </c>
      <c r="C1167" s="109" t="str">
        <f>IF(ISBLANK(K1167),IFERROR(VLOOKUP(I1167,FS_input_data!$C$107:$N$306,Export!J1167,FALSE),""),K1167)</f>
        <v/>
      </c>
      <c r="D1167" s="6"/>
      <c r="E1167" t="s">
        <v>1398</v>
      </c>
      <c r="F1167" s="6"/>
      <c r="G1167" s="6"/>
      <c r="H1167" s="6" t="s">
        <v>1389</v>
      </c>
      <c r="I1167" t="s">
        <v>1561</v>
      </c>
      <c r="J1167" t="s">
        <v>1561</v>
      </c>
      <c r="L1167" s="26" t="e">
        <f t="shared" si="37"/>
        <v>#VALUE!</v>
      </c>
    </row>
    <row r="1168" spans="1:12" x14ac:dyDescent="0.35">
      <c r="A1168" s="9">
        <f t="shared" si="38"/>
        <v>1167</v>
      </c>
      <c r="B1168" t="s">
        <v>109</v>
      </c>
      <c r="C1168" s="109">
        <f>IF(ISBLANK(K1168),IFERROR(VLOOKUP(I1168,FS_input_data!$C$107:$N$306,Export!J1168,FALSE),""),K1168)</f>
        <v>3</v>
      </c>
      <c r="D1168" s="6" t="b">
        <v>1</v>
      </c>
      <c r="E1168" t="s">
        <v>1561</v>
      </c>
      <c r="F1168" s="6"/>
      <c r="G1168" s="6"/>
      <c r="H1168" s="6" t="s">
        <v>1389</v>
      </c>
      <c r="I1168" t="s">
        <v>1397</v>
      </c>
      <c r="J1168">
        <v>3</v>
      </c>
      <c r="L1168" s="9" t="e">
        <f t="shared" si="37"/>
        <v>#VALUE!</v>
      </c>
    </row>
    <row r="1169" spans="1:12" x14ac:dyDescent="0.35">
      <c r="A1169">
        <f t="shared" si="38"/>
        <v>1168</v>
      </c>
      <c r="B1169" t="s">
        <v>110</v>
      </c>
      <c r="C1169" s="109" t="str">
        <f>IF(ISBLANK(K1169),IFERROR(VLOOKUP(I1169,FS_input_data!$C$107:$N$306,Export!J1169,FALSE),""),K1169)</f>
        <v/>
      </c>
      <c r="D1169" s="6"/>
      <c r="F1169" s="6"/>
      <c r="G1169" s="6"/>
      <c r="H1169" s="6" t="s">
        <v>1389</v>
      </c>
      <c r="I1169" t="s">
        <v>1561</v>
      </c>
      <c r="J1169" t="s">
        <v>1561</v>
      </c>
      <c r="L1169">
        <f t="shared" si="37"/>
        <v>1</v>
      </c>
    </row>
    <row r="1170" spans="1:12" x14ac:dyDescent="0.35">
      <c r="A1170" s="9">
        <f t="shared" si="38"/>
        <v>1169</v>
      </c>
      <c r="B1170" t="s">
        <v>111</v>
      </c>
      <c r="C1170" s="109">
        <f>IF(ISBLANK(K1170),IFERROR(VLOOKUP(I1170,FS_input_data!$C$107:$N$306,Export!J1170,FALSE),""),K1170)</f>
        <v>103</v>
      </c>
      <c r="D1170" s="6" t="b">
        <v>1</v>
      </c>
      <c r="E1170" t="s">
        <v>1561</v>
      </c>
      <c r="F1170" s="6"/>
      <c r="G1170" s="6"/>
      <c r="H1170" s="6" t="s">
        <v>1389</v>
      </c>
      <c r="I1170" t="s">
        <v>1397</v>
      </c>
      <c r="J1170">
        <v>4</v>
      </c>
      <c r="L1170" s="9" t="e">
        <f t="shared" si="37"/>
        <v>#VALUE!</v>
      </c>
    </row>
    <row r="1171" spans="1:12" x14ac:dyDescent="0.35">
      <c r="A1171">
        <f t="shared" si="38"/>
        <v>1170</v>
      </c>
      <c r="B1171" t="s">
        <v>112</v>
      </c>
      <c r="C1171" s="109" t="str">
        <f>IF(ISBLANK(K1171),IFERROR(VLOOKUP(I1171,FS_input_data!$C$107:$N$306,Export!J1171,FALSE),""),K1171)</f>
        <v/>
      </c>
      <c r="D1171" s="6"/>
      <c r="E1171" t="s">
        <v>1561</v>
      </c>
      <c r="F1171" s="6"/>
      <c r="G1171" s="6"/>
      <c r="H1171" s="6" t="s">
        <v>1389</v>
      </c>
      <c r="I1171" t="s">
        <v>1561</v>
      </c>
      <c r="J1171" t="s">
        <v>1561</v>
      </c>
      <c r="L1171">
        <f t="shared" si="37"/>
        <v>1</v>
      </c>
    </row>
    <row r="1172" spans="1:12" x14ac:dyDescent="0.35">
      <c r="A1172">
        <f t="shared" si="38"/>
        <v>1171</v>
      </c>
      <c r="B1172" t="s">
        <v>415</v>
      </c>
      <c r="C1172" s="109" t="str">
        <f>IF(ISBLANK(K1172),IFERROR(VLOOKUP(I1172,FS_input_data!$C$107:$N$306,Export!J1172,FALSE),""),K1172)</f>
        <v/>
      </c>
      <c r="D1172" s="6"/>
      <c r="E1172" t="s">
        <v>1561</v>
      </c>
      <c r="F1172" s="6"/>
      <c r="G1172" s="6"/>
      <c r="H1172" s="6" t="s">
        <v>1389</v>
      </c>
      <c r="I1172" t="s">
        <v>1561</v>
      </c>
      <c r="J1172" t="s">
        <v>1561</v>
      </c>
      <c r="L1172">
        <f t="shared" si="37"/>
        <v>1</v>
      </c>
    </row>
    <row r="1173" spans="1:12" x14ac:dyDescent="0.35">
      <c r="A1173">
        <f t="shared" si="38"/>
        <v>1172</v>
      </c>
      <c r="B1173" t="s">
        <v>416</v>
      </c>
      <c r="C1173" s="109" t="str">
        <f>IF(ISBLANK(K1173),IFERROR(VLOOKUP(I1173,FS_input_data!$C$107:$N$306,Export!J1173,FALSE),""),K1173)</f>
        <v/>
      </c>
      <c r="D1173" s="6"/>
      <c r="E1173" t="s">
        <v>1401</v>
      </c>
      <c r="F1173" s="6"/>
      <c r="G1173" s="6"/>
      <c r="H1173" s="6" t="s">
        <v>1389</v>
      </c>
      <c r="I1173" t="s">
        <v>1561</v>
      </c>
      <c r="J1173" t="s">
        <v>1561</v>
      </c>
      <c r="L1173" s="26" t="e">
        <f t="shared" si="37"/>
        <v>#VALUE!</v>
      </c>
    </row>
    <row r="1174" spans="1:12" x14ac:dyDescent="0.35">
      <c r="A1174" s="9">
        <f t="shared" si="38"/>
        <v>1173</v>
      </c>
      <c r="B1174" t="s">
        <v>109</v>
      </c>
      <c r="C1174" s="109">
        <f>IF(ISBLANK(K1174),IFERROR(VLOOKUP(I1174,FS_input_data!$C$107:$N$306,Export!J1174,FALSE),""),K1174)</f>
        <v>4</v>
      </c>
      <c r="D1174" s="6" t="b">
        <v>1</v>
      </c>
      <c r="E1174" t="s">
        <v>1561</v>
      </c>
      <c r="F1174" s="6"/>
      <c r="G1174" s="6"/>
      <c r="H1174" s="6" t="s">
        <v>1389</v>
      </c>
      <c r="I1174" t="s">
        <v>1400</v>
      </c>
      <c r="J1174">
        <v>3</v>
      </c>
      <c r="L1174" s="9" t="e">
        <f t="shared" si="37"/>
        <v>#VALUE!</v>
      </c>
    </row>
    <row r="1175" spans="1:12" x14ac:dyDescent="0.35">
      <c r="A1175">
        <f t="shared" si="38"/>
        <v>1174</v>
      </c>
      <c r="B1175" t="s">
        <v>110</v>
      </c>
      <c r="C1175" s="109" t="str">
        <f>IF(ISBLANK(K1175),IFERROR(VLOOKUP(I1175,FS_input_data!$C$107:$N$306,Export!J1175,FALSE),""),K1175)</f>
        <v/>
      </c>
      <c r="D1175" s="6"/>
      <c r="F1175" s="6"/>
      <c r="G1175" s="6"/>
      <c r="H1175" s="6" t="s">
        <v>1389</v>
      </c>
      <c r="I1175" t="s">
        <v>1561</v>
      </c>
      <c r="J1175" t="s">
        <v>1561</v>
      </c>
      <c r="L1175">
        <f t="shared" si="37"/>
        <v>1</v>
      </c>
    </row>
    <row r="1176" spans="1:12" x14ac:dyDescent="0.35">
      <c r="A1176" s="9">
        <f t="shared" si="38"/>
        <v>1175</v>
      </c>
      <c r="B1176" t="s">
        <v>111</v>
      </c>
      <c r="C1176" s="109">
        <f>IF(ISBLANK(K1176),IFERROR(VLOOKUP(I1176,FS_input_data!$C$107:$N$306,Export!J1176,FALSE),""),K1176)</f>
        <v>104</v>
      </c>
      <c r="D1176" s="6" t="b">
        <v>1</v>
      </c>
      <c r="E1176" t="s">
        <v>1561</v>
      </c>
      <c r="F1176" s="6"/>
      <c r="G1176" s="6"/>
      <c r="H1176" s="6" t="s">
        <v>1389</v>
      </c>
      <c r="I1176" t="s">
        <v>1400</v>
      </c>
      <c r="J1176">
        <v>4</v>
      </c>
      <c r="L1176" s="9" t="e">
        <f t="shared" si="37"/>
        <v>#VALUE!</v>
      </c>
    </row>
    <row r="1177" spans="1:12" x14ac:dyDescent="0.35">
      <c r="A1177">
        <f t="shared" si="38"/>
        <v>1176</v>
      </c>
      <c r="B1177" t="s">
        <v>112</v>
      </c>
      <c r="C1177" s="109" t="str">
        <f>IF(ISBLANK(K1177),IFERROR(VLOOKUP(I1177,FS_input_data!$C$107:$N$306,Export!J1177,FALSE),""),K1177)</f>
        <v/>
      </c>
      <c r="D1177" s="6"/>
      <c r="E1177" t="s">
        <v>1561</v>
      </c>
      <c r="F1177" s="6"/>
      <c r="G1177" s="6"/>
      <c r="H1177" s="6" t="s">
        <v>1389</v>
      </c>
      <c r="I1177" t="s">
        <v>1561</v>
      </c>
      <c r="J1177" t="s">
        <v>1561</v>
      </c>
      <c r="L1177">
        <f t="shared" si="37"/>
        <v>1</v>
      </c>
    </row>
    <row r="1178" spans="1:12" x14ac:dyDescent="0.35">
      <c r="A1178">
        <f t="shared" si="38"/>
        <v>1177</v>
      </c>
      <c r="B1178" t="s">
        <v>417</v>
      </c>
      <c r="C1178" s="109" t="str">
        <f>IF(ISBLANK(K1178),IFERROR(VLOOKUP(I1178,FS_input_data!$C$107:$N$306,Export!J1178,FALSE),""),K1178)</f>
        <v/>
      </c>
      <c r="D1178" s="6"/>
      <c r="E1178" t="s">
        <v>1561</v>
      </c>
      <c r="F1178" s="6"/>
      <c r="G1178" s="6"/>
      <c r="H1178" s="6" t="s">
        <v>1389</v>
      </c>
      <c r="I1178" t="s">
        <v>1561</v>
      </c>
      <c r="J1178" t="s">
        <v>1561</v>
      </c>
      <c r="L1178">
        <f t="shared" si="37"/>
        <v>1</v>
      </c>
    </row>
    <row r="1179" spans="1:12" x14ac:dyDescent="0.35">
      <c r="A1179">
        <f t="shared" si="38"/>
        <v>1178</v>
      </c>
      <c r="B1179" t="s">
        <v>418</v>
      </c>
      <c r="C1179" s="109" t="str">
        <f>IF(ISBLANK(K1179),IFERROR(VLOOKUP(I1179,FS_input_data!$C$107:$N$306,Export!J1179,FALSE),""),K1179)</f>
        <v/>
      </c>
      <c r="D1179" s="6"/>
      <c r="E1179" t="s">
        <v>1404</v>
      </c>
      <c r="F1179" s="6"/>
      <c r="G1179" s="6"/>
      <c r="H1179" s="6" t="s">
        <v>1389</v>
      </c>
      <c r="I1179" t="s">
        <v>1561</v>
      </c>
      <c r="J1179" t="s">
        <v>1561</v>
      </c>
      <c r="L1179" s="26" t="e">
        <f t="shared" si="37"/>
        <v>#VALUE!</v>
      </c>
    </row>
    <row r="1180" spans="1:12" x14ac:dyDescent="0.35">
      <c r="A1180" s="9">
        <f t="shared" si="38"/>
        <v>1179</v>
      </c>
      <c r="B1180" t="s">
        <v>109</v>
      </c>
      <c r="C1180" s="109">
        <f>IF(ISBLANK(K1180),IFERROR(VLOOKUP(I1180,FS_input_data!$C$107:$N$306,Export!J1180,FALSE),""),K1180)</f>
        <v>5</v>
      </c>
      <c r="D1180" s="6" t="b">
        <v>1</v>
      </c>
      <c r="E1180" t="s">
        <v>1561</v>
      </c>
      <c r="F1180" s="6"/>
      <c r="G1180" s="6"/>
      <c r="H1180" s="6" t="s">
        <v>1389</v>
      </c>
      <c r="I1180" t="s">
        <v>1403</v>
      </c>
      <c r="J1180">
        <v>3</v>
      </c>
      <c r="L1180" s="9" t="e">
        <f t="shared" si="37"/>
        <v>#VALUE!</v>
      </c>
    </row>
    <row r="1181" spans="1:12" x14ac:dyDescent="0.35">
      <c r="A1181">
        <f t="shared" si="38"/>
        <v>1180</v>
      </c>
      <c r="B1181" t="s">
        <v>110</v>
      </c>
      <c r="C1181" s="109" t="str">
        <f>IF(ISBLANK(K1181),IFERROR(VLOOKUP(I1181,FS_input_data!$C$107:$N$306,Export!J1181,FALSE),""),K1181)</f>
        <v/>
      </c>
      <c r="D1181" s="6"/>
      <c r="F1181" s="6"/>
      <c r="G1181" s="6"/>
      <c r="H1181" s="6" t="s">
        <v>1389</v>
      </c>
      <c r="I1181" t="s">
        <v>1561</v>
      </c>
      <c r="J1181" t="s">
        <v>1561</v>
      </c>
      <c r="L1181">
        <f t="shared" si="37"/>
        <v>1</v>
      </c>
    </row>
    <row r="1182" spans="1:12" x14ac:dyDescent="0.35">
      <c r="A1182" s="9">
        <f t="shared" si="38"/>
        <v>1181</v>
      </c>
      <c r="B1182" t="s">
        <v>111</v>
      </c>
      <c r="C1182" s="109">
        <f>IF(ISBLANK(K1182),IFERROR(VLOOKUP(I1182,FS_input_data!$C$107:$N$306,Export!J1182,FALSE),""),K1182)</f>
        <v>105</v>
      </c>
      <c r="D1182" s="6" t="b">
        <v>1</v>
      </c>
      <c r="E1182" t="s">
        <v>1561</v>
      </c>
      <c r="F1182" s="6"/>
      <c r="G1182" s="6"/>
      <c r="H1182" s="6" t="s">
        <v>1389</v>
      </c>
      <c r="I1182" t="s">
        <v>1403</v>
      </c>
      <c r="J1182">
        <v>4</v>
      </c>
      <c r="L1182" s="9" t="e">
        <f t="shared" si="37"/>
        <v>#VALUE!</v>
      </c>
    </row>
    <row r="1183" spans="1:12" x14ac:dyDescent="0.35">
      <c r="A1183">
        <f t="shared" si="38"/>
        <v>1182</v>
      </c>
      <c r="B1183" t="s">
        <v>112</v>
      </c>
      <c r="C1183" s="109" t="str">
        <f>IF(ISBLANK(K1183),IFERROR(VLOOKUP(I1183,FS_input_data!$C$107:$N$306,Export!J1183,FALSE),""),K1183)</f>
        <v/>
      </c>
      <c r="D1183" s="6"/>
      <c r="E1183" t="s">
        <v>1561</v>
      </c>
      <c r="F1183" s="6"/>
      <c r="G1183" s="6"/>
      <c r="H1183" s="6" t="s">
        <v>1389</v>
      </c>
      <c r="I1183" t="s">
        <v>1561</v>
      </c>
      <c r="J1183" t="s">
        <v>1561</v>
      </c>
      <c r="L1183">
        <f t="shared" si="37"/>
        <v>1</v>
      </c>
    </row>
    <row r="1184" spans="1:12" x14ac:dyDescent="0.35">
      <c r="A1184">
        <f t="shared" si="38"/>
        <v>1183</v>
      </c>
      <c r="B1184" t="s">
        <v>419</v>
      </c>
      <c r="C1184" s="109" t="str">
        <f>IF(ISBLANK(K1184),IFERROR(VLOOKUP(I1184,FS_input_data!$C$107:$N$306,Export!J1184,FALSE),""),K1184)</f>
        <v/>
      </c>
      <c r="D1184" s="6"/>
      <c r="E1184" t="s">
        <v>1561</v>
      </c>
      <c r="F1184" s="6"/>
      <c r="G1184" s="6"/>
      <c r="H1184" s="6" t="s">
        <v>1389</v>
      </c>
      <c r="I1184" t="s">
        <v>1561</v>
      </c>
      <c r="J1184" t="s">
        <v>1561</v>
      </c>
      <c r="L1184">
        <f t="shared" si="37"/>
        <v>1</v>
      </c>
    </row>
    <row r="1185" spans="1:12" x14ac:dyDescent="0.35">
      <c r="A1185">
        <f t="shared" si="38"/>
        <v>1184</v>
      </c>
      <c r="B1185" t="s">
        <v>420</v>
      </c>
      <c r="C1185" s="109" t="str">
        <f>IF(ISBLANK(K1185),IFERROR(VLOOKUP(I1185,FS_input_data!$C$107:$N$306,Export!J1185,FALSE),""),K1185)</f>
        <v/>
      </c>
      <c r="D1185" s="6"/>
      <c r="E1185" t="s">
        <v>1407</v>
      </c>
      <c r="F1185" s="6"/>
      <c r="G1185" s="6"/>
      <c r="H1185" s="6" t="s">
        <v>1389</v>
      </c>
      <c r="I1185" t="s">
        <v>1561</v>
      </c>
      <c r="J1185" t="s">
        <v>1561</v>
      </c>
      <c r="L1185" s="26" t="e">
        <f t="shared" si="37"/>
        <v>#VALUE!</v>
      </c>
    </row>
    <row r="1186" spans="1:12" x14ac:dyDescent="0.35">
      <c r="A1186" s="9">
        <f t="shared" si="38"/>
        <v>1185</v>
      </c>
      <c r="B1186" t="s">
        <v>109</v>
      </c>
      <c r="C1186" s="109">
        <f>IF(ISBLANK(K1186),IFERROR(VLOOKUP(I1186,FS_input_data!$C$107:$N$306,Export!J1186,FALSE),""),K1186)</f>
        <v>6</v>
      </c>
      <c r="D1186" s="6" t="b">
        <v>1</v>
      </c>
      <c r="E1186" t="s">
        <v>1561</v>
      </c>
      <c r="F1186" s="6"/>
      <c r="G1186" s="6"/>
      <c r="H1186" s="6" t="s">
        <v>1389</v>
      </c>
      <c r="I1186" t="s">
        <v>1406</v>
      </c>
      <c r="J1186">
        <v>3</v>
      </c>
      <c r="L1186" s="9" t="e">
        <f t="shared" si="37"/>
        <v>#VALUE!</v>
      </c>
    </row>
    <row r="1187" spans="1:12" x14ac:dyDescent="0.35">
      <c r="A1187">
        <f t="shared" si="38"/>
        <v>1186</v>
      </c>
      <c r="B1187" t="s">
        <v>110</v>
      </c>
      <c r="C1187" s="109" t="str">
        <f>IF(ISBLANK(K1187),IFERROR(VLOOKUP(I1187,FS_input_data!$C$107:$N$306,Export!J1187,FALSE),""),K1187)</f>
        <v/>
      </c>
      <c r="D1187" s="6"/>
      <c r="F1187" s="6"/>
      <c r="G1187" s="6"/>
      <c r="H1187" s="6" t="s">
        <v>1389</v>
      </c>
      <c r="I1187" t="s">
        <v>1561</v>
      </c>
      <c r="J1187" t="s">
        <v>1561</v>
      </c>
      <c r="L1187">
        <f t="shared" si="37"/>
        <v>1</v>
      </c>
    </row>
    <row r="1188" spans="1:12" x14ac:dyDescent="0.35">
      <c r="A1188" s="9">
        <f t="shared" si="38"/>
        <v>1187</v>
      </c>
      <c r="B1188" t="s">
        <v>111</v>
      </c>
      <c r="C1188" s="109">
        <f>IF(ISBLANK(K1188),IFERROR(VLOOKUP(I1188,FS_input_data!$C$107:$N$306,Export!J1188,FALSE),""),K1188)</f>
        <v>106</v>
      </c>
      <c r="D1188" s="6" t="b">
        <v>1</v>
      </c>
      <c r="E1188" t="s">
        <v>1561</v>
      </c>
      <c r="F1188" s="6"/>
      <c r="G1188" s="6"/>
      <c r="H1188" s="6" t="s">
        <v>1389</v>
      </c>
      <c r="I1188" t="s">
        <v>1406</v>
      </c>
      <c r="J1188">
        <v>4</v>
      </c>
      <c r="L1188" s="9" t="e">
        <f t="shared" si="37"/>
        <v>#VALUE!</v>
      </c>
    </row>
    <row r="1189" spans="1:12" x14ac:dyDescent="0.35">
      <c r="A1189">
        <f t="shared" si="38"/>
        <v>1188</v>
      </c>
      <c r="B1189" t="s">
        <v>112</v>
      </c>
      <c r="C1189" s="109" t="str">
        <f>IF(ISBLANK(K1189),IFERROR(VLOOKUP(I1189,FS_input_data!$C$107:$N$306,Export!J1189,FALSE),""),K1189)</f>
        <v/>
      </c>
      <c r="D1189" s="6"/>
      <c r="E1189" t="s">
        <v>1561</v>
      </c>
      <c r="F1189" s="6"/>
      <c r="G1189" s="6"/>
      <c r="H1189" s="6" t="s">
        <v>1389</v>
      </c>
      <c r="I1189" t="s">
        <v>1561</v>
      </c>
      <c r="J1189" t="s">
        <v>1561</v>
      </c>
      <c r="L1189">
        <f t="shared" si="37"/>
        <v>1</v>
      </c>
    </row>
    <row r="1190" spans="1:12" x14ac:dyDescent="0.35">
      <c r="A1190">
        <f t="shared" si="38"/>
        <v>1189</v>
      </c>
      <c r="B1190" t="s">
        <v>421</v>
      </c>
      <c r="C1190" s="109" t="str">
        <f>IF(ISBLANK(K1190),IFERROR(VLOOKUP(I1190,FS_input_data!$C$107:$N$306,Export!J1190,FALSE),""),K1190)</f>
        <v/>
      </c>
      <c r="D1190" s="6"/>
      <c r="E1190" t="s">
        <v>1561</v>
      </c>
      <c r="F1190" s="6"/>
      <c r="G1190" s="6"/>
      <c r="H1190" s="6" t="s">
        <v>1389</v>
      </c>
      <c r="I1190" t="s">
        <v>1561</v>
      </c>
      <c r="J1190" t="s">
        <v>1561</v>
      </c>
      <c r="L1190">
        <f t="shared" si="37"/>
        <v>1</v>
      </c>
    </row>
    <row r="1191" spans="1:12" x14ac:dyDescent="0.35">
      <c r="A1191">
        <f t="shared" si="38"/>
        <v>1190</v>
      </c>
      <c r="B1191" t="s">
        <v>422</v>
      </c>
      <c r="C1191" s="109" t="str">
        <f>IF(ISBLANK(K1191),IFERROR(VLOOKUP(I1191,FS_input_data!$C$107:$N$306,Export!J1191,FALSE),""),K1191)</f>
        <v/>
      </c>
      <c r="D1191" s="6"/>
      <c r="E1191" t="s">
        <v>1561</v>
      </c>
      <c r="F1191" s="6"/>
      <c r="G1191" s="6"/>
      <c r="H1191" s="6" t="s">
        <v>1389</v>
      </c>
      <c r="I1191" t="s">
        <v>1561</v>
      </c>
      <c r="J1191" t="s">
        <v>1561</v>
      </c>
      <c r="L1191">
        <f t="shared" si="37"/>
        <v>1</v>
      </c>
    </row>
    <row r="1192" spans="1:12" x14ac:dyDescent="0.35">
      <c r="A1192">
        <f t="shared" si="38"/>
        <v>1191</v>
      </c>
      <c r="B1192" t="s">
        <v>423</v>
      </c>
      <c r="C1192" s="109" t="str">
        <f>IF(ISBLANK(K1192),IFERROR(VLOOKUP(I1192,FS_input_data!$C$107:$N$306,Export!J1192,FALSE),""),K1192)</f>
        <v/>
      </c>
      <c r="D1192" s="6"/>
      <c r="E1192" t="s">
        <v>1410</v>
      </c>
      <c r="F1192" s="6"/>
      <c r="G1192" s="6"/>
      <c r="H1192" s="6" t="s">
        <v>1389</v>
      </c>
      <c r="I1192" t="s">
        <v>1561</v>
      </c>
      <c r="J1192" t="s">
        <v>1561</v>
      </c>
      <c r="L1192" s="26" t="e">
        <f t="shared" si="37"/>
        <v>#VALUE!</v>
      </c>
    </row>
    <row r="1193" spans="1:12" x14ac:dyDescent="0.35">
      <c r="A1193" s="9">
        <f t="shared" si="38"/>
        <v>1192</v>
      </c>
      <c r="B1193" t="s">
        <v>109</v>
      </c>
      <c r="C1193" s="109">
        <f>IF(ISBLANK(K1193),IFERROR(VLOOKUP(I1193,FS_input_data!$C$107:$N$306,Export!J1193,FALSE),""),K1193)</f>
        <v>98</v>
      </c>
      <c r="D1193" s="6" t="b">
        <v>1</v>
      </c>
      <c r="F1193" s="6"/>
      <c r="G1193" s="6"/>
      <c r="H1193" s="6" t="s">
        <v>1389</v>
      </c>
      <c r="I1193" t="s">
        <v>1409</v>
      </c>
      <c r="J1193">
        <v>3</v>
      </c>
      <c r="L1193" s="9" t="e">
        <f t="shared" si="37"/>
        <v>#VALUE!</v>
      </c>
    </row>
    <row r="1194" spans="1:12" x14ac:dyDescent="0.35">
      <c r="A1194">
        <f t="shared" si="38"/>
        <v>1193</v>
      </c>
      <c r="B1194" t="s">
        <v>110</v>
      </c>
      <c r="C1194" s="109" t="str">
        <f>IF(ISBLANK(K1194),IFERROR(VLOOKUP(I1194,FS_input_data!$C$107:$N$306,Export!J1194,FALSE),""),K1194)</f>
        <v/>
      </c>
      <c r="D1194" s="6"/>
      <c r="F1194" s="6"/>
      <c r="G1194" s="6"/>
      <c r="H1194" s="6" t="s">
        <v>1389</v>
      </c>
      <c r="I1194" t="s">
        <v>1561</v>
      </c>
      <c r="J1194" t="s">
        <v>1561</v>
      </c>
      <c r="L1194">
        <f t="shared" si="37"/>
        <v>1</v>
      </c>
    </row>
    <row r="1195" spans="1:12" x14ac:dyDescent="0.35">
      <c r="A1195" s="9">
        <f t="shared" si="38"/>
        <v>1194</v>
      </c>
      <c r="B1195" t="s">
        <v>111</v>
      </c>
      <c r="C1195" s="109">
        <f>IF(ISBLANK(K1195),IFERROR(VLOOKUP(I1195,FS_input_data!$C$107:$N$306,Export!J1195,FALSE),""),K1195)</f>
        <v>898</v>
      </c>
      <c r="D1195" s="6" t="b">
        <v>1</v>
      </c>
      <c r="F1195" s="6"/>
      <c r="G1195" s="6"/>
      <c r="H1195" s="6" t="s">
        <v>1389</v>
      </c>
      <c r="I1195" t="s">
        <v>1409</v>
      </c>
      <c r="J1195">
        <v>4</v>
      </c>
      <c r="L1195" s="9" t="e">
        <f t="shared" si="37"/>
        <v>#VALUE!</v>
      </c>
    </row>
    <row r="1196" spans="1:12" x14ac:dyDescent="0.35">
      <c r="A1196">
        <f t="shared" si="38"/>
        <v>1195</v>
      </c>
      <c r="B1196" t="s">
        <v>112</v>
      </c>
      <c r="C1196" s="109" t="str">
        <f>IF(ISBLANK(K1196),IFERROR(VLOOKUP(I1196,FS_input_data!$C$107:$N$306,Export!J1196,FALSE),""),K1196)</f>
        <v/>
      </c>
      <c r="D1196" s="6"/>
      <c r="E1196" t="s">
        <v>1561</v>
      </c>
      <c r="F1196" s="6"/>
      <c r="G1196" s="6"/>
      <c r="H1196" s="6" t="s">
        <v>1389</v>
      </c>
      <c r="I1196" t="s">
        <v>1561</v>
      </c>
      <c r="J1196" t="s">
        <v>1561</v>
      </c>
      <c r="L1196">
        <f t="shared" si="37"/>
        <v>1</v>
      </c>
    </row>
    <row r="1197" spans="1:12" x14ac:dyDescent="0.35">
      <c r="A1197">
        <f t="shared" si="38"/>
        <v>1196</v>
      </c>
      <c r="B1197" t="s">
        <v>424</v>
      </c>
      <c r="C1197" s="109" t="str">
        <f>IF(ISBLANK(K1197),IFERROR(VLOOKUP(I1197,FS_input_data!$C$107:$N$306,Export!J1197,FALSE),""),K1197)</f>
        <v/>
      </c>
      <c r="D1197" s="6"/>
      <c r="E1197" t="s">
        <v>1413</v>
      </c>
      <c r="F1197" s="6"/>
      <c r="G1197" s="6"/>
      <c r="H1197" s="6" t="s">
        <v>1389</v>
      </c>
      <c r="I1197" t="s">
        <v>1561</v>
      </c>
      <c r="J1197" t="s">
        <v>1561</v>
      </c>
      <c r="L1197" s="26" t="e">
        <f t="shared" si="37"/>
        <v>#VALUE!</v>
      </c>
    </row>
    <row r="1198" spans="1:12" x14ac:dyDescent="0.35">
      <c r="A1198" s="9">
        <f t="shared" si="38"/>
        <v>1197</v>
      </c>
      <c r="B1198" t="s">
        <v>109</v>
      </c>
      <c r="C1198" s="109">
        <f>IF(ISBLANK(K1198),IFERROR(VLOOKUP(I1198,FS_input_data!$C$107:$N$306,Export!J1198,FALSE),""),K1198)</f>
        <v>8</v>
      </c>
      <c r="D1198" s="6" t="b">
        <v>1</v>
      </c>
      <c r="E1198" t="s">
        <v>1561</v>
      </c>
      <c r="F1198" s="6"/>
      <c r="G1198" s="6"/>
      <c r="H1198" s="6" t="s">
        <v>1389</v>
      </c>
      <c r="I1198" t="s">
        <v>1412</v>
      </c>
      <c r="J1198">
        <v>3</v>
      </c>
      <c r="L1198" s="9" t="e">
        <f t="shared" si="37"/>
        <v>#VALUE!</v>
      </c>
    </row>
    <row r="1199" spans="1:12" x14ac:dyDescent="0.35">
      <c r="A1199">
        <f t="shared" si="38"/>
        <v>1198</v>
      </c>
      <c r="B1199" t="s">
        <v>110</v>
      </c>
      <c r="C1199" s="109" t="str">
        <f>IF(ISBLANK(K1199),IFERROR(VLOOKUP(I1199,FS_input_data!$C$107:$N$306,Export!J1199,FALSE),""),K1199)</f>
        <v/>
      </c>
      <c r="D1199" s="6"/>
      <c r="F1199" s="6"/>
      <c r="G1199" s="6"/>
      <c r="H1199" s="6" t="s">
        <v>1389</v>
      </c>
      <c r="I1199" t="s">
        <v>1561</v>
      </c>
      <c r="J1199" t="s">
        <v>1561</v>
      </c>
      <c r="L1199">
        <f t="shared" si="37"/>
        <v>1</v>
      </c>
    </row>
    <row r="1200" spans="1:12" x14ac:dyDescent="0.35">
      <c r="A1200" s="9">
        <f t="shared" si="38"/>
        <v>1199</v>
      </c>
      <c r="B1200" t="s">
        <v>111</v>
      </c>
      <c r="C1200" s="109">
        <f>IF(ISBLANK(K1200),IFERROR(VLOOKUP(I1200,FS_input_data!$C$107:$N$306,Export!J1200,FALSE),""),K1200)</f>
        <v>108</v>
      </c>
      <c r="D1200" s="6" t="b">
        <v>1</v>
      </c>
      <c r="E1200" t="s">
        <v>1561</v>
      </c>
      <c r="F1200" s="6"/>
      <c r="G1200" s="6"/>
      <c r="H1200" s="6" t="s">
        <v>1389</v>
      </c>
      <c r="I1200" t="s">
        <v>1412</v>
      </c>
      <c r="J1200">
        <v>4</v>
      </c>
      <c r="L1200" s="9" t="e">
        <f t="shared" si="37"/>
        <v>#VALUE!</v>
      </c>
    </row>
    <row r="1201" spans="1:12" x14ac:dyDescent="0.35">
      <c r="A1201">
        <f t="shared" si="38"/>
        <v>1200</v>
      </c>
      <c r="B1201" t="s">
        <v>112</v>
      </c>
      <c r="C1201" s="109" t="str">
        <f>IF(ISBLANK(K1201),IFERROR(VLOOKUP(I1201,FS_input_data!$C$107:$N$306,Export!J1201,FALSE),""),K1201)</f>
        <v/>
      </c>
      <c r="D1201" s="6"/>
      <c r="E1201" t="s">
        <v>1561</v>
      </c>
      <c r="F1201" s="6"/>
      <c r="G1201" s="6"/>
      <c r="H1201" s="6" t="s">
        <v>1389</v>
      </c>
      <c r="I1201" t="s">
        <v>1561</v>
      </c>
      <c r="J1201" t="s">
        <v>1561</v>
      </c>
      <c r="L1201">
        <f t="shared" si="37"/>
        <v>1</v>
      </c>
    </row>
    <row r="1202" spans="1:12" x14ac:dyDescent="0.35">
      <c r="A1202">
        <f t="shared" si="38"/>
        <v>1201</v>
      </c>
      <c r="B1202" t="s">
        <v>425</v>
      </c>
      <c r="C1202" s="109" t="str">
        <f>IF(ISBLANK(K1202),IFERROR(VLOOKUP(I1202,FS_input_data!$C$107:$N$306,Export!J1202,FALSE),""),K1202)</f>
        <v/>
      </c>
      <c r="D1202" s="6"/>
      <c r="E1202" t="s">
        <v>1561</v>
      </c>
      <c r="F1202" s="6"/>
      <c r="G1202" s="6"/>
      <c r="H1202" s="6" t="s">
        <v>1389</v>
      </c>
      <c r="I1202" t="s">
        <v>1561</v>
      </c>
      <c r="J1202" t="s">
        <v>1561</v>
      </c>
      <c r="L1202">
        <f t="shared" si="37"/>
        <v>1</v>
      </c>
    </row>
    <row r="1203" spans="1:12" x14ac:dyDescent="0.35">
      <c r="A1203">
        <f t="shared" si="38"/>
        <v>1202</v>
      </c>
      <c r="B1203" t="s">
        <v>426</v>
      </c>
      <c r="C1203" s="109" t="str">
        <f>IF(ISBLANK(K1203),IFERROR(VLOOKUP(I1203,FS_input_data!$C$107:$N$306,Export!J1203,FALSE),""),K1203)</f>
        <v/>
      </c>
      <c r="D1203" s="6"/>
      <c r="E1203" t="s">
        <v>1416</v>
      </c>
      <c r="F1203" s="6"/>
      <c r="G1203" s="6"/>
      <c r="H1203" s="6" t="s">
        <v>1389</v>
      </c>
      <c r="I1203" t="s">
        <v>1561</v>
      </c>
      <c r="J1203" t="s">
        <v>1561</v>
      </c>
      <c r="L1203" s="26" t="e">
        <f t="shared" si="37"/>
        <v>#VALUE!</v>
      </c>
    </row>
    <row r="1204" spans="1:12" x14ac:dyDescent="0.35">
      <c r="A1204" s="9">
        <f t="shared" si="38"/>
        <v>1203</v>
      </c>
      <c r="B1204" t="s">
        <v>109</v>
      </c>
      <c r="C1204" s="109">
        <f>IF(ISBLANK(K1204),IFERROR(VLOOKUP(I1204,FS_input_data!$C$107:$N$306,Export!J1204,FALSE),""),K1204)</f>
        <v>9</v>
      </c>
      <c r="D1204" s="6" t="b">
        <v>1</v>
      </c>
      <c r="E1204" t="s">
        <v>1561</v>
      </c>
      <c r="F1204" s="6"/>
      <c r="G1204" s="6"/>
      <c r="H1204" s="6" t="s">
        <v>1389</v>
      </c>
      <c r="I1204" t="s">
        <v>1415</v>
      </c>
      <c r="J1204">
        <v>3</v>
      </c>
      <c r="L1204" s="9" t="e">
        <f t="shared" si="37"/>
        <v>#VALUE!</v>
      </c>
    </row>
    <row r="1205" spans="1:12" x14ac:dyDescent="0.35">
      <c r="A1205">
        <f t="shared" si="38"/>
        <v>1204</v>
      </c>
      <c r="B1205" t="s">
        <v>110</v>
      </c>
      <c r="C1205" s="109" t="str">
        <f>IF(ISBLANK(K1205),IFERROR(VLOOKUP(I1205,FS_input_data!$C$107:$N$306,Export!J1205,FALSE),""),K1205)</f>
        <v/>
      </c>
      <c r="D1205" s="6"/>
      <c r="F1205" s="6"/>
      <c r="G1205" s="6"/>
      <c r="H1205" s="6" t="s">
        <v>1389</v>
      </c>
      <c r="I1205" t="s">
        <v>1561</v>
      </c>
      <c r="J1205" t="s">
        <v>1561</v>
      </c>
      <c r="L1205">
        <f t="shared" si="37"/>
        <v>1</v>
      </c>
    </row>
    <row r="1206" spans="1:12" x14ac:dyDescent="0.35">
      <c r="A1206" s="9">
        <f t="shared" si="38"/>
        <v>1205</v>
      </c>
      <c r="B1206" t="s">
        <v>111</v>
      </c>
      <c r="C1206" s="109">
        <f>IF(ISBLANK(K1206),IFERROR(VLOOKUP(I1206,FS_input_data!$C$107:$N$306,Export!J1206,FALSE),""),K1206)</f>
        <v>109</v>
      </c>
      <c r="D1206" s="6" t="b">
        <v>1</v>
      </c>
      <c r="E1206" t="s">
        <v>1561</v>
      </c>
      <c r="F1206" s="6"/>
      <c r="G1206" s="6"/>
      <c r="H1206" s="6" t="s">
        <v>1389</v>
      </c>
      <c r="I1206" t="s">
        <v>1415</v>
      </c>
      <c r="J1206">
        <v>4</v>
      </c>
      <c r="L1206" s="9" t="e">
        <f t="shared" si="37"/>
        <v>#VALUE!</v>
      </c>
    </row>
    <row r="1207" spans="1:12" x14ac:dyDescent="0.35">
      <c r="A1207">
        <f t="shared" si="38"/>
        <v>1206</v>
      </c>
      <c r="B1207" t="s">
        <v>112</v>
      </c>
      <c r="C1207" s="109" t="str">
        <f>IF(ISBLANK(K1207),IFERROR(VLOOKUP(I1207,FS_input_data!$C$107:$N$306,Export!J1207,FALSE),""),K1207)</f>
        <v/>
      </c>
      <c r="D1207" s="6"/>
      <c r="E1207" t="s">
        <v>1561</v>
      </c>
      <c r="F1207" s="6"/>
      <c r="G1207" s="6"/>
      <c r="H1207" s="6" t="s">
        <v>1389</v>
      </c>
      <c r="I1207" t="s">
        <v>1561</v>
      </c>
      <c r="J1207" t="s">
        <v>1561</v>
      </c>
      <c r="L1207">
        <f t="shared" si="37"/>
        <v>1</v>
      </c>
    </row>
    <row r="1208" spans="1:12" x14ac:dyDescent="0.35">
      <c r="A1208">
        <f t="shared" si="38"/>
        <v>1207</v>
      </c>
      <c r="B1208" t="s">
        <v>427</v>
      </c>
      <c r="C1208" s="109" t="str">
        <f>IF(ISBLANK(K1208),IFERROR(VLOOKUP(I1208,FS_input_data!$C$107:$N$306,Export!J1208,FALSE),""),K1208)</f>
        <v/>
      </c>
      <c r="D1208" s="6"/>
      <c r="E1208" t="s">
        <v>1561</v>
      </c>
      <c r="F1208" s="6"/>
      <c r="G1208" s="6"/>
      <c r="H1208" s="6" t="s">
        <v>1389</v>
      </c>
      <c r="I1208" t="s">
        <v>1561</v>
      </c>
      <c r="J1208" t="s">
        <v>1561</v>
      </c>
      <c r="L1208">
        <f t="shared" si="37"/>
        <v>1</v>
      </c>
    </row>
    <row r="1209" spans="1:12" x14ac:dyDescent="0.35">
      <c r="A1209">
        <f t="shared" si="38"/>
        <v>1208</v>
      </c>
      <c r="B1209" t="s">
        <v>428</v>
      </c>
      <c r="C1209" s="109" t="str">
        <f>IF(ISBLANK(K1209),IFERROR(VLOOKUP(I1209,FS_input_data!$C$107:$N$306,Export!J1209,FALSE),""),K1209)</f>
        <v/>
      </c>
      <c r="D1209" s="6"/>
      <c r="E1209" t="s">
        <v>1419</v>
      </c>
      <c r="F1209" s="6"/>
      <c r="G1209" s="6"/>
      <c r="H1209" s="6" t="s">
        <v>1389</v>
      </c>
      <c r="I1209" t="s">
        <v>1561</v>
      </c>
      <c r="J1209" t="s">
        <v>1561</v>
      </c>
      <c r="L1209" s="26" t="e">
        <f t="shared" si="37"/>
        <v>#VALUE!</v>
      </c>
    </row>
    <row r="1210" spans="1:12" x14ac:dyDescent="0.35">
      <c r="A1210" s="9">
        <f t="shared" si="38"/>
        <v>1209</v>
      </c>
      <c r="B1210" t="s">
        <v>109</v>
      </c>
      <c r="C1210" s="109">
        <f>IF(ISBLANK(K1210),IFERROR(VLOOKUP(I1210,FS_input_data!$C$107:$N$306,Export!J1210,FALSE),""),K1210)</f>
        <v>10</v>
      </c>
      <c r="D1210" s="6" t="b">
        <v>1</v>
      </c>
      <c r="E1210" t="s">
        <v>1561</v>
      </c>
      <c r="F1210" s="6"/>
      <c r="G1210" s="6"/>
      <c r="H1210" s="6" t="s">
        <v>1389</v>
      </c>
      <c r="I1210" t="s">
        <v>1418</v>
      </c>
      <c r="J1210">
        <v>3</v>
      </c>
      <c r="L1210" s="9" t="e">
        <f t="shared" si="37"/>
        <v>#VALUE!</v>
      </c>
    </row>
    <row r="1211" spans="1:12" x14ac:dyDescent="0.35">
      <c r="A1211">
        <f t="shared" si="38"/>
        <v>1210</v>
      </c>
      <c r="B1211" t="s">
        <v>110</v>
      </c>
      <c r="C1211" s="109" t="str">
        <f>IF(ISBLANK(K1211),IFERROR(VLOOKUP(I1211,FS_input_data!$C$107:$N$306,Export!J1211,FALSE),""),K1211)</f>
        <v/>
      </c>
      <c r="D1211" s="6"/>
      <c r="F1211" s="6"/>
      <c r="G1211" s="6"/>
      <c r="H1211" s="6" t="s">
        <v>1389</v>
      </c>
      <c r="I1211" t="s">
        <v>1561</v>
      </c>
      <c r="J1211" t="s">
        <v>1561</v>
      </c>
      <c r="L1211">
        <f t="shared" si="37"/>
        <v>1</v>
      </c>
    </row>
    <row r="1212" spans="1:12" x14ac:dyDescent="0.35">
      <c r="A1212" s="9">
        <f t="shared" si="38"/>
        <v>1211</v>
      </c>
      <c r="B1212" t="s">
        <v>111</v>
      </c>
      <c r="C1212" s="109">
        <f>IF(ISBLANK(K1212),IFERROR(VLOOKUP(I1212,FS_input_data!$C$107:$N$306,Export!J1212,FALSE),""),K1212)</f>
        <v>110</v>
      </c>
      <c r="D1212" s="6" t="b">
        <v>1</v>
      </c>
      <c r="E1212" t="s">
        <v>1561</v>
      </c>
      <c r="F1212" s="6"/>
      <c r="G1212" s="6"/>
      <c r="H1212" s="6" t="s">
        <v>1389</v>
      </c>
      <c r="I1212" t="s">
        <v>1418</v>
      </c>
      <c r="J1212">
        <v>4</v>
      </c>
      <c r="L1212" s="9" t="e">
        <f t="shared" si="37"/>
        <v>#VALUE!</v>
      </c>
    </row>
    <row r="1213" spans="1:12" x14ac:dyDescent="0.35">
      <c r="A1213">
        <f t="shared" si="38"/>
        <v>1212</v>
      </c>
      <c r="B1213" t="s">
        <v>112</v>
      </c>
      <c r="C1213" s="109" t="str">
        <f>IF(ISBLANK(K1213),IFERROR(VLOOKUP(I1213,FS_input_data!$C$107:$N$306,Export!J1213,FALSE),""),K1213)</f>
        <v/>
      </c>
      <c r="D1213" s="6"/>
      <c r="E1213" t="s">
        <v>1561</v>
      </c>
      <c r="F1213" s="6"/>
      <c r="G1213" s="6"/>
      <c r="H1213" s="6" t="s">
        <v>1389</v>
      </c>
      <c r="I1213" t="s">
        <v>1561</v>
      </c>
      <c r="J1213" t="s">
        <v>1561</v>
      </c>
      <c r="L1213">
        <f t="shared" si="37"/>
        <v>1</v>
      </c>
    </row>
    <row r="1214" spans="1:12" x14ac:dyDescent="0.35">
      <c r="A1214">
        <f t="shared" si="38"/>
        <v>1213</v>
      </c>
      <c r="B1214" t="s">
        <v>429</v>
      </c>
      <c r="C1214" s="109" t="str">
        <f>IF(ISBLANK(K1214),IFERROR(VLOOKUP(I1214,FS_input_data!$C$107:$N$306,Export!J1214,FALSE),""),K1214)</f>
        <v/>
      </c>
      <c r="D1214" s="6"/>
      <c r="E1214" t="s">
        <v>1561</v>
      </c>
      <c r="F1214" s="6"/>
      <c r="G1214" s="6"/>
      <c r="H1214" s="6" t="s">
        <v>1389</v>
      </c>
      <c r="I1214" t="s">
        <v>1561</v>
      </c>
      <c r="J1214" t="s">
        <v>1561</v>
      </c>
      <c r="L1214">
        <f t="shared" si="37"/>
        <v>1</v>
      </c>
    </row>
    <row r="1215" spans="1:12" x14ac:dyDescent="0.35">
      <c r="A1215">
        <f t="shared" si="38"/>
        <v>1214</v>
      </c>
      <c r="B1215" t="s">
        <v>430</v>
      </c>
      <c r="C1215" s="109" t="str">
        <f>IF(ISBLANK(K1215),IFERROR(VLOOKUP(I1215,FS_input_data!$C$107:$N$306,Export!J1215,FALSE),""),K1215)</f>
        <v/>
      </c>
      <c r="D1215" s="6"/>
      <c r="E1215" t="s">
        <v>1422</v>
      </c>
      <c r="F1215" s="6"/>
      <c r="G1215" s="6"/>
      <c r="H1215" s="6" t="s">
        <v>1389</v>
      </c>
      <c r="I1215" t="s">
        <v>1561</v>
      </c>
      <c r="J1215" t="s">
        <v>1561</v>
      </c>
      <c r="L1215" s="26" t="e">
        <f t="shared" si="37"/>
        <v>#VALUE!</v>
      </c>
    </row>
    <row r="1216" spans="1:12" x14ac:dyDescent="0.35">
      <c r="A1216" s="9">
        <f t="shared" si="38"/>
        <v>1215</v>
      </c>
      <c r="B1216" t="s">
        <v>109</v>
      </c>
      <c r="C1216" s="109">
        <f>IF(ISBLANK(K1216),IFERROR(VLOOKUP(I1216,FS_input_data!$C$107:$N$306,Export!J1216,FALSE),""),K1216)</f>
        <v>11</v>
      </c>
      <c r="D1216" s="6" t="b">
        <v>1</v>
      </c>
      <c r="E1216" t="s">
        <v>1561</v>
      </c>
      <c r="F1216" s="6"/>
      <c r="G1216" s="6"/>
      <c r="H1216" s="6" t="s">
        <v>1389</v>
      </c>
      <c r="I1216" t="s">
        <v>1421</v>
      </c>
      <c r="J1216">
        <v>3</v>
      </c>
      <c r="L1216" s="9" t="e">
        <f t="shared" si="37"/>
        <v>#VALUE!</v>
      </c>
    </row>
    <row r="1217" spans="1:12" x14ac:dyDescent="0.35">
      <c r="A1217">
        <f t="shared" si="38"/>
        <v>1216</v>
      </c>
      <c r="B1217" t="s">
        <v>110</v>
      </c>
      <c r="C1217" s="109" t="str">
        <f>IF(ISBLANK(K1217),IFERROR(VLOOKUP(I1217,FS_input_data!$C$107:$N$306,Export!J1217,FALSE),""),K1217)</f>
        <v/>
      </c>
      <c r="D1217" s="6"/>
      <c r="F1217" s="6"/>
      <c r="G1217" s="6"/>
      <c r="H1217" s="6" t="s">
        <v>1389</v>
      </c>
      <c r="I1217" t="s">
        <v>1561</v>
      </c>
      <c r="J1217" t="s">
        <v>1561</v>
      </c>
      <c r="L1217">
        <f t="shared" si="37"/>
        <v>1</v>
      </c>
    </row>
    <row r="1218" spans="1:12" x14ac:dyDescent="0.35">
      <c r="A1218" s="9">
        <f t="shared" si="38"/>
        <v>1217</v>
      </c>
      <c r="B1218" t="s">
        <v>111</v>
      </c>
      <c r="C1218" s="109">
        <f>IF(ISBLANK(K1218),IFERROR(VLOOKUP(I1218,FS_input_data!$C$107:$N$306,Export!J1218,FALSE),""),K1218)</f>
        <v>111</v>
      </c>
      <c r="D1218" s="6" t="b">
        <v>1</v>
      </c>
      <c r="E1218" t="s">
        <v>1561</v>
      </c>
      <c r="F1218" s="6"/>
      <c r="G1218" s="6"/>
      <c r="H1218" s="6" t="s">
        <v>1389</v>
      </c>
      <c r="I1218" t="s">
        <v>1421</v>
      </c>
      <c r="J1218">
        <v>4</v>
      </c>
      <c r="L1218" s="9" t="e">
        <f t="shared" ref="L1218:L1281" si="39">FIND("/",B1218)</f>
        <v>#VALUE!</v>
      </c>
    </row>
    <row r="1219" spans="1:12" x14ac:dyDescent="0.35">
      <c r="A1219">
        <f t="shared" ref="A1219:A1282" si="40">A1218+1</f>
        <v>1218</v>
      </c>
      <c r="B1219" t="s">
        <v>112</v>
      </c>
      <c r="C1219" s="109" t="str">
        <f>IF(ISBLANK(K1219),IFERROR(VLOOKUP(I1219,FS_input_data!$C$107:$N$306,Export!J1219,FALSE),""),K1219)</f>
        <v/>
      </c>
      <c r="D1219" s="6"/>
      <c r="E1219" t="s">
        <v>1561</v>
      </c>
      <c r="F1219" s="6"/>
      <c r="G1219" s="6"/>
      <c r="H1219" s="6" t="s">
        <v>1389</v>
      </c>
      <c r="I1219" t="s">
        <v>1561</v>
      </c>
      <c r="J1219" t="s">
        <v>1561</v>
      </c>
      <c r="L1219">
        <f t="shared" si="39"/>
        <v>1</v>
      </c>
    </row>
    <row r="1220" spans="1:12" x14ac:dyDescent="0.35">
      <c r="A1220">
        <f t="shared" si="40"/>
        <v>1219</v>
      </c>
      <c r="B1220" t="s">
        <v>431</v>
      </c>
      <c r="C1220" s="109" t="str">
        <f>IF(ISBLANK(K1220),IFERROR(VLOOKUP(I1220,FS_input_data!$C$107:$N$306,Export!J1220,FALSE),""),K1220)</f>
        <v/>
      </c>
      <c r="D1220" s="6"/>
      <c r="E1220" t="s">
        <v>1425</v>
      </c>
      <c r="F1220" s="6"/>
      <c r="G1220" s="6"/>
      <c r="H1220" s="6" t="s">
        <v>1389</v>
      </c>
      <c r="I1220" t="s">
        <v>1561</v>
      </c>
      <c r="J1220" t="s">
        <v>1561</v>
      </c>
      <c r="L1220" s="26" t="e">
        <f t="shared" si="39"/>
        <v>#VALUE!</v>
      </c>
    </row>
    <row r="1221" spans="1:12" x14ac:dyDescent="0.35">
      <c r="A1221" s="9">
        <f t="shared" si="40"/>
        <v>1220</v>
      </c>
      <c r="B1221" t="s">
        <v>109</v>
      </c>
      <c r="C1221" s="109">
        <f>IF(ISBLANK(K1221),IFERROR(VLOOKUP(I1221,FS_input_data!$C$107:$N$306,Export!J1221,FALSE),""),K1221)</f>
        <v>12</v>
      </c>
      <c r="D1221" s="6" t="b">
        <v>1</v>
      </c>
      <c r="E1221" t="s">
        <v>1561</v>
      </c>
      <c r="F1221" s="6"/>
      <c r="G1221" s="6"/>
      <c r="H1221" s="6" t="s">
        <v>1389</v>
      </c>
      <c r="I1221" t="s">
        <v>1424</v>
      </c>
      <c r="J1221">
        <v>3</v>
      </c>
      <c r="L1221" s="9" t="e">
        <f t="shared" si="39"/>
        <v>#VALUE!</v>
      </c>
    </row>
    <row r="1222" spans="1:12" x14ac:dyDescent="0.35">
      <c r="A1222">
        <f t="shared" si="40"/>
        <v>1221</v>
      </c>
      <c r="B1222" t="s">
        <v>110</v>
      </c>
      <c r="C1222" s="109" t="str">
        <f>IF(ISBLANK(K1222),IFERROR(VLOOKUP(I1222,FS_input_data!$C$107:$N$306,Export!J1222,FALSE),""),K1222)</f>
        <v/>
      </c>
      <c r="D1222" s="6"/>
      <c r="F1222" s="6"/>
      <c r="G1222" s="6"/>
      <c r="H1222" s="6" t="s">
        <v>1389</v>
      </c>
      <c r="I1222" t="s">
        <v>1561</v>
      </c>
      <c r="J1222" t="s">
        <v>1561</v>
      </c>
      <c r="L1222">
        <f t="shared" si="39"/>
        <v>1</v>
      </c>
    </row>
    <row r="1223" spans="1:12" x14ac:dyDescent="0.35">
      <c r="A1223" s="9">
        <f t="shared" si="40"/>
        <v>1222</v>
      </c>
      <c r="B1223" t="s">
        <v>111</v>
      </c>
      <c r="C1223" s="109">
        <f>IF(ISBLANK(K1223),IFERROR(VLOOKUP(I1223,FS_input_data!$C$107:$N$306,Export!J1223,FALSE),""),K1223)</f>
        <v>112</v>
      </c>
      <c r="D1223" s="6" t="b">
        <v>1</v>
      </c>
      <c r="E1223" t="s">
        <v>1561</v>
      </c>
      <c r="F1223" s="6"/>
      <c r="G1223" s="6"/>
      <c r="H1223" s="6" t="s">
        <v>1389</v>
      </c>
      <c r="I1223" t="s">
        <v>1424</v>
      </c>
      <c r="J1223">
        <v>4</v>
      </c>
      <c r="L1223" s="9" t="e">
        <f t="shared" si="39"/>
        <v>#VALUE!</v>
      </c>
    </row>
    <row r="1224" spans="1:12" x14ac:dyDescent="0.35">
      <c r="A1224">
        <f t="shared" si="40"/>
        <v>1223</v>
      </c>
      <c r="B1224" t="s">
        <v>112</v>
      </c>
      <c r="C1224" s="109" t="str">
        <f>IF(ISBLANK(K1224),IFERROR(VLOOKUP(I1224,FS_input_data!$C$107:$N$306,Export!J1224,FALSE),""),K1224)</f>
        <v/>
      </c>
      <c r="D1224" s="6"/>
      <c r="E1224" t="s">
        <v>1561</v>
      </c>
      <c r="F1224" s="6"/>
      <c r="G1224" s="6"/>
      <c r="H1224" s="6" t="s">
        <v>1389</v>
      </c>
      <c r="I1224" t="s">
        <v>1561</v>
      </c>
      <c r="J1224" t="s">
        <v>1561</v>
      </c>
      <c r="L1224">
        <f t="shared" si="39"/>
        <v>1</v>
      </c>
    </row>
    <row r="1225" spans="1:12" x14ac:dyDescent="0.35">
      <c r="A1225">
        <f t="shared" si="40"/>
        <v>1224</v>
      </c>
      <c r="B1225" t="s">
        <v>432</v>
      </c>
      <c r="C1225" s="109" t="str">
        <f>IF(ISBLANK(K1225),IFERROR(VLOOKUP(I1225,FS_input_data!$C$107:$N$306,Export!J1225,FALSE),""),K1225)</f>
        <v/>
      </c>
      <c r="D1225" s="6"/>
      <c r="E1225" t="s">
        <v>1561</v>
      </c>
      <c r="F1225" s="6"/>
      <c r="G1225" s="6"/>
      <c r="H1225" s="6" t="s">
        <v>1389</v>
      </c>
      <c r="I1225" t="s">
        <v>1561</v>
      </c>
      <c r="J1225" t="s">
        <v>1561</v>
      </c>
      <c r="L1225">
        <f t="shared" si="39"/>
        <v>1</v>
      </c>
    </row>
    <row r="1226" spans="1:12" x14ac:dyDescent="0.35">
      <c r="A1226">
        <f t="shared" si="40"/>
        <v>1225</v>
      </c>
      <c r="B1226" t="s">
        <v>433</v>
      </c>
      <c r="C1226" s="109" t="str">
        <f>IF(ISBLANK(K1226),IFERROR(VLOOKUP(I1226,FS_input_data!$C$107:$N$306,Export!J1226,FALSE),""),K1226)</f>
        <v/>
      </c>
      <c r="D1226" s="6"/>
      <c r="E1226" t="s">
        <v>1561</v>
      </c>
      <c r="F1226" s="6"/>
      <c r="G1226" s="6"/>
      <c r="H1226" s="6" t="s">
        <v>1389</v>
      </c>
      <c r="I1226" t="s">
        <v>1561</v>
      </c>
      <c r="J1226" t="s">
        <v>1561</v>
      </c>
      <c r="L1226">
        <f t="shared" si="39"/>
        <v>1</v>
      </c>
    </row>
    <row r="1227" spans="1:12" x14ac:dyDescent="0.35">
      <c r="A1227">
        <f t="shared" si="40"/>
        <v>1226</v>
      </c>
      <c r="B1227" t="s">
        <v>434</v>
      </c>
      <c r="C1227" s="109" t="str">
        <f>IF(ISBLANK(K1227),IFERROR(VLOOKUP(I1227,FS_input_data!$C$107:$N$306,Export!J1227,FALSE),""),K1227)</f>
        <v/>
      </c>
      <c r="D1227" s="6"/>
      <c r="E1227" t="s">
        <v>1428</v>
      </c>
      <c r="F1227" s="6"/>
      <c r="G1227" s="6"/>
      <c r="H1227" s="6" t="s">
        <v>1389</v>
      </c>
      <c r="I1227" t="s">
        <v>1561</v>
      </c>
      <c r="J1227" t="s">
        <v>1561</v>
      </c>
      <c r="L1227" s="26" t="e">
        <f t="shared" si="39"/>
        <v>#VALUE!</v>
      </c>
    </row>
    <row r="1228" spans="1:12" x14ac:dyDescent="0.35">
      <c r="A1228" s="9">
        <f t="shared" si="40"/>
        <v>1227</v>
      </c>
      <c r="B1228" t="s">
        <v>109</v>
      </c>
      <c r="C1228" s="109">
        <f>IF(ISBLANK(K1228),IFERROR(VLOOKUP(I1228,FS_input_data!$C$107:$N$306,Export!J1228,FALSE),""),K1228)</f>
        <v>13</v>
      </c>
      <c r="D1228" s="6" t="b">
        <v>1</v>
      </c>
      <c r="E1228" t="s">
        <v>1561</v>
      </c>
      <c r="F1228" s="6"/>
      <c r="G1228" s="6"/>
      <c r="H1228" s="6" t="s">
        <v>1389</v>
      </c>
      <c r="I1228" t="s">
        <v>1427</v>
      </c>
      <c r="J1228">
        <v>3</v>
      </c>
      <c r="L1228" s="9" t="e">
        <f t="shared" si="39"/>
        <v>#VALUE!</v>
      </c>
    </row>
    <row r="1229" spans="1:12" x14ac:dyDescent="0.35">
      <c r="A1229">
        <f t="shared" si="40"/>
        <v>1228</v>
      </c>
      <c r="B1229" t="s">
        <v>110</v>
      </c>
      <c r="C1229" s="109" t="str">
        <f>IF(ISBLANK(K1229),IFERROR(VLOOKUP(I1229,FS_input_data!$C$107:$N$306,Export!J1229,FALSE),""),K1229)</f>
        <v/>
      </c>
      <c r="D1229" s="6"/>
      <c r="F1229" s="6"/>
      <c r="G1229" s="6"/>
      <c r="H1229" s="6" t="s">
        <v>1389</v>
      </c>
      <c r="I1229" t="s">
        <v>1561</v>
      </c>
      <c r="J1229" t="s">
        <v>1561</v>
      </c>
      <c r="L1229">
        <f t="shared" si="39"/>
        <v>1</v>
      </c>
    </row>
    <row r="1230" spans="1:12" x14ac:dyDescent="0.35">
      <c r="A1230" s="9">
        <f t="shared" si="40"/>
        <v>1229</v>
      </c>
      <c r="B1230" t="s">
        <v>111</v>
      </c>
      <c r="C1230" s="109">
        <f>IF(ISBLANK(K1230),IFERROR(VLOOKUP(I1230,FS_input_data!$C$107:$N$306,Export!J1230,FALSE),""),K1230)</f>
        <v>113</v>
      </c>
      <c r="D1230" s="6" t="b">
        <v>1</v>
      </c>
      <c r="E1230" t="s">
        <v>1561</v>
      </c>
      <c r="F1230" s="6"/>
      <c r="G1230" s="6"/>
      <c r="H1230" s="6" t="s">
        <v>1389</v>
      </c>
      <c r="I1230" t="s">
        <v>1427</v>
      </c>
      <c r="J1230">
        <v>4</v>
      </c>
      <c r="L1230" s="9" t="e">
        <f t="shared" si="39"/>
        <v>#VALUE!</v>
      </c>
    </row>
    <row r="1231" spans="1:12" x14ac:dyDescent="0.35">
      <c r="A1231">
        <f t="shared" si="40"/>
        <v>1230</v>
      </c>
      <c r="B1231" t="s">
        <v>112</v>
      </c>
      <c r="C1231" s="109" t="str">
        <f>IF(ISBLANK(K1231),IFERROR(VLOOKUP(I1231,FS_input_data!$C$107:$N$306,Export!J1231,FALSE),""),K1231)</f>
        <v/>
      </c>
      <c r="D1231" s="6"/>
      <c r="E1231" t="s">
        <v>1561</v>
      </c>
      <c r="F1231" s="6"/>
      <c r="G1231" s="6"/>
      <c r="H1231" s="6" t="s">
        <v>1389</v>
      </c>
      <c r="I1231" t="s">
        <v>1561</v>
      </c>
      <c r="J1231" t="s">
        <v>1561</v>
      </c>
      <c r="L1231">
        <f t="shared" si="39"/>
        <v>1</v>
      </c>
    </row>
    <row r="1232" spans="1:12" x14ac:dyDescent="0.35">
      <c r="A1232">
        <f t="shared" si="40"/>
        <v>1231</v>
      </c>
      <c r="B1232" t="s">
        <v>435</v>
      </c>
      <c r="C1232" s="109" t="str">
        <f>IF(ISBLANK(K1232),IFERROR(VLOOKUP(I1232,FS_input_data!$C$107:$N$306,Export!J1232,FALSE),""),K1232)</f>
        <v/>
      </c>
      <c r="D1232" s="6"/>
      <c r="E1232" t="s">
        <v>1561</v>
      </c>
      <c r="F1232" s="6"/>
      <c r="G1232" s="6"/>
      <c r="H1232" s="6" t="s">
        <v>1389</v>
      </c>
      <c r="I1232" t="s">
        <v>1561</v>
      </c>
      <c r="J1232" t="s">
        <v>1561</v>
      </c>
      <c r="L1232">
        <f t="shared" si="39"/>
        <v>1</v>
      </c>
    </row>
    <row r="1233" spans="1:12" x14ac:dyDescent="0.35">
      <c r="A1233">
        <f t="shared" si="40"/>
        <v>1232</v>
      </c>
      <c r="B1233" t="s">
        <v>436</v>
      </c>
      <c r="C1233" s="109" t="str">
        <f>IF(ISBLANK(K1233),IFERROR(VLOOKUP(I1233,FS_input_data!$C$107:$N$306,Export!J1233,FALSE),""),K1233)</f>
        <v/>
      </c>
      <c r="D1233" s="6"/>
      <c r="E1233" t="s">
        <v>1431</v>
      </c>
      <c r="F1233" s="6"/>
      <c r="G1233" s="6"/>
      <c r="H1233" s="6" t="s">
        <v>1389</v>
      </c>
      <c r="I1233" t="s">
        <v>1561</v>
      </c>
      <c r="J1233" t="s">
        <v>1561</v>
      </c>
      <c r="L1233" s="26" t="e">
        <f t="shared" si="39"/>
        <v>#VALUE!</v>
      </c>
    </row>
    <row r="1234" spans="1:12" x14ac:dyDescent="0.35">
      <c r="A1234" s="9">
        <f t="shared" si="40"/>
        <v>1233</v>
      </c>
      <c r="B1234" t="s">
        <v>109</v>
      </c>
      <c r="C1234" s="109">
        <f>IF(ISBLANK(K1234),IFERROR(VLOOKUP(I1234,FS_input_data!$C$107:$N$306,Export!J1234,FALSE),""),K1234)</f>
        <v>14</v>
      </c>
      <c r="D1234" s="6" t="b">
        <v>1</v>
      </c>
      <c r="E1234" t="s">
        <v>1561</v>
      </c>
      <c r="F1234" s="6"/>
      <c r="G1234" s="6"/>
      <c r="H1234" s="6" t="s">
        <v>1389</v>
      </c>
      <c r="I1234" t="s">
        <v>1430</v>
      </c>
      <c r="J1234">
        <v>3</v>
      </c>
      <c r="L1234" s="9" t="e">
        <f t="shared" si="39"/>
        <v>#VALUE!</v>
      </c>
    </row>
    <row r="1235" spans="1:12" x14ac:dyDescent="0.35">
      <c r="A1235">
        <f t="shared" si="40"/>
        <v>1234</v>
      </c>
      <c r="B1235" t="s">
        <v>110</v>
      </c>
      <c r="C1235" s="109" t="str">
        <f>IF(ISBLANK(K1235),IFERROR(VLOOKUP(I1235,FS_input_data!$C$107:$N$306,Export!J1235,FALSE),""),K1235)</f>
        <v/>
      </c>
      <c r="D1235" s="6"/>
      <c r="F1235" s="6"/>
      <c r="G1235" s="6"/>
      <c r="H1235" s="6" t="s">
        <v>1389</v>
      </c>
      <c r="I1235" t="s">
        <v>1561</v>
      </c>
      <c r="J1235" t="s">
        <v>1561</v>
      </c>
      <c r="L1235">
        <f t="shared" si="39"/>
        <v>1</v>
      </c>
    </row>
    <row r="1236" spans="1:12" x14ac:dyDescent="0.35">
      <c r="A1236" s="9">
        <f t="shared" si="40"/>
        <v>1235</v>
      </c>
      <c r="B1236" t="s">
        <v>111</v>
      </c>
      <c r="C1236" s="109">
        <f>IF(ISBLANK(K1236),IFERROR(VLOOKUP(I1236,FS_input_data!$C$107:$N$306,Export!J1236,FALSE),""),K1236)</f>
        <v>114</v>
      </c>
      <c r="D1236" s="6" t="b">
        <v>1</v>
      </c>
      <c r="E1236" t="s">
        <v>1561</v>
      </c>
      <c r="F1236" s="6"/>
      <c r="G1236" s="6"/>
      <c r="H1236" s="6" t="s">
        <v>1389</v>
      </c>
      <c r="I1236" t="s">
        <v>1430</v>
      </c>
      <c r="J1236">
        <v>4</v>
      </c>
      <c r="L1236" s="9" t="e">
        <f t="shared" si="39"/>
        <v>#VALUE!</v>
      </c>
    </row>
    <row r="1237" spans="1:12" x14ac:dyDescent="0.35">
      <c r="A1237">
        <f t="shared" si="40"/>
        <v>1236</v>
      </c>
      <c r="B1237" t="s">
        <v>112</v>
      </c>
      <c r="C1237" s="109" t="str">
        <f>IF(ISBLANK(K1237),IFERROR(VLOOKUP(I1237,FS_input_data!$C$107:$N$306,Export!J1237,FALSE),""),K1237)</f>
        <v/>
      </c>
      <c r="D1237" s="6"/>
      <c r="E1237" t="s">
        <v>1561</v>
      </c>
      <c r="F1237" s="6"/>
      <c r="G1237" s="6"/>
      <c r="H1237" s="6" t="s">
        <v>1389</v>
      </c>
      <c r="I1237" t="s">
        <v>1561</v>
      </c>
      <c r="J1237" t="s">
        <v>1561</v>
      </c>
      <c r="L1237">
        <f t="shared" si="39"/>
        <v>1</v>
      </c>
    </row>
    <row r="1238" spans="1:12" x14ac:dyDescent="0.35">
      <c r="A1238">
        <f t="shared" si="40"/>
        <v>1237</v>
      </c>
      <c r="B1238" t="s">
        <v>437</v>
      </c>
      <c r="C1238" s="109" t="str">
        <f>IF(ISBLANK(K1238),IFERROR(VLOOKUP(I1238,FS_input_data!$C$107:$N$306,Export!J1238,FALSE),""),K1238)</f>
        <v/>
      </c>
      <c r="D1238" s="6"/>
      <c r="E1238" t="s">
        <v>1434</v>
      </c>
      <c r="F1238" s="6"/>
      <c r="G1238" s="6"/>
      <c r="H1238" s="6" t="s">
        <v>1389</v>
      </c>
      <c r="I1238" t="s">
        <v>1561</v>
      </c>
      <c r="J1238" t="s">
        <v>1561</v>
      </c>
      <c r="L1238" s="26" t="e">
        <f t="shared" si="39"/>
        <v>#VALUE!</v>
      </c>
    </row>
    <row r="1239" spans="1:12" x14ac:dyDescent="0.35">
      <c r="A1239" s="9">
        <f t="shared" si="40"/>
        <v>1238</v>
      </c>
      <c r="B1239" t="s">
        <v>109</v>
      </c>
      <c r="C1239" s="109">
        <f>IF(ISBLANK(K1239),IFERROR(VLOOKUP(I1239,FS_input_data!$C$107:$N$306,Export!J1239,FALSE),""),K1239)</f>
        <v>15</v>
      </c>
      <c r="D1239" s="6" t="b">
        <v>1</v>
      </c>
      <c r="E1239" t="s">
        <v>1561</v>
      </c>
      <c r="F1239" s="6"/>
      <c r="G1239" s="6"/>
      <c r="H1239" s="6" t="s">
        <v>1389</v>
      </c>
      <c r="I1239" t="s">
        <v>1433</v>
      </c>
      <c r="J1239">
        <v>3</v>
      </c>
      <c r="L1239" s="9" t="e">
        <f t="shared" si="39"/>
        <v>#VALUE!</v>
      </c>
    </row>
    <row r="1240" spans="1:12" x14ac:dyDescent="0.35">
      <c r="A1240">
        <f t="shared" si="40"/>
        <v>1239</v>
      </c>
      <c r="B1240" t="s">
        <v>110</v>
      </c>
      <c r="C1240" s="109" t="str">
        <f>IF(ISBLANK(K1240),IFERROR(VLOOKUP(I1240,FS_input_data!$C$107:$N$306,Export!J1240,FALSE),""),K1240)</f>
        <v/>
      </c>
      <c r="D1240" s="6"/>
      <c r="F1240" s="6"/>
      <c r="G1240" s="6"/>
      <c r="H1240" s="6" t="s">
        <v>1389</v>
      </c>
      <c r="I1240" t="s">
        <v>1561</v>
      </c>
      <c r="J1240" t="s">
        <v>1561</v>
      </c>
      <c r="L1240">
        <f t="shared" si="39"/>
        <v>1</v>
      </c>
    </row>
    <row r="1241" spans="1:12" x14ac:dyDescent="0.35">
      <c r="A1241" s="9">
        <f t="shared" si="40"/>
        <v>1240</v>
      </c>
      <c r="B1241" t="s">
        <v>111</v>
      </c>
      <c r="C1241" s="109">
        <f>IF(ISBLANK(K1241),IFERROR(VLOOKUP(I1241,FS_input_data!$C$107:$N$306,Export!J1241,FALSE),""),K1241)</f>
        <v>115</v>
      </c>
      <c r="D1241" s="6" t="b">
        <v>1</v>
      </c>
      <c r="E1241" t="s">
        <v>1561</v>
      </c>
      <c r="F1241" s="6"/>
      <c r="G1241" s="6"/>
      <c r="H1241" s="6" t="s">
        <v>1389</v>
      </c>
      <c r="I1241" t="s">
        <v>1433</v>
      </c>
      <c r="J1241">
        <v>4</v>
      </c>
      <c r="L1241" s="9" t="e">
        <f t="shared" si="39"/>
        <v>#VALUE!</v>
      </c>
    </row>
    <row r="1242" spans="1:12" x14ac:dyDescent="0.35">
      <c r="A1242">
        <f t="shared" si="40"/>
        <v>1241</v>
      </c>
      <c r="B1242" t="s">
        <v>112</v>
      </c>
      <c r="C1242" s="109" t="str">
        <f>IF(ISBLANK(K1242),IFERROR(VLOOKUP(I1242,FS_input_data!$C$107:$N$306,Export!J1242,FALSE),""),K1242)</f>
        <v/>
      </c>
      <c r="D1242" s="6"/>
      <c r="E1242" t="s">
        <v>1561</v>
      </c>
      <c r="F1242" s="6"/>
      <c r="G1242" s="6"/>
      <c r="H1242" s="6" t="s">
        <v>1389</v>
      </c>
      <c r="I1242" t="s">
        <v>1561</v>
      </c>
      <c r="J1242" t="s">
        <v>1561</v>
      </c>
      <c r="L1242">
        <f t="shared" si="39"/>
        <v>1</v>
      </c>
    </row>
    <row r="1243" spans="1:12" x14ac:dyDescent="0.35">
      <c r="A1243">
        <f t="shared" si="40"/>
        <v>1242</v>
      </c>
      <c r="B1243" t="s">
        <v>438</v>
      </c>
      <c r="C1243" s="109" t="str">
        <f>IF(ISBLANK(K1243),IFERROR(VLOOKUP(I1243,FS_input_data!$C$107:$N$306,Export!J1243,FALSE),""),K1243)</f>
        <v/>
      </c>
      <c r="D1243" s="6"/>
      <c r="E1243" t="s">
        <v>1561</v>
      </c>
      <c r="F1243" s="6"/>
      <c r="G1243" s="6"/>
      <c r="H1243" s="6" t="s">
        <v>1389</v>
      </c>
      <c r="I1243" t="s">
        <v>1561</v>
      </c>
      <c r="J1243" t="s">
        <v>1561</v>
      </c>
      <c r="L1243">
        <f t="shared" si="39"/>
        <v>1</v>
      </c>
    </row>
    <row r="1244" spans="1:12" x14ac:dyDescent="0.35">
      <c r="A1244">
        <f t="shared" si="40"/>
        <v>1243</v>
      </c>
      <c r="B1244" t="s">
        <v>439</v>
      </c>
      <c r="C1244" s="109" t="str">
        <f>IF(ISBLANK(K1244),IFERROR(VLOOKUP(I1244,FS_input_data!$C$107:$N$306,Export!J1244,FALSE),""),K1244)</f>
        <v/>
      </c>
      <c r="D1244" s="6"/>
      <c r="E1244" t="s">
        <v>1561</v>
      </c>
      <c r="F1244" s="6"/>
      <c r="G1244" s="6"/>
      <c r="H1244" s="6" t="s">
        <v>1389</v>
      </c>
      <c r="I1244" t="s">
        <v>1561</v>
      </c>
      <c r="J1244" t="s">
        <v>1561</v>
      </c>
      <c r="L1244">
        <f t="shared" si="39"/>
        <v>1</v>
      </c>
    </row>
    <row r="1245" spans="1:12" x14ac:dyDescent="0.35">
      <c r="A1245">
        <f t="shared" si="40"/>
        <v>1244</v>
      </c>
      <c r="B1245" t="s">
        <v>440</v>
      </c>
      <c r="C1245" s="109" t="str">
        <f>IF(ISBLANK(K1245),IFERROR(VLOOKUP(I1245,FS_input_data!$C$107:$N$306,Export!J1245,FALSE),""),K1245)</f>
        <v/>
      </c>
      <c r="D1245" s="6"/>
      <c r="E1245" t="s">
        <v>1437</v>
      </c>
      <c r="F1245" s="6"/>
      <c r="G1245" s="6"/>
      <c r="H1245" s="6" t="s">
        <v>1389</v>
      </c>
      <c r="I1245" t="s">
        <v>1561</v>
      </c>
      <c r="J1245" t="s">
        <v>1561</v>
      </c>
      <c r="L1245" s="26" t="e">
        <f t="shared" si="39"/>
        <v>#VALUE!</v>
      </c>
    </row>
    <row r="1246" spans="1:12" x14ac:dyDescent="0.35">
      <c r="A1246" s="9">
        <f t="shared" si="40"/>
        <v>1245</v>
      </c>
      <c r="B1246" t="s">
        <v>109</v>
      </c>
      <c r="C1246" s="109">
        <f>IF(ISBLANK(K1246),IFERROR(VLOOKUP(I1246,FS_input_data!$C$107:$N$306,Export!J1246,FALSE),""),K1246)</f>
        <v>16</v>
      </c>
      <c r="D1246" s="6" t="b">
        <v>1</v>
      </c>
      <c r="E1246" t="s">
        <v>1561</v>
      </c>
      <c r="F1246" s="6"/>
      <c r="G1246" s="6"/>
      <c r="H1246" s="6" t="s">
        <v>1389</v>
      </c>
      <c r="I1246" t="s">
        <v>1436</v>
      </c>
      <c r="J1246">
        <v>3</v>
      </c>
      <c r="L1246" s="9" t="e">
        <f t="shared" si="39"/>
        <v>#VALUE!</v>
      </c>
    </row>
    <row r="1247" spans="1:12" x14ac:dyDescent="0.35">
      <c r="A1247">
        <f t="shared" si="40"/>
        <v>1246</v>
      </c>
      <c r="B1247" t="s">
        <v>110</v>
      </c>
      <c r="C1247" s="109" t="str">
        <f>IF(ISBLANK(K1247),IFERROR(VLOOKUP(I1247,FS_input_data!$C$107:$N$306,Export!J1247,FALSE),""),K1247)</f>
        <v/>
      </c>
      <c r="D1247" s="6"/>
      <c r="F1247" s="6"/>
      <c r="G1247" s="6"/>
      <c r="H1247" s="6" t="s">
        <v>1389</v>
      </c>
      <c r="I1247" t="s">
        <v>1561</v>
      </c>
      <c r="J1247" t="s">
        <v>1561</v>
      </c>
      <c r="L1247">
        <f t="shared" si="39"/>
        <v>1</v>
      </c>
    </row>
    <row r="1248" spans="1:12" x14ac:dyDescent="0.35">
      <c r="A1248" s="9">
        <f t="shared" si="40"/>
        <v>1247</v>
      </c>
      <c r="B1248" t="s">
        <v>111</v>
      </c>
      <c r="C1248" s="109">
        <f>IF(ISBLANK(K1248),IFERROR(VLOOKUP(I1248,FS_input_data!$C$107:$N$306,Export!J1248,FALSE),""),K1248)</f>
        <v>116</v>
      </c>
      <c r="D1248" s="6" t="b">
        <v>1</v>
      </c>
      <c r="E1248" t="s">
        <v>1561</v>
      </c>
      <c r="F1248" s="6"/>
      <c r="G1248" s="6"/>
      <c r="H1248" s="6" t="s">
        <v>1389</v>
      </c>
      <c r="I1248" t="s">
        <v>1436</v>
      </c>
      <c r="J1248">
        <v>4</v>
      </c>
      <c r="L1248" s="9" t="e">
        <f t="shared" si="39"/>
        <v>#VALUE!</v>
      </c>
    </row>
    <row r="1249" spans="1:12" x14ac:dyDescent="0.35">
      <c r="A1249">
        <f t="shared" si="40"/>
        <v>1248</v>
      </c>
      <c r="B1249" t="s">
        <v>112</v>
      </c>
      <c r="C1249" s="109" t="str">
        <f>IF(ISBLANK(K1249),IFERROR(VLOOKUP(I1249,FS_input_data!$C$107:$N$306,Export!J1249,FALSE),""),K1249)</f>
        <v/>
      </c>
      <c r="D1249" s="6"/>
      <c r="E1249" t="s">
        <v>1561</v>
      </c>
      <c r="F1249" s="6"/>
      <c r="G1249" s="6"/>
      <c r="H1249" s="6" t="s">
        <v>1389</v>
      </c>
      <c r="I1249" t="s">
        <v>1561</v>
      </c>
      <c r="J1249" t="s">
        <v>1561</v>
      </c>
      <c r="L1249">
        <f t="shared" si="39"/>
        <v>1</v>
      </c>
    </row>
    <row r="1250" spans="1:12" x14ac:dyDescent="0.35">
      <c r="A1250">
        <f t="shared" si="40"/>
        <v>1249</v>
      </c>
      <c r="B1250" t="s">
        <v>441</v>
      </c>
      <c r="C1250" s="109" t="str">
        <f>IF(ISBLANK(K1250),IFERROR(VLOOKUP(I1250,FS_input_data!$C$107:$N$306,Export!J1250,FALSE),""),K1250)</f>
        <v/>
      </c>
      <c r="D1250" s="6"/>
      <c r="E1250" t="s">
        <v>1561</v>
      </c>
      <c r="F1250" s="6"/>
      <c r="G1250" s="6"/>
      <c r="H1250" s="6" t="s">
        <v>1389</v>
      </c>
      <c r="I1250" t="s">
        <v>1561</v>
      </c>
      <c r="J1250" t="s">
        <v>1561</v>
      </c>
      <c r="L1250">
        <f t="shared" si="39"/>
        <v>1</v>
      </c>
    </row>
    <row r="1251" spans="1:12" x14ac:dyDescent="0.35">
      <c r="A1251">
        <f t="shared" si="40"/>
        <v>1250</v>
      </c>
      <c r="B1251" t="s">
        <v>442</v>
      </c>
      <c r="C1251" s="109" t="str">
        <f>IF(ISBLANK(K1251),IFERROR(VLOOKUP(I1251,FS_input_data!$C$107:$N$306,Export!J1251,FALSE),""),K1251)</f>
        <v/>
      </c>
      <c r="D1251" s="6"/>
      <c r="E1251" t="s">
        <v>1440</v>
      </c>
      <c r="F1251" s="6"/>
      <c r="G1251" s="6"/>
      <c r="H1251" s="6" t="s">
        <v>1389</v>
      </c>
      <c r="I1251" t="s">
        <v>1561</v>
      </c>
      <c r="J1251" t="s">
        <v>1561</v>
      </c>
      <c r="L1251" s="26" t="e">
        <f t="shared" si="39"/>
        <v>#VALUE!</v>
      </c>
    </row>
    <row r="1252" spans="1:12" x14ac:dyDescent="0.35">
      <c r="A1252" s="9">
        <f t="shared" si="40"/>
        <v>1251</v>
      </c>
      <c r="B1252" t="s">
        <v>109</v>
      </c>
      <c r="C1252" s="109">
        <f>IF(ISBLANK(K1252),IFERROR(VLOOKUP(I1252,FS_input_data!$C$107:$N$306,Export!J1252,FALSE),""),K1252)</f>
        <v>17</v>
      </c>
      <c r="D1252" s="6" t="b">
        <v>1</v>
      </c>
      <c r="E1252" t="s">
        <v>1561</v>
      </c>
      <c r="F1252" s="6"/>
      <c r="G1252" s="6"/>
      <c r="H1252" s="6" t="s">
        <v>1389</v>
      </c>
      <c r="I1252" t="s">
        <v>1439</v>
      </c>
      <c r="J1252">
        <v>3</v>
      </c>
      <c r="L1252" s="9" t="e">
        <f t="shared" si="39"/>
        <v>#VALUE!</v>
      </c>
    </row>
    <row r="1253" spans="1:12" x14ac:dyDescent="0.35">
      <c r="A1253">
        <f t="shared" si="40"/>
        <v>1252</v>
      </c>
      <c r="B1253" t="s">
        <v>110</v>
      </c>
      <c r="C1253" s="109" t="str">
        <f>IF(ISBLANK(K1253),IFERROR(VLOOKUP(I1253,FS_input_data!$C$107:$N$306,Export!J1253,FALSE),""),K1253)</f>
        <v/>
      </c>
      <c r="D1253" s="6"/>
      <c r="F1253" s="6"/>
      <c r="G1253" s="6"/>
      <c r="H1253" s="6" t="s">
        <v>1389</v>
      </c>
      <c r="I1253" t="s">
        <v>1561</v>
      </c>
      <c r="J1253" t="s">
        <v>1561</v>
      </c>
      <c r="L1253">
        <f t="shared" si="39"/>
        <v>1</v>
      </c>
    </row>
    <row r="1254" spans="1:12" x14ac:dyDescent="0.35">
      <c r="A1254" s="9">
        <f t="shared" si="40"/>
        <v>1253</v>
      </c>
      <c r="B1254" t="s">
        <v>111</v>
      </c>
      <c r="C1254" s="109">
        <f>IF(ISBLANK(K1254),IFERROR(VLOOKUP(I1254,FS_input_data!$C$107:$N$306,Export!J1254,FALSE),""),K1254)</f>
        <v>117</v>
      </c>
      <c r="D1254" s="6" t="b">
        <v>1</v>
      </c>
      <c r="E1254" t="s">
        <v>1561</v>
      </c>
      <c r="F1254" s="6"/>
      <c r="G1254" s="6"/>
      <c r="H1254" s="6" t="s">
        <v>1389</v>
      </c>
      <c r="I1254" t="s">
        <v>1439</v>
      </c>
      <c r="J1254">
        <v>4</v>
      </c>
      <c r="L1254" s="9" t="e">
        <f t="shared" si="39"/>
        <v>#VALUE!</v>
      </c>
    </row>
    <row r="1255" spans="1:12" x14ac:dyDescent="0.35">
      <c r="A1255">
        <f t="shared" si="40"/>
        <v>1254</v>
      </c>
      <c r="B1255" t="s">
        <v>112</v>
      </c>
      <c r="C1255" s="109" t="str">
        <f>IF(ISBLANK(K1255),IFERROR(VLOOKUP(I1255,FS_input_data!$C$107:$N$306,Export!J1255,FALSE),""),K1255)</f>
        <v/>
      </c>
      <c r="D1255" s="6"/>
      <c r="E1255" t="s">
        <v>1561</v>
      </c>
      <c r="F1255" s="6"/>
      <c r="G1255" s="6"/>
      <c r="H1255" s="6" t="s">
        <v>1389</v>
      </c>
      <c r="I1255" t="s">
        <v>1561</v>
      </c>
      <c r="J1255" t="s">
        <v>1561</v>
      </c>
      <c r="L1255">
        <f t="shared" si="39"/>
        <v>1</v>
      </c>
    </row>
    <row r="1256" spans="1:12" x14ac:dyDescent="0.35">
      <c r="A1256">
        <f t="shared" si="40"/>
        <v>1255</v>
      </c>
      <c r="B1256" t="s">
        <v>443</v>
      </c>
      <c r="C1256" s="109" t="str">
        <f>IF(ISBLANK(K1256),IFERROR(VLOOKUP(I1256,FS_input_data!$C$107:$N$306,Export!J1256,FALSE),""),K1256)</f>
        <v/>
      </c>
      <c r="D1256" s="6"/>
      <c r="E1256" t="s">
        <v>1561</v>
      </c>
      <c r="F1256" s="6"/>
      <c r="G1256" s="6"/>
      <c r="H1256" s="6" t="s">
        <v>1389</v>
      </c>
      <c r="I1256" t="s">
        <v>1561</v>
      </c>
      <c r="J1256" t="s">
        <v>1561</v>
      </c>
      <c r="L1256">
        <f t="shared" si="39"/>
        <v>1</v>
      </c>
    </row>
    <row r="1257" spans="1:12" x14ac:dyDescent="0.35">
      <c r="A1257">
        <f t="shared" si="40"/>
        <v>1256</v>
      </c>
      <c r="B1257" t="s">
        <v>444</v>
      </c>
      <c r="C1257" s="109" t="str">
        <f>IF(ISBLANK(K1257),IFERROR(VLOOKUP(I1257,FS_input_data!$C$107:$N$306,Export!J1257,FALSE),""),K1257)</f>
        <v/>
      </c>
      <c r="D1257" s="6"/>
      <c r="E1257" t="s">
        <v>1561</v>
      </c>
      <c r="F1257" s="6"/>
      <c r="G1257" s="6"/>
      <c r="H1257" s="6" t="s">
        <v>1389</v>
      </c>
      <c r="I1257" t="s">
        <v>1561</v>
      </c>
      <c r="J1257" t="s">
        <v>1561</v>
      </c>
      <c r="L1257">
        <f t="shared" si="39"/>
        <v>1</v>
      </c>
    </row>
    <row r="1258" spans="1:12" x14ac:dyDescent="0.35">
      <c r="A1258">
        <f t="shared" si="40"/>
        <v>1257</v>
      </c>
      <c r="B1258" t="s">
        <v>445</v>
      </c>
      <c r="C1258" s="109" t="str">
        <f>IF(ISBLANK(K1258),IFERROR(VLOOKUP(I1258,FS_input_data!$C$107:$N$306,Export!J1258,FALSE),""),K1258)</f>
        <v/>
      </c>
      <c r="D1258" s="6"/>
      <c r="E1258" t="s">
        <v>1443</v>
      </c>
      <c r="F1258" s="6"/>
      <c r="G1258" s="6"/>
      <c r="H1258" s="6" t="s">
        <v>1389</v>
      </c>
      <c r="I1258" t="s">
        <v>1561</v>
      </c>
      <c r="J1258" t="s">
        <v>1561</v>
      </c>
      <c r="L1258" s="26" t="e">
        <f t="shared" si="39"/>
        <v>#VALUE!</v>
      </c>
    </row>
    <row r="1259" spans="1:12" x14ac:dyDescent="0.35">
      <c r="A1259" s="9">
        <f t="shared" si="40"/>
        <v>1258</v>
      </c>
      <c r="B1259" t="s">
        <v>109</v>
      </c>
      <c r="C1259" s="109">
        <f>IF(ISBLANK(K1259),IFERROR(VLOOKUP(I1259,FS_input_data!$C$107:$N$306,Export!J1259,FALSE),""),K1259)</f>
        <v>-80</v>
      </c>
      <c r="D1259" s="6" t="b">
        <v>1</v>
      </c>
      <c r="E1259" t="s">
        <v>1561</v>
      </c>
      <c r="F1259" s="6"/>
      <c r="G1259" s="6"/>
      <c r="H1259" s="6" t="s">
        <v>1389</v>
      </c>
      <c r="I1259" t="s">
        <v>1442</v>
      </c>
      <c r="J1259">
        <v>3</v>
      </c>
      <c r="L1259" s="9" t="e">
        <f t="shared" si="39"/>
        <v>#VALUE!</v>
      </c>
    </row>
    <row r="1260" spans="1:12" x14ac:dyDescent="0.35">
      <c r="A1260">
        <f t="shared" si="40"/>
        <v>1259</v>
      </c>
      <c r="B1260" t="s">
        <v>110</v>
      </c>
      <c r="C1260" s="109" t="str">
        <f>IF(ISBLANK(K1260),IFERROR(VLOOKUP(I1260,FS_input_data!$C$107:$N$306,Export!J1260,FALSE),""),K1260)</f>
        <v/>
      </c>
      <c r="D1260" s="6"/>
      <c r="F1260" s="6"/>
      <c r="G1260" s="6"/>
      <c r="H1260" s="6" t="s">
        <v>1389</v>
      </c>
      <c r="I1260" t="s">
        <v>1561</v>
      </c>
      <c r="J1260" t="s">
        <v>1561</v>
      </c>
      <c r="L1260">
        <f t="shared" si="39"/>
        <v>1</v>
      </c>
    </row>
    <row r="1261" spans="1:12" x14ac:dyDescent="0.35">
      <c r="A1261" s="9">
        <f t="shared" si="40"/>
        <v>1260</v>
      </c>
      <c r="B1261" t="s">
        <v>111</v>
      </c>
      <c r="C1261" s="109">
        <f>IF(ISBLANK(K1261),IFERROR(VLOOKUP(I1261,FS_input_data!$C$107:$N$306,Export!J1261,FALSE),""),K1261)</f>
        <v>-480</v>
      </c>
      <c r="D1261" s="6" t="b">
        <v>1</v>
      </c>
      <c r="E1261" t="s">
        <v>1561</v>
      </c>
      <c r="F1261" s="6"/>
      <c r="G1261" s="6"/>
      <c r="H1261" s="6" t="s">
        <v>1389</v>
      </c>
      <c r="I1261" t="s">
        <v>1442</v>
      </c>
      <c r="J1261">
        <v>4</v>
      </c>
      <c r="L1261" s="9" t="e">
        <f t="shared" si="39"/>
        <v>#VALUE!</v>
      </c>
    </row>
    <row r="1262" spans="1:12" x14ac:dyDescent="0.35">
      <c r="A1262">
        <f t="shared" si="40"/>
        <v>1261</v>
      </c>
      <c r="B1262" t="s">
        <v>112</v>
      </c>
      <c r="C1262" s="109" t="str">
        <f>IF(ISBLANK(K1262),IFERROR(VLOOKUP(I1262,FS_input_data!$C$107:$N$306,Export!J1262,FALSE),""),K1262)</f>
        <v/>
      </c>
      <c r="D1262" s="6"/>
      <c r="E1262" t="s">
        <v>1561</v>
      </c>
      <c r="F1262" s="6"/>
      <c r="G1262" s="6"/>
      <c r="H1262" s="6" t="s">
        <v>1389</v>
      </c>
      <c r="I1262" t="s">
        <v>1561</v>
      </c>
      <c r="J1262" t="s">
        <v>1561</v>
      </c>
      <c r="L1262">
        <f t="shared" si="39"/>
        <v>1</v>
      </c>
    </row>
    <row r="1263" spans="1:12" x14ac:dyDescent="0.35">
      <c r="A1263">
        <f t="shared" si="40"/>
        <v>1262</v>
      </c>
      <c r="B1263" t="s">
        <v>446</v>
      </c>
      <c r="C1263" s="109" t="str">
        <f>IF(ISBLANK(K1263),IFERROR(VLOOKUP(I1263,FS_input_data!$C$107:$N$306,Export!J1263,FALSE),""),K1263)</f>
        <v/>
      </c>
      <c r="D1263" s="6"/>
      <c r="E1263" t="s">
        <v>1561</v>
      </c>
      <c r="F1263" s="6"/>
      <c r="G1263" s="6"/>
      <c r="H1263" s="6" t="s">
        <v>1389</v>
      </c>
      <c r="I1263" t="s">
        <v>1561</v>
      </c>
      <c r="J1263" t="s">
        <v>1561</v>
      </c>
      <c r="L1263">
        <f t="shared" si="39"/>
        <v>1</v>
      </c>
    </row>
    <row r="1264" spans="1:12" x14ac:dyDescent="0.35">
      <c r="A1264">
        <f t="shared" si="40"/>
        <v>1263</v>
      </c>
      <c r="B1264" t="s">
        <v>447</v>
      </c>
      <c r="C1264" s="109" t="str">
        <f>IF(ISBLANK(K1264),IFERROR(VLOOKUP(I1264,FS_input_data!$C$107:$N$306,Export!J1264,FALSE),""),K1264)</f>
        <v/>
      </c>
      <c r="D1264" s="6"/>
      <c r="E1264" t="s">
        <v>1446</v>
      </c>
      <c r="F1264" s="6"/>
      <c r="G1264" s="6"/>
      <c r="H1264" s="6" t="s">
        <v>1389</v>
      </c>
      <c r="I1264" t="s">
        <v>1561</v>
      </c>
      <c r="J1264" t="s">
        <v>1561</v>
      </c>
      <c r="L1264" s="26" t="e">
        <f t="shared" si="39"/>
        <v>#VALUE!</v>
      </c>
    </row>
    <row r="1265" spans="1:12" x14ac:dyDescent="0.35">
      <c r="A1265" s="9">
        <f t="shared" si="40"/>
        <v>1264</v>
      </c>
      <c r="B1265" t="s">
        <v>109</v>
      </c>
      <c r="C1265" s="109">
        <f>IF(ISBLANK(K1265),IFERROR(VLOOKUP(I1265,FS_input_data!$C$107:$N$306,Export!J1265,FALSE),""),K1265)</f>
        <v>86</v>
      </c>
      <c r="D1265" s="6" t="b">
        <v>1</v>
      </c>
      <c r="E1265" t="s">
        <v>1561</v>
      </c>
      <c r="F1265" s="6"/>
      <c r="G1265" s="6"/>
      <c r="H1265" s="6" t="s">
        <v>1389</v>
      </c>
      <c r="I1265" t="s">
        <v>1445</v>
      </c>
      <c r="J1265">
        <v>3</v>
      </c>
      <c r="L1265" s="9" t="e">
        <f t="shared" si="39"/>
        <v>#VALUE!</v>
      </c>
    </row>
    <row r="1266" spans="1:12" x14ac:dyDescent="0.35">
      <c r="A1266">
        <f t="shared" si="40"/>
        <v>1265</v>
      </c>
      <c r="B1266" t="s">
        <v>110</v>
      </c>
      <c r="C1266" s="109" t="str">
        <f>IF(ISBLANK(K1266),IFERROR(VLOOKUP(I1266,FS_input_data!$C$107:$N$306,Export!J1266,FALSE),""),K1266)</f>
        <v/>
      </c>
      <c r="D1266" s="6"/>
      <c r="F1266" s="6"/>
      <c r="G1266" s="6"/>
      <c r="H1266" s="6" t="s">
        <v>1389</v>
      </c>
      <c r="I1266" t="s">
        <v>1561</v>
      </c>
      <c r="J1266" t="s">
        <v>1561</v>
      </c>
      <c r="L1266">
        <f t="shared" si="39"/>
        <v>1</v>
      </c>
    </row>
    <row r="1267" spans="1:12" x14ac:dyDescent="0.35">
      <c r="A1267" s="9">
        <f t="shared" si="40"/>
        <v>1266</v>
      </c>
      <c r="B1267" t="s">
        <v>111</v>
      </c>
      <c r="C1267" s="109">
        <f>IF(ISBLANK(K1267),IFERROR(VLOOKUP(I1267,FS_input_data!$C$107:$N$306,Export!J1267,FALSE),""),K1267)</f>
        <v>486</v>
      </c>
      <c r="D1267" s="6" t="b">
        <v>1</v>
      </c>
      <c r="E1267" t="s">
        <v>1561</v>
      </c>
      <c r="F1267" s="6"/>
      <c r="G1267" s="6"/>
      <c r="H1267" s="6" t="s">
        <v>1389</v>
      </c>
      <c r="I1267" t="s">
        <v>1445</v>
      </c>
      <c r="J1267">
        <v>4</v>
      </c>
      <c r="L1267" s="9" t="e">
        <f t="shared" si="39"/>
        <v>#VALUE!</v>
      </c>
    </row>
    <row r="1268" spans="1:12" x14ac:dyDescent="0.35">
      <c r="A1268">
        <f t="shared" si="40"/>
        <v>1267</v>
      </c>
      <c r="B1268" t="s">
        <v>112</v>
      </c>
      <c r="C1268" s="109" t="str">
        <f>IF(ISBLANK(K1268),IFERROR(VLOOKUP(I1268,FS_input_data!$C$107:$N$306,Export!J1268,FALSE),""),K1268)</f>
        <v/>
      </c>
      <c r="D1268" s="6"/>
      <c r="E1268" t="s">
        <v>1561</v>
      </c>
      <c r="F1268" s="6"/>
      <c r="G1268" s="6"/>
      <c r="H1268" s="6" t="s">
        <v>1389</v>
      </c>
      <c r="I1268" t="s">
        <v>1561</v>
      </c>
      <c r="J1268" t="s">
        <v>1561</v>
      </c>
      <c r="L1268">
        <f t="shared" si="39"/>
        <v>1</v>
      </c>
    </row>
    <row r="1269" spans="1:12" x14ac:dyDescent="0.35">
      <c r="A1269">
        <f t="shared" si="40"/>
        <v>1268</v>
      </c>
      <c r="B1269" t="s">
        <v>448</v>
      </c>
      <c r="C1269" s="109" t="str">
        <f>IF(ISBLANK(K1269),IFERROR(VLOOKUP(I1269,FS_input_data!$C$107:$N$306,Export!J1269,FALSE),""),K1269)</f>
        <v/>
      </c>
      <c r="D1269" s="6"/>
      <c r="E1269" t="s">
        <v>1449</v>
      </c>
      <c r="F1269" s="6"/>
      <c r="G1269" s="6"/>
      <c r="H1269" s="6" t="s">
        <v>1389</v>
      </c>
      <c r="I1269" t="s">
        <v>1561</v>
      </c>
      <c r="J1269" t="s">
        <v>1561</v>
      </c>
      <c r="L1269" s="26" t="e">
        <f t="shared" si="39"/>
        <v>#VALUE!</v>
      </c>
    </row>
    <row r="1270" spans="1:12" x14ac:dyDescent="0.35">
      <c r="A1270" s="9">
        <f t="shared" si="40"/>
        <v>1269</v>
      </c>
      <c r="B1270" t="s">
        <v>109</v>
      </c>
      <c r="C1270" s="109">
        <f>IF(ISBLANK(K1270),IFERROR(VLOOKUP(I1270,FS_input_data!$C$107:$N$306,Export!J1270,FALSE),""),K1270)</f>
        <v>20</v>
      </c>
      <c r="D1270" s="6" t="b">
        <v>1</v>
      </c>
      <c r="E1270" t="s">
        <v>1561</v>
      </c>
      <c r="F1270" s="6"/>
      <c r="G1270" s="6"/>
      <c r="H1270" s="6" t="s">
        <v>1389</v>
      </c>
      <c r="I1270" t="s">
        <v>1448</v>
      </c>
      <c r="J1270">
        <v>3</v>
      </c>
      <c r="L1270" s="9" t="e">
        <f t="shared" si="39"/>
        <v>#VALUE!</v>
      </c>
    </row>
    <row r="1271" spans="1:12" x14ac:dyDescent="0.35">
      <c r="A1271">
        <f t="shared" si="40"/>
        <v>1270</v>
      </c>
      <c r="B1271" t="s">
        <v>110</v>
      </c>
      <c r="C1271" s="109" t="str">
        <f>IF(ISBLANK(K1271),IFERROR(VLOOKUP(I1271,FS_input_data!$C$107:$N$306,Export!J1271,FALSE),""),K1271)</f>
        <v/>
      </c>
      <c r="D1271" s="6"/>
      <c r="F1271" s="6"/>
      <c r="G1271" s="6"/>
      <c r="H1271" s="6" t="s">
        <v>1389</v>
      </c>
      <c r="I1271" t="s">
        <v>1561</v>
      </c>
      <c r="J1271" t="s">
        <v>1561</v>
      </c>
      <c r="L1271">
        <f t="shared" si="39"/>
        <v>1</v>
      </c>
    </row>
    <row r="1272" spans="1:12" x14ac:dyDescent="0.35">
      <c r="A1272" s="9">
        <f t="shared" si="40"/>
        <v>1271</v>
      </c>
      <c r="B1272" t="s">
        <v>111</v>
      </c>
      <c r="C1272" s="109">
        <f>IF(ISBLANK(K1272),IFERROR(VLOOKUP(I1272,FS_input_data!$C$107:$N$306,Export!J1272,FALSE),""),K1272)</f>
        <v>120</v>
      </c>
      <c r="D1272" s="6" t="b">
        <v>1</v>
      </c>
      <c r="E1272" t="s">
        <v>1561</v>
      </c>
      <c r="F1272" s="6"/>
      <c r="G1272" s="6"/>
      <c r="H1272" s="6" t="s">
        <v>1389</v>
      </c>
      <c r="I1272" t="s">
        <v>1448</v>
      </c>
      <c r="J1272">
        <v>4</v>
      </c>
      <c r="L1272" s="9" t="e">
        <f t="shared" si="39"/>
        <v>#VALUE!</v>
      </c>
    </row>
    <row r="1273" spans="1:12" x14ac:dyDescent="0.35">
      <c r="A1273">
        <f t="shared" si="40"/>
        <v>1272</v>
      </c>
      <c r="B1273" t="s">
        <v>112</v>
      </c>
      <c r="C1273" s="109" t="str">
        <f>IF(ISBLANK(K1273),IFERROR(VLOOKUP(I1273,FS_input_data!$C$107:$N$306,Export!J1273,FALSE),""),K1273)</f>
        <v/>
      </c>
      <c r="D1273" s="6"/>
      <c r="E1273" t="s">
        <v>1561</v>
      </c>
      <c r="F1273" s="6"/>
      <c r="G1273" s="6"/>
      <c r="H1273" s="6" t="s">
        <v>1389</v>
      </c>
      <c r="I1273" t="s">
        <v>1561</v>
      </c>
      <c r="J1273" t="s">
        <v>1561</v>
      </c>
      <c r="L1273">
        <f t="shared" si="39"/>
        <v>1</v>
      </c>
    </row>
    <row r="1274" spans="1:12" x14ac:dyDescent="0.35">
      <c r="A1274">
        <f t="shared" si="40"/>
        <v>1273</v>
      </c>
      <c r="B1274" t="s">
        <v>449</v>
      </c>
      <c r="C1274" s="109" t="str">
        <f>IF(ISBLANK(K1274),IFERROR(VLOOKUP(I1274,FS_input_data!$C$107:$N$306,Export!J1274,FALSE),""),K1274)</f>
        <v/>
      </c>
      <c r="D1274" s="6"/>
      <c r="E1274" t="s">
        <v>1561</v>
      </c>
      <c r="F1274" s="6"/>
      <c r="G1274" s="6"/>
      <c r="H1274" s="6" t="s">
        <v>1389</v>
      </c>
      <c r="I1274" t="s">
        <v>1561</v>
      </c>
      <c r="J1274" t="s">
        <v>1561</v>
      </c>
      <c r="L1274">
        <f t="shared" si="39"/>
        <v>1</v>
      </c>
    </row>
    <row r="1275" spans="1:12" x14ac:dyDescent="0.35">
      <c r="A1275">
        <f t="shared" si="40"/>
        <v>1274</v>
      </c>
      <c r="B1275" t="s">
        <v>450</v>
      </c>
      <c r="C1275" s="109" t="str">
        <f>IF(ISBLANK(K1275),IFERROR(VLOOKUP(I1275,FS_input_data!$C$107:$N$306,Export!J1275,FALSE),""),K1275)</f>
        <v/>
      </c>
      <c r="D1275" s="6"/>
      <c r="E1275" t="s">
        <v>1452</v>
      </c>
      <c r="F1275" s="6"/>
      <c r="G1275" s="6"/>
      <c r="H1275" s="6" t="s">
        <v>1389</v>
      </c>
      <c r="I1275" t="s">
        <v>1561</v>
      </c>
      <c r="J1275" t="s">
        <v>1561</v>
      </c>
      <c r="L1275" s="26" t="e">
        <f t="shared" si="39"/>
        <v>#VALUE!</v>
      </c>
    </row>
    <row r="1276" spans="1:12" x14ac:dyDescent="0.35">
      <c r="A1276" s="9">
        <f t="shared" si="40"/>
        <v>1275</v>
      </c>
      <c r="B1276" t="s">
        <v>109</v>
      </c>
      <c r="C1276" s="109">
        <f>IF(ISBLANK(K1276),IFERROR(VLOOKUP(I1276,FS_input_data!$C$107:$N$306,Export!J1276,FALSE),""),K1276)</f>
        <v>21</v>
      </c>
      <c r="D1276" s="6" t="b">
        <v>1</v>
      </c>
      <c r="E1276" t="s">
        <v>1561</v>
      </c>
      <c r="F1276" s="6"/>
      <c r="G1276" s="6"/>
      <c r="H1276" s="6" t="s">
        <v>1389</v>
      </c>
      <c r="I1276" t="s">
        <v>1451</v>
      </c>
      <c r="J1276">
        <v>3</v>
      </c>
      <c r="L1276" s="9" t="e">
        <f t="shared" si="39"/>
        <v>#VALUE!</v>
      </c>
    </row>
    <row r="1277" spans="1:12" x14ac:dyDescent="0.35">
      <c r="A1277">
        <f t="shared" si="40"/>
        <v>1276</v>
      </c>
      <c r="B1277" t="s">
        <v>110</v>
      </c>
      <c r="C1277" s="109" t="str">
        <f>IF(ISBLANK(K1277),IFERROR(VLOOKUP(I1277,FS_input_data!$C$107:$N$306,Export!J1277,FALSE),""),K1277)</f>
        <v/>
      </c>
      <c r="D1277" s="6"/>
      <c r="F1277" s="6"/>
      <c r="G1277" s="6"/>
      <c r="H1277" s="6" t="s">
        <v>1389</v>
      </c>
      <c r="I1277" t="s">
        <v>1561</v>
      </c>
      <c r="J1277" t="s">
        <v>1561</v>
      </c>
      <c r="L1277">
        <f t="shared" si="39"/>
        <v>1</v>
      </c>
    </row>
    <row r="1278" spans="1:12" x14ac:dyDescent="0.35">
      <c r="A1278" s="9">
        <f t="shared" si="40"/>
        <v>1277</v>
      </c>
      <c r="B1278" t="s">
        <v>111</v>
      </c>
      <c r="C1278" s="109">
        <f>IF(ISBLANK(K1278),IFERROR(VLOOKUP(I1278,FS_input_data!$C$107:$N$306,Export!J1278,FALSE),""),K1278)</f>
        <v>121</v>
      </c>
      <c r="D1278" s="6" t="b">
        <v>1</v>
      </c>
      <c r="E1278" t="s">
        <v>1561</v>
      </c>
      <c r="F1278" s="6"/>
      <c r="G1278" s="6"/>
      <c r="H1278" s="6" t="s">
        <v>1389</v>
      </c>
      <c r="I1278" t="s">
        <v>1451</v>
      </c>
      <c r="J1278">
        <v>4</v>
      </c>
      <c r="L1278" s="9" t="e">
        <f t="shared" si="39"/>
        <v>#VALUE!</v>
      </c>
    </row>
    <row r="1279" spans="1:12" x14ac:dyDescent="0.35">
      <c r="A1279">
        <f t="shared" si="40"/>
        <v>1278</v>
      </c>
      <c r="B1279" t="s">
        <v>112</v>
      </c>
      <c r="C1279" s="109" t="str">
        <f>IF(ISBLANK(K1279),IFERROR(VLOOKUP(I1279,FS_input_data!$C$107:$N$306,Export!J1279,FALSE),""),K1279)</f>
        <v/>
      </c>
      <c r="D1279" s="6"/>
      <c r="E1279" t="s">
        <v>1561</v>
      </c>
      <c r="F1279" s="6"/>
      <c r="G1279" s="6"/>
      <c r="H1279" s="6" t="s">
        <v>1389</v>
      </c>
      <c r="I1279" t="s">
        <v>1561</v>
      </c>
      <c r="J1279" t="s">
        <v>1561</v>
      </c>
      <c r="L1279">
        <f t="shared" si="39"/>
        <v>1</v>
      </c>
    </row>
    <row r="1280" spans="1:12" x14ac:dyDescent="0.35">
      <c r="A1280">
        <f t="shared" si="40"/>
        <v>1279</v>
      </c>
      <c r="B1280" t="s">
        <v>451</v>
      </c>
      <c r="C1280" s="109" t="str">
        <f>IF(ISBLANK(K1280),IFERROR(VLOOKUP(I1280,FS_input_data!$C$107:$N$306,Export!J1280,FALSE),""),K1280)</f>
        <v/>
      </c>
      <c r="D1280" s="6"/>
      <c r="E1280" t="s">
        <v>1561</v>
      </c>
      <c r="F1280" s="6"/>
      <c r="G1280" s="6"/>
      <c r="H1280" s="6" t="s">
        <v>1389</v>
      </c>
      <c r="I1280" t="s">
        <v>1561</v>
      </c>
      <c r="J1280" t="s">
        <v>1561</v>
      </c>
      <c r="L1280">
        <f t="shared" si="39"/>
        <v>1</v>
      </c>
    </row>
    <row r="1281" spans="1:12" x14ac:dyDescent="0.35">
      <c r="A1281">
        <f t="shared" si="40"/>
        <v>1280</v>
      </c>
      <c r="B1281" t="s">
        <v>452</v>
      </c>
      <c r="C1281" s="109" t="str">
        <f>IF(ISBLANK(K1281),IFERROR(VLOOKUP(I1281,FS_input_data!$C$107:$N$306,Export!J1281,FALSE),""),K1281)</f>
        <v/>
      </c>
      <c r="D1281" s="6"/>
      <c r="E1281" t="s">
        <v>1455</v>
      </c>
      <c r="F1281" s="6"/>
      <c r="G1281" s="6"/>
      <c r="H1281" s="6" t="s">
        <v>1389</v>
      </c>
      <c r="I1281" t="s">
        <v>1561</v>
      </c>
      <c r="J1281" t="s">
        <v>1561</v>
      </c>
      <c r="L1281" s="26" t="e">
        <f t="shared" si="39"/>
        <v>#VALUE!</v>
      </c>
    </row>
    <row r="1282" spans="1:12" x14ac:dyDescent="0.35">
      <c r="A1282" s="9">
        <f t="shared" si="40"/>
        <v>1281</v>
      </c>
      <c r="B1282" t="s">
        <v>109</v>
      </c>
      <c r="C1282" s="109">
        <f>IF(ISBLANK(K1282),IFERROR(VLOOKUP(I1282,FS_input_data!$C$107:$N$306,Export!J1282,FALSE),""),K1282)</f>
        <v>22</v>
      </c>
      <c r="D1282" s="6" t="b">
        <v>1</v>
      </c>
      <c r="E1282" t="s">
        <v>1561</v>
      </c>
      <c r="F1282" s="6"/>
      <c r="G1282" s="6"/>
      <c r="H1282" s="6" t="s">
        <v>1389</v>
      </c>
      <c r="I1282" t="s">
        <v>1454</v>
      </c>
      <c r="J1282">
        <v>3</v>
      </c>
      <c r="L1282" s="9" t="e">
        <f t="shared" ref="L1282:L1345" si="41">FIND("/",B1282)</f>
        <v>#VALUE!</v>
      </c>
    </row>
    <row r="1283" spans="1:12" x14ac:dyDescent="0.35">
      <c r="A1283">
        <f t="shared" ref="A1283:A1346" si="42">A1282+1</f>
        <v>1282</v>
      </c>
      <c r="B1283" t="s">
        <v>110</v>
      </c>
      <c r="C1283" s="109" t="str">
        <f>IF(ISBLANK(K1283),IFERROR(VLOOKUP(I1283,FS_input_data!$C$107:$N$306,Export!J1283,FALSE),""),K1283)</f>
        <v/>
      </c>
      <c r="D1283" s="6"/>
      <c r="F1283" s="6"/>
      <c r="G1283" s="6"/>
      <c r="H1283" s="6" t="s">
        <v>1389</v>
      </c>
      <c r="I1283" t="s">
        <v>1561</v>
      </c>
      <c r="J1283" t="s">
        <v>1561</v>
      </c>
      <c r="L1283">
        <f t="shared" si="41"/>
        <v>1</v>
      </c>
    </row>
    <row r="1284" spans="1:12" x14ac:dyDescent="0.35">
      <c r="A1284" s="9">
        <f t="shared" si="42"/>
        <v>1283</v>
      </c>
      <c r="B1284" t="s">
        <v>111</v>
      </c>
      <c r="C1284" s="109">
        <f>IF(ISBLANK(K1284),IFERROR(VLOOKUP(I1284,FS_input_data!$C$107:$N$306,Export!J1284,FALSE),""),K1284)</f>
        <v>122</v>
      </c>
      <c r="D1284" s="6" t="b">
        <v>1</v>
      </c>
      <c r="E1284" t="s">
        <v>1561</v>
      </c>
      <c r="F1284" s="6"/>
      <c r="G1284" s="6"/>
      <c r="H1284" s="6" t="s">
        <v>1389</v>
      </c>
      <c r="I1284" t="s">
        <v>1454</v>
      </c>
      <c r="J1284">
        <v>4</v>
      </c>
      <c r="L1284" s="9" t="e">
        <f t="shared" si="41"/>
        <v>#VALUE!</v>
      </c>
    </row>
    <row r="1285" spans="1:12" x14ac:dyDescent="0.35">
      <c r="A1285">
        <f t="shared" si="42"/>
        <v>1284</v>
      </c>
      <c r="B1285" t="s">
        <v>112</v>
      </c>
      <c r="C1285" s="109" t="str">
        <f>IF(ISBLANK(K1285),IFERROR(VLOOKUP(I1285,FS_input_data!$C$107:$N$306,Export!J1285,FALSE),""),K1285)</f>
        <v/>
      </c>
      <c r="D1285" s="6"/>
      <c r="E1285" t="s">
        <v>1561</v>
      </c>
      <c r="F1285" s="6"/>
      <c r="G1285" s="6"/>
      <c r="H1285" s="6" t="s">
        <v>1389</v>
      </c>
      <c r="I1285" t="s">
        <v>1561</v>
      </c>
      <c r="J1285" t="s">
        <v>1561</v>
      </c>
      <c r="L1285">
        <f t="shared" si="41"/>
        <v>1</v>
      </c>
    </row>
    <row r="1286" spans="1:12" x14ac:dyDescent="0.35">
      <c r="A1286">
        <f t="shared" si="42"/>
        <v>1285</v>
      </c>
      <c r="B1286" t="s">
        <v>453</v>
      </c>
      <c r="C1286" s="109" t="str">
        <f>IF(ISBLANK(K1286),IFERROR(VLOOKUP(I1286,FS_input_data!$C$107:$N$306,Export!J1286,FALSE),""),K1286)</f>
        <v/>
      </c>
      <c r="D1286" s="6"/>
      <c r="E1286" t="s">
        <v>1561</v>
      </c>
      <c r="F1286" s="6"/>
      <c r="G1286" s="6"/>
      <c r="H1286" s="6" t="s">
        <v>1389</v>
      </c>
      <c r="I1286" t="s">
        <v>1561</v>
      </c>
      <c r="J1286" t="s">
        <v>1561</v>
      </c>
      <c r="L1286">
        <f t="shared" si="41"/>
        <v>1</v>
      </c>
    </row>
    <row r="1287" spans="1:12" x14ac:dyDescent="0.35">
      <c r="A1287">
        <f t="shared" si="42"/>
        <v>1286</v>
      </c>
      <c r="B1287" t="s">
        <v>454</v>
      </c>
      <c r="C1287" s="109" t="str">
        <f>IF(ISBLANK(K1287),IFERROR(VLOOKUP(I1287,FS_input_data!$C$107:$N$306,Export!J1287,FALSE),""),K1287)</f>
        <v/>
      </c>
      <c r="D1287" s="6"/>
      <c r="E1287" t="s">
        <v>1458</v>
      </c>
      <c r="F1287" s="6"/>
      <c r="G1287" s="6"/>
      <c r="H1287" s="6" t="s">
        <v>1389</v>
      </c>
      <c r="I1287" t="s">
        <v>1561</v>
      </c>
      <c r="J1287" t="s">
        <v>1561</v>
      </c>
      <c r="L1287" s="26" t="e">
        <f t="shared" si="41"/>
        <v>#VALUE!</v>
      </c>
    </row>
    <row r="1288" spans="1:12" x14ac:dyDescent="0.35">
      <c r="A1288" s="9">
        <f t="shared" si="42"/>
        <v>1287</v>
      </c>
      <c r="B1288" t="s">
        <v>109</v>
      </c>
      <c r="C1288" s="109">
        <f>IF(ISBLANK(K1288),IFERROR(VLOOKUP(I1288,FS_input_data!$C$107:$N$306,Export!J1288,FALSE),""),K1288)</f>
        <v>23</v>
      </c>
      <c r="D1288" s="6" t="b">
        <v>1</v>
      </c>
      <c r="E1288" t="s">
        <v>1561</v>
      </c>
      <c r="F1288" s="6"/>
      <c r="G1288" s="6"/>
      <c r="H1288" s="6" t="s">
        <v>1389</v>
      </c>
      <c r="I1288" t="s">
        <v>1457</v>
      </c>
      <c r="J1288">
        <v>3</v>
      </c>
      <c r="L1288" s="9" t="e">
        <f t="shared" si="41"/>
        <v>#VALUE!</v>
      </c>
    </row>
    <row r="1289" spans="1:12" x14ac:dyDescent="0.35">
      <c r="A1289">
        <f t="shared" si="42"/>
        <v>1288</v>
      </c>
      <c r="B1289" t="s">
        <v>110</v>
      </c>
      <c r="C1289" s="109" t="str">
        <f>IF(ISBLANK(K1289),IFERROR(VLOOKUP(I1289,FS_input_data!$C$107:$N$306,Export!J1289,FALSE),""),K1289)</f>
        <v/>
      </c>
      <c r="D1289" s="6"/>
      <c r="F1289" s="6"/>
      <c r="G1289" s="6"/>
      <c r="H1289" s="6" t="s">
        <v>1389</v>
      </c>
      <c r="I1289" t="s">
        <v>1561</v>
      </c>
      <c r="J1289" t="s">
        <v>1561</v>
      </c>
      <c r="L1289">
        <f t="shared" si="41"/>
        <v>1</v>
      </c>
    </row>
    <row r="1290" spans="1:12" x14ac:dyDescent="0.35">
      <c r="A1290" s="9">
        <f t="shared" si="42"/>
        <v>1289</v>
      </c>
      <c r="B1290" t="s">
        <v>111</v>
      </c>
      <c r="C1290" s="109">
        <f>IF(ISBLANK(K1290),IFERROR(VLOOKUP(I1290,FS_input_data!$C$107:$N$306,Export!J1290,FALSE),""),K1290)</f>
        <v>123</v>
      </c>
      <c r="D1290" s="6" t="b">
        <v>1</v>
      </c>
      <c r="E1290" t="s">
        <v>1561</v>
      </c>
      <c r="F1290" s="6"/>
      <c r="G1290" s="6"/>
      <c r="H1290" s="6" t="s">
        <v>1389</v>
      </c>
      <c r="I1290" t="s">
        <v>1457</v>
      </c>
      <c r="J1290">
        <v>4</v>
      </c>
      <c r="L1290" s="9" t="e">
        <f t="shared" si="41"/>
        <v>#VALUE!</v>
      </c>
    </row>
    <row r="1291" spans="1:12" x14ac:dyDescent="0.35">
      <c r="A1291">
        <f t="shared" si="42"/>
        <v>1290</v>
      </c>
      <c r="B1291" t="s">
        <v>112</v>
      </c>
      <c r="C1291" s="109" t="str">
        <f>IF(ISBLANK(K1291),IFERROR(VLOOKUP(I1291,FS_input_data!$C$107:$N$306,Export!J1291,FALSE),""),K1291)</f>
        <v/>
      </c>
      <c r="D1291" s="6"/>
      <c r="E1291" t="s">
        <v>1561</v>
      </c>
      <c r="F1291" s="6"/>
      <c r="G1291" s="6"/>
      <c r="H1291" s="6" t="s">
        <v>1389</v>
      </c>
      <c r="I1291" t="s">
        <v>1561</v>
      </c>
      <c r="J1291" t="s">
        <v>1561</v>
      </c>
      <c r="L1291">
        <f t="shared" si="41"/>
        <v>1</v>
      </c>
    </row>
    <row r="1292" spans="1:12" x14ac:dyDescent="0.35">
      <c r="A1292">
        <f t="shared" si="42"/>
        <v>1291</v>
      </c>
      <c r="B1292" t="s">
        <v>455</v>
      </c>
      <c r="C1292" s="109" t="str">
        <f>IF(ISBLANK(K1292),IFERROR(VLOOKUP(I1292,FS_input_data!$C$107:$N$306,Export!J1292,FALSE),""),K1292)</f>
        <v/>
      </c>
      <c r="D1292" s="6"/>
      <c r="E1292" t="s">
        <v>1561</v>
      </c>
      <c r="F1292" s="6"/>
      <c r="G1292" s="6"/>
      <c r="H1292" s="6" t="s">
        <v>1389</v>
      </c>
      <c r="I1292" t="s">
        <v>1561</v>
      </c>
      <c r="J1292" t="s">
        <v>1561</v>
      </c>
      <c r="L1292">
        <f t="shared" si="41"/>
        <v>1</v>
      </c>
    </row>
    <row r="1293" spans="1:12" x14ac:dyDescent="0.35">
      <c r="A1293">
        <f t="shared" si="42"/>
        <v>1292</v>
      </c>
      <c r="B1293" t="s">
        <v>456</v>
      </c>
      <c r="C1293" s="109" t="str">
        <f>IF(ISBLANK(K1293),IFERROR(VLOOKUP(I1293,FS_input_data!$C$107:$N$306,Export!J1293,FALSE),""),K1293)</f>
        <v/>
      </c>
      <c r="D1293" s="6"/>
      <c r="E1293" t="s">
        <v>1561</v>
      </c>
      <c r="F1293" s="6"/>
      <c r="G1293" s="6"/>
      <c r="H1293" s="6" t="s">
        <v>1389</v>
      </c>
      <c r="I1293" t="s">
        <v>1561</v>
      </c>
      <c r="J1293" t="s">
        <v>1561</v>
      </c>
      <c r="L1293">
        <f t="shared" si="41"/>
        <v>1</v>
      </c>
    </row>
    <row r="1294" spans="1:12" x14ac:dyDescent="0.35">
      <c r="A1294">
        <f t="shared" si="42"/>
        <v>1293</v>
      </c>
      <c r="B1294" t="s">
        <v>457</v>
      </c>
      <c r="C1294" s="109" t="str">
        <f>IF(ISBLANK(K1294),IFERROR(VLOOKUP(I1294,FS_input_data!$C$107:$N$306,Export!J1294,FALSE),""),K1294)</f>
        <v/>
      </c>
      <c r="D1294" s="6"/>
      <c r="E1294" t="s">
        <v>1461</v>
      </c>
      <c r="F1294" s="6"/>
      <c r="G1294" s="6"/>
      <c r="H1294" s="6" t="s">
        <v>1389</v>
      </c>
      <c r="I1294" t="s">
        <v>1561</v>
      </c>
      <c r="J1294" t="s">
        <v>1561</v>
      </c>
      <c r="L1294" s="26" t="e">
        <f t="shared" si="41"/>
        <v>#VALUE!</v>
      </c>
    </row>
    <row r="1295" spans="1:12" x14ac:dyDescent="0.35">
      <c r="A1295" s="9">
        <f t="shared" si="42"/>
        <v>1294</v>
      </c>
      <c r="B1295" t="s">
        <v>109</v>
      </c>
      <c r="C1295" s="109">
        <f>IF(ISBLANK(K1295),IFERROR(VLOOKUP(I1295,FS_input_data!$C$107:$N$306,Export!J1295,FALSE),""),K1295)</f>
        <v>78</v>
      </c>
      <c r="D1295" s="6" t="b">
        <v>1</v>
      </c>
      <c r="E1295" t="s">
        <v>1561</v>
      </c>
      <c r="F1295" s="6"/>
      <c r="G1295" s="6"/>
      <c r="H1295" s="6" t="s">
        <v>1389</v>
      </c>
      <c r="I1295" t="s">
        <v>1460</v>
      </c>
      <c r="J1295">
        <v>3</v>
      </c>
      <c r="L1295" s="9" t="e">
        <f t="shared" si="41"/>
        <v>#VALUE!</v>
      </c>
    </row>
    <row r="1296" spans="1:12" x14ac:dyDescent="0.35">
      <c r="A1296">
        <f t="shared" si="42"/>
        <v>1295</v>
      </c>
      <c r="B1296" t="s">
        <v>110</v>
      </c>
      <c r="C1296" s="109" t="str">
        <f>IF(ISBLANK(K1296),IFERROR(VLOOKUP(I1296,FS_input_data!$C$107:$N$306,Export!J1296,FALSE),""),K1296)</f>
        <v/>
      </c>
      <c r="D1296" s="6"/>
      <c r="F1296" s="6"/>
      <c r="G1296" s="6"/>
      <c r="H1296" s="6" t="s">
        <v>1389</v>
      </c>
      <c r="I1296" t="s">
        <v>1561</v>
      </c>
      <c r="J1296" t="s">
        <v>1561</v>
      </c>
      <c r="L1296">
        <f t="shared" si="41"/>
        <v>1</v>
      </c>
    </row>
    <row r="1297" spans="1:12" x14ac:dyDescent="0.35">
      <c r="A1297" s="9">
        <f t="shared" si="42"/>
        <v>1296</v>
      </c>
      <c r="B1297" t="s">
        <v>111</v>
      </c>
      <c r="C1297" s="109">
        <f>IF(ISBLANK(K1297),IFERROR(VLOOKUP(I1297,FS_input_data!$C$107:$N$306,Export!J1297,FALSE),""),K1297)</f>
        <v>378</v>
      </c>
      <c r="D1297" s="6" t="b">
        <v>1</v>
      </c>
      <c r="E1297" t="s">
        <v>1561</v>
      </c>
      <c r="F1297" s="6"/>
      <c r="G1297" s="6"/>
      <c r="H1297" s="6" t="s">
        <v>1389</v>
      </c>
      <c r="I1297" t="s">
        <v>1460</v>
      </c>
      <c r="J1297">
        <v>4</v>
      </c>
      <c r="L1297" s="9" t="e">
        <f t="shared" si="41"/>
        <v>#VALUE!</v>
      </c>
    </row>
    <row r="1298" spans="1:12" x14ac:dyDescent="0.35">
      <c r="A1298">
        <f t="shared" si="42"/>
        <v>1297</v>
      </c>
      <c r="B1298" t="s">
        <v>112</v>
      </c>
      <c r="C1298" s="109" t="str">
        <f>IF(ISBLANK(K1298),IFERROR(VLOOKUP(I1298,FS_input_data!$C$107:$N$306,Export!J1298,FALSE),""),K1298)</f>
        <v/>
      </c>
      <c r="D1298" s="6"/>
      <c r="E1298" t="s">
        <v>1561</v>
      </c>
      <c r="F1298" s="6"/>
      <c r="G1298" s="6"/>
      <c r="H1298" s="6" t="s">
        <v>1389</v>
      </c>
      <c r="I1298" t="s">
        <v>1561</v>
      </c>
      <c r="J1298" t="s">
        <v>1561</v>
      </c>
      <c r="L1298">
        <f t="shared" si="41"/>
        <v>1</v>
      </c>
    </row>
    <row r="1299" spans="1:12" x14ac:dyDescent="0.35">
      <c r="A1299">
        <f t="shared" si="42"/>
        <v>1298</v>
      </c>
      <c r="B1299" t="s">
        <v>458</v>
      </c>
      <c r="C1299" s="109" t="str">
        <f>IF(ISBLANK(K1299),IFERROR(VLOOKUP(I1299,FS_input_data!$C$107:$N$306,Export!J1299,FALSE),""),K1299)</f>
        <v/>
      </c>
      <c r="D1299" s="6"/>
      <c r="E1299" t="s">
        <v>1464</v>
      </c>
      <c r="F1299" s="6"/>
      <c r="G1299" s="6"/>
      <c r="H1299" s="6" t="s">
        <v>1389</v>
      </c>
      <c r="I1299" t="s">
        <v>1561</v>
      </c>
      <c r="J1299" t="s">
        <v>1561</v>
      </c>
      <c r="L1299" s="26" t="e">
        <f t="shared" si="41"/>
        <v>#VALUE!</v>
      </c>
    </row>
    <row r="1300" spans="1:12" x14ac:dyDescent="0.35">
      <c r="A1300" s="9">
        <f t="shared" si="42"/>
        <v>1299</v>
      </c>
      <c r="B1300" t="s">
        <v>109</v>
      </c>
      <c r="C1300" s="109">
        <f>IF(ISBLANK(K1300),IFERROR(VLOOKUP(I1300,FS_input_data!$C$107:$N$306,Export!J1300,FALSE),""),K1300)</f>
        <v>25</v>
      </c>
      <c r="D1300" s="6" t="b">
        <v>1</v>
      </c>
      <c r="E1300" t="s">
        <v>1561</v>
      </c>
      <c r="F1300" s="6"/>
      <c r="G1300" s="6"/>
      <c r="H1300" s="6" t="s">
        <v>1389</v>
      </c>
      <c r="I1300" t="s">
        <v>1463</v>
      </c>
      <c r="J1300">
        <v>3</v>
      </c>
      <c r="L1300" s="9" t="e">
        <f t="shared" si="41"/>
        <v>#VALUE!</v>
      </c>
    </row>
    <row r="1301" spans="1:12" x14ac:dyDescent="0.35">
      <c r="A1301">
        <f t="shared" si="42"/>
        <v>1300</v>
      </c>
      <c r="B1301" t="s">
        <v>110</v>
      </c>
      <c r="C1301" s="109" t="str">
        <f>IF(ISBLANK(K1301),IFERROR(VLOOKUP(I1301,FS_input_data!$C$107:$N$306,Export!J1301,FALSE),""),K1301)</f>
        <v/>
      </c>
      <c r="D1301" s="6"/>
      <c r="F1301" s="6"/>
      <c r="G1301" s="6"/>
      <c r="H1301" s="6" t="s">
        <v>1389</v>
      </c>
      <c r="I1301" t="s">
        <v>1561</v>
      </c>
      <c r="J1301" t="s">
        <v>1561</v>
      </c>
      <c r="L1301">
        <f t="shared" si="41"/>
        <v>1</v>
      </c>
    </row>
    <row r="1302" spans="1:12" x14ac:dyDescent="0.35">
      <c r="A1302" s="9">
        <f t="shared" si="42"/>
        <v>1301</v>
      </c>
      <c r="B1302" t="s">
        <v>111</v>
      </c>
      <c r="C1302" s="109">
        <f>IF(ISBLANK(K1302),IFERROR(VLOOKUP(I1302,FS_input_data!$C$107:$N$306,Export!J1302,FALSE),""),K1302)</f>
        <v>125</v>
      </c>
      <c r="D1302" s="6" t="b">
        <v>1</v>
      </c>
      <c r="F1302" s="6"/>
      <c r="G1302" s="6"/>
      <c r="H1302" s="6" t="s">
        <v>1389</v>
      </c>
      <c r="I1302" t="s">
        <v>1463</v>
      </c>
      <c r="J1302">
        <v>4</v>
      </c>
      <c r="L1302" s="9" t="e">
        <f t="shared" si="41"/>
        <v>#VALUE!</v>
      </c>
    </row>
    <row r="1303" spans="1:12" x14ac:dyDescent="0.35">
      <c r="A1303">
        <f t="shared" si="42"/>
        <v>1302</v>
      </c>
      <c r="B1303" t="s">
        <v>112</v>
      </c>
      <c r="C1303" s="109" t="str">
        <f>IF(ISBLANK(K1303),IFERROR(VLOOKUP(I1303,FS_input_data!$C$107:$N$306,Export!J1303,FALSE),""),K1303)</f>
        <v/>
      </c>
      <c r="D1303" s="6"/>
      <c r="E1303" t="s">
        <v>1561</v>
      </c>
      <c r="F1303" s="6"/>
      <c r="G1303" s="6"/>
      <c r="H1303" s="6" t="s">
        <v>1389</v>
      </c>
      <c r="I1303" t="s">
        <v>1561</v>
      </c>
      <c r="J1303" t="s">
        <v>1561</v>
      </c>
      <c r="L1303">
        <f t="shared" si="41"/>
        <v>1</v>
      </c>
    </row>
    <row r="1304" spans="1:12" x14ac:dyDescent="0.35">
      <c r="A1304">
        <f t="shared" si="42"/>
        <v>1303</v>
      </c>
      <c r="B1304" t="s">
        <v>459</v>
      </c>
      <c r="C1304" s="109" t="str">
        <f>IF(ISBLANK(K1304),IFERROR(VLOOKUP(I1304,FS_input_data!$C$107:$N$306,Export!J1304,FALSE),""),K1304)</f>
        <v/>
      </c>
      <c r="D1304" s="6"/>
      <c r="E1304" t="s">
        <v>1561</v>
      </c>
      <c r="F1304" s="6"/>
      <c r="G1304" s="6"/>
      <c r="H1304" s="6" t="s">
        <v>1389</v>
      </c>
      <c r="I1304" t="s">
        <v>1561</v>
      </c>
      <c r="J1304" t="s">
        <v>1561</v>
      </c>
      <c r="L1304">
        <f t="shared" si="41"/>
        <v>1</v>
      </c>
    </row>
    <row r="1305" spans="1:12" x14ac:dyDescent="0.35">
      <c r="A1305">
        <f t="shared" si="42"/>
        <v>1304</v>
      </c>
      <c r="B1305" t="s">
        <v>460</v>
      </c>
      <c r="C1305" s="109" t="str">
        <f>IF(ISBLANK(K1305),IFERROR(VLOOKUP(I1305,FS_input_data!$C$107:$N$306,Export!J1305,FALSE),""),K1305)</f>
        <v/>
      </c>
      <c r="D1305" s="6"/>
      <c r="E1305" t="s">
        <v>1467</v>
      </c>
      <c r="F1305" s="6"/>
      <c r="G1305" s="6"/>
      <c r="H1305" s="6" t="s">
        <v>1389</v>
      </c>
      <c r="I1305" t="s">
        <v>1561</v>
      </c>
      <c r="J1305" t="s">
        <v>1561</v>
      </c>
      <c r="L1305" s="26" t="e">
        <f t="shared" si="41"/>
        <v>#VALUE!</v>
      </c>
    </row>
    <row r="1306" spans="1:12" x14ac:dyDescent="0.35">
      <c r="A1306" s="9">
        <f t="shared" si="42"/>
        <v>1305</v>
      </c>
      <c r="B1306" t="s">
        <v>109</v>
      </c>
      <c r="C1306" s="109">
        <f>IF(ISBLANK(K1306),IFERROR(VLOOKUP(I1306,FS_input_data!$C$107:$N$306,Export!J1306,FALSE),""),K1306)</f>
        <v>26</v>
      </c>
      <c r="D1306" s="6" t="b">
        <v>1</v>
      </c>
      <c r="E1306" t="s">
        <v>1561</v>
      </c>
      <c r="F1306" s="6"/>
      <c r="G1306" s="6"/>
      <c r="H1306" s="6" t="s">
        <v>1389</v>
      </c>
      <c r="I1306" t="s">
        <v>1466</v>
      </c>
      <c r="J1306">
        <v>3</v>
      </c>
      <c r="L1306" s="9" t="e">
        <f t="shared" si="41"/>
        <v>#VALUE!</v>
      </c>
    </row>
    <row r="1307" spans="1:12" x14ac:dyDescent="0.35">
      <c r="A1307">
        <f t="shared" si="42"/>
        <v>1306</v>
      </c>
      <c r="B1307" t="s">
        <v>110</v>
      </c>
      <c r="C1307" s="109" t="str">
        <f>IF(ISBLANK(K1307),IFERROR(VLOOKUP(I1307,FS_input_data!$C$107:$N$306,Export!J1307,FALSE),""),K1307)</f>
        <v/>
      </c>
      <c r="D1307" s="6"/>
      <c r="F1307" s="6"/>
      <c r="G1307" s="6"/>
      <c r="H1307" s="6" t="s">
        <v>1389</v>
      </c>
      <c r="I1307" t="s">
        <v>1561</v>
      </c>
      <c r="J1307" t="s">
        <v>1561</v>
      </c>
      <c r="L1307">
        <f t="shared" si="41"/>
        <v>1</v>
      </c>
    </row>
    <row r="1308" spans="1:12" x14ac:dyDescent="0.35">
      <c r="A1308" s="9">
        <f t="shared" si="42"/>
        <v>1307</v>
      </c>
      <c r="B1308" t="s">
        <v>111</v>
      </c>
      <c r="C1308" s="109">
        <f>IF(ISBLANK(K1308),IFERROR(VLOOKUP(I1308,FS_input_data!$C$107:$N$306,Export!J1308,FALSE),""),K1308)</f>
        <v>126</v>
      </c>
      <c r="D1308" s="6" t="b">
        <v>1</v>
      </c>
      <c r="E1308" t="s">
        <v>1561</v>
      </c>
      <c r="F1308" s="6"/>
      <c r="G1308" s="6"/>
      <c r="H1308" s="6" t="s">
        <v>1389</v>
      </c>
      <c r="I1308" t="s">
        <v>1466</v>
      </c>
      <c r="J1308">
        <v>4</v>
      </c>
      <c r="L1308" s="9" t="e">
        <f t="shared" si="41"/>
        <v>#VALUE!</v>
      </c>
    </row>
    <row r="1309" spans="1:12" x14ac:dyDescent="0.35">
      <c r="A1309">
        <f t="shared" si="42"/>
        <v>1308</v>
      </c>
      <c r="B1309" t="s">
        <v>112</v>
      </c>
      <c r="C1309" s="109" t="str">
        <f>IF(ISBLANK(K1309),IFERROR(VLOOKUP(I1309,FS_input_data!$C$107:$N$306,Export!J1309,FALSE),""),K1309)</f>
        <v/>
      </c>
      <c r="D1309" s="6"/>
      <c r="E1309" t="s">
        <v>1561</v>
      </c>
      <c r="F1309" s="6"/>
      <c r="G1309" s="6"/>
      <c r="H1309" s="6" t="s">
        <v>1389</v>
      </c>
      <c r="I1309" t="s">
        <v>1561</v>
      </c>
      <c r="J1309" t="s">
        <v>1561</v>
      </c>
      <c r="L1309">
        <f t="shared" si="41"/>
        <v>1</v>
      </c>
    </row>
    <row r="1310" spans="1:12" x14ac:dyDescent="0.35">
      <c r="A1310">
        <f t="shared" si="42"/>
        <v>1309</v>
      </c>
      <c r="B1310" t="s">
        <v>461</v>
      </c>
      <c r="C1310" s="109" t="str">
        <f>IF(ISBLANK(K1310),IFERROR(VLOOKUP(I1310,FS_input_data!$C$107:$N$306,Export!J1310,FALSE),""),K1310)</f>
        <v/>
      </c>
      <c r="D1310" s="6"/>
      <c r="E1310" t="s">
        <v>1561</v>
      </c>
      <c r="F1310" s="6"/>
      <c r="G1310" s="6"/>
      <c r="H1310" s="6" t="s">
        <v>1389</v>
      </c>
      <c r="I1310" t="s">
        <v>1561</v>
      </c>
      <c r="J1310" t="s">
        <v>1561</v>
      </c>
      <c r="L1310">
        <f t="shared" si="41"/>
        <v>1</v>
      </c>
    </row>
    <row r="1311" spans="1:12" x14ac:dyDescent="0.35">
      <c r="A1311">
        <f t="shared" si="42"/>
        <v>1310</v>
      </c>
      <c r="B1311" t="s">
        <v>462</v>
      </c>
      <c r="C1311" s="109" t="str">
        <f>IF(ISBLANK(K1311),IFERROR(VLOOKUP(I1311,FS_input_data!$C$107:$N$306,Export!J1311,FALSE),""),K1311)</f>
        <v/>
      </c>
      <c r="D1311" s="6"/>
      <c r="E1311" t="s">
        <v>1470</v>
      </c>
      <c r="F1311" s="6"/>
      <c r="G1311" s="6"/>
      <c r="H1311" s="6" t="s">
        <v>1389</v>
      </c>
      <c r="I1311" t="s">
        <v>1561</v>
      </c>
      <c r="J1311" t="s">
        <v>1561</v>
      </c>
      <c r="L1311" s="26" t="e">
        <f t="shared" si="41"/>
        <v>#VALUE!</v>
      </c>
    </row>
    <row r="1312" spans="1:12" x14ac:dyDescent="0.35">
      <c r="A1312" s="9">
        <f t="shared" si="42"/>
        <v>1311</v>
      </c>
      <c r="B1312" t="s">
        <v>109</v>
      </c>
      <c r="C1312" s="109">
        <f>IF(ISBLANK(K1312),IFERROR(VLOOKUP(I1312,FS_input_data!$C$107:$N$306,Export!J1312,FALSE),""),K1312)</f>
        <v>27</v>
      </c>
      <c r="D1312" s="6" t="b">
        <v>1</v>
      </c>
      <c r="E1312" t="s">
        <v>1561</v>
      </c>
      <c r="F1312" s="6"/>
      <c r="G1312" s="6"/>
      <c r="H1312" s="6" t="s">
        <v>1389</v>
      </c>
      <c r="I1312" t="s">
        <v>1469</v>
      </c>
      <c r="J1312">
        <v>3</v>
      </c>
      <c r="L1312" s="9" t="e">
        <f t="shared" si="41"/>
        <v>#VALUE!</v>
      </c>
    </row>
    <row r="1313" spans="1:12" x14ac:dyDescent="0.35">
      <c r="A1313">
        <f t="shared" si="42"/>
        <v>1312</v>
      </c>
      <c r="B1313" t="s">
        <v>110</v>
      </c>
      <c r="C1313" s="109" t="str">
        <f>IF(ISBLANK(K1313),IFERROR(VLOOKUP(I1313,FS_input_data!$C$107:$N$306,Export!J1313,FALSE),""),K1313)</f>
        <v/>
      </c>
      <c r="D1313" s="6"/>
      <c r="F1313" s="6"/>
      <c r="G1313" s="6"/>
      <c r="H1313" s="6" t="s">
        <v>1389</v>
      </c>
      <c r="I1313" t="s">
        <v>1561</v>
      </c>
      <c r="J1313" t="s">
        <v>1561</v>
      </c>
      <c r="L1313">
        <f t="shared" si="41"/>
        <v>1</v>
      </c>
    </row>
    <row r="1314" spans="1:12" x14ac:dyDescent="0.35">
      <c r="A1314" s="9">
        <f t="shared" si="42"/>
        <v>1313</v>
      </c>
      <c r="B1314" t="s">
        <v>111</v>
      </c>
      <c r="C1314" s="109">
        <f>IF(ISBLANK(K1314),IFERROR(VLOOKUP(I1314,FS_input_data!$C$107:$N$306,Export!J1314,FALSE),""),K1314)</f>
        <v>127</v>
      </c>
      <c r="D1314" s="6" t="b">
        <v>1</v>
      </c>
      <c r="E1314" t="s">
        <v>1561</v>
      </c>
      <c r="F1314" s="6"/>
      <c r="G1314" s="6"/>
      <c r="H1314" s="6" t="s">
        <v>1389</v>
      </c>
      <c r="I1314" t="s">
        <v>1469</v>
      </c>
      <c r="J1314">
        <v>4</v>
      </c>
      <c r="L1314" s="9" t="e">
        <f t="shared" si="41"/>
        <v>#VALUE!</v>
      </c>
    </row>
    <row r="1315" spans="1:12" x14ac:dyDescent="0.35">
      <c r="A1315">
        <f t="shared" si="42"/>
        <v>1314</v>
      </c>
      <c r="B1315" t="s">
        <v>112</v>
      </c>
      <c r="C1315" s="109" t="str">
        <f>IF(ISBLANK(K1315),IFERROR(VLOOKUP(I1315,FS_input_data!$C$107:$N$306,Export!J1315,FALSE),""),K1315)</f>
        <v/>
      </c>
      <c r="D1315" s="6"/>
      <c r="E1315" t="s">
        <v>1561</v>
      </c>
      <c r="F1315" s="6"/>
      <c r="G1315" s="6"/>
      <c r="H1315" s="6" t="s">
        <v>1389</v>
      </c>
      <c r="I1315" t="s">
        <v>1561</v>
      </c>
      <c r="J1315" t="s">
        <v>1561</v>
      </c>
      <c r="L1315">
        <f t="shared" si="41"/>
        <v>1</v>
      </c>
    </row>
    <row r="1316" spans="1:12" x14ac:dyDescent="0.35">
      <c r="A1316">
        <f t="shared" si="42"/>
        <v>1315</v>
      </c>
      <c r="B1316" t="s">
        <v>463</v>
      </c>
      <c r="C1316" s="109" t="str">
        <f>IF(ISBLANK(K1316),IFERROR(VLOOKUP(I1316,FS_input_data!$C$107:$N$306,Export!J1316,FALSE),""),K1316)</f>
        <v/>
      </c>
      <c r="D1316" s="6"/>
      <c r="E1316" t="s">
        <v>1561</v>
      </c>
      <c r="F1316" s="6"/>
      <c r="G1316" s="6"/>
      <c r="H1316" s="6" t="s">
        <v>1389</v>
      </c>
      <c r="I1316" t="s">
        <v>1561</v>
      </c>
      <c r="J1316" t="s">
        <v>1561</v>
      </c>
      <c r="L1316">
        <f t="shared" si="41"/>
        <v>1</v>
      </c>
    </row>
    <row r="1317" spans="1:12" x14ac:dyDescent="0.35">
      <c r="A1317">
        <f t="shared" si="42"/>
        <v>1316</v>
      </c>
      <c r="B1317" t="s">
        <v>464</v>
      </c>
      <c r="C1317" s="109" t="str">
        <f>IF(ISBLANK(K1317),IFERROR(VLOOKUP(I1317,FS_input_data!$C$107:$N$306,Export!J1317,FALSE),""),K1317)</f>
        <v/>
      </c>
      <c r="D1317" s="6"/>
      <c r="E1317" t="s">
        <v>1561</v>
      </c>
      <c r="F1317" s="6"/>
      <c r="G1317" s="6"/>
      <c r="H1317" s="6" t="s">
        <v>1389</v>
      </c>
      <c r="I1317" t="s">
        <v>1561</v>
      </c>
      <c r="J1317" t="s">
        <v>1561</v>
      </c>
      <c r="L1317">
        <f t="shared" si="41"/>
        <v>1</v>
      </c>
    </row>
    <row r="1318" spans="1:12" x14ac:dyDescent="0.35">
      <c r="A1318">
        <f t="shared" si="42"/>
        <v>1317</v>
      </c>
      <c r="B1318" t="s">
        <v>465</v>
      </c>
      <c r="C1318" s="109" t="str">
        <f>IF(ISBLANK(K1318),IFERROR(VLOOKUP(I1318,FS_input_data!$C$107:$N$306,Export!J1318,FALSE),""),K1318)</f>
        <v/>
      </c>
      <c r="D1318" s="6"/>
      <c r="E1318" t="s">
        <v>1473</v>
      </c>
      <c r="F1318" s="6"/>
      <c r="G1318" s="6"/>
      <c r="H1318" s="6" t="s">
        <v>1389</v>
      </c>
      <c r="I1318" t="s">
        <v>1561</v>
      </c>
      <c r="J1318" t="s">
        <v>1561</v>
      </c>
      <c r="L1318" s="26" t="e">
        <f t="shared" si="41"/>
        <v>#VALUE!</v>
      </c>
    </row>
    <row r="1319" spans="1:12" x14ac:dyDescent="0.35">
      <c r="A1319" s="9">
        <f t="shared" si="42"/>
        <v>1318</v>
      </c>
      <c r="B1319" t="s">
        <v>109</v>
      </c>
      <c r="C1319" s="109">
        <f>IF(ISBLANK(K1319),IFERROR(VLOOKUP(I1319,FS_input_data!$C$107:$N$306,Export!J1319,FALSE),""),K1319)</f>
        <v>-72</v>
      </c>
      <c r="D1319" s="6" t="b">
        <v>1</v>
      </c>
      <c r="E1319" t="s">
        <v>1561</v>
      </c>
      <c r="F1319" s="6"/>
      <c r="G1319" s="6"/>
      <c r="H1319" s="6" t="s">
        <v>1389</v>
      </c>
      <c r="I1319" t="s">
        <v>1472</v>
      </c>
      <c r="J1319">
        <v>3</v>
      </c>
      <c r="L1319" s="9" t="e">
        <f t="shared" si="41"/>
        <v>#VALUE!</v>
      </c>
    </row>
    <row r="1320" spans="1:12" x14ac:dyDescent="0.35">
      <c r="A1320">
        <f t="shared" si="42"/>
        <v>1319</v>
      </c>
      <c r="B1320" t="s">
        <v>110</v>
      </c>
      <c r="C1320" s="109" t="str">
        <f>IF(ISBLANK(K1320),IFERROR(VLOOKUP(I1320,FS_input_data!$C$107:$N$306,Export!J1320,FALSE),""),K1320)</f>
        <v/>
      </c>
      <c r="D1320" s="6"/>
      <c r="F1320" s="6"/>
      <c r="G1320" s="6"/>
      <c r="H1320" s="6" t="s">
        <v>1389</v>
      </c>
      <c r="I1320" t="s">
        <v>1561</v>
      </c>
      <c r="J1320" t="s">
        <v>1561</v>
      </c>
      <c r="L1320">
        <f t="shared" si="41"/>
        <v>1</v>
      </c>
    </row>
    <row r="1321" spans="1:12" x14ac:dyDescent="0.35">
      <c r="A1321" s="9">
        <f t="shared" si="42"/>
        <v>1320</v>
      </c>
      <c r="B1321" t="s">
        <v>111</v>
      </c>
      <c r="C1321" s="109">
        <f>IF(ISBLANK(K1321),IFERROR(VLOOKUP(I1321,FS_input_data!$C$107:$N$306,Export!J1321,FALSE),""),K1321)</f>
        <v>-372</v>
      </c>
      <c r="D1321" s="6" t="b">
        <v>1</v>
      </c>
      <c r="E1321" t="s">
        <v>1561</v>
      </c>
      <c r="F1321" s="6"/>
      <c r="G1321" s="6"/>
      <c r="H1321" s="6" t="s">
        <v>1389</v>
      </c>
      <c r="I1321" t="s">
        <v>1472</v>
      </c>
      <c r="J1321">
        <v>4</v>
      </c>
      <c r="L1321" s="9" t="e">
        <f t="shared" si="41"/>
        <v>#VALUE!</v>
      </c>
    </row>
    <row r="1322" spans="1:12" x14ac:dyDescent="0.35">
      <c r="A1322">
        <f t="shared" si="42"/>
        <v>1321</v>
      </c>
      <c r="B1322" t="s">
        <v>112</v>
      </c>
      <c r="C1322" s="109" t="str">
        <f>IF(ISBLANK(K1322),IFERROR(VLOOKUP(I1322,FS_input_data!$C$107:$N$306,Export!J1322,FALSE),""),K1322)</f>
        <v/>
      </c>
      <c r="D1322" s="6"/>
      <c r="E1322" t="s">
        <v>1561</v>
      </c>
      <c r="F1322" s="6"/>
      <c r="G1322" s="6"/>
      <c r="H1322" s="6" t="s">
        <v>1389</v>
      </c>
      <c r="I1322" t="s">
        <v>1561</v>
      </c>
      <c r="J1322" t="s">
        <v>1561</v>
      </c>
      <c r="L1322">
        <f t="shared" si="41"/>
        <v>1</v>
      </c>
    </row>
    <row r="1323" spans="1:12" x14ac:dyDescent="0.35">
      <c r="A1323">
        <f t="shared" si="42"/>
        <v>1322</v>
      </c>
      <c r="B1323" t="s">
        <v>466</v>
      </c>
      <c r="C1323" s="109" t="str">
        <f>IF(ISBLANK(K1323),IFERROR(VLOOKUP(I1323,FS_input_data!$C$107:$N$306,Export!J1323,FALSE),""),K1323)</f>
        <v/>
      </c>
      <c r="D1323" s="6"/>
      <c r="E1323" t="s">
        <v>1561</v>
      </c>
      <c r="F1323" s="6"/>
      <c r="G1323" s="6"/>
      <c r="H1323" s="6" t="s">
        <v>1389</v>
      </c>
      <c r="I1323" t="s">
        <v>1561</v>
      </c>
      <c r="J1323" t="s">
        <v>1561</v>
      </c>
      <c r="L1323">
        <f t="shared" si="41"/>
        <v>1</v>
      </c>
    </row>
    <row r="1324" spans="1:12" x14ac:dyDescent="0.35">
      <c r="A1324">
        <f t="shared" si="42"/>
        <v>1323</v>
      </c>
      <c r="B1324" t="s">
        <v>467</v>
      </c>
      <c r="C1324" s="109" t="str">
        <f>IF(ISBLANK(K1324),IFERROR(VLOOKUP(I1324,FS_input_data!$C$107:$N$306,Export!J1324,FALSE),""),K1324)</f>
        <v/>
      </c>
      <c r="D1324" s="6"/>
      <c r="E1324" t="s">
        <v>1476</v>
      </c>
      <c r="F1324" s="6"/>
      <c r="G1324" s="6"/>
      <c r="H1324" s="6" t="s">
        <v>1389</v>
      </c>
      <c r="I1324" t="s">
        <v>1561</v>
      </c>
      <c r="J1324" t="s">
        <v>1561</v>
      </c>
      <c r="L1324" s="26" t="e">
        <f t="shared" si="41"/>
        <v>#VALUE!</v>
      </c>
    </row>
    <row r="1325" spans="1:12" x14ac:dyDescent="0.35">
      <c r="A1325" s="9">
        <f t="shared" si="42"/>
        <v>1324</v>
      </c>
      <c r="B1325" t="s">
        <v>109</v>
      </c>
      <c r="C1325" s="109">
        <f>IF(ISBLANK(K1325),IFERROR(VLOOKUP(I1325,FS_input_data!$C$107:$N$306,Export!J1325,FALSE),""),K1325)</f>
        <v>215</v>
      </c>
      <c r="D1325" s="6" t="b">
        <v>1</v>
      </c>
      <c r="E1325" t="s">
        <v>1561</v>
      </c>
      <c r="F1325" s="6"/>
      <c r="G1325" s="6"/>
      <c r="H1325" s="6" t="s">
        <v>1389</v>
      </c>
      <c r="I1325" t="s">
        <v>1475</v>
      </c>
      <c r="J1325">
        <v>3</v>
      </c>
      <c r="L1325" s="9" t="e">
        <f t="shared" si="41"/>
        <v>#VALUE!</v>
      </c>
    </row>
    <row r="1326" spans="1:12" x14ac:dyDescent="0.35">
      <c r="A1326">
        <f t="shared" si="42"/>
        <v>1325</v>
      </c>
      <c r="B1326" t="s">
        <v>110</v>
      </c>
      <c r="C1326" s="109" t="str">
        <f>IF(ISBLANK(K1326),IFERROR(VLOOKUP(I1326,FS_input_data!$C$107:$N$306,Export!J1326,FALSE),""),K1326)</f>
        <v/>
      </c>
      <c r="D1326" s="6"/>
      <c r="F1326" s="6"/>
      <c r="G1326" s="6"/>
      <c r="H1326" s="6" t="s">
        <v>1389</v>
      </c>
      <c r="I1326" t="s">
        <v>1561</v>
      </c>
      <c r="J1326" t="s">
        <v>1561</v>
      </c>
      <c r="L1326">
        <f t="shared" si="41"/>
        <v>1</v>
      </c>
    </row>
    <row r="1327" spans="1:12" x14ac:dyDescent="0.35">
      <c r="A1327" s="9">
        <f t="shared" si="42"/>
        <v>1326</v>
      </c>
      <c r="B1327" t="s">
        <v>111</v>
      </c>
      <c r="C1327" s="109">
        <f>IF(ISBLANK(K1327),IFERROR(VLOOKUP(I1327,FS_input_data!$C$107:$N$306,Export!J1327,FALSE),""),K1327)</f>
        <v>815</v>
      </c>
      <c r="D1327" s="6" t="b">
        <v>1</v>
      </c>
      <c r="E1327" t="s">
        <v>1561</v>
      </c>
      <c r="F1327" s="6"/>
      <c r="G1327" s="6"/>
      <c r="H1327" s="6" t="s">
        <v>1389</v>
      </c>
      <c r="I1327" t="s">
        <v>1475</v>
      </c>
      <c r="J1327">
        <v>4</v>
      </c>
      <c r="L1327" s="9" t="e">
        <f t="shared" si="41"/>
        <v>#VALUE!</v>
      </c>
    </row>
    <row r="1328" spans="1:12" x14ac:dyDescent="0.35">
      <c r="A1328">
        <f t="shared" si="42"/>
        <v>1327</v>
      </c>
      <c r="B1328" t="s">
        <v>112</v>
      </c>
      <c r="C1328" s="109" t="str">
        <f>IF(ISBLANK(K1328),IFERROR(VLOOKUP(I1328,FS_input_data!$C$107:$N$306,Export!J1328,FALSE),""),K1328)</f>
        <v/>
      </c>
      <c r="D1328" s="6"/>
      <c r="E1328" t="s">
        <v>1561</v>
      </c>
      <c r="F1328" s="6"/>
      <c r="G1328" s="6"/>
      <c r="H1328" s="6" t="s">
        <v>1389</v>
      </c>
      <c r="I1328" t="s">
        <v>1561</v>
      </c>
      <c r="J1328" t="s">
        <v>1561</v>
      </c>
      <c r="L1328">
        <f t="shared" si="41"/>
        <v>1</v>
      </c>
    </row>
    <row r="1329" spans="1:12" x14ac:dyDescent="0.35">
      <c r="A1329">
        <f t="shared" si="42"/>
        <v>1328</v>
      </c>
      <c r="B1329" t="s">
        <v>468</v>
      </c>
      <c r="C1329" s="109" t="str">
        <f>IF(ISBLANK(K1329),IFERROR(VLOOKUP(I1329,FS_input_data!$C$107:$N$306,Export!J1329,FALSE),""),K1329)</f>
        <v/>
      </c>
      <c r="D1329" s="6"/>
      <c r="E1329" t="s">
        <v>1479</v>
      </c>
      <c r="F1329" s="6"/>
      <c r="G1329" s="6"/>
      <c r="H1329" s="6" t="s">
        <v>1389</v>
      </c>
      <c r="I1329" t="s">
        <v>1561</v>
      </c>
      <c r="J1329" t="s">
        <v>1561</v>
      </c>
      <c r="L1329" s="26" t="e">
        <f t="shared" si="41"/>
        <v>#VALUE!</v>
      </c>
    </row>
    <row r="1330" spans="1:12" x14ac:dyDescent="0.35">
      <c r="A1330" s="9">
        <f t="shared" si="42"/>
        <v>1329</v>
      </c>
      <c r="B1330" t="s">
        <v>109</v>
      </c>
      <c r="C1330" s="109">
        <f>IF(ISBLANK(K1330),IFERROR(VLOOKUP(I1330,FS_input_data!$C$107:$N$306,Export!J1330,FALSE),""),K1330)</f>
        <v>64</v>
      </c>
      <c r="D1330" s="6" t="b">
        <v>1</v>
      </c>
      <c r="E1330" t="s">
        <v>1561</v>
      </c>
      <c r="F1330" s="6"/>
      <c r="G1330" s="6"/>
      <c r="H1330" s="6" t="s">
        <v>1389</v>
      </c>
      <c r="I1330" t="s">
        <v>1478</v>
      </c>
      <c r="J1330">
        <v>3</v>
      </c>
      <c r="L1330" s="9" t="e">
        <f t="shared" si="41"/>
        <v>#VALUE!</v>
      </c>
    </row>
    <row r="1331" spans="1:12" x14ac:dyDescent="0.35">
      <c r="A1331">
        <f t="shared" si="42"/>
        <v>1330</v>
      </c>
      <c r="B1331" t="s">
        <v>110</v>
      </c>
      <c r="C1331" s="109" t="str">
        <f>IF(ISBLANK(K1331),IFERROR(VLOOKUP(I1331,FS_input_data!$C$107:$N$306,Export!J1331,FALSE),""),K1331)</f>
        <v/>
      </c>
      <c r="D1331" s="6"/>
      <c r="F1331" s="6"/>
      <c r="G1331" s="6"/>
      <c r="H1331" s="6" t="s">
        <v>1389</v>
      </c>
      <c r="I1331" t="s">
        <v>1561</v>
      </c>
      <c r="J1331" t="s">
        <v>1561</v>
      </c>
      <c r="L1331">
        <f t="shared" si="41"/>
        <v>1</v>
      </c>
    </row>
    <row r="1332" spans="1:12" x14ac:dyDescent="0.35">
      <c r="A1332" s="9">
        <f t="shared" si="42"/>
        <v>1331</v>
      </c>
      <c r="B1332" t="s">
        <v>111</v>
      </c>
      <c r="C1332" s="109">
        <f>IF(ISBLANK(K1332),IFERROR(VLOOKUP(I1332,FS_input_data!$C$107:$N$306,Export!J1332,FALSE),""),K1332)</f>
        <v>264</v>
      </c>
      <c r="D1332" s="6" t="b">
        <v>1</v>
      </c>
      <c r="E1332" t="s">
        <v>1561</v>
      </c>
      <c r="F1332" s="6"/>
      <c r="G1332" s="6"/>
      <c r="H1332" s="6" t="s">
        <v>1389</v>
      </c>
      <c r="I1332" t="s">
        <v>1478</v>
      </c>
      <c r="J1332">
        <v>4</v>
      </c>
      <c r="L1332" s="9" t="e">
        <f t="shared" si="41"/>
        <v>#VALUE!</v>
      </c>
    </row>
    <row r="1333" spans="1:12" x14ac:dyDescent="0.35">
      <c r="A1333">
        <f t="shared" si="42"/>
        <v>1332</v>
      </c>
      <c r="B1333" t="s">
        <v>112</v>
      </c>
      <c r="C1333" s="109" t="str">
        <f>IF(ISBLANK(K1333),IFERROR(VLOOKUP(I1333,FS_input_data!$C$107:$N$306,Export!J1333,FALSE),""),K1333)</f>
        <v/>
      </c>
      <c r="D1333" s="6"/>
      <c r="E1333" t="s">
        <v>1561</v>
      </c>
      <c r="F1333" s="6"/>
      <c r="G1333" s="6"/>
      <c r="H1333" s="6" t="s">
        <v>1389</v>
      </c>
      <c r="I1333" t="s">
        <v>1561</v>
      </c>
      <c r="J1333" t="s">
        <v>1561</v>
      </c>
      <c r="L1333">
        <f t="shared" si="41"/>
        <v>1</v>
      </c>
    </row>
    <row r="1334" spans="1:12" x14ac:dyDescent="0.35">
      <c r="A1334">
        <f t="shared" si="42"/>
        <v>1333</v>
      </c>
      <c r="B1334" t="s">
        <v>469</v>
      </c>
      <c r="C1334" s="109" t="str">
        <f>IF(ISBLANK(K1334),IFERROR(VLOOKUP(I1334,FS_input_data!$C$107:$N$306,Export!J1334,FALSE),""),K1334)</f>
        <v/>
      </c>
      <c r="D1334" s="6"/>
      <c r="E1334" t="s">
        <v>1482</v>
      </c>
      <c r="F1334" s="6"/>
      <c r="G1334" s="6"/>
      <c r="H1334" s="6" t="s">
        <v>1389</v>
      </c>
      <c r="I1334" t="s">
        <v>1561</v>
      </c>
      <c r="J1334" t="s">
        <v>1561</v>
      </c>
      <c r="L1334" s="26" t="e">
        <f t="shared" si="41"/>
        <v>#VALUE!</v>
      </c>
    </row>
    <row r="1335" spans="1:12" x14ac:dyDescent="0.35">
      <c r="A1335" s="9">
        <f t="shared" si="42"/>
        <v>1334</v>
      </c>
      <c r="B1335" t="s">
        <v>109</v>
      </c>
      <c r="C1335" s="109">
        <f>IF(ISBLANK(K1335),IFERROR(VLOOKUP(I1335,FS_input_data!$C$107:$N$306,Export!J1335,FALSE),""),K1335)</f>
        <v>31</v>
      </c>
      <c r="D1335" s="6" t="b">
        <v>1</v>
      </c>
      <c r="E1335" t="s">
        <v>1561</v>
      </c>
      <c r="F1335" s="6"/>
      <c r="G1335" s="6"/>
      <c r="H1335" s="6" t="s">
        <v>1389</v>
      </c>
      <c r="I1335" t="s">
        <v>1481</v>
      </c>
      <c r="J1335">
        <v>3</v>
      </c>
      <c r="L1335" s="9" t="e">
        <f t="shared" si="41"/>
        <v>#VALUE!</v>
      </c>
    </row>
    <row r="1336" spans="1:12" x14ac:dyDescent="0.35">
      <c r="A1336">
        <f t="shared" si="42"/>
        <v>1335</v>
      </c>
      <c r="B1336" t="s">
        <v>110</v>
      </c>
      <c r="C1336" s="109" t="str">
        <f>IF(ISBLANK(K1336),IFERROR(VLOOKUP(I1336,FS_input_data!$C$107:$N$306,Export!J1336,FALSE),""),K1336)</f>
        <v/>
      </c>
      <c r="D1336" s="6"/>
      <c r="F1336" s="6"/>
      <c r="G1336" s="6"/>
      <c r="H1336" s="6" t="s">
        <v>1389</v>
      </c>
      <c r="I1336" t="s">
        <v>1561</v>
      </c>
      <c r="J1336" t="s">
        <v>1561</v>
      </c>
      <c r="L1336">
        <f t="shared" si="41"/>
        <v>1</v>
      </c>
    </row>
    <row r="1337" spans="1:12" x14ac:dyDescent="0.35">
      <c r="A1337" s="9">
        <f t="shared" si="42"/>
        <v>1336</v>
      </c>
      <c r="B1337" t="s">
        <v>111</v>
      </c>
      <c r="C1337" s="109">
        <f>IF(ISBLANK(K1337),IFERROR(VLOOKUP(I1337,FS_input_data!$C$107:$N$306,Export!J1337,FALSE),""),K1337)</f>
        <v>131</v>
      </c>
      <c r="D1337" s="6" t="b">
        <v>1</v>
      </c>
      <c r="E1337" t="s">
        <v>1561</v>
      </c>
      <c r="F1337" s="6"/>
      <c r="G1337" s="6"/>
      <c r="H1337" s="6" t="s">
        <v>1389</v>
      </c>
      <c r="I1337" t="s">
        <v>1481</v>
      </c>
      <c r="J1337">
        <v>4</v>
      </c>
      <c r="L1337" s="9" t="e">
        <f t="shared" si="41"/>
        <v>#VALUE!</v>
      </c>
    </row>
    <row r="1338" spans="1:12" x14ac:dyDescent="0.35">
      <c r="A1338">
        <f t="shared" si="42"/>
        <v>1337</v>
      </c>
      <c r="B1338" t="s">
        <v>112</v>
      </c>
      <c r="C1338" s="109" t="str">
        <f>IF(ISBLANK(K1338),IFERROR(VLOOKUP(I1338,FS_input_data!$C$107:$N$306,Export!J1338,FALSE),""),K1338)</f>
        <v/>
      </c>
      <c r="D1338" s="6"/>
      <c r="E1338" t="s">
        <v>1561</v>
      </c>
      <c r="F1338" s="6"/>
      <c r="G1338" s="6"/>
      <c r="H1338" s="6" t="s">
        <v>1389</v>
      </c>
      <c r="I1338" t="s">
        <v>1561</v>
      </c>
      <c r="J1338" t="s">
        <v>1561</v>
      </c>
      <c r="L1338">
        <f t="shared" si="41"/>
        <v>1</v>
      </c>
    </row>
    <row r="1339" spans="1:12" x14ac:dyDescent="0.35">
      <c r="A1339">
        <f t="shared" si="42"/>
        <v>1338</v>
      </c>
      <c r="B1339" t="s">
        <v>470</v>
      </c>
      <c r="C1339" s="109" t="str">
        <f>IF(ISBLANK(K1339),IFERROR(VLOOKUP(I1339,FS_input_data!$C$107:$N$306,Export!J1339,FALSE),""),K1339)</f>
        <v/>
      </c>
      <c r="D1339" s="6"/>
      <c r="E1339" t="s">
        <v>1485</v>
      </c>
      <c r="F1339" s="6"/>
      <c r="G1339" s="6"/>
      <c r="H1339" s="6" t="s">
        <v>1389</v>
      </c>
      <c r="I1339" t="s">
        <v>1561</v>
      </c>
      <c r="J1339" t="s">
        <v>1561</v>
      </c>
      <c r="L1339" s="26" t="e">
        <f t="shared" si="41"/>
        <v>#VALUE!</v>
      </c>
    </row>
    <row r="1340" spans="1:12" x14ac:dyDescent="0.35">
      <c r="A1340" s="9">
        <f t="shared" si="42"/>
        <v>1339</v>
      </c>
      <c r="B1340" t="s">
        <v>109</v>
      </c>
      <c r="C1340" s="109">
        <f>IF(ISBLANK(K1340),IFERROR(VLOOKUP(I1340,FS_input_data!$C$107:$N$306,Export!J1340,FALSE),""),K1340)</f>
        <v>32</v>
      </c>
      <c r="D1340" s="6" t="b">
        <v>1</v>
      </c>
      <c r="E1340" t="s">
        <v>1561</v>
      </c>
      <c r="F1340" s="6"/>
      <c r="G1340" s="6"/>
      <c r="H1340" s="6" t="s">
        <v>1389</v>
      </c>
      <c r="I1340" t="s">
        <v>1484</v>
      </c>
      <c r="J1340">
        <v>3</v>
      </c>
      <c r="L1340" s="9" t="e">
        <f t="shared" si="41"/>
        <v>#VALUE!</v>
      </c>
    </row>
    <row r="1341" spans="1:12" x14ac:dyDescent="0.35">
      <c r="A1341">
        <f t="shared" si="42"/>
        <v>1340</v>
      </c>
      <c r="B1341" t="s">
        <v>110</v>
      </c>
      <c r="C1341" s="109" t="str">
        <f>IF(ISBLANK(K1341),IFERROR(VLOOKUP(I1341,FS_input_data!$C$107:$N$306,Export!J1341,FALSE),""),K1341)</f>
        <v/>
      </c>
      <c r="D1341" s="6"/>
      <c r="F1341" s="6"/>
      <c r="G1341" s="6"/>
      <c r="H1341" s="6" t="s">
        <v>1389</v>
      </c>
      <c r="I1341" t="s">
        <v>1561</v>
      </c>
      <c r="J1341" t="s">
        <v>1561</v>
      </c>
      <c r="L1341">
        <f t="shared" si="41"/>
        <v>1</v>
      </c>
    </row>
    <row r="1342" spans="1:12" x14ac:dyDescent="0.35">
      <c r="A1342" s="9">
        <f t="shared" si="42"/>
        <v>1341</v>
      </c>
      <c r="B1342" t="s">
        <v>111</v>
      </c>
      <c r="C1342" s="109">
        <f>IF(ISBLANK(K1342),IFERROR(VLOOKUP(I1342,FS_input_data!$C$107:$N$306,Export!J1342,FALSE),""),K1342)</f>
        <v>132</v>
      </c>
      <c r="D1342" s="6" t="b">
        <v>1</v>
      </c>
      <c r="E1342" t="s">
        <v>1561</v>
      </c>
      <c r="F1342" s="6"/>
      <c r="G1342" s="6"/>
      <c r="H1342" s="6" t="s">
        <v>1389</v>
      </c>
      <c r="I1342" t="s">
        <v>1484</v>
      </c>
      <c r="J1342">
        <v>4</v>
      </c>
      <c r="L1342" s="9" t="e">
        <f t="shared" si="41"/>
        <v>#VALUE!</v>
      </c>
    </row>
    <row r="1343" spans="1:12" x14ac:dyDescent="0.35">
      <c r="A1343">
        <f t="shared" si="42"/>
        <v>1342</v>
      </c>
      <c r="B1343" t="s">
        <v>112</v>
      </c>
      <c r="C1343" s="109" t="str">
        <f>IF(ISBLANK(K1343),IFERROR(VLOOKUP(I1343,FS_input_data!$C$107:$N$306,Export!J1343,FALSE),""),K1343)</f>
        <v/>
      </c>
      <c r="D1343" s="6"/>
      <c r="E1343" t="s">
        <v>1561</v>
      </c>
      <c r="F1343" s="6"/>
      <c r="G1343" s="6"/>
      <c r="H1343" s="6" t="s">
        <v>1389</v>
      </c>
      <c r="I1343" t="s">
        <v>1561</v>
      </c>
      <c r="J1343" t="s">
        <v>1561</v>
      </c>
      <c r="L1343">
        <f t="shared" si="41"/>
        <v>1</v>
      </c>
    </row>
    <row r="1344" spans="1:12" x14ac:dyDescent="0.35">
      <c r="A1344">
        <f t="shared" si="42"/>
        <v>1343</v>
      </c>
      <c r="B1344" t="s">
        <v>471</v>
      </c>
      <c r="C1344" s="109" t="str">
        <f>IF(ISBLANK(K1344),IFERROR(VLOOKUP(I1344,FS_input_data!$C$107:$N$306,Export!J1344,FALSE),""),K1344)</f>
        <v/>
      </c>
      <c r="D1344" s="6"/>
      <c r="E1344" t="s">
        <v>1561</v>
      </c>
      <c r="F1344" s="6"/>
      <c r="G1344" s="6"/>
      <c r="H1344" s="6" t="s">
        <v>1389</v>
      </c>
      <c r="I1344" t="s">
        <v>1561</v>
      </c>
      <c r="J1344" t="s">
        <v>1561</v>
      </c>
      <c r="L1344">
        <f t="shared" si="41"/>
        <v>1</v>
      </c>
    </row>
    <row r="1345" spans="1:12" x14ac:dyDescent="0.35">
      <c r="A1345">
        <f t="shared" si="42"/>
        <v>1344</v>
      </c>
      <c r="B1345" t="s">
        <v>472</v>
      </c>
      <c r="C1345" s="109" t="str">
        <f>IF(ISBLANK(K1345),IFERROR(VLOOKUP(I1345,FS_input_data!$C$107:$N$306,Export!J1345,FALSE),""),K1345)</f>
        <v/>
      </c>
      <c r="D1345" s="6"/>
      <c r="E1345" t="s">
        <v>1561</v>
      </c>
      <c r="F1345" s="6"/>
      <c r="G1345" s="6"/>
      <c r="H1345" s="6" t="s">
        <v>1389</v>
      </c>
      <c r="I1345" t="s">
        <v>1561</v>
      </c>
      <c r="J1345" t="s">
        <v>1561</v>
      </c>
      <c r="L1345">
        <f t="shared" si="41"/>
        <v>1</v>
      </c>
    </row>
    <row r="1346" spans="1:12" x14ac:dyDescent="0.35">
      <c r="A1346">
        <f t="shared" si="42"/>
        <v>1345</v>
      </c>
      <c r="B1346" t="s">
        <v>473</v>
      </c>
      <c r="C1346" s="109" t="str">
        <f>IF(ISBLANK(K1346),IFERROR(VLOOKUP(I1346,FS_input_data!$C$107:$N$306,Export!J1346,FALSE),""),K1346)</f>
        <v/>
      </c>
      <c r="D1346" s="6"/>
      <c r="E1346" t="s">
        <v>1488</v>
      </c>
      <c r="F1346" s="6"/>
      <c r="G1346" s="6"/>
      <c r="H1346" s="6" t="s">
        <v>1389</v>
      </c>
      <c r="I1346" t="s">
        <v>1561</v>
      </c>
      <c r="J1346" t="s">
        <v>1561</v>
      </c>
      <c r="L1346" s="26" t="e">
        <f t="shared" ref="L1346:L1409" si="43">FIND("/",B1346)</f>
        <v>#VALUE!</v>
      </c>
    </row>
    <row r="1347" spans="1:12" x14ac:dyDescent="0.35">
      <c r="A1347" s="9">
        <f t="shared" ref="A1347:A1410" si="44">A1346+1</f>
        <v>1346</v>
      </c>
      <c r="B1347" t="s">
        <v>109</v>
      </c>
      <c r="C1347" s="109">
        <f>IF(ISBLANK(K1347),IFERROR(VLOOKUP(I1347,FS_input_data!$C$107:$N$306,Export!J1347,FALSE),""),K1347)</f>
        <v>33</v>
      </c>
      <c r="D1347" s="6" t="b">
        <v>1</v>
      </c>
      <c r="E1347" t="s">
        <v>1561</v>
      </c>
      <c r="F1347" s="6"/>
      <c r="G1347" s="6"/>
      <c r="H1347" s="6" t="s">
        <v>1389</v>
      </c>
      <c r="I1347" t="s">
        <v>1487</v>
      </c>
      <c r="J1347">
        <v>3</v>
      </c>
      <c r="L1347" s="9" t="e">
        <f t="shared" si="43"/>
        <v>#VALUE!</v>
      </c>
    </row>
    <row r="1348" spans="1:12" x14ac:dyDescent="0.35">
      <c r="A1348">
        <f t="shared" si="44"/>
        <v>1347</v>
      </c>
      <c r="B1348" t="s">
        <v>110</v>
      </c>
      <c r="C1348" s="109" t="str">
        <f>IF(ISBLANK(K1348),IFERROR(VLOOKUP(I1348,FS_input_data!$C$107:$N$306,Export!J1348,FALSE),""),K1348)</f>
        <v/>
      </c>
      <c r="D1348" s="6"/>
      <c r="F1348" s="6"/>
      <c r="G1348" s="6"/>
      <c r="H1348" s="6" t="s">
        <v>1389</v>
      </c>
      <c r="I1348" t="s">
        <v>1561</v>
      </c>
      <c r="J1348" t="s">
        <v>1561</v>
      </c>
      <c r="L1348">
        <f t="shared" si="43"/>
        <v>1</v>
      </c>
    </row>
    <row r="1349" spans="1:12" x14ac:dyDescent="0.35">
      <c r="A1349" s="9">
        <f t="shared" si="44"/>
        <v>1348</v>
      </c>
      <c r="B1349" t="s">
        <v>111</v>
      </c>
      <c r="C1349" s="109">
        <f>IF(ISBLANK(K1349),IFERROR(VLOOKUP(I1349,FS_input_data!$C$107:$N$306,Export!J1349,FALSE),""),K1349)</f>
        <v>133</v>
      </c>
      <c r="D1349" s="6" t="b">
        <v>1</v>
      </c>
      <c r="E1349" t="s">
        <v>1561</v>
      </c>
      <c r="F1349" s="6"/>
      <c r="G1349" s="6"/>
      <c r="H1349" s="6" t="s">
        <v>1389</v>
      </c>
      <c r="I1349" t="s">
        <v>1487</v>
      </c>
      <c r="J1349">
        <v>4</v>
      </c>
      <c r="L1349" s="9" t="e">
        <f t="shared" si="43"/>
        <v>#VALUE!</v>
      </c>
    </row>
    <row r="1350" spans="1:12" x14ac:dyDescent="0.35">
      <c r="A1350">
        <f t="shared" si="44"/>
        <v>1349</v>
      </c>
      <c r="B1350" t="s">
        <v>112</v>
      </c>
      <c r="C1350" s="109" t="str">
        <f>IF(ISBLANK(K1350),IFERROR(VLOOKUP(I1350,FS_input_data!$C$107:$N$306,Export!J1350,FALSE),""),K1350)</f>
        <v/>
      </c>
      <c r="D1350" s="6"/>
      <c r="E1350" t="s">
        <v>1561</v>
      </c>
      <c r="F1350" s="6"/>
      <c r="G1350" s="6"/>
      <c r="H1350" s="6" t="s">
        <v>1389</v>
      </c>
      <c r="I1350" t="s">
        <v>1561</v>
      </c>
      <c r="J1350" t="s">
        <v>1561</v>
      </c>
      <c r="L1350">
        <f t="shared" si="43"/>
        <v>1</v>
      </c>
    </row>
    <row r="1351" spans="1:12" x14ac:dyDescent="0.35">
      <c r="A1351">
        <f t="shared" si="44"/>
        <v>1350</v>
      </c>
      <c r="B1351" t="s">
        <v>474</v>
      </c>
      <c r="C1351" s="109" t="str">
        <f>IF(ISBLANK(K1351),IFERROR(VLOOKUP(I1351,FS_input_data!$C$107:$N$306,Export!J1351,FALSE),""),K1351)</f>
        <v/>
      </c>
      <c r="D1351" s="6"/>
      <c r="E1351" t="s">
        <v>1485</v>
      </c>
      <c r="F1351" s="6"/>
      <c r="G1351" s="6"/>
      <c r="H1351" s="6" t="s">
        <v>1389</v>
      </c>
      <c r="I1351" t="s">
        <v>1561</v>
      </c>
      <c r="J1351" t="s">
        <v>1561</v>
      </c>
      <c r="L1351" s="26" t="e">
        <f t="shared" si="43"/>
        <v>#VALUE!</v>
      </c>
    </row>
    <row r="1352" spans="1:12" x14ac:dyDescent="0.35">
      <c r="A1352" s="9">
        <f t="shared" si="44"/>
        <v>1351</v>
      </c>
      <c r="B1352" t="s">
        <v>109</v>
      </c>
      <c r="C1352" s="109">
        <f>IF(ISBLANK(K1352),IFERROR(VLOOKUP(I1352,FS_input_data!$C$107:$N$306,Export!J1352,FALSE),""),K1352)</f>
        <v>34</v>
      </c>
      <c r="D1352" s="6" t="b">
        <v>1</v>
      </c>
      <c r="E1352" t="s">
        <v>1561</v>
      </c>
      <c r="F1352" s="6"/>
      <c r="G1352" s="6"/>
      <c r="H1352" s="6" t="s">
        <v>1389</v>
      </c>
      <c r="I1352" t="s">
        <v>1490</v>
      </c>
      <c r="J1352">
        <v>3</v>
      </c>
      <c r="L1352" s="9" t="e">
        <f t="shared" si="43"/>
        <v>#VALUE!</v>
      </c>
    </row>
    <row r="1353" spans="1:12" x14ac:dyDescent="0.35">
      <c r="A1353">
        <f t="shared" si="44"/>
        <v>1352</v>
      </c>
      <c r="B1353" t="s">
        <v>110</v>
      </c>
      <c r="C1353" s="109" t="str">
        <f>IF(ISBLANK(K1353),IFERROR(VLOOKUP(I1353,FS_input_data!$C$107:$N$306,Export!J1353,FALSE),""),K1353)</f>
        <v/>
      </c>
      <c r="D1353" s="6"/>
      <c r="F1353" s="6"/>
      <c r="G1353" s="6"/>
      <c r="H1353" s="6" t="s">
        <v>1389</v>
      </c>
      <c r="I1353" t="s">
        <v>1561</v>
      </c>
      <c r="J1353" t="s">
        <v>1561</v>
      </c>
      <c r="L1353">
        <f t="shared" si="43"/>
        <v>1</v>
      </c>
    </row>
    <row r="1354" spans="1:12" x14ac:dyDescent="0.35">
      <c r="A1354" s="9">
        <f t="shared" si="44"/>
        <v>1353</v>
      </c>
      <c r="B1354" t="s">
        <v>111</v>
      </c>
      <c r="C1354" s="109">
        <f>IF(ISBLANK(K1354),IFERROR(VLOOKUP(I1354,FS_input_data!$C$107:$N$306,Export!J1354,FALSE),""),K1354)</f>
        <v>134</v>
      </c>
      <c r="D1354" s="6" t="b">
        <v>1</v>
      </c>
      <c r="E1354" t="s">
        <v>1561</v>
      </c>
      <c r="F1354" s="6"/>
      <c r="G1354" s="6"/>
      <c r="H1354" s="6" t="s">
        <v>1389</v>
      </c>
      <c r="I1354" t="s">
        <v>1490</v>
      </c>
      <c r="J1354">
        <v>4</v>
      </c>
      <c r="L1354" s="9" t="e">
        <f t="shared" si="43"/>
        <v>#VALUE!</v>
      </c>
    </row>
    <row r="1355" spans="1:12" x14ac:dyDescent="0.35">
      <c r="A1355">
        <f t="shared" si="44"/>
        <v>1354</v>
      </c>
      <c r="B1355" t="s">
        <v>112</v>
      </c>
      <c r="C1355" s="109" t="str">
        <f>IF(ISBLANK(K1355),IFERROR(VLOOKUP(I1355,FS_input_data!$C$107:$N$306,Export!J1355,FALSE),""),K1355)</f>
        <v/>
      </c>
      <c r="D1355" s="6"/>
      <c r="E1355" t="s">
        <v>1561</v>
      </c>
      <c r="F1355" s="6"/>
      <c r="G1355" s="6"/>
      <c r="H1355" s="6" t="s">
        <v>1389</v>
      </c>
      <c r="I1355" t="s">
        <v>1561</v>
      </c>
      <c r="J1355" t="s">
        <v>1561</v>
      </c>
      <c r="L1355">
        <f t="shared" si="43"/>
        <v>1</v>
      </c>
    </row>
    <row r="1356" spans="1:12" x14ac:dyDescent="0.35">
      <c r="A1356">
        <f t="shared" si="44"/>
        <v>1355</v>
      </c>
      <c r="B1356" t="s">
        <v>475</v>
      </c>
      <c r="C1356" s="109" t="str">
        <f>IF(ISBLANK(K1356),IFERROR(VLOOKUP(I1356,FS_input_data!$C$107:$N$306,Export!J1356,FALSE),""),K1356)</f>
        <v/>
      </c>
      <c r="D1356" s="6"/>
      <c r="E1356" t="s">
        <v>1561</v>
      </c>
      <c r="F1356" s="6"/>
      <c r="G1356" s="6"/>
      <c r="H1356" s="6" t="s">
        <v>1389</v>
      </c>
      <c r="I1356" t="s">
        <v>1561</v>
      </c>
      <c r="J1356" t="s">
        <v>1561</v>
      </c>
      <c r="L1356">
        <f t="shared" si="43"/>
        <v>1</v>
      </c>
    </row>
    <row r="1357" spans="1:12" x14ac:dyDescent="0.35">
      <c r="A1357">
        <f t="shared" si="44"/>
        <v>1356</v>
      </c>
      <c r="B1357" t="s">
        <v>476</v>
      </c>
      <c r="C1357" s="109" t="str">
        <f>IF(ISBLANK(K1357),IFERROR(VLOOKUP(I1357,FS_input_data!$C$107:$N$306,Export!J1357,FALSE),""),K1357)</f>
        <v/>
      </c>
      <c r="D1357" s="6"/>
      <c r="E1357" t="s">
        <v>1561</v>
      </c>
      <c r="F1357" s="6"/>
      <c r="G1357" s="6"/>
      <c r="H1357" s="6" t="s">
        <v>1389</v>
      </c>
      <c r="I1357" t="s">
        <v>1561</v>
      </c>
      <c r="J1357" t="s">
        <v>1561</v>
      </c>
      <c r="L1357">
        <f t="shared" si="43"/>
        <v>1</v>
      </c>
    </row>
    <row r="1358" spans="1:12" x14ac:dyDescent="0.35">
      <c r="A1358">
        <f t="shared" si="44"/>
        <v>1357</v>
      </c>
      <c r="B1358" t="s">
        <v>477</v>
      </c>
      <c r="C1358" s="109" t="str">
        <f>IF(ISBLANK(K1358),IFERROR(VLOOKUP(I1358,FS_input_data!$C$107:$N$306,Export!J1358,FALSE),""),K1358)</f>
        <v/>
      </c>
      <c r="D1358" s="6"/>
      <c r="E1358" t="s">
        <v>1561</v>
      </c>
      <c r="F1358" s="6"/>
      <c r="G1358" s="6"/>
      <c r="H1358" s="6" t="s">
        <v>1389</v>
      </c>
      <c r="I1358" t="s">
        <v>1561</v>
      </c>
      <c r="J1358" t="s">
        <v>1561</v>
      </c>
      <c r="L1358">
        <f t="shared" si="43"/>
        <v>1</v>
      </c>
    </row>
    <row r="1359" spans="1:12" x14ac:dyDescent="0.35">
      <c r="A1359">
        <f t="shared" si="44"/>
        <v>1358</v>
      </c>
      <c r="B1359" t="s">
        <v>478</v>
      </c>
      <c r="C1359" s="109" t="str">
        <f>IF(ISBLANK(K1359),IFERROR(VLOOKUP(I1359,FS_input_data!$C$107:$N$306,Export!J1359,FALSE),""),K1359)</f>
        <v/>
      </c>
      <c r="D1359" s="6"/>
      <c r="E1359" t="s">
        <v>1493</v>
      </c>
      <c r="F1359" s="6"/>
      <c r="G1359" s="6"/>
      <c r="H1359" s="6" t="s">
        <v>1389</v>
      </c>
      <c r="I1359" t="s">
        <v>1561</v>
      </c>
      <c r="J1359" t="s">
        <v>1561</v>
      </c>
      <c r="L1359" s="26" t="e">
        <f t="shared" si="43"/>
        <v>#VALUE!</v>
      </c>
    </row>
    <row r="1360" spans="1:12" x14ac:dyDescent="0.35">
      <c r="A1360" s="9">
        <f t="shared" si="44"/>
        <v>1359</v>
      </c>
      <c r="B1360" t="s">
        <v>109</v>
      </c>
      <c r="C1360" s="109">
        <f>IF(ISBLANK(K1360),IFERROR(VLOOKUP(I1360,FS_input_data!$C$107:$N$306,Export!J1360,FALSE),""),K1360)</f>
        <v>35</v>
      </c>
      <c r="D1360" s="6" t="b">
        <v>1</v>
      </c>
      <c r="E1360" t="s">
        <v>1561</v>
      </c>
      <c r="F1360" s="6"/>
      <c r="G1360" s="6"/>
      <c r="H1360" s="6" t="s">
        <v>1389</v>
      </c>
      <c r="I1360" t="s">
        <v>1492</v>
      </c>
      <c r="J1360">
        <v>3</v>
      </c>
      <c r="L1360" s="9" t="e">
        <f t="shared" si="43"/>
        <v>#VALUE!</v>
      </c>
    </row>
    <row r="1361" spans="1:12" x14ac:dyDescent="0.35">
      <c r="A1361">
        <f t="shared" si="44"/>
        <v>1360</v>
      </c>
      <c r="B1361" t="s">
        <v>110</v>
      </c>
      <c r="C1361" s="109" t="str">
        <f>IF(ISBLANK(K1361),IFERROR(VLOOKUP(I1361,FS_input_data!$C$107:$N$306,Export!J1361,FALSE),""),K1361)</f>
        <v/>
      </c>
      <c r="D1361" s="6"/>
      <c r="F1361" s="6"/>
      <c r="G1361" s="6"/>
      <c r="H1361" s="6" t="s">
        <v>1389</v>
      </c>
      <c r="I1361" t="s">
        <v>1561</v>
      </c>
      <c r="J1361" t="s">
        <v>1561</v>
      </c>
      <c r="L1361">
        <f t="shared" si="43"/>
        <v>1</v>
      </c>
    </row>
    <row r="1362" spans="1:12" x14ac:dyDescent="0.35">
      <c r="A1362" s="9">
        <f t="shared" si="44"/>
        <v>1361</v>
      </c>
      <c r="B1362" t="s">
        <v>111</v>
      </c>
      <c r="C1362" s="109">
        <f>IF(ISBLANK(K1362),IFERROR(VLOOKUP(I1362,FS_input_data!$C$107:$N$306,Export!J1362,FALSE),""),K1362)</f>
        <v>135</v>
      </c>
      <c r="D1362" s="6" t="b">
        <v>1</v>
      </c>
      <c r="E1362" t="s">
        <v>1561</v>
      </c>
      <c r="F1362" s="6"/>
      <c r="G1362" s="6"/>
      <c r="H1362" s="6" t="s">
        <v>1389</v>
      </c>
      <c r="I1362" t="s">
        <v>1492</v>
      </c>
      <c r="J1362">
        <v>4</v>
      </c>
      <c r="L1362" s="9" t="e">
        <f t="shared" si="43"/>
        <v>#VALUE!</v>
      </c>
    </row>
    <row r="1363" spans="1:12" x14ac:dyDescent="0.35">
      <c r="A1363">
        <f t="shared" si="44"/>
        <v>1362</v>
      </c>
      <c r="B1363" t="s">
        <v>112</v>
      </c>
      <c r="C1363" s="109" t="str">
        <f>IF(ISBLANK(K1363),IFERROR(VLOOKUP(I1363,FS_input_data!$C$107:$N$306,Export!J1363,FALSE),""),K1363)</f>
        <v/>
      </c>
      <c r="D1363" s="6"/>
      <c r="E1363" t="s">
        <v>1561</v>
      </c>
      <c r="F1363" s="6"/>
      <c r="G1363" s="6"/>
      <c r="H1363" s="6" t="s">
        <v>1389</v>
      </c>
      <c r="I1363" t="s">
        <v>1561</v>
      </c>
      <c r="J1363" t="s">
        <v>1561</v>
      </c>
      <c r="L1363">
        <f t="shared" si="43"/>
        <v>1</v>
      </c>
    </row>
    <row r="1364" spans="1:12" x14ac:dyDescent="0.35">
      <c r="A1364">
        <f t="shared" si="44"/>
        <v>1363</v>
      </c>
      <c r="B1364" t="s">
        <v>479</v>
      </c>
      <c r="C1364" s="109" t="str">
        <f>IF(ISBLANK(K1364),IFERROR(VLOOKUP(I1364,FS_input_data!$C$107:$N$306,Export!J1364,FALSE),""),K1364)</f>
        <v/>
      </c>
      <c r="D1364" s="6"/>
      <c r="E1364" t="s">
        <v>1395</v>
      </c>
      <c r="F1364" s="6"/>
      <c r="G1364" s="6"/>
      <c r="H1364" s="6" t="s">
        <v>1389</v>
      </c>
      <c r="I1364" t="s">
        <v>1561</v>
      </c>
      <c r="J1364" t="s">
        <v>1561</v>
      </c>
      <c r="L1364" s="26" t="e">
        <f t="shared" si="43"/>
        <v>#VALUE!</v>
      </c>
    </row>
    <row r="1365" spans="1:12" x14ac:dyDescent="0.35">
      <c r="A1365" s="9">
        <f t="shared" si="44"/>
        <v>1364</v>
      </c>
      <c r="B1365" t="s">
        <v>109</v>
      </c>
      <c r="C1365" s="109">
        <f>IF(ISBLANK(K1365),IFERROR(VLOOKUP(I1365,FS_input_data!$C$107:$N$306,Export!J1365,FALSE),""),K1365)</f>
        <v>36</v>
      </c>
      <c r="D1365" s="6" t="b">
        <v>1</v>
      </c>
      <c r="E1365" t="s">
        <v>1561</v>
      </c>
      <c r="F1365" s="6"/>
      <c r="G1365" s="6"/>
      <c r="H1365" s="6" t="s">
        <v>1389</v>
      </c>
      <c r="I1365" t="s">
        <v>1495</v>
      </c>
      <c r="J1365">
        <v>3</v>
      </c>
      <c r="L1365" s="9" t="e">
        <f t="shared" si="43"/>
        <v>#VALUE!</v>
      </c>
    </row>
    <row r="1366" spans="1:12" x14ac:dyDescent="0.35">
      <c r="A1366">
        <f t="shared" si="44"/>
        <v>1365</v>
      </c>
      <c r="B1366" t="s">
        <v>110</v>
      </c>
      <c r="C1366" s="109" t="str">
        <f>IF(ISBLANK(K1366),IFERROR(VLOOKUP(I1366,FS_input_data!$C$107:$N$306,Export!J1366,FALSE),""),K1366)</f>
        <v/>
      </c>
      <c r="D1366" s="6"/>
      <c r="F1366" s="6"/>
      <c r="G1366" s="6"/>
      <c r="H1366" s="6" t="s">
        <v>1389</v>
      </c>
      <c r="I1366" t="s">
        <v>1561</v>
      </c>
      <c r="J1366" t="s">
        <v>1561</v>
      </c>
      <c r="L1366">
        <f t="shared" si="43"/>
        <v>1</v>
      </c>
    </row>
    <row r="1367" spans="1:12" x14ac:dyDescent="0.35">
      <c r="A1367" s="9">
        <f t="shared" si="44"/>
        <v>1366</v>
      </c>
      <c r="B1367" t="s">
        <v>111</v>
      </c>
      <c r="C1367" s="109">
        <f>IF(ISBLANK(K1367),IFERROR(VLOOKUP(I1367,FS_input_data!$C$107:$N$306,Export!J1367,FALSE),""),K1367)</f>
        <v>136</v>
      </c>
      <c r="D1367" s="6" t="b">
        <v>1</v>
      </c>
      <c r="F1367" s="6"/>
      <c r="G1367" s="6"/>
      <c r="H1367" s="6" t="s">
        <v>1389</v>
      </c>
      <c r="I1367" t="s">
        <v>1495</v>
      </c>
      <c r="J1367">
        <v>4</v>
      </c>
      <c r="L1367" s="9" t="e">
        <f t="shared" si="43"/>
        <v>#VALUE!</v>
      </c>
    </row>
    <row r="1368" spans="1:12" x14ac:dyDescent="0.35">
      <c r="A1368">
        <f t="shared" si="44"/>
        <v>1367</v>
      </c>
      <c r="B1368" t="s">
        <v>112</v>
      </c>
      <c r="C1368" s="109" t="str">
        <f>IF(ISBLANK(K1368),IFERROR(VLOOKUP(I1368,FS_input_data!$C$107:$N$306,Export!J1368,FALSE),""),K1368)</f>
        <v/>
      </c>
      <c r="D1368" s="6"/>
      <c r="E1368" t="s">
        <v>1561</v>
      </c>
      <c r="F1368" s="6"/>
      <c r="G1368" s="6"/>
      <c r="H1368" s="6" t="s">
        <v>1389</v>
      </c>
      <c r="I1368" t="s">
        <v>1561</v>
      </c>
      <c r="J1368" t="s">
        <v>1561</v>
      </c>
      <c r="L1368">
        <f t="shared" si="43"/>
        <v>1</v>
      </c>
    </row>
    <row r="1369" spans="1:12" x14ac:dyDescent="0.35">
      <c r="A1369">
        <f t="shared" si="44"/>
        <v>1368</v>
      </c>
      <c r="B1369" t="s">
        <v>480</v>
      </c>
      <c r="C1369" s="109" t="str">
        <f>IF(ISBLANK(K1369),IFERROR(VLOOKUP(I1369,FS_input_data!$C$107:$N$306,Export!J1369,FALSE),""),K1369)</f>
        <v/>
      </c>
      <c r="D1369" s="6"/>
      <c r="E1369" t="s">
        <v>1561</v>
      </c>
      <c r="F1369" s="6"/>
      <c r="G1369" s="6"/>
      <c r="H1369" s="6" t="s">
        <v>1389</v>
      </c>
      <c r="I1369" t="s">
        <v>1561</v>
      </c>
      <c r="J1369" t="s">
        <v>1561</v>
      </c>
      <c r="L1369">
        <f t="shared" si="43"/>
        <v>1</v>
      </c>
    </row>
    <row r="1370" spans="1:12" x14ac:dyDescent="0.35">
      <c r="A1370">
        <f t="shared" si="44"/>
        <v>1369</v>
      </c>
      <c r="B1370" t="s">
        <v>481</v>
      </c>
      <c r="C1370" s="109" t="str">
        <f>IF(ISBLANK(K1370),IFERROR(VLOOKUP(I1370,FS_input_data!$C$107:$N$306,Export!J1370,FALSE),""),K1370)</f>
        <v/>
      </c>
      <c r="D1370" s="6"/>
      <c r="E1370" t="s">
        <v>1561</v>
      </c>
      <c r="F1370" s="6"/>
      <c r="G1370" s="6"/>
      <c r="H1370" s="6" t="s">
        <v>1389</v>
      </c>
      <c r="I1370" t="s">
        <v>1561</v>
      </c>
      <c r="J1370" t="s">
        <v>1561</v>
      </c>
      <c r="L1370">
        <f t="shared" si="43"/>
        <v>1</v>
      </c>
    </row>
    <row r="1371" spans="1:12" x14ac:dyDescent="0.35">
      <c r="A1371">
        <f t="shared" si="44"/>
        <v>1370</v>
      </c>
      <c r="B1371" t="s">
        <v>482</v>
      </c>
      <c r="C1371" s="109" t="str">
        <f>IF(ISBLANK(K1371),IFERROR(VLOOKUP(I1371,FS_input_data!$C$107:$N$306,Export!J1371,FALSE),""),K1371)</f>
        <v/>
      </c>
      <c r="D1371" s="6"/>
      <c r="E1371" t="s">
        <v>1498</v>
      </c>
      <c r="F1371" s="6"/>
      <c r="G1371" s="6"/>
      <c r="H1371" s="6" t="s">
        <v>1389</v>
      </c>
      <c r="I1371" t="s">
        <v>1561</v>
      </c>
      <c r="J1371" t="s">
        <v>1561</v>
      </c>
      <c r="L1371" s="26" t="e">
        <f t="shared" si="43"/>
        <v>#VALUE!</v>
      </c>
    </row>
    <row r="1372" spans="1:12" x14ac:dyDescent="0.35">
      <c r="A1372" s="9">
        <f t="shared" si="44"/>
        <v>1371</v>
      </c>
      <c r="B1372" t="s">
        <v>109</v>
      </c>
      <c r="C1372" s="109">
        <f>IF(ISBLANK(K1372),IFERROR(VLOOKUP(I1372,FS_input_data!$C$107:$N$306,Export!J1372,FALSE),""),K1372)</f>
        <v>37</v>
      </c>
      <c r="D1372" s="6" t="b">
        <v>1</v>
      </c>
      <c r="E1372" t="s">
        <v>1561</v>
      </c>
      <c r="F1372" s="6"/>
      <c r="G1372" s="6"/>
      <c r="H1372" s="6" t="s">
        <v>1389</v>
      </c>
      <c r="I1372" t="s">
        <v>1497</v>
      </c>
      <c r="J1372">
        <v>3</v>
      </c>
      <c r="L1372" s="9" t="e">
        <f t="shared" si="43"/>
        <v>#VALUE!</v>
      </c>
    </row>
    <row r="1373" spans="1:12" x14ac:dyDescent="0.35">
      <c r="A1373">
        <f t="shared" si="44"/>
        <v>1372</v>
      </c>
      <c r="B1373" t="s">
        <v>110</v>
      </c>
      <c r="C1373" s="109" t="str">
        <f>IF(ISBLANK(K1373),IFERROR(VLOOKUP(I1373,FS_input_data!$C$107:$N$306,Export!J1373,FALSE),""),K1373)</f>
        <v/>
      </c>
      <c r="D1373" s="6"/>
      <c r="F1373" s="6"/>
      <c r="G1373" s="6"/>
      <c r="H1373" s="6" t="s">
        <v>1389</v>
      </c>
      <c r="I1373" t="s">
        <v>1561</v>
      </c>
      <c r="J1373" t="s">
        <v>1561</v>
      </c>
      <c r="L1373">
        <f t="shared" si="43"/>
        <v>1</v>
      </c>
    </row>
    <row r="1374" spans="1:12" x14ac:dyDescent="0.35">
      <c r="A1374" s="9">
        <f t="shared" si="44"/>
        <v>1373</v>
      </c>
      <c r="B1374" t="s">
        <v>111</v>
      </c>
      <c r="C1374" s="109">
        <f>IF(ISBLANK(K1374),IFERROR(VLOOKUP(I1374,FS_input_data!$C$107:$N$306,Export!J1374,FALSE),""),K1374)</f>
        <v>137</v>
      </c>
      <c r="D1374" s="6" t="b">
        <v>1</v>
      </c>
      <c r="E1374" t="s">
        <v>1561</v>
      </c>
      <c r="F1374" s="6"/>
      <c r="G1374" s="6"/>
      <c r="H1374" s="6" t="s">
        <v>1389</v>
      </c>
      <c r="I1374" t="s">
        <v>1497</v>
      </c>
      <c r="J1374">
        <v>4</v>
      </c>
      <c r="L1374" s="9" t="e">
        <f t="shared" si="43"/>
        <v>#VALUE!</v>
      </c>
    </row>
    <row r="1375" spans="1:12" x14ac:dyDescent="0.35">
      <c r="A1375">
        <f t="shared" si="44"/>
        <v>1374</v>
      </c>
      <c r="B1375" t="s">
        <v>112</v>
      </c>
      <c r="C1375" s="109" t="str">
        <f>IF(ISBLANK(K1375),IFERROR(VLOOKUP(I1375,FS_input_data!$C$107:$N$306,Export!J1375,FALSE),""),K1375)</f>
        <v/>
      </c>
      <c r="D1375" s="6"/>
      <c r="E1375" t="s">
        <v>1561</v>
      </c>
      <c r="F1375" s="6"/>
      <c r="G1375" s="6"/>
      <c r="H1375" s="6" t="s">
        <v>1389</v>
      </c>
      <c r="I1375" t="s">
        <v>1561</v>
      </c>
      <c r="J1375" t="s">
        <v>1561</v>
      </c>
      <c r="L1375">
        <f t="shared" si="43"/>
        <v>1</v>
      </c>
    </row>
    <row r="1376" spans="1:12" x14ac:dyDescent="0.35">
      <c r="A1376">
        <f t="shared" si="44"/>
        <v>1375</v>
      </c>
      <c r="B1376" t="s">
        <v>483</v>
      </c>
      <c r="C1376" s="109" t="str">
        <f>IF(ISBLANK(K1376),IFERROR(VLOOKUP(I1376,FS_input_data!$C$107:$N$306,Export!J1376,FALSE),""),K1376)</f>
        <v/>
      </c>
      <c r="D1376" s="6"/>
      <c r="E1376" t="s">
        <v>1501</v>
      </c>
      <c r="F1376" s="6"/>
      <c r="G1376" s="6"/>
      <c r="H1376" s="6" t="s">
        <v>1389</v>
      </c>
      <c r="I1376" t="s">
        <v>1561</v>
      </c>
      <c r="J1376" t="s">
        <v>1561</v>
      </c>
      <c r="L1376" s="26" t="e">
        <f t="shared" si="43"/>
        <v>#VALUE!</v>
      </c>
    </row>
    <row r="1377" spans="1:12" x14ac:dyDescent="0.35">
      <c r="A1377" s="9">
        <f t="shared" si="44"/>
        <v>1376</v>
      </c>
      <c r="B1377" t="s">
        <v>109</v>
      </c>
      <c r="C1377" s="109">
        <f>IF(ISBLANK(K1377),IFERROR(VLOOKUP(I1377,FS_input_data!$C$107:$N$306,Export!J1377,FALSE),""),K1377)</f>
        <v>38</v>
      </c>
      <c r="D1377" s="6" t="b">
        <v>1</v>
      </c>
      <c r="E1377" t="s">
        <v>1561</v>
      </c>
      <c r="F1377" s="6"/>
      <c r="G1377" s="6"/>
      <c r="H1377" s="6" t="s">
        <v>1389</v>
      </c>
      <c r="I1377" t="s">
        <v>1500</v>
      </c>
      <c r="J1377">
        <v>3</v>
      </c>
      <c r="L1377" s="9" t="e">
        <f t="shared" si="43"/>
        <v>#VALUE!</v>
      </c>
    </row>
    <row r="1378" spans="1:12" x14ac:dyDescent="0.35">
      <c r="A1378">
        <f t="shared" si="44"/>
        <v>1377</v>
      </c>
      <c r="B1378" t="s">
        <v>110</v>
      </c>
      <c r="C1378" s="109" t="str">
        <f>IF(ISBLANK(K1378),IFERROR(VLOOKUP(I1378,FS_input_data!$C$107:$N$306,Export!J1378,FALSE),""),K1378)</f>
        <v/>
      </c>
      <c r="D1378" s="6"/>
      <c r="F1378" s="6"/>
      <c r="G1378" s="6"/>
      <c r="H1378" s="6" t="s">
        <v>1389</v>
      </c>
      <c r="I1378" t="s">
        <v>1561</v>
      </c>
      <c r="J1378" t="s">
        <v>1561</v>
      </c>
      <c r="L1378">
        <f t="shared" si="43"/>
        <v>1</v>
      </c>
    </row>
    <row r="1379" spans="1:12" x14ac:dyDescent="0.35">
      <c r="A1379" s="9">
        <f t="shared" si="44"/>
        <v>1378</v>
      </c>
      <c r="B1379" t="s">
        <v>111</v>
      </c>
      <c r="C1379" s="109">
        <f>IF(ISBLANK(K1379),IFERROR(VLOOKUP(I1379,FS_input_data!$C$107:$N$306,Export!J1379,FALSE),""),K1379)</f>
        <v>138</v>
      </c>
      <c r="D1379" s="6" t="b">
        <v>1</v>
      </c>
      <c r="E1379" t="s">
        <v>1561</v>
      </c>
      <c r="F1379" s="6"/>
      <c r="G1379" s="6"/>
      <c r="H1379" s="6" t="s">
        <v>1389</v>
      </c>
      <c r="I1379" t="s">
        <v>1500</v>
      </c>
      <c r="J1379">
        <v>4</v>
      </c>
      <c r="L1379" s="9" t="e">
        <f t="shared" si="43"/>
        <v>#VALUE!</v>
      </c>
    </row>
    <row r="1380" spans="1:12" x14ac:dyDescent="0.35">
      <c r="A1380">
        <f t="shared" si="44"/>
        <v>1379</v>
      </c>
      <c r="B1380" t="s">
        <v>112</v>
      </c>
      <c r="C1380" s="109" t="str">
        <f>IF(ISBLANK(K1380),IFERROR(VLOOKUP(I1380,FS_input_data!$C$107:$N$306,Export!J1380,FALSE),""),K1380)</f>
        <v/>
      </c>
      <c r="D1380" s="6"/>
      <c r="E1380" t="s">
        <v>1561</v>
      </c>
      <c r="F1380" s="6"/>
      <c r="G1380" s="6"/>
      <c r="H1380" s="6" t="s">
        <v>1389</v>
      </c>
      <c r="I1380" t="s">
        <v>1561</v>
      </c>
      <c r="J1380" t="s">
        <v>1561</v>
      </c>
      <c r="L1380">
        <f t="shared" si="43"/>
        <v>1</v>
      </c>
    </row>
    <row r="1381" spans="1:12" x14ac:dyDescent="0.35">
      <c r="A1381">
        <f t="shared" si="44"/>
        <v>1380</v>
      </c>
      <c r="B1381" t="s">
        <v>484</v>
      </c>
      <c r="C1381" s="109" t="str">
        <f>IF(ISBLANK(K1381),IFERROR(VLOOKUP(I1381,FS_input_data!$C$107:$N$306,Export!J1381,FALSE),""),K1381)</f>
        <v/>
      </c>
      <c r="D1381" s="6"/>
      <c r="E1381" t="s">
        <v>1561</v>
      </c>
      <c r="F1381" s="6"/>
      <c r="G1381" s="6"/>
      <c r="H1381" s="6" t="s">
        <v>1389</v>
      </c>
      <c r="I1381" t="s">
        <v>1561</v>
      </c>
      <c r="J1381" t="s">
        <v>1561</v>
      </c>
      <c r="L1381">
        <f t="shared" si="43"/>
        <v>1</v>
      </c>
    </row>
    <row r="1382" spans="1:12" x14ac:dyDescent="0.35">
      <c r="A1382">
        <f t="shared" si="44"/>
        <v>1381</v>
      </c>
      <c r="B1382" t="s">
        <v>485</v>
      </c>
      <c r="C1382" s="109" t="str">
        <f>IF(ISBLANK(K1382),IFERROR(VLOOKUP(I1382,FS_input_data!$C$107:$N$306,Export!J1382,FALSE),""),K1382)</f>
        <v/>
      </c>
      <c r="D1382" s="6"/>
      <c r="E1382" t="s">
        <v>1561</v>
      </c>
      <c r="F1382" s="6"/>
      <c r="G1382" s="6"/>
      <c r="H1382" s="6" t="s">
        <v>1389</v>
      </c>
      <c r="I1382" t="s">
        <v>1561</v>
      </c>
      <c r="J1382" t="s">
        <v>1561</v>
      </c>
      <c r="L1382">
        <f t="shared" si="43"/>
        <v>1</v>
      </c>
    </row>
    <row r="1383" spans="1:12" x14ac:dyDescent="0.35">
      <c r="A1383">
        <f t="shared" si="44"/>
        <v>1382</v>
      </c>
      <c r="B1383" t="s">
        <v>486</v>
      </c>
      <c r="C1383" s="109" t="str">
        <f>IF(ISBLANK(K1383),IFERROR(VLOOKUP(I1383,FS_input_data!$C$107:$N$306,Export!J1383,FALSE),""),K1383)</f>
        <v/>
      </c>
      <c r="D1383" s="6"/>
      <c r="E1383" t="s">
        <v>1504</v>
      </c>
      <c r="F1383" s="6"/>
      <c r="G1383" s="6"/>
      <c r="H1383" s="6" t="s">
        <v>1389</v>
      </c>
      <c r="I1383" t="s">
        <v>1561</v>
      </c>
      <c r="J1383" t="s">
        <v>1561</v>
      </c>
      <c r="L1383" s="26" t="e">
        <f t="shared" si="43"/>
        <v>#VALUE!</v>
      </c>
    </row>
    <row r="1384" spans="1:12" x14ac:dyDescent="0.35">
      <c r="A1384" s="9">
        <f t="shared" si="44"/>
        <v>1383</v>
      </c>
      <c r="B1384" t="s">
        <v>109</v>
      </c>
      <c r="C1384" s="109">
        <f>IF(ISBLANK(K1384),IFERROR(VLOOKUP(I1384,FS_input_data!$C$107:$N$306,Export!J1384,FALSE),""),K1384)</f>
        <v>39</v>
      </c>
      <c r="D1384" s="6" t="b">
        <v>1</v>
      </c>
      <c r="E1384" t="s">
        <v>1561</v>
      </c>
      <c r="F1384" s="6"/>
      <c r="G1384" s="6"/>
      <c r="H1384" s="6" t="s">
        <v>1389</v>
      </c>
      <c r="I1384" t="s">
        <v>1503</v>
      </c>
      <c r="J1384">
        <v>3</v>
      </c>
      <c r="L1384" s="9" t="e">
        <f t="shared" si="43"/>
        <v>#VALUE!</v>
      </c>
    </row>
    <row r="1385" spans="1:12" x14ac:dyDescent="0.35">
      <c r="A1385">
        <f t="shared" si="44"/>
        <v>1384</v>
      </c>
      <c r="B1385" t="s">
        <v>110</v>
      </c>
      <c r="C1385" s="109" t="str">
        <f>IF(ISBLANK(K1385),IFERROR(VLOOKUP(I1385,FS_input_data!$C$107:$N$306,Export!J1385,FALSE),""),K1385)</f>
        <v/>
      </c>
      <c r="D1385" s="6"/>
      <c r="F1385" s="6"/>
      <c r="G1385" s="6"/>
      <c r="H1385" s="6" t="s">
        <v>1389</v>
      </c>
      <c r="I1385" t="s">
        <v>1561</v>
      </c>
      <c r="J1385" t="s">
        <v>1561</v>
      </c>
      <c r="L1385">
        <f t="shared" si="43"/>
        <v>1</v>
      </c>
    </row>
    <row r="1386" spans="1:12" x14ac:dyDescent="0.35">
      <c r="A1386" s="9">
        <f t="shared" si="44"/>
        <v>1385</v>
      </c>
      <c r="B1386" t="s">
        <v>111</v>
      </c>
      <c r="C1386" s="109">
        <f>IF(ISBLANK(K1386),IFERROR(VLOOKUP(I1386,FS_input_data!$C$107:$N$306,Export!J1386,FALSE),""),K1386)</f>
        <v>139</v>
      </c>
      <c r="D1386" s="6" t="b">
        <v>1</v>
      </c>
      <c r="E1386" t="s">
        <v>1561</v>
      </c>
      <c r="F1386" s="6"/>
      <c r="G1386" s="6"/>
      <c r="H1386" s="6" t="s">
        <v>1389</v>
      </c>
      <c r="I1386" t="s">
        <v>1503</v>
      </c>
      <c r="J1386">
        <v>4</v>
      </c>
      <c r="L1386" s="9" t="e">
        <f t="shared" si="43"/>
        <v>#VALUE!</v>
      </c>
    </row>
    <row r="1387" spans="1:12" x14ac:dyDescent="0.35">
      <c r="A1387">
        <f t="shared" si="44"/>
        <v>1386</v>
      </c>
      <c r="B1387" t="s">
        <v>112</v>
      </c>
      <c r="C1387" s="109" t="str">
        <f>IF(ISBLANK(K1387),IFERROR(VLOOKUP(I1387,FS_input_data!$C$107:$N$306,Export!J1387,FALSE),""),K1387)</f>
        <v/>
      </c>
      <c r="D1387" s="6"/>
      <c r="E1387" t="s">
        <v>1561</v>
      </c>
      <c r="F1387" s="6"/>
      <c r="G1387" s="6"/>
      <c r="H1387" s="6" t="s">
        <v>1389</v>
      </c>
      <c r="I1387" t="s">
        <v>1561</v>
      </c>
      <c r="J1387" t="s">
        <v>1561</v>
      </c>
      <c r="L1387">
        <f t="shared" si="43"/>
        <v>1</v>
      </c>
    </row>
    <row r="1388" spans="1:12" x14ac:dyDescent="0.35">
      <c r="A1388">
        <f t="shared" si="44"/>
        <v>1387</v>
      </c>
      <c r="B1388" t="s">
        <v>487</v>
      </c>
      <c r="C1388" s="109" t="str">
        <f>IF(ISBLANK(K1388),IFERROR(VLOOKUP(I1388,FS_input_data!$C$107:$N$306,Export!J1388,FALSE),""),K1388)</f>
        <v/>
      </c>
      <c r="D1388" s="6"/>
      <c r="E1388" t="s">
        <v>1561</v>
      </c>
      <c r="F1388" s="6"/>
      <c r="G1388" s="6"/>
      <c r="H1388" s="6" t="s">
        <v>1389</v>
      </c>
      <c r="I1388" t="s">
        <v>1561</v>
      </c>
      <c r="J1388" t="s">
        <v>1561</v>
      </c>
      <c r="L1388">
        <f t="shared" si="43"/>
        <v>1</v>
      </c>
    </row>
    <row r="1389" spans="1:12" x14ac:dyDescent="0.35">
      <c r="A1389">
        <f t="shared" si="44"/>
        <v>1388</v>
      </c>
      <c r="B1389" t="s">
        <v>488</v>
      </c>
      <c r="C1389" s="109" t="str">
        <f>IF(ISBLANK(K1389),IFERROR(VLOOKUP(I1389,FS_input_data!$C$107:$N$306,Export!J1389,FALSE),""),K1389)</f>
        <v/>
      </c>
      <c r="D1389" s="6"/>
      <c r="E1389" t="s">
        <v>1507</v>
      </c>
      <c r="F1389" s="6"/>
      <c r="G1389" s="6"/>
      <c r="H1389" s="6" t="s">
        <v>1389</v>
      </c>
      <c r="I1389" t="s">
        <v>1561</v>
      </c>
      <c r="J1389" t="s">
        <v>1561</v>
      </c>
      <c r="L1389" s="26" t="e">
        <f t="shared" si="43"/>
        <v>#VALUE!</v>
      </c>
    </row>
    <row r="1390" spans="1:12" x14ac:dyDescent="0.35">
      <c r="A1390" s="9">
        <f t="shared" si="44"/>
        <v>1389</v>
      </c>
      <c r="B1390" t="s">
        <v>109</v>
      </c>
      <c r="C1390" s="109">
        <f>IF(ISBLANK(K1390),IFERROR(VLOOKUP(I1390,FS_input_data!$C$107:$N$306,Export!J1390,FALSE),""),K1390)</f>
        <v>40</v>
      </c>
      <c r="D1390" s="6" t="b">
        <v>1</v>
      </c>
      <c r="E1390" t="s">
        <v>1561</v>
      </c>
      <c r="F1390" s="6"/>
      <c r="G1390" s="6"/>
      <c r="H1390" s="6" t="s">
        <v>1389</v>
      </c>
      <c r="I1390" t="s">
        <v>1506</v>
      </c>
      <c r="J1390">
        <v>3</v>
      </c>
      <c r="L1390" s="9" t="e">
        <f t="shared" si="43"/>
        <v>#VALUE!</v>
      </c>
    </row>
    <row r="1391" spans="1:12" x14ac:dyDescent="0.35">
      <c r="A1391">
        <f t="shared" si="44"/>
        <v>1390</v>
      </c>
      <c r="B1391" t="s">
        <v>110</v>
      </c>
      <c r="C1391" s="109" t="str">
        <f>IF(ISBLANK(K1391),IFERROR(VLOOKUP(I1391,FS_input_data!$C$107:$N$306,Export!J1391,FALSE),""),K1391)</f>
        <v/>
      </c>
      <c r="D1391" s="6"/>
      <c r="F1391" s="6"/>
      <c r="G1391" s="6"/>
      <c r="H1391" s="6" t="s">
        <v>1389</v>
      </c>
      <c r="I1391" t="s">
        <v>1561</v>
      </c>
      <c r="J1391" t="s">
        <v>1561</v>
      </c>
      <c r="L1391">
        <f t="shared" si="43"/>
        <v>1</v>
      </c>
    </row>
    <row r="1392" spans="1:12" x14ac:dyDescent="0.35">
      <c r="A1392" s="9">
        <f t="shared" si="44"/>
        <v>1391</v>
      </c>
      <c r="B1392" t="s">
        <v>111</v>
      </c>
      <c r="C1392" s="109">
        <f>IF(ISBLANK(K1392),IFERROR(VLOOKUP(I1392,FS_input_data!$C$107:$N$306,Export!J1392,FALSE),""),K1392)</f>
        <v>140</v>
      </c>
      <c r="D1392" s="6" t="b">
        <v>1</v>
      </c>
      <c r="E1392" t="s">
        <v>1561</v>
      </c>
      <c r="F1392" s="6"/>
      <c r="G1392" s="6"/>
      <c r="H1392" s="6" t="s">
        <v>1389</v>
      </c>
      <c r="I1392" t="s">
        <v>1506</v>
      </c>
      <c r="J1392">
        <v>4</v>
      </c>
      <c r="L1392" s="9" t="e">
        <f t="shared" si="43"/>
        <v>#VALUE!</v>
      </c>
    </row>
    <row r="1393" spans="1:12" x14ac:dyDescent="0.35">
      <c r="A1393">
        <f t="shared" si="44"/>
        <v>1392</v>
      </c>
      <c r="B1393" t="s">
        <v>112</v>
      </c>
      <c r="C1393" s="109" t="str">
        <f>IF(ISBLANK(K1393),IFERROR(VLOOKUP(I1393,FS_input_data!$C$107:$N$306,Export!J1393,FALSE),""),K1393)</f>
        <v/>
      </c>
      <c r="D1393" s="6"/>
      <c r="E1393" t="s">
        <v>1561</v>
      </c>
      <c r="F1393" s="6"/>
      <c r="G1393" s="6"/>
      <c r="H1393" s="6" t="s">
        <v>1389</v>
      </c>
      <c r="I1393" t="s">
        <v>1561</v>
      </c>
      <c r="J1393" t="s">
        <v>1561</v>
      </c>
      <c r="L1393">
        <f t="shared" si="43"/>
        <v>1</v>
      </c>
    </row>
    <row r="1394" spans="1:12" x14ac:dyDescent="0.35">
      <c r="A1394">
        <f t="shared" si="44"/>
        <v>1393</v>
      </c>
      <c r="B1394" t="s">
        <v>489</v>
      </c>
      <c r="C1394" s="109" t="str">
        <f>IF(ISBLANK(K1394),IFERROR(VLOOKUP(I1394,FS_input_data!$C$107:$N$306,Export!J1394,FALSE),""),K1394)</f>
        <v/>
      </c>
      <c r="D1394" s="6"/>
      <c r="E1394" t="s">
        <v>1561</v>
      </c>
      <c r="F1394" s="6"/>
      <c r="G1394" s="6"/>
      <c r="H1394" s="6" t="s">
        <v>1389</v>
      </c>
      <c r="I1394" t="s">
        <v>1561</v>
      </c>
      <c r="J1394" t="s">
        <v>1561</v>
      </c>
      <c r="L1394">
        <f t="shared" si="43"/>
        <v>1</v>
      </c>
    </row>
    <row r="1395" spans="1:12" x14ac:dyDescent="0.35">
      <c r="A1395">
        <f t="shared" si="44"/>
        <v>1394</v>
      </c>
      <c r="B1395" t="s">
        <v>490</v>
      </c>
      <c r="C1395" s="109" t="str">
        <f>IF(ISBLANK(K1395),IFERROR(VLOOKUP(I1395,FS_input_data!$C$107:$N$306,Export!J1395,FALSE),""),K1395)</f>
        <v/>
      </c>
      <c r="D1395" s="6"/>
      <c r="E1395" t="s">
        <v>1561</v>
      </c>
      <c r="F1395" s="6"/>
      <c r="G1395" s="6"/>
      <c r="H1395" s="6" t="s">
        <v>1389</v>
      </c>
      <c r="I1395" t="s">
        <v>1561</v>
      </c>
      <c r="J1395" t="s">
        <v>1561</v>
      </c>
      <c r="L1395">
        <f t="shared" si="43"/>
        <v>1</v>
      </c>
    </row>
    <row r="1396" spans="1:12" x14ac:dyDescent="0.35">
      <c r="A1396">
        <f t="shared" si="44"/>
        <v>1395</v>
      </c>
      <c r="B1396" t="s">
        <v>491</v>
      </c>
      <c r="C1396" s="109" t="str">
        <f>IF(ISBLANK(K1396),IFERROR(VLOOKUP(I1396,FS_input_data!$C$107:$N$306,Export!J1396,FALSE),""),K1396)</f>
        <v/>
      </c>
      <c r="D1396" s="6"/>
      <c r="E1396" t="s">
        <v>1510</v>
      </c>
      <c r="F1396" s="6"/>
      <c r="G1396" s="6"/>
      <c r="H1396" s="6" t="s">
        <v>1389</v>
      </c>
      <c r="I1396" t="s">
        <v>1561</v>
      </c>
      <c r="J1396" t="s">
        <v>1561</v>
      </c>
      <c r="L1396" s="26" t="e">
        <f t="shared" si="43"/>
        <v>#VALUE!</v>
      </c>
    </row>
    <row r="1397" spans="1:12" x14ac:dyDescent="0.35">
      <c r="A1397" s="9">
        <f t="shared" si="44"/>
        <v>1396</v>
      </c>
      <c r="B1397" t="s">
        <v>109</v>
      </c>
      <c r="C1397" s="109">
        <f>IF(ISBLANK(K1397),IFERROR(VLOOKUP(I1397,FS_input_data!$C$107:$N$306,Export!J1397,FALSE),""),K1397)</f>
        <v>179</v>
      </c>
      <c r="D1397" s="6" t="b">
        <v>1</v>
      </c>
      <c r="E1397" t="s">
        <v>1561</v>
      </c>
      <c r="F1397" s="6"/>
      <c r="G1397" s="6"/>
      <c r="H1397" s="6" t="s">
        <v>1389</v>
      </c>
      <c r="I1397" t="s">
        <v>1509</v>
      </c>
      <c r="J1397">
        <v>3</v>
      </c>
      <c r="L1397" s="9" t="e">
        <f t="shared" si="43"/>
        <v>#VALUE!</v>
      </c>
    </row>
    <row r="1398" spans="1:12" x14ac:dyDescent="0.35">
      <c r="A1398">
        <f t="shared" si="44"/>
        <v>1397</v>
      </c>
      <c r="B1398" t="s">
        <v>110</v>
      </c>
      <c r="C1398" s="109" t="str">
        <f>IF(ISBLANK(K1398),IFERROR(VLOOKUP(I1398,FS_input_data!$C$107:$N$306,Export!J1398,FALSE),""),K1398)</f>
        <v/>
      </c>
      <c r="D1398" s="6"/>
      <c r="F1398" s="6"/>
      <c r="G1398" s="6"/>
      <c r="H1398" s="6" t="s">
        <v>1389</v>
      </c>
      <c r="I1398" t="s">
        <v>1561</v>
      </c>
      <c r="J1398" t="s">
        <v>1561</v>
      </c>
      <c r="L1398">
        <f t="shared" si="43"/>
        <v>1</v>
      </c>
    </row>
    <row r="1399" spans="1:12" x14ac:dyDescent="0.35">
      <c r="A1399" s="9">
        <f t="shared" si="44"/>
        <v>1398</v>
      </c>
      <c r="B1399" t="s">
        <v>111</v>
      </c>
      <c r="C1399" s="109">
        <f>IF(ISBLANK(K1399),IFERROR(VLOOKUP(I1399,FS_input_data!$C$107:$N$306,Export!J1399,FALSE),""),K1399)</f>
        <v>579</v>
      </c>
      <c r="D1399" s="6" t="b">
        <v>1</v>
      </c>
      <c r="E1399" t="s">
        <v>1561</v>
      </c>
      <c r="F1399" s="6"/>
      <c r="G1399" s="6"/>
      <c r="H1399" s="6" t="s">
        <v>1389</v>
      </c>
      <c r="I1399" t="s">
        <v>1509</v>
      </c>
      <c r="J1399">
        <v>4</v>
      </c>
      <c r="L1399" s="9" t="e">
        <f t="shared" si="43"/>
        <v>#VALUE!</v>
      </c>
    </row>
    <row r="1400" spans="1:12" x14ac:dyDescent="0.35">
      <c r="A1400">
        <f t="shared" si="44"/>
        <v>1399</v>
      </c>
      <c r="B1400" t="s">
        <v>112</v>
      </c>
      <c r="C1400" s="109" t="str">
        <f>IF(ISBLANK(K1400),IFERROR(VLOOKUP(I1400,FS_input_data!$C$107:$N$306,Export!J1400,FALSE),""),K1400)</f>
        <v/>
      </c>
      <c r="D1400" s="6"/>
      <c r="E1400" t="s">
        <v>1561</v>
      </c>
      <c r="F1400" s="6"/>
      <c r="G1400" s="6"/>
      <c r="H1400" s="6" t="s">
        <v>1389</v>
      </c>
      <c r="I1400" t="s">
        <v>1561</v>
      </c>
      <c r="J1400" t="s">
        <v>1561</v>
      </c>
      <c r="L1400">
        <f t="shared" si="43"/>
        <v>1</v>
      </c>
    </row>
    <row r="1401" spans="1:12" x14ac:dyDescent="0.35">
      <c r="A1401">
        <f t="shared" si="44"/>
        <v>1400</v>
      </c>
      <c r="B1401" t="s">
        <v>492</v>
      </c>
      <c r="C1401" s="109" t="str">
        <f>IF(ISBLANK(K1401),IFERROR(VLOOKUP(I1401,FS_input_data!$C$107:$N$306,Export!J1401,FALSE),""),K1401)</f>
        <v/>
      </c>
      <c r="D1401" s="6"/>
      <c r="E1401" t="s">
        <v>1513</v>
      </c>
      <c r="F1401" s="6"/>
      <c r="G1401" s="6"/>
      <c r="H1401" s="6" t="s">
        <v>1389</v>
      </c>
      <c r="I1401" t="s">
        <v>1561</v>
      </c>
      <c r="J1401" t="s">
        <v>1561</v>
      </c>
      <c r="L1401" s="26" t="e">
        <f t="shared" si="43"/>
        <v>#VALUE!</v>
      </c>
    </row>
    <row r="1402" spans="1:12" x14ac:dyDescent="0.35">
      <c r="A1402" s="9">
        <f t="shared" si="44"/>
        <v>1401</v>
      </c>
      <c r="B1402" t="s">
        <v>109</v>
      </c>
      <c r="C1402" s="109">
        <f>IF(ISBLANK(K1402),IFERROR(VLOOKUP(I1402,FS_input_data!$C$107:$N$306,Export!J1402,FALSE),""),K1402)</f>
        <v>42</v>
      </c>
      <c r="D1402" s="6" t="b">
        <v>1</v>
      </c>
      <c r="E1402" t="s">
        <v>1561</v>
      </c>
      <c r="F1402" s="6"/>
      <c r="G1402" s="6"/>
      <c r="H1402" s="6" t="s">
        <v>1389</v>
      </c>
      <c r="I1402" t="s">
        <v>1512</v>
      </c>
      <c r="J1402">
        <v>3</v>
      </c>
      <c r="L1402" s="9" t="e">
        <f t="shared" si="43"/>
        <v>#VALUE!</v>
      </c>
    </row>
    <row r="1403" spans="1:12" x14ac:dyDescent="0.35">
      <c r="A1403">
        <f t="shared" si="44"/>
        <v>1402</v>
      </c>
      <c r="B1403" t="s">
        <v>110</v>
      </c>
      <c r="C1403" s="109" t="str">
        <f>IF(ISBLANK(K1403),IFERROR(VLOOKUP(I1403,FS_input_data!$C$107:$N$306,Export!J1403,FALSE),""),K1403)</f>
        <v/>
      </c>
      <c r="D1403" s="6"/>
      <c r="F1403" s="6"/>
      <c r="G1403" s="6"/>
      <c r="H1403" s="6" t="s">
        <v>1389</v>
      </c>
      <c r="I1403" t="s">
        <v>1561</v>
      </c>
      <c r="J1403" t="s">
        <v>1561</v>
      </c>
      <c r="L1403">
        <f t="shared" si="43"/>
        <v>1</v>
      </c>
    </row>
    <row r="1404" spans="1:12" x14ac:dyDescent="0.35">
      <c r="A1404" s="9">
        <f t="shared" si="44"/>
        <v>1403</v>
      </c>
      <c r="B1404" t="s">
        <v>111</v>
      </c>
      <c r="C1404" s="109">
        <f>IF(ISBLANK(K1404),IFERROR(VLOOKUP(I1404,FS_input_data!$C$107:$N$306,Export!J1404,FALSE),""),K1404)</f>
        <v>142</v>
      </c>
      <c r="D1404" s="6" t="b">
        <v>1</v>
      </c>
      <c r="E1404" t="s">
        <v>1561</v>
      </c>
      <c r="F1404" s="6"/>
      <c r="G1404" s="6"/>
      <c r="H1404" s="6" t="s">
        <v>1389</v>
      </c>
      <c r="I1404" t="s">
        <v>1512</v>
      </c>
      <c r="J1404">
        <v>4</v>
      </c>
      <c r="L1404" s="9" t="e">
        <f t="shared" si="43"/>
        <v>#VALUE!</v>
      </c>
    </row>
    <row r="1405" spans="1:12" x14ac:dyDescent="0.35">
      <c r="A1405">
        <f t="shared" si="44"/>
        <v>1404</v>
      </c>
      <c r="B1405" t="s">
        <v>112</v>
      </c>
      <c r="C1405" s="109" t="str">
        <f>IF(ISBLANK(K1405),IFERROR(VLOOKUP(I1405,FS_input_data!$C$107:$N$306,Export!J1405,FALSE),""),K1405)</f>
        <v/>
      </c>
      <c r="D1405" s="6"/>
      <c r="E1405" t="s">
        <v>1561</v>
      </c>
      <c r="F1405" s="6"/>
      <c r="G1405" s="6"/>
      <c r="H1405" s="6" t="s">
        <v>1389</v>
      </c>
      <c r="I1405" t="s">
        <v>1561</v>
      </c>
      <c r="J1405" t="s">
        <v>1561</v>
      </c>
      <c r="L1405">
        <f t="shared" si="43"/>
        <v>1</v>
      </c>
    </row>
    <row r="1406" spans="1:12" x14ac:dyDescent="0.35">
      <c r="A1406">
        <f t="shared" si="44"/>
        <v>1405</v>
      </c>
      <c r="B1406" t="s">
        <v>493</v>
      </c>
      <c r="C1406" s="109" t="str">
        <f>IF(ISBLANK(K1406),IFERROR(VLOOKUP(I1406,FS_input_data!$C$107:$N$306,Export!J1406,FALSE),""),K1406)</f>
        <v/>
      </c>
      <c r="D1406" s="6"/>
      <c r="E1406" t="s">
        <v>1516</v>
      </c>
      <c r="F1406" s="6"/>
      <c r="G1406" s="6"/>
      <c r="H1406" s="6" t="s">
        <v>1389</v>
      </c>
      <c r="I1406" t="s">
        <v>1561</v>
      </c>
      <c r="J1406" t="s">
        <v>1561</v>
      </c>
      <c r="L1406" s="26" t="e">
        <f t="shared" si="43"/>
        <v>#VALUE!</v>
      </c>
    </row>
    <row r="1407" spans="1:12" x14ac:dyDescent="0.35">
      <c r="A1407" s="9">
        <f t="shared" si="44"/>
        <v>1406</v>
      </c>
      <c r="B1407" t="s">
        <v>109</v>
      </c>
      <c r="C1407" s="109">
        <f>IF(ISBLANK(K1407),IFERROR(VLOOKUP(I1407,FS_input_data!$C$107:$N$306,Export!J1407,FALSE),""),K1407)</f>
        <v>43</v>
      </c>
      <c r="D1407" s="6" t="b">
        <v>1</v>
      </c>
      <c r="E1407" t="s">
        <v>1561</v>
      </c>
      <c r="F1407" s="6"/>
      <c r="G1407" s="6"/>
      <c r="H1407" s="6" t="s">
        <v>1389</v>
      </c>
      <c r="I1407" t="s">
        <v>1515</v>
      </c>
      <c r="J1407">
        <v>3</v>
      </c>
      <c r="L1407" s="9" t="e">
        <f t="shared" si="43"/>
        <v>#VALUE!</v>
      </c>
    </row>
    <row r="1408" spans="1:12" x14ac:dyDescent="0.35">
      <c r="A1408">
        <f t="shared" si="44"/>
        <v>1407</v>
      </c>
      <c r="B1408" t="s">
        <v>110</v>
      </c>
      <c r="C1408" s="109" t="str">
        <f>IF(ISBLANK(K1408),IFERROR(VLOOKUP(I1408,FS_input_data!$C$107:$N$306,Export!J1408,FALSE),""),K1408)</f>
        <v/>
      </c>
      <c r="D1408" s="6"/>
      <c r="F1408" s="6"/>
      <c r="G1408" s="6"/>
      <c r="H1408" s="6" t="s">
        <v>1389</v>
      </c>
      <c r="I1408" t="s">
        <v>1561</v>
      </c>
      <c r="J1408" t="s">
        <v>1561</v>
      </c>
      <c r="L1408">
        <f t="shared" si="43"/>
        <v>1</v>
      </c>
    </row>
    <row r="1409" spans="1:12" x14ac:dyDescent="0.35">
      <c r="A1409" s="9">
        <f t="shared" si="44"/>
        <v>1408</v>
      </c>
      <c r="B1409" t="s">
        <v>111</v>
      </c>
      <c r="C1409" s="109">
        <f>IF(ISBLANK(K1409),IFERROR(VLOOKUP(I1409,FS_input_data!$C$107:$N$306,Export!J1409,FALSE),""),K1409)</f>
        <v>143</v>
      </c>
      <c r="D1409" s="6" t="b">
        <v>1</v>
      </c>
      <c r="E1409" t="s">
        <v>1561</v>
      </c>
      <c r="F1409" s="6"/>
      <c r="G1409" s="6"/>
      <c r="H1409" s="6" t="s">
        <v>1389</v>
      </c>
      <c r="I1409" t="s">
        <v>1515</v>
      </c>
      <c r="J1409">
        <v>4</v>
      </c>
      <c r="L1409" s="9" t="e">
        <f t="shared" si="43"/>
        <v>#VALUE!</v>
      </c>
    </row>
    <row r="1410" spans="1:12" x14ac:dyDescent="0.35">
      <c r="A1410">
        <f t="shared" si="44"/>
        <v>1409</v>
      </c>
      <c r="B1410" t="s">
        <v>112</v>
      </c>
      <c r="C1410" s="109" t="str">
        <f>IF(ISBLANK(K1410),IFERROR(VLOOKUP(I1410,FS_input_data!$C$107:$N$306,Export!J1410,FALSE),""),K1410)</f>
        <v/>
      </c>
      <c r="D1410" s="6"/>
      <c r="E1410" t="s">
        <v>1561</v>
      </c>
      <c r="F1410" s="6"/>
      <c r="G1410" s="6"/>
      <c r="H1410" s="6" t="s">
        <v>1389</v>
      </c>
      <c r="I1410" t="s">
        <v>1561</v>
      </c>
      <c r="J1410" t="s">
        <v>1561</v>
      </c>
      <c r="L1410">
        <f t="shared" ref="L1410:L1473" si="45">FIND("/",B1410)</f>
        <v>1</v>
      </c>
    </row>
    <row r="1411" spans="1:12" x14ac:dyDescent="0.35">
      <c r="A1411">
        <f t="shared" ref="A1411:A1474" si="46">A1410+1</f>
        <v>1410</v>
      </c>
      <c r="B1411" t="s">
        <v>494</v>
      </c>
      <c r="C1411" s="109" t="str">
        <f>IF(ISBLANK(K1411),IFERROR(VLOOKUP(I1411,FS_input_data!$C$107:$N$306,Export!J1411,FALSE),""),K1411)</f>
        <v/>
      </c>
      <c r="D1411" s="6"/>
      <c r="E1411" t="s">
        <v>1561</v>
      </c>
      <c r="F1411" s="6"/>
      <c r="G1411" s="6"/>
      <c r="H1411" s="6" t="s">
        <v>1389</v>
      </c>
      <c r="I1411" t="s">
        <v>1561</v>
      </c>
      <c r="J1411" t="s">
        <v>1561</v>
      </c>
      <c r="L1411">
        <f t="shared" si="45"/>
        <v>1</v>
      </c>
    </row>
    <row r="1412" spans="1:12" x14ac:dyDescent="0.35">
      <c r="A1412">
        <f t="shared" si="46"/>
        <v>1411</v>
      </c>
      <c r="B1412" t="s">
        <v>495</v>
      </c>
      <c r="C1412" s="109" t="str">
        <f>IF(ISBLANK(K1412),IFERROR(VLOOKUP(I1412,FS_input_data!$C$107:$N$306,Export!J1412,FALSE),""),K1412)</f>
        <v/>
      </c>
      <c r="D1412" s="6"/>
      <c r="E1412" t="s">
        <v>1561</v>
      </c>
      <c r="F1412" s="6"/>
      <c r="G1412" s="6"/>
      <c r="H1412" s="6" t="s">
        <v>1389</v>
      </c>
      <c r="I1412" t="s">
        <v>1561</v>
      </c>
      <c r="J1412" t="s">
        <v>1561</v>
      </c>
      <c r="L1412">
        <f t="shared" si="45"/>
        <v>1</v>
      </c>
    </row>
    <row r="1413" spans="1:12" x14ac:dyDescent="0.35">
      <c r="A1413">
        <f t="shared" si="46"/>
        <v>1412</v>
      </c>
      <c r="B1413" t="s">
        <v>496</v>
      </c>
      <c r="C1413" s="109" t="str">
        <f>IF(ISBLANK(K1413),IFERROR(VLOOKUP(I1413,FS_input_data!$C$107:$N$306,Export!J1413,FALSE),""),K1413)</f>
        <v/>
      </c>
      <c r="D1413" s="6"/>
      <c r="E1413" t="s">
        <v>1519</v>
      </c>
      <c r="F1413" s="6"/>
      <c r="G1413" s="6"/>
      <c r="H1413" s="6" t="s">
        <v>1389</v>
      </c>
      <c r="I1413" t="s">
        <v>1561</v>
      </c>
      <c r="J1413" t="s">
        <v>1561</v>
      </c>
      <c r="L1413" s="26" t="e">
        <f t="shared" si="45"/>
        <v>#VALUE!</v>
      </c>
    </row>
    <row r="1414" spans="1:12" x14ac:dyDescent="0.35">
      <c r="A1414" s="9">
        <f t="shared" si="46"/>
        <v>1413</v>
      </c>
      <c r="B1414" t="s">
        <v>109</v>
      </c>
      <c r="C1414" s="109">
        <f>IF(ISBLANK(K1414),IFERROR(VLOOKUP(I1414,FS_input_data!$C$107:$N$306,Export!J1414,FALSE),""),K1414)</f>
        <v>44</v>
      </c>
      <c r="D1414" s="6" t="b">
        <v>1</v>
      </c>
      <c r="E1414" t="s">
        <v>1561</v>
      </c>
      <c r="F1414" s="6"/>
      <c r="G1414" s="6"/>
      <c r="H1414" s="6" t="s">
        <v>1389</v>
      </c>
      <c r="I1414" t="s">
        <v>1518</v>
      </c>
      <c r="J1414">
        <v>3</v>
      </c>
      <c r="L1414" s="9" t="e">
        <f t="shared" si="45"/>
        <v>#VALUE!</v>
      </c>
    </row>
    <row r="1415" spans="1:12" x14ac:dyDescent="0.35">
      <c r="A1415">
        <f t="shared" si="46"/>
        <v>1414</v>
      </c>
      <c r="B1415" t="s">
        <v>110</v>
      </c>
      <c r="C1415" s="109" t="str">
        <f>IF(ISBLANK(K1415),IFERROR(VLOOKUP(I1415,FS_input_data!$C$107:$N$306,Export!J1415,FALSE),""),K1415)</f>
        <v/>
      </c>
      <c r="D1415" s="6"/>
      <c r="F1415" s="6"/>
      <c r="G1415" s="6"/>
      <c r="H1415" s="6" t="s">
        <v>1389</v>
      </c>
      <c r="I1415" t="s">
        <v>1561</v>
      </c>
      <c r="J1415" t="s">
        <v>1561</v>
      </c>
      <c r="L1415">
        <f t="shared" si="45"/>
        <v>1</v>
      </c>
    </row>
    <row r="1416" spans="1:12" x14ac:dyDescent="0.35">
      <c r="A1416" s="9">
        <f t="shared" si="46"/>
        <v>1415</v>
      </c>
      <c r="B1416" t="s">
        <v>111</v>
      </c>
      <c r="C1416" s="109">
        <f>IF(ISBLANK(K1416),IFERROR(VLOOKUP(I1416,FS_input_data!$C$107:$N$306,Export!J1416,FALSE),""),K1416)</f>
        <v>144</v>
      </c>
      <c r="D1416" s="6" t="b">
        <v>1</v>
      </c>
      <c r="E1416" t="s">
        <v>1561</v>
      </c>
      <c r="F1416" s="6"/>
      <c r="G1416" s="6"/>
      <c r="H1416" s="6" t="s">
        <v>1389</v>
      </c>
      <c r="I1416" t="s">
        <v>1518</v>
      </c>
      <c r="J1416">
        <v>4</v>
      </c>
      <c r="L1416" s="9" t="e">
        <f t="shared" si="45"/>
        <v>#VALUE!</v>
      </c>
    </row>
    <row r="1417" spans="1:12" x14ac:dyDescent="0.35">
      <c r="A1417">
        <f t="shared" si="46"/>
        <v>1416</v>
      </c>
      <c r="B1417" t="s">
        <v>112</v>
      </c>
      <c r="C1417" s="109" t="str">
        <f>IF(ISBLANK(K1417),IFERROR(VLOOKUP(I1417,FS_input_data!$C$107:$N$306,Export!J1417,FALSE),""),K1417)</f>
        <v/>
      </c>
      <c r="D1417" s="6"/>
      <c r="E1417" t="s">
        <v>1561</v>
      </c>
      <c r="F1417" s="6"/>
      <c r="G1417" s="6"/>
      <c r="H1417" s="6" t="s">
        <v>1389</v>
      </c>
      <c r="I1417" t="s">
        <v>1561</v>
      </c>
      <c r="J1417" t="s">
        <v>1561</v>
      </c>
      <c r="L1417">
        <f t="shared" si="45"/>
        <v>1</v>
      </c>
    </row>
    <row r="1418" spans="1:12" x14ac:dyDescent="0.35">
      <c r="A1418">
        <f t="shared" si="46"/>
        <v>1417</v>
      </c>
      <c r="B1418" t="s">
        <v>497</v>
      </c>
      <c r="C1418" s="109" t="str">
        <f>IF(ISBLANK(K1418),IFERROR(VLOOKUP(I1418,FS_input_data!$C$107:$N$306,Export!J1418,FALSE),""),K1418)</f>
        <v/>
      </c>
      <c r="D1418" s="6"/>
      <c r="E1418" t="s">
        <v>1501</v>
      </c>
      <c r="F1418" s="6"/>
      <c r="G1418" s="6"/>
      <c r="H1418" s="6" t="s">
        <v>1389</v>
      </c>
      <c r="I1418" t="s">
        <v>1561</v>
      </c>
      <c r="J1418" t="s">
        <v>1561</v>
      </c>
      <c r="L1418" s="26" t="e">
        <f t="shared" si="45"/>
        <v>#VALUE!</v>
      </c>
    </row>
    <row r="1419" spans="1:12" x14ac:dyDescent="0.35">
      <c r="A1419" s="9">
        <f t="shared" si="46"/>
        <v>1418</v>
      </c>
      <c r="B1419" t="s">
        <v>109</v>
      </c>
      <c r="C1419" s="109">
        <f>IF(ISBLANK(K1419),IFERROR(VLOOKUP(I1419,FS_input_data!$C$107:$N$306,Export!J1419,FALSE),""),K1419)</f>
        <v>45</v>
      </c>
      <c r="D1419" s="6" t="b">
        <v>1</v>
      </c>
      <c r="E1419" t="s">
        <v>1561</v>
      </c>
      <c r="F1419" s="6"/>
      <c r="G1419" s="6"/>
      <c r="H1419" s="6" t="s">
        <v>1389</v>
      </c>
      <c r="I1419" t="s">
        <v>1521</v>
      </c>
      <c r="J1419">
        <v>3</v>
      </c>
      <c r="L1419" s="9" t="e">
        <f t="shared" si="45"/>
        <v>#VALUE!</v>
      </c>
    </row>
    <row r="1420" spans="1:12" x14ac:dyDescent="0.35">
      <c r="A1420">
        <f t="shared" si="46"/>
        <v>1419</v>
      </c>
      <c r="B1420" t="s">
        <v>110</v>
      </c>
      <c r="C1420" s="109" t="str">
        <f>IF(ISBLANK(K1420),IFERROR(VLOOKUP(I1420,FS_input_data!$C$107:$N$306,Export!J1420,FALSE),""),K1420)</f>
        <v/>
      </c>
      <c r="D1420" s="6"/>
      <c r="F1420" s="6"/>
      <c r="G1420" s="6"/>
      <c r="H1420" s="6" t="s">
        <v>1389</v>
      </c>
      <c r="I1420" t="s">
        <v>1561</v>
      </c>
      <c r="J1420" t="s">
        <v>1561</v>
      </c>
      <c r="L1420">
        <f t="shared" si="45"/>
        <v>1</v>
      </c>
    </row>
    <row r="1421" spans="1:12" x14ac:dyDescent="0.35">
      <c r="A1421" s="9">
        <f t="shared" si="46"/>
        <v>1420</v>
      </c>
      <c r="B1421" t="s">
        <v>111</v>
      </c>
      <c r="C1421" s="109">
        <f>IF(ISBLANK(K1421),IFERROR(VLOOKUP(I1421,FS_input_data!$C$107:$N$306,Export!J1421,FALSE),""),K1421)</f>
        <v>145</v>
      </c>
      <c r="D1421" s="6" t="b">
        <v>1</v>
      </c>
      <c r="E1421" t="s">
        <v>1561</v>
      </c>
      <c r="F1421" s="6"/>
      <c r="G1421" s="6"/>
      <c r="H1421" s="6" t="s">
        <v>1389</v>
      </c>
      <c r="I1421" t="s">
        <v>1521</v>
      </c>
      <c r="J1421">
        <v>4</v>
      </c>
      <c r="L1421" s="9" t="e">
        <f t="shared" si="45"/>
        <v>#VALUE!</v>
      </c>
    </row>
    <row r="1422" spans="1:12" x14ac:dyDescent="0.35">
      <c r="A1422">
        <f t="shared" si="46"/>
        <v>1421</v>
      </c>
      <c r="B1422" t="s">
        <v>112</v>
      </c>
      <c r="C1422" s="109" t="str">
        <f>IF(ISBLANK(K1422),IFERROR(VLOOKUP(I1422,FS_input_data!$C$107:$N$306,Export!J1422,FALSE),""),K1422)</f>
        <v/>
      </c>
      <c r="D1422" s="6"/>
      <c r="E1422" t="s">
        <v>1561</v>
      </c>
      <c r="F1422" s="6"/>
      <c r="G1422" s="6"/>
      <c r="H1422" s="6" t="s">
        <v>1389</v>
      </c>
      <c r="I1422" t="s">
        <v>1561</v>
      </c>
      <c r="J1422" t="s">
        <v>1561</v>
      </c>
      <c r="L1422">
        <f t="shared" si="45"/>
        <v>1</v>
      </c>
    </row>
    <row r="1423" spans="1:12" x14ac:dyDescent="0.35">
      <c r="A1423">
        <f t="shared" si="46"/>
        <v>1422</v>
      </c>
      <c r="B1423" t="s">
        <v>498</v>
      </c>
      <c r="C1423" s="109" t="str">
        <f>IF(ISBLANK(K1423),IFERROR(VLOOKUP(I1423,FS_input_data!$C$107:$N$306,Export!J1423,FALSE),""),K1423)</f>
        <v/>
      </c>
      <c r="D1423" s="6"/>
      <c r="E1423" t="s">
        <v>1561</v>
      </c>
      <c r="F1423" s="6"/>
      <c r="G1423" s="6"/>
      <c r="H1423" s="6" t="s">
        <v>1389</v>
      </c>
      <c r="I1423" t="s">
        <v>1561</v>
      </c>
      <c r="J1423" t="s">
        <v>1561</v>
      </c>
      <c r="L1423">
        <f t="shared" si="45"/>
        <v>1</v>
      </c>
    </row>
    <row r="1424" spans="1:12" x14ac:dyDescent="0.35">
      <c r="A1424">
        <f t="shared" si="46"/>
        <v>1423</v>
      </c>
      <c r="B1424" t="s">
        <v>499</v>
      </c>
      <c r="C1424" s="109" t="str">
        <f>IF(ISBLANK(K1424),IFERROR(VLOOKUP(I1424,FS_input_data!$C$107:$N$306,Export!J1424,FALSE),""),K1424)</f>
        <v/>
      </c>
      <c r="D1424" s="6"/>
      <c r="E1424" t="s">
        <v>1561</v>
      </c>
      <c r="F1424" s="6"/>
      <c r="G1424" s="6"/>
      <c r="H1424" s="6" t="s">
        <v>1389</v>
      </c>
      <c r="I1424" t="s">
        <v>1561</v>
      </c>
      <c r="J1424" t="s">
        <v>1561</v>
      </c>
      <c r="L1424">
        <f t="shared" si="45"/>
        <v>1</v>
      </c>
    </row>
    <row r="1425" spans="1:12" x14ac:dyDescent="0.35">
      <c r="A1425">
        <f t="shared" si="46"/>
        <v>1424</v>
      </c>
      <c r="B1425" t="s">
        <v>500</v>
      </c>
      <c r="C1425" s="109" t="str">
        <f>IF(ISBLANK(K1425),IFERROR(VLOOKUP(I1425,FS_input_data!$C$107:$N$306,Export!J1425,FALSE),""),K1425)</f>
        <v/>
      </c>
      <c r="D1425" s="6"/>
      <c r="E1425" t="s">
        <v>1524</v>
      </c>
      <c r="F1425" s="6"/>
      <c r="G1425" s="6"/>
      <c r="H1425" s="6" t="s">
        <v>1389</v>
      </c>
      <c r="I1425" t="s">
        <v>1561</v>
      </c>
      <c r="J1425" t="s">
        <v>1561</v>
      </c>
      <c r="L1425" s="26" t="e">
        <f t="shared" si="45"/>
        <v>#VALUE!</v>
      </c>
    </row>
    <row r="1426" spans="1:12" x14ac:dyDescent="0.35">
      <c r="A1426" s="9">
        <f t="shared" si="46"/>
        <v>1425</v>
      </c>
      <c r="B1426" t="s">
        <v>109</v>
      </c>
      <c r="C1426" s="109">
        <f>IF(ISBLANK(K1426),IFERROR(VLOOKUP(I1426,FS_input_data!$C$107:$N$306,Export!J1426,FALSE),""),K1426)</f>
        <v>46</v>
      </c>
      <c r="D1426" s="6" t="b">
        <v>1</v>
      </c>
      <c r="F1426" s="6"/>
      <c r="G1426" s="6"/>
      <c r="H1426" s="6" t="s">
        <v>1389</v>
      </c>
      <c r="I1426" t="s">
        <v>1523</v>
      </c>
      <c r="J1426">
        <v>3</v>
      </c>
      <c r="L1426" s="9" t="e">
        <f t="shared" si="45"/>
        <v>#VALUE!</v>
      </c>
    </row>
    <row r="1427" spans="1:12" x14ac:dyDescent="0.35">
      <c r="A1427">
        <f t="shared" si="46"/>
        <v>1426</v>
      </c>
      <c r="B1427" t="s">
        <v>110</v>
      </c>
      <c r="C1427" s="109" t="str">
        <f>IF(ISBLANK(K1427),IFERROR(VLOOKUP(I1427,FS_input_data!$C$107:$N$306,Export!J1427,FALSE),""),K1427)</f>
        <v/>
      </c>
      <c r="D1427" s="6"/>
      <c r="F1427" s="6"/>
      <c r="G1427" s="6"/>
      <c r="H1427" s="6" t="s">
        <v>1389</v>
      </c>
      <c r="I1427" t="s">
        <v>1561</v>
      </c>
      <c r="J1427" t="s">
        <v>1561</v>
      </c>
      <c r="L1427">
        <f t="shared" si="45"/>
        <v>1</v>
      </c>
    </row>
    <row r="1428" spans="1:12" x14ac:dyDescent="0.35">
      <c r="A1428" s="9">
        <f t="shared" si="46"/>
        <v>1427</v>
      </c>
      <c r="B1428" t="s">
        <v>111</v>
      </c>
      <c r="C1428" s="109">
        <f>IF(ISBLANK(K1428),IFERROR(VLOOKUP(I1428,FS_input_data!$C$107:$N$306,Export!J1428,FALSE),""),K1428)</f>
        <v>146</v>
      </c>
      <c r="D1428" s="6" t="b">
        <v>1</v>
      </c>
      <c r="F1428" s="6"/>
      <c r="G1428" s="6"/>
      <c r="H1428" s="6" t="s">
        <v>1389</v>
      </c>
      <c r="I1428" t="s">
        <v>1523</v>
      </c>
      <c r="J1428">
        <v>4</v>
      </c>
      <c r="L1428" s="9" t="e">
        <f t="shared" si="45"/>
        <v>#VALUE!</v>
      </c>
    </row>
    <row r="1429" spans="1:12" x14ac:dyDescent="0.35">
      <c r="A1429">
        <f t="shared" si="46"/>
        <v>1428</v>
      </c>
      <c r="B1429" t="s">
        <v>112</v>
      </c>
      <c r="C1429" s="109" t="str">
        <f>IF(ISBLANK(K1429),IFERROR(VLOOKUP(I1429,FS_input_data!$C$107:$N$306,Export!J1429,FALSE),""),K1429)</f>
        <v/>
      </c>
      <c r="D1429" s="6"/>
      <c r="E1429" t="s">
        <v>1561</v>
      </c>
      <c r="F1429" s="6"/>
      <c r="G1429" s="6"/>
      <c r="H1429" s="6" t="s">
        <v>1389</v>
      </c>
      <c r="I1429" t="s">
        <v>1561</v>
      </c>
      <c r="J1429" t="s">
        <v>1561</v>
      </c>
      <c r="L1429">
        <f t="shared" si="45"/>
        <v>1</v>
      </c>
    </row>
    <row r="1430" spans="1:12" x14ac:dyDescent="0.35">
      <c r="A1430">
        <f t="shared" si="46"/>
        <v>1429</v>
      </c>
      <c r="B1430" t="s">
        <v>501</v>
      </c>
      <c r="C1430" s="109" t="str">
        <f>IF(ISBLANK(K1430),IFERROR(VLOOKUP(I1430,FS_input_data!$C$107:$N$306,Export!J1430,FALSE),""),K1430)</f>
        <v/>
      </c>
      <c r="D1430" s="6"/>
      <c r="E1430" t="s">
        <v>1561</v>
      </c>
      <c r="F1430" s="6"/>
      <c r="G1430" s="6"/>
      <c r="H1430" s="6" t="s">
        <v>1389</v>
      </c>
      <c r="I1430" t="s">
        <v>1561</v>
      </c>
      <c r="J1430" t="s">
        <v>1561</v>
      </c>
      <c r="L1430">
        <f t="shared" si="45"/>
        <v>1</v>
      </c>
    </row>
    <row r="1431" spans="1:12" x14ac:dyDescent="0.35">
      <c r="A1431">
        <f t="shared" si="46"/>
        <v>1430</v>
      </c>
      <c r="B1431" t="s">
        <v>502</v>
      </c>
      <c r="C1431" s="109" t="str">
        <f>IF(ISBLANK(K1431),IFERROR(VLOOKUP(I1431,FS_input_data!$C$107:$N$306,Export!J1431,FALSE),""),K1431)</f>
        <v/>
      </c>
      <c r="D1431" s="6"/>
      <c r="E1431" t="s">
        <v>1527</v>
      </c>
      <c r="F1431" s="6"/>
      <c r="G1431" s="6"/>
      <c r="H1431" s="6" t="s">
        <v>1389</v>
      </c>
      <c r="I1431" t="s">
        <v>1561</v>
      </c>
      <c r="J1431" t="s">
        <v>1561</v>
      </c>
      <c r="L1431" s="26" t="e">
        <f t="shared" si="45"/>
        <v>#VALUE!</v>
      </c>
    </row>
    <row r="1432" spans="1:12" x14ac:dyDescent="0.35">
      <c r="A1432" s="9">
        <f t="shared" si="46"/>
        <v>1431</v>
      </c>
      <c r="B1432" t="s">
        <v>109</v>
      </c>
      <c r="C1432" s="109">
        <f>IF(ISBLANK(K1432),IFERROR(VLOOKUP(I1432,FS_input_data!$C$107:$N$306,Export!J1432,FALSE),""),K1432)</f>
        <v>47</v>
      </c>
      <c r="D1432" s="6" t="b">
        <v>1</v>
      </c>
      <c r="E1432" t="s">
        <v>1561</v>
      </c>
      <c r="F1432" s="6"/>
      <c r="G1432" s="6"/>
      <c r="H1432" s="6" t="s">
        <v>1389</v>
      </c>
      <c r="I1432" t="s">
        <v>1526</v>
      </c>
      <c r="J1432">
        <v>3</v>
      </c>
      <c r="L1432" s="9" t="e">
        <f t="shared" si="45"/>
        <v>#VALUE!</v>
      </c>
    </row>
    <row r="1433" spans="1:12" x14ac:dyDescent="0.35">
      <c r="A1433">
        <f t="shared" si="46"/>
        <v>1432</v>
      </c>
      <c r="B1433" t="s">
        <v>110</v>
      </c>
      <c r="C1433" s="109" t="str">
        <f>IF(ISBLANK(K1433),IFERROR(VLOOKUP(I1433,FS_input_data!$C$107:$N$306,Export!J1433,FALSE),""),K1433)</f>
        <v/>
      </c>
      <c r="D1433" s="6"/>
      <c r="F1433" s="6"/>
      <c r="G1433" s="6"/>
      <c r="H1433" s="6" t="s">
        <v>1389</v>
      </c>
      <c r="I1433" t="s">
        <v>1561</v>
      </c>
      <c r="J1433" t="s">
        <v>1561</v>
      </c>
      <c r="L1433">
        <f t="shared" si="45"/>
        <v>1</v>
      </c>
    </row>
    <row r="1434" spans="1:12" x14ac:dyDescent="0.35">
      <c r="A1434" s="9">
        <f t="shared" si="46"/>
        <v>1433</v>
      </c>
      <c r="B1434" t="s">
        <v>111</v>
      </c>
      <c r="C1434" s="109">
        <f>IF(ISBLANK(K1434),IFERROR(VLOOKUP(I1434,FS_input_data!$C$107:$N$306,Export!J1434,FALSE),""),K1434)</f>
        <v>147</v>
      </c>
      <c r="D1434" s="6" t="b">
        <v>1</v>
      </c>
      <c r="E1434" t="s">
        <v>1561</v>
      </c>
      <c r="F1434" s="6"/>
      <c r="G1434" s="6"/>
      <c r="H1434" s="6" t="s">
        <v>1389</v>
      </c>
      <c r="I1434" t="s">
        <v>1526</v>
      </c>
      <c r="J1434">
        <v>4</v>
      </c>
      <c r="L1434" s="9" t="e">
        <f t="shared" si="45"/>
        <v>#VALUE!</v>
      </c>
    </row>
    <row r="1435" spans="1:12" x14ac:dyDescent="0.35">
      <c r="A1435">
        <f t="shared" si="46"/>
        <v>1434</v>
      </c>
      <c r="B1435" t="s">
        <v>112</v>
      </c>
      <c r="C1435" s="109" t="str">
        <f>IF(ISBLANK(K1435),IFERROR(VLOOKUP(I1435,FS_input_data!$C$107:$N$306,Export!J1435,FALSE),""),K1435)</f>
        <v/>
      </c>
      <c r="D1435" s="6"/>
      <c r="E1435" t="s">
        <v>1561</v>
      </c>
      <c r="F1435" s="6"/>
      <c r="G1435" s="6"/>
      <c r="H1435" s="6" t="s">
        <v>1389</v>
      </c>
      <c r="I1435" t="s">
        <v>1561</v>
      </c>
      <c r="J1435" t="s">
        <v>1561</v>
      </c>
      <c r="L1435">
        <f t="shared" si="45"/>
        <v>1</v>
      </c>
    </row>
    <row r="1436" spans="1:12" x14ac:dyDescent="0.35">
      <c r="A1436">
        <f t="shared" si="46"/>
        <v>1435</v>
      </c>
      <c r="B1436" t="s">
        <v>503</v>
      </c>
      <c r="C1436" s="109" t="str">
        <f>IF(ISBLANK(K1436),IFERROR(VLOOKUP(I1436,FS_input_data!$C$107:$N$306,Export!J1436,FALSE),""),K1436)</f>
        <v/>
      </c>
      <c r="D1436" s="6"/>
      <c r="E1436" t="s">
        <v>1561</v>
      </c>
      <c r="F1436" s="6"/>
      <c r="G1436" s="6"/>
      <c r="H1436" s="6" t="s">
        <v>1389</v>
      </c>
      <c r="I1436" t="s">
        <v>1561</v>
      </c>
      <c r="J1436" t="s">
        <v>1561</v>
      </c>
      <c r="L1436">
        <f t="shared" si="45"/>
        <v>1</v>
      </c>
    </row>
    <row r="1437" spans="1:12" x14ac:dyDescent="0.35">
      <c r="A1437">
        <f t="shared" si="46"/>
        <v>1436</v>
      </c>
      <c r="B1437" t="s">
        <v>504</v>
      </c>
      <c r="C1437" s="109" t="str">
        <f>IF(ISBLANK(K1437),IFERROR(VLOOKUP(I1437,FS_input_data!$C$107:$N$306,Export!J1437,FALSE),""),K1437)</f>
        <v/>
      </c>
      <c r="D1437" s="6"/>
      <c r="E1437" t="s">
        <v>1561</v>
      </c>
      <c r="F1437" s="6"/>
      <c r="G1437" s="6"/>
      <c r="H1437" s="6" t="s">
        <v>1389</v>
      </c>
      <c r="I1437" t="s">
        <v>1561</v>
      </c>
      <c r="J1437" t="s">
        <v>1561</v>
      </c>
      <c r="L1437">
        <f t="shared" si="45"/>
        <v>1</v>
      </c>
    </row>
    <row r="1438" spans="1:12" x14ac:dyDescent="0.35">
      <c r="A1438">
        <f t="shared" si="46"/>
        <v>1437</v>
      </c>
      <c r="B1438" t="s">
        <v>505</v>
      </c>
      <c r="C1438" s="109" t="str">
        <f>IF(ISBLANK(K1438),IFERROR(VLOOKUP(I1438,FS_input_data!$C$107:$N$306,Export!J1438,FALSE),""),K1438)</f>
        <v/>
      </c>
      <c r="D1438" s="6"/>
      <c r="E1438" t="s">
        <v>1530</v>
      </c>
      <c r="F1438" s="6"/>
      <c r="G1438" s="6"/>
      <c r="H1438" s="6" t="s">
        <v>1389</v>
      </c>
      <c r="I1438" t="s">
        <v>1561</v>
      </c>
      <c r="J1438" t="s">
        <v>1561</v>
      </c>
      <c r="L1438" s="26" t="e">
        <f t="shared" si="45"/>
        <v>#VALUE!</v>
      </c>
    </row>
    <row r="1439" spans="1:12" x14ac:dyDescent="0.35">
      <c r="A1439" s="9">
        <f t="shared" si="46"/>
        <v>1438</v>
      </c>
      <c r="B1439" t="s">
        <v>109</v>
      </c>
      <c r="C1439" s="109">
        <f>IF(ISBLANK(K1439),IFERROR(VLOOKUP(I1439,FS_input_data!$C$107:$N$306,Export!J1439,FALSE),""),K1439)</f>
        <v>-36</v>
      </c>
      <c r="D1439" s="6" t="b">
        <v>1</v>
      </c>
      <c r="E1439" t="s">
        <v>1561</v>
      </c>
      <c r="F1439" s="6"/>
      <c r="G1439" s="6"/>
      <c r="H1439" s="6" t="s">
        <v>1389</v>
      </c>
      <c r="I1439" t="s">
        <v>1529</v>
      </c>
      <c r="J1439">
        <v>3</v>
      </c>
      <c r="L1439" s="9" t="e">
        <f t="shared" si="45"/>
        <v>#VALUE!</v>
      </c>
    </row>
    <row r="1440" spans="1:12" x14ac:dyDescent="0.35">
      <c r="A1440">
        <f t="shared" si="46"/>
        <v>1439</v>
      </c>
      <c r="B1440" t="s">
        <v>110</v>
      </c>
      <c r="C1440" s="109" t="str">
        <f>IF(ISBLANK(K1440),IFERROR(VLOOKUP(I1440,FS_input_data!$C$107:$N$306,Export!J1440,FALSE),""),K1440)</f>
        <v/>
      </c>
      <c r="D1440" s="6"/>
      <c r="F1440" s="6"/>
      <c r="G1440" s="6"/>
      <c r="H1440" s="6" t="s">
        <v>1389</v>
      </c>
      <c r="I1440" t="s">
        <v>1561</v>
      </c>
      <c r="J1440" t="s">
        <v>1561</v>
      </c>
      <c r="L1440">
        <f t="shared" si="45"/>
        <v>1</v>
      </c>
    </row>
    <row r="1441" spans="1:12" x14ac:dyDescent="0.35">
      <c r="A1441" s="9">
        <f t="shared" si="46"/>
        <v>1440</v>
      </c>
      <c r="B1441" t="s">
        <v>111</v>
      </c>
      <c r="C1441" s="109">
        <f>IF(ISBLANK(K1441),IFERROR(VLOOKUP(I1441,FS_input_data!$C$107:$N$306,Export!J1441,FALSE),""),K1441)</f>
        <v>-136</v>
      </c>
      <c r="D1441" s="6" t="b">
        <v>1</v>
      </c>
      <c r="E1441" t="s">
        <v>1561</v>
      </c>
      <c r="F1441" s="6"/>
      <c r="G1441" s="6"/>
      <c r="H1441" s="6" t="s">
        <v>1389</v>
      </c>
      <c r="I1441" t="s">
        <v>1529</v>
      </c>
      <c r="J1441">
        <v>4</v>
      </c>
      <c r="L1441" s="9" t="e">
        <f t="shared" si="45"/>
        <v>#VALUE!</v>
      </c>
    </row>
    <row r="1442" spans="1:12" x14ac:dyDescent="0.35">
      <c r="A1442">
        <f t="shared" si="46"/>
        <v>1441</v>
      </c>
      <c r="B1442" t="s">
        <v>112</v>
      </c>
      <c r="C1442" s="109" t="str">
        <f>IF(ISBLANK(K1442),IFERROR(VLOOKUP(I1442,FS_input_data!$C$107:$N$306,Export!J1442,FALSE),""),K1442)</f>
        <v/>
      </c>
      <c r="D1442" s="6"/>
      <c r="E1442" t="s">
        <v>1561</v>
      </c>
      <c r="F1442" s="6"/>
      <c r="G1442" s="6"/>
      <c r="H1442" s="6" t="s">
        <v>1389</v>
      </c>
      <c r="I1442" t="s">
        <v>1561</v>
      </c>
      <c r="J1442" t="s">
        <v>1561</v>
      </c>
      <c r="L1442">
        <f t="shared" si="45"/>
        <v>1</v>
      </c>
    </row>
    <row r="1443" spans="1:12" x14ac:dyDescent="0.35">
      <c r="A1443">
        <f t="shared" si="46"/>
        <v>1442</v>
      </c>
      <c r="B1443" t="s">
        <v>506</v>
      </c>
      <c r="C1443" s="109" t="str">
        <f>IF(ISBLANK(K1443),IFERROR(VLOOKUP(I1443,FS_input_data!$C$107:$N$306,Export!J1443,FALSE),""),K1443)</f>
        <v/>
      </c>
      <c r="D1443" s="6"/>
      <c r="E1443" t="s">
        <v>1561</v>
      </c>
      <c r="F1443" s="6"/>
      <c r="G1443" s="6"/>
      <c r="H1443" s="6" t="s">
        <v>1389</v>
      </c>
      <c r="I1443" t="s">
        <v>1561</v>
      </c>
      <c r="J1443" t="s">
        <v>1561</v>
      </c>
      <c r="L1443">
        <f t="shared" si="45"/>
        <v>1</v>
      </c>
    </row>
    <row r="1444" spans="1:12" x14ac:dyDescent="0.35">
      <c r="A1444">
        <f t="shared" si="46"/>
        <v>1443</v>
      </c>
      <c r="B1444" t="s">
        <v>507</v>
      </c>
      <c r="C1444" s="109" t="str">
        <f>IF(ISBLANK(K1444),IFERROR(VLOOKUP(I1444,FS_input_data!$C$107:$N$306,Export!J1444,FALSE),""),K1444)</f>
        <v/>
      </c>
      <c r="D1444" s="6"/>
      <c r="E1444" t="s">
        <v>1533</v>
      </c>
      <c r="F1444" s="6"/>
      <c r="G1444" s="6"/>
      <c r="H1444" s="6" t="s">
        <v>1389</v>
      </c>
      <c r="I1444" t="s">
        <v>1561</v>
      </c>
      <c r="J1444" t="s">
        <v>1561</v>
      </c>
      <c r="L1444" s="26" t="e">
        <f t="shared" si="45"/>
        <v>#VALUE!</v>
      </c>
    </row>
    <row r="1445" spans="1:12" x14ac:dyDescent="0.35">
      <c r="A1445" s="9">
        <f t="shared" si="46"/>
        <v>1444</v>
      </c>
      <c r="B1445" t="s">
        <v>109</v>
      </c>
      <c r="C1445" s="109">
        <f>IF(ISBLANK(K1445),IFERROR(VLOOKUP(I1445,FS_input_data!$C$107:$N$306,Export!J1445,FALSE),""),K1445)</f>
        <v>49</v>
      </c>
      <c r="D1445" s="6" t="b">
        <v>1</v>
      </c>
      <c r="E1445" t="s">
        <v>1561</v>
      </c>
      <c r="F1445" s="6"/>
      <c r="G1445" s="6"/>
      <c r="H1445" s="6" t="s">
        <v>1389</v>
      </c>
      <c r="I1445" t="s">
        <v>1532</v>
      </c>
      <c r="J1445">
        <v>3</v>
      </c>
      <c r="L1445" s="9" t="e">
        <f t="shared" si="45"/>
        <v>#VALUE!</v>
      </c>
    </row>
    <row r="1446" spans="1:12" x14ac:dyDescent="0.35">
      <c r="A1446">
        <f t="shared" si="46"/>
        <v>1445</v>
      </c>
      <c r="B1446" t="s">
        <v>110</v>
      </c>
      <c r="C1446" s="109" t="str">
        <f>IF(ISBLANK(K1446),IFERROR(VLOOKUP(I1446,FS_input_data!$C$107:$N$306,Export!J1446,FALSE),""),K1446)</f>
        <v/>
      </c>
      <c r="D1446" s="6"/>
      <c r="F1446" s="6"/>
      <c r="G1446" s="6"/>
      <c r="H1446" s="6" t="s">
        <v>1389</v>
      </c>
      <c r="I1446" t="s">
        <v>1561</v>
      </c>
      <c r="J1446" t="s">
        <v>1561</v>
      </c>
      <c r="L1446">
        <f t="shared" si="45"/>
        <v>1</v>
      </c>
    </row>
    <row r="1447" spans="1:12" x14ac:dyDescent="0.35">
      <c r="A1447" s="9">
        <f t="shared" si="46"/>
        <v>1446</v>
      </c>
      <c r="B1447" t="s">
        <v>111</v>
      </c>
      <c r="C1447" s="109">
        <f>IF(ISBLANK(K1447),IFERROR(VLOOKUP(I1447,FS_input_data!$C$107:$N$306,Export!J1447,FALSE),""),K1447)</f>
        <v>149</v>
      </c>
      <c r="D1447" s="6" t="b">
        <v>1</v>
      </c>
      <c r="E1447" t="s">
        <v>1561</v>
      </c>
      <c r="F1447" s="6"/>
      <c r="G1447" s="6"/>
      <c r="H1447" s="6" t="s">
        <v>1389</v>
      </c>
      <c r="I1447" t="s">
        <v>1532</v>
      </c>
      <c r="J1447">
        <v>4</v>
      </c>
      <c r="L1447" s="9" t="e">
        <f t="shared" si="45"/>
        <v>#VALUE!</v>
      </c>
    </row>
    <row r="1448" spans="1:12" x14ac:dyDescent="0.35">
      <c r="A1448">
        <f t="shared" si="46"/>
        <v>1447</v>
      </c>
      <c r="B1448" t="s">
        <v>112</v>
      </c>
      <c r="C1448" s="109" t="str">
        <f>IF(ISBLANK(K1448),IFERROR(VLOOKUP(I1448,FS_input_data!$C$107:$N$306,Export!J1448,FALSE),""),K1448)</f>
        <v/>
      </c>
      <c r="D1448" s="6"/>
      <c r="E1448" t="s">
        <v>1561</v>
      </c>
      <c r="F1448" s="6"/>
      <c r="G1448" s="6"/>
      <c r="H1448" s="6" t="s">
        <v>1389</v>
      </c>
      <c r="I1448" t="s">
        <v>1561</v>
      </c>
      <c r="J1448" t="s">
        <v>1561</v>
      </c>
      <c r="L1448">
        <f t="shared" si="45"/>
        <v>1</v>
      </c>
    </row>
    <row r="1449" spans="1:12" x14ac:dyDescent="0.35">
      <c r="A1449">
        <f t="shared" si="46"/>
        <v>1448</v>
      </c>
      <c r="B1449" t="s">
        <v>508</v>
      </c>
      <c r="C1449" s="109" t="str">
        <f>IF(ISBLANK(K1449),IFERROR(VLOOKUP(I1449,FS_input_data!$C$107:$N$306,Export!J1449,FALSE),""),K1449)</f>
        <v/>
      </c>
      <c r="D1449" s="6"/>
      <c r="E1449" t="s">
        <v>1561</v>
      </c>
      <c r="F1449" s="6"/>
      <c r="G1449" s="6"/>
      <c r="H1449" s="6" t="s">
        <v>1389</v>
      </c>
      <c r="I1449" t="s">
        <v>1561</v>
      </c>
      <c r="J1449" t="s">
        <v>1561</v>
      </c>
      <c r="L1449">
        <f t="shared" si="45"/>
        <v>1</v>
      </c>
    </row>
    <row r="1450" spans="1:12" x14ac:dyDescent="0.35">
      <c r="A1450">
        <f t="shared" si="46"/>
        <v>1449</v>
      </c>
      <c r="B1450" t="s">
        <v>509</v>
      </c>
      <c r="C1450" s="109" t="str">
        <f>IF(ISBLANK(K1450),IFERROR(VLOOKUP(I1450,FS_input_data!$C$107:$N$306,Export!J1450,FALSE),""),K1450)</f>
        <v/>
      </c>
      <c r="D1450" s="6"/>
      <c r="E1450" t="s">
        <v>1536</v>
      </c>
      <c r="F1450" s="6"/>
      <c r="G1450" s="6"/>
      <c r="H1450" s="6" t="s">
        <v>1389</v>
      </c>
      <c r="I1450" t="s">
        <v>1561</v>
      </c>
      <c r="J1450" t="s">
        <v>1561</v>
      </c>
      <c r="L1450" s="26" t="e">
        <f t="shared" si="45"/>
        <v>#VALUE!</v>
      </c>
    </row>
    <row r="1451" spans="1:12" x14ac:dyDescent="0.35">
      <c r="A1451" s="9">
        <f t="shared" si="46"/>
        <v>1450</v>
      </c>
      <c r="B1451" t="s">
        <v>109</v>
      </c>
      <c r="C1451" s="109">
        <f>IF(ISBLANK(K1451),IFERROR(VLOOKUP(I1451,FS_input_data!$C$107:$N$306,Export!J1451,FALSE),""),K1451)</f>
        <v>50</v>
      </c>
      <c r="D1451" s="6" t="b">
        <v>1</v>
      </c>
      <c r="F1451" s="6"/>
      <c r="G1451" s="6"/>
      <c r="H1451" s="6" t="s">
        <v>1389</v>
      </c>
      <c r="I1451" t="s">
        <v>1535</v>
      </c>
      <c r="J1451">
        <v>3</v>
      </c>
      <c r="L1451" s="9" t="e">
        <f t="shared" si="45"/>
        <v>#VALUE!</v>
      </c>
    </row>
    <row r="1452" spans="1:12" x14ac:dyDescent="0.35">
      <c r="A1452">
        <f t="shared" si="46"/>
        <v>1451</v>
      </c>
      <c r="B1452" t="s">
        <v>110</v>
      </c>
      <c r="C1452" s="109" t="str">
        <f>IF(ISBLANK(K1452),IFERROR(VLOOKUP(I1452,FS_input_data!$C$107:$N$306,Export!J1452,FALSE),""),K1452)</f>
        <v/>
      </c>
      <c r="D1452" s="6"/>
      <c r="F1452" s="6"/>
      <c r="G1452" s="6"/>
      <c r="H1452" s="6" t="s">
        <v>1389</v>
      </c>
      <c r="I1452" t="s">
        <v>1561</v>
      </c>
      <c r="J1452" t="s">
        <v>1561</v>
      </c>
      <c r="L1452">
        <f t="shared" si="45"/>
        <v>1</v>
      </c>
    </row>
    <row r="1453" spans="1:12" x14ac:dyDescent="0.35">
      <c r="A1453" s="9">
        <f t="shared" si="46"/>
        <v>1452</v>
      </c>
      <c r="B1453" t="s">
        <v>111</v>
      </c>
      <c r="C1453" s="109">
        <f>IF(ISBLANK(K1453),IFERROR(VLOOKUP(I1453,FS_input_data!$C$107:$N$306,Export!J1453,FALSE),""),K1453)</f>
        <v>150</v>
      </c>
      <c r="D1453" s="6" t="b">
        <v>1</v>
      </c>
      <c r="F1453" s="6"/>
      <c r="G1453" s="6"/>
      <c r="H1453" s="6" t="s">
        <v>1389</v>
      </c>
      <c r="I1453" t="s">
        <v>1535</v>
      </c>
      <c r="J1453">
        <v>4</v>
      </c>
      <c r="L1453" s="9" t="e">
        <f t="shared" si="45"/>
        <v>#VALUE!</v>
      </c>
    </row>
    <row r="1454" spans="1:12" x14ac:dyDescent="0.35">
      <c r="A1454">
        <f t="shared" si="46"/>
        <v>1453</v>
      </c>
      <c r="B1454" t="s">
        <v>112</v>
      </c>
      <c r="C1454" s="109" t="str">
        <f>IF(ISBLANK(K1454),IFERROR(VLOOKUP(I1454,FS_input_data!$C$107:$N$306,Export!J1454,FALSE),""),K1454)</f>
        <v/>
      </c>
      <c r="D1454" s="6"/>
      <c r="E1454" t="s">
        <v>1561</v>
      </c>
      <c r="F1454" s="6"/>
      <c r="G1454" s="6"/>
      <c r="H1454" s="6" t="s">
        <v>1389</v>
      </c>
      <c r="I1454" t="s">
        <v>1561</v>
      </c>
      <c r="J1454" t="s">
        <v>1561</v>
      </c>
      <c r="L1454">
        <f t="shared" si="45"/>
        <v>1</v>
      </c>
    </row>
    <row r="1455" spans="1:12" x14ac:dyDescent="0.35">
      <c r="A1455">
        <f t="shared" si="46"/>
        <v>1454</v>
      </c>
      <c r="B1455" t="s">
        <v>510</v>
      </c>
      <c r="C1455" s="109" t="str">
        <f>IF(ISBLANK(K1455),IFERROR(VLOOKUP(I1455,FS_input_data!$C$107:$N$306,Export!J1455,FALSE),""),K1455)</f>
        <v/>
      </c>
      <c r="D1455" s="6"/>
      <c r="E1455" t="s">
        <v>1561</v>
      </c>
      <c r="F1455" s="6"/>
      <c r="G1455" s="6"/>
      <c r="H1455" s="6" t="s">
        <v>1389</v>
      </c>
      <c r="I1455" t="s">
        <v>1561</v>
      </c>
      <c r="J1455" t="s">
        <v>1561</v>
      </c>
      <c r="L1455">
        <f t="shared" si="45"/>
        <v>1</v>
      </c>
    </row>
    <row r="1456" spans="1:12" x14ac:dyDescent="0.35">
      <c r="A1456">
        <f t="shared" si="46"/>
        <v>1455</v>
      </c>
      <c r="B1456" t="s">
        <v>511</v>
      </c>
      <c r="C1456" s="109" t="str">
        <f>IF(ISBLANK(K1456),IFERROR(VLOOKUP(I1456,FS_input_data!$C$107:$N$306,Export!J1456,FALSE),""),K1456)</f>
        <v/>
      </c>
      <c r="D1456" s="6"/>
      <c r="E1456" t="s">
        <v>1539</v>
      </c>
      <c r="F1456" s="6"/>
      <c r="G1456" s="6"/>
      <c r="H1456" s="6" t="s">
        <v>1389</v>
      </c>
      <c r="I1456" t="s">
        <v>1561</v>
      </c>
      <c r="J1456" t="s">
        <v>1561</v>
      </c>
      <c r="L1456" s="26" t="e">
        <f t="shared" si="45"/>
        <v>#VALUE!</v>
      </c>
    </row>
    <row r="1457" spans="1:12" x14ac:dyDescent="0.35">
      <c r="A1457" s="9">
        <f t="shared" si="46"/>
        <v>1456</v>
      </c>
      <c r="B1457" t="s">
        <v>109</v>
      </c>
      <c r="C1457" s="109">
        <f>IF(ISBLANK(K1457),IFERROR(VLOOKUP(I1457,FS_input_data!$C$107:$N$306,Export!J1457,FALSE),""),K1457)</f>
        <v>-135</v>
      </c>
      <c r="D1457" s="6" t="b">
        <v>1</v>
      </c>
      <c r="E1457" t="s">
        <v>1561</v>
      </c>
      <c r="F1457" s="6"/>
      <c r="G1457" s="6"/>
      <c r="H1457" s="6" t="s">
        <v>1389</v>
      </c>
      <c r="I1457" t="s">
        <v>1538</v>
      </c>
      <c r="J1457">
        <v>3</v>
      </c>
      <c r="L1457" s="9" t="e">
        <f t="shared" si="45"/>
        <v>#VALUE!</v>
      </c>
    </row>
    <row r="1458" spans="1:12" x14ac:dyDescent="0.35">
      <c r="A1458">
        <f t="shared" si="46"/>
        <v>1457</v>
      </c>
      <c r="B1458" t="s">
        <v>110</v>
      </c>
      <c r="C1458" s="109" t="str">
        <f>IF(ISBLANK(K1458),IFERROR(VLOOKUP(I1458,FS_input_data!$C$107:$N$306,Export!J1458,FALSE),""),K1458)</f>
        <v/>
      </c>
      <c r="D1458" s="6"/>
      <c r="F1458" s="6"/>
      <c r="G1458" s="6"/>
      <c r="H1458" s="6" t="s">
        <v>1389</v>
      </c>
      <c r="I1458" t="s">
        <v>1561</v>
      </c>
      <c r="J1458" t="s">
        <v>1561</v>
      </c>
      <c r="L1458">
        <f t="shared" si="45"/>
        <v>1</v>
      </c>
    </row>
    <row r="1459" spans="1:12" x14ac:dyDescent="0.35">
      <c r="A1459" s="9">
        <f t="shared" si="46"/>
        <v>1458</v>
      </c>
      <c r="B1459" t="s">
        <v>111</v>
      </c>
      <c r="C1459" s="109">
        <f>IF(ISBLANK(K1459),IFERROR(VLOOKUP(I1459,FS_input_data!$C$107:$N$306,Export!J1459,FALSE),""),K1459)</f>
        <v>-435</v>
      </c>
      <c r="D1459" s="6" t="b">
        <v>1</v>
      </c>
      <c r="E1459" t="s">
        <v>1561</v>
      </c>
      <c r="F1459" s="6"/>
      <c r="G1459" s="6"/>
      <c r="H1459" s="6" t="s">
        <v>1389</v>
      </c>
      <c r="I1459" t="s">
        <v>1538</v>
      </c>
      <c r="J1459">
        <v>4</v>
      </c>
      <c r="L1459" s="9" t="e">
        <f t="shared" si="45"/>
        <v>#VALUE!</v>
      </c>
    </row>
    <row r="1460" spans="1:12" x14ac:dyDescent="0.35">
      <c r="A1460">
        <f t="shared" si="46"/>
        <v>1459</v>
      </c>
      <c r="B1460" t="s">
        <v>112</v>
      </c>
      <c r="C1460" s="109" t="str">
        <f>IF(ISBLANK(K1460),IFERROR(VLOOKUP(I1460,FS_input_data!$C$107:$N$306,Export!J1460,FALSE),""),K1460)</f>
        <v/>
      </c>
      <c r="D1460" s="6"/>
      <c r="E1460" t="s">
        <v>1561</v>
      </c>
      <c r="F1460" s="6"/>
      <c r="G1460" s="6"/>
      <c r="H1460" s="6" t="s">
        <v>1389</v>
      </c>
      <c r="I1460" t="s">
        <v>1561</v>
      </c>
      <c r="J1460" t="s">
        <v>1561</v>
      </c>
      <c r="L1460">
        <f t="shared" si="45"/>
        <v>1</v>
      </c>
    </row>
    <row r="1461" spans="1:12" x14ac:dyDescent="0.35">
      <c r="A1461">
        <f t="shared" si="46"/>
        <v>1460</v>
      </c>
      <c r="B1461" t="s">
        <v>512</v>
      </c>
      <c r="C1461" s="109" t="str">
        <f>IF(ISBLANK(K1461),IFERROR(VLOOKUP(I1461,FS_input_data!$C$107:$N$306,Export!J1461,FALSE),""),K1461)</f>
        <v/>
      </c>
      <c r="D1461" s="6"/>
      <c r="E1461" t="s">
        <v>1561</v>
      </c>
      <c r="F1461" s="6"/>
      <c r="G1461" s="6"/>
      <c r="H1461" s="6" t="s">
        <v>1389</v>
      </c>
      <c r="I1461" t="s">
        <v>1561</v>
      </c>
      <c r="J1461" t="s">
        <v>1561</v>
      </c>
      <c r="L1461">
        <f t="shared" si="45"/>
        <v>1</v>
      </c>
    </row>
    <row r="1462" spans="1:12" x14ac:dyDescent="0.35">
      <c r="A1462">
        <f t="shared" si="46"/>
        <v>1461</v>
      </c>
      <c r="B1462" t="s">
        <v>513</v>
      </c>
      <c r="C1462" s="109" t="str">
        <f>IF(ISBLANK(K1462),IFERROR(VLOOKUP(I1462,FS_input_data!$C$107:$N$306,Export!J1462,FALSE),""),K1462)</f>
        <v/>
      </c>
      <c r="D1462" s="6"/>
      <c r="E1462" t="s">
        <v>1561</v>
      </c>
      <c r="F1462" s="6"/>
      <c r="G1462" s="6"/>
      <c r="H1462" s="6" t="s">
        <v>1389</v>
      </c>
      <c r="I1462" t="s">
        <v>1561</v>
      </c>
      <c r="J1462" t="s">
        <v>1561</v>
      </c>
      <c r="L1462">
        <f t="shared" si="45"/>
        <v>1</v>
      </c>
    </row>
    <row r="1463" spans="1:12" x14ac:dyDescent="0.35">
      <c r="A1463">
        <f t="shared" si="46"/>
        <v>1462</v>
      </c>
      <c r="B1463" t="s">
        <v>514</v>
      </c>
      <c r="C1463" s="109" t="str">
        <f>IF(ISBLANK(K1463),IFERROR(VLOOKUP(I1463,FS_input_data!$C$107:$N$306,Export!J1463,FALSE),""),K1463)</f>
        <v/>
      </c>
      <c r="D1463" s="6"/>
      <c r="E1463" t="s">
        <v>1561</v>
      </c>
      <c r="F1463" s="6"/>
      <c r="G1463" s="6"/>
      <c r="H1463" s="6" t="s">
        <v>1389</v>
      </c>
      <c r="I1463" t="s">
        <v>1561</v>
      </c>
      <c r="J1463" t="s">
        <v>1561</v>
      </c>
      <c r="L1463">
        <f t="shared" si="45"/>
        <v>1</v>
      </c>
    </row>
    <row r="1464" spans="1:12" x14ac:dyDescent="0.35">
      <c r="A1464">
        <f t="shared" si="46"/>
        <v>1463</v>
      </c>
      <c r="B1464" t="s">
        <v>515</v>
      </c>
      <c r="C1464" s="109" t="str">
        <f>IF(ISBLANK(K1464),IFERROR(VLOOKUP(I1464,FS_input_data!$C$307:$N$397,Export!J1464,FALSE),""),K1464)</f>
        <v/>
      </c>
      <c r="D1464" s="6"/>
      <c r="E1464" t="s">
        <v>1561</v>
      </c>
      <c r="F1464" s="6"/>
      <c r="G1464" s="6" t="b">
        <f t="shared" ref="G1464:G1508" si="47">NOT(capital_xml)</f>
        <v>0</v>
      </c>
      <c r="H1464" s="6" t="s">
        <v>1540</v>
      </c>
      <c r="I1464" t="s">
        <v>1561</v>
      </c>
      <c r="J1464" t="s">
        <v>1561</v>
      </c>
      <c r="L1464" s="9" t="e">
        <f t="shared" si="45"/>
        <v>#VALUE!</v>
      </c>
    </row>
    <row r="1465" spans="1:12" x14ac:dyDescent="0.35">
      <c r="A1465">
        <f t="shared" si="46"/>
        <v>1464</v>
      </c>
      <c r="B1465" t="s">
        <v>505</v>
      </c>
      <c r="C1465" s="109" t="str">
        <f>IF(ISBLANK(K1465),IFERROR(VLOOKUP(I1465,FS_input_data!$C$307:$N$397,Export!J1465,FALSE),""),K1465)</f>
        <v/>
      </c>
      <c r="D1465" s="6"/>
      <c r="E1465" t="s">
        <v>2216</v>
      </c>
      <c r="F1465" s="6"/>
      <c r="G1465" s="6" t="b">
        <f t="shared" si="47"/>
        <v>0</v>
      </c>
      <c r="H1465" s="6" t="s">
        <v>1540</v>
      </c>
      <c r="I1465" t="s">
        <v>1561</v>
      </c>
      <c r="J1465" t="s">
        <v>1561</v>
      </c>
      <c r="L1465" s="26" t="e">
        <f t="shared" si="45"/>
        <v>#VALUE!</v>
      </c>
    </row>
    <row r="1466" spans="1:12" x14ac:dyDescent="0.35">
      <c r="A1466" s="9">
        <f t="shared" si="46"/>
        <v>1465</v>
      </c>
      <c r="B1466" t="s">
        <v>109</v>
      </c>
      <c r="C1466" s="109">
        <f>IF(ISBLANK(K1466),IFERROR(VLOOKUP(I1466,FS_input_data!$C$307:$N$397,Export!J1466,FALSE),""),K1466)</f>
        <v>1758</v>
      </c>
      <c r="D1466" s="6" t="b">
        <v>1</v>
      </c>
      <c r="E1466" t="s">
        <v>1561</v>
      </c>
      <c r="F1466" s="6"/>
      <c r="G1466" s="6" t="b">
        <f t="shared" si="47"/>
        <v>0</v>
      </c>
      <c r="H1466" s="6" t="s">
        <v>1540</v>
      </c>
      <c r="I1466" t="s">
        <v>1529</v>
      </c>
      <c r="J1466">
        <v>3</v>
      </c>
      <c r="L1466" s="9" t="e">
        <f t="shared" si="45"/>
        <v>#VALUE!</v>
      </c>
    </row>
    <row r="1467" spans="1:12" x14ac:dyDescent="0.35">
      <c r="A1467">
        <f t="shared" si="46"/>
        <v>1466</v>
      </c>
      <c r="B1467" t="s">
        <v>110</v>
      </c>
      <c r="C1467" s="109" t="str">
        <f>IF(ISBLANK(K1467),IFERROR(VLOOKUP(I1467,FS_input_data!$C$307:$N$397,Export!J1467,FALSE),""),K1467)</f>
        <v/>
      </c>
      <c r="D1467" s="6"/>
      <c r="F1467" s="6"/>
      <c r="G1467" s="6" t="b">
        <f t="shared" si="47"/>
        <v>0</v>
      </c>
      <c r="H1467" s="6" t="s">
        <v>1540</v>
      </c>
      <c r="I1467" t="s">
        <v>1561</v>
      </c>
      <c r="J1467" t="s">
        <v>1561</v>
      </c>
      <c r="L1467">
        <f t="shared" si="45"/>
        <v>1</v>
      </c>
    </row>
    <row r="1468" spans="1:12" x14ac:dyDescent="0.35">
      <c r="A1468" s="9">
        <f t="shared" si="46"/>
        <v>1467</v>
      </c>
      <c r="B1468" t="s">
        <v>111</v>
      </c>
      <c r="C1468" s="109">
        <f>IF(ISBLANK(K1468),IFERROR(VLOOKUP(I1468,FS_input_data!$C$307:$N$397,Export!J1468,FALSE),""),K1468)</f>
        <v>262</v>
      </c>
      <c r="D1468" s="6" t="b">
        <v>1</v>
      </c>
      <c r="E1468" t="s">
        <v>1561</v>
      </c>
      <c r="F1468" s="6"/>
      <c r="G1468" s="6" t="b">
        <f t="shared" si="47"/>
        <v>0</v>
      </c>
      <c r="H1468" s="6" t="s">
        <v>1540</v>
      </c>
      <c r="I1468" t="s">
        <v>1529</v>
      </c>
      <c r="J1468">
        <v>4</v>
      </c>
      <c r="L1468" s="9" t="e">
        <f t="shared" si="45"/>
        <v>#VALUE!</v>
      </c>
    </row>
    <row r="1469" spans="1:12" x14ac:dyDescent="0.35">
      <c r="A1469">
        <f t="shared" si="46"/>
        <v>1468</v>
      </c>
      <c r="B1469" t="s">
        <v>112</v>
      </c>
      <c r="C1469" s="109" t="str">
        <f>IF(ISBLANK(K1469),IFERROR(VLOOKUP(I1469,FS_input_data!$C$307:$N$397,Export!J1469,FALSE),""),K1469)</f>
        <v/>
      </c>
      <c r="D1469" s="6"/>
      <c r="E1469" t="s">
        <v>1561</v>
      </c>
      <c r="F1469" s="6"/>
      <c r="G1469" s="6" t="b">
        <f t="shared" si="47"/>
        <v>0</v>
      </c>
      <c r="H1469" s="6" t="s">
        <v>1540</v>
      </c>
      <c r="I1469" t="s">
        <v>1561</v>
      </c>
      <c r="J1469" t="s">
        <v>1561</v>
      </c>
      <c r="L1469">
        <f t="shared" si="45"/>
        <v>1</v>
      </c>
    </row>
    <row r="1470" spans="1:12" x14ac:dyDescent="0.35">
      <c r="A1470">
        <f t="shared" si="46"/>
        <v>1469</v>
      </c>
      <c r="B1470" t="s">
        <v>516</v>
      </c>
      <c r="C1470" s="109" t="str">
        <f>IF(ISBLANK(K1470),IFERROR(VLOOKUP(I1470,FS_input_data!$C$307:$N$397,Export!J1470,FALSE),""),K1470)</f>
        <v/>
      </c>
      <c r="D1470" s="6"/>
      <c r="E1470" t="s">
        <v>1543</v>
      </c>
      <c r="F1470" s="6"/>
      <c r="G1470" s="6" t="b">
        <f t="shared" si="47"/>
        <v>0</v>
      </c>
      <c r="H1470" s="6" t="s">
        <v>1540</v>
      </c>
      <c r="I1470" t="s">
        <v>1561</v>
      </c>
      <c r="J1470" t="s">
        <v>1561</v>
      </c>
      <c r="L1470" s="26" t="e">
        <f t="shared" si="45"/>
        <v>#VALUE!</v>
      </c>
    </row>
    <row r="1471" spans="1:12" x14ac:dyDescent="0.35">
      <c r="A1471" s="9">
        <f t="shared" si="46"/>
        <v>1470</v>
      </c>
      <c r="B1471" t="s">
        <v>109</v>
      </c>
      <c r="C1471" s="109">
        <f>IF(ISBLANK(K1471),IFERROR(VLOOKUP(I1471,FS_input_data!$C$307:$N$397,Export!J1471,FALSE),""),K1471)</f>
        <v>130</v>
      </c>
      <c r="D1471" s="6" t="b">
        <v>1</v>
      </c>
      <c r="E1471" t="s">
        <v>1561</v>
      </c>
      <c r="F1471" s="6"/>
      <c r="G1471" s="6" t="b">
        <f t="shared" si="47"/>
        <v>0</v>
      </c>
      <c r="H1471" s="6" t="s">
        <v>1540</v>
      </c>
      <c r="I1471" t="s">
        <v>1542</v>
      </c>
      <c r="J1471">
        <v>3</v>
      </c>
      <c r="L1471" s="9" t="e">
        <f t="shared" si="45"/>
        <v>#VALUE!</v>
      </c>
    </row>
    <row r="1472" spans="1:12" x14ac:dyDescent="0.35">
      <c r="A1472">
        <f t="shared" si="46"/>
        <v>1471</v>
      </c>
      <c r="B1472" t="s">
        <v>110</v>
      </c>
      <c r="C1472" s="109" t="str">
        <f>IF(ISBLANK(K1472),IFERROR(VLOOKUP(I1472,FS_input_data!$C$307:$N$397,Export!J1472,FALSE),""),K1472)</f>
        <v/>
      </c>
      <c r="D1472" s="6"/>
      <c r="F1472" s="6"/>
      <c r="G1472" s="6" t="b">
        <f t="shared" si="47"/>
        <v>0</v>
      </c>
      <c r="H1472" s="6" t="s">
        <v>1540</v>
      </c>
      <c r="I1472" t="s">
        <v>1561</v>
      </c>
      <c r="J1472" t="s">
        <v>1561</v>
      </c>
      <c r="L1472">
        <f t="shared" si="45"/>
        <v>1</v>
      </c>
    </row>
    <row r="1473" spans="1:12" x14ac:dyDescent="0.35">
      <c r="A1473" s="9">
        <f t="shared" si="46"/>
        <v>1472</v>
      </c>
      <c r="B1473" t="s">
        <v>111</v>
      </c>
      <c r="C1473" s="109">
        <f>IF(ISBLANK(K1473),IFERROR(VLOOKUP(I1473,FS_input_data!$C$307:$N$397,Export!J1473,FALSE),""),K1473)</f>
        <v>330</v>
      </c>
      <c r="D1473" s="6" t="b">
        <v>1</v>
      </c>
      <c r="E1473" t="s">
        <v>1561</v>
      </c>
      <c r="F1473" s="6"/>
      <c r="G1473" s="6" t="b">
        <f t="shared" si="47"/>
        <v>0</v>
      </c>
      <c r="H1473" s="6" t="s">
        <v>1540</v>
      </c>
      <c r="I1473" t="s">
        <v>1542</v>
      </c>
      <c r="J1473">
        <v>4</v>
      </c>
      <c r="L1473" s="9" t="e">
        <f t="shared" si="45"/>
        <v>#VALUE!</v>
      </c>
    </row>
    <row r="1474" spans="1:12" x14ac:dyDescent="0.35">
      <c r="A1474">
        <f t="shared" si="46"/>
        <v>1473</v>
      </c>
      <c r="B1474" t="s">
        <v>112</v>
      </c>
      <c r="C1474" s="109" t="str">
        <f>IF(ISBLANK(K1474),IFERROR(VLOOKUP(I1474,FS_input_data!$C$307:$N$397,Export!J1474,FALSE),""),K1474)</f>
        <v/>
      </c>
      <c r="D1474" s="6"/>
      <c r="E1474" t="s">
        <v>1561</v>
      </c>
      <c r="F1474" s="6"/>
      <c r="G1474" s="6" t="b">
        <f t="shared" si="47"/>
        <v>0</v>
      </c>
      <c r="H1474" s="6" t="s">
        <v>1540</v>
      </c>
      <c r="I1474" t="s">
        <v>1561</v>
      </c>
      <c r="J1474" t="s">
        <v>1561</v>
      </c>
      <c r="L1474">
        <f t="shared" ref="L1474:L1537" si="48">FIND("/",B1474)</f>
        <v>1</v>
      </c>
    </row>
    <row r="1475" spans="1:12" x14ac:dyDescent="0.35">
      <c r="A1475">
        <f t="shared" ref="A1475:A1538" si="49">A1474+1</f>
        <v>1474</v>
      </c>
      <c r="B1475" t="s">
        <v>517</v>
      </c>
      <c r="C1475" s="109" t="str">
        <f>IF(ISBLANK(K1475),IFERROR(VLOOKUP(I1475,FS_input_data!$C$307:$N$397,Export!J1475,FALSE),""),K1475)</f>
        <v/>
      </c>
      <c r="D1475" s="6"/>
      <c r="E1475" t="s">
        <v>1561</v>
      </c>
      <c r="F1475" s="6"/>
      <c r="G1475" s="6" t="b">
        <f t="shared" si="47"/>
        <v>0</v>
      </c>
      <c r="H1475" s="6" t="s">
        <v>1540</v>
      </c>
      <c r="I1475" t="s">
        <v>1561</v>
      </c>
      <c r="J1475" t="s">
        <v>1561</v>
      </c>
      <c r="L1475">
        <f t="shared" si="48"/>
        <v>1</v>
      </c>
    </row>
    <row r="1476" spans="1:12" x14ac:dyDescent="0.35">
      <c r="A1476">
        <f t="shared" si="49"/>
        <v>1475</v>
      </c>
      <c r="B1476" t="s">
        <v>518</v>
      </c>
      <c r="C1476" s="109" t="str">
        <f>IF(ISBLANK(K1476),IFERROR(VLOOKUP(I1476,FS_input_data!$C$307:$N$397,Export!J1476,FALSE),""),K1476)</f>
        <v/>
      </c>
      <c r="D1476" s="6"/>
      <c r="E1476" t="s">
        <v>1545</v>
      </c>
      <c r="F1476" s="6"/>
      <c r="G1476" s="6" t="b">
        <f t="shared" si="47"/>
        <v>0</v>
      </c>
      <c r="H1476" s="6" t="s">
        <v>1540</v>
      </c>
      <c r="I1476" t="s">
        <v>1561</v>
      </c>
      <c r="J1476" t="s">
        <v>1561</v>
      </c>
      <c r="L1476" s="26" t="e">
        <f t="shared" si="48"/>
        <v>#VALUE!</v>
      </c>
    </row>
    <row r="1477" spans="1:12" x14ac:dyDescent="0.35">
      <c r="A1477" s="9">
        <f t="shared" si="49"/>
        <v>1476</v>
      </c>
      <c r="B1477" t="s">
        <v>109</v>
      </c>
      <c r="C1477" s="109">
        <f>IF(ISBLANK(K1477),IFERROR(VLOOKUP(I1477,FS_input_data!$C$307:$N$397,Export!J1477,FALSE),""),K1477)</f>
        <v>132</v>
      </c>
      <c r="D1477" s="6" t="b">
        <v>1</v>
      </c>
      <c r="E1477" t="s">
        <v>1561</v>
      </c>
      <c r="F1477" s="6"/>
      <c r="G1477" s="6" t="b">
        <f t="shared" si="47"/>
        <v>0</v>
      </c>
      <c r="H1477" s="6" t="s">
        <v>1540</v>
      </c>
      <c r="I1477" t="s">
        <v>1544</v>
      </c>
      <c r="J1477">
        <v>3</v>
      </c>
      <c r="L1477" s="9" t="e">
        <f t="shared" si="48"/>
        <v>#VALUE!</v>
      </c>
    </row>
    <row r="1478" spans="1:12" x14ac:dyDescent="0.35">
      <c r="A1478">
        <f t="shared" si="49"/>
        <v>1477</v>
      </c>
      <c r="B1478" t="s">
        <v>110</v>
      </c>
      <c r="C1478" s="109" t="str">
        <f>IF(ISBLANK(K1478),IFERROR(VLOOKUP(I1478,FS_input_data!$C$307:$N$397,Export!J1478,FALSE),""),K1478)</f>
        <v/>
      </c>
      <c r="D1478" s="6"/>
      <c r="F1478" s="6"/>
      <c r="G1478" s="6" t="b">
        <f t="shared" si="47"/>
        <v>0</v>
      </c>
      <c r="H1478" s="6" t="s">
        <v>1540</v>
      </c>
      <c r="I1478" t="s">
        <v>1561</v>
      </c>
      <c r="J1478" t="s">
        <v>1561</v>
      </c>
      <c r="L1478">
        <f t="shared" si="48"/>
        <v>1</v>
      </c>
    </row>
    <row r="1479" spans="1:12" x14ac:dyDescent="0.35">
      <c r="A1479" s="9">
        <f t="shared" si="49"/>
        <v>1478</v>
      </c>
      <c r="B1479" t="s">
        <v>111</v>
      </c>
      <c r="C1479" s="109">
        <f>IF(ISBLANK(K1479),IFERROR(VLOOKUP(I1479,FS_input_data!$C$307:$N$397,Export!J1479,FALSE),""),K1479)</f>
        <v>332</v>
      </c>
      <c r="D1479" s="6" t="b">
        <v>1</v>
      </c>
      <c r="E1479" t="s">
        <v>1561</v>
      </c>
      <c r="F1479" s="6"/>
      <c r="G1479" s="6" t="b">
        <f t="shared" si="47"/>
        <v>0</v>
      </c>
      <c r="H1479" s="6" t="s">
        <v>1540</v>
      </c>
      <c r="I1479" t="s">
        <v>1544</v>
      </c>
      <c r="J1479">
        <v>4</v>
      </c>
      <c r="L1479" s="9" t="e">
        <f t="shared" si="48"/>
        <v>#VALUE!</v>
      </c>
    </row>
    <row r="1480" spans="1:12" x14ac:dyDescent="0.35">
      <c r="A1480">
        <f t="shared" si="49"/>
        <v>1479</v>
      </c>
      <c r="B1480" t="s">
        <v>112</v>
      </c>
      <c r="C1480" s="109" t="str">
        <f>IF(ISBLANK(K1480),IFERROR(VLOOKUP(I1480,FS_input_data!$C$307:$N$397,Export!J1480,FALSE),""),K1480)</f>
        <v/>
      </c>
      <c r="D1480" s="6"/>
      <c r="E1480" t="s">
        <v>1561</v>
      </c>
      <c r="F1480" s="6"/>
      <c r="G1480" s="6" t="b">
        <f t="shared" si="47"/>
        <v>0</v>
      </c>
      <c r="H1480" s="6" t="s">
        <v>1540</v>
      </c>
      <c r="I1480" t="s">
        <v>1561</v>
      </c>
      <c r="J1480" t="s">
        <v>1561</v>
      </c>
      <c r="L1480">
        <f t="shared" si="48"/>
        <v>1</v>
      </c>
    </row>
    <row r="1481" spans="1:12" x14ac:dyDescent="0.35">
      <c r="A1481">
        <f t="shared" si="49"/>
        <v>1480</v>
      </c>
      <c r="B1481" t="s">
        <v>519</v>
      </c>
      <c r="C1481" s="109" t="str">
        <f>IF(ISBLANK(K1481),IFERROR(VLOOKUP(I1481,FS_input_data!$C$307:$N$397,Export!J1481,FALSE),""),K1481)</f>
        <v/>
      </c>
      <c r="D1481" s="6"/>
      <c r="E1481" t="s">
        <v>1561</v>
      </c>
      <c r="F1481" s="6"/>
      <c r="G1481" s="6" t="b">
        <f t="shared" si="47"/>
        <v>0</v>
      </c>
      <c r="H1481" s="6" t="s">
        <v>1540</v>
      </c>
      <c r="I1481" t="s">
        <v>1561</v>
      </c>
      <c r="J1481" t="s">
        <v>1561</v>
      </c>
      <c r="L1481">
        <f t="shared" si="48"/>
        <v>1</v>
      </c>
    </row>
    <row r="1482" spans="1:12" x14ac:dyDescent="0.35">
      <c r="A1482">
        <f t="shared" si="49"/>
        <v>1481</v>
      </c>
      <c r="B1482" t="s">
        <v>506</v>
      </c>
      <c r="C1482" s="109" t="str">
        <f>IF(ISBLANK(K1482),IFERROR(VLOOKUP(I1482,FS_input_data!$C$307:$N$397,Export!J1482,FALSE),""),K1482)</f>
        <v/>
      </c>
      <c r="D1482" s="6"/>
      <c r="E1482" t="s">
        <v>1561</v>
      </c>
      <c r="F1482" s="6"/>
      <c r="G1482" s="6" t="b">
        <f t="shared" si="47"/>
        <v>0</v>
      </c>
      <c r="H1482" s="6" t="s">
        <v>1540</v>
      </c>
      <c r="I1482" t="s">
        <v>1561</v>
      </c>
      <c r="J1482" t="s">
        <v>1561</v>
      </c>
      <c r="L1482">
        <f t="shared" si="48"/>
        <v>1</v>
      </c>
    </row>
    <row r="1483" spans="1:12" x14ac:dyDescent="0.35">
      <c r="A1483">
        <f t="shared" si="49"/>
        <v>1482</v>
      </c>
      <c r="B1483" t="s">
        <v>520</v>
      </c>
      <c r="C1483" s="109" t="str">
        <f>IF(ISBLANK(K1483),IFERROR(VLOOKUP(I1483,FS_input_data!$C$307:$N$397,Export!J1483,FALSE),""),K1483)</f>
        <v/>
      </c>
      <c r="D1483" s="6"/>
      <c r="E1483" t="s">
        <v>1547</v>
      </c>
      <c r="F1483" s="6"/>
      <c r="G1483" s="6" t="b">
        <f t="shared" si="47"/>
        <v>0</v>
      </c>
      <c r="H1483" s="6" t="s">
        <v>1540</v>
      </c>
      <c r="I1483" t="s">
        <v>1561</v>
      </c>
      <c r="J1483" t="s">
        <v>1561</v>
      </c>
      <c r="L1483" s="26" t="e">
        <f t="shared" si="48"/>
        <v>#VALUE!</v>
      </c>
    </row>
    <row r="1484" spans="1:12" x14ac:dyDescent="0.35">
      <c r="A1484" s="9">
        <f t="shared" si="49"/>
        <v>1483</v>
      </c>
      <c r="B1484" t="s">
        <v>109</v>
      </c>
      <c r="C1484" s="109">
        <f>IF(ISBLANK(K1484),IFERROR(VLOOKUP(I1484,FS_input_data!$C$307:$N$397,Export!J1484,FALSE),""),K1484)</f>
        <v>2020</v>
      </c>
      <c r="D1484" s="6" t="b">
        <v>1</v>
      </c>
      <c r="E1484" t="s">
        <v>1561</v>
      </c>
      <c r="F1484" s="6"/>
      <c r="G1484" s="6" t="b">
        <f t="shared" si="47"/>
        <v>0</v>
      </c>
      <c r="H1484" s="6" t="s">
        <v>1540</v>
      </c>
      <c r="I1484" t="s">
        <v>1546</v>
      </c>
      <c r="J1484">
        <v>3</v>
      </c>
      <c r="L1484" s="9" t="e">
        <f t="shared" si="48"/>
        <v>#VALUE!</v>
      </c>
    </row>
    <row r="1485" spans="1:12" x14ac:dyDescent="0.35">
      <c r="A1485">
        <f t="shared" si="49"/>
        <v>1484</v>
      </c>
      <c r="B1485" t="s">
        <v>110</v>
      </c>
      <c r="C1485" s="109" t="str">
        <f>IF(ISBLANK(K1485),IFERROR(VLOOKUP(I1485,FS_input_data!$C$307:$N$397,Export!J1485,FALSE),""),K1485)</f>
        <v/>
      </c>
      <c r="D1485" s="6"/>
      <c r="F1485" s="6"/>
      <c r="G1485" s="6" t="b">
        <f t="shared" si="47"/>
        <v>0</v>
      </c>
      <c r="H1485" s="6" t="s">
        <v>1540</v>
      </c>
      <c r="I1485" t="s">
        <v>1561</v>
      </c>
      <c r="J1485" t="s">
        <v>1561</v>
      </c>
      <c r="L1485">
        <f t="shared" si="48"/>
        <v>1</v>
      </c>
    </row>
    <row r="1486" spans="1:12" x14ac:dyDescent="0.35">
      <c r="A1486" s="9">
        <f t="shared" si="49"/>
        <v>1485</v>
      </c>
      <c r="B1486" t="s">
        <v>111</v>
      </c>
      <c r="C1486" s="109">
        <f>IF(ISBLANK(K1486),IFERROR(VLOOKUP(I1486,FS_input_data!$C$307:$N$397,Export!J1486,FALSE),""),K1486)</f>
        <v>924</v>
      </c>
      <c r="D1486" s="6" t="b">
        <v>1</v>
      </c>
      <c r="E1486" t="s">
        <v>1561</v>
      </c>
      <c r="F1486" s="6"/>
      <c r="G1486" s="6" t="b">
        <f t="shared" si="47"/>
        <v>0</v>
      </c>
      <c r="H1486" s="6" t="s">
        <v>1540</v>
      </c>
      <c r="I1486" t="s">
        <v>1546</v>
      </c>
      <c r="J1486">
        <v>4</v>
      </c>
      <c r="L1486" s="9" t="e">
        <f t="shared" si="48"/>
        <v>#VALUE!</v>
      </c>
    </row>
    <row r="1487" spans="1:12" x14ac:dyDescent="0.35">
      <c r="A1487">
        <f t="shared" si="49"/>
        <v>1486</v>
      </c>
      <c r="B1487" t="s">
        <v>112</v>
      </c>
      <c r="C1487" s="109" t="str">
        <f>IF(ISBLANK(K1487),IFERROR(VLOOKUP(I1487,FS_input_data!$C$307:$N$397,Export!J1487,FALSE),""),K1487)</f>
        <v/>
      </c>
      <c r="D1487" s="6"/>
      <c r="E1487" t="s">
        <v>1561</v>
      </c>
      <c r="F1487" s="6"/>
      <c r="G1487" s="6" t="b">
        <f t="shared" si="47"/>
        <v>0</v>
      </c>
      <c r="H1487" s="6" t="s">
        <v>1540</v>
      </c>
      <c r="I1487" t="s">
        <v>1561</v>
      </c>
      <c r="J1487" t="s">
        <v>1561</v>
      </c>
      <c r="L1487">
        <f t="shared" si="48"/>
        <v>1</v>
      </c>
    </row>
    <row r="1488" spans="1:12" x14ac:dyDescent="0.35">
      <c r="A1488">
        <f t="shared" si="49"/>
        <v>1487</v>
      </c>
      <c r="B1488" t="s">
        <v>521</v>
      </c>
      <c r="C1488" s="109" t="str">
        <f>IF(ISBLANK(K1488),IFERROR(VLOOKUP(I1488,FS_input_data!$C$307:$N$397,Export!J1488,FALSE),""),K1488)</f>
        <v/>
      </c>
      <c r="D1488" s="6"/>
      <c r="E1488" t="s">
        <v>2217</v>
      </c>
      <c r="F1488" s="6"/>
      <c r="G1488" s="6" t="b">
        <f t="shared" si="47"/>
        <v>0</v>
      </c>
      <c r="H1488" s="6" t="s">
        <v>1540</v>
      </c>
      <c r="I1488" t="s">
        <v>1561</v>
      </c>
      <c r="J1488" t="s">
        <v>1561</v>
      </c>
      <c r="L1488" s="26" t="e">
        <f t="shared" si="48"/>
        <v>#VALUE!</v>
      </c>
    </row>
    <row r="1489" spans="1:12" x14ac:dyDescent="0.35">
      <c r="A1489" s="9">
        <f t="shared" si="49"/>
        <v>1488</v>
      </c>
      <c r="B1489" t="s">
        <v>109</v>
      </c>
      <c r="C1489" s="109">
        <f>IF(ISBLANK(K1489),IFERROR(VLOOKUP(I1489,FS_input_data!$C$307:$N$397,Export!J1489,FALSE),""),K1489)</f>
        <v>5</v>
      </c>
      <c r="D1489" s="6" t="b">
        <v>1</v>
      </c>
      <c r="E1489" t="s">
        <v>1561</v>
      </c>
      <c r="F1489" s="6"/>
      <c r="G1489" s="6" t="b">
        <f t="shared" si="47"/>
        <v>0</v>
      </c>
      <c r="H1489" s="6" t="s">
        <v>1540</v>
      </c>
      <c r="I1489" t="s">
        <v>1548</v>
      </c>
      <c r="J1489">
        <v>3</v>
      </c>
      <c r="L1489" s="9" t="e">
        <f t="shared" si="48"/>
        <v>#VALUE!</v>
      </c>
    </row>
    <row r="1490" spans="1:12" x14ac:dyDescent="0.35">
      <c r="A1490">
        <f t="shared" si="49"/>
        <v>1489</v>
      </c>
      <c r="B1490" t="s">
        <v>110</v>
      </c>
      <c r="C1490" s="109" t="str">
        <f>IF(ISBLANK(K1490),IFERROR(VLOOKUP(I1490,FS_input_data!$C$307:$N$397,Export!J1490,FALSE),""),K1490)</f>
        <v/>
      </c>
      <c r="D1490" s="6"/>
      <c r="F1490" s="6"/>
      <c r="G1490" s="6" t="b">
        <f t="shared" si="47"/>
        <v>0</v>
      </c>
      <c r="H1490" s="6" t="s">
        <v>1540</v>
      </c>
      <c r="I1490" t="s">
        <v>1561</v>
      </c>
      <c r="J1490" t="s">
        <v>1561</v>
      </c>
      <c r="L1490">
        <f t="shared" si="48"/>
        <v>1</v>
      </c>
    </row>
    <row r="1491" spans="1:12" x14ac:dyDescent="0.35">
      <c r="A1491" s="9">
        <f t="shared" si="49"/>
        <v>1490</v>
      </c>
      <c r="B1491" t="s">
        <v>111</v>
      </c>
      <c r="C1491" s="109">
        <f>IF(ISBLANK(K1491),IFERROR(VLOOKUP(I1491,FS_input_data!$C$307:$N$397,Export!J1491,FALSE),""),K1491)</f>
        <v>105</v>
      </c>
      <c r="D1491" s="6" t="b">
        <v>1</v>
      </c>
      <c r="E1491" t="s">
        <v>1561</v>
      </c>
      <c r="F1491" s="6"/>
      <c r="G1491" s="6" t="b">
        <f t="shared" si="47"/>
        <v>0</v>
      </c>
      <c r="H1491" s="6" t="s">
        <v>1540</v>
      </c>
      <c r="I1491" t="s">
        <v>1548</v>
      </c>
      <c r="J1491">
        <v>4</v>
      </c>
      <c r="L1491" s="9" t="e">
        <f t="shared" si="48"/>
        <v>#VALUE!</v>
      </c>
    </row>
    <row r="1492" spans="1:12" x14ac:dyDescent="0.35">
      <c r="A1492">
        <f t="shared" si="49"/>
        <v>1491</v>
      </c>
      <c r="B1492" t="s">
        <v>112</v>
      </c>
      <c r="C1492" s="109" t="str">
        <f>IF(ISBLANK(K1492),IFERROR(VLOOKUP(I1492,FS_input_data!$C$307:$N$397,Export!J1492,FALSE),""),K1492)</f>
        <v/>
      </c>
      <c r="D1492" s="6"/>
      <c r="E1492" t="s">
        <v>1561</v>
      </c>
      <c r="F1492" s="6"/>
      <c r="G1492" s="6" t="b">
        <f t="shared" si="47"/>
        <v>0</v>
      </c>
      <c r="H1492" s="6" t="s">
        <v>1540</v>
      </c>
      <c r="I1492" t="s">
        <v>1561</v>
      </c>
      <c r="J1492" t="s">
        <v>1561</v>
      </c>
      <c r="L1492">
        <f t="shared" si="48"/>
        <v>1</v>
      </c>
    </row>
    <row r="1493" spans="1:12" x14ac:dyDescent="0.35">
      <c r="A1493">
        <f t="shared" si="49"/>
        <v>1492</v>
      </c>
      <c r="B1493" t="s">
        <v>522</v>
      </c>
      <c r="C1493" s="109" t="str">
        <f>IF(ISBLANK(K1493),IFERROR(VLOOKUP(I1493,FS_input_data!$C$307:$N$397,Export!J1493,FALSE),""),K1493)</f>
        <v/>
      </c>
      <c r="D1493" s="6"/>
      <c r="E1493" t="s">
        <v>1551</v>
      </c>
      <c r="F1493" s="6"/>
      <c r="G1493" s="6" t="b">
        <f t="shared" si="47"/>
        <v>0</v>
      </c>
      <c r="H1493" s="6" t="s">
        <v>1540</v>
      </c>
      <c r="I1493" t="s">
        <v>1561</v>
      </c>
      <c r="J1493" t="s">
        <v>1561</v>
      </c>
      <c r="L1493" s="26" t="e">
        <f t="shared" si="48"/>
        <v>#VALUE!</v>
      </c>
    </row>
    <row r="1494" spans="1:12" x14ac:dyDescent="0.35">
      <c r="A1494" s="9">
        <f t="shared" si="49"/>
        <v>1493</v>
      </c>
      <c r="B1494" t="s">
        <v>109</v>
      </c>
      <c r="C1494" s="109">
        <f>IF(ISBLANK(K1494),IFERROR(VLOOKUP(I1494,FS_input_data!$C$307:$N$397,Export!J1494,FALSE),""),K1494)</f>
        <v>-19</v>
      </c>
      <c r="D1494" s="6" t="b">
        <v>1</v>
      </c>
      <c r="E1494" t="s">
        <v>1561</v>
      </c>
      <c r="F1494" s="6"/>
      <c r="G1494" s="6" t="b">
        <f t="shared" si="47"/>
        <v>0</v>
      </c>
      <c r="H1494" s="6" t="s">
        <v>1540</v>
      </c>
      <c r="I1494" t="s">
        <v>1550</v>
      </c>
      <c r="J1494">
        <v>3</v>
      </c>
      <c r="L1494" s="9" t="e">
        <f t="shared" si="48"/>
        <v>#VALUE!</v>
      </c>
    </row>
    <row r="1495" spans="1:12" x14ac:dyDescent="0.35">
      <c r="A1495">
        <f t="shared" si="49"/>
        <v>1494</v>
      </c>
      <c r="B1495" t="s">
        <v>110</v>
      </c>
      <c r="C1495" s="109" t="str">
        <f>IF(ISBLANK(K1495),IFERROR(VLOOKUP(I1495,FS_input_data!$C$307:$N$397,Export!J1495,FALSE),""),K1495)</f>
        <v/>
      </c>
      <c r="D1495" s="6"/>
      <c r="F1495" s="6"/>
      <c r="G1495" s="6" t="b">
        <f t="shared" si="47"/>
        <v>0</v>
      </c>
      <c r="H1495" s="6" t="s">
        <v>1540</v>
      </c>
      <c r="I1495" t="s">
        <v>1561</v>
      </c>
      <c r="J1495" t="s">
        <v>1561</v>
      </c>
      <c r="L1495">
        <f t="shared" si="48"/>
        <v>1</v>
      </c>
    </row>
    <row r="1496" spans="1:12" x14ac:dyDescent="0.35">
      <c r="A1496" s="9">
        <f t="shared" si="49"/>
        <v>1495</v>
      </c>
      <c r="B1496" t="s">
        <v>111</v>
      </c>
      <c r="C1496" s="109">
        <f>IF(ISBLANK(K1496),IFERROR(VLOOKUP(I1496,FS_input_data!$C$307:$N$397,Export!J1496,FALSE),""),K1496)</f>
        <v>-19</v>
      </c>
      <c r="D1496" s="6" t="b">
        <v>1</v>
      </c>
      <c r="E1496" t="s">
        <v>1561</v>
      </c>
      <c r="F1496" s="6"/>
      <c r="G1496" s="6" t="b">
        <f t="shared" si="47"/>
        <v>0</v>
      </c>
      <c r="H1496" s="6" t="s">
        <v>1540</v>
      </c>
      <c r="I1496" t="s">
        <v>1550</v>
      </c>
      <c r="J1496">
        <v>4</v>
      </c>
      <c r="L1496" s="9" t="e">
        <f t="shared" si="48"/>
        <v>#VALUE!</v>
      </c>
    </row>
    <row r="1497" spans="1:12" x14ac:dyDescent="0.35">
      <c r="A1497">
        <f t="shared" si="49"/>
        <v>1496</v>
      </c>
      <c r="B1497" t="s">
        <v>112</v>
      </c>
      <c r="C1497" s="109" t="str">
        <f>IF(ISBLANK(K1497),IFERROR(VLOOKUP(I1497,FS_input_data!$C$307:$N$397,Export!J1497,FALSE),""),K1497)</f>
        <v/>
      </c>
      <c r="D1497" s="6"/>
      <c r="E1497" t="s">
        <v>1561</v>
      </c>
      <c r="F1497" s="6"/>
      <c r="G1497" s="6" t="b">
        <f t="shared" si="47"/>
        <v>0</v>
      </c>
      <c r="H1497" s="6" t="s">
        <v>1540</v>
      </c>
      <c r="I1497" t="s">
        <v>1561</v>
      </c>
      <c r="J1497" t="s">
        <v>1561</v>
      </c>
      <c r="L1497">
        <f t="shared" si="48"/>
        <v>1</v>
      </c>
    </row>
    <row r="1498" spans="1:12" x14ac:dyDescent="0.35">
      <c r="A1498">
        <f t="shared" si="49"/>
        <v>1497</v>
      </c>
      <c r="B1498" t="s">
        <v>523</v>
      </c>
      <c r="C1498" s="109" t="str">
        <f>IF(ISBLANK(K1498),IFERROR(VLOOKUP(I1498,FS_input_data!$C$307:$N$397,Export!J1498,FALSE),""),K1498)</f>
        <v/>
      </c>
      <c r="D1498" s="6"/>
      <c r="E1498" t="s">
        <v>1553</v>
      </c>
      <c r="F1498" s="6"/>
      <c r="G1498" s="6" t="b">
        <f t="shared" si="47"/>
        <v>0</v>
      </c>
      <c r="H1498" s="6" t="s">
        <v>1540</v>
      </c>
      <c r="I1498" t="s">
        <v>1561</v>
      </c>
      <c r="J1498" t="s">
        <v>1561</v>
      </c>
      <c r="L1498" s="26" t="e">
        <f t="shared" si="48"/>
        <v>#VALUE!</v>
      </c>
    </row>
    <row r="1499" spans="1:12" x14ac:dyDescent="0.35">
      <c r="A1499" s="9">
        <f t="shared" si="49"/>
        <v>1498</v>
      </c>
      <c r="B1499" t="s">
        <v>109</v>
      </c>
      <c r="C1499" s="109">
        <f>IF(ISBLANK(K1499),IFERROR(VLOOKUP(I1499,FS_input_data!$C$307:$N$397,Export!J1499,FALSE),""),K1499)</f>
        <v>38</v>
      </c>
      <c r="D1499" s="6" t="b">
        <v>1</v>
      </c>
      <c r="E1499" t="s">
        <v>1561</v>
      </c>
      <c r="F1499" s="6"/>
      <c r="G1499" s="6" t="b">
        <f t="shared" si="47"/>
        <v>0</v>
      </c>
      <c r="H1499" s="6" t="s">
        <v>1540</v>
      </c>
      <c r="I1499" t="s">
        <v>1552</v>
      </c>
      <c r="J1499">
        <v>3</v>
      </c>
      <c r="L1499" s="9" t="e">
        <f t="shared" si="48"/>
        <v>#VALUE!</v>
      </c>
    </row>
    <row r="1500" spans="1:12" x14ac:dyDescent="0.35">
      <c r="A1500">
        <f t="shared" si="49"/>
        <v>1499</v>
      </c>
      <c r="B1500" t="s">
        <v>110</v>
      </c>
      <c r="C1500" s="109" t="str">
        <f>IF(ISBLANK(K1500),IFERROR(VLOOKUP(I1500,FS_input_data!$C$307:$N$397,Export!J1500,FALSE),""),K1500)</f>
        <v/>
      </c>
      <c r="D1500" s="6"/>
      <c r="F1500" s="6"/>
      <c r="G1500" s="6" t="b">
        <f t="shared" si="47"/>
        <v>0</v>
      </c>
      <c r="H1500" s="6" t="s">
        <v>1540</v>
      </c>
      <c r="I1500" t="s">
        <v>1561</v>
      </c>
      <c r="J1500" t="s">
        <v>1561</v>
      </c>
      <c r="L1500">
        <f t="shared" si="48"/>
        <v>1</v>
      </c>
    </row>
    <row r="1501" spans="1:12" x14ac:dyDescent="0.35">
      <c r="A1501" s="9">
        <f t="shared" si="49"/>
        <v>1500</v>
      </c>
      <c r="B1501" t="s">
        <v>111</v>
      </c>
      <c r="C1501" s="109">
        <f>IF(ISBLANK(K1501),IFERROR(VLOOKUP(I1501,FS_input_data!$C$307:$N$397,Export!J1501,FALSE),""),K1501)</f>
        <v>438</v>
      </c>
      <c r="D1501" s="6" t="b">
        <v>1</v>
      </c>
      <c r="E1501" t="s">
        <v>1561</v>
      </c>
      <c r="F1501" s="6"/>
      <c r="G1501" s="6" t="b">
        <f t="shared" si="47"/>
        <v>0</v>
      </c>
      <c r="H1501" s="6" t="s">
        <v>1540</v>
      </c>
      <c r="I1501" t="s">
        <v>1552</v>
      </c>
      <c r="J1501">
        <v>4</v>
      </c>
      <c r="L1501" s="9" t="e">
        <f t="shared" si="48"/>
        <v>#VALUE!</v>
      </c>
    </row>
    <row r="1502" spans="1:12" x14ac:dyDescent="0.35">
      <c r="A1502">
        <f t="shared" si="49"/>
        <v>1501</v>
      </c>
      <c r="B1502" t="s">
        <v>112</v>
      </c>
      <c r="C1502" s="109" t="str">
        <f>IF(ISBLANK(K1502),IFERROR(VLOOKUP(I1502,FS_input_data!$C$307:$N$397,Export!J1502,FALSE),""),K1502)</f>
        <v/>
      </c>
      <c r="D1502" s="6"/>
      <c r="E1502" t="s">
        <v>1561</v>
      </c>
      <c r="F1502" s="6"/>
      <c r="G1502" s="6" t="b">
        <f t="shared" si="47"/>
        <v>0</v>
      </c>
      <c r="H1502" s="6" t="s">
        <v>1540</v>
      </c>
      <c r="I1502" t="s">
        <v>1561</v>
      </c>
      <c r="J1502" t="s">
        <v>1561</v>
      </c>
      <c r="L1502">
        <f t="shared" si="48"/>
        <v>1</v>
      </c>
    </row>
    <row r="1503" spans="1:12" x14ac:dyDescent="0.35">
      <c r="A1503">
        <f t="shared" si="49"/>
        <v>1502</v>
      </c>
      <c r="B1503" t="s">
        <v>524</v>
      </c>
      <c r="C1503" s="109" t="str">
        <f>IF(ISBLANK(K1503),IFERROR(VLOOKUP(I1503,FS_input_data!$C$307:$N$397,Export!J1503,FALSE),""),K1503)</f>
        <v/>
      </c>
      <c r="D1503" s="6"/>
      <c r="E1503" t="s">
        <v>1555</v>
      </c>
      <c r="F1503" s="6"/>
      <c r="G1503" s="6" t="b">
        <f t="shared" si="47"/>
        <v>0</v>
      </c>
      <c r="H1503" s="6" t="s">
        <v>1540</v>
      </c>
      <c r="I1503" t="s">
        <v>1561</v>
      </c>
      <c r="J1503" t="s">
        <v>1561</v>
      </c>
      <c r="L1503" s="26" t="e">
        <f t="shared" si="48"/>
        <v>#VALUE!</v>
      </c>
    </row>
    <row r="1504" spans="1:12" x14ac:dyDescent="0.35">
      <c r="A1504" s="9">
        <f t="shared" si="49"/>
        <v>1503</v>
      </c>
      <c r="B1504" t="s">
        <v>109</v>
      </c>
      <c r="C1504" s="109">
        <f>IF(ISBLANK(K1504),IFERROR(VLOOKUP(I1504,FS_input_data!$C$307:$N$397,Export!J1504,FALSE),""),K1504)</f>
        <v>8</v>
      </c>
      <c r="D1504" s="6" t="b">
        <v>1</v>
      </c>
      <c r="E1504" t="s">
        <v>1561</v>
      </c>
      <c r="F1504" s="6"/>
      <c r="G1504" s="6" t="b">
        <f t="shared" si="47"/>
        <v>0</v>
      </c>
      <c r="H1504" s="6" t="s">
        <v>1540</v>
      </c>
      <c r="I1504" t="s">
        <v>1554</v>
      </c>
      <c r="J1504">
        <v>3</v>
      </c>
      <c r="L1504" s="9" t="e">
        <f t="shared" si="48"/>
        <v>#VALUE!</v>
      </c>
    </row>
    <row r="1505" spans="1:21" x14ac:dyDescent="0.35">
      <c r="A1505">
        <f t="shared" si="49"/>
        <v>1504</v>
      </c>
      <c r="B1505" t="s">
        <v>110</v>
      </c>
      <c r="C1505" s="109" t="str">
        <f>IF(ISBLANK(K1505),IFERROR(VLOOKUP(I1505,FS_input_data!$C$307:$N$397,Export!J1505,FALSE),""),K1505)</f>
        <v/>
      </c>
      <c r="D1505" s="6"/>
      <c r="F1505" s="6"/>
      <c r="G1505" s="6" t="b">
        <f t="shared" si="47"/>
        <v>0</v>
      </c>
      <c r="H1505" s="6" t="s">
        <v>1540</v>
      </c>
      <c r="I1505" t="s">
        <v>1561</v>
      </c>
      <c r="J1505" t="s">
        <v>1561</v>
      </c>
      <c r="L1505">
        <f t="shared" si="48"/>
        <v>1</v>
      </c>
    </row>
    <row r="1506" spans="1:21" x14ac:dyDescent="0.35">
      <c r="A1506" s="9">
        <f t="shared" si="49"/>
        <v>1505</v>
      </c>
      <c r="B1506" t="s">
        <v>111</v>
      </c>
      <c r="C1506" s="109">
        <f>IF(ISBLANK(K1506),IFERROR(VLOOKUP(I1506,FS_input_data!$C$307:$N$397,Export!J1506,FALSE),""),K1506)</f>
        <v>108</v>
      </c>
      <c r="D1506" s="6" t="b">
        <v>1</v>
      </c>
      <c r="E1506" t="s">
        <v>1561</v>
      </c>
      <c r="F1506" s="6"/>
      <c r="G1506" s="6" t="b">
        <f t="shared" si="47"/>
        <v>0</v>
      </c>
      <c r="H1506" s="6" t="s">
        <v>1540</v>
      </c>
      <c r="I1506" t="s">
        <v>1554</v>
      </c>
      <c r="J1506">
        <v>4</v>
      </c>
      <c r="L1506" s="9" t="e">
        <f t="shared" si="48"/>
        <v>#VALUE!</v>
      </c>
    </row>
    <row r="1507" spans="1:21" x14ac:dyDescent="0.35">
      <c r="A1507">
        <f t="shared" si="49"/>
        <v>1506</v>
      </c>
      <c r="B1507" t="s">
        <v>112</v>
      </c>
      <c r="C1507" s="109" t="str">
        <f>IF(ISBLANK(K1507),IFERROR(VLOOKUP(I1507,FS_input_data!$C$307:$N$397,Export!J1507,FALSE),""),K1507)</f>
        <v/>
      </c>
      <c r="D1507" s="6"/>
      <c r="E1507" t="s">
        <v>1561</v>
      </c>
      <c r="F1507" s="6"/>
      <c r="G1507" s="6" t="b">
        <f t="shared" si="47"/>
        <v>0</v>
      </c>
      <c r="H1507" s="6" t="s">
        <v>1540</v>
      </c>
      <c r="I1507" t="s">
        <v>1561</v>
      </c>
      <c r="J1507" t="s">
        <v>1561</v>
      </c>
      <c r="L1507">
        <f t="shared" si="48"/>
        <v>1</v>
      </c>
    </row>
    <row r="1508" spans="1:21" x14ac:dyDescent="0.35">
      <c r="A1508">
        <f t="shared" si="49"/>
        <v>1507</v>
      </c>
      <c r="B1508" t="s">
        <v>525</v>
      </c>
      <c r="C1508" s="109" t="str">
        <f>IF(ISBLANK(K1508),IFERROR(VLOOKUP(I1508,FS_input_data!$C$307:$N$397,Export!J1508,FALSE),""),K1508)</f>
        <v/>
      </c>
      <c r="D1508" s="6"/>
      <c r="E1508" t="s">
        <v>1561</v>
      </c>
      <c r="F1508" s="6"/>
      <c r="G1508" s="6" t="b">
        <f t="shared" si="47"/>
        <v>0</v>
      </c>
      <c r="H1508" s="6" t="s">
        <v>1540</v>
      </c>
      <c r="I1508" t="s">
        <v>1561</v>
      </c>
      <c r="J1508" t="s">
        <v>1561</v>
      </c>
      <c r="L1508">
        <f t="shared" si="48"/>
        <v>1</v>
      </c>
    </row>
    <row r="1509" spans="1:21" s="101" customFormat="1" x14ac:dyDescent="0.35">
      <c r="A1509" s="101">
        <f t="shared" si="49"/>
        <v>1508</v>
      </c>
      <c r="B1509" s="101" t="s">
        <v>526</v>
      </c>
      <c r="C1509" s="110" t="str">
        <f>IF(ISBLANK(K1509),IFERROR(VLOOKUP(I1509,FS_input_data!$C$307:$N$397,Export!J1509,FALSE),""),K1509)</f>
        <v/>
      </c>
      <c r="D1509" s="102"/>
      <c r="E1509" s="101" t="s">
        <v>1557</v>
      </c>
      <c r="F1509" s="101" t="s">
        <v>1557</v>
      </c>
      <c r="G1509" s="101" t="b">
        <f t="shared" ref="G1509:G1518" si="50">IF(capital_xml,AND($C$1513=0,$C$1515=0),TRUE)</f>
        <v>0</v>
      </c>
      <c r="H1509" s="102" t="s">
        <v>1540</v>
      </c>
      <c r="I1509" s="101" t="s">
        <v>1561</v>
      </c>
      <c r="J1509" s="101" t="s">
        <v>1561</v>
      </c>
      <c r="L1509" s="101" t="e">
        <f t="shared" si="48"/>
        <v>#VALUE!</v>
      </c>
      <c r="M1509" s="103"/>
      <c r="N1509" s="103"/>
      <c r="O1509" s="104"/>
      <c r="P1509" s="104"/>
      <c r="Q1509" s="104"/>
      <c r="R1509" s="104"/>
      <c r="S1509" s="104"/>
      <c r="T1509" s="104"/>
      <c r="U1509" s="104"/>
    </row>
    <row r="1510" spans="1:21" s="101" customFormat="1" x14ac:dyDescent="0.35">
      <c r="A1510" s="101">
        <f t="shared" si="49"/>
        <v>1509</v>
      </c>
      <c r="B1510" s="101" t="s">
        <v>101</v>
      </c>
      <c r="C1510" s="110" t="str">
        <f>IF(ISBLANK(K1510),IFERROR(VLOOKUP(I1510,FS_input_data!$C$307:$N$397,Export!J1510,FALSE),""),K1510)</f>
        <v>Ia_PozycjaUszczegolawiajaca_1</v>
      </c>
      <c r="D1510" s="102" t="b">
        <v>1</v>
      </c>
      <c r="E1510" s="101" t="s">
        <v>1561</v>
      </c>
      <c r="F1510" s="101" t="s">
        <v>1557</v>
      </c>
      <c r="G1510" s="101" t="b">
        <f t="shared" si="50"/>
        <v>0</v>
      </c>
      <c r="H1510" s="102" t="s">
        <v>1540</v>
      </c>
      <c r="I1510" s="101" t="s">
        <v>1557</v>
      </c>
      <c r="J1510" s="101">
        <v>2</v>
      </c>
      <c r="L1510" s="101" t="e">
        <f t="shared" si="48"/>
        <v>#VALUE!</v>
      </c>
      <c r="M1510" s="103"/>
      <c r="N1510" s="103"/>
      <c r="O1510" s="104"/>
      <c r="P1510" s="104"/>
      <c r="Q1510" s="104"/>
      <c r="R1510" s="104"/>
      <c r="S1510" s="104"/>
      <c r="T1510" s="104"/>
      <c r="U1510" s="104"/>
    </row>
    <row r="1511" spans="1:21" s="101" customFormat="1" x14ac:dyDescent="0.35">
      <c r="A1511" s="101">
        <f t="shared" si="49"/>
        <v>1510</v>
      </c>
      <c r="B1511" s="101" t="s">
        <v>102</v>
      </c>
      <c r="C1511" s="110" t="str">
        <f>IF(ISBLANK(K1511),IFERROR(VLOOKUP(I1511,FS_input_data!$C$307:$N$397,Export!J1511,FALSE),""),K1511)</f>
        <v/>
      </c>
      <c r="D1511" s="102"/>
      <c r="E1511" s="101" t="s">
        <v>1561</v>
      </c>
      <c r="F1511" s="101" t="s">
        <v>1557</v>
      </c>
      <c r="G1511" s="101" t="b">
        <f t="shared" si="50"/>
        <v>0</v>
      </c>
      <c r="H1511" s="102" t="s">
        <v>1540</v>
      </c>
      <c r="I1511" s="101" t="s">
        <v>1561</v>
      </c>
      <c r="J1511" s="101" t="s">
        <v>1561</v>
      </c>
      <c r="L1511" s="101">
        <f t="shared" si="48"/>
        <v>1</v>
      </c>
      <c r="M1511" s="103"/>
      <c r="N1511" s="103"/>
      <c r="O1511" s="104"/>
      <c r="P1511" s="104"/>
      <c r="Q1511" s="104"/>
      <c r="R1511" s="104"/>
      <c r="S1511" s="104"/>
      <c r="T1511" s="104"/>
      <c r="U1511" s="104"/>
    </row>
    <row r="1512" spans="1:21" s="101" customFormat="1" x14ac:dyDescent="0.35">
      <c r="A1512" s="101">
        <f t="shared" si="49"/>
        <v>1511</v>
      </c>
      <c r="B1512" s="101" t="s">
        <v>527</v>
      </c>
      <c r="C1512" s="110" t="str">
        <f>IF(ISBLANK(K1512),IFERROR(VLOOKUP(I1512,FS_input_data!$C$307:$N$397,Export!J1512,FALSE),""),K1512)</f>
        <v/>
      </c>
      <c r="D1512" s="102"/>
      <c r="F1512" s="101" t="s">
        <v>1557</v>
      </c>
      <c r="G1512" s="101" t="b">
        <f t="shared" si="50"/>
        <v>0</v>
      </c>
      <c r="H1512" s="102" t="s">
        <v>1540</v>
      </c>
      <c r="I1512" s="101" t="s">
        <v>1561</v>
      </c>
      <c r="J1512" s="101" t="s">
        <v>1561</v>
      </c>
      <c r="L1512" s="101" t="e">
        <f t="shared" si="48"/>
        <v>#VALUE!</v>
      </c>
      <c r="M1512" s="103"/>
      <c r="N1512" s="103"/>
      <c r="O1512" s="104"/>
      <c r="P1512" s="104"/>
      <c r="Q1512" s="104"/>
      <c r="R1512" s="104"/>
      <c r="S1512" s="104"/>
      <c r="T1512" s="104"/>
      <c r="U1512" s="104"/>
    </row>
    <row r="1513" spans="1:21" s="101" customFormat="1" x14ac:dyDescent="0.35">
      <c r="A1513" s="101">
        <f t="shared" si="49"/>
        <v>1512</v>
      </c>
      <c r="B1513" s="101" t="s">
        <v>109</v>
      </c>
      <c r="C1513" s="110">
        <f>IF(ISBLANK(K1513),IFERROR(VLOOKUP(I1513,FS_input_data!$C$307:$N$397,Export!J1513,FALSE),""),K1513)</f>
        <v>9</v>
      </c>
      <c r="D1513" s="102" t="b">
        <v>1</v>
      </c>
      <c r="E1513" s="101" t="s">
        <v>1561</v>
      </c>
      <c r="F1513" s="101" t="s">
        <v>1557</v>
      </c>
      <c r="G1513" s="101" t="b">
        <f t="shared" si="50"/>
        <v>0</v>
      </c>
      <c r="H1513" s="102" t="s">
        <v>1540</v>
      </c>
      <c r="I1513" s="101" t="s">
        <v>1557</v>
      </c>
      <c r="J1513" s="101">
        <v>3</v>
      </c>
      <c r="L1513" s="101" t="e">
        <f t="shared" si="48"/>
        <v>#VALUE!</v>
      </c>
      <c r="M1513" s="103"/>
      <c r="N1513" s="103"/>
      <c r="O1513" s="104"/>
      <c r="P1513" s="104"/>
      <c r="Q1513" s="104"/>
      <c r="R1513" s="104"/>
      <c r="S1513" s="104"/>
      <c r="T1513" s="104"/>
      <c r="U1513" s="104"/>
    </row>
    <row r="1514" spans="1:21" s="101" customFormat="1" x14ac:dyDescent="0.35">
      <c r="A1514" s="101">
        <f t="shared" si="49"/>
        <v>1513</v>
      </c>
      <c r="B1514" s="101" t="s">
        <v>110</v>
      </c>
      <c r="C1514" s="110" t="str">
        <f>IF(ISBLANK(K1514),IFERROR(VLOOKUP(I1514,FS_input_data!$C$307:$N$397,Export!J1514,FALSE),""),K1514)</f>
        <v/>
      </c>
      <c r="D1514" s="102"/>
      <c r="F1514" s="101" t="s">
        <v>1557</v>
      </c>
      <c r="G1514" s="101" t="b">
        <f t="shared" si="50"/>
        <v>0</v>
      </c>
      <c r="H1514" s="102" t="s">
        <v>1540</v>
      </c>
      <c r="I1514" s="101" t="s">
        <v>1561</v>
      </c>
      <c r="J1514" s="101" t="s">
        <v>1561</v>
      </c>
      <c r="L1514" s="101">
        <f t="shared" si="48"/>
        <v>1</v>
      </c>
      <c r="M1514" s="103"/>
      <c r="N1514" s="103"/>
      <c r="O1514" s="104"/>
      <c r="P1514" s="104"/>
      <c r="Q1514" s="104"/>
      <c r="R1514" s="104"/>
      <c r="S1514" s="104"/>
      <c r="T1514" s="104"/>
      <c r="U1514" s="104"/>
    </row>
    <row r="1515" spans="1:21" s="101" customFormat="1" x14ac:dyDescent="0.35">
      <c r="A1515" s="101">
        <f t="shared" si="49"/>
        <v>1514</v>
      </c>
      <c r="B1515" s="101" t="s">
        <v>111</v>
      </c>
      <c r="C1515" s="110">
        <f>IF(ISBLANK(K1515),IFERROR(VLOOKUP(I1515,FS_input_data!$C$307:$N$397,Export!J1515,FALSE),""),K1515)</f>
        <v>109</v>
      </c>
      <c r="D1515" s="102" t="b">
        <v>1</v>
      </c>
      <c r="E1515" s="101" t="s">
        <v>1561</v>
      </c>
      <c r="F1515" s="101" t="s">
        <v>1557</v>
      </c>
      <c r="G1515" s="101" t="b">
        <f t="shared" si="50"/>
        <v>0</v>
      </c>
      <c r="H1515" s="102" t="s">
        <v>1540</v>
      </c>
      <c r="I1515" s="101" t="s">
        <v>1557</v>
      </c>
      <c r="J1515" s="101">
        <v>4</v>
      </c>
      <c r="L1515" s="101" t="e">
        <f t="shared" si="48"/>
        <v>#VALUE!</v>
      </c>
      <c r="M1515" s="103"/>
      <c r="N1515" s="103"/>
      <c r="O1515" s="104"/>
      <c r="P1515" s="104"/>
      <c r="Q1515" s="104"/>
      <c r="R1515" s="104"/>
      <c r="S1515" s="104"/>
      <c r="T1515" s="104"/>
      <c r="U1515" s="104"/>
    </row>
    <row r="1516" spans="1:21" s="101" customFormat="1" x14ac:dyDescent="0.35">
      <c r="A1516" s="101">
        <f t="shared" si="49"/>
        <v>1515</v>
      </c>
      <c r="B1516" s="101" t="s">
        <v>112</v>
      </c>
      <c r="C1516" s="110" t="str">
        <f>IF(ISBLANK(K1516),IFERROR(VLOOKUP(I1516,FS_input_data!$C$307:$N$397,Export!J1516,FALSE),""),K1516)</f>
        <v/>
      </c>
      <c r="D1516" s="102"/>
      <c r="E1516" s="101" t="s">
        <v>1561</v>
      </c>
      <c r="F1516" s="101" t="s">
        <v>1557</v>
      </c>
      <c r="G1516" s="101" t="b">
        <f t="shared" si="50"/>
        <v>0</v>
      </c>
      <c r="H1516" s="102" t="s">
        <v>1540</v>
      </c>
      <c r="I1516" s="101" t="s">
        <v>1561</v>
      </c>
      <c r="J1516" s="101" t="s">
        <v>1561</v>
      </c>
      <c r="L1516" s="101">
        <f t="shared" si="48"/>
        <v>1</v>
      </c>
      <c r="M1516" s="103"/>
      <c r="N1516" s="103"/>
      <c r="O1516" s="104"/>
      <c r="P1516" s="104"/>
      <c r="Q1516" s="104"/>
      <c r="R1516" s="104"/>
      <c r="S1516" s="104"/>
      <c r="T1516" s="104"/>
      <c r="U1516" s="104"/>
    </row>
    <row r="1517" spans="1:21" s="101" customFormat="1" x14ac:dyDescent="0.35">
      <c r="A1517" s="101">
        <f t="shared" si="49"/>
        <v>1516</v>
      </c>
      <c r="B1517" s="101" t="s">
        <v>528</v>
      </c>
      <c r="C1517" s="110" t="str">
        <f>IF(ISBLANK(K1517),IFERROR(VLOOKUP(I1517,FS_input_data!$C$307:$N$397,Export!J1517,FALSE),""),K1517)</f>
        <v/>
      </c>
      <c r="D1517" s="102"/>
      <c r="E1517" s="101" t="s">
        <v>1561</v>
      </c>
      <c r="F1517" s="101" t="s">
        <v>1557</v>
      </c>
      <c r="G1517" s="101" t="b">
        <f t="shared" si="50"/>
        <v>0</v>
      </c>
      <c r="H1517" s="102" t="s">
        <v>1540</v>
      </c>
      <c r="I1517" s="101" t="s">
        <v>1561</v>
      </c>
      <c r="J1517" s="101" t="s">
        <v>1561</v>
      </c>
      <c r="L1517" s="101">
        <f t="shared" si="48"/>
        <v>1</v>
      </c>
      <c r="M1517" s="103"/>
      <c r="N1517" s="103"/>
      <c r="O1517" s="104"/>
      <c r="P1517" s="104"/>
      <c r="Q1517" s="104"/>
      <c r="R1517" s="104"/>
      <c r="S1517" s="104"/>
      <c r="T1517" s="104"/>
      <c r="U1517" s="104"/>
    </row>
    <row r="1518" spans="1:21" s="101" customFormat="1" x14ac:dyDescent="0.35">
      <c r="A1518" s="101">
        <f t="shared" si="49"/>
        <v>1517</v>
      </c>
      <c r="B1518" s="101" t="s">
        <v>529</v>
      </c>
      <c r="C1518" s="110" t="str">
        <f>IF(ISBLANK(K1518),IFERROR(VLOOKUP(I1518,FS_input_data!$C$307:$N$397,Export!J1518,FALSE),""),K1518)</f>
        <v/>
      </c>
      <c r="D1518" s="102"/>
      <c r="E1518" s="101" t="s">
        <v>1561</v>
      </c>
      <c r="F1518" s="101" t="s">
        <v>1557</v>
      </c>
      <c r="G1518" s="101" t="b">
        <f t="shared" si="50"/>
        <v>0</v>
      </c>
      <c r="H1518" s="102" t="s">
        <v>1540</v>
      </c>
      <c r="I1518" s="101" t="s">
        <v>1561</v>
      </c>
      <c r="J1518" s="101" t="s">
        <v>1561</v>
      </c>
      <c r="L1518" s="101">
        <f t="shared" si="48"/>
        <v>1</v>
      </c>
      <c r="M1518" s="103"/>
      <c r="N1518" s="103"/>
      <c r="O1518" s="104"/>
      <c r="P1518" s="104"/>
      <c r="Q1518" s="104"/>
      <c r="R1518" s="104"/>
      <c r="S1518" s="104"/>
      <c r="T1518" s="104"/>
      <c r="U1518" s="104"/>
    </row>
    <row r="1519" spans="1:21" x14ac:dyDescent="0.35">
      <c r="A1519">
        <f t="shared" si="49"/>
        <v>1518</v>
      </c>
      <c r="B1519" t="s">
        <v>526</v>
      </c>
      <c r="C1519" s="109" t="str">
        <f>IF(ISBLANK(K1519),IFERROR(VLOOKUP(I1519,FS_input_data!$C$307:$N$397,Export!J1519,FALSE),""),K1519)</f>
        <v/>
      </c>
      <c r="D1519" s="6"/>
      <c r="E1519" t="s">
        <v>1556</v>
      </c>
      <c r="F1519" s="26" t="s">
        <v>1556</v>
      </c>
      <c r="G1519" s="26" t="b">
        <f t="shared" ref="G1519:G1528" si="51">IF(capital_xml,AND($C$1523=0,$C$1525=0),TRUE)</f>
        <v>0</v>
      </c>
      <c r="H1519" s="6" t="s">
        <v>1540</v>
      </c>
      <c r="I1519" t="s">
        <v>1561</v>
      </c>
      <c r="J1519" t="s">
        <v>1561</v>
      </c>
      <c r="L1519" s="26" t="e">
        <f t="shared" si="48"/>
        <v>#VALUE!</v>
      </c>
    </row>
    <row r="1520" spans="1:21" x14ac:dyDescent="0.35">
      <c r="A1520" s="9">
        <f t="shared" si="49"/>
        <v>1519</v>
      </c>
      <c r="B1520" t="s">
        <v>101</v>
      </c>
      <c r="C1520" s="109" t="str">
        <f>IF(ISBLANK(K1520),IFERROR(VLOOKUP(I1520,FS_input_data!$C$307:$N$397,Export!J1520,FALSE),""),K1520)</f>
        <v>Ia_PozycjaUszczegolawiajaca_2</v>
      </c>
      <c r="D1520" s="6" t="b">
        <v>1</v>
      </c>
      <c r="E1520" t="s">
        <v>1561</v>
      </c>
      <c r="F1520" s="26" t="s">
        <v>1556</v>
      </c>
      <c r="G1520" s="26" t="b">
        <f t="shared" si="51"/>
        <v>0</v>
      </c>
      <c r="H1520" s="6" t="s">
        <v>1540</v>
      </c>
      <c r="I1520" t="s">
        <v>1556</v>
      </c>
      <c r="J1520">
        <v>2</v>
      </c>
      <c r="L1520" s="9" t="e">
        <f t="shared" si="48"/>
        <v>#VALUE!</v>
      </c>
    </row>
    <row r="1521" spans="1:12" x14ac:dyDescent="0.35">
      <c r="A1521">
        <f t="shared" si="49"/>
        <v>1520</v>
      </c>
      <c r="B1521" t="s">
        <v>102</v>
      </c>
      <c r="C1521" s="109" t="str">
        <f>IF(ISBLANK(K1521),IFERROR(VLOOKUP(I1521,FS_input_data!$C$307:$N$397,Export!J1521,FALSE),""),K1521)</f>
        <v/>
      </c>
      <c r="D1521" s="6"/>
      <c r="E1521" t="s">
        <v>1561</v>
      </c>
      <c r="F1521" s="26" t="s">
        <v>1556</v>
      </c>
      <c r="G1521" s="26" t="b">
        <f t="shared" si="51"/>
        <v>0</v>
      </c>
      <c r="H1521" s="6" t="s">
        <v>1540</v>
      </c>
      <c r="I1521" t="s">
        <v>1561</v>
      </c>
      <c r="J1521" t="s">
        <v>1561</v>
      </c>
      <c r="L1521">
        <f t="shared" si="48"/>
        <v>1</v>
      </c>
    </row>
    <row r="1522" spans="1:12" x14ac:dyDescent="0.35">
      <c r="A1522">
        <f t="shared" si="49"/>
        <v>1521</v>
      </c>
      <c r="B1522" t="s">
        <v>527</v>
      </c>
      <c r="C1522" s="109" t="str">
        <f>IF(ISBLANK(K1522),IFERROR(VLOOKUP(I1522,FS_input_data!$C$307:$N$397,Export!J1522,FALSE),""),K1522)</f>
        <v/>
      </c>
      <c r="D1522" s="6"/>
      <c r="F1522" s="26" t="s">
        <v>1556</v>
      </c>
      <c r="G1522" s="26" t="b">
        <f t="shared" si="51"/>
        <v>0</v>
      </c>
      <c r="H1522" s="6" t="s">
        <v>1540</v>
      </c>
      <c r="I1522" t="s">
        <v>1561</v>
      </c>
      <c r="J1522" t="s">
        <v>1561</v>
      </c>
      <c r="L1522" s="9" t="e">
        <f t="shared" si="48"/>
        <v>#VALUE!</v>
      </c>
    </row>
    <row r="1523" spans="1:12" x14ac:dyDescent="0.35">
      <c r="A1523" s="9">
        <f t="shared" si="49"/>
        <v>1522</v>
      </c>
      <c r="B1523" t="s">
        <v>109</v>
      </c>
      <c r="C1523" s="109">
        <f>IF(ISBLANK(K1523),IFERROR(VLOOKUP(I1523,FS_input_data!$C$307:$N$397,Export!J1523,FALSE),""),K1523)</f>
        <v>10</v>
      </c>
      <c r="D1523" s="6" t="b">
        <v>1</v>
      </c>
      <c r="E1523" t="s">
        <v>1561</v>
      </c>
      <c r="F1523" s="26" t="s">
        <v>1556</v>
      </c>
      <c r="G1523" s="26" t="b">
        <f t="shared" si="51"/>
        <v>0</v>
      </c>
      <c r="H1523" s="6" t="s">
        <v>1540</v>
      </c>
      <c r="I1523" t="s">
        <v>1556</v>
      </c>
      <c r="J1523">
        <v>3</v>
      </c>
      <c r="L1523" s="9" t="e">
        <f t="shared" si="48"/>
        <v>#VALUE!</v>
      </c>
    </row>
    <row r="1524" spans="1:12" x14ac:dyDescent="0.35">
      <c r="A1524">
        <f t="shared" si="49"/>
        <v>1523</v>
      </c>
      <c r="B1524" t="s">
        <v>110</v>
      </c>
      <c r="C1524" s="109" t="str">
        <f>IF(ISBLANK(K1524),IFERROR(VLOOKUP(I1524,FS_input_data!$C$307:$N$397,Export!J1524,FALSE),""),K1524)</f>
        <v/>
      </c>
      <c r="D1524" s="6"/>
      <c r="F1524" s="26" t="s">
        <v>1556</v>
      </c>
      <c r="G1524" s="26" t="b">
        <f t="shared" si="51"/>
        <v>0</v>
      </c>
      <c r="H1524" s="6" t="s">
        <v>1540</v>
      </c>
      <c r="I1524" t="s">
        <v>1561</v>
      </c>
      <c r="J1524" t="s">
        <v>1561</v>
      </c>
      <c r="L1524">
        <f t="shared" si="48"/>
        <v>1</v>
      </c>
    </row>
    <row r="1525" spans="1:12" x14ac:dyDescent="0.35">
      <c r="A1525" s="9">
        <f t="shared" si="49"/>
        <v>1524</v>
      </c>
      <c r="B1525" t="s">
        <v>111</v>
      </c>
      <c r="C1525" s="109">
        <f>IF(ISBLANK(K1525),IFERROR(VLOOKUP(I1525,FS_input_data!$C$307:$N$397,Export!J1525,FALSE),""),K1525)</f>
        <v>110</v>
      </c>
      <c r="D1525" s="6" t="b">
        <v>1</v>
      </c>
      <c r="E1525" t="s">
        <v>1561</v>
      </c>
      <c r="F1525" s="26" t="s">
        <v>1556</v>
      </c>
      <c r="G1525" s="26" t="b">
        <f t="shared" si="51"/>
        <v>0</v>
      </c>
      <c r="H1525" s="6" t="s">
        <v>1540</v>
      </c>
      <c r="I1525" t="s">
        <v>1556</v>
      </c>
      <c r="J1525">
        <v>4</v>
      </c>
      <c r="L1525" s="9" t="e">
        <f t="shared" si="48"/>
        <v>#VALUE!</v>
      </c>
    </row>
    <row r="1526" spans="1:12" x14ac:dyDescent="0.35">
      <c r="A1526">
        <f t="shared" si="49"/>
        <v>1525</v>
      </c>
      <c r="B1526" t="s">
        <v>112</v>
      </c>
      <c r="C1526" s="109" t="str">
        <f>IF(ISBLANK(K1526),IFERROR(VLOOKUP(I1526,FS_input_data!$C$307:$N$397,Export!J1526,FALSE),""),K1526)</f>
        <v/>
      </c>
      <c r="D1526" s="6"/>
      <c r="E1526" t="s">
        <v>1561</v>
      </c>
      <c r="F1526" s="26" t="s">
        <v>1556</v>
      </c>
      <c r="G1526" s="26" t="b">
        <f t="shared" si="51"/>
        <v>0</v>
      </c>
      <c r="H1526" s="6" t="s">
        <v>1540</v>
      </c>
      <c r="I1526" t="s">
        <v>1561</v>
      </c>
      <c r="J1526" t="s">
        <v>1561</v>
      </c>
      <c r="L1526">
        <f t="shared" si="48"/>
        <v>1</v>
      </c>
    </row>
    <row r="1527" spans="1:12" x14ac:dyDescent="0.35">
      <c r="A1527">
        <f t="shared" si="49"/>
        <v>1526</v>
      </c>
      <c r="B1527" t="s">
        <v>528</v>
      </c>
      <c r="C1527" s="109" t="str">
        <f>IF(ISBLANK(K1527),IFERROR(VLOOKUP(I1527,FS_input_data!$C$307:$N$397,Export!J1527,FALSE),""),K1527)</f>
        <v/>
      </c>
      <c r="D1527" s="6"/>
      <c r="E1527" t="s">
        <v>1561</v>
      </c>
      <c r="F1527" s="26" t="s">
        <v>1556</v>
      </c>
      <c r="G1527" s="26" t="b">
        <f t="shared" si="51"/>
        <v>0</v>
      </c>
      <c r="H1527" s="6" t="s">
        <v>1540</v>
      </c>
      <c r="I1527" t="s">
        <v>1561</v>
      </c>
      <c r="J1527" t="s">
        <v>1561</v>
      </c>
      <c r="L1527">
        <f t="shared" si="48"/>
        <v>1</v>
      </c>
    </row>
    <row r="1528" spans="1:12" x14ac:dyDescent="0.35">
      <c r="A1528">
        <f t="shared" si="49"/>
        <v>1527</v>
      </c>
      <c r="B1528" t="s">
        <v>529</v>
      </c>
      <c r="C1528" s="109" t="str">
        <f>IF(ISBLANK(K1528),IFERROR(VLOOKUP(I1528,FS_input_data!$C$307:$N$397,Export!J1528,FALSE),""),K1528)</f>
        <v/>
      </c>
      <c r="D1528" s="6"/>
      <c r="E1528" t="s">
        <v>1561</v>
      </c>
      <c r="F1528" s="26" t="s">
        <v>1556</v>
      </c>
      <c r="G1528" s="26" t="b">
        <f t="shared" si="51"/>
        <v>0</v>
      </c>
      <c r="H1528" s="6" t="s">
        <v>1540</v>
      </c>
      <c r="I1528" t="s">
        <v>1561</v>
      </c>
      <c r="J1528" t="s">
        <v>1561</v>
      </c>
      <c r="L1528">
        <f t="shared" si="48"/>
        <v>1</v>
      </c>
    </row>
    <row r="1529" spans="1:12" x14ac:dyDescent="0.35">
      <c r="A1529">
        <f t="shared" si="49"/>
        <v>1528</v>
      </c>
      <c r="B1529" t="s">
        <v>526</v>
      </c>
      <c r="C1529" s="109" t="str">
        <f>IF(ISBLANK(K1529),IFERROR(VLOOKUP(I1529,FS_input_data!$C$307:$N$397,Export!J1529,FALSE),""),K1529)</f>
        <v/>
      </c>
      <c r="D1529" s="6"/>
      <c r="E1529" t="s">
        <v>1558</v>
      </c>
      <c r="F1529" s="101" t="s">
        <v>1558</v>
      </c>
      <c r="G1529" s="101" t="b">
        <f t="shared" ref="G1529:G1537" si="52">IF(capital_xml,AND($C$1533=0,$C$1535=0),TRUE)</f>
        <v>0</v>
      </c>
      <c r="H1529" s="6" t="s">
        <v>1540</v>
      </c>
      <c r="I1529" t="s">
        <v>1561</v>
      </c>
      <c r="J1529" t="s">
        <v>1561</v>
      </c>
      <c r="L1529" s="26" t="e">
        <f t="shared" si="48"/>
        <v>#VALUE!</v>
      </c>
    </row>
    <row r="1530" spans="1:12" x14ac:dyDescent="0.35">
      <c r="A1530" s="9">
        <f t="shared" si="49"/>
        <v>1529</v>
      </c>
      <c r="B1530" t="s">
        <v>101</v>
      </c>
      <c r="C1530" s="109" t="str">
        <f>IF(ISBLANK(K1530),IFERROR(VLOOKUP(I1530,FS_input_data!$C$307:$N$397,Export!J1530,FALSE),""),K1530)</f>
        <v>Ia_PozycjaUszczegolawiajaca_3</v>
      </c>
      <c r="D1530" s="6" t="b">
        <v>1</v>
      </c>
      <c r="E1530" t="s">
        <v>1561</v>
      </c>
      <c r="F1530" s="101" t="s">
        <v>1558</v>
      </c>
      <c r="G1530" s="101" t="b">
        <f t="shared" si="52"/>
        <v>0</v>
      </c>
      <c r="H1530" s="6" t="s">
        <v>1540</v>
      </c>
      <c r="I1530" t="s">
        <v>1558</v>
      </c>
      <c r="J1530">
        <v>2</v>
      </c>
      <c r="L1530" s="9" t="e">
        <f t="shared" si="48"/>
        <v>#VALUE!</v>
      </c>
    </row>
    <row r="1531" spans="1:12" x14ac:dyDescent="0.35">
      <c r="A1531">
        <f t="shared" si="49"/>
        <v>1530</v>
      </c>
      <c r="B1531" t="s">
        <v>102</v>
      </c>
      <c r="C1531" s="109" t="str">
        <f>IF(ISBLANK(K1531),IFERROR(VLOOKUP(I1531,FS_input_data!$C$307:$N$397,Export!J1531,FALSE),""),K1531)</f>
        <v/>
      </c>
      <c r="D1531" s="6"/>
      <c r="E1531" t="s">
        <v>1561</v>
      </c>
      <c r="F1531" s="101" t="s">
        <v>1558</v>
      </c>
      <c r="G1531" s="101" t="b">
        <f t="shared" si="52"/>
        <v>0</v>
      </c>
      <c r="H1531" s="6" t="s">
        <v>1540</v>
      </c>
      <c r="I1531" t="s">
        <v>1561</v>
      </c>
      <c r="J1531" t="s">
        <v>1561</v>
      </c>
      <c r="L1531">
        <f t="shared" si="48"/>
        <v>1</v>
      </c>
    </row>
    <row r="1532" spans="1:12" x14ac:dyDescent="0.35">
      <c r="A1532">
        <f t="shared" si="49"/>
        <v>1531</v>
      </c>
      <c r="B1532" t="s">
        <v>527</v>
      </c>
      <c r="C1532" s="109" t="str">
        <f>IF(ISBLANK(K1532),IFERROR(VLOOKUP(I1532,FS_input_data!$C$307:$N$397,Export!J1532,FALSE),""),K1532)</f>
        <v/>
      </c>
      <c r="D1532" s="6"/>
      <c r="F1532" s="101" t="s">
        <v>1558</v>
      </c>
      <c r="G1532" s="101" t="b">
        <f t="shared" si="52"/>
        <v>0</v>
      </c>
      <c r="H1532" s="6" t="s">
        <v>1540</v>
      </c>
      <c r="I1532" t="s">
        <v>1561</v>
      </c>
      <c r="J1532" t="s">
        <v>1561</v>
      </c>
      <c r="L1532" s="9" t="e">
        <f t="shared" si="48"/>
        <v>#VALUE!</v>
      </c>
    </row>
    <row r="1533" spans="1:12" x14ac:dyDescent="0.35">
      <c r="A1533" s="9">
        <f t="shared" si="49"/>
        <v>1532</v>
      </c>
      <c r="B1533" t="s">
        <v>109</v>
      </c>
      <c r="C1533" s="109">
        <f>IF(ISBLANK(K1533),IFERROR(VLOOKUP(I1533,FS_input_data!$C$307:$N$397,Export!J1533,FALSE),""),K1533)</f>
        <v>11</v>
      </c>
      <c r="D1533" s="6" t="b">
        <v>1</v>
      </c>
      <c r="E1533" t="s">
        <v>1561</v>
      </c>
      <c r="F1533" s="101" t="s">
        <v>1558</v>
      </c>
      <c r="G1533" s="101" t="b">
        <f t="shared" si="52"/>
        <v>0</v>
      </c>
      <c r="H1533" s="6" t="s">
        <v>1540</v>
      </c>
      <c r="I1533" t="s">
        <v>1558</v>
      </c>
      <c r="J1533">
        <v>3</v>
      </c>
      <c r="L1533" s="9" t="e">
        <f t="shared" si="48"/>
        <v>#VALUE!</v>
      </c>
    </row>
    <row r="1534" spans="1:12" x14ac:dyDescent="0.35">
      <c r="A1534">
        <f t="shared" si="49"/>
        <v>1533</v>
      </c>
      <c r="B1534" t="s">
        <v>110</v>
      </c>
      <c r="C1534" s="109" t="str">
        <f>IF(ISBLANK(K1534),IFERROR(VLOOKUP(I1534,FS_input_data!$C$307:$N$397,Export!J1534,FALSE),""),K1534)</f>
        <v/>
      </c>
      <c r="D1534" s="6"/>
      <c r="F1534" s="101" t="s">
        <v>1558</v>
      </c>
      <c r="G1534" s="101" t="b">
        <f t="shared" si="52"/>
        <v>0</v>
      </c>
      <c r="H1534" s="6" t="s">
        <v>1540</v>
      </c>
      <c r="I1534" t="s">
        <v>1561</v>
      </c>
      <c r="J1534" t="s">
        <v>1561</v>
      </c>
      <c r="L1534">
        <f t="shared" si="48"/>
        <v>1</v>
      </c>
    </row>
    <row r="1535" spans="1:12" x14ac:dyDescent="0.35">
      <c r="A1535" s="9">
        <f t="shared" si="49"/>
        <v>1534</v>
      </c>
      <c r="B1535" t="s">
        <v>111</v>
      </c>
      <c r="C1535" s="109">
        <f>IF(ISBLANK(K1535),IFERROR(VLOOKUP(I1535,FS_input_data!$C$307:$N$397,Export!J1535,FALSE),""),K1535)</f>
        <v>111</v>
      </c>
      <c r="D1535" s="6" t="b">
        <v>1</v>
      </c>
      <c r="E1535" t="s">
        <v>1561</v>
      </c>
      <c r="F1535" s="101" t="s">
        <v>1558</v>
      </c>
      <c r="G1535" s="101" t="b">
        <f t="shared" si="52"/>
        <v>0</v>
      </c>
      <c r="H1535" s="6" t="s">
        <v>1540</v>
      </c>
      <c r="I1535" t="s">
        <v>1558</v>
      </c>
      <c r="J1535">
        <v>4</v>
      </c>
      <c r="L1535" s="9" t="e">
        <f t="shared" si="48"/>
        <v>#VALUE!</v>
      </c>
    </row>
    <row r="1536" spans="1:12" x14ac:dyDescent="0.35">
      <c r="A1536">
        <f t="shared" si="49"/>
        <v>1535</v>
      </c>
      <c r="B1536" t="s">
        <v>112</v>
      </c>
      <c r="C1536" s="109" t="str">
        <f>IF(ISBLANK(K1536),IFERROR(VLOOKUP(I1536,FS_input_data!$C$307:$N$397,Export!J1536,FALSE),""),K1536)</f>
        <v/>
      </c>
      <c r="D1536" s="6"/>
      <c r="E1536" t="s">
        <v>1561</v>
      </c>
      <c r="F1536" s="101" t="s">
        <v>1558</v>
      </c>
      <c r="G1536" s="101" t="b">
        <f t="shared" si="52"/>
        <v>0</v>
      </c>
      <c r="H1536" s="6" t="s">
        <v>1540</v>
      </c>
      <c r="I1536" t="s">
        <v>1561</v>
      </c>
      <c r="J1536" t="s">
        <v>1561</v>
      </c>
      <c r="L1536">
        <f t="shared" si="48"/>
        <v>1</v>
      </c>
    </row>
    <row r="1537" spans="1:12" x14ac:dyDescent="0.35">
      <c r="A1537">
        <f t="shared" si="49"/>
        <v>1536</v>
      </c>
      <c r="B1537" t="s">
        <v>528</v>
      </c>
      <c r="C1537" s="109" t="str">
        <f>IF(ISBLANK(K1537),IFERROR(VLOOKUP(I1537,FS_input_data!$C$307:$N$397,Export!J1537,FALSE),""),K1537)</f>
        <v/>
      </c>
      <c r="D1537" s="6"/>
      <c r="E1537" t="s">
        <v>1561</v>
      </c>
      <c r="F1537" s="101" t="s">
        <v>1558</v>
      </c>
      <c r="G1537" s="101" t="b">
        <f t="shared" si="52"/>
        <v>0</v>
      </c>
      <c r="H1537" s="6" t="s">
        <v>1540</v>
      </c>
      <c r="I1537" t="s">
        <v>1561</v>
      </c>
      <c r="J1537" t="s">
        <v>1561</v>
      </c>
      <c r="L1537">
        <f t="shared" si="48"/>
        <v>1</v>
      </c>
    </row>
    <row r="1538" spans="1:12" x14ac:dyDescent="0.35">
      <c r="A1538">
        <f t="shared" si="49"/>
        <v>1537</v>
      </c>
      <c r="B1538" t="s">
        <v>529</v>
      </c>
      <c r="C1538" s="109" t="str">
        <f>IF(ISBLANK(K1538),IFERROR(VLOOKUP(I1538,FS_input_data!$C$307:$N$397,Export!J1538,FALSE),""),K1538)</f>
        <v/>
      </c>
      <c r="D1538" s="6"/>
      <c r="E1538" t="s">
        <v>1561</v>
      </c>
      <c r="F1538" s="101" t="s">
        <v>1558</v>
      </c>
      <c r="G1538" s="101" t="b">
        <f>IF(capital_xml,AND($C$1533=0,$C$1535=0),TRUE)</f>
        <v>0</v>
      </c>
      <c r="H1538" s="6" t="s">
        <v>1540</v>
      </c>
      <c r="I1538" t="s">
        <v>1561</v>
      </c>
      <c r="J1538" t="s">
        <v>1561</v>
      </c>
      <c r="L1538">
        <f t="shared" ref="L1538:L1601" si="53">FIND("/",B1538)</f>
        <v>1</v>
      </c>
    </row>
    <row r="1539" spans="1:12" x14ac:dyDescent="0.35">
      <c r="A1539">
        <f t="shared" ref="A1539:A1602" si="54">A1538+1</f>
        <v>1538</v>
      </c>
      <c r="B1539" t="s">
        <v>530</v>
      </c>
      <c r="C1539" s="109" t="str">
        <f>IF(ISBLANK(K1539),IFERROR(VLOOKUP(I1539,FS_input_data!$C$307:$N$397,Export!J1539,FALSE),""),K1539)</f>
        <v/>
      </c>
      <c r="D1539" s="6"/>
      <c r="E1539" t="s">
        <v>1561</v>
      </c>
      <c r="F1539" s="26"/>
      <c r="G1539" s="26" t="b">
        <f t="shared" ref="G1539:G1550" si="55">NOT(capital_xml)</f>
        <v>0</v>
      </c>
      <c r="H1539" s="6" t="s">
        <v>1540</v>
      </c>
      <c r="I1539" t="s">
        <v>1561</v>
      </c>
      <c r="J1539" t="s">
        <v>1561</v>
      </c>
      <c r="L1539">
        <f t="shared" si="53"/>
        <v>1</v>
      </c>
    </row>
    <row r="1540" spans="1:12" x14ac:dyDescent="0.35">
      <c r="A1540">
        <f t="shared" si="54"/>
        <v>1539</v>
      </c>
      <c r="B1540" t="s">
        <v>531</v>
      </c>
      <c r="C1540" s="109" t="str">
        <f>IF(ISBLANK(K1540),IFERROR(VLOOKUP(I1540,FS_input_data!$C$307:$N$397,Export!J1540,FALSE),""),K1540)</f>
        <v/>
      </c>
      <c r="D1540" s="6"/>
      <c r="E1540" t="s">
        <v>1560</v>
      </c>
      <c r="F1540" s="26"/>
      <c r="G1540" s="26" t="b">
        <f t="shared" si="55"/>
        <v>0</v>
      </c>
      <c r="H1540" s="6" t="s">
        <v>1540</v>
      </c>
      <c r="I1540" t="s">
        <v>1561</v>
      </c>
      <c r="J1540" t="s">
        <v>1561</v>
      </c>
      <c r="L1540" s="26" t="e">
        <f t="shared" si="53"/>
        <v>#VALUE!</v>
      </c>
    </row>
    <row r="1541" spans="1:12" x14ac:dyDescent="0.35">
      <c r="A1541" s="9">
        <f t="shared" si="54"/>
        <v>1540</v>
      </c>
      <c r="B1541" t="s">
        <v>109</v>
      </c>
      <c r="C1541" s="109">
        <f>IF(ISBLANK(K1541),IFERROR(VLOOKUP(I1541,FS_input_data!$C$307:$N$397,Export!J1541,FALSE),""),K1541)</f>
        <v>57</v>
      </c>
      <c r="D1541" s="6" t="b">
        <v>1</v>
      </c>
      <c r="E1541" t="s">
        <v>1561</v>
      </c>
      <c r="F1541" s="26"/>
      <c r="G1541" s="26" t="b">
        <f t="shared" si="55"/>
        <v>0</v>
      </c>
      <c r="H1541" s="6" t="s">
        <v>1540</v>
      </c>
      <c r="I1541" t="s">
        <v>1559</v>
      </c>
      <c r="J1541">
        <v>3</v>
      </c>
      <c r="L1541" s="9" t="e">
        <f t="shared" si="53"/>
        <v>#VALUE!</v>
      </c>
    </row>
    <row r="1542" spans="1:12" x14ac:dyDescent="0.35">
      <c r="A1542">
        <f t="shared" si="54"/>
        <v>1541</v>
      </c>
      <c r="B1542" t="s">
        <v>110</v>
      </c>
      <c r="C1542" s="109" t="str">
        <f>IF(ISBLANK(K1542),IFERROR(VLOOKUP(I1542,FS_input_data!$C$307:$N$397,Export!J1542,FALSE),""),K1542)</f>
        <v/>
      </c>
      <c r="D1542" s="6"/>
      <c r="F1542" s="26"/>
      <c r="G1542" s="26" t="b">
        <f t="shared" si="55"/>
        <v>0</v>
      </c>
      <c r="H1542" s="6" t="s">
        <v>1540</v>
      </c>
      <c r="I1542" t="s">
        <v>1561</v>
      </c>
      <c r="J1542" t="s">
        <v>1561</v>
      </c>
      <c r="L1542">
        <f t="shared" si="53"/>
        <v>1</v>
      </c>
    </row>
    <row r="1543" spans="1:12" x14ac:dyDescent="0.35">
      <c r="A1543" s="9">
        <f t="shared" si="54"/>
        <v>1542</v>
      </c>
      <c r="B1543" t="s">
        <v>111</v>
      </c>
      <c r="C1543" s="109">
        <f>IF(ISBLANK(K1543),IFERROR(VLOOKUP(I1543,FS_input_data!$C$307:$N$397,Export!J1543,FALSE),""),K1543)</f>
        <v>457</v>
      </c>
      <c r="D1543" s="6" t="b">
        <v>1</v>
      </c>
      <c r="E1543" t="s">
        <v>1561</v>
      </c>
      <c r="F1543" s="26"/>
      <c r="G1543" s="26" t="b">
        <f t="shared" si="55"/>
        <v>0</v>
      </c>
      <c r="H1543" s="6" t="s">
        <v>1540</v>
      </c>
      <c r="I1543" t="s">
        <v>1559</v>
      </c>
      <c r="J1543">
        <v>4</v>
      </c>
      <c r="L1543" s="9" t="e">
        <f t="shared" si="53"/>
        <v>#VALUE!</v>
      </c>
    </row>
    <row r="1544" spans="1:12" x14ac:dyDescent="0.35">
      <c r="A1544">
        <f t="shared" si="54"/>
        <v>1543</v>
      </c>
      <c r="B1544" t="s">
        <v>112</v>
      </c>
      <c r="C1544" s="109" t="str">
        <f>IF(ISBLANK(K1544),IFERROR(VLOOKUP(I1544,FS_input_data!$C$307:$N$397,Export!J1544,FALSE),""),K1544)</f>
        <v/>
      </c>
      <c r="D1544" s="6"/>
      <c r="E1544" t="s">
        <v>1561</v>
      </c>
      <c r="F1544" s="26"/>
      <c r="G1544" s="26" t="b">
        <f t="shared" si="55"/>
        <v>0</v>
      </c>
      <c r="H1544" s="6" t="s">
        <v>1540</v>
      </c>
      <c r="I1544" t="s">
        <v>1561</v>
      </c>
      <c r="J1544" t="s">
        <v>1561</v>
      </c>
      <c r="L1544">
        <f t="shared" si="53"/>
        <v>1</v>
      </c>
    </row>
    <row r="1545" spans="1:12" x14ac:dyDescent="0.35">
      <c r="A1545">
        <f t="shared" si="54"/>
        <v>1544</v>
      </c>
      <c r="B1545" t="s">
        <v>532</v>
      </c>
      <c r="C1545" s="109" t="str">
        <f>IF(ISBLANK(K1545),IFERROR(VLOOKUP(I1545,FS_input_data!$C$307:$N$397,Export!J1545,FALSE),""),K1545)</f>
        <v/>
      </c>
      <c r="D1545" s="6"/>
      <c r="E1545" t="s">
        <v>1563</v>
      </c>
      <c r="F1545" s="101"/>
      <c r="G1545" s="26" t="b">
        <f t="shared" si="55"/>
        <v>0</v>
      </c>
      <c r="H1545" s="6" t="s">
        <v>1540</v>
      </c>
      <c r="I1545" t="s">
        <v>1561</v>
      </c>
      <c r="J1545" t="s">
        <v>1561</v>
      </c>
      <c r="L1545" s="26" t="e">
        <f t="shared" si="53"/>
        <v>#VALUE!</v>
      </c>
    </row>
    <row r="1546" spans="1:12" x14ac:dyDescent="0.35">
      <c r="A1546" s="9">
        <f t="shared" si="54"/>
        <v>1545</v>
      </c>
      <c r="B1546" t="s">
        <v>109</v>
      </c>
      <c r="C1546" s="109">
        <f>IF(ISBLANK(K1546),IFERROR(VLOOKUP(I1546,FS_input_data!$C$307:$N$397,Export!J1546,FALSE),""),K1546)</f>
        <v>13</v>
      </c>
      <c r="D1546" s="6" t="b">
        <v>1</v>
      </c>
      <c r="E1546" t="s">
        <v>1561</v>
      </c>
      <c r="F1546" s="101"/>
      <c r="G1546" s="26" t="b">
        <f t="shared" si="55"/>
        <v>0</v>
      </c>
      <c r="H1546" s="6" t="s">
        <v>1540</v>
      </c>
      <c r="I1546" t="s">
        <v>1562</v>
      </c>
      <c r="J1546">
        <v>3</v>
      </c>
      <c r="L1546" s="9" t="e">
        <f t="shared" si="53"/>
        <v>#VALUE!</v>
      </c>
    </row>
    <row r="1547" spans="1:12" x14ac:dyDescent="0.35">
      <c r="A1547">
        <f t="shared" si="54"/>
        <v>1546</v>
      </c>
      <c r="B1547" t="s">
        <v>110</v>
      </c>
      <c r="C1547" s="109" t="str">
        <f>IF(ISBLANK(K1547),IFERROR(VLOOKUP(I1547,FS_input_data!$C$307:$N$397,Export!J1547,FALSE),""),K1547)</f>
        <v/>
      </c>
      <c r="D1547" s="6"/>
      <c r="F1547" s="101"/>
      <c r="G1547" s="26" t="b">
        <f t="shared" si="55"/>
        <v>0</v>
      </c>
      <c r="H1547" s="6" t="s">
        <v>1540</v>
      </c>
      <c r="I1547" t="s">
        <v>1561</v>
      </c>
      <c r="J1547" t="s">
        <v>1561</v>
      </c>
      <c r="L1547">
        <f t="shared" si="53"/>
        <v>1</v>
      </c>
    </row>
    <row r="1548" spans="1:12" x14ac:dyDescent="0.35">
      <c r="A1548" s="9">
        <f t="shared" si="54"/>
        <v>1547</v>
      </c>
      <c r="B1548" t="s">
        <v>111</v>
      </c>
      <c r="C1548" s="109">
        <f>IF(ISBLANK(K1548),IFERROR(VLOOKUP(I1548,FS_input_data!$C$307:$N$397,Export!J1548,FALSE),""),K1548)</f>
        <v>113</v>
      </c>
      <c r="D1548" s="6" t="b">
        <v>1</v>
      </c>
      <c r="E1548" t="s">
        <v>1561</v>
      </c>
      <c r="F1548" s="101"/>
      <c r="G1548" s="26" t="b">
        <f t="shared" si="55"/>
        <v>0</v>
      </c>
      <c r="H1548" s="6" t="s">
        <v>1540</v>
      </c>
      <c r="I1548" t="s">
        <v>1562</v>
      </c>
      <c r="J1548">
        <v>4</v>
      </c>
      <c r="L1548" s="9" t="e">
        <f t="shared" si="53"/>
        <v>#VALUE!</v>
      </c>
    </row>
    <row r="1549" spans="1:12" x14ac:dyDescent="0.35">
      <c r="A1549">
        <f t="shared" si="54"/>
        <v>1548</v>
      </c>
      <c r="B1549" t="s">
        <v>112</v>
      </c>
      <c r="C1549" s="109" t="str">
        <f>IF(ISBLANK(K1549),IFERROR(VLOOKUP(I1549,FS_input_data!$C$307:$N$397,Export!J1549,FALSE),""),K1549)</f>
        <v/>
      </c>
      <c r="D1549" s="6"/>
      <c r="E1549" t="s">
        <v>1561</v>
      </c>
      <c r="F1549" s="101"/>
      <c r="G1549" s="26" t="b">
        <f t="shared" si="55"/>
        <v>0</v>
      </c>
      <c r="H1549" s="6" t="s">
        <v>1540</v>
      </c>
      <c r="I1549" t="s">
        <v>1561</v>
      </c>
      <c r="J1549" t="s">
        <v>1561</v>
      </c>
      <c r="L1549">
        <f t="shared" si="53"/>
        <v>1</v>
      </c>
    </row>
    <row r="1550" spans="1:12" x14ac:dyDescent="0.35">
      <c r="A1550">
        <f t="shared" si="54"/>
        <v>1549</v>
      </c>
      <c r="B1550" t="s">
        <v>533</v>
      </c>
      <c r="C1550" s="109" t="str">
        <f>IF(ISBLANK(K1550),IFERROR(VLOOKUP(I1550,FS_input_data!$C$307:$N$397,Export!J1550,FALSE),""),K1550)</f>
        <v/>
      </c>
      <c r="D1550" s="6"/>
      <c r="E1550" t="s">
        <v>1561</v>
      </c>
      <c r="F1550" s="6"/>
      <c r="G1550" s="26" t="b">
        <f t="shared" si="55"/>
        <v>0</v>
      </c>
      <c r="H1550" s="6" t="s">
        <v>1540</v>
      </c>
      <c r="I1550" t="s">
        <v>1561</v>
      </c>
      <c r="J1550" t="s">
        <v>1561</v>
      </c>
      <c r="L1550">
        <f t="shared" si="53"/>
        <v>1</v>
      </c>
    </row>
    <row r="1551" spans="1:12" x14ac:dyDescent="0.35">
      <c r="A1551">
        <f t="shared" si="54"/>
        <v>1550</v>
      </c>
      <c r="B1551" t="s">
        <v>526</v>
      </c>
      <c r="C1551" s="109" t="str">
        <f>IF(ISBLANK(K1551),IFERROR(VLOOKUP(I1551,FS_input_data!$C$307:$N$397,Export!J1551,FALSE),""),K1551)</f>
        <v/>
      </c>
      <c r="D1551" s="6"/>
      <c r="E1551" t="s">
        <v>1565</v>
      </c>
      <c r="F1551" t="s">
        <v>1565</v>
      </c>
      <c r="G1551" s="6" t="b">
        <f t="shared" ref="G1551:G1560" si="56">IF(capital_xml,AND($C$1555=0,$C$1557=0),TRUE)</f>
        <v>0</v>
      </c>
      <c r="H1551" s="6" t="s">
        <v>1540</v>
      </c>
      <c r="I1551" t="s">
        <v>1561</v>
      </c>
      <c r="J1551" t="s">
        <v>1561</v>
      </c>
      <c r="L1551" s="26" t="e">
        <f t="shared" si="53"/>
        <v>#VALUE!</v>
      </c>
    </row>
    <row r="1552" spans="1:12" x14ac:dyDescent="0.35">
      <c r="A1552" s="9">
        <f t="shared" si="54"/>
        <v>1551</v>
      </c>
      <c r="B1552" t="s">
        <v>101</v>
      </c>
      <c r="C1552" s="109" t="str">
        <f>IF(ISBLANK(K1552),IFERROR(VLOOKUP(I1552,FS_input_data!$C$307:$N$397,Export!J1552,FALSE),""),K1552)</f>
        <v>Ib_PozycjaUszczegolawiajaca_1</v>
      </c>
      <c r="D1552" s="6" t="b">
        <v>1</v>
      </c>
      <c r="E1552" t="s">
        <v>1561</v>
      </c>
      <c r="F1552" t="s">
        <v>1565</v>
      </c>
      <c r="G1552" s="6" t="b">
        <f t="shared" si="56"/>
        <v>0</v>
      </c>
      <c r="H1552" s="6" t="s">
        <v>1540</v>
      </c>
      <c r="I1552" t="s">
        <v>1565</v>
      </c>
      <c r="J1552">
        <v>2</v>
      </c>
      <c r="L1552" s="9" t="e">
        <f t="shared" si="53"/>
        <v>#VALUE!</v>
      </c>
    </row>
    <row r="1553" spans="1:12" x14ac:dyDescent="0.35">
      <c r="A1553">
        <f t="shared" si="54"/>
        <v>1552</v>
      </c>
      <c r="B1553" t="s">
        <v>102</v>
      </c>
      <c r="C1553" s="109" t="str">
        <f>IF(ISBLANK(K1553),IFERROR(VLOOKUP(I1553,FS_input_data!$C$307:$N$397,Export!J1553,FALSE),""),K1553)</f>
        <v/>
      </c>
      <c r="D1553" s="6"/>
      <c r="E1553" t="s">
        <v>1561</v>
      </c>
      <c r="F1553" t="s">
        <v>1565</v>
      </c>
      <c r="G1553" s="6" t="b">
        <f t="shared" si="56"/>
        <v>0</v>
      </c>
      <c r="H1553" s="6" t="s">
        <v>1540</v>
      </c>
      <c r="I1553" t="s">
        <v>1561</v>
      </c>
      <c r="J1553" t="s">
        <v>1561</v>
      </c>
      <c r="L1553">
        <f t="shared" si="53"/>
        <v>1</v>
      </c>
    </row>
    <row r="1554" spans="1:12" x14ac:dyDescent="0.35">
      <c r="A1554">
        <f t="shared" si="54"/>
        <v>1553</v>
      </c>
      <c r="B1554" t="s">
        <v>527</v>
      </c>
      <c r="C1554" s="109" t="str">
        <f>IF(ISBLANK(K1554),IFERROR(VLOOKUP(I1554,FS_input_data!$C$307:$N$397,Export!J1554,FALSE),""),K1554)</f>
        <v/>
      </c>
      <c r="D1554" s="6"/>
      <c r="F1554" t="s">
        <v>1565</v>
      </c>
      <c r="G1554" s="6" t="b">
        <f t="shared" si="56"/>
        <v>0</v>
      </c>
      <c r="H1554" s="6" t="s">
        <v>1540</v>
      </c>
      <c r="I1554" t="s">
        <v>1561</v>
      </c>
      <c r="J1554" t="s">
        <v>1561</v>
      </c>
      <c r="L1554" s="9" t="e">
        <f t="shared" si="53"/>
        <v>#VALUE!</v>
      </c>
    </row>
    <row r="1555" spans="1:12" x14ac:dyDescent="0.35">
      <c r="A1555" s="9">
        <f t="shared" si="54"/>
        <v>1554</v>
      </c>
      <c r="B1555" t="s">
        <v>109</v>
      </c>
      <c r="C1555" s="109">
        <f>IF(ISBLANK(K1555),IFERROR(VLOOKUP(I1555,FS_input_data!$C$307:$N$397,Export!J1555,FALSE),""),K1555)</f>
        <v>14</v>
      </c>
      <c r="D1555" s="6" t="b">
        <v>1</v>
      </c>
      <c r="E1555" t="s">
        <v>1561</v>
      </c>
      <c r="F1555" t="s">
        <v>1565</v>
      </c>
      <c r="G1555" s="6" t="b">
        <f t="shared" si="56"/>
        <v>0</v>
      </c>
      <c r="H1555" s="6" t="s">
        <v>1540</v>
      </c>
      <c r="I1555" t="s">
        <v>1565</v>
      </c>
      <c r="J1555">
        <v>3</v>
      </c>
      <c r="L1555" s="9" t="e">
        <f t="shared" si="53"/>
        <v>#VALUE!</v>
      </c>
    </row>
    <row r="1556" spans="1:12" x14ac:dyDescent="0.35">
      <c r="A1556">
        <f t="shared" si="54"/>
        <v>1555</v>
      </c>
      <c r="B1556" t="s">
        <v>110</v>
      </c>
      <c r="C1556" s="109" t="str">
        <f>IF(ISBLANK(K1556),IFERROR(VLOOKUP(I1556,FS_input_data!$C$307:$N$397,Export!J1556,FALSE),""),K1556)</f>
        <v/>
      </c>
      <c r="D1556" s="6"/>
      <c r="F1556" t="s">
        <v>1565</v>
      </c>
      <c r="G1556" s="6" t="b">
        <f t="shared" si="56"/>
        <v>0</v>
      </c>
      <c r="H1556" s="6" t="s">
        <v>1540</v>
      </c>
      <c r="I1556" t="s">
        <v>1561</v>
      </c>
      <c r="J1556" t="s">
        <v>1561</v>
      </c>
      <c r="L1556">
        <f t="shared" si="53"/>
        <v>1</v>
      </c>
    </row>
    <row r="1557" spans="1:12" x14ac:dyDescent="0.35">
      <c r="A1557" s="9">
        <f t="shared" si="54"/>
        <v>1556</v>
      </c>
      <c r="B1557" t="s">
        <v>111</v>
      </c>
      <c r="C1557" s="109">
        <f>IF(ISBLANK(K1557),IFERROR(VLOOKUP(I1557,FS_input_data!$C$307:$N$397,Export!J1557,FALSE),""),K1557)</f>
        <v>114</v>
      </c>
      <c r="D1557" s="6" t="b">
        <v>1</v>
      </c>
      <c r="E1557" t="s">
        <v>1561</v>
      </c>
      <c r="F1557" t="s">
        <v>1565</v>
      </c>
      <c r="G1557" s="6" t="b">
        <f t="shared" si="56"/>
        <v>0</v>
      </c>
      <c r="H1557" s="6" t="s">
        <v>1540</v>
      </c>
      <c r="I1557" t="s">
        <v>1565</v>
      </c>
      <c r="J1557">
        <v>4</v>
      </c>
      <c r="L1557" s="9" t="e">
        <f t="shared" si="53"/>
        <v>#VALUE!</v>
      </c>
    </row>
    <row r="1558" spans="1:12" x14ac:dyDescent="0.35">
      <c r="A1558">
        <f t="shared" si="54"/>
        <v>1557</v>
      </c>
      <c r="B1558" t="s">
        <v>112</v>
      </c>
      <c r="C1558" s="109" t="str">
        <f>IF(ISBLANK(K1558),IFERROR(VLOOKUP(I1558,FS_input_data!$C$307:$N$397,Export!J1558,FALSE),""),K1558)</f>
        <v/>
      </c>
      <c r="D1558" s="6"/>
      <c r="E1558" t="s">
        <v>1561</v>
      </c>
      <c r="F1558" t="s">
        <v>1565</v>
      </c>
      <c r="G1558" s="6" t="b">
        <f t="shared" si="56"/>
        <v>0</v>
      </c>
      <c r="H1558" s="6" t="s">
        <v>1540</v>
      </c>
      <c r="I1558" t="s">
        <v>1561</v>
      </c>
      <c r="J1558" t="s">
        <v>1561</v>
      </c>
      <c r="L1558">
        <f t="shared" si="53"/>
        <v>1</v>
      </c>
    </row>
    <row r="1559" spans="1:12" x14ac:dyDescent="0.35">
      <c r="A1559">
        <f t="shared" si="54"/>
        <v>1558</v>
      </c>
      <c r="B1559" t="s">
        <v>528</v>
      </c>
      <c r="C1559" s="109" t="str">
        <f>IF(ISBLANK(K1559),IFERROR(VLOOKUP(I1559,FS_input_data!$C$307:$N$397,Export!J1559,FALSE),""),K1559)</f>
        <v/>
      </c>
      <c r="D1559" s="6"/>
      <c r="E1559" t="s">
        <v>1561</v>
      </c>
      <c r="F1559" t="s">
        <v>1565</v>
      </c>
      <c r="G1559" s="6" t="b">
        <f t="shared" si="56"/>
        <v>0</v>
      </c>
      <c r="H1559" s="6" t="s">
        <v>1540</v>
      </c>
      <c r="I1559" t="s">
        <v>1561</v>
      </c>
      <c r="J1559" t="s">
        <v>1561</v>
      </c>
      <c r="L1559">
        <f t="shared" si="53"/>
        <v>1</v>
      </c>
    </row>
    <row r="1560" spans="1:12" x14ac:dyDescent="0.35">
      <c r="A1560">
        <f t="shared" si="54"/>
        <v>1559</v>
      </c>
      <c r="B1560" t="s">
        <v>529</v>
      </c>
      <c r="C1560" s="109" t="str">
        <f>IF(ISBLANK(K1560),IFERROR(VLOOKUP(I1560,FS_input_data!$C$307:$N$397,Export!J1560,FALSE),""),K1560)</f>
        <v/>
      </c>
      <c r="D1560" s="6"/>
      <c r="E1560" t="s">
        <v>1561</v>
      </c>
      <c r="F1560" t="s">
        <v>1565</v>
      </c>
      <c r="G1560" s="6" t="b">
        <f t="shared" si="56"/>
        <v>0</v>
      </c>
      <c r="H1560" s="6" t="s">
        <v>1540</v>
      </c>
      <c r="I1560" t="s">
        <v>1561</v>
      </c>
      <c r="J1560" t="s">
        <v>1561</v>
      </c>
      <c r="L1560">
        <f t="shared" si="53"/>
        <v>1</v>
      </c>
    </row>
    <row r="1561" spans="1:12" x14ac:dyDescent="0.35">
      <c r="A1561">
        <f t="shared" si="54"/>
        <v>1560</v>
      </c>
      <c r="B1561" t="s">
        <v>526</v>
      </c>
      <c r="C1561" s="109" t="str">
        <f>IF(ISBLANK(K1561),IFERROR(VLOOKUP(I1561,FS_input_data!$C$307:$N$397,Export!J1561,FALSE),""),K1561)</f>
        <v/>
      </c>
      <c r="D1561" s="6"/>
      <c r="E1561" t="s">
        <v>1564</v>
      </c>
      <c r="F1561" t="s">
        <v>1564</v>
      </c>
      <c r="G1561" s="6" t="b">
        <f t="shared" ref="G1561:G1570" si="57">IF(capital_xml,AND($C$1565=0,$C$1567=0),TRUE)</f>
        <v>0</v>
      </c>
      <c r="H1561" s="6" t="s">
        <v>1540</v>
      </c>
      <c r="I1561" t="s">
        <v>1561</v>
      </c>
      <c r="J1561" t="s">
        <v>1561</v>
      </c>
      <c r="L1561" s="26" t="e">
        <f t="shared" si="53"/>
        <v>#VALUE!</v>
      </c>
    </row>
    <row r="1562" spans="1:12" x14ac:dyDescent="0.35">
      <c r="A1562" s="9">
        <f t="shared" si="54"/>
        <v>1561</v>
      </c>
      <c r="B1562" t="s">
        <v>101</v>
      </c>
      <c r="C1562" s="109" t="str">
        <f>IF(ISBLANK(K1562),IFERROR(VLOOKUP(I1562,FS_input_data!$C$307:$N$397,Export!J1562,FALSE),""),K1562)</f>
        <v>Ib_PozycjaUszczegolawiajaca_2</v>
      </c>
      <c r="D1562" s="6" t="b">
        <v>1</v>
      </c>
      <c r="E1562" t="s">
        <v>1561</v>
      </c>
      <c r="F1562" t="s">
        <v>1564</v>
      </c>
      <c r="G1562" s="6" t="b">
        <f t="shared" si="57"/>
        <v>0</v>
      </c>
      <c r="H1562" s="6" t="s">
        <v>1540</v>
      </c>
      <c r="I1562" t="s">
        <v>1564</v>
      </c>
      <c r="J1562">
        <v>2</v>
      </c>
      <c r="L1562" s="9" t="e">
        <f t="shared" si="53"/>
        <v>#VALUE!</v>
      </c>
    </row>
    <row r="1563" spans="1:12" x14ac:dyDescent="0.35">
      <c r="A1563">
        <f t="shared" si="54"/>
        <v>1562</v>
      </c>
      <c r="B1563" t="s">
        <v>102</v>
      </c>
      <c r="C1563" s="109" t="str">
        <f>IF(ISBLANK(K1563),IFERROR(VLOOKUP(I1563,FS_input_data!$C$307:$N$397,Export!J1563,FALSE),""),K1563)</f>
        <v/>
      </c>
      <c r="D1563" s="6"/>
      <c r="E1563" t="s">
        <v>1561</v>
      </c>
      <c r="F1563" t="s">
        <v>1564</v>
      </c>
      <c r="G1563" s="6" t="b">
        <f t="shared" si="57"/>
        <v>0</v>
      </c>
      <c r="H1563" s="6" t="s">
        <v>1540</v>
      </c>
      <c r="I1563" t="s">
        <v>1561</v>
      </c>
      <c r="J1563" t="s">
        <v>1561</v>
      </c>
      <c r="L1563">
        <f t="shared" si="53"/>
        <v>1</v>
      </c>
    </row>
    <row r="1564" spans="1:12" x14ac:dyDescent="0.35">
      <c r="A1564">
        <f t="shared" si="54"/>
        <v>1563</v>
      </c>
      <c r="B1564" t="s">
        <v>527</v>
      </c>
      <c r="C1564" s="109" t="str">
        <f>IF(ISBLANK(K1564),IFERROR(VLOOKUP(I1564,FS_input_data!$C$307:$N$397,Export!J1564,FALSE),""),K1564)</f>
        <v/>
      </c>
      <c r="D1564" s="6"/>
      <c r="F1564" t="s">
        <v>1564</v>
      </c>
      <c r="G1564" s="6" t="b">
        <f t="shared" si="57"/>
        <v>0</v>
      </c>
      <c r="H1564" s="6" t="s">
        <v>1540</v>
      </c>
      <c r="I1564" t="s">
        <v>1561</v>
      </c>
      <c r="J1564" t="s">
        <v>1561</v>
      </c>
      <c r="L1564" s="9" t="e">
        <f t="shared" si="53"/>
        <v>#VALUE!</v>
      </c>
    </row>
    <row r="1565" spans="1:12" x14ac:dyDescent="0.35">
      <c r="A1565" s="9">
        <f t="shared" si="54"/>
        <v>1564</v>
      </c>
      <c r="B1565" t="s">
        <v>109</v>
      </c>
      <c r="C1565" s="109">
        <f>IF(ISBLANK(K1565),IFERROR(VLOOKUP(I1565,FS_input_data!$C$307:$N$397,Export!J1565,FALSE),""),K1565)</f>
        <v>15</v>
      </c>
      <c r="D1565" s="6" t="b">
        <v>1</v>
      </c>
      <c r="E1565" t="s">
        <v>1561</v>
      </c>
      <c r="F1565" t="s">
        <v>1564</v>
      </c>
      <c r="G1565" s="6" t="b">
        <f t="shared" si="57"/>
        <v>0</v>
      </c>
      <c r="H1565" s="6" t="s">
        <v>1540</v>
      </c>
      <c r="I1565" t="s">
        <v>1564</v>
      </c>
      <c r="J1565">
        <v>3</v>
      </c>
      <c r="L1565" s="9" t="e">
        <f t="shared" si="53"/>
        <v>#VALUE!</v>
      </c>
    </row>
    <row r="1566" spans="1:12" x14ac:dyDescent="0.35">
      <c r="A1566">
        <f t="shared" si="54"/>
        <v>1565</v>
      </c>
      <c r="B1566" t="s">
        <v>110</v>
      </c>
      <c r="C1566" s="109" t="str">
        <f>IF(ISBLANK(K1566),IFERROR(VLOOKUP(I1566,FS_input_data!$C$307:$N$397,Export!J1566,FALSE),""),K1566)</f>
        <v/>
      </c>
      <c r="D1566" s="6"/>
      <c r="F1566" t="s">
        <v>1564</v>
      </c>
      <c r="G1566" s="6" t="b">
        <f t="shared" si="57"/>
        <v>0</v>
      </c>
      <c r="H1566" s="6" t="s">
        <v>1540</v>
      </c>
      <c r="I1566" t="s">
        <v>1561</v>
      </c>
      <c r="J1566" t="s">
        <v>1561</v>
      </c>
      <c r="L1566">
        <f t="shared" si="53"/>
        <v>1</v>
      </c>
    </row>
    <row r="1567" spans="1:12" x14ac:dyDescent="0.35">
      <c r="A1567" s="9">
        <f t="shared" si="54"/>
        <v>1566</v>
      </c>
      <c r="B1567" t="s">
        <v>111</v>
      </c>
      <c r="C1567" s="109">
        <f>IF(ISBLANK(K1567),IFERROR(VLOOKUP(I1567,FS_input_data!$C$307:$N$397,Export!J1567,FALSE),""),K1567)</f>
        <v>115</v>
      </c>
      <c r="D1567" s="6" t="b">
        <v>1</v>
      </c>
      <c r="E1567" t="s">
        <v>1561</v>
      </c>
      <c r="F1567" t="s">
        <v>1564</v>
      </c>
      <c r="G1567" s="6" t="b">
        <f t="shared" si="57"/>
        <v>0</v>
      </c>
      <c r="H1567" s="6" t="s">
        <v>1540</v>
      </c>
      <c r="I1567" t="s">
        <v>1564</v>
      </c>
      <c r="J1567">
        <v>4</v>
      </c>
      <c r="L1567" s="9" t="e">
        <f t="shared" si="53"/>
        <v>#VALUE!</v>
      </c>
    </row>
    <row r="1568" spans="1:12" x14ac:dyDescent="0.35">
      <c r="A1568">
        <f t="shared" si="54"/>
        <v>1567</v>
      </c>
      <c r="B1568" t="s">
        <v>112</v>
      </c>
      <c r="C1568" s="109" t="str">
        <f>IF(ISBLANK(K1568),IFERROR(VLOOKUP(I1568,FS_input_data!$C$307:$N$397,Export!J1568,FALSE),""),K1568)</f>
        <v/>
      </c>
      <c r="D1568" s="6"/>
      <c r="E1568" t="s">
        <v>1561</v>
      </c>
      <c r="F1568" t="s">
        <v>1564</v>
      </c>
      <c r="G1568" s="6" t="b">
        <f t="shared" si="57"/>
        <v>0</v>
      </c>
      <c r="H1568" s="6" t="s">
        <v>1540</v>
      </c>
      <c r="I1568" t="s">
        <v>1561</v>
      </c>
      <c r="J1568" t="s">
        <v>1561</v>
      </c>
      <c r="L1568">
        <f t="shared" si="53"/>
        <v>1</v>
      </c>
    </row>
    <row r="1569" spans="1:12" x14ac:dyDescent="0.35">
      <c r="A1569">
        <f t="shared" si="54"/>
        <v>1568</v>
      </c>
      <c r="B1569" t="s">
        <v>528</v>
      </c>
      <c r="C1569" s="109" t="str">
        <f>IF(ISBLANK(K1569),IFERROR(VLOOKUP(I1569,FS_input_data!$C$307:$N$397,Export!J1569,FALSE),""),K1569)</f>
        <v/>
      </c>
      <c r="D1569" s="6"/>
      <c r="E1569" t="s">
        <v>1561</v>
      </c>
      <c r="F1569" t="s">
        <v>1564</v>
      </c>
      <c r="G1569" s="6" t="b">
        <f t="shared" si="57"/>
        <v>0</v>
      </c>
      <c r="H1569" s="6" t="s">
        <v>1540</v>
      </c>
      <c r="I1569" t="s">
        <v>1561</v>
      </c>
      <c r="J1569" t="s">
        <v>1561</v>
      </c>
      <c r="L1569">
        <f t="shared" si="53"/>
        <v>1</v>
      </c>
    </row>
    <row r="1570" spans="1:12" x14ac:dyDescent="0.35">
      <c r="A1570">
        <f t="shared" si="54"/>
        <v>1569</v>
      </c>
      <c r="B1570" t="s">
        <v>529</v>
      </c>
      <c r="C1570" s="109" t="str">
        <f>IF(ISBLANK(K1570),IFERROR(VLOOKUP(I1570,FS_input_data!$C$307:$N$397,Export!J1570,FALSE),""),K1570)</f>
        <v/>
      </c>
      <c r="D1570" s="6"/>
      <c r="E1570" t="s">
        <v>1561</v>
      </c>
      <c r="F1570" t="s">
        <v>1564</v>
      </c>
      <c r="G1570" s="6" t="b">
        <f t="shared" si="57"/>
        <v>0</v>
      </c>
      <c r="H1570" s="6" t="s">
        <v>1540</v>
      </c>
      <c r="I1570" t="s">
        <v>1561</v>
      </c>
      <c r="J1570" t="s">
        <v>1561</v>
      </c>
      <c r="L1570">
        <f t="shared" si="53"/>
        <v>1</v>
      </c>
    </row>
    <row r="1571" spans="1:12" x14ac:dyDescent="0.35">
      <c r="A1571">
        <f t="shared" si="54"/>
        <v>1570</v>
      </c>
      <c r="B1571" t="s">
        <v>526</v>
      </c>
      <c r="C1571" s="109" t="str">
        <f>IF(ISBLANK(K1571),IFERROR(VLOOKUP(I1571,FS_input_data!$C$307:$N$397,Export!J1571,FALSE),""),K1571)</f>
        <v/>
      </c>
      <c r="D1571" s="6"/>
      <c r="E1571" t="s">
        <v>1566</v>
      </c>
      <c r="F1571" t="s">
        <v>1566</v>
      </c>
      <c r="G1571" s="6" t="b">
        <f t="shared" ref="G1571:G1582" si="58">IF(capital_xml,AND($C$1575=0,$C$1577=0),TRUE)</f>
        <v>0</v>
      </c>
      <c r="H1571" s="6" t="s">
        <v>1540</v>
      </c>
      <c r="I1571" t="s">
        <v>1561</v>
      </c>
      <c r="J1571" t="s">
        <v>1561</v>
      </c>
      <c r="L1571" s="26" t="e">
        <f t="shared" si="53"/>
        <v>#VALUE!</v>
      </c>
    </row>
    <row r="1572" spans="1:12" x14ac:dyDescent="0.35">
      <c r="A1572" s="9">
        <f t="shared" si="54"/>
        <v>1571</v>
      </c>
      <c r="B1572" t="s">
        <v>101</v>
      </c>
      <c r="C1572" s="109" t="str">
        <f>IF(ISBLANK(K1572),IFERROR(VLOOKUP(I1572,FS_input_data!$C$307:$N$397,Export!J1572,FALSE),""),K1572)</f>
        <v>Ib_PozycjaUszczegolawiajaca_3</v>
      </c>
      <c r="D1572" s="6" t="b">
        <v>1</v>
      </c>
      <c r="E1572" t="s">
        <v>1561</v>
      </c>
      <c r="F1572" t="s">
        <v>1566</v>
      </c>
      <c r="G1572" s="6" t="b">
        <f t="shared" si="58"/>
        <v>0</v>
      </c>
      <c r="H1572" s="6" t="s">
        <v>1540</v>
      </c>
      <c r="I1572" t="s">
        <v>1566</v>
      </c>
      <c r="J1572">
        <v>2</v>
      </c>
      <c r="L1572" s="9" t="e">
        <f t="shared" si="53"/>
        <v>#VALUE!</v>
      </c>
    </row>
    <row r="1573" spans="1:12" x14ac:dyDescent="0.35">
      <c r="A1573">
        <f t="shared" si="54"/>
        <v>1572</v>
      </c>
      <c r="B1573" t="s">
        <v>102</v>
      </c>
      <c r="C1573" s="109" t="str">
        <f>IF(ISBLANK(K1573),IFERROR(VLOOKUP(I1573,FS_input_data!$C$307:$N$397,Export!J1573,FALSE),""),K1573)</f>
        <v/>
      </c>
      <c r="D1573" s="6"/>
      <c r="E1573" t="s">
        <v>1561</v>
      </c>
      <c r="F1573" t="s">
        <v>1566</v>
      </c>
      <c r="G1573" s="6" t="b">
        <f t="shared" si="58"/>
        <v>0</v>
      </c>
      <c r="H1573" s="6" t="s">
        <v>1540</v>
      </c>
      <c r="I1573" t="s">
        <v>1561</v>
      </c>
      <c r="J1573" t="s">
        <v>1561</v>
      </c>
      <c r="L1573">
        <f t="shared" si="53"/>
        <v>1</v>
      </c>
    </row>
    <row r="1574" spans="1:12" x14ac:dyDescent="0.35">
      <c r="A1574">
        <f t="shared" si="54"/>
        <v>1573</v>
      </c>
      <c r="B1574" t="s">
        <v>527</v>
      </c>
      <c r="C1574" s="109" t="str">
        <f>IF(ISBLANK(K1574),IFERROR(VLOOKUP(I1574,FS_input_data!$C$307:$N$397,Export!J1574,FALSE),""),K1574)</f>
        <v/>
      </c>
      <c r="D1574" s="6"/>
      <c r="F1574" t="s">
        <v>1566</v>
      </c>
      <c r="G1574" s="6" t="b">
        <f t="shared" si="58"/>
        <v>0</v>
      </c>
      <c r="H1574" s="6" t="s">
        <v>1540</v>
      </c>
      <c r="I1574" t="s">
        <v>1561</v>
      </c>
      <c r="J1574" t="s">
        <v>1561</v>
      </c>
      <c r="L1574" s="9" t="e">
        <f t="shared" si="53"/>
        <v>#VALUE!</v>
      </c>
    </row>
    <row r="1575" spans="1:12" x14ac:dyDescent="0.35">
      <c r="A1575" s="9">
        <f t="shared" si="54"/>
        <v>1574</v>
      </c>
      <c r="B1575" t="s">
        <v>109</v>
      </c>
      <c r="C1575" s="109">
        <f>IF(ISBLANK(K1575),IFERROR(VLOOKUP(I1575,FS_input_data!$C$307:$N$397,Export!J1575,FALSE),""),K1575)</f>
        <v>16</v>
      </c>
      <c r="D1575" s="6" t="b">
        <v>1</v>
      </c>
      <c r="E1575" t="s">
        <v>1561</v>
      </c>
      <c r="F1575" t="s">
        <v>1566</v>
      </c>
      <c r="G1575" s="6" t="b">
        <f t="shared" si="58"/>
        <v>0</v>
      </c>
      <c r="H1575" s="6" t="s">
        <v>1540</v>
      </c>
      <c r="I1575" t="s">
        <v>1566</v>
      </c>
      <c r="J1575">
        <v>3</v>
      </c>
      <c r="L1575" s="9" t="e">
        <f t="shared" si="53"/>
        <v>#VALUE!</v>
      </c>
    </row>
    <row r="1576" spans="1:12" x14ac:dyDescent="0.35">
      <c r="A1576">
        <f t="shared" si="54"/>
        <v>1575</v>
      </c>
      <c r="B1576" t="s">
        <v>110</v>
      </c>
      <c r="C1576" s="109" t="str">
        <f>IF(ISBLANK(K1576),IFERROR(VLOOKUP(I1576,FS_input_data!$C$307:$N$397,Export!J1576,FALSE),""),K1576)</f>
        <v/>
      </c>
      <c r="D1576" s="6"/>
      <c r="F1576" t="s">
        <v>1566</v>
      </c>
      <c r="G1576" s="6" t="b">
        <f t="shared" si="58"/>
        <v>0</v>
      </c>
      <c r="H1576" s="6" t="s">
        <v>1540</v>
      </c>
      <c r="I1576" t="s">
        <v>1561</v>
      </c>
      <c r="J1576" t="s">
        <v>1561</v>
      </c>
      <c r="L1576">
        <f t="shared" si="53"/>
        <v>1</v>
      </c>
    </row>
    <row r="1577" spans="1:12" x14ac:dyDescent="0.35">
      <c r="A1577" s="9">
        <f t="shared" si="54"/>
        <v>1576</v>
      </c>
      <c r="B1577" t="s">
        <v>111</v>
      </c>
      <c r="C1577" s="109">
        <f>IF(ISBLANK(K1577),IFERROR(VLOOKUP(I1577,FS_input_data!$C$307:$N$397,Export!J1577,FALSE),""),K1577)</f>
        <v>116</v>
      </c>
      <c r="D1577" s="6" t="b">
        <v>1</v>
      </c>
      <c r="E1577" t="s">
        <v>1561</v>
      </c>
      <c r="F1577" t="s">
        <v>1566</v>
      </c>
      <c r="G1577" s="6" t="b">
        <f t="shared" si="58"/>
        <v>0</v>
      </c>
      <c r="H1577" s="6" t="s">
        <v>1540</v>
      </c>
      <c r="I1577" t="s">
        <v>1566</v>
      </c>
      <c r="J1577">
        <v>4</v>
      </c>
      <c r="L1577" s="9" t="e">
        <f t="shared" si="53"/>
        <v>#VALUE!</v>
      </c>
    </row>
    <row r="1578" spans="1:12" x14ac:dyDescent="0.35">
      <c r="A1578">
        <f t="shared" si="54"/>
        <v>1577</v>
      </c>
      <c r="B1578" t="s">
        <v>112</v>
      </c>
      <c r="C1578" s="109" t="str">
        <f>IF(ISBLANK(K1578),IFERROR(VLOOKUP(I1578,FS_input_data!$C$307:$N$397,Export!J1578,FALSE),""),K1578)</f>
        <v/>
      </c>
      <c r="D1578" s="6"/>
      <c r="E1578" t="s">
        <v>1561</v>
      </c>
      <c r="F1578" t="s">
        <v>1566</v>
      </c>
      <c r="G1578" s="6" t="b">
        <f t="shared" si="58"/>
        <v>0</v>
      </c>
      <c r="H1578" s="6" t="s">
        <v>1540</v>
      </c>
      <c r="I1578" t="s">
        <v>1561</v>
      </c>
      <c r="J1578" t="s">
        <v>1561</v>
      </c>
      <c r="L1578">
        <f t="shared" si="53"/>
        <v>1</v>
      </c>
    </row>
    <row r="1579" spans="1:12" x14ac:dyDescent="0.35">
      <c r="A1579">
        <f t="shared" si="54"/>
        <v>1578</v>
      </c>
      <c r="B1579" t="s">
        <v>528</v>
      </c>
      <c r="C1579" s="109" t="str">
        <f>IF(ISBLANK(K1579),IFERROR(VLOOKUP(I1579,FS_input_data!$C$307:$N$397,Export!J1579,FALSE),""),K1579)</f>
        <v/>
      </c>
      <c r="D1579" s="6"/>
      <c r="E1579" t="s">
        <v>1561</v>
      </c>
      <c r="F1579" t="s">
        <v>1566</v>
      </c>
      <c r="G1579" s="6" t="b">
        <f t="shared" si="58"/>
        <v>0</v>
      </c>
      <c r="H1579" s="6" t="s">
        <v>1540</v>
      </c>
      <c r="I1579" t="s">
        <v>1561</v>
      </c>
      <c r="J1579" t="s">
        <v>1561</v>
      </c>
      <c r="L1579">
        <f t="shared" si="53"/>
        <v>1</v>
      </c>
    </row>
    <row r="1580" spans="1:12" x14ac:dyDescent="0.35">
      <c r="A1580">
        <f t="shared" si="54"/>
        <v>1579</v>
      </c>
      <c r="B1580" t="s">
        <v>529</v>
      </c>
      <c r="C1580" s="109" t="str">
        <f>IF(ISBLANK(K1580),IFERROR(VLOOKUP(I1580,FS_input_data!$C$307:$N$397,Export!J1580,FALSE),""),K1580)</f>
        <v/>
      </c>
      <c r="D1580" s="6"/>
      <c r="E1580" t="s">
        <v>1561</v>
      </c>
      <c r="F1580" t="s">
        <v>1566</v>
      </c>
      <c r="G1580" s="6" t="b">
        <f t="shared" si="58"/>
        <v>0</v>
      </c>
      <c r="H1580" s="6" t="s">
        <v>1540</v>
      </c>
      <c r="I1580" t="s">
        <v>1561</v>
      </c>
      <c r="J1580" t="s">
        <v>1561</v>
      </c>
      <c r="L1580">
        <f t="shared" si="53"/>
        <v>1</v>
      </c>
    </row>
    <row r="1581" spans="1:12" x14ac:dyDescent="0.35">
      <c r="A1581">
        <f t="shared" si="54"/>
        <v>1580</v>
      </c>
      <c r="B1581" t="s">
        <v>534</v>
      </c>
      <c r="C1581" s="109" t="str">
        <f>IF(ISBLANK(K1581),IFERROR(VLOOKUP(I1581,FS_input_data!$C$307:$N$397,Export!J1581,FALSE),""),K1581)</f>
        <v/>
      </c>
      <c r="D1581" s="6"/>
      <c r="E1581" t="s">
        <v>1561</v>
      </c>
      <c r="F1581" s="107"/>
      <c r="G1581" t="b">
        <f t="shared" si="58"/>
        <v>0</v>
      </c>
      <c r="H1581" s="6" t="s">
        <v>1540</v>
      </c>
      <c r="I1581" t="s">
        <v>1561</v>
      </c>
      <c r="J1581" t="s">
        <v>1561</v>
      </c>
      <c r="L1581">
        <f t="shared" si="53"/>
        <v>1</v>
      </c>
    </row>
    <row r="1582" spans="1:12" x14ac:dyDescent="0.35">
      <c r="A1582">
        <f t="shared" si="54"/>
        <v>1581</v>
      </c>
      <c r="B1582" t="s">
        <v>535</v>
      </c>
      <c r="C1582" s="109" t="str">
        <f>IF(ISBLANK(K1582),IFERROR(VLOOKUP(I1582,FS_input_data!$C$307:$N$397,Export!J1582,FALSE),""),K1582)</f>
        <v/>
      </c>
      <c r="D1582" s="6"/>
      <c r="E1582" t="s">
        <v>1561</v>
      </c>
      <c r="F1582" s="107"/>
      <c r="G1582" t="b">
        <f t="shared" si="58"/>
        <v>0</v>
      </c>
      <c r="H1582" s="6" t="s">
        <v>1540</v>
      </c>
      <c r="I1582" t="s">
        <v>1561</v>
      </c>
      <c r="J1582" t="s">
        <v>1561</v>
      </c>
      <c r="L1582">
        <f t="shared" si="53"/>
        <v>1</v>
      </c>
    </row>
    <row r="1583" spans="1:12" x14ac:dyDescent="0.35">
      <c r="A1583">
        <f t="shared" si="54"/>
        <v>1582</v>
      </c>
      <c r="B1583" t="s">
        <v>536</v>
      </c>
      <c r="C1583" s="109" t="str">
        <f>IF(ISBLANK(K1583),IFERROR(VLOOKUP(I1583,FS_input_data!$C$307:$N$397,Export!J1583,FALSE),""),K1583)</f>
        <v/>
      </c>
      <c r="D1583" s="6"/>
      <c r="E1583" t="s">
        <v>1568</v>
      </c>
      <c r="F1583" s="107"/>
      <c r="G1583" t="b">
        <f t="shared" ref="G1583:G1589" si="59">IF(capital_xml,AND($C$1584=0,$C$1586=0),TRUE)</f>
        <v>0</v>
      </c>
      <c r="H1583" s="6" t="s">
        <v>1540</v>
      </c>
      <c r="I1583" t="s">
        <v>1561</v>
      </c>
      <c r="J1583" t="s">
        <v>1561</v>
      </c>
      <c r="L1583" s="26" t="e">
        <f t="shared" si="53"/>
        <v>#VALUE!</v>
      </c>
    </row>
    <row r="1584" spans="1:12" x14ac:dyDescent="0.35">
      <c r="A1584" s="9">
        <f t="shared" si="54"/>
        <v>1583</v>
      </c>
      <c r="B1584" t="s">
        <v>109</v>
      </c>
      <c r="C1584" s="109">
        <f>IF(ISBLANK(K1584),IFERROR(VLOOKUP(I1584,FS_input_data!$C$307:$N$397,Export!J1584,FALSE),""),K1584)</f>
        <v>-14</v>
      </c>
      <c r="D1584" s="6" t="b">
        <v>1</v>
      </c>
      <c r="E1584" t="s">
        <v>1561</v>
      </c>
      <c r="F1584" s="107"/>
      <c r="G1584" t="b">
        <f t="shared" si="59"/>
        <v>0</v>
      </c>
      <c r="H1584" s="6" t="s">
        <v>1540</v>
      </c>
      <c r="I1584" t="s">
        <v>1567</v>
      </c>
      <c r="J1584">
        <v>3</v>
      </c>
      <c r="L1584" s="9" t="e">
        <f t="shared" si="53"/>
        <v>#VALUE!</v>
      </c>
    </row>
    <row r="1585" spans="1:12" x14ac:dyDescent="0.35">
      <c r="A1585">
        <f t="shared" si="54"/>
        <v>1584</v>
      </c>
      <c r="B1585" t="s">
        <v>110</v>
      </c>
      <c r="C1585" s="109" t="str">
        <f>IF(ISBLANK(K1585),IFERROR(VLOOKUP(I1585,FS_input_data!$C$307:$N$397,Export!J1585,FALSE),""),K1585)</f>
        <v/>
      </c>
      <c r="D1585" s="6"/>
      <c r="F1585" s="107"/>
      <c r="G1585" t="b">
        <f t="shared" si="59"/>
        <v>0</v>
      </c>
      <c r="H1585" s="6" t="s">
        <v>1540</v>
      </c>
      <c r="I1585" t="s">
        <v>1561</v>
      </c>
      <c r="J1585" t="s">
        <v>1561</v>
      </c>
      <c r="L1585">
        <f t="shared" si="53"/>
        <v>1</v>
      </c>
    </row>
    <row r="1586" spans="1:12" x14ac:dyDescent="0.35">
      <c r="A1586" s="9">
        <f t="shared" si="54"/>
        <v>1585</v>
      </c>
      <c r="B1586" t="s">
        <v>111</v>
      </c>
      <c r="C1586" s="109">
        <f>IF(ISBLANK(K1586),IFERROR(VLOOKUP(I1586,FS_input_data!$C$307:$N$397,Export!J1586,FALSE),""),K1586)</f>
        <v>86</v>
      </c>
      <c r="D1586" s="6" t="b">
        <v>1</v>
      </c>
      <c r="E1586" t="s">
        <v>1561</v>
      </c>
      <c r="F1586" s="107"/>
      <c r="G1586" t="b">
        <f t="shared" si="59"/>
        <v>0</v>
      </c>
      <c r="H1586" s="6" t="s">
        <v>1540</v>
      </c>
      <c r="I1586" t="s">
        <v>1567</v>
      </c>
      <c r="J1586">
        <v>4</v>
      </c>
      <c r="L1586" s="9" t="e">
        <f t="shared" si="53"/>
        <v>#VALUE!</v>
      </c>
    </row>
    <row r="1587" spans="1:12" x14ac:dyDescent="0.35">
      <c r="A1587">
        <f t="shared" si="54"/>
        <v>1586</v>
      </c>
      <c r="B1587" t="s">
        <v>112</v>
      </c>
      <c r="C1587" s="109" t="str">
        <f>IF(ISBLANK(K1587),IFERROR(VLOOKUP(I1587,FS_input_data!$C$307:$N$397,Export!J1587,FALSE),""),K1587)</f>
        <v/>
      </c>
      <c r="D1587" s="6"/>
      <c r="E1587" t="s">
        <v>1561</v>
      </c>
      <c r="F1587" s="107"/>
      <c r="G1587" t="b">
        <f t="shared" si="59"/>
        <v>0</v>
      </c>
      <c r="H1587" s="6" t="s">
        <v>1540</v>
      </c>
      <c r="I1587" t="s">
        <v>1561</v>
      </c>
      <c r="J1587" t="s">
        <v>1561</v>
      </c>
      <c r="L1587">
        <f t="shared" si="53"/>
        <v>1</v>
      </c>
    </row>
    <row r="1588" spans="1:12" x14ac:dyDescent="0.35">
      <c r="A1588">
        <f t="shared" si="54"/>
        <v>1587</v>
      </c>
      <c r="B1588" t="s">
        <v>537</v>
      </c>
      <c r="C1588" s="109" t="str">
        <f>IF(ISBLANK(K1588),IFERROR(VLOOKUP(I1588,FS_input_data!$C$307:$N$397,Export!J1588,FALSE),""),K1588)</f>
        <v/>
      </c>
      <c r="D1588" s="6"/>
      <c r="E1588" t="s">
        <v>1561</v>
      </c>
      <c r="F1588" s="107"/>
      <c r="G1588" t="b">
        <f t="shared" si="59"/>
        <v>0</v>
      </c>
      <c r="H1588" s="6" t="s">
        <v>1540</v>
      </c>
      <c r="I1588" t="s">
        <v>1561</v>
      </c>
      <c r="J1588" t="s">
        <v>1561</v>
      </c>
      <c r="L1588">
        <f t="shared" si="53"/>
        <v>1</v>
      </c>
    </row>
    <row r="1589" spans="1:12" x14ac:dyDescent="0.35">
      <c r="A1589">
        <f t="shared" si="54"/>
        <v>1588</v>
      </c>
      <c r="B1589" t="s">
        <v>538</v>
      </c>
      <c r="C1589" s="109" t="str">
        <f>IF(ISBLANK(K1589),IFERROR(VLOOKUP(I1589,FS_input_data!$C$307:$N$397,Export!J1589,FALSE),""),K1589)</f>
        <v/>
      </c>
      <c r="D1589" s="6"/>
      <c r="E1589" t="s">
        <v>1561</v>
      </c>
      <c r="F1589" s="107"/>
      <c r="G1589" t="b">
        <f t="shared" si="59"/>
        <v>0</v>
      </c>
      <c r="H1589" s="6" t="s">
        <v>1540</v>
      </c>
      <c r="I1589" t="s">
        <v>1561</v>
      </c>
      <c r="J1589" t="s">
        <v>1561</v>
      </c>
      <c r="L1589">
        <f t="shared" si="53"/>
        <v>1</v>
      </c>
    </row>
    <row r="1590" spans="1:12" x14ac:dyDescent="0.35">
      <c r="A1590">
        <f t="shared" si="54"/>
        <v>1589</v>
      </c>
      <c r="B1590" t="s">
        <v>539</v>
      </c>
      <c r="C1590" s="109" t="str">
        <f>IF(ISBLANK(K1590),IFERROR(VLOOKUP(I1590,FS_input_data!$C$307:$N$397,Export!J1590,FALSE),""),K1590)</f>
        <v/>
      </c>
      <c r="D1590" s="6"/>
      <c r="E1590" t="s">
        <v>1570</v>
      </c>
      <c r="F1590" s="107"/>
      <c r="G1590" t="b">
        <f>IF(capital_xml,AND($C$1591=0,$C$1593=0),TRUE)</f>
        <v>0</v>
      </c>
      <c r="H1590" s="6" t="s">
        <v>1540</v>
      </c>
      <c r="I1590" t="s">
        <v>1561</v>
      </c>
      <c r="J1590" t="s">
        <v>1561</v>
      </c>
      <c r="L1590" s="26" t="e">
        <f t="shared" si="53"/>
        <v>#VALUE!</v>
      </c>
    </row>
    <row r="1591" spans="1:12" x14ac:dyDescent="0.35">
      <c r="A1591" s="9">
        <f t="shared" si="54"/>
        <v>1590</v>
      </c>
      <c r="B1591" t="s">
        <v>109</v>
      </c>
      <c r="C1591" s="109">
        <f>IF(ISBLANK(K1591),IFERROR(VLOOKUP(I1591,FS_input_data!$C$307:$N$397,Export!J1591,FALSE),""),K1591)</f>
        <v>223</v>
      </c>
      <c r="D1591" s="6" t="b">
        <v>1</v>
      </c>
      <c r="E1591" t="s">
        <v>1561</v>
      </c>
      <c r="F1591" s="107"/>
      <c r="G1591" t="b">
        <f>IF(capital_xml,AND($C$1591=0,$C$1593=0),TRUE)</f>
        <v>0</v>
      </c>
      <c r="H1591" s="6" t="s">
        <v>1540</v>
      </c>
      <c r="I1591" t="s">
        <v>1569</v>
      </c>
      <c r="J1591">
        <v>3</v>
      </c>
      <c r="L1591" s="9" t="e">
        <f t="shared" si="53"/>
        <v>#VALUE!</v>
      </c>
    </row>
    <row r="1592" spans="1:12" x14ac:dyDescent="0.35">
      <c r="A1592">
        <f t="shared" si="54"/>
        <v>1591</v>
      </c>
      <c r="B1592" t="s">
        <v>110</v>
      </c>
      <c r="C1592" s="109" t="str">
        <f>IF(ISBLANK(K1592),IFERROR(VLOOKUP(I1592,FS_input_data!$C$307:$N$397,Export!J1592,FALSE),""),K1592)</f>
        <v/>
      </c>
      <c r="D1592" s="6"/>
      <c r="F1592" s="107"/>
      <c r="G1592" t="b">
        <f>IF(capital_xml,AND($C$1591=0,$C$1593=0),TRUE)</f>
        <v>0</v>
      </c>
      <c r="H1592" s="6" t="s">
        <v>1540</v>
      </c>
      <c r="I1592" t="s">
        <v>1561</v>
      </c>
      <c r="J1592" t="s">
        <v>1561</v>
      </c>
      <c r="L1592">
        <f t="shared" si="53"/>
        <v>1</v>
      </c>
    </row>
    <row r="1593" spans="1:12" x14ac:dyDescent="0.35">
      <c r="A1593" s="9">
        <f t="shared" si="54"/>
        <v>1592</v>
      </c>
      <c r="B1593" t="s">
        <v>111</v>
      </c>
      <c r="C1593" s="109">
        <f>IF(ISBLANK(K1593),IFERROR(VLOOKUP(I1593,FS_input_data!$C$307:$N$397,Export!J1593,FALSE),""),K1593)</f>
        <v>0</v>
      </c>
      <c r="D1593" s="6" t="b">
        <v>1</v>
      </c>
      <c r="E1593" t="s">
        <v>1561</v>
      </c>
      <c r="F1593" s="107"/>
      <c r="G1593" t="b">
        <f>IF(capital_xml,AND($C$1591=0,$C$1593=0),TRUE)</f>
        <v>0</v>
      </c>
      <c r="H1593" s="6" t="s">
        <v>1540</v>
      </c>
      <c r="I1593" t="s">
        <v>1569</v>
      </c>
      <c r="J1593">
        <v>4</v>
      </c>
      <c r="L1593" s="9" t="e">
        <f t="shared" si="53"/>
        <v>#VALUE!</v>
      </c>
    </row>
    <row r="1594" spans="1:12" x14ac:dyDescent="0.35">
      <c r="A1594">
        <f t="shared" si="54"/>
        <v>1593</v>
      </c>
      <c r="B1594" t="s">
        <v>112</v>
      </c>
      <c r="C1594" s="109" t="str">
        <f>IF(ISBLANK(K1594),IFERROR(VLOOKUP(I1594,FS_input_data!$C$307:$N$397,Export!J1594,FALSE),""),K1594)</f>
        <v/>
      </c>
      <c r="D1594" s="6"/>
      <c r="E1594" t="s">
        <v>1561</v>
      </c>
      <c r="F1594" s="107"/>
      <c r="G1594" t="b">
        <f>IF(capital_xml,AND($C$1591=0,$C$1593=0),TRUE)</f>
        <v>0</v>
      </c>
      <c r="H1594" s="6" t="s">
        <v>1540</v>
      </c>
      <c r="I1594" t="s">
        <v>1561</v>
      </c>
      <c r="J1594" t="s">
        <v>1561</v>
      </c>
      <c r="L1594">
        <f t="shared" si="53"/>
        <v>1</v>
      </c>
    </row>
    <row r="1595" spans="1:12" x14ac:dyDescent="0.35">
      <c r="A1595">
        <f t="shared" si="54"/>
        <v>1594</v>
      </c>
      <c r="B1595" t="s">
        <v>540</v>
      </c>
      <c r="C1595" s="109" t="str">
        <f>IF(ISBLANK(K1595),IFERROR(VLOOKUP(I1595,FS_input_data!$C$307:$N$397,Export!J1595,FALSE),""),K1595)</f>
        <v/>
      </c>
      <c r="D1595" s="6"/>
      <c r="E1595" t="s">
        <v>1572</v>
      </c>
      <c r="F1595" s="107"/>
      <c r="G1595" t="b">
        <f>IF(capital_xml,AND($C$1596=0,$C$1598=0),TRUE)</f>
        <v>0</v>
      </c>
      <c r="H1595" s="6" t="s">
        <v>1540</v>
      </c>
      <c r="I1595" t="s">
        <v>1561</v>
      </c>
      <c r="J1595" t="s">
        <v>1561</v>
      </c>
      <c r="L1595" s="26" t="e">
        <f t="shared" si="53"/>
        <v>#VALUE!</v>
      </c>
    </row>
    <row r="1596" spans="1:12" x14ac:dyDescent="0.35">
      <c r="A1596" s="9">
        <f t="shared" si="54"/>
        <v>1595</v>
      </c>
      <c r="B1596" t="s">
        <v>109</v>
      </c>
      <c r="C1596" s="109">
        <f>IF(ISBLANK(K1596),IFERROR(VLOOKUP(I1596,FS_input_data!$C$307:$N$397,Export!J1596,FALSE),""),K1596)</f>
        <v>23</v>
      </c>
      <c r="D1596" s="6" t="b">
        <v>1</v>
      </c>
      <c r="E1596" t="s">
        <v>1561</v>
      </c>
      <c r="F1596" s="107"/>
      <c r="G1596" t="b">
        <f>IF(capital_xml,AND($C$1596=0,$C$1598=0),TRUE)</f>
        <v>0</v>
      </c>
      <c r="H1596" s="6" t="s">
        <v>1540</v>
      </c>
      <c r="I1596" t="s">
        <v>1571</v>
      </c>
      <c r="J1596">
        <v>3</v>
      </c>
      <c r="L1596" s="9" t="e">
        <f t="shared" si="53"/>
        <v>#VALUE!</v>
      </c>
    </row>
    <row r="1597" spans="1:12" x14ac:dyDescent="0.35">
      <c r="A1597">
        <f t="shared" si="54"/>
        <v>1596</v>
      </c>
      <c r="B1597" t="s">
        <v>110</v>
      </c>
      <c r="C1597" s="109" t="str">
        <f>IF(ISBLANK(K1597),IFERROR(VLOOKUP(I1597,FS_input_data!$C$307:$N$397,Export!J1597,FALSE),""),K1597)</f>
        <v/>
      </c>
      <c r="D1597" s="6"/>
      <c r="F1597" s="107"/>
      <c r="G1597" t="b">
        <f>IF(capital_xml,AND($C$1596=0,$C$1598=0),TRUE)</f>
        <v>0</v>
      </c>
      <c r="H1597" s="6" t="s">
        <v>1540</v>
      </c>
      <c r="I1597" t="s">
        <v>1561</v>
      </c>
      <c r="J1597" t="s">
        <v>1561</v>
      </c>
      <c r="L1597">
        <f t="shared" si="53"/>
        <v>1</v>
      </c>
    </row>
    <row r="1598" spans="1:12" x14ac:dyDescent="0.35">
      <c r="A1598" s="9">
        <f t="shared" si="54"/>
        <v>1597</v>
      </c>
      <c r="B1598" t="s">
        <v>111</v>
      </c>
      <c r="C1598" s="109">
        <f>IF(ISBLANK(K1598),IFERROR(VLOOKUP(I1598,FS_input_data!$C$307:$N$397,Export!J1598,FALSE),""),K1598)</f>
        <v>223</v>
      </c>
      <c r="D1598" s="6" t="b">
        <v>1</v>
      </c>
      <c r="E1598" t="s">
        <v>1561</v>
      </c>
      <c r="F1598" s="107"/>
      <c r="G1598" t="b">
        <f>IF(capital_xml,AND($C$1596=0,$C$1598=0),TRUE)</f>
        <v>0</v>
      </c>
      <c r="H1598" s="6" t="s">
        <v>1540</v>
      </c>
      <c r="I1598" t="s">
        <v>1571</v>
      </c>
      <c r="J1598">
        <v>4</v>
      </c>
      <c r="L1598" s="9" t="e">
        <f t="shared" si="53"/>
        <v>#VALUE!</v>
      </c>
    </row>
    <row r="1599" spans="1:12" x14ac:dyDescent="0.35">
      <c r="A1599">
        <f t="shared" si="54"/>
        <v>1598</v>
      </c>
      <c r="B1599" t="s">
        <v>112</v>
      </c>
      <c r="C1599" s="109" t="str">
        <f>IF(ISBLANK(K1599),IFERROR(VLOOKUP(I1599,FS_input_data!$C$307:$N$397,Export!J1599,FALSE),""),K1599)</f>
        <v/>
      </c>
      <c r="D1599" s="6"/>
      <c r="E1599" t="s">
        <v>1561</v>
      </c>
      <c r="F1599" s="107"/>
      <c r="G1599" t="b">
        <f>IF(capital_xml,AND($C$1596=0,$C$1598=0),TRUE)</f>
        <v>0</v>
      </c>
      <c r="H1599" s="6" t="s">
        <v>1540</v>
      </c>
      <c r="I1599" t="s">
        <v>1561</v>
      </c>
      <c r="J1599" t="s">
        <v>1561</v>
      </c>
      <c r="L1599">
        <f t="shared" si="53"/>
        <v>1</v>
      </c>
    </row>
    <row r="1600" spans="1:12" x14ac:dyDescent="0.35">
      <c r="A1600">
        <f t="shared" si="54"/>
        <v>1599</v>
      </c>
      <c r="B1600" t="s">
        <v>541</v>
      </c>
      <c r="C1600" s="109" t="str">
        <f>IF(ISBLANK(K1600),IFERROR(VLOOKUP(I1600,FS_input_data!$C$307:$N$397,Export!J1600,FALSE),""),K1600)</f>
        <v/>
      </c>
      <c r="D1600" s="6"/>
      <c r="E1600" t="s">
        <v>1553</v>
      </c>
      <c r="F1600" s="107"/>
      <c r="G1600" t="b">
        <f>IF(capital_xml,AND($C$1601=0,$C$1603=0),TRUE)</f>
        <v>0</v>
      </c>
      <c r="H1600" s="6" t="s">
        <v>1540</v>
      </c>
      <c r="I1600" t="s">
        <v>1561</v>
      </c>
      <c r="J1600" t="s">
        <v>1561</v>
      </c>
      <c r="L1600" s="26" t="e">
        <f t="shared" si="53"/>
        <v>#VALUE!</v>
      </c>
    </row>
    <row r="1601" spans="1:12" x14ac:dyDescent="0.35">
      <c r="A1601" s="9">
        <f t="shared" si="54"/>
        <v>1600</v>
      </c>
      <c r="B1601" t="s">
        <v>109</v>
      </c>
      <c r="C1601" s="109">
        <f>IF(ISBLANK(K1601),IFERROR(VLOOKUP(I1601,FS_input_data!$C$307:$N$397,Export!J1601,FALSE),""),K1601)</f>
        <v>141</v>
      </c>
      <c r="D1601" s="6" t="b">
        <v>1</v>
      </c>
      <c r="E1601" t="s">
        <v>1561</v>
      </c>
      <c r="F1601" s="107"/>
      <c r="G1601" t="b">
        <f>IF(capital_xml,AND($C$1601=0,$C$1603=0),TRUE)</f>
        <v>0</v>
      </c>
      <c r="H1601" s="6" t="s">
        <v>1540</v>
      </c>
      <c r="I1601" t="s">
        <v>1573</v>
      </c>
      <c r="J1601">
        <v>3</v>
      </c>
      <c r="L1601" s="9" t="e">
        <f t="shared" si="53"/>
        <v>#VALUE!</v>
      </c>
    </row>
    <row r="1602" spans="1:12" x14ac:dyDescent="0.35">
      <c r="A1602">
        <f t="shared" si="54"/>
        <v>1601</v>
      </c>
      <c r="B1602" t="s">
        <v>110</v>
      </c>
      <c r="C1602" s="109" t="str">
        <f>IF(ISBLANK(K1602),IFERROR(VLOOKUP(I1602,FS_input_data!$C$307:$N$397,Export!J1602,FALSE),""),K1602)</f>
        <v/>
      </c>
      <c r="D1602" s="6"/>
      <c r="F1602" s="107"/>
      <c r="G1602" t="b">
        <f>IF(capital_xml,AND($C$1601=0,$C$1603=0),TRUE)</f>
        <v>0</v>
      </c>
      <c r="H1602" s="6" t="s">
        <v>1540</v>
      </c>
      <c r="I1602" t="s">
        <v>1561</v>
      </c>
      <c r="J1602" t="s">
        <v>1561</v>
      </c>
      <c r="L1602">
        <f t="shared" ref="L1602:L1665" si="60">FIND("/",B1602)</f>
        <v>1</v>
      </c>
    </row>
    <row r="1603" spans="1:12" x14ac:dyDescent="0.35">
      <c r="A1603" s="9">
        <f t="shared" ref="A1603:A1666" si="61">A1602+1</f>
        <v>1602</v>
      </c>
      <c r="B1603" t="s">
        <v>111</v>
      </c>
      <c r="C1603" s="109">
        <f>IF(ISBLANK(K1603),IFERROR(VLOOKUP(I1603,FS_input_data!$C$307:$N$397,Export!J1603,FALSE),""),K1603)</f>
        <v>741</v>
      </c>
      <c r="D1603" s="6" t="b">
        <v>1</v>
      </c>
      <c r="E1603" t="s">
        <v>1561</v>
      </c>
      <c r="F1603" s="107"/>
      <c r="G1603" t="b">
        <f>IF(capital_xml,AND($C$1601=0,$C$1603=0),TRUE)</f>
        <v>0</v>
      </c>
      <c r="H1603" s="6" t="s">
        <v>1540</v>
      </c>
      <c r="I1603" t="s">
        <v>1573</v>
      </c>
      <c r="J1603">
        <v>4</v>
      </c>
      <c r="L1603" s="9" t="e">
        <f t="shared" si="60"/>
        <v>#VALUE!</v>
      </c>
    </row>
    <row r="1604" spans="1:12" x14ac:dyDescent="0.35">
      <c r="A1604">
        <f t="shared" si="61"/>
        <v>1603</v>
      </c>
      <c r="B1604" t="s">
        <v>112</v>
      </c>
      <c r="C1604" s="109" t="str">
        <f>IF(ISBLANK(K1604),IFERROR(VLOOKUP(I1604,FS_input_data!$C$307:$N$397,Export!J1604,FALSE),""),K1604)</f>
        <v/>
      </c>
      <c r="D1604" s="6"/>
      <c r="E1604" t="s">
        <v>1561</v>
      </c>
      <c r="F1604" s="107"/>
      <c r="G1604" t="b">
        <f>IF(capital_xml,AND($C$1601=0,$C$1603=0),TRUE)</f>
        <v>0</v>
      </c>
      <c r="H1604" s="6" t="s">
        <v>1540</v>
      </c>
      <c r="I1604" t="s">
        <v>1561</v>
      </c>
      <c r="J1604" t="s">
        <v>1561</v>
      </c>
      <c r="L1604">
        <f t="shared" si="60"/>
        <v>1</v>
      </c>
    </row>
    <row r="1605" spans="1:12" x14ac:dyDescent="0.35">
      <c r="A1605">
        <f t="shared" si="61"/>
        <v>1604</v>
      </c>
      <c r="B1605" t="s">
        <v>542</v>
      </c>
      <c r="C1605" s="109" t="str">
        <f>IF(ISBLANK(K1605),IFERROR(VLOOKUP(I1605,FS_input_data!$C$307:$N$397,Export!J1605,FALSE),""),K1605)</f>
        <v/>
      </c>
      <c r="D1605" s="6"/>
      <c r="E1605" t="s">
        <v>1575</v>
      </c>
      <c r="F1605" s="6"/>
      <c r="G1605" t="b">
        <f t="shared" ref="G1605:G1610" si="62">IF(capital_xml,AND($C$1606=0,$C$1608=0),TRUE)</f>
        <v>0</v>
      </c>
      <c r="H1605" s="6" t="s">
        <v>1540</v>
      </c>
      <c r="I1605" t="s">
        <v>1561</v>
      </c>
      <c r="J1605" t="s">
        <v>1561</v>
      </c>
      <c r="L1605" s="26" t="e">
        <f t="shared" si="60"/>
        <v>#VALUE!</v>
      </c>
    </row>
    <row r="1606" spans="1:12" x14ac:dyDescent="0.35">
      <c r="A1606" s="9">
        <f t="shared" si="61"/>
        <v>1605</v>
      </c>
      <c r="B1606" t="s">
        <v>109</v>
      </c>
      <c r="C1606" s="109">
        <f>IF(ISBLANK(K1606),IFERROR(VLOOKUP(I1606,FS_input_data!$C$307:$N$397,Export!J1606,FALSE),""),K1606)</f>
        <v>21</v>
      </c>
      <c r="D1606" s="6" t="b">
        <v>1</v>
      </c>
      <c r="E1606" t="s">
        <v>1561</v>
      </c>
      <c r="F1606" s="6"/>
      <c r="G1606" t="b">
        <f t="shared" si="62"/>
        <v>0</v>
      </c>
      <c r="H1606" s="6" t="s">
        <v>1540</v>
      </c>
      <c r="I1606" t="s">
        <v>1574</v>
      </c>
      <c r="J1606">
        <v>3</v>
      </c>
      <c r="L1606" s="9" t="e">
        <f t="shared" si="60"/>
        <v>#VALUE!</v>
      </c>
    </row>
    <row r="1607" spans="1:12" x14ac:dyDescent="0.35">
      <c r="A1607">
        <f t="shared" si="61"/>
        <v>1606</v>
      </c>
      <c r="B1607" t="s">
        <v>110</v>
      </c>
      <c r="C1607" s="109" t="str">
        <f>IF(ISBLANK(K1607),IFERROR(VLOOKUP(I1607,FS_input_data!$C$307:$N$397,Export!J1607,FALSE),""),K1607)</f>
        <v/>
      </c>
      <c r="D1607" s="6"/>
      <c r="F1607" s="6"/>
      <c r="G1607" t="b">
        <f t="shared" si="62"/>
        <v>0</v>
      </c>
      <c r="H1607" s="6" t="s">
        <v>1540</v>
      </c>
      <c r="I1607" t="s">
        <v>1561</v>
      </c>
      <c r="J1607" t="s">
        <v>1561</v>
      </c>
      <c r="L1607">
        <f t="shared" si="60"/>
        <v>1</v>
      </c>
    </row>
    <row r="1608" spans="1:12" x14ac:dyDescent="0.35">
      <c r="A1608" s="9">
        <f t="shared" si="61"/>
        <v>1607</v>
      </c>
      <c r="B1608" t="s">
        <v>111</v>
      </c>
      <c r="C1608" s="109">
        <f>IF(ISBLANK(K1608),IFERROR(VLOOKUP(I1608,FS_input_data!$C$307:$N$397,Export!J1608,FALSE),""),K1608)</f>
        <v>121</v>
      </c>
      <c r="D1608" s="6" t="b">
        <v>1</v>
      </c>
      <c r="E1608" t="s">
        <v>1561</v>
      </c>
      <c r="F1608" s="6"/>
      <c r="G1608" t="b">
        <f t="shared" si="62"/>
        <v>0</v>
      </c>
      <c r="H1608" s="6" t="s">
        <v>1540</v>
      </c>
      <c r="I1608" t="s">
        <v>1574</v>
      </c>
      <c r="J1608">
        <v>4</v>
      </c>
      <c r="L1608" s="9" t="e">
        <f t="shared" si="60"/>
        <v>#VALUE!</v>
      </c>
    </row>
    <row r="1609" spans="1:12" x14ac:dyDescent="0.35">
      <c r="A1609">
        <f t="shared" si="61"/>
        <v>1608</v>
      </c>
      <c r="B1609" t="s">
        <v>112</v>
      </c>
      <c r="C1609" s="109" t="str">
        <f>IF(ISBLANK(K1609),IFERROR(VLOOKUP(I1609,FS_input_data!$C$307:$N$397,Export!J1609,FALSE),""),K1609)</f>
        <v/>
      </c>
      <c r="D1609" s="6"/>
      <c r="E1609" t="s">
        <v>1561</v>
      </c>
      <c r="F1609" s="6"/>
      <c r="G1609" t="b">
        <f t="shared" si="62"/>
        <v>0</v>
      </c>
      <c r="H1609" s="6" t="s">
        <v>1540</v>
      </c>
      <c r="I1609" t="s">
        <v>1561</v>
      </c>
      <c r="J1609" t="s">
        <v>1561</v>
      </c>
      <c r="L1609">
        <f t="shared" si="60"/>
        <v>1</v>
      </c>
    </row>
    <row r="1610" spans="1:12" x14ac:dyDescent="0.35">
      <c r="A1610">
        <f t="shared" si="61"/>
        <v>1609</v>
      </c>
      <c r="B1610" t="s">
        <v>543</v>
      </c>
      <c r="C1610" s="109" t="str">
        <f>IF(ISBLANK(K1610),IFERROR(VLOOKUP(I1610,FS_input_data!$C$307:$N$397,Export!J1610,FALSE),""),K1610)</f>
        <v/>
      </c>
      <c r="D1610" s="6"/>
      <c r="E1610" t="s">
        <v>1561</v>
      </c>
      <c r="F1610" s="6"/>
      <c r="G1610" t="b">
        <f t="shared" si="62"/>
        <v>0</v>
      </c>
      <c r="H1610" s="6" t="s">
        <v>1540</v>
      </c>
      <c r="I1610" t="s">
        <v>1561</v>
      </c>
      <c r="J1610" t="s">
        <v>1561</v>
      </c>
      <c r="L1610">
        <f t="shared" si="60"/>
        <v>1</v>
      </c>
    </row>
    <row r="1611" spans="1:12" x14ac:dyDescent="0.35">
      <c r="A1611">
        <f t="shared" si="61"/>
        <v>1610</v>
      </c>
      <c r="B1611" t="s">
        <v>544</v>
      </c>
      <c r="C1611" s="109" t="str">
        <f>IF(ISBLANK(K1611),IFERROR(VLOOKUP(I1611,FS_input_data!$C$307:$N$397,Export!J1611,FALSE),""),K1611)</f>
        <v/>
      </c>
      <c r="D1611" s="6"/>
      <c r="E1611" t="s">
        <v>1577</v>
      </c>
      <c r="F1611" s="6"/>
      <c r="G1611" t="b">
        <f t="shared" ref="G1611:G1616" si="63">IF(capital_xml,AND($C$1612=0,$C$1614=0),TRUE)</f>
        <v>0</v>
      </c>
      <c r="H1611" s="6" t="s">
        <v>1540</v>
      </c>
      <c r="I1611" t="s">
        <v>1561</v>
      </c>
      <c r="J1611" t="s">
        <v>1561</v>
      </c>
      <c r="L1611" s="26" t="e">
        <f t="shared" si="60"/>
        <v>#VALUE!</v>
      </c>
    </row>
    <row r="1612" spans="1:12" x14ac:dyDescent="0.35">
      <c r="A1612" s="9">
        <f t="shared" si="61"/>
        <v>1611</v>
      </c>
      <c r="B1612" t="s">
        <v>109</v>
      </c>
      <c r="C1612" s="109">
        <f>IF(ISBLANK(K1612),IFERROR(VLOOKUP(I1612,FS_input_data!$C$307:$N$397,Export!J1612,FALSE),""),K1612)</f>
        <v>22</v>
      </c>
      <c r="D1612" s="6" t="b">
        <v>1</v>
      </c>
      <c r="E1612" t="s">
        <v>1561</v>
      </c>
      <c r="F1612" s="6"/>
      <c r="G1612" t="b">
        <f t="shared" si="63"/>
        <v>0</v>
      </c>
      <c r="H1612" s="6" t="s">
        <v>1540</v>
      </c>
      <c r="I1612" t="s">
        <v>1576</v>
      </c>
      <c r="J1612">
        <v>3</v>
      </c>
      <c r="L1612" s="9" t="e">
        <f t="shared" si="60"/>
        <v>#VALUE!</v>
      </c>
    </row>
    <row r="1613" spans="1:12" x14ac:dyDescent="0.35">
      <c r="A1613">
        <f t="shared" si="61"/>
        <v>1612</v>
      </c>
      <c r="B1613" t="s">
        <v>110</v>
      </c>
      <c r="C1613" s="109" t="str">
        <f>IF(ISBLANK(K1613),IFERROR(VLOOKUP(I1613,FS_input_data!$C$307:$N$397,Export!J1613,FALSE),""),K1613)</f>
        <v/>
      </c>
      <c r="D1613" s="6"/>
      <c r="F1613" s="6"/>
      <c r="G1613" t="b">
        <f t="shared" si="63"/>
        <v>0</v>
      </c>
      <c r="H1613" s="6" t="s">
        <v>1540</v>
      </c>
      <c r="I1613" t="s">
        <v>1561</v>
      </c>
      <c r="J1613" t="s">
        <v>1561</v>
      </c>
      <c r="L1613">
        <f t="shared" si="60"/>
        <v>1</v>
      </c>
    </row>
    <row r="1614" spans="1:12" x14ac:dyDescent="0.35">
      <c r="A1614" s="9">
        <f t="shared" si="61"/>
        <v>1613</v>
      </c>
      <c r="B1614" t="s">
        <v>111</v>
      </c>
      <c r="C1614" s="109">
        <f>IF(ISBLANK(K1614),IFERROR(VLOOKUP(I1614,FS_input_data!$C$307:$N$397,Export!J1614,FALSE),""),K1614)</f>
        <v>122</v>
      </c>
      <c r="D1614" s="6" t="b">
        <v>1</v>
      </c>
      <c r="E1614" t="s">
        <v>1561</v>
      </c>
      <c r="F1614" s="6"/>
      <c r="G1614" t="b">
        <f t="shared" si="63"/>
        <v>0</v>
      </c>
      <c r="H1614" s="6" t="s">
        <v>1540</v>
      </c>
      <c r="I1614" t="s">
        <v>1576</v>
      </c>
      <c r="J1614">
        <v>4</v>
      </c>
      <c r="L1614" s="9" t="e">
        <f t="shared" si="60"/>
        <v>#VALUE!</v>
      </c>
    </row>
    <row r="1615" spans="1:12" x14ac:dyDescent="0.35">
      <c r="A1615">
        <f t="shared" si="61"/>
        <v>1614</v>
      </c>
      <c r="B1615" t="s">
        <v>112</v>
      </c>
      <c r="C1615" s="109" t="str">
        <f>IF(ISBLANK(K1615),IFERROR(VLOOKUP(I1615,FS_input_data!$C$307:$N$397,Export!J1615,FALSE),""),K1615)</f>
        <v/>
      </c>
      <c r="D1615" s="6"/>
      <c r="E1615" t="s">
        <v>1561</v>
      </c>
      <c r="F1615" s="6"/>
      <c r="G1615" t="b">
        <f t="shared" si="63"/>
        <v>0</v>
      </c>
      <c r="H1615" s="6" t="s">
        <v>1540</v>
      </c>
      <c r="I1615" t="s">
        <v>1561</v>
      </c>
      <c r="J1615" t="s">
        <v>1561</v>
      </c>
      <c r="L1615">
        <f t="shared" si="60"/>
        <v>1</v>
      </c>
    </row>
    <row r="1616" spans="1:12" x14ac:dyDescent="0.35">
      <c r="A1616">
        <f t="shared" si="61"/>
        <v>1615</v>
      </c>
      <c r="B1616" t="s">
        <v>545</v>
      </c>
      <c r="C1616" s="109" t="str">
        <f>IF(ISBLANK(K1616),IFERROR(VLOOKUP(I1616,FS_input_data!$C$307:$N$397,Export!J1616,FALSE),""),K1616)</f>
        <v/>
      </c>
      <c r="D1616" s="6"/>
      <c r="E1616" t="s">
        <v>1561</v>
      </c>
      <c r="F1616" s="6"/>
      <c r="G1616" t="b">
        <f t="shared" si="63"/>
        <v>0</v>
      </c>
      <c r="H1616" s="6" t="s">
        <v>1540</v>
      </c>
      <c r="I1616" t="s">
        <v>1561</v>
      </c>
      <c r="J1616" t="s">
        <v>1561</v>
      </c>
      <c r="L1616">
        <f t="shared" si="60"/>
        <v>1</v>
      </c>
    </row>
    <row r="1617" spans="1:12" x14ac:dyDescent="0.35">
      <c r="A1617">
        <f t="shared" si="61"/>
        <v>1616</v>
      </c>
      <c r="B1617" t="s">
        <v>546</v>
      </c>
      <c r="C1617" s="109" t="str">
        <f>IF(ISBLANK(K1617),IFERROR(VLOOKUP(I1617,FS_input_data!$C$307:$N$397,Export!J1617,FALSE),""),K1617)</f>
        <v/>
      </c>
      <c r="D1617" s="6"/>
      <c r="E1617" t="s">
        <v>1579</v>
      </c>
      <c r="F1617" s="6"/>
      <c r="G1617" t="b">
        <f t="shared" ref="G1617:G1622" si="64">IF(capital_xml,AND($C$1618=0,$C$1620=0),TRUE)</f>
        <v>0</v>
      </c>
      <c r="H1617" s="6" t="s">
        <v>1540</v>
      </c>
      <c r="I1617" t="s">
        <v>1561</v>
      </c>
      <c r="J1617" t="s">
        <v>1561</v>
      </c>
      <c r="L1617" s="26" t="e">
        <f t="shared" si="60"/>
        <v>#VALUE!</v>
      </c>
    </row>
    <row r="1618" spans="1:12" x14ac:dyDescent="0.35">
      <c r="A1618" s="9">
        <f t="shared" si="61"/>
        <v>1617</v>
      </c>
      <c r="B1618" t="s">
        <v>109</v>
      </c>
      <c r="C1618" s="109">
        <f>IF(ISBLANK(K1618),IFERROR(VLOOKUP(I1618,FS_input_data!$C$307:$N$397,Export!J1618,FALSE),""),K1618)</f>
        <v>23</v>
      </c>
      <c r="D1618" s="6" t="b">
        <v>1</v>
      </c>
      <c r="E1618" t="s">
        <v>1561</v>
      </c>
      <c r="F1618" s="6"/>
      <c r="G1618" t="b">
        <f t="shared" si="64"/>
        <v>0</v>
      </c>
      <c r="H1618" s="6" t="s">
        <v>1540</v>
      </c>
      <c r="I1618" t="s">
        <v>1578</v>
      </c>
      <c r="J1618">
        <v>3</v>
      </c>
      <c r="L1618" s="9" t="e">
        <f t="shared" si="60"/>
        <v>#VALUE!</v>
      </c>
    </row>
    <row r="1619" spans="1:12" x14ac:dyDescent="0.35">
      <c r="A1619">
        <f t="shared" si="61"/>
        <v>1618</v>
      </c>
      <c r="B1619" t="s">
        <v>110</v>
      </c>
      <c r="C1619" s="109" t="str">
        <f>IF(ISBLANK(K1619),IFERROR(VLOOKUP(I1619,FS_input_data!$C$307:$N$397,Export!J1619,FALSE),""),K1619)</f>
        <v/>
      </c>
      <c r="D1619" s="6"/>
      <c r="F1619" s="6"/>
      <c r="G1619" t="b">
        <f t="shared" si="64"/>
        <v>0</v>
      </c>
      <c r="H1619" s="6" t="s">
        <v>1540</v>
      </c>
      <c r="I1619" t="s">
        <v>1561</v>
      </c>
      <c r="J1619" t="s">
        <v>1561</v>
      </c>
      <c r="L1619">
        <f t="shared" si="60"/>
        <v>1</v>
      </c>
    </row>
    <row r="1620" spans="1:12" x14ac:dyDescent="0.35">
      <c r="A1620" s="9">
        <f t="shared" si="61"/>
        <v>1619</v>
      </c>
      <c r="B1620" t="s">
        <v>111</v>
      </c>
      <c r="C1620" s="109">
        <f>IF(ISBLANK(K1620),IFERROR(VLOOKUP(I1620,FS_input_data!$C$307:$N$397,Export!J1620,FALSE),""),K1620)</f>
        <v>123</v>
      </c>
      <c r="D1620" s="6" t="b">
        <v>1</v>
      </c>
      <c r="E1620" t="s">
        <v>1561</v>
      </c>
      <c r="F1620" s="6"/>
      <c r="G1620" t="b">
        <f t="shared" si="64"/>
        <v>0</v>
      </c>
      <c r="H1620" s="6" t="s">
        <v>1540</v>
      </c>
      <c r="I1620" t="s">
        <v>1578</v>
      </c>
      <c r="J1620">
        <v>4</v>
      </c>
      <c r="L1620" s="9" t="e">
        <f t="shared" si="60"/>
        <v>#VALUE!</v>
      </c>
    </row>
    <row r="1621" spans="1:12" x14ac:dyDescent="0.35">
      <c r="A1621">
        <f t="shared" si="61"/>
        <v>1620</v>
      </c>
      <c r="B1621" t="s">
        <v>112</v>
      </c>
      <c r="C1621" s="109" t="str">
        <f>IF(ISBLANK(K1621),IFERROR(VLOOKUP(I1621,FS_input_data!$C$307:$N$397,Export!J1621,FALSE),""),K1621)</f>
        <v/>
      </c>
      <c r="D1621" s="6"/>
      <c r="E1621" t="s">
        <v>1561</v>
      </c>
      <c r="F1621" s="6"/>
      <c r="G1621" t="b">
        <f t="shared" si="64"/>
        <v>0</v>
      </c>
      <c r="H1621" s="6" t="s">
        <v>1540</v>
      </c>
      <c r="I1621" t="s">
        <v>1561</v>
      </c>
      <c r="J1621" t="s">
        <v>1561</v>
      </c>
      <c r="L1621">
        <f t="shared" si="60"/>
        <v>1</v>
      </c>
    </row>
    <row r="1622" spans="1:12" x14ac:dyDescent="0.35">
      <c r="A1622">
        <f t="shared" si="61"/>
        <v>1621</v>
      </c>
      <c r="B1622" t="s">
        <v>547</v>
      </c>
      <c r="C1622" s="109" t="str">
        <f>IF(ISBLANK(K1622),IFERROR(VLOOKUP(I1622,FS_input_data!$C$307:$N$397,Export!J1622,FALSE),""),K1622)</f>
        <v/>
      </c>
      <c r="D1622" s="6"/>
      <c r="E1622" t="s">
        <v>1561</v>
      </c>
      <c r="F1622" s="6"/>
      <c r="G1622" t="b">
        <f t="shared" si="64"/>
        <v>0</v>
      </c>
      <c r="H1622" s="6" t="s">
        <v>1540</v>
      </c>
      <c r="I1622" t="s">
        <v>1561</v>
      </c>
      <c r="J1622" t="s">
        <v>1561</v>
      </c>
      <c r="L1622">
        <f t="shared" si="60"/>
        <v>1</v>
      </c>
    </row>
    <row r="1623" spans="1:12" x14ac:dyDescent="0.35">
      <c r="A1623">
        <f t="shared" si="61"/>
        <v>1622</v>
      </c>
      <c r="B1623" t="s">
        <v>548</v>
      </c>
      <c r="C1623" s="109" t="str">
        <f>IF(ISBLANK(K1623),IFERROR(VLOOKUP(I1623,FS_input_data!$C$307:$N$397,Export!J1623,FALSE),""),K1623)</f>
        <v/>
      </c>
      <c r="D1623" s="6"/>
      <c r="E1623" t="s">
        <v>1581</v>
      </c>
      <c r="F1623" s="6"/>
      <c r="G1623" t="b">
        <f t="shared" ref="G1623:G1632" si="65">IF(capital_xml,AND($C$1627=0,$C$1629=0),TRUE)</f>
        <v>0</v>
      </c>
      <c r="H1623" s="6" t="s">
        <v>1540</v>
      </c>
      <c r="I1623" t="s">
        <v>1561</v>
      </c>
      <c r="J1623" t="s">
        <v>1561</v>
      </c>
      <c r="L1623" s="26" t="e">
        <f t="shared" si="60"/>
        <v>#VALUE!</v>
      </c>
    </row>
    <row r="1624" spans="1:12" x14ac:dyDescent="0.35">
      <c r="A1624" s="9">
        <f t="shared" si="61"/>
        <v>1623</v>
      </c>
      <c r="B1624" t="s">
        <v>101</v>
      </c>
      <c r="C1624" s="109" t="str">
        <f>IF(ISBLANK(K1624),IFERROR(VLOOKUP(I1624,FS_input_data!$C$307:$N$397,Export!J1624,FALSE),""),K1624)</f>
        <v>IIa_PozycjaUszczegolawiajaca_1</v>
      </c>
      <c r="D1624" s="6" t="b">
        <v>1</v>
      </c>
      <c r="E1624" t="s">
        <v>1561</v>
      </c>
      <c r="F1624" s="6"/>
      <c r="G1624" t="b">
        <f t="shared" si="65"/>
        <v>0</v>
      </c>
      <c r="H1624" s="6" t="s">
        <v>1540</v>
      </c>
      <c r="I1624" t="s">
        <v>1581</v>
      </c>
      <c r="J1624">
        <v>2</v>
      </c>
      <c r="L1624" s="9" t="e">
        <f t="shared" si="60"/>
        <v>#VALUE!</v>
      </c>
    </row>
    <row r="1625" spans="1:12" x14ac:dyDescent="0.35">
      <c r="A1625">
        <f t="shared" si="61"/>
        <v>1624</v>
      </c>
      <c r="B1625" t="s">
        <v>102</v>
      </c>
      <c r="C1625" s="109" t="str">
        <f>IF(ISBLANK(K1625),IFERROR(VLOOKUP(I1625,FS_input_data!$C$307:$N$397,Export!J1625,FALSE),""),K1625)</f>
        <v/>
      </c>
      <c r="D1625" s="6"/>
      <c r="E1625" t="s">
        <v>1561</v>
      </c>
      <c r="F1625" s="6"/>
      <c r="G1625" t="b">
        <f t="shared" si="65"/>
        <v>0</v>
      </c>
      <c r="H1625" s="6" t="s">
        <v>1540</v>
      </c>
      <c r="I1625" t="s">
        <v>1561</v>
      </c>
      <c r="J1625" t="s">
        <v>1561</v>
      </c>
      <c r="L1625">
        <f t="shared" si="60"/>
        <v>1</v>
      </c>
    </row>
    <row r="1626" spans="1:12" x14ac:dyDescent="0.35">
      <c r="A1626">
        <f t="shared" si="61"/>
        <v>1625</v>
      </c>
      <c r="B1626" t="s">
        <v>527</v>
      </c>
      <c r="C1626" s="109" t="str">
        <f>IF(ISBLANK(K1626),IFERROR(VLOOKUP(I1626,FS_input_data!$C$307:$N$397,Export!J1626,FALSE),""),K1626)</f>
        <v/>
      </c>
      <c r="D1626" s="6"/>
      <c r="F1626" s="6"/>
      <c r="G1626" t="b">
        <f t="shared" si="65"/>
        <v>0</v>
      </c>
      <c r="H1626" s="6" t="s">
        <v>1540</v>
      </c>
      <c r="I1626" t="s">
        <v>1561</v>
      </c>
      <c r="J1626" t="s">
        <v>1561</v>
      </c>
      <c r="L1626" s="9" t="e">
        <f t="shared" si="60"/>
        <v>#VALUE!</v>
      </c>
    </row>
    <row r="1627" spans="1:12" x14ac:dyDescent="0.35">
      <c r="A1627" s="9">
        <f t="shared" si="61"/>
        <v>1626</v>
      </c>
      <c r="B1627" t="s">
        <v>109</v>
      </c>
      <c r="C1627" s="109">
        <f>IF(ISBLANK(K1627),IFERROR(VLOOKUP(I1627,FS_input_data!$C$307:$N$397,Export!J1627,FALSE),""),K1627)</f>
        <v>24</v>
      </c>
      <c r="D1627" s="6" t="b">
        <v>1</v>
      </c>
      <c r="E1627" t="s">
        <v>1561</v>
      </c>
      <c r="F1627" s="6"/>
      <c r="G1627" t="b">
        <f t="shared" si="65"/>
        <v>0</v>
      </c>
      <c r="H1627" s="6" t="s">
        <v>1540</v>
      </c>
      <c r="I1627" t="s">
        <v>1581</v>
      </c>
      <c r="J1627">
        <v>3</v>
      </c>
      <c r="L1627" s="9" t="e">
        <f t="shared" si="60"/>
        <v>#VALUE!</v>
      </c>
    </row>
    <row r="1628" spans="1:12" x14ac:dyDescent="0.35">
      <c r="A1628">
        <f t="shared" si="61"/>
        <v>1627</v>
      </c>
      <c r="B1628" t="s">
        <v>110</v>
      </c>
      <c r="C1628" s="109" t="str">
        <f>IF(ISBLANK(K1628),IFERROR(VLOOKUP(I1628,FS_input_data!$C$307:$N$397,Export!J1628,FALSE),""),K1628)</f>
        <v/>
      </c>
      <c r="D1628" s="6"/>
      <c r="F1628" s="6"/>
      <c r="G1628" t="b">
        <f t="shared" si="65"/>
        <v>0</v>
      </c>
      <c r="H1628" s="6" t="s">
        <v>1540</v>
      </c>
      <c r="I1628" t="s">
        <v>1561</v>
      </c>
      <c r="J1628" t="s">
        <v>1561</v>
      </c>
      <c r="L1628">
        <f t="shared" si="60"/>
        <v>1</v>
      </c>
    </row>
    <row r="1629" spans="1:12" x14ac:dyDescent="0.35">
      <c r="A1629" s="9">
        <f t="shared" si="61"/>
        <v>1628</v>
      </c>
      <c r="B1629" t="s">
        <v>111</v>
      </c>
      <c r="C1629" s="109">
        <f>IF(ISBLANK(K1629),IFERROR(VLOOKUP(I1629,FS_input_data!$C$307:$N$397,Export!J1629,FALSE),""),K1629)</f>
        <v>124</v>
      </c>
      <c r="D1629" s="6" t="b">
        <v>1</v>
      </c>
      <c r="E1629" t="s">
        <v>1561</v>
      </c>
      <c r="F1629" s="6"/>
      <c r="G1629" t="b">
        <f t="shared" si="65"/>
        <v>0</v>
      </c>
      <c r="H1629" s="6" t="s">
        <v>1540</v>
      </c>
      <c r="I1629" t="s">
        <v>1581</v>
      </c>
      <c r="J1629">
        <v>4</v>
      </c>
      <c r="L1629" s="9" t="e">
        <f t="shared" si="60"/>
        <v>#VALUE!</v>
      </c>
    </row>
    <row r="1630" spans="1:12" x14ac:dyDescent="0.35">
      <c r="A1630">
        <f t="shared" si="61"/>
        <v>1629</v>
      </c>
      <c r="B1630" t="s">
        <v>112</v>
      </c>
      <c r="C1630" s="109" t="str">
        <f>IF(ISBLANK(K1630),IFERROR(VLOOKUP(I1630,FS_input_data!$C$307:$N$397,Export!J1630,FALSE),""),K1630)</f>
        <v/>
      </c>
      <c r="D1630" s="6"/>
      <c r="E1630" t="s">
        <v>1561</v>
      </c>
      <c r="F1630" s="6"/>
      <c r="G1630" t="b">
        <f t="shared" si="65"/>
        <v>0</v>
      </c>
      <c r="H1630" s="6" t="s">
        <v>1540</v>
      </c>
      <c r="I1630" t="s">
        <v>1561</v>
      </c>
      <c r="J1630" t="s">
        <v>1561</v>
      </c>
      <c r="L1630">
        <f t="shared" si="60"/>
        <v>1</v>
      </c>
    </row>
    <row r="1631" spans="1:12" x14ac:dyDescent="0.35">
      <c r="A1631">
        <f t="shared" si="61"/>
        <v>1630</v>
      </c>
      <c r="B1631" t="s">
        <v>528</v>
      </c>
      <c r="C1631" s="109" t="str">
        <f>IF(ISBLANK(K1631),IFERROR(VLOOKUP(I1631,FS_input_data!$C$307:$N$397,Export!J1631,FALSE),""),K1631)</f>
        <v/>
      </c>
      <c r="D1631" s="6"/>
      <c r="E1631" t="s">
        <v>1561</v>
      </c>
      <c r="F1631" s="6"/>
      <c r="G1631" t="b">
        <f t="shared" si="65"/>
        <v>0</v>
      </c>
      <c r="H1631" s="6" t="s">
        <v>1540</v>
      </c>
      <c r="I1631" t="s">
        <v>1561</v>
      </c>
      <c r="J1631" t="s">
        <v>1561</v>
      </c>
      <c r="L1631">
        <f t="shared" si="60"/>
        <v>1</v>
      </c>
    </row>
    <row r="1632" spans="1:12" x14ac:dyDescent="0.35">
      <c r="A1632">
        <f t="shared" si="61"/>
        <v>1631</v>
      </c>
      <c r="B1632" t="s">
        <v>549</v>
      </c>
      <c r="C1632" s="109" t="str">
        <f>IF(ISBLANK(K1632),IFERROR(VLOOKUP(I1632,FS_input_data!$C$307:$N$397,Export!J1632,FALSE),""),K1632)</f>
        <v/>
      </c>
      <c r="D1632" s="6"/>
      <c r="E1632" t="s">
        <v>1561</v>
      </c>
      <c r="F1632" s="6"/>
      <c r="G1632" t="b">
        <f t="shared" si="65"/>
        <v>0</v>
      </c>
      <c r="H1632" s="6" t="s">
        <v>1540</v>
      </c>
      <c r="I1632" t="s">
        <v>1561</v>
      </c>
      <c r="J1632" t="s">
        <v>1561</v>
      </c>
      <c r="L1632">
        <f t="shared" si="60"/>
        <v>1</v>
      </c>
    </row>
    <row r="1633" spans="1:12" x14ac:dyDescent="0.35">
      <c r="A1633">
        <f t="shared" si="61"/>
        <v>1632</v>
      </c>
      <c r="B1633" t="s">
        <v>548</v>
      </c>
      <c r="C1633" s="109" t="str">
        <f>IF(ISBLANK(K1633),IFERROR(VLOOKUP(I1633,FS_input_data!$C$307:$N$397,Export!J1633,FALSE),""),K1633)</f>
        <v/>
      </c>
      <c r="D1633" s="6"/>
      <c r="E1633" t="s">
        <v>1582</v>
      </c>
      <c r="F1633" s="6"/>
      <c r="G1633" t="b">
        <f t="shared" ref="G1633:G1642" si="66">IF(capital_xml,AND($C$1637=0,$C$1639=0),TRUE)</f>
        <v>0</v>
      </c>
      <c r="H1633" s="6" t="s">
        <v>1540</v>
      </c>
      <c r="I1633" t="s">
        <v>1561</v>
      </c>
      <c r="J1633" t="s">
        <v>1561</v>
      </c>
      <c r="L1633" s="26" t="e">
        <f t="shared" si="60"/>
        <v>#VALUE!</v>
      </c>
    </row>
    <row r="1634" spans="1:12" x14ac:dyDescent="0.35">
      <c r="A1634" s="9">
        <f t="shared" si="61"/>
        <v>1633</v>
      </c>
      <c r="B1634" t="s">
        <v>101</v>
      </c>
      <c r="C1634" s="109" t="str">
        <f>IF(ISBLANK(K1634),IFERROR(VLOOKUP(I1634,FS_input_data!$C$307:$N$397,Export!J1634,FALSE),""),K1634)</f>
        <v>IIa_PozycjaUszczegolawiajaca_2</v>
      </c>
      <c r="D1634" s="6" t="b">
        <v>1</v>
      </c>
      <c r="E1634" t="s">
        <v>1561</v>
      </c>
      <c r="F1634" s="6"/>
      <c r="G1634" t="b">
        <f t="shared" si="66"/>
        <v>0</v>
      </c>
      <c r="H1634" s="6" t="s">
        <v>1540</v>
      </c>
      <c r="I1634" t="s">
        <v>1582</v>
      </c>
      <c r="J1634">
        <v>2</v>
      </c>
      <c r="L1634" s="9" t="e">
        <f t="shared" si="60"/>
        <v>#VALUE!</v>
      </c>
    </row>
    <row r="1635" spans="1:12" x14ac:dyDescent="0.35">
      <c r="A1635">
        <f t="shared" si="61"/>
        <v>1634</v>
      </c>
      <c r="B1635" t="s">
        <v>102</v>
      </c>
      <c r="C1635" s="109" t="str">
        <f>IF(ISBLANK(K1635),IFERROR(VLOOKUP(I1635,FS_input_data!$C$307:$N$397,Export!J1635,FALSE),""),K1635)</f>
        <v/>
      </c>
      <c r="D1635" s="6"/>
      <c r="E1635" t="s">
        <v>1561</v>
      </c>
      <c r="F1635" s="6"/>
      <c r="G1635" t="b">
        <f t="shared" si="66"/>
        <v>0</v>
      </c>
      <c r="H1635" s="6" t="s">
        <v>1540</v>
      </c>
      <c r="I1635" t="s">
        <v>1561</v>
      </c>
      <c r="J1635" t="s">
        <v>1561</v>
      </c>
      <c r="L1635">
        <f t="shared" si="60"/>
        <v>1</v>
      </c>
    </row>
    <row r="1636" spans="1:12" x14ac:dyDescent="0.35">
      <c r="A1636">
        <f t="shared" si="61"/>
        <v>1635</v>
      </c>
      <c r="B1636" t="s">
        <v>527</v>
      </c>
      <c r="C1636" s="109" t="str">
        <f>IF(ISBLANK(K1636),IFERROR(VLOOKUP(I1636,FS_input_data!$C$307:$N$397,Export!J1636,FALSE),""),K1636)</f>
        <v/>
      </c>
      <c r="D1636" s="6"/>
      <c r="F1636" s="6"/>
      <c r="G1636" t="b">
        <f t="shared" si="66"/>
        <v>0</v>
      </c>
      <c r="H1636" s="6" t="s">
        <v>1540</v>
      </c>
      <c r="I1636" t="s">
        <v>1561</v>
      </c>
      <c r="J1636" t="s">
        <v>1561</v>
      </c>
      <c r="L1636" s="9" t="e">
        <f t="shared" si="60"/>
        <v>#VALUE!</v>
      </c>
    </row>
    <row r="1637" spans="1:12" x14ac:dyDescent="0.35">
      <c r="A1637" s="9">
        <f t="shared" si="61"/>
        <v>1636</v>
      </c>
      <c r="B1637" t="s">
        <v>109</v>
      </c>
      <c r="C1637" s="109">
        <f>IF(ISBLANK(K1637),IFERROR(VLOOKUP(I1637,FS_input_data!$C$307:$N$397,Export!J1637,FALSE),""),K1637)</f>
        <v>25</v>
      </c>
      <c r="D1637" s="6" t="b">
        <v>1</v>
      </c>
      <c r="E1637" t="s">
        <v>1561</v>
      </c>
      <c r="F1637" s="6"/>
      <c r="G1637" t="b">
        <f t="shared" si="66"/>
        <v>0</v>
      </c>
      <c r="H1637" s="6" t="s">
        <v>1540</v>
      </c>
      <c r="I1637" t="s">
        <v>1582</v>
      </c>
      <c r="J1637">
        <v>3</v>
      </c>
      <c r="L1637" s="9" t="e">
        <f t="shared" si="60"/>
        <v>#VALUE!</v>
      </c>
    </row>
    <row r="1638" spans="1:12" x14ac:dyDescent="0.35">
      <c r="A1638">
        <f t="shared" si="61"/>
        <v>1637</v>
      </c>
      <c r="B1638" t="s">
        <v>110</v>
      </c>
      <c r="C1638" s="109" t="str">
        <f>IF(ISBLANK(K1638),IFERROR(VLOOKUP(I1638,FS_input_data!$C$307:$N$397,Export!J1638,FALSE),""),K1638)</f>
        <v/>
      </c>
      <c r="D1638" s="6"/>
      <c r="F1638" s="6"/>
      <c r="G1638" t="b">
        <f t="shared" si="66"/>
        <v>0</v>
      </c>
      <c r="H1638" s="6" t="s">
        <v>1540</v>
      </c>
      <c r="I1638" t="s">
        <v>1561</v>
      </c>
      <c r="J1638" t="s">
        <v>1561</v>
      </c>
      <c r="L1638">
        <f t="shared" si="60"/>
        <v>1</v>
      </c>
    </row>
    <row r="1639" spans="1:12" x14ac:dyDescent="0.35">
      <c r="A1639" s="9">
        <f t="shared" si="61"/>
        <v>1638</v>
      </c>
      <c r="B1639" t="s">
        <v>111</v>
      </c>
      <c r="C1639" s="109">
        <f>IF(ISBLANK(K1639),IFERROR(VLOOKUP(I1639,FS_input_data!$C$307:$N$397,Export!J1639,FALSE),""),K1639)</f>
        <v>125</v>
      </c>
      <c r="D1639" s="6" t="b">
        <v>1</v>
      </c>
      <c r="E1639" t="s">
        <v>1561</v>
      </c>
      <c r="F1639" s="6"/>
      <c r="G1639" t="b">
        <f t="shared" si="66"/>
        <v>0</v>
      </c>
      <c r="H1639" s="6" t="s">
        <v>1540</v>
      </c>
      <c r="I1639" t="s">
        <v>1582</v>
      </c>
      <c r="J1639">
        <v>4</v>
      </c>
      <c r="L1639" s="9" t="e">
        <f t="shared" si="60"/>
        <v>#VALUE!</v>
      </c>
    </row>
    <row r="1640" spans="1:12" x14ac:dyDescent="0.35">
      <c r="A1640">
        <f t="shared" si="61"/>
        <v>1639</v>
      </c>
      <c r="B1640" t="s">
        <v>112</v>
      </c>
      <c r="C1640" s="109" t="str">
        <f>IF(ISBLANK(K1640),IFERROR(VLOOKUP(I1640,FS_input_data!$C$307:$N$397,Export!J1640,FALSE),""),K1640)</f>
        <v/>
      </c>
      <c r="D1640" s="6"/>
      <c r="E1640" t="s">
        <v>1561</v>
      </c>
      <c r="F1640" s="6"/>
      <c r="G1640" t="b">
        <f t="shared" si="66"/>
        <v>0</v>
      </c>
      <c r="H1640" s="6" t="s">
        <v>1540</v>
      </c>
      <c r="I1640" t="s">
        <v>1561</v>
      </c>
      <c r="J1640" t="s">
        <v>1561</v>
      </c>
      <c r="L1640">
        <f t="shared" si="60"/>
        <v>1</v>
      </c>
    </row>
    <row r="1641" spans="1:12" x14ac:dyDescent="0.35">
      <c r="A1641">
        <f t="shared" si="61"/>
        <v>1640</v>
      </c>
      <c r="B1641" t="s">
        <v>528</v>
      </c>
      <c r="C1641" s="109" t="str">
        <f>IF(ISBLANK(K1641),IFERROR(VLOOKUP(I1641,FS_input_data!$C$307:$N$397,Export!J1641,FALSE),""),K1641)</f>
        <v/>
      </c>
      <c r="D1641" s="6"/>
      <c r="E1641" t="s">
        <v>1561</v>
      </c>
      <c r="F1641" s="6"/>
      <c r="G1641" t="b">
        <f t="shared" si="66"/>
        <v>0</v>
      </c>
      <c r="H1641" s="6" t="s">
        <v>1540</v>
      </c>
      <c r="I1641" t="s">
        <v>1561</v>
      </c>
      <c r="J1641" t="s">
        <v>1561</v>
      </c>
      <c r="L1641">
        <f t="shared" si="60"/>
        <v>1</v>
      </c>
    </row>
    <row r="1642" spans="1:12" x14ac:dyDescent="0.35">
      <c r="A1642">
        <f t="shared" si="61"/>
        <v>1641</v>
      </c>
      <c r="B1642" t="s">
        <v>549</v>
      </c>
      <c r="C1642" s="109" t="str">
        <f>IF(ISBLANK(K1642),IFERROR(VLOOKUP(I1642,FS_input_data!$C$307:$N$397,Export!J1642,FALSE),""),K1642)</f>
        <v/>
      </c>
      <c r="D1642" s="6"/>
      <c r="E1642" t="s">
        <v>1561</v>
      </c>
      <c r="F1642" s="6"/>
      <c r="G1642" t="b">
        <f t="shared" si="66"/>
        <v>0</v>
      </c>
      <c r="H1642" s="6" t="s">
        <v>1540</v>
      </c>
      <c r="I1642" t="s">
        <v>1561</v>
      </c>
      <c r="J1642" t="s">
        <v>1561</v>
      </c>
      <c r="L1642">
        <f t="shared" si="60"/>
        <v>1</v>
      </c>
    </row>
    <row r="1643" spans="1:12" x14ac:dyDescent="0.35">
      <c r="A1643">
        <f t="shared" si="61"/>
        <v>1642</v>
      </c>
      <c r="B1643" t="s">
        <v>548</v>
      </c>
      <c r="C1643" s="109" t="str">
        <f>IF(ISBLANK(K1643),IFERROR(VLOOKUP(I1643,FS_input_data!$C$307:$N$397,Export!J1643,FALSE),""),K1643)</f>
        <v/>
      </c>
      <c r="D1643" s="6"/>
      <c r="E1643" t="s">
        <v>1583</v>
      </c>
      <c r="F1643" s="6"/>
      <c r="G1643" t="b">
        <f t="shared" ref="G1643:G1653" si="67">IF(capital_xml,AND($C$1647=0,$C$1649=0),TRUE)</f>
        <v>0</v>
      </c>
      <c r="H1643" s="6" t="s">
        <v>1540</v>
      </c>
      <c r="I1643" t="s">
        <v>1561</v>
      </c>
      <c r="J1643" t="s">
        <v>1561</v>
      </c>
      <c r="L1643" s="26" t="e">
        <f t="shared" si="60"/>
        <v>#VALUE!</v>
      </c>
    </row>
    <row r="1644" spans="1:12" x14ac:dyDescent="0.35">
      <c r="A1644" s="9">
        <f t="shared" si="61"/>
        <v>1643</v>
      </c>
      <c r="B1644" t="s">
        <v>101</v>
      </c>
      <c r="C1644" s="109" t="str">
        <f>IF(ISBLANK(K1644),IFERROR(VLOOKUP(I1644,FS_input_data!$C$307:$N$397,Export!J1644,FALSE),""),K1644)</f>
        <v>IIa_PozycjaUszczegolawiajaca_3</v>
      </c>
      <c r="D1644" s="6" t="b">
        <v>1</v>
      </c>
      <c r="E1644" t="s">
        <v>1561</v>
      </c>
      <c r="F1644" s="6"/>
      <c r="G1644" t="b">
        <f t="shared" si="67"/>
        <v>0</v>
      </c>
      <c r="H1644" s="6" t="s">
        <v>1540</v>
      </c>
      <c r="I1644" t="s">
        <v>1583</v>
      </c>
      <c r="J1644">
        <v>2</v>
      </c>
      <c r="L1644" s="9" t="e">
        <f t="shared" si="60"/>
        <v>#VALUE!</v>
      </c>
    </row>
    <row r="1645" spans="1:12" x14ac:dyDescent="0.35">
      <c r="A1645">
        <f t="shared" si="61"/>
        <v>1644</v>
      </c>
      <c r="B1645" t="s">
        <v>102</v>
      </c>
      <c r="C1645" s="109" t="str">
        <f>IF(ISBLANK(K1645),IFERROR(VLOOKUP(I1645,FS_input_data!$C$307:$N$397,Export!J1645,FALSE),""),K1645)</f>
        <v/>
      </c>
      <c r="D1645" s="6"/>
      <c r="E1645" t="s">
        <v>1561</v>
      </c>
      <c r="F1645" s="6"/>
      <c r="G1645" t="b">
        <f t="shared" si="67"/>
        <v>0</v>
      </c>
      <c r="H1645" s="6" t="s">
        <v>1540</v>
      </c>
      <c r="I1645" t="s">
        <v>1561</v>
      </c>
      <c r="J1645" t="s">
        <v>1561</v>
      </c>
      <c r="L1645">
        <f t="shared" si="60"/>
        <v>1</v>
      </c>
    </row>
    <row r="1646" spans="1:12" x14ac:dyDescent="0.35">
      <c r="A1646">
        <f t="shared" si="61"/>
        <v>1645</v>
      </c>
      <c r="B1646" t="s">
        <v>527</v>
      </c>
      <c r="C1646" s="109" t="str">
        <f>IF(ISBLANK(K1646),IFERROR(VLOOKUP(I1646,FS_input_data!$C$307:$N$397,Export!J1646,FALSE),""),K1646)</f>
        <v/>
      </c>
      <c r="D1646" s="6"/>
      <c r="F1646" s="6"/>
      <c r="G1646" t="b">
        <f t="shared" si="67"/>
        <v>0</v>
      </c>
      <c r="H1646" s="6" t="s">
        <v>1540</v>
      </c>
      <c r="I1646" t="s">
        <v>1561</v>
      </c>
      <c r="J1646" t="s">
        <v>1561</v>
      </c>
      <c r="L1646" s="9" t="e">
        <f t="shared" si="60"/>
        <v>#VALUE!</v>
      </c>
    </row>
    <row r="1647" spans="1:12" x14ac:dyDescent="0.35">
      <c r="A1647" s="9">
        <f t="shared" si="61"/>
        <v>1646</v>
      </c>
      <c r="B1647" t="s">
        <v>109</v>
      </c>
      <c r="C1647" s="109">
        <f>IF(ISBLANK(K1647),IFERROR(VLOOKUP(I1647,FS_input_data!$C$307:$N$397,Export!J1647,FALSE),""),K1647)</f>
        <v>26</v>
      </c>
      <c r="D1647" s="6" t="b">
        <v>1</v>
      </c>
      <c r="E1647" t="s">
        <v>1561</v>
      </c>
      <c r="F1647" s="6"/>
      <c r="G1647" t="b">
        <f t="shared" si="67"/>
        <v>0</v>
      </c>
      <c r="H1647" s="6" t="s">
        <v>1540</v>
      </c>
      <c r="I1647" t="s">
        <v>1583</v>
      </c>
      <c r="J1647">
        <v>3</v>
      </c>
      <c r="L1647" s="9" t="e">
        <f t="shared" si="60"/>
        <v>#VALUE!</v>
      </c>
    </row>
    <row r="1648" spans="1:12" x14ac:dyDescent="0.35">
      <c r="A1648">
        <f t="shared" si="61"/>
        <v>1647</v>
      </c>
      <c r="B1648" t="s">
        <v>110</v>
      </c>
      <c r="C1648" s="109" t="str">
        <f>IF(ISBLANK(K1648),IFERROR(VLOOKUP(I1648,FS_input_data!$C$307:$N$397,Export!J1648,FALSE),""),K1648)</f>
        <v/>
      </c>
      <c r="D1648" s="6"/>
      <c r="F1648" s="6"/>
      <c r="G1648" t="b">
        <f t="shared" si="67"/>
        <v>0</v>
      </c>
      <c r="H1648" s="6" t="s">
        <v>1540</v>
      </c>
      <c r="I1648" t="s">
        <v>1561</v>
      </c>
      <c r="J1648" t="s">
        <v>1561</v>
      </c>
      <c r="L1648">
        <f t="shared" si="60"/>
        <v>1</v>
      </c>
    </row>
    <row r="1649" spans="1:12" x14ac:dyDescent="0.35">
      <c r="A1649" s="9">
        <f t="shared" si="61"/>
        <v>1648</v>
      </c>
      <c r="B1649" t="s">
        <v>111</v>
      </c>
      <c r="C1649" s="109">
        <f>IF(ISBLANK(K1649),IFERROR(VLOOKUP(I1649,FS_input_data!$C$307:$N$397,Export!J1649,FALSE),""),K1649)</f>
        <v>126</v>
      </c>
      <c r="D1649" s="6" t="b">
        <v>1</v>
      </c>
      <c r="E1649" t="s">
        <v>1561</v>
      </c>
      <c r="F1649" s="6"/>
      <c r="G1649" t="b">
        <f t="shared" si="67"/>
        <v>0</v>
      </c>
      <c r="H1649" s="6" t="s">
        <v>1540</v>
      </c>
      <c r="I1649" t="s">
        <v>1583</v>
      </c>
      <c r="J1649">
        <v>4</v>
      </c>
      <c r="L1649" s="9" t="e">
        <f t="shared" si="60"/>
        <v>#VALUE!</v>
      </c>
    </row>
    <row r="1650" spans="1:12" x14ac:dyDescent="0.35">
      <c r="A1650">
        <f t="shared" si="61"/>
        <v>1649</v>
      </c>
      <c r="B1650" t="s">
        <v>112</v>
      </c>
      <c r="C1650" s="109" t="str">
        <f>IF(ISBLANK(K1650),IFERROR(VLOOKUP(I1650,FS_input_data!$C$307:$N$397,Export!J1650,FALSE),""),K1650)</f>
        <v/>
      </c>
      <c r="D1650" s="6"/>
      <c r="E1650" t="s">
        <v>1561</v>
      </c>
      <c r="F1650" s="6"/>
      <c r="G1650" t="b">
        <f t="shared" si="67"/>
        <v>0</v>
      </c>
      <c r="H1650" s="6" t="s">
        <v>1540</v>
      </c>
      <c r="I1650" t="s">
        <v>1561</v>
      </c>
      <c r="J1650" t="s">
        <v>1561</v>
      </c>
      <c r="L1650">
        <f t="shared" si="60"/>
        <v>1</v>
      </c>
    </row>
    <row r="1651" spans="1:12" x14ac:dyDescent="0.35">
      <c r="A1651">
        <f t="shared" si="61"/>
        <v>1650</v>
      </c>
      <c r="B1651" t="s">
        <v>528</v>
      </c>
      <c r="C1651" s="109" t="str">
        <f>IF(ISBLANK(K1651),IFERROR(VLOOKUP(I1651,FS_input_data!$C$307:$N$397,Export!J1651,FALSE),""),K1651)</f>
        <v/>
      </c>
      <c r="D1651" s="6"/>
      <c r="E1651" t="s">
        <v>1561</v>
      </c>
      <c r="F1651" s="6"/>
      <c r="G1651" t="b">
        <f t="shared" si="67"/>
        <v>0</v>
      </c>
      <c r="H1651" s="6" t="s">
        <v>1540</v>
      </c>
      <c r="I1651" t="s">
        <v>1561</v>
      </c>
      <c r="J1651" t="s">
        <v>1561</v>
      </c>
      <c r="L1651">
        <f t="shared" si="60"/>
        <v>1</v>
      </c>
    </row>
    <row r="1652" spans="1:12" x14ac:dyDescent="0.35">
      <c r="A1652">
        <f t="shared" si="61"/>
        <v>1651</v>
      </c>
      <c r="B1652" t="s">
        <v>549</v>
      </c>
      <c r="C1652" s="109" t="str">
        <f>IF(ISBLANK(K1652),IFERROR(VLOOKUP(I1652,FS_input_data!$C$307:$N$397,Export!J1652,FALSE),""),K1652)</f>
        <v/>
      </c>
      <c r="D1652" s="6"/>
      <c r="E1652" t="s">
        <v>1561</v>
      </c>
      <c r="F1652" s="6"/>
      <c r="G1652" t="b">
        <f t="shared" si="67"/>
        <v>0</v>
      </c>
      <c r="H1652" s="6" t="s">
        <v>1540</v>
      </c>
      <c r="I1652" t="s">
        <v>1561</v>
      </c>
      <c r="J1652" t="s">
        <v>1561</v>
      </c>
      <c r="L1652">
        <f t="shared" si="60"/>
        <v>1</v>
      </c>
    </row>
    <row r="1653" spans="1:12" x14ac:dyDescent="0.35">
      <c r="A1653">
        <f t="shared" si="61"/>
        <v>1652</v>
      </c>
      <c r="B1653" t="s">
        <v>550</v>
      </c>
      <c r="C1653" s="109" t="str">
        <f>IF(ISBLANK(K1653),IFERROR(VLOOKUP(I1653,FS_input_data!$C$307:$N$397,Export!J1653,FALSE),""),K1653)</f>
        <v/>
      </c>
      <c r="D1653" s="6"/>
      <c r="E1653" t="s">
        <v>1561</v>
      </c>
      <c r="F1653" s="6"/>
      <c r="G1653" t="b">
        <f t="shared" si="67"/>
        <v>0</v>
      </c>
      <c r="H1653" s="6" t="s">
        <v>1540</v>
      </c>
      <c r="I1653" t="s">
        <v>1561</v>
      </c>
      <c r="J1653" t="s">
        <v>1561</v>
      </c>
      <c r="L1653">
        <f t="shared" si="60"/>
        <v>1</v>
      </c>
    </row>
    <row r="1654" spans="1:12" x14ac:dyDescent="0.35">
      <c r="A1654">
        <f t="shared" si="61"/>
        <v>1653</v>
      </c>
      <c r="B1654" t="s">
        <v>551</v>
      </c>
      <c r="C1654" s="109" t="str">
        <f>IF(ISBLANK(K1654),IFERROR(VLOOKUP(I1654,FS_input_data!$C$307:$N$397,Export!J1654,FALSE),""),K1654)</f>
        <v/>
      </c>
      <c r="D1654" s="6"/>
      <c r="E1654" t="s">
        <v>1560</v>
      </c>
      <c r="F1654" s="6"/>
      <c r="G1654" t="b">
        <f>IF(capital_xml,AND($C$1655=0,$C$1657=0),TRUE)</f>
        <v>0</v>
      </c>
      <c r="H1654" s="6" t="s">
        <v>1540</v>
      </c>
      <c r="I1654" t="s">
        <v>1561</v>
      </c>
      <c r="J1654" t="s">
        <v>1561</v>
      </c>
      <c r="L1654" s="26" t="e">
        <f t="shared" si="60"/>
        <v>#VALUE!</v>
      </c>
    </row>
    <row r="1655" spans="1:12" x14ac:dyDescent="0.35">
      <c r="A1655" s="9">
        <f t="shared" si="61"/>
        <v>1654</v>
      </c>
      <c r="B1655" t="s">
        <v>109</v>
      </c>
      <c r="C1655" s="109">
        <f>IF(ISBLANK(K1655),IFERROR(VLOOKUP(I1655,FS_input_data!$C$307:$N$397,Export!J1655,FALSE),""),K1655)</f>
        <v>118</v>
      </c>
      <c r="D1655" s="6" t="b">
        <v>1</v>
      </c>
      <c r="E1655" t="s">
        <v>1561</v>
      </c>
      <c r="F1655" s="6"/>
      <c r="G1655" t="b">
        <f>IF(capital_xml,AND($C$1655=0,$C$1657=0),TRUE)</f>
        <v>0</v>
      </c>
      <c r="H1655" s="6" t="s">
        <v>1540</v>
      </c>
      <c r="I1655" t="s">
        <v>1584</v>
      </c>
      <c r="J1655">
        <v>3</v>
      </c>
      <c r="L1655" s="9" t="e">
        <f t="shared" si="60"/>
        <v>#VALUE!</v>
      </c>
    </row>
    <row r="1656" spans="1:12" x14ac:dyDescent="0.35">
      <c r="A1656">
        <f t="shared" si="61"/>
        <v>1655</v>
      </c>
      <c r="B1656" t="s">
        <v>110</v>
      </c>
      <c r="C1656" s="109" t="str">
        <f>IF(ISBLANK(K1656),IFERROR(VLOOKUP(I1656,FS_input_data!$C$307:$N$397,Export!J1656,FALSE),""),K1656)</f>
        <v/>
      </c>
      <c r="D1656" s="6"/>
      <c r="F1656" s="6"/>
      <c r="G1656" t="b">
        <f>IF(capital_xml,AND($C$1655=0,$C$1657=0),TRUE)</f>
        <v>0</v>
      </c>
      <c r="H1656" s="6" t="s">
        <v>1540</v>
      </c>
      <c r="I1656" t="s">
        <v>1561</v>
      </c>
      <c r="J1656" t="s">
        <v>1561</v>
      </c>
      <c r="L1656">
        <f t="shared" si="60"/>
        <v>1</v>
      </c>
    </row>
    <row r="1657" spans="1:12" x14ac:dyDescent="0.35">
      <c r="A1657" s="9">
        <f t="shared" si="61"/>
        <v>1656</v>
      </c>
      <c r="B1657" t="s">
        <v>111</v>
      </c>
      <c r="C1657" s="109">
        <f>IF(ISBLANK(K1657),IFERROR(VLOOKUP(I1657,FS_input_data!$C$307:$N$397,Export!J1657,FALSE),""),K1657)</f>
        <v>518</v>
      </c>
      <c r="D1657" s="6" t="b">
        <v>1</v>
      </c>
      <c r="E1657" t="s">
        <v>1561</v>
      </c>
      <c r="F1657" s="6"/>
      <c r="G1657" t="b">
        <f>IF(capital_xml,AND($C$1655=0,$C$1657=0),TRUE)</f>
        <v>0</v>
      </c>
      <c r="H1657" s="6" t="s">
        <v>1540</v>
      </c>
      <c r="I1657" t="s">
        <v>1584</v>
      </c>
      <c r="J1657">
        <v>4</v>
      </c>
      <c r="L1657" s="9" t="e">
        <f t="shared" si="60"/>
        <v>#VALUE!</v>
      </c>
    </row>
    <row r="1658" spans="1:12" x14ac:dyDescent="0.35">
      <c r="A1658">
        <f t="shared" si="61"/>
        <v>1657</v>
      </c>
      <c r="B1658" t="s">
        <v>112</v>
      </c>
      <c r="C1658" s="109" t="str">
        <f>IF(ISBLANK(K1658),IFERROR(VLOOKUP(I1658,FS_input_data!$C$307:$N$397,Export!J1658,FALSE),""),K1658)</f>
        <v/>
      </c>
      <c r="D1658" s="6"/>
      <c r="E1658" t="s">
        <v>1561</v>
      </c>
      <c r="F1658" s="6"/>
      <c r="G1658" t="b">
        <f>IF(capital_xml,AND($C$1655=0,$C$1657=0),TRUE)</f>
        <v>0</v>
      </c>
      <c r="H1658" s="6" t="s">
        <v>1540</v>
      </c>
      <c r="I1658" t="s">
        <v>1561</v>
      </c>
      <c r="J1658" t="s">
        <v>1561</v>
      </c>
      <c r="L1658">
        <f t="shared" si="60"/>
        <v>1</v>
      </c>
    </row>
    <row r="1659" spans="1:12" x14ac:dyDescent="0.35">
      <c r="A1659">
        <f t="shared" si="61"/>
        <v>1658</v>
      </c>
      <c r="B1659" t="s">
        <v>552</v>
      </c>
      <c r="C1659" s="109" t="str">
        <f>IF(ISBLANK(K1659),IFERROR(VLOOKUP(I1659,FS_input_data!$C$307:$N$397,Export!J1659,FALSE),""),K1659)</f>
        <v/>
      </c>
      <c r="D1659" s="6"/>
      <c r="E1659" t="s">
        <v>1586</v>
      </c>
      <c r="F1659" s="6"/>
      <c r="G1659" t="b">
        <f t="shared" ref="G1659:G1664" si="68">IF(capital_xml,AND($C$1660=0,$C$1662=0),TRUE)</f>
        <v>0</v>
      </c>
      <c r="H1659" s="6" t="s">
        <v>1540</v>
      </c>
      <c r="I1659" t="s">
        <v>1561</v>
      </c>
      <c r="J1659" t="s">
        <v>1561</v>
      </c>
      <c r="L1659" s="26" t="e">
        <f t="shared" si="60"/>
        <v>#VALUE!</v>
      </c>
    </row>
    <row r="1660" spans="1:12" x14ac:dyDescent="0.35">
      <c r="A1660" s="9">
        <f t="shared" si="61"/>
        <v>1659</v>
      </c>
      <c r="B1660" t="s">
        <v>109</v>
      </c>
      <c r="C1660" s="109">
        <f>IF(ISBLANK(K1660),IFERROR(VLOOKUP(I1660,FS_input_data!$C$307:$N$397,Export!J1660,FALSE),""),K1660)</f>
        <v>28</v>
      </c>
      <c r="D1660" s="6" t="b">
        <v>1</v>
      </c>
      <c r="E1660" t="s">
        <v>1561</v>
      </c>
      <c r="F1660" s="6"/>
      <c r="G1660" t="b">
        <f t="shared" si="68"/>
        <v>0</v>
      </c>
      <c r="H1660" s="6" t="s">
        <v>1540</v>
      </c>
      <c r="I1660" t="s">
        <v>1585</v>
      </c>
      <c r="J1660">
        <v>3</v>
      </c>
      <c r="L1660" s="9" t="e">
        <f t="shared" si="60"/>
        <v>#VALUE!</v>
      </c>
    </row>
    <row r="1661" spans="1:12" x14ac:dyDescent="0.35">
      <c r="A1661">
        <f t="shared" si="61"/>
        <v>1660</v>
      </c>
      <c r="B1661" t="s">
        <v>110</v>
      </c>
      <c r="C1661" s="109" t="str">
        <f>IF(ISBLANK(K1661),IFERROR(VLOOKUP(I1661,FS_input_data!$C$307:$N$397,Export!J1661,FALSE),""),K1661)</f>
        <v/>
      </c>
      <c r="D1661" s="6"/>
      <c r="F1661" s="6"/>
      <c r="G1661" t="b">
        <f t="shared" si="68"/>
        <v>0</v>
      </c>
      <c r="H1661" s="6" t="s">
        <v>1540</v>
      </c>
      <c r="I1661" t="s">
        <v>1561</v>
      </c>
      <c r="J1661" t="s">
        <v>1561</v>
      </c>
      <c r="L1661">
        <f t="shared" si="60"/>
        <v>1</v>
      </c>
    </row>
    <row r="1662" spans="1:12" x14ac:dyDescent="0.35">
      <c r="A1662" s="9">
        <f t="shared" si="61"/>
        <v>1661</v>
      </c>
      <c r="B1662" t="s">
        <v>111</v>
      </c>
      <c r="C1662" s="109">
        <f>IF(ISBLANK(K1662),IFERROR(VLOOKUP(I1662,FS_input_data!$C$307:$N$397,Export!J1662,FALSE),""),K1662)</f>
        <v>128</v>
      </c>
      <c r="D1662" s="6" t="b">
        <v>1</v>
      </c>
      <c r="E1662" t="s">
        <v>1561</v>
      </c>
      <c r="F1662" s="6"/>
      <c r="G1662" t="b">
        <f t="shared" si="68"/>
        <v>0</v>
      </c>
      <c r="H1662" s="6" t="s">
        <v>1540</v>
      </c>
      <c r="I1662" t="s">
        <v>1585</v>
      </c>
      <c r="J1662">
        <v>4</v>
      </c>
      <c r="L1662" s="9" t="e">
        <f t="shared" si="60"/>
        <v>#VALUE!</v>
      </c>
    </row>
    <row r="1663" spans="1:12" x14ac:dyDescent="0.35">
      <c r="A1663">
        <f t="shared" si="61"/>
        <v>1662</v>
      </c>
      <c r="B1663" t="s">
        <v>112</v>
      </c>
      <c r="C1663" s="109" t="str">
        <f>IF(ISBLANK(K1663),IFERROR(VLOOKUP(I1663,FS_input_data!$C$307:$N$397,Export!J1663,FALSE),""),K1663)</f>
        <v/>
      </c>
      <c r="D1663" s="6"/>
      <c r="E1663" t="s">
        <v>1561</v>
      </c>
      <c r="F1663" s="6"/>
      <c r="G1663" t="b">
        <f t="shared" si="68"/>
        <v>0</v>
      </c>
      <c r="H1663" s="6" t="s">
        <v>1540</v>
      </c>
      <c r="I1663" t="s">
        <v>1561</v>
      </c>
      <c r="J1663" t="s">
        <v>1561</v>
      </c>
      <c r="L1663">
        <f t="shared" si="60"/>
        <v>1</v>
      </c>
    </row>
    <row r="1664" spans="1:12" x14ac:dyDescent="0.35">
      <c r="A1664">
        <f t="shared" si="61"/>
        <v>1663</v>
      </c>
      <c r="B1664" t="s">
        <v>553</v>
      </c>
      <c r="C1664" s="109" t="str">
        <f>IF(ISBLANK(K1664),IFERROR(VLOOKUP(I1664,FS_input_data!$C$307:$N$397,Export!J1664,FALSE),""),K1664)</f>
        <v/>
      </c>
      <c r="D1664" s="6"/>
      <c r="E1664" t="s">
        <v>1561</v>
      </c>
      <c r="F1664" s="6"/>
      <c r="G1664" t="b">
        <f t="shared" si="68"/>
        <v>0</v>
      </c>
      <c r="H1664" s="6" t="s">
        <v>1540</v>
      </c>
      <c r="I1664" t="s">
        <v>1561</v>
      </c>
      <c r="J1664" t="s">
        <v>1561</v>
      </c>
      <c r="L1664">
        <f t="shared" si="60"/>
        <v>1</v>
      </c>
    </row>
    <row r="1665" spans="1:12" x14ac:dyDescent="0.35">
      <c r="A1665">
        <f t="shared" si="61"/>
        <v>1664</v>
      </c>
      <c r="B1665" t="s">
        <v>526</v>
      </c>
      <c r="C1665" s="109" t="str">
        <f>IF(ISBLANK(K1665),IFERROR(VLOOKUP(I1665,FS_input_data!$C$307:$N$397,Export!J1665,FALSE),""),K1665)</f>
        <v/>
      </c>
      <c r="D1665" s="6"/>
      <c r="E1665" t="s">
        <v>1588</v>
      </c>
      <c r="F1665" s="6"/>
      <c r="G1665" t="b">
        <f t="shared" ref="G1665:G1674" si="69">IF(capital_xml,AND($C$1669=0,$C$1671=0),TRUE)</f>
        <v>0</v>
      </c>
      <c r="H1665" s="6" t="s">
        <v>1540</v>
      </c>
      <c r="I1665" t="s">
        <v>1561</v>
      </c>
      <c r="J1665" t="s">
        <v>1561</v>
      </c>
      <c r="L1665" s="26" t="e">
        <f t="shared" si="60"/>
        <v>#VALUE!</v>
      </c>
    </row>
    <row r="1666" spans="1:12" x14ac:dyDescent="0.35">
      <c r="A1666" s="9">
        <f t="shared" si="61"/>
        <v>1665</v>
      </c>
      <c r="B1666" t="s">
        <v>101</v>
      </c>
      <c r="C1666" s="109" t="str">
        <f>IF(ISBLANK(K1666),IFERROR(VLOOKUP(I1666,FS_input_data!$C$307:$N$397,Export!J1666,FALSE),""),K1666)</f>
        <v>IIb_PozycjaUszczegolawiajaca_1</v>
      </c>
      <c r="D1666" s="6" t="b">
        <v>1</v>
      </c>
      <c r="E1666" t="s">
        <v>1561</v>
      </c>
      <c r="F1666" s="6"/>
      <c r="G1666" t="b">
        <f t="shared" si="69"/>
        <v>0</v>
      </c>
      <c r="H1666" s="6" t="s">
        <v>1540</v>
      </c>
      <c r="I1666" t="s">
        <v>1588</v>
      </c>
      <c r="J1666">
        <v>2</v>
      </c>
      <c r="L1666" s="9" t="e">
        <f t="shared" ref="L1666:L1729" si="70">FIND("/",B1666)</f>
        <v>#VALUE!</v>
      </c>
    </row>
    <row r="1667" spans="1:12" x14ac:dyDescent="0.35">
      <c r="A1667">
        <f t="shared" ref="A1667:A1730" si="71">A1666+1</f>
        <v>1666</v>
      </c>
      <c r="B1667" t="s">
        <v>102</v>
      </c>
      <c r="C1667" s="109" t="str">
        <f>IF(ISBLANK(K1667),IFERROR(VLOOKUP(I1667,FS_input_data!$C$307:$N$397,Export!J1667,FALSE),""),K1667)</f>
        <v/>
      </c>
      <c r="D1667" s="6"/>
      <c r="E1667" t="s">
        <v>1561</v>
      </c>
      <c r="F1667" s="6"/>
      <c r="G1667" t="b">
        <f t="shared" si="69"/>
        <v>0</v>
      </c>
      <c r="H1667" s="6" t="s">
        <v>1540</v>
      </c>
      <c r="I1667" t="s">
        <v>1561</v>
      </c>
      <c r="J1667" t="s">
        <v>1561</v>
      </c>
      <c r="L1667">
        <f t="shared" si="70"/>
        <v>1</v>
      </c>
    </row>
    <row r="1668" spans="1:12" x14ac:dyDescent="0.35">
      <c r="A1668">
        <f t="shared" si="71"/>
        <v>1667</v>
      </c>
      <c r="B1668" t="s">
        <v>527</v>
      </c>
      <c r="C1668" s="109" t="str">
        <f>IF(ISBLANK(K1668),IFERROR(VLOOKUP(I1668,FS_input_data!$C$307:$N$397,Export!J1668,FALSE),""),K1668)</f>
        <v/>
      </c>
      <c r="D1668" s="6"/>
      <c r="F1668" s="6"/>
      <c r="G1668" t="b">
        <f t="shared" si="69"/>
        <v>0</v>
      </c>
      <c r="H1668" s="6" t="s">
        <v>1540</v>
      </c>
      <c r="I1668" t="s">
        <v>1561</v>
      </c>
      <c r="J1668" t="s">
        <v>1561</v>
      </c>
      <c r="L1668" s="9" t="e">
        <f t="shared" si="70"/>
        <v>#VALUE!</v>
      </c>
    </row>
    <row r="1669" spans="1:12" x14ac:dyDescent="0.35">
      <c r="A1669" s="9">
        <f t="shared" si="71"/>
        <v>1668</v>
      </c>
      <c r="B1669" t="s">
        <v>109</v>
      </c>
      <c r="C1669" s="109">
        <f>IF(ISBLANK(K1669),IFERROR(VLOOKUP(I1669,FS_input_data!$C$307:$N$397,Export!J1669,FALSE),""),K1669)</f>
        <v>29</v>
      </c>
      <c r="D1669" s="6" t="b">
        <v>1</v>
      </c>
      <c r="E1669" t="s">
        <v>1561</v>
      </c>
      <c r="F1669" s="6"/>
      <c r="G1669" t="b">
        <f t="shared" si="69"/>
        <v>0</v>
      </c>
      <c r="H1669" s="6" t="s">
        <v>1540</v>
      </c>
      <c r="I1669" t="s">
        <v>1588</v>
      </c>
      <c r="J1669">
        <v>3</v>
      </c>
      <c r="L1669" s="9" t="e">
        <f t="shared" si="70"/>
        <v>#VALUE!</v>
      </c>
    </row>
    <row r="1670" spans="1:12" x14ac:dyDescent="0.35">
      <c r="A1670">
        <f t="shared" si="71"/>
        <v>1669</v>
      </c>
      <c r="B1670" t="s">
        <v>110</v>
      </c>
      <c r="C1670" s="109" t="str">
        <f>IF(ISBLANK(K1670),IFERROR(VLOOKUP(I1670,FS_input_data!$C$307:$N$397,Export!J1670,FALSE),""),K1670)</f>
        <v/>
      </c>
      <c r="D1670" s="6"/>
      <c r="F1670" s="6"/>
      <c r="G1670" t="b">
        <f t="shared" si="69"/>
        <v>0</v>
      </c>
      <c r="H1670" s="6" t="s">
        <v>1540</v>
      </c>
      <c r="I1670" t="s">
        <v>1561</v>
      </c>
      <c r="J1670" t="s">
        <v>1561</v>
      </c>
      <c r="L1670">
        <f t="shared" si="70"/>
        <v>1</v>
      </c>
    </row>
    <row r="1671" spans="1:12" x14ac:dyDescent="0.35">
      <c r="A1671" s="9">
        <f t="shared" si="71"/>
        <v>1670</v>
      </c>
      <c r="B1671" t="s">
        <v>111</v>
      </c>
      <c r="C1671" s="109">
        <f>IF(ISBLANK(K1671),IFERROR(VLOOKUP(I1671,FS_input_data!$C$307:$N$397,Export!J1671,FALSE),""),K1671)</f>
        <v>129</v>
      </c>
      <c r="D1671" s="6" t="b">
        <v>1</v>
      </c>
      <c r="E1671" t="s">
        <v>1561</v>
      </c>
      <c r="F1671" s="6"/>
      <c r="G1671" t="b">
        <f t="shared" si="69"/>
        <v>0</v>
      </c>
      <c r="H1671" s="6" t="s">
        <v>1540</v>
      </c>
      <c r="I1671" t="s">
        <v>1588</v>
      </c>
      <c r="J1671">
        <v>4</v>
      </c>
      <c r="L1671" s="9" t="e">
        <f t="shared" si="70"/>
        <v>#VALUE!</v>
      </c>
    </row>
    <row r="1672" spans="1:12" x14ac:dyDescent="0.35">
      <c r="A1672">
        <f t="shared" si="71"/>
        <v>1671</v>
      </c>
      <c r="B1672" t="s">
        <v>112</v>
      </c>
      <c r="C1672" s="109" t="str">
        <f>IF(ISBLANK(K1672),IFERROR(VLOOKUP(I1672,FS_input_data!$C$307:$N$397,Export!J1672,FALSE),""),K1672)</f>
        <v/>
      </c>
      <c r="D1672" s="6"/>
      <c r="E1672" t="s">
        <v>1561</v>
      </c>
      <c r="F1672" s="6"/>
      <c r="G1672" t="b">
        <f t="shared" si="69"/>
        <v>0</v>
      </c>
      <c r="H1672" s="6" t="s">
        <v>1540</v>
      </c>
      <c r="I1672" t="s">
        <v>1561</v>
      </c>
      <c r="J1672" t="s">
        <v>1561</v>
      </c>
      <c r="L1672">
        <f t="shared" si="70"/>
        <v>1</v>
      </c>
    </row>
    <row r="1673" spans="1:12" x14ac:dyDescent="0.35">
      <c r="A1673">
        <f t="shared" si="71"/>
        <v>1672</v>
      </c>
      <c r="B1673" t="s">
        <v>528</v>
      </c>
      <c r="C1673" s="109" t="str">
        <f>IF(ISBLANK(K1673),IFERROR(VLOOKUP(I1673,FS_input_data!$C$307:$N$397,Export!J1673,FALSE),""),K1673)</f>
        <v/>
      </c>
      <c r="D1673" s="6"/>
      <c r="E1673" t="s">
        <v>1561</v>
      </c>
      <c r="F1673" s="6"/>
      <c r="G1673" t="b">
        <f t="shared" si="69"/>
        <v>0</v>
      </c>
      <c r="H1673" s="6" t="s">
        <v>1540</v>
      </c>
      <c r="I1673" t="s">
        <v>1561</v>
      </c>
      <c r="J1673" t="s">
        <v>1561</v>
      </c>
      <c r="L1673">
        <f t="shared" si="70"/>
        <v>1</v>
      </c>
    </row>
    <row r="1674" spans="1:12" x14ac:dyDescent="0.35">
      <c r="A1674">
        <f t="shared" si="71"/>
        <v>1673</v>
      </c>
      <c r="B1674" t="s">
        <v>529</v>
      </c>
      <c r="C1674" s="109" t="str">
        <f>IF(ISBLANK(K1674),IFERROR(VLOOKUP(I1674,FS_input_data!$C$307:$N$397,Export!J1674,FALSE),""),K1674)</f>
        <v/>
      </c>
      <c r="D1674" s="6"/>
      <c r="E1674" t="s">
        <v>1561</v>
      </c>
      <c r="F1674" s="6"/>
      <c r="G1674" t="b">
        <f t="shared" si="69"/>
        <v>0</v>
      </c>
      <c r="H1674" s="6" t="s">
        <v>1540</v>
      </c>
      <c r="I1674" t="s">
        <v>1561</v>
      </c>
      <c r="J1674" t="s">
        <v>1561</v>
      </c>
      <c r="L1674">
        <f t="shared" si="70"/>
        <v>1</v>
      </c>
    </row>
    <row r="1675" spans="1:12" x14ac:dyDescent="0.35">
      <c r="A1675">
        <f t="shared" si="71"/>
        <v>1674</v>
      </c>
      <c r="B1675" t="s">
        <v>526</v>
      </c>
      <c r="C1675" s="109" t="str">
        <f>IF(ISBLANK(K1675),IFERROR(VLOOKUP(I1675,FS_input_data!$C$307:$N$397,Export!J1675,FALSE),""),K1675)</f>
        <v/>
      </c>
      <c r="D1675" s="6"/>
      <c r="E1675" t="s">
        <v>1587</v>
      </c>
      <c r="F1675" s="6"/>
      <c r="G1675" t="b">
        <f t="shared" ref="G1675:G1684" si="72">IF(capital_xml,AND($C$1679=0,$C$1681=0),TRUE)</f>
        <v>0</v>
      </c>
      <c r="H1675" s="6" t="s">
        <v>1540</v>
      </c>
      <c r="I1675" t="s">
        <v>1561</v>
      </c>
      <c r="J1675" t="s">
        <v>1561</v>
      </c>
      <c r="L1675" s="26" t="e">
        <f t="shared" si="70"/>
        <v>#VALUE!</v>
      </c>
    </row>
    <row r="1676" spans="1:12" x14ac:dyDescent="0.35">
      <c r="A1676" s="9">
        <f t="shared" si="71"/>
        <v>1675</v>
      </c>
      <c r="B1676" t="s">
        <v>101</v>
      </c>
      <c r="C1676" s="109" t="str">
        <f>IF(ISBLANK(K1676),IFERROR(VLOOKUP(I1676,FS_input_data!$C$307:$N$397,Export!J1676,FALSE),""),K1676)</f>
        <v>IIb_PozycjaUszczegolawiajaca_2</v>
      </c>
      <c r="D1676" s="6" t="b">
        <v>1</v>
      </c>
      <c r="E1676" t="s">
        <v>1561</v>
      </c>
      <c r="F1676" s="6"/>
      <c r="G1676" t="b">
        <f t="shared" si="72"/>
        <v>0</v>
      </c>
      <c r="H1676" s="6" t="s">
        <v>1540</v>
      </c>
      <c r="I1676" t="s">
        <v>1587</v>
      </c>
      <c r="J1676">
        <v>2</v>
      </c>
      <c r="L1676" s="9" t="e">
        <f t="shared" si="70"/>
        <v>#VALUE!</v>
      </c>
    </row>
    <row r="1677" spans="1:12" x14ac:dyDescent="0.35">
      <c r="A1677">
        <f t="shared" si="71"/>
        <v>1676</v>
      </c>
      <c r="B1677" t="s">
        <v>102</v>
      </c>
      <c r="C1677" s="109" t="str">
        <f>IF(ISBLANK(K1677),IFERROR(VLOOKUP(I1677,FS_input_data!$C$307:$N$397,Export!J1677,FALSE),""),K1677)</f>
        <v/>
      </c>
      <c r="D1677" s="6"/>
      <c r="E1677" t="s">
        <v>1561</v>
      </c>
      <c r="F1677" s="6"/>
      <c r="G1677" t="b">
        <f t="shared" si="72"/>
        <v>0</v>
      </c>
      <c r="H1677" s="6" t="s">
        <v>1540</v>
      </c>
      <c r="I1677" t="s">
        <v>1561</v>
      </c>
      <c r="J1677" t="s">
        <v>1561</v>
      </c>
      <c r="L1677">
        <f t="shared" si="70"/>
        <v>1</v>
      </c>
    </row>
    <row r="1678" spans="1:12" x14ac:dyDescent="0.35">
      <c r="A1678">
        <f t="shared" si="71"/>
        <v>1677</v>
      </c>
      <c r="B1678" t="s">
        <v>527</v>
      </c>
      <c r="C1678" s="109" t="str">
        <f>IF(ISBLANK(K1678),IFERROR(VLOOKUP(I1678,FS_input_data!$C$307:$N$397,Export!J1678,FALSE),""),K1678)</f>
        <v/>
      </c>
      <c r="D1678" s="6"/>
      <c r="F1678" s="6"/>
      <c r="G1678" t="b">
        <f t="shared" si="72"/>
        <v>0</v>
      </c>
      <c r="H1678" s="6" t="s">
        <v>1540</v>
      </c>
      <c r="I1678" t="s">
        <v>1561</v>
      </c>
      <c r="J1678" t="s">
        <v>1561</v>
      </c>
      <c r="L1678" s="9" t="e">
        <f t="shared" si="70"/>
        <v>#VALUE!</v>
      </c>
    </row>
    <row r="1679" spans="1:12" x14ac:dyDescent="0.35">
      <c r="A1679" s="9">
        <f t="shared" si="71"/>
        <v>1678</v>
      </c>
      <c r="B1679" t="s">
        <v>109</v>
      </c>
      <c r="C1679" s="109">
        <f>IF(ISBLANK(K1679),IFERROR(VLOOKUP(I1679,FS_input_data!$C$307:$N$397,Export!J1679,FALSE),""),K1679)</f>
        <v>30</v>
      </c>
      <c r="D1679" s="6" t="b">
        <v>1</v>
      </c>
      <c r="E1679" t="s">
        <v>1561</v>
      </c>
      <c r="F1679" s="6"/>
      <c r="G1679" t="b">
        <f t="shared" si="72"/>
        <v>0</v>
      </c>
      <c r="H1679" s="6" t="s">
        <v>1540</v>
      </c>
      <c r="I1679" t="s">
        <v>1587</v>
      </c>
      <c r="J1679">
        <v>3</v>
      </c>
      <c r="L1679" s="9" t="e">
        <f t="shared" si="70"/>
        <v>#VALUE!</v>
      </c>
    </row>
    <row r="1680" spans="1:12" x14ac:dyDescent="0.35">
      <c r="A1680">
        <f t="shared" si="71"/>
        <v>1679</v>
      </c>
      <c r="B1680" t="s">
        <v>110</v>
      </c>
      <c r="C1680" s="109" t="str">
        <f>IF(ISBLANK(K1680),IFERROR(VLOOKUP(I1680,FS_input_data!$C$307:$N$397,Export!J1680,FALSE),""),K1680)</f>
        <v/>
      </c>
      <c r="D1680" s="6"/>
      <c r="F1680" s="6"/>
      <c r="G1680" t="b">
        <f t="shared" si="72"/>
        <v>0</v>
      </c>
      <c r="H1680" s="6" t="s">
        <v>1540</v>
      </c>
      <c r="I1680" t="s">
        <v>1561</v>
      </c>
      <c r="J1680" t="s">
        <v>1561</v>
      </c>
      <c r="L1680">
        <f t="shared" si="70"/>
        <v>1</v>
      </c>
    </row>
    <row r="1681" spans="1:12" x14ac:dyDescent="0.35">
      <c r="A1681" s="9">
        <f t="shared" si="71"/>
        <v>1680</v>
      </c>
      <c r="B1681" t="s">
        <v>111</v>
      </c>
      <c r="C1681" s="109">
        <f>IF(ISBLANK(K1681),IFERROR(VLOOKUP(I1681,FS_input_data!$C$307:$N$397,Export!J1681,FALSE),""),K1681)</f>
        <v>130</v>
      </c>
      <c r="D1681" s="6" t="b">
        <v>1</v>
      </c>
      <c r="E1681" t="s">
        <v>1561</v>
      </c>
      <c r="F1681" s="6"/>
      <c r="G1681" t="b">
        <f t="shared" si="72"/>
        <v>0</v>
      </c>
      <c r="H1681" s="6" t="s">
        <v>1540</v>
      </c>
      <c r="I1681" t="s">
        <v>1587</v>
      </c>
      <c r="J1681">
        <v>4</v>
      </c>
      <c r="L1681" s="9" t="e">
        <f t="shared" si="70"/>
        <v>#VALUE!</v>
      </c>
    </row>
    <row r="1682" spans="1:12" x14ac:dyDescent="0.35">
      <c r="A1682">
        <f t="shared" si="71"/>
        <v>1681</v>
      </c>
      <c r="B1682" t="s">
        <v>112</v>
      </c>
      <c r="C1682" s="109" t="str">
        <f>IF(ISBLANK(K1682),IFERROR(VLOOKUP(I1682,FS_input_data!$C$307:$N$397,Export!J1682,FALSE),""),K1682)</f>
        <v/>
      </c>
      <c r="D1682" s="6"/>
      <c r="E1682" t="s">
        <v>1561</v>
      </c>
      <c r="F1682" s="6"/>
      <c r="G1682" t="b">
        <f t="shared" si="72"/>
        <v>0</v>
      </c>
      <c r="H1682" s="6" t="s">
        <v>1540</v>
      </c>
      <c r="I1682" t="s">
        <v>1561</v>
      </c>
      <c r="J1682" t="s">
        <v>1561</v>
      </c>
      <c r="L1682">
        <f t="shared" si="70"/>
        <v>1</v>
      </c>
    </row>
    <row r="1683" spans="1:12" x14ac:dyDescent="0.35">
      <c r="A1683">
        <f t="shared" si="71"/>
        <v>1682</v>
      </c>
      <c r="B1683" t="s">
        <v>528</v>
      </c>
      <c r="C1683" s="109" t="str">
        <f>IF(ISBLANK(K1683),IFERROR(VLOOKUP(I1683,FS_input_data!$C$307:$N$397,Export!J1683,FALSE),""),K1683)</f>
        <v/>
      </c>
      <c r="D1683" s="6"/>
      <c r="E1683" t="s">
        <v>1561</v>
      </c>
      <c r="F1683" s="6"/>
      <c r="G1683" t="b">
        <f t="shared" si="72"/>
        <v>0</v>
      </c>
      <c r="H1683" s="6" t="s">
        <v>1540</v>
      </c>
      <c r="I1683" t="s">
        <v>1561</v>
      </c>
      <c r="J1683" t="s">
        <v>1561</v>
      </c>
      <c r="L1683">
        <f t="shared" si="70"/>
        <v>1</v>
      </c>
    </row>
    <row r="1684" spans="1:12" x14ac:dyDescent="0.35">
      <c r="A1684">
        <f t="shared" si="71"/>
        <v>1683</v>
      </c>
      <c r="B1684" t="s">
        <v>529</v>
      </c>
      <c r="C1684" s="109" t="str">
        <f>IF(ISBLANK(K1684),IFERROR(VLOOKUP(I1684,FS_input_data!$C$307:$N$397,Export!J1684,FALSE),""),K1684)</f>
        <v/>
      </c>
      <c r="D1684" s="6"/>
      <c r="E1684" t="s">
        <v>1561</v>
      </c>
      <c r="F1684" s="6"/>
      <c r="G1684" t="b">
        <f t="shared" si="72"/>
        <v>0</v>
      </c>
      <c r="H1684" s="6" t="s">
        <v>1540</v>
      </c>
      <c r="I1684" t="s">
        <v>1561</v>
      </c>
      <c r="J1684" t="s">
        <v>1561</v>
      </c>
      <c r="L1684">
        <f t="shared" si="70"/>
        <v>1</v>
      </c>
    </row>
    <row r="1685" spans="1:12" x14ac:dyDescent="0.35">
      <c r="A1685">
        <f t="shared" si="71"/>
        <v>1684</v>
      </c>
      <c r="B1685" t="s">
        <v>526</v>
      </c>
      <c r="C1685" s="109" t="str">
        <f>IF(ISBLANK(K1685),IFERROR(VLOOKUP(I1685,FS_input_data!$C$307:$N$397,Export!J1685,FALSE),""),K1685)</f>
        <v/>
      </c>
      <c r="D1685" s="6"/>
      <c r="E1685" t="s">
        <v>1589</v>
      </c>
      <c r="F1685" s="6"/>
      <c r="G1685" t="b">
        <f t="shared" ref="G1685:G1696" si="73">IF(capital_xml,AND($C$1689=0,$C$1691=0),TRUE)</f>
        <v>0</v>
      </c>
      <c r="H1685" s="6" t="s">
        <v>1540</v>
      </c>
      <c r="I1685" t="s">
        <v>1561</v>
      </c>
      <c r="J1685" t="s">
        <v>1561</v>
      </c>
      <c r="L1685" s="26" t="e">
        <f t="shared" si="70"/>
        <v>#VALUE!</v>
      </c>
    </row>
    <row r="1686" spans="1:12" x14ac:dyDescent="0.35">
      <c r="A1686" s="9">
        <f t="shared" si="71"/>
        <v>1685</v>
      </c>
      <c r="B1686" t="s">
        <v>101</v>
      </c>
      <c r="C1686" s="109" t="str">
        <f>IF(ISBLANK(K1686),IFERROR(VLOOKUP(I1686,FS_input_data!$C$307:$N$397,Export!J1686,FALSE),""),K1686)</f>
        <v>IIb_PozycjaUszczegolawiajaca_3</v>
      </c>
      <c r="D1686" s="6" t="b">
        <v>1</v>
      </c>
      <c r="E1686" t="s">
        <v>1561</v>
      </c>
      <c r="F1686" s="6"/>
      <c r="G1686" t="b">
        <f t="shared" si="73"/>
        <v>0</v>
      </c>
      <c r="H1686" s="6" t="s">
        <v>1540</v>
      </c>
      <c r="I1686" t="s">
        <v>1589</v>
      </c>
      <c r="J1686">
        <v>2</v>
      </c>
      <c r="L1686" s="9" t="e">
        <f t="shared" si="70"/>
        <v>#VALUE!</v>
      </c>
    </row>
    <row r="1687" spans="1:12" x14ac:dyDescent="0.35">
      <c r="A1687">
        <f t="shared" si="71"/>
        <v>1686</v>
      </c>
      <c r="B1687" t="s">
        <v>102</v>
      </c>
      <c r="C1687" s="109" t="str">
        <f>IF(ISBLANK(K1687),IFERROR(VLOOKUP(I1687,FS_input_data!$C$307:$N$397,Export!J1687,FALSE),""),K1687)</f>
        <v/>
      </c>
      <c r="D1687" s="6"/>
      <c r="E1687" t="s">
        <v>1561</v>
      </c>
      <c r="F1687" s="6"/>
      <c r="G1687" t="b">
        <f t="shared" si="73"/>
        <v>0</v>
      </c>
      <c r="H1687" s="6" t="s">
        <v>1540</v>
      </c>
      <c r="I1687" t="s">
        <v>1561</v>
      </c>
      <c r="J1687" t="s">
        <v>1561</v>
      </c>
      <c r="L1687">
        <f t="shared" si="70"/>
        <v>1</v>
      </c>
    </row>
    <row r="1688" spans="1:12" x14ac:dyDescent="0.35">
      <c r="A1688">
        <f t="shared" si="71"/>
        <v>1687</v>
      </c>
      <c r="B1688" t="s">
        <v>527</v>
      </c>
      <c r="C1688" s="109" t="str">
        <f>IF(ISBLANK(K1688),IFERROR(VLOOKUP(I1688,FS_input_data!$C$307:$N$397,Export!J1688,FALSE),""),K1688)</f>
        <v/>
      </c>
      <c r="D1688" s="6"/>
      <c r="F1688" s="6"/>
      <c r="G1688" t="b">
        <f t="shared" si="73"/>
        <v>0</v>
      </c>
      <c r="H1688" s="6" t="s">
        <v>1540</v>
      </c>
      <c r="I1688" t="s">
        <v>1561</v>
      </c>
      <c r="J1688" t="s">
        <v>1561</v>
      </c>
      <c r="L1688" s="9" t="e">
        <f t="shared" si="70"/>
        <v>#VALUE!</v>
      </c>
    </row>
    <row r="1689" spans="1:12" x14ac:dyDescent="0.35">
      <c r="A1689" s="9">
        <f t="shared" si="71"/>
        <v>1688</v>
      </c>
      <c r="B1689" t="s">
        <v>109</v>
      </c>
      <c r="C1689" s="109">
        <f>IF(ISBLANK(K1689),IFERROR(VLOOKUP(I1689,FS_input_data!$C$307:$N$397,Export!J1689,FALSE),""),K1689)</f>
        <v>31</v>
      </c>
      <c r="D1689" s="6" t="b">
        <v>1</v>
      </c>
      <c r="E1689" t="s">
        <v>1561</v>
      </c>
      <c r="F1689" s="6"/>
      <c r="G1689" t="b">
        <f t="shared" si="73"/>
        <v>0</v>
      </c>
      <c r="H1689" s="6" t="s">
        <v>1540</v>
      </c>
      <c r="I1689" t="s">
        <v>1589</v>
      </c>
      <c r="J1689">
        <v>3</v>
      </c>
      <c r="L1689" s="9" t="e">
        <f t="shared" si="70"/>
        <v>#VALUE!</v>
      </c>
    </row>
    <row r="1690" spans="1:12" x14ac:dyDescent="0.35">
      <c r="A1690">
        <f t="shared" si="71"/>
        <v>1689</v>
      </c>
      <c r="B1690" t="s">
        <v>110</v>
      </c>
      <c r="C1690" s="109" t="str">
        <f>IF(ISBLANK(K1690),IFERROR(VLOOKUP(I1690,FS_input_data!$C$307:$N$397,Export!J1690,FALSE),""),K1690)</f>
        <v/>
      </c>
      <c r="D1690" s="6"/>
      <c r="F1690" s="6"/>
      <c r="G1690" t="b">
        <f t="shared" si="73"/>
        <v>0</v>
      </c>
      <c r="H1690" s="6" t="s">
        <v>1540</v>
      </c>
      <c r="I1690" t="s">
        <v>1561</v>
      </c>
      <c r="J1690" t="s">
        <v>1561</v>
      </c>
      <c r="L1690">
        <f t="shared" si="70"/>
        <v>1</v>
      </c>
    </row>
    <row r="1691" spans="1:12" x14ac:dyDescent="0.35">
      <c r="A1691" s="9">
        <f t="shared" si="71"/>
        <v>1690</v>
      </c>
      <c r="B1691" t="s">
        <v>111</v>
      </c>
      <c r="C1691" s="109">
        <f>IF(ISBLANK(K1691),IFERROR(VLOOKUP(I1691,FS_input_data!$C$307:$N$397,Export!J1691,FALSE),""),K1691)</f>
        <v>131</v>
      </c>
      <c r="D1691" s="6" t="b">
        <v>1</v>
      </c>
      <c r="E1691" t="s">
        <v>1561</v>
      </c>
      <c r="F1691" s="6"/>
      <c r="G1691" t="b">
        <f t="shared" si="73"/>
        <v>0</v>
      </c>
      <c r="H1691" s="6" t="s">
        <v>1540</v>
      </c>
      <c r="I1691" t="s">
        <v>1589</v>
      </c>
      <c r="J1691">
        <v>4</v>
      </c>
      <c r="L1691" s="9" t="e">
        <f t="shared" si="70"/>
        <v>#VALUE!</v>
      </c>
    </row>
    <row r="1692" spans="1:12" x14ac:dyDescent="0.35">
      <c r="A1692">
        <f t="shared" si="71"/>
        <v>1691</v>
      </c>
      <c r="B1692" t="s">
        <v>112</v>
      </c>
      <c r="C1692" s="109" t="str">
        <f>IF(ISBLANK(K1692),IFERROR(VLOOKUP(I1692,FS_input_data!$C$307:$N$397,Export!J1692,FALSE),""),K1692)</f>
        <v/>
      </c>
      <c r="D1692" s="6"/>
      <c r="E1692" t="s">
        <v>1561</v>
      </c>
      <c r="F1692" s="6"/>
      <c r="G1692" t="b">
        <f t="shared" si="73"/>
        <v>0</v>
      </c>
      <c r="H1692" s="6" t="s">
        <v>1540</v>
      </c>
      <c r="I1692" t="s">
        <v>1561</v>
      </c>
      <c r="J1692" t="s">
        <v>1561</v>
      </c>
      <c r="L1692">
        <f t="shared" si="70"/>
        <v>1</v>
      </c>
    </row>
    <row r="1693" spans="1:12" x14ac:dyDescent="0.35">
      <c r="A1693">
        <f t="shared" si="71"/>
        <v>1692</v>
      </c>
      <c r="B1693" t="s">
        <v>528</v>
      </c>
      <c r="C1693" s="109" t="str">
        <f>IF(ISBLANK(K1693),IFERROR(VLOOKUP(I1693,FS_input_data!$C$307:$N$397,Export!J1693,FALSE),""),K1693)</f>
        <v/>
      </c>
      <c r="D1693" s="6"/>
      <c r="E1693" t="s">
        <v>1561</v>
      </c>
      <c r="F1693" s="6"/>
      <c r="G1693" t="b">
        <f t="shared" si="73"/>
        <v>0</v>
      </c>
      <c r="H1693" s="6" t="s">
        <v>1540</v>
      </c>
      <c r="I1693" t="s">
        <v>1561</v>
      </c>
      <c r="J1693" t="s">
        <v>1561</v>
      </c>
      <c r="L1693">
        <f t="shared" si="70"/>
        <v>1</v>
      </c>
    </row>
    <row r="1694" spans="1:12" x14ac:dyDescent="0.35">
      <c r="A1694">
        <f t="shared" si="71"/>
        <v>1693</v>
      </c>
      <c r="B1694" t="s">
        <v>529</v>
      </c>
      <c r="C1694" s="109" t="str">
        <f>IF(ISBLANK(K1694),IFERROR(VLOOKUP(I1694,FS_input_data!$C$307:$N$397,Export!J1694,FALSE),""),K1694)</f>
        <v/>
      </c>
      <c r="D1694" s="6"/>
      <c r="E1694" t="s">
        <v>1561</v>
      </c>
      <c r="F1694" s="6"/>
      <c r="G1694" t="b">
        <f t="shared" si="73"/>
        <v>0</v>
      </c>
      <c r="H1694" s="6" t="s">
        <v>1540</v>
      </c>
      <c r="I1694" t="s">
        <v>1561</v>
      </c>
      <c r="J1694" t="s">
        <v>1561</v>
      </c>
      <c r="L1694">
        <f t="shared" si="70"/>
        <v>1</v>
      </c>
    </row>
    <row r="1695" spans="1:12" x14ac:dyDescent="0.35">
      <c r="A1695">
        <f t="shared" si="71"/>
        <v>1694</v>
      </c>
      <c r="B1695" t="s">
        <v>554</v>
      </c>
      <c r="C1695" s="109" t="str">
        <f>IF(ISBLANK(K1695),IFERROR(VLOOKUP(I1695,FS_input_data!$C$307:$N$397,Export!J1695,FALSE),""),K1695)</f>
        <v/>
      </c>
      <c r="D1695" s="6"/>
      <c r="E1695" t="s">
        <v>1561</v>
      </c>
      <c r="F1695" s="6"/>
      <c r="G1695" t="b">
        <f t="shared" si="73"/>
        <v>0</v>
      </c>
      <c r="H1695" s="6" t="s">
        <v>1540</v>
      </c>
      <c r="I1695" t="s">
        <v>1561</v>
      </c>
      <c r="J1695" t="s">
        <v>1561</v>
      </c>
      <c r="L1695">
        <f t="shared" si="70"/>
        <v>1</v>
      </c>
    </row>
    <row r="1696" spans="1:12" x14ac:dyDescent="0.35">
      <c r="A1696">
        <f t="shared" si="71"/>
        <v>1695</v>
      </c>
      <c r="B1696" t="s">
        <v>555</v>
      </c>
      <c r="C1696" s="109" t="str">
        <f>IF(ISBLANK(K1696),IFERROR(VLOOKUP(I1696,FS_input_data!$C$307:$N$397,Export!J1696,FALSE),""),K1696)</f>
        <v/>
      </c>
      <c r="D1696" s="6"/>
      <c r="E1696" t="s">
        <v>1561</v>
      </c>
      <c r="F1696" s="6"/>
      <c r="G1696" t="b">
        <f t="shared" si="73"/>
        <v>0</v>
      </c>
      <c r="H1696" s="6" t="s">
        <v>1540</v>
      </c>
      <c r="I1696" t="s">
        <v>1561</v>
      </c>
      <c r="J1696" t="s">
        <v>1561</v>
      </c>
      <c r="L1696">
        <f t="shared" si="70"/>
        <v>1</v>
      </c>
    </row>
    <row r="1697" spans="1:12" x14ac:dyDescent="0.35">
      <c r="A1697">
        <f t="shared" si="71"/>
        <v>1696</v>
      </c>
      <c r="B1697" t="s">
        <v>556</v>
      </c>
      <c r="C1697" s="109" t="str">
        <f>IF(ISBLANK(K1697),IFERROR(VLOOKUP(I1697,FS_input_data!$C$307:$N$397,Export!J1697,FALSE),""),K1697)</f>
        <v/>
      </c>
      <c r="D1697" s="6"/>
      <c r="E1697" t="s">
        <v>1591</v>
      </c>
      <c r="F1697" s="6"/>
      <c r="G1697" t="b">
        <f t="shared" ref="G1697:G1703" si="74">IF(capital_xml,AND($C$1698=0,$C$1700=0),TRUE)</f>
        <v>0</v>
      </c>
      <c r="H1697" s="6" t="s">
        <v>1540</v>
      </c>
      <c r="I1697" t="s">
        <v>1561</v>
      </c>
      <c r="J1697" t="s">
        <v>1561</v>
      </c>
      <c r="L1697" s="26" t="e">
        <f t="shared" si="70"/>
        <v>#VALUE!</v>
      </c>
    </row>
    <row r="1698" spans="1:12" x14ac:dyDescent="0.35">
      <c r="A1698" s="9">
        <f t="shared" si="71"/>
        <v>1697</v>
      </c>
      <c r="B1698" t="s">
        <v>109</v>
      </c>
      <c r="C1698" s="109">
        <f>IF(ISBLANK(K1698),IFERROR(VLOOKUP(I1698,FS_input_data!$C$307:$N$397,Export!J1698,FALSE),""),K1698)</f>
        <v>246</v>
      </c>
      <c r="D1698" s="6" t="b">
        <v>1</v>
      </c>
      <c r="E1698" t="s">
        <v>1561</v>
      </c>
      <c r="F1698" s="6"/>
      <c r="G1698" t="b">
        <f t="shared" si="74"/>
        <v>0</v>
      </c>
      <c r="H1698" s="6" t="s">
        <v>1540</v>
      </c>
      <c r="I1698" t="s">
        <v>1590</v>
      </c>
      <c r="J1698">
        <v>3</v>
      </c>
      <c r="L1698" s="9" t="e">
        <f t="shared" si="70"/>
        <v>#VALUE!</v>
      </c>
    </row>
    <row r="1699" spans="1:12" x14ac:dyDescent="0.35">
      <c r="A1699">
        <f t="shared" si="71"/>
        <v>1698</v>
      </c>
      <c r="B1699" t="s">
        <v>110</v>
      </c>
      <c r="C1699" s="109" t="str">
        <f>IF(ISBLANK(K1699),IFERROR(VLOOKUP(I1699,FS_input_data!$C$307:$N$397,Export!J1699,FALSE),""),K1699)</f>
        <v/>
      </c>
      <c r="D1699" s="6"/>
      <c r="F1699" s="6"/>
      <c r="G1699" t="b">
        <f t="shared" si="74"/>
        <v>0</v>
      </c>
      <c r="H1699" s="6" t="s">
        <v>1540</v>
      </c>
      <c r="I1699" t="s">
        <v>1561</v>
      </c>
      <c r="J1699" t="s">
        <v>1561</v>
      </c>
      <c r="L1699">
        <f t="shared" si="70"/>
        <v>1</v>
      </c>
    </row>
    <row r="1700" spans="1:12" x14ac:dyDescent="0.35">
      <c r="A1700" s="9">
        <f t="shared" si="71"/>
        <v>1699</v>
      </c>
      <c r="B1700" t="s">
        <v>111</v>
      </c>
      <c r="C1700" s="109">
        <f>IF(ISBLANK(K1700),IFERROR(VLOOKUP(I1700,FS_input_data!$C$307:$N$397,Export!J1700,FALSE),""),K1700)</f>
        <v>223</v>
      </c>
      <c r="D1700" s="6" t="b">
        <v>1</v>
      </c>
      <c r="E1700" t="s">
        <v>1561</v>
      </c>
      <c r="F1700" s="6"/>
      <c r="G1700" t="b">
        <f t="shared" si="74"/>
        <v>0</v>
      </c>
      <c r="H1700" s="6" t="s">
        <v>1540</v>
      </c>
      <c r="I1700" t="s">
        <v>1590</v>
      </c>
      <c r="J1700">
        <v>4</v>
      </c>
      <c r="L1700" s="9" t="e">
        <f t="shared" si="70"/>
        <v>#VALUE!</v>
      </c>
    </row>
    <row r="1701" spans="1:12" x14ac:dyDescent="0.35">
      <c r="A1701">
        <f t="shared" si="71"/>
        <v>1700</v>
      </c>
      <c r="B1701" t="s">
        <v>112</v>
      </c>
      <c r="C1701" s="109" t="str">
        <f>IF(ISBLANK(K1701),IFERROR(VLOOKUP(I1701,FS_input_data!$C$307:$N$397,Export!J1701,FALSE),""),K1701)</f>
        <v/>
      </c>
      <c r="D1701" s="6"/>
      <c r="E1701" t="s">
        <v>1561</v>
      </c>
      <c r="F1701" s="6"/>
      <c r="G1701" t="b">
        <f t="shared" si="74"/>
        <v>0</v>
      </c>
      <c r="H1701" s="6" t="s">
        <v>1540</v>
      </c>
      <c r="I1701" t="s">
        <v>1561</v>
      </c>
      <c r="J1701" t="s">
        <v>1561</v>
      </c>
      <c r="L1701">
        <f t="shared" si="70"/>
        <v>1</v>
      </c>
    </row>
    <row r="1702" spans="1:12" x14ac:dyDescent="0.35">
      <c r="A1702">
        <f t="shared" si="71"/>
        <v>1701</v>
      </c>
      <c r="B1702" t="s">
        <v>557</v>
      </c>
      <c r="C1702" s="109" t="str">
        <f>IF(ISBLANK(K1702),IFERROR(VLOOKUP(I1702,FS_input_data!$C$307:$N$397,Export!J1702,FALSE),""),K1702)</f>
        <v/>
      </c>
      <c r="D1702" s="6"/>
      <c r="E1702" t="s">
        <v>1561</v>
      </c>
      <c r="F1702" s="6"/>
      <c r="G1702" t="b">
        <f t="shared" si="74"/>
        <v>0</v>
      </c>
      <c r="H1702" s="6" t="s">
        <v>1540</v>
      </c>
      <c r="I1702" t="s">
        <v>1561</v>
      </c>
      <c r="J1702" t="s">
        <v>1561</v>
      </c>
      <c r="L1702">
        <f t="shared" si="70"/>
        <v>1</v>
      </c>
    </row>
    <row r="1703" spans="1:12" x14ac:dyDescent="0.35">
      <c r="A1703">
        <f t="shared" si="71"/>
        <v>1702</v>
      </c>
      <c r="B1703" t="s">
        <v>558</v>
      </c>
      <c r="C1703" s="109" t="str">
        <f>IF(ISBLANK(K1703),IFERROR(VLOOKUP(I1703,FS_input_data!$C$307:$N$397,Export!J1703,FALSE),""),K1703)</f>
        <v/>
      </c>
      <c r="D1703" s="6"/>
      <c r="E1703" t="s">
        <v>1561</v>
      </c>
      <c r="F1703" s="6"/>
      <c r="G1703" t="b">
        <f t="shared" si="74"/>
        <v>0</v>
      </c>
      <c r="H1703" s="6" t="s">
        <v>1540</v>
      </c>
      <c r="I1703" t="s">
        <v>1561</v>
      </c>
      <c r="J1703" t="s">
        <v>1561</v>
      </c>
      <c r="L1703">
        <f t="shared" si="70"/>
        <v>1</v>
      </c>
    </row>
    <row r="1704" spans="1:12" x14ac:dyDescent="0.35">
      <c r="A1704">
        <f t="shared" si="71"/>
        <v>1703</v>
      </c>
      <c r="B1704" t="s">
        <v>559</v>
      </c>
      <c r="C1704" s="109" t="str">
        <f>IF(ISBLANK(K1704),IFERROR(VLOOKUP(I1704,FS_input_data!$C$307:$N$397,Export!J1704,FALSE),""),K1704)</f>
        <v/>
      </c>
      <c r="D1704" s="6"/>
      <c r="E1704" t="s">
        <v>1593</v>
      </c>
      <c r="F1704" s="6"/>
      <c r="G1704" t="b">
        <f>IF(capital_xml,AND($C$1705=0,$C$1707=0),TRUE)</f>
        <v>0</v>
      </c>
      <c r="H1704" s="6" t="s">
        <v>1540</v>
      </c>
      <c r="I1704" t="s">
        <v>1561</v>
      </c>
      <c r="J1704" t="s">
        <v>1561</v>
      </c>
      <c r="L1704" s="26" t="e">
        <f t="shared" si="70"/>
        <v>#VALUE!</v>
      </c>
    </row>
    <row r="1705" spans="1:12" x14ac:dyDescent="0.35">
      <c r="A1705" s="9">
        <f t="shared" si="71"/>
        <v>1704</v>
      </c>
      <c r="B1705" t="s">
        <v>109</v>
      </c>
      <c r="C1705" s="109">
        <f>IF(ISBLANK(K1705),IFERROR(VLOOKUP(I1705,FS_input_data!$C$307:$N$397,Export!J1705,FALSE),""),K1705)</f>
        <v>-155</v>
      </c>
      <c r="D1705" s="6" t="b">
        <v>1</v>
      </c>
      <c r="E1705" t="s">
        <v>1561</v>
      </c>
      <c r="F1705" s="6"/>
      <c r="G1705" t="b">
        <f>IF(capital_xml,AND($C$1705=0,$C$1707=0),TRUE)</f>
        <v>0</v>
      </c>
      <c r="H1705" s="6" t="s">
        <v>1540</v>
      </c>
      <c r="I1705" t="s">
        <v>1592</v>
      </c>
      <c r="J1705">
        <v>3</v>
      </c>
      <c r="L1705" s="9" t="e">
        <f t="shared" si="70"/>
        <v>#VALUE!</v>
      </c>
    </row>
    <row r="1706" spans="1:12" x14ac:dyDescent="0.35">
      <c r="A1706">
        <f t="shared" si="71"/>
        <v>1705</v>
      </c>
      <c r="B1706" t="s">
        <v>110</v>
      </c>
      <c r="C1706" s="109" t="str">
        <f>IF(ISBLANK(K1706),IFERROR(VLOOKUP(I1706,FS_input_data!$C$307:$N$397,Export!J1706,FALSE),""),K1706)</f>
        <v/>
      </c>
      <c r="D1706" s="6"/>
      <c r="F1706" s="6"/>
      <c r="G1706" t="b">
        <f>IF(capital_xml,AND($C$1705=0,$C$1707=0),TRUE)</f>
        <v>0</v>
      </c>
      <c r="H1706" s="6" t="s">
        <v>1540</v>
      </c>
      <c r="I1706" t="s">
        <v>1561</v>
      </c>
      <c r="J1706" t="s">
        <v>1561</v>
      </c>
      <c r="L1706">
        <f t="shared" si="70"/>
        <v>1</v>
      </c>
    </row>
    <row r="1707" spans="1:12" x14ac:dyDescent="0.35">
      <c r="A1707" s="9">
        <f t="shared" si="71"/>
        <v>1706</v>
      </c>
      <c r="B1707" t="s">
        <v>111</v>
      </c>
      <c r="C1707" s="109">
        <f>IF(ISBLANK(K1707),IFERROR(VLOOKUP(I1707,FS_input_data!$C$307:$N$397,Export!J1707,FALSE),""),K1707)</f>
        <v>0</v>
      </c>
      <c r="D1707" s="6" t="b">
        <v>1</v>
      </c>
      <c r="E1707" t="s">
        <v>1561</v>
      </c>
      <c r="F1707" s="6"/>
      <c r="G1707" t="b">
        <f>IF(capital_xml,AND($C$1705=0,$C$1707=0),TRUE)</f>
        <v>0</v>
      </c>
      <c r="H1707" s="6" t="s">
        <v>1540</v>
      </c>
      <c r="I1707" t="s">
        <v>1592</v>
      </c>
      <c r="J1707">
        <v>4</v>
      </c>
      <c r="L1707" s="9" t="e">
        <f t="shared" si="70"/>
        <v>#VALUE!</v>
      </c>
    </row>
    <row r="1708" spans="1:12" x14ac:dyDescent="0.35">
      <c r="A1708">
        <f t="shared" si="71"/>
        <v>1707</v>
      </c>
      <c r="B1708" t="s">
        <v>112</v>
      </c>
      <c r="C1708" s="109" t="str">
        <f>IF(ISBLANK(K1708),IFERROR(VLOOKUP(I1708,FS_input_data!$C$307:$N$397,Export!J1708,FALSE),""),K1708)</f>
        <v/>
      </c>
      <c r="D1708" s="6"/>
      <c r="E1708" t="s">
        <v>1561</v>
      </c>
      <c r="F1708" s="6"/>
      <c r="G1708" t="b">
        <f>IF(capital_xml,AND($C$1705=0,$C$1707=0),TRUE)</f>
        <v>0</v>
      </c>
      <c r="H1708" s="6" t="s">
        <v>1540</v>
      </c>
      <c r="I1708" t="s">
        <v>1561</v>
      </c>
      <c r="J1708" t="s">
        <v>1561</v>
      </c>
      <c r="L1708">
        <f t="shared" si="70"/>
        <v>1</v>
      </c>
    </row>
    <row r="1709" spans="1:12" x14ac:dyDescent="0.35">
      <c r="A1709">
        <f t="shared" si="71"/>
        <v>1708</v>
      </c>
      <c r="B1709" t="s">
        <v>560</v>
      </c>
      <c r="C1709" s="109" t="str">
        <f>IF(ISBLANK(K1709),IFERROR(VLOOKUP(I1709,FS_input_data!$C$307:$N$397,Export!J1709,FALSE),""),K1709)</f>
        <v/>
      </c>
      <c r="D1709" s="6"/>
      <c r="E1709" t="s">
        <v>1595</v>
      </c>
      <c r="F1709" s="6"/>
      <c r="G1709" t="b">
        <f>IF(capital_xml,AND($C$1710=0,$C$1712=0),TRUE)</f>
        <v>0</v>
      </c>
      <c r="H1709" s="6" t="s">
        <v>1540</v>
      </c>
      <c r="I1709" t="s">
        <v>1561</v>
      </c>
      <c r="J1709" t="s">
        <v>1561</v>
      </c>
      <c r="L1709" s="26" t="e">
        <f t="shared" si="70"/>
        <v>#VALUE!</v>
      </c>
    </row>
    <row r="1710" spans="1:12" x14ac:dyDescent="0.35">
      <c r="A1710" s="9">
        <f t="shared" si="71"/>
        <v>1709</v>
      </c>
      <c r="B1710" t="s">
        <v>109</v>
      </c>
      <c r="C1710" s="109">
        <f>IF(ISBLANK(K1710),IFERROR(VLOOKUP(I1710,FS_input_data!$C$307:$N$397,Export!J1710,FALSE),""),K1710)</f>
        <v>-55</v>
      </c>
      <c r="D1710" s="6" t="b">
        <v>1</v>
      </c>
      <c r="E1710" t="s">
        <v>1561</v>
      </c>
      <c r="F1710" s="6"/>
      <c r="G1710" t="b">
        <f>IF(capital_xml,AND($C$1710=0,$C$1712=0),TRUE)</f>
        <v>0</v>
      </c>
      <c r="H1710" s="6" t="s">
        <v>1540</v>
      </c>
      <c r="I1710" t="s">
        <v>1594</v>
      </c>
      <c r="J1710">
        <v>3</v>
      </c>
      <c r="L1710" s="9" t="e">
        <f t="shared" si="70"/>
        <v>#VALUE!</v>
      </c>
    </row>
    <row r="1711" spans="1:12" x14ac:dyDescent="0.35">
      <c r="A1711">
        <f t="shared" si="71"/>
        <v>1710</v>
      </c>
      <c r="B1711" t="s">
        <v>110</v>
      </c>
      <c r="C1711" s="109" t="str">
        <f>IF(ISBLANK(K1711),IFERROR(VLOOKUP(I1711,FS_input_data!$C$307:$N$397,Export!J1711,FALSE),""),K1711)</f>
        <v/>
      </c>
      <c r="D1711" s="6"/>
      <c r="F1711" s="6"/>
      <c r="G1711" t="b">
        <f>IF(capital_xml,AND($C$1710=0,$C$1712=0),TRUE)</f>
        <v>0</v>
      </c>
      <c r="H1711" s="6" t="s">
        <v>1540</v>
      </c>
      <c r="I1711" t="s">
        <v>1561</v>
      </c>
      <c r="J1711" t="s">
        <v>1561</v>
      </c>
      <c r="L1711">
        <f t="shared" si="70"/>
        <v>1</v>
      </c>
    </row>
    <row r="1712" spans="1:12" x14ac:dyDescent="0.35">
      <c r="A1712" s="9">
        <f t="shared" si="71"/>
        <v>1711</v>
      </c>
      <c r="B1712" t="s">
        <v>111</v>
      </c>
      <c r="C1712" s="109">
        <f>IF(ISBLANK(K1712),IFERROR(VLOOKUP(I1712,FS_input_data!$C$307:$N$397,Export!J1712,FALSE),""),K1712)</f>
        <v>-155</v>
      </c>
      <c r="D1712" s="6" t="b">
        <v>1</v>
      </c>
      <c r="E1712" t="s">
        <v>1561</v>
      </c>
      <c r="F1712" s="6"/>
      <c r="G1712" t="b">
        <f>IF(capital_xml,AND($C$1710=0,$C$1712=0),TRUE)</f>
        <v>0</v>
      </c>
      <c r="H1712" s="6" t="s">
        <v>1540</v>
      </c>
      <c r="I1712" t="s">
        <v>1594</v>
      </c>
      <c r="J1712">
        <v>4</v>
      </c>
      <c r="L1712" s="9" t="e">
        <f t="shared" si="70"/>
        <v>#VALUE!</v>
      </c>
    </row>
    <row r="1713" spans="1:12" x14ac:dyDescent="0.35">
      <c r="A1713">
        <f t="shared" si="71"/>
        <v>1712</v>
      </c>
      <c r="B1713" t="s">
        <v>112</v>
      </c>
      <c r="C1713" s="109" t="str">
        <f>IF(ISBLANK(K1713),IFERROR(VLOOKUP(I1713,FS_input_data!$C$307:$N$397,Export!J1713,FALSE),""),K1713)</f>
        <v/>
      </c>
      <c r="D1713" s="6"/>
      <c r="E1713" t="s">
        <v>1561</v>
      </c>
      <c r="F1713" s="6"/>
      <c r="G1713" t="b">
        <f>IF(capital_xml,AND($C$1710=0,$C$1712=0),TRUE)</f>
        <v>0</v>
      </c>
      <c r="H1713" s="6" t="s">
        <v>1540</v>
      </c>
      <c r="I1713" t="s">
        <v>1561</v>
      </c>
      <c r="J1713" t="s">
        <v>1561</v>
      </c>
      <c r="L1713">
        <f t="shared" si="70"/>
        <v>1</v>
      </c>
    </row>
    <row r="1714" spans="1:12" x14ac:dyDescent="0.35">
      <c r="A1714">
        <f t="shared" si="71"/>
        <v>1713</v>
      </c>
      <c r="B1714" t="s">
        <v>561</v>
      </c>
      <c r="C1714" s="109" t="str">
        <f>IF(ISBLANK(K1714),IFERROR(VLOOKUP(I1714,FS_input_data!$C$307:$N$397,Export!J1714,FALSE),""),K1714)</f>
        <v/>
      </c>
      <c r="D1714" s="6"/>
      <c r="E1714" t="s">
        <v>1553</v>
      </c>
      <c r="F1714" s="6"/>
      <c r="G1714" t="b">
        <f t="shared" ref="G1714:G1719" si="75">IF(capital_xml,AND($C$1715=0,$C$1717=0),TRUE)</f>
        <v>0</v>
      </c>
      <c r="H1714" s="6" t="s">
        <v>1540</v>
      </c>
      <c r="I1714" t="s">
        <v>1561</v>
      </c>
      <c r="J1714" t="s">
        <v>1561</v>
      </c>
      <c r="L1714" s="26" t="e">
        <f t="shared" si="70"/>
        <v>#VALUE!</v>
      </c>
    </row>
    <row r="1715" spans="1:12" x14ac:dyDescent="0.35">
      <c r="A1715" s="9">
        <f t="shared" si="71"/>
        <v>1714</v>
      </c>
      <c r="B1715" t="s">
        <v>109</v>
      </c>
      <c r="C1715" s="109">
        <f>IF(ISBLANK(K1715),IFERROR(VLOOKUP(I1715,FS_input_data!$C$307:$N$397,Export!J1715,FALSE),""),K1715)</f>
        <v>111</v>
      </c>
      <c r="D1715" s="6" t="b">
        <v>1</v>
      </c>
      <c r="E1715" t="s">
        <v>1561</v>
      </c>
      <c r="F1715" s="6"/>
      <c r="G1715" t="b">
        <f t="shared" si="75"/>
        <v>0</v>
      </c>
      <c r="H1715" s="6" t="s">
        <v>1540</v>
      </c>
      <c r="I1715" t="s">
        <v>1596</v>
      </c>
      <c r="J1715">
        <v>3</v>
      </c>
      <c r="L1715" s="9" t="e">
        <f t="shared" si="70"/>
        <v>#VALUE!</v>
      </c>
    </row>
    <row r="1716" spans="1:12" x14ac:dyDescent="0.35">
      <c r="A1716">
        <f t="shared" si="71"/>
        <v>1715</v>
      </c>
      <c r="B1716" t="s">
        <v>110</v>
      </c>
      <c r="C1716" s="109" t="str">
        <f>IF(ISBLANK(K1716),IFERROR(VLOOKUP(I1716,FS_input_data!$C$307:$N$397,Export!J1716,FALSE),""),K1716)</f>
        <v/>
      </c>
      <c r="D1716" s="6"/>
      <c r="F1716" s="6"/>
      <c r="G1716" t="b">
        <f t="shared" si="75"/>
        <v>0</v>
      </c>
      <c r="H1716" s="6" t="s">
        <v>1540</v>
      </c>
      <c r="I1716" t="s">
        <v>1561</v>
      </c>
      <c r="J1716" t="s">
        <v>1561</v>
      </c>
      <c r="L1716">
        <f t="shared" si="70"/>
        <v>1</v>
      </c>
    </row>
    <row r="1717" spans="1:12" x14ac:dyDescent="0.35">
      <c r="A1717" s="9">
        <f t="shared" si="71"/>
        <v>1716</v>
      </c>
      <c r="B1717" t="s">
        <v>111</v>
      </c>
      <c r="C1717" s="109">
        <f>IF(ISBLANK(K1717),IFERROR(VLOOKUP(I1717,FS_input_data!$C$307:$N$397,Export!J1717,FALSE),""),K1717)</f>
        <v>411</v>
      </c>
      <c r="D1717" s="6" t="b">
        <v>1</v>
      </c>
      <c r="E1717" t="s">
        <v>1561</v>
      </c>
      <c r="F1717" s="6"/>
      <c r="G1717" t="b">
        <f t="shared" si="75"/>
        <v>0</v>
      </c>
      <c r="H1717" s="6" t="s">
        <v>1540</v>
      </c>
      <c r="I1717" t="s">
        <v>1596</v>
      </c>
      <c r="J1717">
        <v>4</v>
      </c>
      <c r="L1717" s="9" t="e">
        <f t="shared" si="70"/>
        <v>#VALUE!</v>
      </c>
    </row>
    <row r="1718" spans="1:12" x14ac:dyDescent="0.35">
      <c r="A1718">
        <f t="shared" si="71"/>
        <v>1717</v>
      </c>
      <c r="B1718" t="s">
        <v>112</v>
      </c>
      <c r="C1718" s="109" t="str">
        <f>IF(ISBLANK(K1718),IFERROR(VLOOKUP(I1718,FS_input_data!$C$307:$N$397,Export!J1718,FALSE),""),K1718)</f>
        <v/>
      </c>
      <c r="D1718" s="6"/>
      <c r="E1718" t="s">
        <v>1561</v>
      </c>
      <c r="F1718" s="6"/>
      <c r="G1718" t="b">
        <f t="shared" si="75"/>
        <v>0</v>
      </c>
      <c r="H1718" s="6" t="s">
        <v>1540</v>
      </c>
      <c r="I1718" t="s">
        <v>1561</v>
      </c>
      <c r="J1718" t="s">
        <v>1561</v>
      </c>
      <c r="L1718">
        <f t="shared" si="70"/>
        <v>1</v>
      </c>
    </row>
    <row r="1719" spans="1:12" x14ac:dyDescent="0.35">
      <c r="A1719">
        <f t="shared" si="71"/>
        <v>1718</v>
      </c>
      <c r="B1719" t="s">
        <v>562</v>
      </c>
      <c r="C1719" s="109" t="str">
        <f>IF(ISBLANK(K1719),IFERROR(VLOOKUP(I1719,FS_input_data!$C$307:$N$397,Export!J1719,FALSE),""),K1719)</f>
        <v/>
      </c>
      <c r="D1719" s="6"/>
      <c r="E1719" t="s">
        <v>1561</v>
      </c>
      <c r="F1719" s="6"/>
      <c r="G1719" t="b">
        <f t="shared" si="75"/>
        <v>0</v>
      </c>
      <c r="H1719" s="6" t="s">
        <v>1540</v>
      </c>
      <c r="I1719" t="s">
        <v>1561</v>
      </c>
      <c r="J1719" t="s">
        <v>1561</v>
      </c>
      <c r="L1719">
        <f t="shared" si="70"/>
        <v>1</v>
      </c>
    </row>
    <row r="1720" spans="1:12" x14ac:dyDescent="0.35">
      <c r="A1720">
        <f t="shared" si="71"/>
        <v>1719</v>
      </c>
      <c r="B1720" t="s">
        <v>563</v>
      </c>
      <c r="C1720" s="109" t="str">
        <f>IF(ISBLANK(K1720),IFERROR(VLOOKUP(I1720,FS_input_data!$C$307:$N$397,Export!J1720,FALSE),""),K1720)</f>
        <v/>
      </c>
      <c r="D1720" s="6"/>
      <c r="E1720" t="s">
        <v>1560</v>
      </c>
      <c r="F1720" s="6"/>
      <c r="G1720" t="b">
        <f>IF(capital_xml,AND($C$1721=0,$C$1723=0),TRUE)</f>
        <v>0</v>
      </c>
      <c r="H1720" s="6" t="s">
        <v>1540</v>
      </c>
      <c r="I1720" t="s">
        <v>1561</v>
      </c>
      <c r="J1720" t="s">
        <v>1561</v>
      </c>
      <c r="L1720" s="26" t="e">
        <f t="shared" si="70"/>
        <v>#VALUE!</v>
      </c>
    </row>
    <row r="1721" spans="1:12" x14ac:dyDescent="0.35">
      <c r="A1721" s="9">
        <f t="shared" si="71"/>
        <v>1720</v>
      </c>
      <c r="B1721" t="s">
        <v>109</v>
      </c>
      <c r="C1721" s="109">
        <f>IF(ISBLANK(K1721),IFERROR(VLOOKUP(I1721,FS_input_data!$C$307:$N$397,Export!J1721,FALSE),""),K1721)</f>
        <v>166</v>
      </c>
      <c r="D1721" s="6" t="b">
        <v>1</v>
      </c>
      <c r="E1721" t="s">
        <v>1561</v>
      </c>
      <c r="F1721" s="6"/>
      <c r="G1721" t="b">
        <f>IF(capital_xml,AND($C$1721=0,$C$1723=0),TRUE)</f>
        <v>0</v>
      </c>
      <c r="H1721" s="6" t="s">
        <v>1540</v>
      </c>
      <c r="I1721" t="s">
        <v>1601</v>
      </c>
      <c r="J1721">
        <v>3</v>
      </c>
      <c r="L1721" s="9" t="e">
        <f t="shared" si="70"/>
        <v>#VALUE!</v>
      </c>
    </row>
    <row r="1722" spans="1:12" x14ac:dyDescent="0.35">
      <c r="A1722">
        <f t="shared" si="71"/>
        <v>1721</v>
      </c>
      <c r="B1722" t="s">
        <v>110</v>
      </c>
      <c r="C1722" s="109" t="str">
        <f>IF(ISBLANK(K1722),IFERROR(VLOOKUP(I1722,FS_input_data!$C$307:$N$397,Export!J1722,FALSE),""),K1722)</f>
        <v/>
      </c>
      <c r="D1722" s="6"/>
      <c r="F1722" s="6"/>
      <c r="G1722" t="b">
        <f>IF(capital_xml,AND($C$1721=0,$C$1723=0),TRUE)</f>
        <v>0</v>
      </c>
      <c r="H1722" s="6" t="s">
        <v>1540</v>
      </c>
      <c r="I1722" t="s">
        <v>1561</v>
      </c>
      <c r="J1722" t="s">
        <v>1561</v>
      </c>
      <c r="L1722">
        <f t="shared" si="70"/>
        <v>1</v>
      </c>
    </row>
    <row r="1723" spans="1:12" x14ac:dyDescent="0.35">
      <c r="A1723" s="9">
        <f t="shared" si="71"/>
        <v>1722</v>
      </c>
      <c r="B1723" t="s">
        <v>111</v>
      </c>
      <c r="C1723" s="109">
        <f>IF(ISBLANK(K1723),IFERROR(VLOOKUP(I1723,FS_input_data!$C$307:$N$397,Export!J1723,FALSE),""),K1723)</f>
        <v>566</v>
      </c>
      <c r="D1723" s="6" t="b">
        <v>1</v>
      </c>
      <c r="E1723" t="s">
        <v>1561</v>
      </c>
      <c r="F1723" s="6"/>
      <c r="G1723" t="b">
        <f>IF(capital_xml,AND($C$1721=0,$C$1723=0),TRUE)</f>
        <v>0</v>
      </c>
      <c r="H1723" s="6" t="s">
        <v>1540</v>
      </c>
      <c r="I1723" t="s">
        <v>1601</v>
      </c>
      <c r="J1723">
        <v>4</v>
      </c>
      <c r="L1723" s="9" t="e">
        <f t="shared" si="70"/>
        <v>#VALUE!</v>
      </c>
    </row>
    <row r="1724" spans="1:12" x14ac:dyDescent="0.35">
      <c r="A1724">
        <f t="shared" si="71"/>
        <v>1723</v>
      </c>
      <c r="B1724" t="s">
        <v>112</v>
      </c>
      <c r="C1724" s="109" t="str">
        <f>IF(ISBLANK(K1724),IFERROR(VLOOKUP(I1724,FS_input_data!$C$307:$N$397,Export!J1724,FALSE),""),K1724)</f>
        <v/>
      </c>
      <c r="D1724" s="6"/>
      <c r="E1724" t="s">
        <v>1561</v>
      </c>
      <c r="F1724" s="6"/>
      <c r="G1724" t="b">
        <f>IF(capital_xml,AND($C$1721=0,$C$1723=0),TRUE)</f>
        <v>0</v>
      </c>
      <c r="H1724" s="6" t="s">
        <v>1540</v>
      </c>
      <c r="I1724" t="s">
        <v>1561</v>
      </c>
      <c r="J1724" t="s">
        <v>1561</v>
      </c>
      <c r="L1724">
        <f t="shared" si="70"/>
        <v>1</v>
      </c>
    </row>
    <row r="1725" spans="1:12" x14ac:dyDescent="0.35">
      <c r="A1725">
        <f t="shared" si="71"/>
        <v>1724</v>
      </c>
      <c r="B1725" t="s">
        <v>564</v>
      </c>
      <c r="C1725" s="109" t="str">
        <f>IF(ISBLANK(K1725),IFERROR(VLOOKUP(I1725,FS_input_data!$C$307:$N$397,Export!J1725,FALSE),""),K1725)</f>
        <v/>
      </c>
      <c r="D1725" s="6"/>
      <c r="E1725" t="s">
        <v>1603</v>
      </c>
      <c r="F1725" s="6"/>
      <c r="G1725" t="b">
        <f t="shared" ref="G1725:G1731" si="76">IF(capital_xml,AND($C$1726=0,$C$1728=0),TRUE)</f>
        <v>0</v>
      </c>
      <c r="H1725" s="6" t="s">
        <v>1540</v>
      </c>
      <c r="I1725" t="s">
        <v>1561</v>
      </c>
      <c r="J1725" t="s">
        <v>1561</v>
      </c>
      <c r="L1725" s="26" t="e">
        <f t="shared" si="70"/>
        <v>#VALUE!</v>
      </c>
    </row>
    <row r="1726" spans="1:12" x14ac:dyDescent="0.35">
      <c r="A1726" s="9">
        <f t="shared" si="71"/>
        <v>1725</v>
      </c>
      <c r="B1726" t="s">
        <v>109</v>
      </c>
      <c r="C1726" s="109">
        <f>IF(ISBLANK(K1726),IFERROR(VLOOKUP(I1726,FS_input_data!$C$307:$N$397,Export!J1726,FALSE),""),K1726)</f>
        <v>40</v>
      </c>
      <c r="D1726" s="6" t="b">
        <v>1</v>
      </c>
      <c r="E1726" t="s">
        <v>1561</v>
      </c>
      <c r="F1726" s="6"/>
      <c r="G1726" t="b">
        <f t="shared" si="76"/>
        <v>0</v>
      </c>
      <c r="H1726" s="6" t="s">
        <v>1540</v>
      </c>
      <c r="I1726" t="s">
        <v>1602</v>
      </c>
      <c r="J1726">
        <v>3</v>
      </c>
      <c r="L1726" s="9" t="e">
        <f t="shared" si="70"/>
        <v>#VALUE!</v>
      </c>
    </row>
    <row r="1727" spans="1:12" x14ac:dyDescent="0.35">
      <c r="A1727">
        <f t="shared" si="71"/>
        <v>1726</v>
      </c>
      <c r="B1727" t="s">
        <v>110</v>
      </c>
      <c r="C1727" s="109" t="str">
        <f>IF(ISBLANK(K1727),IFERROR(VLOOKUP(I1727,FS_input_data!$C$307:$N$397,Export!J1727,FALSE),""),K1727)</f>
        <v/>
      </c>
      <c r="D1727" s="6"/>
      <c r="F1727" s="6"/>
      <c r="G1727" t="b">
        <f t="shared" si="76"/>
        <v>0</v>
      </c>
      <c r="H1727" s="6" t="s">
        <v>1540</v>
      </c>
      <c r="I1727" t="s">
        <v>1561</v>
      </c>
      <c r="J1727" t="s">
        <v>1561</v>
      </c>
      <c r="L1727">
        <f t="shared" si="70"/>
        <v>1</v>
      </c>
    </row>
    <row r="1728" spans="1:12" x14ac:dyDescent="0.35">
      <c r="A1728" s="9">
        <f t="shared" si="71"/>
        <v>1727</v>
      </c>
      <c r="B1728" t="s">
        <v>111</v>
      </c>
      <c r="C1728" s="109">
        <f>IF(ISBLANK(K1728),IFERROR(VLOOKUP(I1728,FS_input_data!$C$307:$N$397,Export!J1728,FALSE),""),K1728)</f>
        <v>140</v>
      </c>
      <c r="D1728" s="6" t="b">
        <v>1</v>
      </c>
      <c r="E1728" t="s">
        <v>1561</v>
      </c>
      <c r="F1728" s="6"/>
      <c r="G1728" t="b">
        <f t="shared" si="76"/>
        <v>0</v>
      </c>
      <c r="H1728" s="6" t="s">
        <v>1540</v>
      </c>
      <c r="I1728" t="s">
        <v>1602</v>
      </c>
      <c r="J1728">
        <v>4</v>
      </c>
      <c r="L1728" s="9" t="e">
        <f t="shared" si="70"/>
        <v>#VALUE!</v>
      </c>
    </row>
    <row r="1729" spans="1:12" x14ac:dyDescent="0.35">
      <c r="A1729">
        <f t="shared" si="71"/>
        <v>1728</v>
      </c>
      <c r="B1729" t="s">
        <v>112</v>
      </c>
      <c r="C1729" s="109" t="str">
        <f>IF(ISBLANK(K1729),IFERROR(VLOOKUP(I1729,FS_input_data!$C$307:$N$397,Export!J1729,FALSE),""),K1729)</f>
        <v/>
      </c>
      <c r="D1729" s="6"/>
      <c r="E1729" t="s">
        <v>1561</v>
      </c>
      <c r="F1729" s="6"/>
      <c r="G1729" t="b">
        <f t="shared" si="76"/>
        <v>0</v>
      </c>
      <c r="H1729" s="6" t="s">
        <v>1540</v>
      </c>
      <c r="I1729" t="s">
        <v>1561</v>
      </c>
      <c r="J1729" t="s">
        <v>1561</v>
      </c>
      <c r="L1729">
        <f t="shared" si="70"/>
        <v>1</v>
      </c>
    </row>
    <row r="1730" spans="1:12" x14ac:dyDescent="0.35">
      <c r="A1730">
        <f t="shared" si="71"/>
        <v>1729</v>
      </c>
      <c r="B1730" t="s">
        <v>565</v>
      </c>
      <c r="C1730" s="109" t="str">
        <f>IF(ISBLANK(K1730),IFERROR(VLOOKUP(I1730,FS_input_data!$C$307:$N$397,Export!J1730,FALSE),""),K1730)</f>
        <v/>
      </c>
      <c r="D1730" s="6"/>
      <c r="E1730" t="s">
        <v>1561</v>
      </c>
      <c r="F1730" s="6"/>
      <c r="G1730" t="b">
        <f t="shared" si="76"/>
        <v>0</v>
      </c>
      <c r="H1730" s="6" t="s">
        <v>1540</v>
      </c>
      <c r="I1730" t="s">
        <v>1561</v>
      </c>
      <c r="J1730" t="s">
        <v>1561</v>
      </c>
      <c r="L1730">
        <f t="shared" ref="L1730:L1793" si="77">FIND("/",B1730)</f>
        <v>1</v>
      </c>
    </row>
    <row r="1731" spans="1:12" x14ac:dyDescent="0.35">
      <c r="A1731">
        <f t="shared" ref="A1731:A1794" si="78">A1730+1</f>
        <v>1730</v>
      </c>
      <c r="B1731" t="s">
        <v>526</v>
      </c>
      <c r="C1731" s="109" t="str">
        <f>IF(ISBLANK(K1731),IFERROR(VLOOKUP(I1731,FS_input_data!$C$307:$N$397,Export!J1731,FALSE),""),K1731)</f>
        <v/>
      </c>
      <c r="D1731" s="6"/>
      <c r="F1731" s="6"/>
      <c r="G1731" t="b">
        <f t="shared" si="76"/>
        <v>0</v>
      </c>
      <c r="H1731" s="6" t="s">
        <v>1540</v>
      </c>
      <c r="I1731" t="s">
        <v>1561</v>
      </c>
      <c r="J1731" t="s">
        <v>1561</v>
      </c>
      <c r="L1731" s="26" t="e">
        <f t="shared" si="77"/>
        <v>#VALUE!</v>
      </c>
    </row>
    <row r="1732" spans="1:12" x14ac:dyDescent="0.35">
      <c r="A1732" s="9">
        <f t="shared" si="78"/>
        <v>1731</v>
      </c>
      <c r="B1732" t="s">
        <v>101</v>
      </c>
      <c r="C1732" s="109" t="str">
        <f>IF(ISBLANK(K1732),IFERROR(VLOOKUP(I1732,FS_input_data!$C$307:$N$397,Export!J1732,FALSE),""),K1732)</f>
        <v>IIIb_PozycjaUszczegolawiajaca_1</v>
      </c>
      <c r="D1732" s="6" t="b">
        <v>1</v>
      </c>
      <c r="F1732" s="6"/>
      <c r="G1732" t="b">
        <f t="shared" ref="G1732:G1741" si="79">IF(capital_xml,AND($C$1735=0,$C$1737=0),TRUE)</f>
        <v>0</v>
      </c>
      <c r="H1732" s="6" t="s">
        <v>1540</v>
      </c>
      <c r="I1732" t="s">
        <v>1605</v>
      </c>
      <c r="J1732">
        <v>2</v>
      </c>
      <c r="L1732" s="9" t="e">
        <f t="shared" si="77"/>
        <v>#VALUE!</v>
      </c>
    </row>
    <row r="1733" spans="1:12" x14ac:dyDescent="0.35">
      <c r="A1733">
        <f t="shared" si="78"/>
        <v>1732</v>
      </c>
      <c r="B1733" t="s">
        <v>102</v>
      </c>
      <c r="C1733" s="109" t="str">
        <f>IF(ISBLANK(K1733),IFERROR(VLOOKUP(I1733,FS_input_data!$C$307:$N$397,Export!J1733,FALSE),""),K1733)</f>
        <v/>
      </c>
      <c r="D1733" s="6"/>
      <c r="F1733" s="6"/>
      <c r="G1733" t="b">
        <f t="shared" si="79"/>
        <v>0</v>
      </c>
      <c r="H1733" s="6" t="s">
        <v>1540</v>
      </c>
      <c r="I1733" t="s">
        <v>1561</v>
      </c>
      <c r="J1733" t="s">
        <v>1561</v>
      </c>
      <c r="L1733">
        <f t="shared" si="77"/>
        <v>1</v>
      </c>
    </row>
    <row r="1734" spans="1:12" x14ac:dyDescent="0.35">
      <c r="A1734">
        <f t="shared" si="78"/>
        <v>1733</v>
      </c>
      <c r="B1734" t="s">
        <v>527</v>
      </c>
      <c r="C1734" s="109" t="str">
        <f>IF(ISBLANK(K1734),IFERROR(VLOOKUP(I1734,FS_input_data!$C$307:$N$397,Export!J1734,FALSE),""),K1734)</f>
        <v/>
      </c>
      <c r="D1734" s="6"/>
      <c r="F1734" s="6"/>
      <c r="G1734" t="b">
        <f t="shared" si="79"/>
        <v>0</v>
      </c>
      <c r="H1734" s="6" t="s">
        <v>1540</v>
      </c>
      <c r="I1734" t="s">
        <v>1561</v>
      </c>
      <c r="J1734" t="s">
        <v>1561</v>
      </c>
      <c r="L1734" s="9" t="e">
        <f t="shared" si="77"/>
        <v>#VALUE!</v>
      </c>
    </row>
    <row r="1735" spans="1:12" x14ac:dyDescent="0.35">
      <c r="A1735" s="9">
        <f t="shared" si="78"/>
        <v>1734</v>
      </c>
      <c r="B1735" t="s">
        <v>109</v>
      </c>
      <c r="C1735" s="109">
        <f>IF(ISBLANK(K1735),IFERROR(VLOOKUP(I1735,FS_input_data!$C$307:$N$397,Export!J1735,FALSE),""),K1735)</f>
        <v>41</v>
      </c>
      <c r="D1735" s="6" t="b">
        <v>1</v>
      </c>
      <c r="F1735" s="6"/>
      <c r="G1735" t="b">
        <f t="shared" si="79"/>
        <v>0</v>
      </c>
      <c r="H1735" s="6" t="s">
        <v>1540</v>
      </c>
      <c r="I1735" t="s">
        <v>1605</v>
      </c>
      <c r="J1735">
        <v>3</v>
      </c>
      <c r="L1735" s="9" t="e">
        <f t="shared" si="77"/>
        <v>#VALUE!</v>
      </c>
    </row>
    <row r="1736" spans="1:12" x14ac:dyDescent="0.35">
      <c r="A1736">
        <f t="shared" si="78"/>
        <v>1735</v>
      </c>
      <c r="B1736" t="s">
        <v>110</v>
      </c>
      <c r="C1736" s="109" t="str">
        <f>IF(ISBLANK(K1736),IFERROR(VLOOKUP(I1736,FS_input_data!$C$307:$N$397,Export!J1736,FALSE),""),K1736)</f>
        <v/>
      </c>
      <c r="D1736" s="6"/>
      <c r="F1736" s="6"/>
      <c r="G1736" t="b">
        <f t="shared" si="79"/>
        <v>0</v>
      </c>
      <c r="H1736" s="6" t="s">
        <v>1540</v>
      </c>
      <c r="I1736" t="s">
        <v>1561</v>
      </c>
      <c r="J1736" t="s">
        <v>1561</v>
      </c>
      <c r="L1736">
        <f t="shared" si="77"/>
        <v>1</v>
      </c>
    </row>
    <row r="1737" spans="1:12" x14ac:dyDescent="0.35">
      <c r="A1737" s="9">
        <f t="shared" si="78"/>
        <v>1736</v>
      </c>
      <c r="B1737" t="s">
        <v>111</v>
      </c>
      <c r="C1737" s="109">
        <f>IF(ISBLANK(K1737),IFERROR(VLOOKUP(I1737,FS_input_data!$C$307:$N$397,Export!J1737,FALSE),""),K1737)</f>
        <v>141</v>
      </c>
      <c r="D1737" s="6" t="b">
        <v>1</v>
      </c>
      <c r="F1737" s="6"/>
      <c r="G1737" t="b">
        <f t="shared" si="79"/>
        <v>0</v>
      </c>
      <c r="H1737" s="6" t="s">
        <v>1540</v>
      </c>
      <c r="I1737" t="s">
        <v>1605</v>
      </c>
      <c r="J1737">
        <v>4</v>
      </c>
      <c r="L1737" s="9" t="e">
        <f t="shared" si="77"/>
        <v>#VALUE!</v>
      </c>
    </row>
    <row r="1738" spans="1:12" x14ac:dyDescent="0.35">
      <c r="A1738">
        <f t="shared" si="78"/>
        <v>1737</v>
      </c>
      <c r="B1738" t="s">
        <v>112</v>
      </c>
      <c r="C1738" s="109" t="str">
        <f>IF(ISBLANK(K1738),IFERROR(VLOOKUP(I1738,FS_input_data!$C$307:$N$397,Export!J1738,FALSE),""),K1738)</f>
        <v/>
      </c>
      <c r="D1738" s="6"/>
      <c r="F1738" s="6"/>
      <c r="G1738" t="b">
        <f t="shared" si="79"/>
        <v>0</v>
      </c>
      <c r="H1738" s="6" t="s">
        <v>1540</v>
      </c>
      <c r="I1738" t="s">
        <v>1561</v>
      </c>
      <c r="J1738" t="s">
        <v>1561</v>
      </c>
      <c r="L1738">
        <f t="shared" si="77"/>
        <v>1</v>
      </c>
    </row>
    <row r="1739" spans="1:12" x14ac:dyDescent="0.35">
      <c r="A1739">
        <f t="shared" si="78"/>
        <v>1738</v>
      </c>
      <c r="B1739" t="s">
        <v>528</v>
      </c>
      <c r="C1739" s="109" t="str">
        <f>IF(ISBLANK(K1739),IFERROR(VLOOKUP(I1739,FS_input_data!$C$307:$N$397,Export!J1739,FALSE),""),K1739)</f>
        <v/>
      </c>
      <c r="D1739" s="6"/>
      <c r="F1739" s="6"/>
      <c r="G1739" t="b">
        <f t="shared" si="79"/>
        <v>0</v>
      </c>
      <c r="H1739" s="6" t="s">
        <v>1540</v>
      </c>
      <c r="I1739" t="s">
        <v>1561</v>
      </c>
      <c r="J1739" t="s">
        <v>1561</v>
      </c>
      <c r="L1739">
        <f t="shared" si="77"/>
        <v>1</v>
      </c>
    </row>
    <row r="1740" spans="1:12" x14ac:dyDescent="0.35">
      <c r="A1740">
        <f t="shared" si="78"/>
        <v>1739</v>
      </c>
      <c r="B1740" t="s">
        <v>529</v>
      </c>
      <c r="C1740" s="109" t="str">
        <f>IF(ISBLANK(K1740),IFERROR(VLOOKUP(I1740,FS_input_data!$C$307:$N$397,Export!J1740,FALSE),""),K1740)</f>
        <v/>
      </c>
      <c r="D1740" s="6"/>
      <c r="F1740" s="6"/>
      <c r="G1740" t="b">
        <f t="shared" si="79"/>
        <v>0</v>
      </c>
      <c r="H1740" s="6" t="s">
        <v>1540</v>
      </c>
      <c r="I1740" t="s">
        <v>1561</v>
      </c>
      <c r="J1740" t="s">
        <v>1561</v>
      </c>
      <c r="L1740">
        <f t="shared" si="77"/>
        <v>1</v>
      </c>
    </row>
    <row r="1741" spans="1:12" x14ac:dyDescent="0.35">
      <c r="A1741">
        <f t="shared" si="78"/>
        <v>1740</v>
      </c>
      <c r="B1741" t="s">
        <v>526</v>
      </c>
      <c r="C1741" s="109" t="str">
        <f>IF(ISBLANK(K1741),IFERROR(VLOOKUP(I1741,FS_input_data!$C$307:$N$397,Export!J1741,FALSE),""),K1741)</f>
        <v/>
      </c>
      <c r="D1741" s="6"/>
      <c r="F1741" s="6"/>
      <c r="G1741" t="b">
        <f t="shared" si="79"/>
        <v>0</v>
      </c>
      <c r="H1741" s="6" t="s">
        <v>1540</v>
      </c>
      <c r="I1741" t="s">
        <v>1561</v>
      </c>
      <c r="J1741" t="s">
        <v>1561</v>
      </c>
      <c r="L1741" s="26" t="e">
        <f t="shared" si="77"/>
        <v>#VALUE!</v>
      </c>
    </row>
    <row r="1742" spans="1:12" x14ac:dyDescent="0.35">
      <c r="A1742" s="9">
        <f t="shared" si="78"/>
        <v>1741</v>
      </c>
      <c r="B1742" t="s">
        <v>101</v>
      </c>
      <c r="C1742" s="109" t="str">
        <f>IF(ISBLANK(K1742),IFERROR(VLOOKUP(I1742,FS_input_data!$C$307:$N$397,Export!J1742,FALSE),""),K1742)</f>
        <v>IIIb_PozycjaUszczegolawiajaca_2</v>
      </c>
      <c r="D1742" s="6" t="b">
        <v>1</v>
      </c>
      <c r="F1742" s="6"/>
      <c r="G1742" t="b">
        <f t="shared" ref="G1742:G1751" si="80">IF(capital_xml,AND($C$1745=0,$C$1747=0),TRUE)</f>
        <v>0</v>
      </c>
      <c r="H1742" s="6" t="s">
        <v>1540</v>
      </c>
      <c r="I1742" t="s">
        <v>1604</v>
      </c>
      <c r="J1742">
        <v>2</v>
      </c>
      <c r="L1742" s="9" t="e">
        <f t="shared" si="77"/>
        <v>#VALUE!</v>
      </c>
    </row>
    <row r="1743" spans="1:12" x14ac:dyDescent="0.35">
      <c r="A1743">
        <f t="shared" si="78"/>
        <v>1742</v>
      </c>
      <c r="B1743" t="s">
        <v>102</v>
      </c>
      <c r="C1743" s="109" t="str">
        <f>IF(ISBLANK(K1743),IFERROR(VLOOKUP(I1743,FS_input_data!$C$307:$N$397,Export!J1743,FALSE),""),K1743)</f>
        <v/>
      </c>
      <c r="D1743" s="6"/>
      <c r="F1743" s="6"/>
      <c r="G1743" t="b">
        <f t="shared" si="80"/>
        <v>0</v>
      </c>
      <c r="H1743" s="6" t="s">
        <v>1540</v>
      </c>
      <c r="I1743" t="s">
        <v>1561</v>
      </c>
      <c r="J1743" t="s">
        <v>1561</v>
      </c>
      <c r="L1743">
        <f t="shared" si="77"/>
        <v>1</v>
      </c>
    </row>
    <row r="1744" spans="1:12" x14ac:dyDescent="0.35">
      <c r="A1744">
        <f t="shared" si="78"/>
        <v>1743</v>
      </c>
      <c r="B1744" t="s">
        <v>527</v>
      </c>
      <c r="C1744" s="109" t="str">
        <f>IF(ISBLANK(K1744),IFERROR(VLOOKUP(I1744,FS_input_data!$C$307:$N$397,Export!J1744,FALSE),""),K1744)</f>
        <v/>
      </c>
      <c r="D1744" s="6"/>
      <c r="F1744" s="6"/>
      <c r="G1744" t="b">
        <f t="shared" si="80"/>
        <v>0</v>
      </c>
      <c r="H1744" s="6" t="s">
        <v>1540</v>
      </c>
      <c r="I1744" t="s">
        <v>1561</v>
      </c>
      <c r="J1744" t="s">
        <v>1561</v>
      </c>
      <c r="L1744" s="9" t="e">
        <f t="shared" si="77"/>
        <v>#VALUE!</v>
      </c>
    </row>
    <row r="1745" spans="1:12" x14ac:dyDescent="0.35">
      <c r="A1745" s="9">
        <f t="shared" si="78"/>
        <v>1744</v>
      </c>
      <c r="B1745" t="s">
        <v>109</v>
      </c>
      <c r="C1745" s="109">
        <f>IF(ISBLANK(K1745),IFERROR(VLOOKUP(I1745,FS_input_data!$C$307:$N$397,Export!J1745,FALSE),""),K1745)</f>
        <v>42</v>
      </c>
      <c r="D1745" s="6" t="b">
        <v>1</v>
      </c>
      <c r="F1745" s="6"/>
      <c r="G1745" t="b">
        <f t="shared" si="80"/>
        <v>0</v>
      </c>
      <c r="H1745" s="6" t="s">
        <v>1540</v>
      </c>
      <c r="I1745" t="s">
        <v>1604</v>
      </c>
      <c r="J1745">
        <v>3</v>
      </c>
      <c r="L1745" s="9" t="e">
        <f t="shared" si="77"/>
        <v>#VALUE!</v>
      </c>
    </row>
    <row r="1746" spans="1:12" x14ac:dyDescent="0.35">
      <c r="A1746">
        <f t="shared" si="78"/>
        <v>1745</v>
      </c>
      <c r="B1746" t="s">
        <v>110</v>
      </c>
      <c r="C1746" s="109" t="str">
        <f>IF(ISBLANK(K1746),IFERROR(VLOOKUP(I1746,FS_input_data!$C$307:$N$397,Export!J1746,FALSE),""),K1746)</f>
        <v/>
      </c>
      <c r="D1746" s="6"/>
      <c r="F1746" s="6"/>
      <c r="G1746" t="b">
        <f t="shared" si="80"/>
        <v>0</v>
      </c>
      <c r="H1746" s="6" t="s">
        <v>1540</v>
      </c>
      <c r="I1746" t="s">
        <v>1561</v>
      </c>
      <c r="J1746" t="s">
        <v>1561</v>
      </c>
      <c r="L1746">
        <f t="shared" si="77"/>
        <v>1</v>
      </c>
    </row>
    <row r="1747" spans="1:12" x14ac:dyDescent="0.35">
      <c r="A1747" s="9">
        <f t="shared" si="78"/>
        <v>1746</v>
      </c>
      <c r="B1747" t="s">
        <v>111</v>
      </c>
      <c r="C1747" s="109">
        <f>IF(ISBLANK(K1747),IFERROR(VLOOKUP(I1747,FS_input_data!$C$307:$N$397,Export!J1747,FALSE),""),K1747)</f>
        <v>142</v>
      </c>
      <c r="D1747" s="6" t="b">
        <v>1</v>
      </c>
      <c r="F1747" s="6"/>
      <c r="G1747" t="b">
        <f t="shared" si="80"/>
        <v>0</v>
      </c>
      <c r="H1747" s="6" t="s">
        <v>1540</v>
      </c>
      <c r="I1747" t="s">
        <v>1604</v>
      </c>
      <c r="J1747">
        <v>4</v>
      </c>
      <c r="L1747" s="9" t="e">
        <f t="shared" si="77"/>
        <v>#VALUE!</v>
      </c>
    </row>
    <row r="1748" spans="1:12" x14ac:dyDescent="0.35">
      <c r="A1748">
        <f t="shared" si="78"/>
        <v>1747</v>
      </c>
      <c r="B1748" t="s">
        <v>112</v>
      </c>
      <c r="C1748" s="109" t="str">
        <f>IF(ISBLANK(K1748),IFERROR(VLOOKUP(I1748,FS_input_data!$C$307:$N$397,Export!J1748,FALSE),""),K1748)</f>
        <v/>
      </c>
      <c r="D1748" s="6"/>
      <c r="F1748" s="6"/>
      <c r="G1748" t="b">
        <f t="shared" si="80"/>
        <v>0</v>
      </c>
      <c r="H1748" s="6" t="s">
        <v>1540</v>
      </c>
      <c r="I1748" t="s">
        <v>1561</v>
      </c>
      <c r="J1748" t="s">
        <v>1561</v>
      </c>
      <c r="L1748">
        <f t="shared" si="77"/>
        <v>1</v>
      </c>
    </row>
    <row r="1749" spans="1:12" x14ac:dyDescent="0.35">
      <c r="A1749">
        <f t="shared" si="78"/>
        <v>1748</v>
      </c>
      <c r="B1749" t="s">
        <v>528</v>
      </c>
      <c r="C1749" s="109" t="str">
        <f>IF(ISBLANK(K1749),IFERROR(VLOOKUP(I1749,FS_input_data!$C$307:$N$397,Export!J1749,FALSE),""),K1749)</f>
        <v/>
      </c>
      <c r="D1749" s="6"/>
      <c r="F1749" s="6"/>
      <c r="G1749" t="b">
        <f t="shared" si="80"/>
        <v>0</v>
      </c>
      <c r="H1749" s="6" t="s">
        <v>1540</v>
      </c>
      <c r="I1749" t="s">
        <v>1561</v>
      </c>
      <c r="J1749" t="s">
        <v>1561</v>
      </c>
      <c r="L1749">
        <f t="shared" si="77"/>
        <v>1</v>
      </c>
    </row>
    <row r="1750" spans="1:12" x14ac:dyDescent="0.35">
      <c r="A1750">
        <f t="shared" si="78"/>
        <v>1749</v>
      </c>
      <c r="B1750" s="9" t="s">
        <v>529</v>
      </c>
      <c r="C1750" s="111" t="str">
        <f>IF(ISBLANK(K1750),IFERROR(VLOOKUP(I1750,FS_input_data!$C$307:$N$397,Export!J1750,FALSE),""),K1750)</f>
        <v/>
      </c>
      <c r="D1750" s="6"/>
      <c r="F1750" s="6"/>
      <c r="G1750" t="b">
        <f t="shared" si="80"/>
        <v>0</v>
      </c>
      <c r="H1750" s="6" t="s">
        <v>1540</v>
      </c>
      <c r="I1750" t="s">
        <v>1561</v>
      </c>
      <c r="J1750" t="s">
        <v>1561</v>
      </c>
      <c r="L1750">
        <f t="shared" si="77"/>
        <v>1</v>
      </c>
    </row>
    <row r="1751" spans="1:12" x14ac:dyDescent="0.35">
      <c r="A1751">
        <f t="shared" si="78"/>
        <v>1750</v>
      </c>
      <c r="B1751" s="9" t="s">
        <v>526</v>
      </c>
      <c r="C1751" s="111" t="str">
        <f>IF(ISBLANK(K1751),IFERROR(VLOOKUP(I1751,FS_input_data!$C$307:$N$397,Export!J1751,FALSE),""),K1751)</f>
        <v/>
      </c>
      <c r="D1751" s="6"/>
      <c r="F1751" s="6"/>
      <c r="G1751" t="b">
        <f t="shared" si="80"/>
        <v>0</v>
      </c>
      <c r="H1751" s="6" t="s">
        <v>1540</v>
      </c>
      <c r="I1751" t="s">
        <v>1561</v>
      </c>
      <c r="J1751" t="s">
        <v>1561</v>
      </c>
      <c r="L1751" s="26" t="e">
        <f t="shared" si="77"/>
        <v>#VALUE!</v>
      </c>
    </row>
    <row r="1752" spans="1:12" x14ac:dyDescent="0.35">
      <c r="A1752" s="9">
        <f t="shared" si="78"/>
        <v>1751</v>
      </c>
      <c r="B1752" s="9" t="s">
        <v>101</v>
      </c>
      <c r="C1752" s="111" t="str">
        <f>IF(ISBLANK(K1752),IFERROR(VLOOKUP(I1752,FS_input_data!$C$307:$N$397,Export!J1752,FALSE),""),K1752)</f>
        <v>IIIb_PozycjaUszczegolawiajaca_3</v>
      </c>
      <c r="D1752" s="6" t="b">
        <v>1</v>
      </c>
      <c r="E1752" s="9"/>
      <c r="F1752" s="6"/>
      <c r="G1752" t="b">
        <f t="shared" ref="G1752:G1762" si="81">IF(capital_xml,AND($C$1755=0,$C$1757=0),TRUE)</f>
        <v>0</v>
      </c>
      <c r="H1752" s="6" t="s">
        <v>1540</v>
      </c>
      <c r="I1752" t="s">
        <v>1606</v>
      </c>
      <c r="J1752">
        <v>2</v>
      </c>
      <c r="L1752" s="9" t="e">
        <f t="shared" si="77"/>
        <v>#VALUE!</v>
      </c>
    </row>
    <row r="1753" spans="1:12" x14ac:dyDescent="0.35">
      <c r="A1753">
        <f t="shared" si="78"/>
        <v>1752</v>
      </c>
      <c r="B1753" s="9" t="s">
        <v>102</v>
      </c>
      <c r="C1753" s="111" t="str">
        <f>IF(ISBLANK(K1753),IFERROR(VLOOKUP(I1753,FS_input_data!$C$307:$N$397,Export!J1753,FALSE),""),K1753)</f>
        <v/>
      </c>
      <c r="D1753" s="6"/>
      <c r="E1753" s="9" t="s">
        <v>1561</v>
      </c>
      <c r="F1753" s="6"/>
      <c r="G1753" t="b">
        <f t="shared" si="81"/>
        <v>0</v>
      </c>
      <c r="H1753" s="6" t="s">
        <v>1540</v>
      </c>
      <c r="I1753" t="s">
        <v>1561</v>
      </c>
      <c r="J1753" t="s">
        <v>1561</v>
      </c>
      <c r="L1753">
        <f t="shared" si="77"/>
        <v>1</v>
      </c>
    </row>
    <row r="1754" spans="1:12" x14ac:dyDescent="0.35">
      <c r="A1754">
        <f t="shared" si="78"/>
        <v>1753</v>
      </c>
      <c r="B1754" s="9" t="s">
        <v>527</v>
      </c>
      <c r="C1754" s="111" t="str">
        <f>IF(ISBLANK(K1754),IFERROR(VLOOKUP(I1754,FS_input_data!$C$307:$N$397,Export!J1754,FALSE),""),K1754)</f>
        <v/>
      </c>
      <c r="D1754" s="6"/>
      <c r="E1754" s="9"/>
      <c r="F1754" s="6"/>
      <c r="G1754" t="b">
        <f t="shared" si="81"/>
        <v>0</v>
      </c>
      <c r="H1754" s="6" t="s">
        <v>1540</v>
      </c>
      <c r="I1754" t="s">
        <v>1561</v>
      </c>
      <c r="J1754" t="s">
        <v>1561</v>
      </c>
      <c r="L1754" s="9" t="e">
        <f t="shared" si="77"/>
        <v>#VALUE!</v>
      </c>
    </row>
    <row r="1755" spans="1:12" x14ac:dyDescent="0.35">
      <c r="A1755" s="9">
        <f t="shared" si="78"/>
        <v>1754</v>
      </c>
      <c r="B1755" s="9" t="s">
        <v>109</v>
      </c>
      <c r="C1755" s="111">
        <f>IF(ISBLANK(K1755),IFERROR(VLOOKUP(I1755,FS_input_data!$C$307:$N$397,Export!J1755,FALSE),""),K1755)</f>
        <v>43</v>
      </c>
      <c r="D1755" s="6" t="b">
        <v>1</v>
      </c>
      <c r="E1755" s="9" t="s">
        <v>1561</v>
      </c>
      <c r="F1755" s="6"/>
      <c r="G1755" t="b">
        <f t="shared" si="81"/>
        <v>0</v>
      </c>
      <c r="H1755" s="6" t="s">
        <v>1540</v>
      </c>
      <c r="I1755" t="s">
        <v>1606</v>
      </c>
      <c r="J1755">
        <v>3</v>
      </c>
      <c r="L1755" s="9" t="e">
        <f t="shared" si="77"/>
        <v>#VALUE!</v>
      </c>
    </row>
    <row r="1756" spans="1:12" x14ac:dyDescent="0.35">
      <c r="A1756">
        <f t="shared" si="78"/>
        <v>1755</v>
      </c>
      <c r="B1756" s="9" t="s">
        <v>110</v>
      </c>
      <c r="C1756" s="111" t="str">
        <f>IF(ISBLANK(K1756),IFERROR(VLOOKUP(I1756,FS_input_data!$C$307:$N$397,Export!J1756,FALSE),""),K1756)</f>
        <v/>
      </c>
      <c r="D1756" s="6"/>
      <c r="E1756" s="9"/>
      <c r="F1756" s="6"/>
      <c r="G1756" t="b">
        <f t="shared" si="81"/>
        <v>0</v>
      </c>
      <c r="H1756" s="6" t="s">
        <v>1540</v>
      </c>
      <c r="I1756" t="s">
        <v>1561</v>
      </c>
      <c r="J1756" t="s">
        <v>1561</v>
      </c>
      <c r="L1756">
        <f t="shared" si="77"/>
        <v>1</v>
      </c>
    </row>
    <row r="1757" spans="1:12" x14ac:dyDescent="0.35">
      <c r="A1757" s="9">
        <f t="shared" si="78"/>
        <v>1756</v>
      </c>
      <c r="B1757" t="s">
        <v>111</v>
      </c>
      <c r="C1757" s="109">
        <f>IF(ISBLANK(K1757),IFERROR(VLOOKUP(I1757,FS_input_data!$C$307:$N$397,Export!J1757,FALSE),""),K1757)</f>
        <v>143</v>
      </c>
      <c r="D1757" s="6" t="b">
        <v>1</v>
      </c>
      <c r="E1757" t="s">
        <v>1561</v>
      </c>
      <c r="F1757" s="6"/>
      <c r="G1757" t="b">
        <f t="shared" si="81"/>
        <v>0</v>
      </c>
      <c r="H1757" s="6" t="s">
        <v>1540</v>
      </c>
      <c r="I1757" t="s">
        <v>1606</v>
      </c>
      <c r="J1757">
        <v>4</v>
      </c>
      <c r="L1757" s="9" t="e">
        <f t="shared" si="77"/>
        <v>#VALUE!</v>
      </c>
    </row>
    <row r="1758" spans="1:12" x14ac:dyDescent="0.35">
      <c r="A1758">
        <f t="shared" si="78"/>
        <v>1757</v>
      </c>
      <c r="B1758" t="s">
        <v>112</v>
      </c>
      <c r="C1758" s="109" t="str">
        <f>IF(ISBLANK(K1758),IFERROR(VLOOKUP(I1758,FS_input_data!$C$307:$N$397,Export!J1758,FALSE),""),K1758)</f>
        <v/>
      </c>
      <c r="D1758" s="6"/>
      <c r="E1758" t="s">
        <v>1561</v>
      </c>
      <c r="F1758" s="6"/>
      <c r="G1758" t="b">
        <f t="shared" si="81"/>
        <v>0</v>
      </c>
      <c r="H1758" s="6" t="s">
        <v>1540</v>
      </c>
      <c r="I1758" t="s">
        <v>1561</v>
      </c>
      <c r="J1758" t="s">
        <v>1561</v>
      </c>
      <c r="L1758">
        <f t="shared" si="77"/>
        <v>1</v>
      </c>
    </row>
    <row r="1759" spans="1:12" x14ac:dyDescent="0.35">
      <c r="A1759">
        <f t="shared" si="78"/>
        <v>1758</v>
      </c>
      <c r="B1759" t="s">
        <v>528</v>
      </c>
      <c r="C1759" s="109" t="str">
        <f>IF(ISBLANK(K1759),IFERROR(VLOOKUP(I1759,FS_input_data!$C$307:$N$397,Export!J1759,FALSE),""),K1759)</f>
        <v/>
      </c>
      <c r="D1759" s="6"/>
      <c r="E1759" t="s">
        <v>1561</v>
      </c>
      <c r="F1759" s="6"/>
      <c r="G1759" t="b">
        <f t="shared" si="81"/>
        <v>0</v>
      </c>
      <c r="H1759" s="6" t="s">
        <v>1540</v>
      </c>
      <c r="I1759" t="s">
        <v>1561</v>
      </c>
      <c r="J1759" t="s">
        <v>1561</v>
      </c>
      <c r="L1759">
        <f t="shared" si="77"/>
        <v>1</v>
      </c>
    </row>
    <row r="1760" spans="1:12" x14ac:dyDescent="0.35">
      <c r="A1760">
        <f t="shared" si="78"/>
        <v>1759</v>
      </c>
      <c r="B1760" t="s">
        <v>529</v>
      </c>
      <c r="C1760" s="109" t="str">
        <f>IF(ISBLANK(K1760),IFERROR(VLOOKUP(I1760,FS_input_data!$C$307:$N$397,Export!J1760,FALSE),""),K1760)</f>
        <v/>
      </c>
      <c r="D1760" s="6"/>
      <c r="E1760" t="s">
        <v>1561</v>
      </c>
      <c r="F1760" s="6"/>
      <c r="G1760" t="b">
        <f t="shared" si="81"/>
        <v>0</v>
      </c>
      <c r="H1760" s="6" t="s">
        <v>1540</v>
      </c>
      <c r="I1760" t="s">
        <v>1561</v>
      </c>
      <c r="J1760" t="s">
        <v>1561</v>
      </c>
      <c r="L1760">
        <f t="shared" si="77"/>
        <v>1</v>
      </c>
    </row>
    <row r="1761" spans="1:12" x14ac:dyDescent="0.35">
      <c r="A1761">
        <f t="shared" si="78"/>
        <v>1760</v>
      </c>
      <c r="B1761" t="s">
        <v>566</v>
      </c>
      <c r="C1761" s="109" t="str">
        <f>IF(ISBLANK(K1761),IFERROR(VLOOKUP(I1761,FS_input_data!$C$307:$N$397,Export!J1761,FALSE),""),K1761)</f>
        <v/>
      </c>
      <c r="D1761" s="6"/>
      <c r="E1761" t="s">
        <v>1561</v>
      </c>
      <c r="F1761" s="6"/>
      <c r="G1761" t="b">
        <f t="shared" si="81"/>
        <v>0</v>
      </c>
      <c r="H1761" s="6" t="s">
        <v>1540</v>
      </c>
      <c r="I1761" t="s">
        <v>1561</v>
      </c>
      <c r="J1761" t="s">
        <v>1561</v>
      </c>
      <c r="L1761">
        <f t="shared" si="77"/>
        <v>1</v>
      </c>
    </row>
    <row r="1762" spans="1:12" x14ac:dyDescent="0.35">
      <c r="A1762">
        <f t="shared" si="78"/>
        <v>1761</v>
      </c>
      <c r="B1762" t="s">
        <v>567</v>
      </c>
      <c r="C1762" s="109" t="str">
        <f>IF(ISBLANK(K1762),IFERROR(VLOOKUP(I1762,FS_input_data!$C$307:$N$397,Export!J1762,FALSE),""),K1762)</f>
        <v/>
      </c>
      <c r="D1762" s="6"/>
      <c r="E1762" t="s">
        <v>1561</v>
      </c>
      <c r="F1762" s="6"/>
      <c r="G1762" t="b">
        <f t="shared" si="81"/>
        <v>0</v>
      </c>
      <c r="H1762" s="6" t="s">
        <v>1540</v>
      </c>
      <c r="I1762" t="s">
        <v>1561</v>
      </c>
      <c r="J1762" t="s">
        <v>1561</v>
      </c>
      <c r="L1762">
        <f t="shared" si="77"/>
        <v>1</v>
      </c>
    </row>
    <row r="1763" spans="1:12" x14ac:dyDescent="0.35">
      <c r="A1763">
        <f t="shared" si="78"/>
        <v>1762</v>
      </c>
      <c r="B1763" t="s">
        <v>568</v>
      </c>
      <c r="C1763" s="109" t="str">
        <f>IF(ISBLANK(K1763),IFERROR(VLOOKUP(I1763,FS_input_data!$C$307:$N$397,Export!J1763,FALSE),""),K1763)</f>
        <v/>
      </c>
      <c r="D1763" s="6"/>
      <c r="E1763" t="s">
        <v>1608</v>
      </c>
      <c r="F1763" s="6"/>
      <c r="G1763" t="b">
        <f t="shared" ref="G1763:G1769" si="82">IF(capital_xml,AND($C$1764=0,$C$1766=0),TRUE)</f>
        <v>0</v>
      </c>
      <c r="H1763" s="6" t="s">
        <v>1540</v>
      </c>
      <c r="I1763" t="s">
        <v>1561</v>
      </c>
      <c r="J1763" t="s">
        <v>1561</v>
      </c>
      <c r="L1763" s="26" t="e">
        <f t="shared" si="77"/>
        <v>#VALUE!</v>
      </c>
    </row>
    <row r="1764" spans="1:12" x14ac:dyDescent="0.35">
      <c r="A1764" s="9">
        <f t="shared" si="78"/>
        <v>1763</v>
      </c>
      <c r="B1764" t="s">
        <v>109</v>
      </c>
      <c r="C1764" s="109">
        <f>IF(ISBLANK(K1764),IFERROR(VLOOKUP(I1764,FS_input_data!$C$307:$N$397,Export!J1764,FALSE),""),K1764)</f>
        <v>-210</v>
      </c>
      <c r="D1764" s="6" t="b">
        <v>1</v>
      </c>
      <c r="E1764" t="s">
        <v>1561</v>
      </c>
      <c r="F1764" s="6"/>
      <c r="G1764" t="b">
        <f t="shared" si="82"/>
        <v>0</v>
      </c>
      <c r="H1764" s="6" t="s">
        <v>1540</v>
      </c>
      <c r="I1764" t="s">
        <v>1607</v>
      </c>
      <c r="J1764">
        <v>3</v>
      </c>
      <c r="L1764" s="9" t="e">
        <f t="shared" si="77"/>
        <v>#VALUE!</v>
      </c>
    </row>
    <row r="1765" spans="1:12" x14ac:dyDescent="0.35">
      <c r="A1765">
        <f t="shared" si="78"/>
        <v>1764</v>
      </c>
      <c r="B1765" t="s">
        <v>110</v>
      </c>
      <c r="C1765" s="109" t="str">
        <f>IF(ISBLANK(K1765),IFERROR(VLOOKUP(I1765,FS_input_data!$C$307:$N$397,Export!J1765,FALSE),""),K1765)</f>
        <v/>
      </c>
      <c r="D1765" s="6"/>
      <c r="F1765" s="6"/>
      <c r="G1765" t="b">
        <f t="shared" si="82"/>
        <v>0</v>
      </c>
      <c r="H1765" s="6" t="s">
        <v>1540</v>
      </c>
      <c r="I1765" t="s">
        <v>1561</v>
      </c>
      <c r="J1765" t="s">
        <v>1561</v>
      </c>
      <c r="L1765">
        <f t="shared" si="77"/>
        <v>1</v>
      </c>
    </row>
    <row r="1766" spans="1:12" x14ac:dyDescent="0.35">
      <c r="A1766" s="9">
        <f t="shared" si="78"/>
        <v>1765</v>
      </c>
      <c r="B1766" t="s">
        <v>111</v>
      </c>
      <c r="C1766" s="109">
        <f>IF(ISBLANK(K1766),IFERROR(VLOOKUP(I1766,FS_input_data!$C$307:$N$397,Export!J1766,FALSE),""),K1766)</f>
        <v>-155</v>
      </c>
      <c r="D1766" s="6" t="b">
        <v>1</v>
      </c>
      <c r="E1766" t="s">
        <v>1561</v>
      </c>
      <c r="F1766" s="6"/>
      <c r="G1766" t="b">
        <f t="shared" si="82"/>
        <v>0</v>
      </c>
      <c r="H1766" s="6" t="s">
        <v>1540</v>
      </c>
      <c r="I1766" t="s">
        <v>1607</v>
      </c>
      <c r="J1766">
        <v>4</v>
      </c>
      <c r="L1766" s="9" t="e">
        <f t="shared" si="77"/>
        <v>#VALUE!</v>
      </c>
    </row>
    <row r="1767" spans="1:12" x14ac:dyDescent="0.35">
      <c r="A1767">
        <f t="shared" si="78"/>
        <v>1766</v>
      </c>
      <c r="B1767" t="s">
        <v>112</v>
      </c>
      <c r="C1767" s="109" t="str">
        <f>IF(ISBLANK(K1767),IFERROR(VLOOKUP(I1767,FS_input_data!$C$307:$N$397,Export!J1767,FALSE),""),K1767)</f>
        <v/>
      </c>
      <c r="D1767" s="6"/>
      <c r="E1767" t="s">
        <v>1561</v>
      </c>
      <c r="F1767" s="6"/>
      <c r="G1767" t="b">
        <f t="shared" si="82"/>
        <v>0</v>
      </c>
      <c r="H1767" s="6" t="s">
        <v>1540</v>
      </c>
      <c r="I1767" t="s">
        <v>1561</v>
      </c>
      <c r="J1767" t="s">
        <v>1561</v>
      </c>
      <c r="L1767">
        <f t="shared" si="77"/>
        <v>1</v>
      </c>
    </row>
    <row r="1768" spans="1:12" x14ac:dyDescent="0.35">
      <c r="A1768">
        <f t="shared" si="78"/>
        <v>1767</v>
      </c>
      <c r="B1768" t="s">
        <v>569</v>
      </c>
      <c r="C1768" s="109" t="str">
        <f>IF(ISBLANK(K1768),IFERROR(VLOOKUP(I1768,FS_input_data!$C$307:$N$397,Export!J1768,FALSE),""),K1768)</f>
        <v/>
      </c>
      <c r="D1768" s="6"/>
      <c r="E1768" t="s">
        <v>1561</v>
      </c>
      <c r="F1768" s="6"/>
      <c r="G1768" t="b">
        <f t="shared" si="82"/>
        <v>0</v>
      </c>
      <c r="H1768" s="6" t="s">
        <v>1540</v>
      </c>
      <c r="I1768" t="s">
        <v>1561</v>
      </c>
      <c r="J1768" t="s">
        <v>1561</v>
      </c>
      <c r="L1768">
        <f t="shared" si="77"/>
        <v>1</v>
      </c>
    </row>
    <row r="1769" spans="1:12" x14ac:dyDescent="0.35">
      <c r="A1769">
        <f t="shared" si="78"/>
        <v>1768</v>
      </c>
      <c r="B1769" t="s">
        <v>570</v>
      </c>
      <c r="C1769" s="109" t="str">
        <f>IF(ISBLANK(K1769),IFERROR(VLOOKUP(I1769,FS_input_data!$C$307:$N$397,Export!J1769,FALSE),""),K1769)</f>
        <v/>
      </c>
      <c r="D1769" s="6"/>
      <c r="E1769" t="s">
        <v>1561</v>
      </c>
      <c r="F1769" s="6"/>
      <c r="G1769" t="b">
        <f t="shared" si="82"/>
        <v>0</v>
      </c>
      <c r="H1769" s="6" t="s">
        <v>1540</v>
      </c>
      <c r="I1769" t="s">
        <v>1561</v>
      </c>
      <c r="J1769" t="s">
        <v>1561</v>
      </c>
      <c r="L1769">
        <f t="shared" si="77"/>
        <v>1</v>
      </c>
    </row>
    <row r="1770" spans="1:12" x14ac:dyDescent="0.35">
      <c r="A1770">
        <f t="shared" si="78"/>
        <v>1769</v>
      </c>
      <c r="B1770" t="s">
        <v>571</v>
      </c>
      <c r="C1770" s="109" t="str">
        <f>IF(ISBLANK(K1770),IFERROR(VLOOKUP(I1770,FS_input_data!$C$307:$N$397,Export!J1770,FALSE),""),K1770)</f>
        <v/>
      </c>
      <c r="D1770" s="6"/>
      <c r="E1770" t="s">
        <v>1610</v>
      </c>
      <c r="F1770" s="6"/>
      <c r="G1770" t="b">
        <f>IF(capital_xml,AND($C$1771=0,$C$1773=0),TRUE)</f>
        <v>0</v>
      </c>
      <c r="H1770" s="6" t="s">
        <v>1540</v>
      </c>
      <c r="I1770" t="s">
        <v>1561</v>
      </c>
      <c r="J1770" t="s">
        <v>1561</v>
      </c>
      <c r="L1770" s="26" t="e">
        <f t="shared" si="77"/>
        <v>#VALUE!</v>
      </c>
    </row>
    <row r="1771" spans="1:12" x14ac:dyDescent="0.35">
      <c r="A1771" s="9">
        <f t="shared" si="78"/>
        <v>1770</v>
      </c>
      <c r="B1771" t="s">
        <v>109</v>
      </c>
      <c r="C1771" s="109">
        <f>IF(ISBLANK(K1771),IFERROR(VLOOKUP(I1771,FS_input_data!$C$307:$N$397,Export!J1771,FALSE),""),K1771)</f>
        <v>-12</v>
      </c>
      <c r="D1771" s="6" t="b">
        <v>1</v>
      </c>
      <c r="E1771" t="s">
        <v>1561</v>
      </c>
      <c r="F1771" s="6"/>
      <c r="G1771" t="b">
        <f>IF(capital_xml,AND($C$1771=0,$C$1773=0),TRUE)</f>
        <v>0</v>
      </c>
      <c r="H1771" s="6" t="s">
        <v>1540</v>
      </c>
      <c r="I1771" t="s">
        <v>1609</v>
      </c>
      <c r="J1771">
        <v>3</v>
      </c>
      <c r="L1771" s="9" t="e">
        <f t="shared" si="77"/>
        <v>#VALUE!</v>
      </c>
    </row>
    <row r="1772" spans="1:12" x14ac:dyDescent="0.35">
      <c r="A1772">
        <f t="shared" si="78"/>
        <v>1771</v>
      </c>
      <c r="B1772" t="s">
        <v>110</v>
      </c>
      <c r="C1772" s="109" t="str">
        <f>IF(ISBLANK(K1772),IFERROR(VLOOKUP(I1772,FS_input_data!$C$307:$N$397,Export!J1772,FALSE),""),K1772)</f>
        <v/>
      </c>
      <c r="D1772" s="6"/>
      <c r="F1772" s="6"/>
      <c r="G1772" t="b">
        <f>IF(capital_xml,AND($C$1771=0,$C$1773=0),TRUE)</f>
        <v>0</v>
      </c>
      <c r="H1772" s="6" t="s">
        <v>1540</v>
      </c>
      <c r="I1772" t="s">
        <v>1561</v>
      </c>
      <c r="J1772" t="s">
        <v>1561</v>
      </c>
      <c r="L1772">
        <f t="shared" si="77"/>
        <v>1</v>
      </c>
    </row>
    <row r="1773" spans="1:12" x14ac:dyDescent="0.35">
      <c r="A1773" s="9">
        <f t="shared" si="78"/>
        <v>1772</v>
      </c>
      <c r="B1773" t="s">
        <v>111</v>
      </c>
      <c r="C1773" s="109">
        <f>IF(ISBLANK(K1773),IFERROR(VLOOKUP(I1773,FS_input_data!$C$307:$N$397,Export!J1773,FALSE),""),K1773)</f>
        <v>0</v>
      </c>
      <c r="D1773" s="6" t="b">
        <v>1</v>
      </c>
      <c r="E1773" t="s">
        <v>1561</v>
      </c>
      <c r="F1773" s="6"/>
      <c r="G1773" t="b">
        <f>IF(capital_xml,AND($C$1771=0,$C$1773=0),TRUE)</f>
        <v>0</v>
      </c>
      <c r="H1773" s="6" t="s">
        <v>1540</v>
      </c>
      <c r="I1773" t="s">
        <v>1609</v>
      </c>
      <c r="J1773">
        <v>4</v>
      </c>
      <c r="L1773" s="9" t="e">
        <f t="shared" si="77"/>
        <v>#VALUE!</v>
      </c>
    </row>
    <row r="1774" spans="1:12" x14ac:dyDescent="0.35">
      <c r="A1774">
        <f t="shared" si="78"/>
        <v>1773</v>
      </c>
      <c r="B1774" t="s">
        <v>112</v>
      </c>
      <c r="C1774" s="109" t="str">
        <f>IF(ISBLANK(K1774),IFERROR(VLOOKUP(I1774,FS_input_data!$C$307:$N$397,Export!J1774,FALSE),""),K1774)</f>
        <v/>
      </c>
      <c r="D1774" s="6"/>
      <c r="E1774" t="s">
        <v>1561</v>
      </c>
      <c r="F1774" s="6"/>
      <c r="G1774" t="b">
        <f>IF(capital_xml,AND($C$1771=0,$C$1773=0),TRUE)</f>
        <v>0</v>
      </c>
      <c r="H1774" s="6" t="s">
        <v>1540</v>
      </c>
      <c r="I1774" t="s">
        <v>1561</v>
      </c>
      <c r="J1774" t="s">
        <v>1561</v>
      </c>
      <c r="L1774">
        <f t="shared" si="77"/>
        <v>1</v>
      </c>
    </row>
    <row r="1775" spans="1:12" x14ac:dyDescent="0.35">
      <c r="A1775">
        <f t="shared" si="78"/>
        <v>1774</v>
      </c>
      <c r="B1775" t="s">
        <v>572</v>
      </c>
      <c r="C1775" s="109" t="str">
        <f>IF(ISBLANK(K1775),IFERROR(VLOOKUP(I1775,FS_input_data!$C$307:$N$397,Export!J1775,FALSE),""),K1775)</f>
        <v/>
      </c>
      <c r="D1775" s="6"/>
      <c r="E1775" t="s">
        <v>1612</v>
      </c>
      <c r="F1775" s="6"/>
      <c r="G1775" t="b">
        <f>IF(capital_xml,AND($C$1776=0,$C$1778=0),TRUE)</f>
        <v>0</v>
      </c>
      <c r="H1775" s="6" t="s">
        <v>1540</v>
      </c>
      <c r="I1775" t="s">
        <v>1561</v>
      </c>
      <c r="J1775" t="s">
        <v>1561</v>
      </c>
      <c r="L1775" s="26" t="e">
        <f t="shared" si="77"/>
        <v>#VALUE!</v>
      </c>
    </row>
    <row r="1776" spans="1:12" x14ac:dyDescent="0.35">
      <c r="A1776" s="9">
        <f t="shared" si="78"/>
        <v>1775</v>
      </c>
      <c r="B1776" t="s">
        <v>109</v>
      </c>
      <c r="C1776" s="109">
        <f>IF(ISBLANK(K1776),IFERROR(VLOOKUP(I1776,FS_input_data!$C$307:$N$397,Export!J1776,FALSE),""),K1776)</f>
        <v>-12</v>
      </c>
      <c r="D1776" s="6" t="b">
        <v>1</v>
      </c>
      <c r="E1776" t="s">
        <v>1561</v>
      </c>
      <c r="F1776" s="6"/>
      <c r="G1776" t="b">
        <f>IF(capital_xml,AND($C$1776=0,$C$1778=0),TRUE)</f>
        <v>0</v>
      </c>
      <c r="H1776" s="6" t="s">
        <v>1540</v>
      </c>
      <c r="I1776" t="s">
        <v>1611</v>
      </c>
      <c r="J1776">
        <v>3</v>
      </c>
      <c r="L1776" s="9" t="e">
        <f t="shared" si="77"/>
        <v>#VALUE!</v>
      </c>
    </row>
    <row r="1777" spans="1:12" x14ac:dyDescent="0.35">
      <c r="A1777">
        <f t="shared" si="78"/>
        <v>1776</v>
      </c>
      <c r="B1777" t="s">
        <v>110</v>
      </c>
      <c r="C1777" s="109" t="str">
        <f>IF(ISBLANK(K1777),IFERROR(VLOOKUP(I1777,FS_input_data!$C$307:$N$397,Export!J1777,FALSE),""),K1777)</f>
        <v/>
      </c>
      <c r="D1777" s="6"/>
      <c r="F1777" s="6"/>
      <c r="G1777" t="b">
        <f>IF(capital_xml,AND($C$1776=0,$C$1778=0),TRUE)</f>
        <v>0</v>
      </c>
      <c r="H1777" s="6" t="s">
        <v>1540</v>
      </c>
      <c r="I1777" t="s">
        <v>1561</v>
      </c>
      <c r="J1777" t="s">
        <v>1561</v>
      </c>
      <c r="L1777">
        <f t="shared" si="77"/>
        <v>1</v>
      </c>
    </row>
    <row r="1778" spans="1:12" x14ac:dyDescent="0.35">
      <c r="A1778" s="9">
        <f t="shared" si="78"/>
        <v>1777</v>
      </c>
      <c r="B1778" t="s">
        <v>111</v>
      </c>
      <c r="C1778" s="109">
        <f>IF(ISBLANK(K1778),IFERROR(VLOOKUP(I1778,FS_input_data!$C$307:$N$397,Export!J1778,FALSE),""),K1778)</f>
        <v>-12</v>
      </c>
      <c r="D1778" s="6" t="b">
        <v>1</v>
      </c>
      <c r="E1778" t="s">
        <v>1561</v>
      </c>
      <c r="F1778" s="6"/>
      <c r="G1778" t="b">
        <f>IF(capital_xml,AND($C$1776=0,$C$1778=0),TRUE)</f>
        <v>0</v>
      </c>
      <c r="H1778" s="6" t="s">
        <v>1540</v>
      </c>
      <c r="I1778" t="s">
        <v>1611</v>
      </c>
      <c r="J1778">
        <v>4</v>
      </c>
      <c r="L1778" s="9" t="e">
        <f t="shared" si="77"/>
        <v>#VALUE!</v>
      </c>
    </row>
    <row r="1779" spans="1:12" x14ac:dyDescent="0.35">
      <c r="A1779">
        <f t="shared" si="78"/>
        <v>1778</v>
      </c>
      <c r="B1779" t="s">
        <v>112</v>
      </c>
      <c r="C1779" s="109" t="str">
        <f>IF(ISBLANK(K1779),IFERROR(VLOOKUP(I1779,FS_input_data!$C$307:$N$397,Export!J1779,FALSE),""),K1779)</f>
        <v/>
      </c>
      <c r="D1779" s="6"/>
      <c r="E1779" t="s">
        <v>1561</v>
      </c>
      <c r="F1779" s="6"/>
      <c r="G1779" t="b">
        <f>IF(capital_xml,AND($C$1776=0,$C$1778=0),TRUE)</f>
        <v>0</v>
      </c>
      <c r="H1779" s="6" t="s">
        <v>1540</v>
      </c>
      <c r="I1779" t="s">
        <v>1561</v>
      </c>
      <c r="J1779" t="s">
        <v>1561</v>
      </c>
      <c r="L1779">
        <f t="shared" si="77"/>
        <v>1</v>
      </c>
    </row>
    <row r="1780" spans="1:12" x14ac:dyDescent="0.35">
      <c r="A1780">
        <f t="shared" si="78"/>
        <v>1779</v>
      </c>
      <c r="B1780" t="s">
        <v>573</v>
      </c>
      <c r="C1780" s="109" t="str">
        <f>IF(ISBLANK(K1780),IFERROR(VLOOKUP(I1780,FS_input_data!$C$307:$N$397,Export!J1780,FALSE),""),K1780)</f>
        <v/>
      </c>
      <c r="D1780" s="6"/>
      <c r="E1780" t="s">
        <v>1553</v>
      </c>
      <c r="F1780" s="6"/>
      <c r="G1780" t="b">
        <f>IF(capital_xml,AND($C$1781=0,$C$1783=0),TRUE)</f>
        <v>0</v>
      </c>
      <c r="H1780" s="6" t="s">
        <v>1540</v>
      </c>
      <c r="I1780" t="s">
        <v>1561</v>
      </c>
      <c r="J1780" t="s">
        <v>1561</v>
      </c>
      <c r="L1780" s="26" t="e">
        <f t="shared" si="77"/>
        <v>#VALUE!</v>
      </c>
    </row>
    <row r="1781" spans="1:12" x14ac:dyDescent="0.35">
      <c r="A1781" s="9">
        <f t="shared" si="78"/>
        <v>1780</v>
      </c>
      <c r="B1781" t="s">
        <v>109</v>
      </c>
      <c r="C1781" s="109">
        <f>IF(ISBLANK(K1781),IFERROR(VLOOKUP(I1781,FS_input_data!$C$307:$N$397,Export!J1781,FALSE),""),K1781)</f>
        <v>147</v>
      </c>
      <c r="D1781" s="6" t="b">
        <v>1</v>
      </c>
      <c r="E1781" t="s">
        <v>1561</v>
      </c>
      <c r="F1781" s="6"/>
      <c r="G1781" t="b">
        <f>IF(capital_xml,AND($C$1781=0,$C$1783=0),TRUE)</f>
        <v>0</v>
      </c>
      <c r="H1781" s="6" t="s">
        <v>1540</v>
      </c>
      <c r="I1781" t="s">
        <v>1613</v>
      </c>
      <c r="J1781">
        <v>3</v>
      </c>
      <c r="L1781" s="9" t="e">
        <f t="shared" si="77"/>
        <v>#VALUE!</v>
      </c>
    </row>
    <row r="1782" spans="1:12" x14ac:dyDescent="0.35">
      <c r="A1782">
        <f t="shared" si="78"/>
        <v>1781</v>
      </c>
      <c r="B1782" t="s">
        <v>110</v>
      </c>
      <c r="C1782" s="109" t="str">
        <f>IF(ISBLANK(K1782),IFERROR(VLOOKUP(I1782,FS_input_data!$C$307:$N$397,Export!J1782,FALSE),""),K1782)</f>
        <v/>
      </c>
      <c r="D1782" s="6"/>
      <c r="F1782" s="6"/>
      <c r="G1782" t="b">
        <f>IF(capital_xml,AND($C$1781=0,$C$1783=0),TRUE)</f>
        <v>0</v>
      </c>
      <c r="H1782" s="6" t="s">
        <v>1540</v>
      </c>
      <c r="I1782" t="s">
        <v>1561</v>
      </c>
      <c r="J1782" t="s">
        <v>1561</v>
      </c>
      <c r="L1782">
        <f t="shared" si="77"/>
        <v>1</v>
      </c>
    </row>
    <row r="1783" spans="1:12" x14ac:dyDescent="0.35">
      <c r="A1783" s="9">
        <f t="shared" si="78"/>
        <v>1782</v>
      </c>
      <c r="B1783" t="s">
        <v>111</v>
      </c>
      <c r="C1783" s="109">
        <f>IF(ISBLANK(K1783),IFERROR(VLOOKUP(I1783,FS_input_data!$C$307:$N$397,Export!J1783,FALSE),""),K1783)</f>
        <v>447</v>
      </c>
      <c r="D1783" s="6" t="b">
        <v>1</v>
      </c>
      <c r="E1783" t="s">
        <v>1561</v>
      </c>
      <c r="F1783" s="6"/>
      <c r="G1783" t="b">
        <f>IF(capital_xml,AND($C$1781=0,$C$1783=0),TRUE)</f>
        <v>0</v>
      </c>
      <c r="H1783" s="6" t="s">
        <v>1540</v>
      </c>
      <c r="I1783" t="s">
        <v>1613</v>
      </c>
      <c r="J1783">
        <v>4</v>
      </c>
      <c r="L1783" s="9" t="e">
        <f t="shared" si="77"/>
        <v>#VALUE!</v>
      </c>
    </row>
    <row r="1784" spans="1:12" x14ac:dyDescent="0.35">
      <c r="A1784">
        <f t="shared" si="78"/>
        <v>1783</v>
      </c>
      <c r="B1784" t="s">
        <v>112</v>
      </c>
      <c r="C1784" s="109" t="str">
        <f>IF(ISBLANK(K1784),IFERROR(VLOOKUP(I1784,FS_input_data!$C$307:$N$397,Export!J1784,FALSE),""),K1784)</f>
        <v/>
      </c>
      <c r="D1784" s="6"/>
      <c r="E1784" t="s">
        <v>1561</v>
      </c>
      <c r="F1784" s="6"/>
      <c r="G1784" t="b">
        <f>IF(capital_xml,AND($C$1781=0,$C$1783=0),TRUE)</f>
        <v>0</v>
      </c>
      <c r="H1784" s="6" t="s">
        <v>1540</v>
      </c>
      <c r="I1784" t="s">
        <v>1561</v>
      </c>
      <c r="J1784" t="s">
        <v>1561</v>
      </c>
      <c r="L1784">
        <f t="shared" si="77"/>
        <v>1</v>
      </c>
    </row>
    <row r="1785" spans="1:12" x14ac:dyDescent="0.35">
      <c r="A1785">
        <f t="shared" si="78"/>
        <v>1784</v>
      </c>
      <c r="B1785" t="s">
        <v>574</v>
      </c>
      <c r="C1785" s="109" t="str">
        <f>IF(ISBLANK(K1785),IFERROR(VLOOKUP(I1785,FS_input_data!$C$307:$N$397,Export!J1785,FALSE),""),K1785)</f>
        <v/>
      </c>
      <c r="D1785" s="6"/>
      <c r="E1785" t="s">
        <v>1615</v>
      </c>
      <c r="F1785" s="6"/>
      <c r="G1785" t="b">
        <f t="shared" ref="G1785:G1794" si="83">IF(capital_xml,AND($C$1789=0,$C$1791=0),TRUE)</f>
        <v>0</v>
      </c>
      <c r="H1785" s="6" t="s">
        <v>1540</v>
      </c>
      <c r="I1785" t="s">
        <v>1561</v>
      </c>
      <c r="J1785" t="s">
        <v>1561</v>
      </c>
      <c r="L1785" s="9" t="e">
        <f t="shared" si="77"/>
        <v>#VALUE!</v>
      </c>
    </row>
    <row r="1786" spans="1:12" x14ac:dyDescent="0.35">
      <c r="A1786" s="9">
        <f t="shared" si="78"/>
        <v>1785</v>
      </c>
      <c r="B1786" t="s">
        <v>101</v>
      </c>
      <c r="C1786" s="109" t="str">
        <f>IF(ISBLANK(K1786),IFERROR(VLOOKUP(I1786,FS_input_data!$C$307:$N$397,Export!J1786,FALSE),""),K1786)</f>
        <v>IVa_PozycjaUszczegolawiajaca_1</v>
      </c>
      <c r="D1786" s="6" t="b">
        <v>1</v>
      </c>
      <c r="E1786" t="s">
        <v>1561</v>
      </c>
      <c r="F1786" s="6"/>
      <c r="G1786" t="b">
        <f t="shared" si="83"/>
        <v>0</v>
      </c>
      <c r="H1786" s="6" t="s">
        <v>1540</v>
      </c>
      <c r="I1786" t="s">
        <v>1615</v>
      </c>
      <c r="J1786">
        <v>2</v>
      </c>
      <c r="L1786" s="9" t="e">
        <f t="shared" si="77"/>
        <v>#VALUE!</v>
      </c>
    </row>
    <row r="1787" spans="1:12" x14ac:dyDescent="0.35">
      <c r="A1787">
        <f t="shared" si="78"/>
        <v>1786</v>
      </c>
      <c r="B1787" t="s">
        <v>102</v>
      </c>
      <c r="C1787" s="109" t="str">
        <f>IF(ISBLANK(K1787),IFERROR(VLOOKUP(I1787,FS_input_data!$C$307:$N$397,Export!J1787,FALSE),""),K1787)</f>
        <v/>
      </c>
      <c r="D1787" s="6"/>
      <c r="E1787" t="s">
        <v>1561</v>
      </c>
      <c r="F1787" s="6"/>
      <c r="G1787" t="b">
        <f t="shared" si="83"/>
        <v>0</v>
      </c>
      <c r="H1787" s="6" t="s">
        <v>1540</v>
      </c>
      <c r="I1787" t="s">
        <v>1561</v>
      </c>
      <c r="J1787" t="s">
        <v>1561</v>
      </c>
      <c r="L1787">
        <f t="shared" si="77"/>
        <v>1</v>
      </c>
    </row>
    <row r="1788" spans="1:12" x14ac:dyDescent="0.35">
      <c r="A1788">
        <f t="shared" si="78"/>
        <v>1787</v>
      </c>
      <c r="B1788" t="s">
        <v>527</v>
      </c>
      <c r="C1788" s="109" t="str">
        <f>IF(ISBLANK(K1788),IFERROR(VLOOKUP(I1788,FS_input_data!$C$307:$N$397,Export!J1788,FALSE),""),K1788)</f>
        <v/>
      </c>
      <c r="D1788" s="6"/>
      <c r="F1788" s="6"/>
      <c r="G1788" t="b">
        <f t="shared" si="83"/>
        <v>0</v>
      </c>
      <c r="H1788" s="6" t="s">
        <v>1540</v>
      </c>
      <c r="I1788" t="s">
        <v>1561</v>
      </c>
      <c r="J1788" t="s">
        <v>1561</v>
      </c>
      <c r="L1788" s="9" t="e">
        <f t="shared" si="77"/>
        <v>#VALUE!</v>
      </c>
    </row>
    <row r="1789" spans="1:12" x14ac:dyDescent="0.35">
      <c r="A1789" s="9">
        <f t="shared" si="78"/>
        <v>1788</v>
      </c>
      <c r="B1789" t="s">
        <v>109</v>
      </c>
      <c r="C1789" s="109">
        <f>IF(ISBLANK(K1789),IFERROR(VLOOKUP(I1789,FS_input_data!$C$307:$N$397,Export!J1789,FALSE),""),K1789)</f>
        <v>48</v>
      </c>
      <c r="D1789" s="6" t="b">
        <v>1</v>
      </c>
      <c r="E1789" t="s">
        <v>1561</v>
      </c>
      <c r="F1789" s="6"/>
      <c r="G1789" t="b">
        <f t="shared" si="83"/>
        <v>0</v>
      </c>
      <c r="H1789" s="6" t="s">
        <v>1540</v>
      </c>
      <c r="I1789" t="s">
        <v>1615</v>
      </c>
      <c r="J1789">
        <v>3</v>
      </c>
      <c r="L1789" s="9" t="e">
        <f t="shared" si="77"/>
        <v>#VALUE!</v>
      </c>
    </row>
    <row r="1790" spans="1:12" x14ac:dyDescent="0.35">
      <c r="A1790">
        <f t="shared" si="78"/>
        <v>1789</v>
      </c>
      <c r="B1790" t="s">
        <v>110</v>
      </c>
      <c r="C1790" s="109" t="str">
        <f>IF(ISBLANK(K1790),IFERROR(VLOOKUP(I1790,FS_input_data!$C$307:$N$397,Export!J1790,FALSE),""),K1790)</f>
        <v/>
      </c>
      <c r="D1790" s="6"/>
      <c r="F1790" s="6"/>
      <c r="G1790" t="b">
        <f t="shared" si="83"/>
        <v>0</v>
      </c>
      <c r="H1790" s="6" t="s">
        <v>1540</v>
      </c>
      <c r="I1790" t="s">
        <v>1561</v>
      </c>
      <c r="J1790" t="s">
        <v>1561</v>
      </c>
      <c r="L1790">
        <f t="shared" si="77"/>
        <v>1</v>
      </c>
    </row>
    <row r="1791" spans="1:12" x14ac:dyDescent="0.35">
      <c r="A1791" s="9">
        <f t="shared" si="78"/>
        <v>1790</v>
      </c>
      <c r="B1791" t="s">
        <v>111</v>
      </c>
      <c r="C1791" s="109">
        <f>IF(ISBLANK(K1791),IFERROR(VLOOKUP(I1791,FS_input_data!$C$307:$N$397,Export!J1791,FALSE),""),K1791)</f>
        <v>148</v>
      </c>
      <c r="D1791" s="6" t="b">
        <v>1</v>
      </c>
      <c r="E1791" t="s">
        <v>1561</v>
      </c>
      <c r="F1791" s="6"/>
      <c r="G1791" t="b">
        <f t="shared" si="83"/>
        <v>0</v>
      </c>
      <c r="H1791" s="6" t="s">
        <v>1540</v>
      </c>
      <c r="I1791" t="s">
        <v>1615</v>
      </c>
      <c r="J1791">
        <v>4</v>
      </c>
      <c r="L1791" s="9" t="e">
        <f t="shared" si="77"/>
        <v>#VALUE!</v>
      </c>
    </row>
    <row r="1792" spans="1:12" x14ac:dyDescent="0.35">
      <c r="A1792">
        <f t="shared" si="78"/>
        <v>1791</v>
      </c>
      <c r="B1792" t="s">
        <v>112</v>
      </c>
      <c r="C1792" s="109" t="str">
        <f>IF(ISBLANK(K1792),IFERROR(VLOOKUP(I1792,FS_input_data!$C$307:$N$397,Export!J1792,FALSE),""),K1792)</f>
        <v/>
      </c>
      <c r="D1792" s="6"/>
      <c r="E1792" t="s">
        <v>1561</v>
      </c>
      <c r="F1792" s="6"/>
      <c r="G1792" t="b">
        <f t="shared" si="83"/>
        <v>0</v>
      </c>
      <c r="H1792" s="6" t="s">
        <v>1540</v>
      </c>
      <c r="I1792" t="s">
        <v>1561</v>
      </c>
      <c r="J1792" t="s">
        <v>1561</v>
      </c>
      <c r="L1792">
        <f t="shared" si="77"/>
        <v>1</v>
      </c>
    </row>
    <row r="1793" spans="1:12" x14ac:dyDescent="0.35">
      <c r="A1793">
        <f t="shared" si="78"/>
        <v>1792</v>
      </c>
      <c r="B1793" t="s">
        <v>528</v>
      </c>
      <c r="C1793" s="109" t="str">
        <f>IF(ISBLANK(K1793),IFERROR(VLOOKUP(I1793,FS_input_data!$C$307:$N$397,Export!J1793,FALSE),""),K1793)</f>
        <v/>
      </c>
      <c r="D1793" s="6"/>
      <c r="E1793" t="s">
        <v>1561</v>
      </c>
      <c r="F1793" s="6"/>
      <c r="G1793" t="b">
        <f t="shared" si="83"/>
        <v>0</v>
      </c>
      <c r="H1793" s="6" t="s">
        <v>1540</v>
      </c>
      <c r="I1793" t="s">
        <v>1561</v>
      </c>
      <c r="J1793" t="s">
        <v>1561</v>
      </c>
      <c r="L1793">
        <f t="shared" si="77"/>
        <v>1</v>
      </c>
    </row>
    <row r="1794" spans="1:12" x14ac:dyDescent="0.35">
      <c r="A1794">
        <f t="shared" si="78"/>
        <v>1793</v>
      </c>
      <c r="B1794" t="s">
        <v>575</v>
      </c>
      <c r="C1794" s="109" t="str">
        <f>IF(ISBLANK(K1794),IFERROR(VLOOKUP(I1794,FS_input_data!$C$307:$N$397,Export!J1794,FALSE),""),K1794)</f>
        <v/>
      </c>
      <c r="D1794" s="6"/>
      <c r="E1794" t="s">
        <v>1561</v>
      </c>
      <c r="F1794" s="6"/>
      <c r="G1794" t="b">
        <f t="shared" si="83"/>
        <v>0</v>
      </c>
      <c r="H1794" s="6" t="s">
        <v>1540</v>
      </c>
      <c r="I1794" t="s">
        <v>1561</v>
      </c>
      <c r="J1794" t="s">
        <v>1561</v>
      </c>
      <c r="L1794">
        <f t="shared" ref="L1794:L1857" si="84">FIND("/",B1794)</f>
        <v>1</v>
      </c>
    </row>
    <row r="1795" spans="1:12" x14ac:dyDescent="0.35">
      <c r="A1795">
        <f t="shared" ref="A1795:A1858" si="85">A1794+1</f>
        <v>1794</v>
      </c>
      <c r="B1795" t="s">
        <v>574</v>
      </c>
      <c r="C1795" s="109" t="str">
        <f>IF(ISBLANK(K1795),IFERROR(VLOOKUP(I1795,FS_input_data!$C$307:$N$397,Export!J1795,FALSE),""),K1795)</f>
        <v/>
      </c>
      <c r="D1795" s="6"/>
      <c r="E1795" t="s">
        <v>1616</v>
      </c>
      <c r="F1795" s="6"/>
      <c r="G1795" t="b">
        <f t="shared" ref="G1795:G1804" si="86">IF(capital_xml,AND($C$1799=0,$C$1801=0),TRUE)</f>
        <v>0</v>
      </c>
      <c r="H1795" s="6" t="s">
        <v>1540</v>
      </c>
      <c r="I1795" t="s">
        <v>1561</v>
      </c>
      <c r="J1795" t="s">
        <v>1561</v>
      </c>
      <c r="L1795" s="9" t="e">
        <f t="shared" si="84"/>
        <v>#VALUE!</v>
      </c>
    </row>
    <row r="1796" spans="1:12" x14ac:dyDescent="0.35">
      <c r="A1796" s="9">
        <f t="shared" si="85"/>
        <v>1795</v>
      </c>
      <c r="B1796" t="s">
        <v>101</v>
      </c>
      <c r="C1796" s="109" t="str">
        <f>IF(ISBLANK(K1796),IFERROR(VLOOKUP(I1796,FS_input_data!$C$307:$N$397,Export!J1796,FALSE),""),K1796)</f>
        <v>IVa_PozycjaUszczegolawiajaca_2</v>
      </c>
      <c r="D1796" s="6" t="b">
        <v>1</v>
      </c>
      <c r="E1796" t="s">
        <v>1561</v>
      </c>
      <c r="F1796" s="6"/>
      <c r="G1796" t="b">
        <f t="shared" si="86"/>
        <v>0</v>
      </c>
      <c r="H1796" s="6" t="s">
        <v>1540</v>
      </c>
      <c r="I1796" t="s">
        <v>1616</v>
      </c>
      <c r="J1796">
        <v>2</v>
      </c>
      <c r="L1796" s="9" t="e">
        <f t="shared" si="84"/>
        <v>#VALUE!</v>
      </c>
    </row>
    <row r="1797" spans="1:12" x14ac:dyDescent="0.35">
      <c r="A1797">
        <f t="shared" si="85"/>
        <v>1796</v>
      </c>
      <c r="B1797" t="s">
        <v>102</v>
      </c>
      <c r="C1797" s="109" t="str">
        <f>IF(ISBLANK(K1797),IFERROR(VLOOKUP(I1797,FS_input_data!$C$307:$N$397,Export!J1797,FALSE),""),K1797)</f>
        <v/>
      </c>
      <c r="D1797" s="6"/>
      <c r="E1797" t="s">
        <v>1561</v>
      </c>
      <c r="F1797" s="6"/>
      <c r="G1797" t="b">
        <f t="shared" si="86"/>
        <v>0</v>
      </c>
      <c r="H1797" s="6" t="s">
        <v>1540</v>
      </c>
      <c r="I1797" t="s">
        <v>1561</v>
      </c>
      <c r="J1797" t="s">
        <v>1561</v>
      </c>
      <c r="L1797">
        <f t="shared" si="84"/>
        <v>1</v>
      </c>
    </row>
    <row r="1798" spans="1:12" x14ac:dyDescent="0.35">
      <c r="A1798">
        <f t="shared" si="85"/>
        <v>1797</v>
      </c>
      <c r="B1798" t="s">
        <v>527</v>
      </c>
      <c r="C1798" s="109" t="str">
        <f>IF(ISBLANK(K1798),IFERROR(VLOOKUP(I1798,FS_input_data!$C$307:$N$397,Export!J1798,FALSE),""),K1798)</f>
        <v/>
      </c>
      <c r="D1798" s="6"/>
      <c r="F1798" s="6"/>
      <c r="G1798" t="b">
        <f t="shared" si="86"/>
        <v>0</v>
      </c>
      <c r="H1798" s="6" t="s">
        <v>1540</v>
      </c>
      <c r="I1798" t="s">
        <v>1561</v>
      </c>
      <c r="J1798" t="s">
        <v>1561</v>
      </c>
      <c r="L1798" s="9" t="e">
        <f t="shared" si="84"/>
        <v>#VALUE!</v>
      </c>
    </row>
    <row r="1799" spans="1:12" x14ac:dyDescent="0.35">
      <c r="A1799" s="9">
        <f t="shared" si="85"/>
        <v>1798</v>
      </c>
      <c r="B1799" t="s">
        <v>109</v>
      </c>
      <c r="C1799" s="109">
        <f>IF(ISBLANK(K1799),IFERROR(VLOOKUP(I1799,FS_input_data!$C$307:$N$397,Export!J1799,FALSE),""),K1799)</f>
        <v>49</v>
      </c>
      <c r="D1799" s="6" t="b">
        <v>1</v>
      </c>
      <c r="E1799" t="s">
        <v>1561</v>
      </c>
      <c r="F1799" s="6"/>
      <c r="G1799" t="b">
        <f t="shared" si="86"/>
        <v>0</v>
      </c>
      <c r="H1799" s="6" t="s">
        <v>1540</v>
      </c>
      <c r="I1799" t="s">
        <v>1616</v>
      </c>
      <c r="J1799">
        <v>3</v>
      </c>
      <c r="L1799" s="9" t="e">
        <f t="shared" si="84"/>
        <v>#VALUE!</v>
      </c>
    </row>
    <row r="1800" spans="1:12" x14ac:dyDescent="0.35">
      <c r="A1800">
        <f t="shared" si="85"/>
        <v>1799</v>
      </c>
      <c r="B1800" t="s">
        <v>110</v>
      </c>
      <c r="C1800" s="109" t="str">
        <f>IF(ISBLANK(K1800),IFERROR(VLOOKUP(I1800,FS_input_data!$C$307:$N$397,Export!J1800,FALSE),""),K1800)</f>
        <v/>
      </c>
      <c r="D1800" s="6"/>
      <c r="F1800" s="6"/>
      <c r="G1800" t="b">
        <f t="shared" si="86"/>
        <v>0</v>
      </c>
      <c r="H1800" s="6" t="s">
        <v>1540</v>
      </c>
      <c r="I1800" t="s">
        <v>1561</v>
      </c>
      <c r="J1800" t="s">
        <v>1561</v>
      </c>
      <c r="L1800">
        <f t="shared" si="84"/>
        <v>1</v>
      </c>
    </row>
    <row r="1801" spans="1:12" x14ac:dyDescent="0.35">
      <c r="A1801" s="9">
        <f t="shared" si="85"/>
        <v>1800</v>
      </c>
      <c r="B1801" t="s">
        <v>111</v>
      </c>
      <c r="C1801" s="109">
        <f>IF(ISBLANK(K1801),IFERROR(VLOOKUP(I1801,FS_input_data!$C$307:$N$397,Export!J1801,FALSE),""),K1801)</f>
        <v>149</v>
      </c>
      <c r="D1801" s="6" t="b">
        <v>1</v>
      </c>
      <c r="E1801" t="s">
        <v>1561</v>
      </c>
      <c r="F1801" s="6"/>
      <c r="G1801" t="b">
        <f t="shared" si="86"/>
        <v>0</v>
      </c>
      <c r="H1801" s="6" t="s">
        <v>1540</v>
      </c>
      <c r="I1801" t="s">
        <v>1616</v>
      </c>
      <c r="J1801">
        <v>4</v>
      </c>
      <c r="L1801" s="9" t="e">
        <f t="shared" si="84"/>
        <v>#VALUE!</v>
      </c>
    </row>
    <row r="1802" spans="1:12" x14ac:dyDescent="0.35">
      <c r="A1802">
        <f t="shared" si="85"/>
        <v>1801</v>
      </c>
      <c r="B1802" t="s">
        <v>112</v>
      </c>
      <c r="C1802" s="109" t="str">
        <f>IF(ISBLANK(K1802),IFERROR(VLOOKUP(I1802,FS_input_data!$C$307:$N$397,Export!J1802,FALSE),""),K1802)</f>
        <v/>
      </c>
      <c r="D1802" s="6"/>
      <c r="E1802" t="s">
        <v>1561</v>
      </c>
      <c r="F1802" s="6"/>
      <c r="G1802" t="b">
        <f t="shared" si="86"/>
        <v>0</v>
      </c>
      <c r="H1802" s="6" t="s">
        <v>1540</v>
      </c>
      <c r="I1802" t="s">
        <v>1561</v>
      </c>
      <c r="J1802" t="s">
        <v>1561</v>
      </c>
      <c r="L1802">
        <f t="shared" si="84"/>
        <v>1</v>
      </c>
    </row>
    <row r="1803" spans="1:12" x14ac:dyDescent="0.35">
      <c r="A1803">
        <f t="shared" si="85"/>
        <v>1802</v>
      </c>
      <c r="B1803" t="s">
        <v>528</v>
      </c>
      <c r="C1803" s="109" t="str">
        <f>IF(ISBLANK(K1803),IFERROR(VLOOKUP(I1803,FS_input_data!$C$307:$N$397,Export!J1803,FALSE),""),K1803)</f>
        <v/>
      </c>
      <c r="D1803" s="6"/>
      <c r="E1803" t="s">
        <v>1561</v>
      </c>
      <c r="F1803" s="6"/>
      <c r="G1803" t="b">
        <f t="shared" si="86"/>
        <v>0</v>
      </c>
      <c r="H1803" s="6" t="s">
        <v>1540</v>
      </c>
      <c r="I1803" t="s">
        <v>1561</v>
      </c>
      <c r="J1803" t="s">
        <v>1561</v>
      </c>
      <c r="L1803">
        <f t="shared" si="84"/>
        <v>1</v>
      </c>
    </row>
    <row r="1804" spans="1:12" x14ac:dyDescent="0.35">
      <c r="A1804">
        <f t="shared" si="85"/>
        <v>1803</v>
      </c>
      <c r="B1804" t="s">
        <v>575</v>
      </c>
      <c r="C1804" s="109" t="str">
        <f>IF(ISBLANK(K1804),IFERROR(VLOOKUP(I1804,FS_input_data!$C$307:$N$397,Export!J1804,FALSE),""),K1804)</f>
        <v/>
      </c>
      <c r="D1804" s="6"/>
      <c r="E1804" t="s">
        <v>1561</v>
      </c>
      <c r="F1804" s="6"/>
      <c r="G1804" t="b">
        <f t="shared" si="86"/>
        <v>0</v>
      </c>
      <c r="H1804" s="6" t="s">
        <v>1540</v>
      </c>
      <c r="I1804" t="s">
        <v>1561</v>
      </c>
      <c r="J1804" t="s">
        <v>1561</v>
      </c>
      <c r="L1804">
        <f t="shared" si="84"/>
        <v>1</v>
      </c>
    </row>
    <row r="1805" spans="1:12" x14ac:dyDescent="0.35">
      <c r="A1805">
        <f t="shared" si="85"/>
        <v>1804</v>
      </c>
      <c r="B1805" t="s">
        <v>574</v>
      </c>
      <c r="C1805" s="109" t="str">
        <f>IF(ISBLANK(K1805),IFERROR(VLOOKUP(I1805,FS_input_data!$C$307:$N$397,Export!J1805,FALSE),""),K1805)</f>
        <v/>
      </c>
      <c r="D1805" s="6"/>
      <c r="E1805" t="s">
        <v>1617</v>
      </c>
      <c r="F1805" s="6"/>
      <c r="G1805" t="b">
        <f t="shared" ref="G1805:G1815" si="87">IF(capital_xml,AND($C$1809=0,$C$1811=0),TRUE)</f>
        <v>0</v>
      </c>
      <c r="H1805" s="6" t="s">
        <v>1540</v>
      </c>
      <c r="I1805" t="s">
        <v>1561</v>
      </c>
      <c r="J1805" t="s">
        <v>1561</v>
      </c>
      <c r="L1805" s="9" t="e">
        <f t="shared" si="84"/>
        <v>#VALUE!</v>
      </c>
    </row>
    <row r="1806" spans="1:12" x14ac:dyDescent="0.35">
      <c r="A1806" s="9">
        <f t="shared" si="85"/>
        <v>1805</v>
      </c>
      <c r="B1806" t="s">
        <v>101</v>
      </c>
      <c r="C1806" s="109" t="str">
        <f>IF(ISBLANK(K1806),IFERROR(VLOOKUP(I1806,FS_input_data!$C$307:$N$397,Export!J1806,FALSE),""),K1806)</f>
        <v>IVa_PozycjaUszczegolawiajaca_3</v>
      </c>
      <c r="D1806" s="6" t="b">
        <v>1</v>
      </c>
      <c r="E1806" t="s">
        <v>1561</v>
      </c>
      <c r="F1806" s="6"/>
      <c r="G1806" t="b">
        <f t="shared" si="87"/>
        <v>0</v>
      </c>
      <c r="H1806" s="6" t="s">
        <v>1540</v>
      </c>
      <c r="I1806" t="s">
        <v>1617</v>
      </c>
      <c r="J1806">
        <v>2</v>
      </c>
      <c r="L1806" s="9" t="e">
        <f t="shared" si="84"/>
        <v>#VALUE!</v>
      </c>
    </row>
    <row r="1807" spans="1:12" x14ac:dyDescent="0.35">
      <c r="A1807">
        <f t="shared" si="85"/>
        <v>1806</v>
      </c>
      <c r="B1807" t="s">
        <v>102</v>
      </c>
      <c r="C1807" s="109" t="str">
        <f>IF(ISBLANK(K1807),IFERROR(VLOOKUP(I1807,FS_input_data!$C$307:$N$397,Export!J1807,FALSE),""),K1807)</f>
        <v/>
      </c>
      <c r="D1807" s="6"/>
      <c r="E1807" t="s">
        <v>1561</v>
      </c>
      <c r="F1807" s="6"/>
      <c r="G1807" t="b">
        <f t="shared" si="87"/>
        <v>0</v>
      </c>
      <c r="H1807" s="6" t="s">
        <v>1540</v>
      </c>
      <c r="I1807" t="s">
        <v>1561</v>
      </c>
      <c r="J1807" t="s">
        <v>1561</v>
      </c>
      <c r="L1807">
        <f t="shared" si="84"/>
        <v>1</v>
      </c>
    </row>
    <row r="1808" spans="1:12" x14ac:dyDescent="0.35">
      <c r="A1808">
        <f t="shared" si="85"/>
        <v>1807</v>
      </c>
      <c r="B1808" t="s">
        <v>527</v>
      </c>
      <c r="C1808" s="109" t="str">
        <f>IF(ISBLANK(K1808),IFERROR(VLOOKUP(I1808,FS_input_data!$C$307:$N$397,Export!J1808,FALSE),""),K1808)</f>
        <v/>
      </c>
      <c r="D1808" s="6"/>
      <c r="F1808" s="6"/>
      <c r="G1808" t="b">
        <f t="shared" si="87"/>
        <v>0</v>
      </c>
      <c r="H1808" s="6" t="s">
        <v>1540</v>
      </c>
      <c r="I1808" t="s">
        <v>1561</v>
      </c>
      <c r="J1808" t="s">
        <v>1561</v>
      </c>
      <c r="L1808" s="9" t="e">
        <f t="shared" si="84"/>
        <v>#VALUE!</v>
      </c>
    </row>
    <row r="1809" spans="1:12" x14ac:dyDescent="0.35">
      <c r="A1809" s="9">
        <f t="shared" si="85"/>
        <v>1808</v>
      </c>
      <c r="B1809" t="s">
        <v>109</v>
      </c>
      <c r="C1809" s="109">
        <f>IF(ISBLANK(K1809),IFERROR(VLOOKUP(I1809,FS_input_data!$C$307:$N$397,Export!J1809,FALSE),""),K1809)</f>
        <v>50</v>
      </c>
      <c r="D1809" s="6" t="b">
        <v>1</v>
      </c>
      <c r="E1809" t="s">
        <v>1561</v>
      </c>
      <c r="F1809" s="6"/>
      <c r="G1809" t="b">
        <f t="shared" si="87"/>
        <v>0</v>
      </c>
      <c r="H1809" s="6" t="s">
        <v>1540</v>
      </c>
      <c r="I1809" t="s">
        <v>1617</v>
      </c>
      <c r="J1809">
        <v>3</v>
      </c>
      <c r="L1809" s="9" t="e">
        <f t="shared" si="84"/>
        <v>#VALUE!</v>
      </c>
    </row>
    <row r="1810" spans="1:12" x14ac:dyDescent="0.35">
      <c r="A1810">
        <f t="shared" si="85"/>
        <v>1809</v>
      </c>
      <c r="B1810" t="s">
        <v>110</v>
      </c>
      <c r="C1810" s="109" t="str">
        <f>IF(ISBLANK(K1810),IFERROR(VLOOKUP(I1810,FS_input_data!$C$307:$N$397,Export!J1810,FALSE),""),K1810)</f>
        <v/>
      </c>
      <c r="D1810" s="6"/>
      <c r="F1810" s="6"/>
      <c r="G1810" t="b">
        <f t="shared" si="87"/>
        <v>0</v>
      </c>
      <c r="H1810" s="6" t="s">
        <v>1540</v>
      </c>
      <c r="I1810" t="s">
        <v>1561</v>
      </c>
      <c r="J1810" t="s">
        <v>1561</v>
      </c>
      <c r="L1810">
        <f t="shared" si="84"/>
        <v>1</v>
      </c>
    </row>
    <row r="1811" spans="1:12" x14ac:dyDescent="0.35">
      <c r="A1811" s="9">
        <f t="shared" si="85"/>
        <v>1810</v>
      </c>
      <c r="B1811" t="s">
        <v>111</v>
      </c>
      <c r="C1811" s="109">
        <f>IF(ISBLANK(K1811),IFERROR(VLOOKUP(I1811,FS_input_data!$C$307:$N$397,Export!J1811,FALSE),""),K1811)</f>
        <v>150</v>
      </c>
      <c r="D1811" s="6" t="b">
        <v>1</v>
      </c>
      <c r="E1811" t="s">
        <v>1561</v>
      </c>
      <c r="F1811" s="6"/>
      <c r="G1811" t="b">
        <f t="shared" si="87"/>
        <v>0</v>
      </c>
      <c r="H1811" s="6" t="s">
        <v>1540</v>
      </c>
      <c r="I1811" t="s">
        <v>1617</v>
      </c>
      <c r="J1811">
        <v>4</v>
      </c>
      <c r="L1811" s="9" t="e">
        <f t="shared" si="84"/>
        <v>#VALUE!</v>
      </c>
    </row>
    <row r="1812" spans="1:12" x14ac:dyDescent="0.35">
      <c r="A1812">
        <f t="shared" si="85"/>
        <v>1811</v>
      </c>
      <c r="B1812" t="s">
        <v>112</v>
      </c>
      <c r="C1812" s="109" t="str">
        <f>IF(ISBLANK(K1812),IFERROR(VLOOKUP(I1812,FS_input_data!$C$307:$N$397,Export!J1812,FALSE),""),K1812)</f>
        <v/>
      </c>
      <c r="D1812" s="6"/>
      <c r="E1812" t="s">
        <v>1561</v>
      </c>
      <c r="F1812" s="6"/>
      <c r="G1812" t="b">
        <f t="shared" si="87"/>
        <v>0</v>
      </c>
      <c r="H1812" s="6" t="s">
        <v>1540</v>
      </c>
      <c r="I1812" t="s">
        <v>1561</v>
      </c>
      <c r="J1812" t="s">
        <v>1561</v>
      </c>
      <c r="L1812">
        <f t="shared" si="84"/>
        <v>1</v>
      </c>
    </row>
    <row r="1813" spans="1:12" x14ac:dyDescent="0.35">
      <c r="A1813">
        <f t="shared" si="85"/>
        <v>1812</v>
      </c>
      <c r="B1813" t="s">
        <v>528</v>
      </c>
      <c r="C1813" s="109" t="str">
        <f>IF(ISBLANK(K1813),IFERROR(VLOOKUP(I1813,FS_input_data!$C$307:$N$397,Export!J1813,FALSE),""),K1813)</f>
        <v/>
      </c>
      <c r="D1813" s="6"/>
      <c r="E1813" t="s">
        <v>1561</v>
      </c>
      <c r="F1813" s="6"/>
      <c r="G1813" t="b">
        <f t="shared" si="87"/>
        <v>0</v>
      </c>
      <c r="H1813" s="6" t="s">
        <v>1540</v>
      </c>
      <c r="I1813" t="s">
        <v>1561</v>
      </c>
      <c r="J1813" t="s">
        <v>1561</v>
      </c>
      <c r="L1813">
        <f t="shared" si="84"/>
        <v>1</v>
      </c>
    </row>
    <row r="1814" spans="1:12" x14ac:dyDescent="0.35">
      <c r="A1814">
        <f t="shared" si="85"/>
        <v>1813</v>
      </c>
      <c r="B1814" t="s">
        <v>575</v>
      </c>
      <c r="C1814" s="109" t="str">
        <f>IF(ISBLANK(K1814),IFERROR(VLOOKUP(I1814,FS_input_data!$C$307:$N$397,Export!J1814,FALSE),""),K1814)</f>
        <v/>
      </c>
      <c r="D1814" s="6"/>
      <c r="E1814" t="s">
        <v>1561</v>
      </c>
      <c r="F1814" s="6"/>
      <c r="G1814" t="b">
        <f t="shared" si="87"/>
        <v>0</v>
      </c>
      <c r="H1814" s="6" t="s">
        <v>1540</v>
      </c>
      <c r="I1814" t="s">
        <v>1561</v>
      </c>
      <c r="J1814" t="s">
        <v>1561</v>
      </c>
      <c r="L1814">
        <f t="shared" si="84"/>
        <v>1</v>
      </c>
    </row>
    <row r="1815" spans="1:12" x14ac:dyDescent="0.35">
      <c r="A1815">
        <f t="shared" si="85"/>
        <v>1814</v>
      </c>
      <c r="B1815" t="s">
        <v>576</v>
      </c>
      <c r="C1815" s="109" t="str">
        <f>IF(ISBLANK(K1815),IFERROR(VLOOKUP(I1815,FS_input_data!$C$307:$N$397,Export!J1815,FALSE),""),K1815)</f>
        <v/>
      </c>
      <c r="D1815" s="6"/>
      <c r="E1815" t="s">
        <v>1561</v>
      </c>
      <c r="F1815" s="6"/>
      <c r="G1815" t="b">
        <f t="shared" si="87"/>
        <v>0</v>
      </c>
      <c r="H1815" s="6" t="s">
        <v>1540</v>
      </c>
      <c r="I1815" t="s">
        <v>1561</v>
      </c>
      <c r="J1815" t="s">
        <v>1561</v>
      </c>
      <c r="L1815">
        <f t="shared" si="84"/>
        <v>1</v>
      </c>
    </row>
    <row r="1816" spans="1:12" x14ac:dyDescent="0.35">
      <c r="A1816">
        <f t="shared" si="85"/>
        <v>1815</v>
      </c>
      <c r="B1816" t="s">
        <v>577</v>
      </c>
      <c r="C1816" s="109" t="str">
        <f>IF(ISBLANK(K1816),IFERROR(VLOOKUP(I1816,FS_input_data!$C$307:$N$397,Export!J1816,FALSE),""),K1816)</f>
        <v/>
      </c>
      <c r="D1816" s="6"/>
      <c r="E1816" t="s">
        <v>1560</v>
      </c>
      <c r="F1816" s="6"/>
      <c r="G1816" t="b">
        <f>IF(capital_xml,AND($C$1817=0,$C$1819=0),TRUE)</f>
        <v>0</v>
      </c>
      <c r="H1816" s="6" t="s">
        <v>1540</v>
      </c>
      <c r="I1816" t="s">
        <v>1561</v>
      </c>
      <c r="J1816" t="s">
        <v>1561</v>
      </c>
      <c r="L1816" s="26" t="e">
        <f t="shared" si="84"/>
        <v>#VALUE!</v>
      </c>
    </row>
    <row r="1817" spans="1:12" x14ac:dyDescent="0.35">
      <c r="A1817" s="9">
        <f t="shared" si="85"/>
        <v>1816</v>
      </c>
      <c r="B1817" t="s">
        <v>109</v>
      </c>
      <c r="C1817" s="109">
        <f>IF(ISBLANK(K1817),IFERROR(VLOOKUP(I1817,FS_input_data!$C$307:$N$397,Export!J1817,FALSE),""),K1817)</f>
        <v>159</v>
      </c>
      <c r="D1817" s="6" t="b">
        <v>1</v>
      </c>
      <c r="E1817" t="s">
        <v>1561</v>
      </c>
      <c r="F1817" s="6"/>
      <c r="G1817" t="b">
        <f>IF(capital_xml,AND($C$1817=0,$C$1819=0),TRUE)</f>
        <v>0</v>
      </c>
      <c r="H1817" s="6" t="s">
        <v>1540</v>
      </c>
      <c r="I1817" t="s">
        <v>1618</v>
      </c>
      <c r="J1817">
        <v>3</v>
      </c>
      <c r="L1817" s="9" t="e">
        <f t="shared" si="84"/>
        <v>#VALUE!</v>
      </c>
    </row>
    <row r="1818" spans="1:12" x14ac:dyDescent="0.35">
      <c r="A1818">
        <f t="shared" si="85"/>
        <v>1817</v>
      </c>
      <c r="B1818" t="s">
        <v>110</v>
      </c>
      <c r="C1818" s="109" t="str">
        <f>IF(ISBLANK(K1818),IFERROR(VLOOKUP(I1818,FS_input_data!$C$307:$N$397,Export!J1818,FALSE),""),K1818)</f>
        <v/>
      </c>
      <c r="D1818" s="6"/>
      <c r="F1818" s="6"/>
      <c r="G1818" t="b">
        <f>IF(capital_xml,AND($C$1817=0,$C$1819=0),TRUE)</f>
        <v>0</v>
      </c>
      <c r="H1818" s="6" t="s">
        <v>1540</v>
      </c>
      <c r="I1818" t="s">
        <v>1561</v>
      </c>
      <c r="J1818" t="s">
        <v>1561</v>
      </c>
      <c r="L1818">
        <f t="shared" si="84"/>
        <v>1</v>
      </c>
    </row>
    <row r="1819" spans="1:12" x14ac:dyDescent="0.35">
      <c r="A1819" s="9">
        <f t="shared" si="85"/>
        <v>1818</v>
      </c>
      <c r="B1819" t="s">
        <v>111</v>
      </c>
      <c r="C1819" s="109">
        <f>IF(ISBLANK(K1819),IFERROR(VLOOKUP(I1819,FS_input_data!$C$307:$N$397,Export!J1819,FALSE),""),K1819)</f>
        <v>459</v>
      </c>
      <c r="D1819" s="6" t="b">
        <v>1</v>
      </c>
      <c r="E1819" t="s">
        <v>1561</v>
      </c>
      <c r="F1819" s="6"/>
      <c r="G1819" t="b">
        <f>IF(capital_xml,AND($C$1817=0,$C$1819=0),TRUE)</f>
        <v>0</v>
      </c>
      <c r="H1819" s="6" t="s">
        <v>1540</v>
      </c>
      <c r="I1819" t="s">
        <v>1618</v>
      </c>
      <c r="J1819">
        <v>4</v>
      </c>
      <c r="L1819" s="9" t="e">
        <f t="shared" si="84"/>
        <v>#VALUE!</v>
      </c>
    </row>
    <row r="1820" spans="1:12" x14ac:dyDescent="0.35">
      <c r="A1820">
        <f t="shared" si="85"/>
        <v>1819</v>
      </c>
      <c r="B1820" t="s">
        <v>112</v>
      </c>
      <c r="C1820" s="109" t="str">
        <f>IF(ISBLANK(K1820),IFERROR(VLOOKUP(I1820,FS_input_data!$C$307:$N$397,Export!J1820,FALSE),""),K1820)</f>
        <v/>
      </c>
      <c r="D1820" s="6"/>
      <c r="E1820" t="s">
        <v>1561</v>
      </c>
      <c r="F1820" s="6"/>
      <c r="G1820" t="b">
        <f>IF(capital_xml,AND($C$1817=0,$C$1819=0),TRUE)</f>
        <v>0</v>
      </c>
      <c r="H1820" s="6" t="s">
        <v>1540</v>
      </c>
      <c r="I1820" t="s">
        <v>1561</v>
      </c>
      <c r="J1820" t="s">
        <v>1561</v>
      </c>
      <c r="L1820">
        <f t="shared" si="84"/>
        <v>1</v>
      </c>
    </row>
    <row r="1821" spans="1:12" x14ac:dyDescent="0.35">
      <c r="A1821">
        <f t="shared" si="85"/>
        <v>1820</v>
      </c>
      <c r="B1821" t="s">
        <v>574</v>
      </c>
      <c r="C1821" s="109" t="str">
        <f>IF(ISBLANK(K1821),IFERROR(VLOOKUP(I1821,FS_input_data!$C$307:$N$397,Export!J1821,FALSE),""),K1821)</f>
        <v/>
      </c>
      <c r="D1821" s="6"/>
      <c r="E1821" t="s">
        <v>1620</v>
      </c>
      <c r="F1821" s="6"/>
      <c r="G1821" t="b">
        <f t="shared" ref="G1821:G1830" si="88">IF(capital_xml,AND($C$1825=0,$C$1827=0),TRUE)</f>
        <v>0</v>
      </c>
      <c r="H1821" s="6" t="s">
        <v>1540</v>
      </c>
      <c r="I1821" t="s">
        <v>1561</v>
      </c>
      <c r="J1821" t="s">
        <v>1561</v>
      </c>
      <c r="L1821" s="9" t="e">
        <f t="shared" si="84"/>
        <v>#VALUE!</v>
      </c>
    </row>
    <row r="1822" spans="1:12" x14ac:dyDescent="0.35">
      <c r="A1822" s="9">
        <f t="shared" si="85"/>
        <v>1821</v>
      </c>
      <c r="B1822" t="s">
        <v>101</v>
      </c>
      <c r="C1822" s="109" t="str">
        <f>IF(ISBLANK(K1822),IFERROR(VLOOKUP(I1822,FS_input_data!$C$307:$N$397,Export!J1822,FALSE),""),K1822)</f>
        <v>IVb_PozycjaUszczegolawiajaca_1</v>
      </c>
      <c r="D1822" s="6" t="b">
        <v>1</v>
      </c>
      <c r="E1822" t="s">
        <v>1561</v>
      </c>
      <c r="F1822" s="6"/>
      <c r="G1822" t="b">
        <f t="shared" si="88"/>
        <v>0</v>
      </c>
      <c r="H1822" s="6" t="s">
        <v>1540</v>
      </c>
      <c r="I1822" t="s">
        <v>1620</v>
      </c>
      <c r="J1822">
        <v>2</v>
      </c>
      <c r="L1822" s="9" t="e">
        <f t="shared" si="84"/>
        <v>#VALUE!</v>
      </c>
    </row>
    <row r="1823" spans="1:12" x14ac:dyDescent="0.35">
      <c r="A1823">
        <f t="shared" si="85"/>
        <v>1822</v>
      </c>
      <c r="B1823" t="s">
        <v>102</v>
      </c>
      <c r="C1823" s="109" t="str">
        <f>IF(ISBLANK(K1823),IFERROR(VLOOKUP(I1823,FS_input_data!$C$307:$N$397,Export!J1823,FALSE),""),K1823)</f>
        <v/>
      </c>
      <c r="D1823" s="6"/>
      <c r="E1823" t="s">
        <v>1561</v>
      </c>
      <c r="F1823" s="6"/>
      <c r="G1823" t="b">
        <f t="shared" si="88"/>
        <v>0</v>
      </c>
      <c r="H1823" s="6" t="s">
        <v>1540</v>
      </c>
      <c r="I1823" t="s">
        <v>1561</v>
      </c>
      <c r="J1823" t="s">
        <v>1561</v>
      </c>
      <c r="L1823">
        <f t="shared" si="84"/>
        <v>1</v>
      </c>
    </row>
    <row r="1824" spans="1:12" x14ac:dyDescent="0.35">
      <c r="A1824">
        <f t="shared" si="85"/>
        <v>1823</v>
      </c>
      <c r="B1824" t="s">
        <v>527</v>
      </c>
      <c r="C1824" s="109" t="str">
        <f>IF(ISBLANK(K1824),IFERROR(VLOOKUP(I1824,FS_input_data!$C$307:$N$397,Export!J1824,FALSE),""),K1824)</f>
        <v/>
      </c>
      <c r="D1824" s="6"/>
      <c r="F1824" s="6"/>
      <c r="G1824" t="b">
        <f t="shared" si="88"/>
        <v>0</v>
      </c>
      <c r="H1824" s="6" t="s">
        <v>1540</v>
      </c>
      <c r="I1824" t="s">
        <v>1561</v>
      </c>
      <c r="J1824" t="s">
        <v>1561</v>
      </c>
      <c r="L1824" s="9" t="e">
        <f t="shared" si="84"/>
        <v>#VALUE!</v>
      </c>
    </row>
    <row r="1825" spans="1:12" x14ac:dyDescent="0.35">
      <c r="A1825" s="9">
        <f t="shared" si="85"/>
        <v>1824</v>
      </c>
      <c r="B1825" t="s">
        <v>109</v>
      </c>
      <c r="C1825" s="109">
        <f>IF(ISBLANK(K1825),IFERROR(VLOOKUP(I1825,FS_input_data!$C$307:$N$397,Export!J1825,FALSE),""),K1825)</f>
        <v>52</v>
      </c>
      <c r="D1825" s="6" t="b">
        <v>1</v>
      </c>
      <c r="E1825" t="s">
        <v>1561</v>
      </c>
      <c r="F1825" s="6"/>
      <c r="G1825" t="b">
        <f t="shared" si="88"/>
        <v>0</v>
      </c>
      <c r="H1825" s="6" t="s">
        <v>1540</v>
      </c>
      <c r="I1825" t="s">
        <v>1620</v>
      </c>
      <c r="J1825">
        <v>3</v>
      </c>
      <c r="L1825" s="9" t="e">
        <f t="shared" si="84"/>
        <v>#VALUE!</v>
      </c>
    </row>
    <row r="1826" spans="1:12" x14ac:dyDescent="0.35">
      <c r="A1826">
        <f t="shared" si="85"/>
        <v>1825</v>
      </c>
      <c r="B1826" t="s">
        <v>110</v>
      </c>
      <c r="C1826" s="109" t="str">
        <f>IF(ISBLANK(K1826),IFERROR(VLOOKUP(I1826,FS_input_data!$C$307:$N$397,Export!J1826,FALSE),""),K1826)</f>
        <v/>
      </c>
      <c r="D1826" s="6"/>
      <c r="F1826" s="6"/>
      <c r="G1826" t="b">
        <f t="shared" si="88"/>
        <v>0</v>
      </c>
      <c r="H1826" s="6" t="s">
        <v>1540</v>
      </c>
      <c r="I1826" t="s">
        <v>1561</v>
      </c>
      <c r="J1826" t="s">
        <v>1561</v>
      </c>
      <c r="L1826">
        <f t="shared" si="84"/>
        <v>1</v>
      </c>
    </row>
    <row r="1827" spans="1:12" x14ac:dyDescent="0.35">
      <c r="A1827" s="9">
        <f t="shared" si="85"/>
        <v>1826</v>
      </c>
      <c r="B1827" t="s">
        <v>111</v>
      </c>
      <c r="C1827" s="109">
        <f>IF(ISBLANK(K1827),IFERROR(VLOOKUP(I1827,FS_input_data!$C$307:$N$397,Export!J1827,FALSE),""),K1827)</f>
        <v>152</v>
      </c>
      <c r="D1827" s="6" t="b">
        <v>1</v>
      </c>
      <c r="E1827" t="s">
        <v>1561</v>
      </c>
      <c r="F1827" s="6"/>
      <c r="G1827" t="b">
        <f t="shared" si="88"/>
        <v>0</v>
      </c>
      <c r="H1827" s="6" t="s">
        <v>1540</v>
      </c>
      <c r="I1827" t="s">
        <v>1620</v>
      </c>
      <c r="J1827">
        <v>4</v>
      </c>
      <c r="L1827" s="9" t="e">
        <f t="shared" si="84"/>
        <v>#VALUE!</v>
      </c>
    </row>
    <row r="1828" spans="1:12" x14ac:dyDescent="0.35">
      <c r="A1828">
        <f t="shared" si="85"/>
        <v>1827</v>
      </c>
      <c r="B1828" t="s">
        <v>112</v>
      </c>
      <c r="C1828" s="109" t="str">
        <f>IF(ISBLANK(K1828),IFERROR(VLOOKUP(I1828,FS_input_data!$C$307:$N$397,Export!J1828,FALSE),""),K1828)</f>
        <v/>
      </c>
      <c r="D1828" s="6"/>
      <c r="E1828" t="s">
        <v>1561</v>
      </c>
      <c r="F1828" s="6"/>
      <c r="G1828" t="b">
        <f t="shared" si="88"/>
        <v>0</v>
      </c>
      <c r="H1828" s="6" t="s">
        <v>1540</v>
      </c>
      <c r="I1828" t="s">
        <v>1561</v>
      </c>
      <c r="J1828" t="s">
        <v>1561</v>
      </c>
      <c r="L1828">
        <f t="shared" si="84"/>
        <v>1</v>
      </c>
    </row>
    <row r="1829" spans="1:12" x14ac:dyDescent="0.35">
      <c r="A1829">
        <f t="shared" si="85"/>
        <v>1828</v>
      </c>
      <c r="B1829" t="s">
        <v>528</v>
      </c>
      <c r="C1829" s="109" t="str">
        <f>IF(ISBLANK(K1829),IFERROR(VLOOKUP(I1829,FS_input_data!$C$307:$N$397,Export!J1829,FALSE),""),K1829)</f>
        <v/>
      </c>
      <c r="D1829" s="6"/>
      <c r="E1829" t="s">
        <v>1561</v>
      </c>
      <c r="F1829" s="6"/>
      <c r="G1829" t="b">
        <f t="shared" si="88"/>
        <v>0</v>
      </c>
      <c r="H1829" s="6" t="s">
        <v>1540</v>
      </c>
      <c r="I1829" t="s">
        <v>1561</v>
      </c>
      <c r="J1829" t="s">
        <v>1561</v>
      </c>
      <c r="L1829">
        <f t="shared" si="84"/>
        <v>1</v>
      </c>
    </row>
    <row r="1830" spans="1:12" x14ac:dyDescent="0.35">
      <c r="A1830">
        <f t="shared" si="85"/>
        <v>1829</v>
      </c>
      <c r="B1830" t="s">
        <v>575</v>
      </c>
      <c r="C1830" s="109" t="str">
        <f>IF(ISBLANK(K1830),IFERROR(VLOOKUP(I1830,FS_input_data!$C$307:$N$397,Export!J1830,FALSE),""),K1830)</f>
        <v/>
      </c>
      <c r="D1830" s="6"/>
      <c r="E1830" t="s">
        <v>1561</v>
      </c>
      <c r="F1830" s="6"/>
      <c r="G1830" t="b">
        <f t="shared" si="88"/>
        <v>0</v>
      </c>
      <c r="H1830" s="6" t="s">
        <v>1540</v>
      </c>
      <c r="I1830" t="s">
        <v>1561</v>
      </c>
      <c r="J1830" t="s">
        <v>1561</v>
      </c>
      <c r="L1830">
        <f t="shared" si="84"/>
        <v>1</v>
      </c>
    </row>
    <row r="1831" spans="1:12" x14ac:dyDescent="0.35">
      <c r="A1831">
        <f t="shared" si="85"/>
        <v>1830</v>
      </c>
      <c r="B1831" t="s">
        <v>574</v>
      </c>
      <c r="C1831" s="109" t="str">
        <f>IF(ISBLANK(K1831),IFERROR(VLOOKUP(I1831,FS_input_data!$C$307:$N$397,Export!J1831,FALSE),""),K1831)</f>
        <v/>
      </c>
      <c r="D1831" s="6"/>
      <c r="E1831" t="s">
        <v>1621</v>
      </c>
      <c r="F1831" s="6"/>
      <c r="G1831" t="b">
        <f t="shared" ref="G1831:G1840" si="89">IF(capital_xml,AND($C$1835=0,$C$1837=0),TRUE)</f>
        <v>0</v>
      </c>
      <c r="H1831" s="6" t="s">
        <v>1540</v>
      </c>
      <c r="I1831" t="s">
        <v>1561</v>
      </c>
      <c r="J1831" t="s">
        <v>1561</v>
      </c>
      <c r="L1831" s="9" t="e">
        <f t="shared" si="84"/>
        <v>#VALUE!</v>
      </c>
    </row>
    <row r="1832" spans="1:12" x14ac:dyDescent="0.35">
      <c r="A1832" s="9">
        <f t="shared" si="85"/>
        <v>1831</v>
      </c>
      <c r="B1832" t="s">
        <v>101</v>
      </c>
      <c r="C1832" s="109" t="str">
        <f>IF(ISBLANK(K1832),IFERROR(VLOOKUP(I1832,FS_input_data!$C$307:$N$397,Export!J1832,FALSE),""),K1832)</f>
        <v>IVb_PozycjaUszczegolawiajaca_2</v>
      </c>
      <c r="D1832" s="6" t="b">
        <v>1</v>
      </c>
      <c r="E1832" t="s">
        <v>1561</v>
      </c>
      <c r="F1832" s="6"/>
      <c r="G1832" t="b">
        <f t="shared" si="89"/>
        <v>0</v>
      </c>
      <c r="H1832" s="6" t="s">
        <v>1540</v>
      </c>
      <c r="I1832" t="s">
        <v>1621</v>
      </c>
      <c r="J1832">
        <v>2</v>
      </c>
      <c r="L1832" s="9" t="e">
        <f t="shared" si="84"/>
        <v>#VALUE!</v>
      </c>
    </row>
    <row r="1833" spans="1:12" x14ac:dyDescent="0.35">
      <c r="A1833">
        <f t="shared" si="85"/>
        <v>1832</v>
      </c>
      <c r="B1833" t="s">
        <v>102</v>
      </c>
      <c r="C1833" s="109" t="str">
        <f>IF(ISBLANK(K1833),IFERROR(VLOOKUP(I1833,FS_input_data!$C$307:$N$397,Export!J1833,FALSE),""),K1833)</f>
        <v/>
      </c>
      <c r="D1833" s="6"/>
      <c r="E1833" t="s">
        <v>1561</v>
      </c>
      <c r="F1833" s="6"/>
      <c r="G1833" t="b">
        <f t="shared" si="89"/>
        <v>0</v>
      </c>
      <c r="H1833" s="6" t="s">
        <v>1540</v>
      </c>
      <c r="I1833" t="s">
        <v>1561</v>
      </c>
      <c r="J1833" t="s">
        <v>1561</v>
      </c>
      <c r="L1833">
        <f t="shared" si="84"/>
        <v>1</v>
      </c>
    </row>
    <row r="1834" spans="1:12" x14ac:dyDescent="0.35">
      <c r="A1834">
        <f t="shared" si="85"/>
        <v>1833</v>
      </c>
      <c r="B1834" t="s">
        <v>527</v>
      </c>
      <c r="C1834" s="109" t="str">
        <f>IF(ISBLANK(K1834),IFERROR(VLOOKUP(I1834,FS_input_data!$C$307:$N$397,Export!J1834,FALSE),""),K1834)</f>
        <v/>
      </c>
      <c r="D1834" s="6"/>
      <c r="F1834" s="6"/>
      <c r="G1834" t="b">
        <f t="shared" si="89"/>
        <v>0</v>
      </c>
      <c r="H1834" s="6" t="s">
        <v>1540</v>
      </c>
      <c r="I1834" t="s">
        <v>1561</v>
      </c>
      <c r="J1834" t="s">
        <v>1561</v>
      </c>
      <c r="L1834" s="9" t="e">
        <f t="shared" si="84"/>
        <v>#VALUE!</v>
      </c>
    </row>
    <row r="1835" spans="1:12" x14ac:dyDescent="0.35">
      <c r="A1835" s="9">
        <f t="shared" si="85"/>
        <v>1834</v>
      </c>
      <c r="B1835" t="s">
        <v>109</v>
      </c>
      <c r="C1835" s="109">
        <f>IF(ISBLANK(K1835),IFERROR(VLOOKUP(I1835,FS_input_data!$C$307:$N$397,Export!J1835,FALSE),""),K1835)</f>
        <v>53</v>
      </c>
      <c r="D1835" s="6" t="b">
        <v>1</v>
      </c>
      <c r="E1835" t="s">
        <v>1561</v>
      </c>
      <c r="F1835" s="6"/>
      <c r="G1835" t="b">
        <f t="shared" si="89"/>
        <v>0</v>
      </c>
      <c r="H1835" s="6" t="s">
        <v>1540</v>
      </c>
      <c r="I1835" t="s">
        <v>1621</v>
      </c>
      <c r="J1835">
        <v>3</v>
      </c>
      <c r="L1835" s="9" t="e">
        <f t="shared" si="84"/>
        <v>#VALUE!</v>
      </c>
    </row>
    <row r="1836" spans="1:12" x14ac:dyDescent="0.35">
      <c r="A1836">
        <f t="shared" si="85"/>
        <v>1835</v>
      </c>
      <c r="B1836" t="s">
        <v>110</v>
      </c>
      <c r="C1836" s="109" t="str">
        <f>IF(ISBLANK(K1836),IFERROR(VLOOKUP(I1836,FS_input_data!$C$307:$N$397,Export!J1836,FALSE),""),K1836)</f>
        <v/>
      </c>
      <c r="D1836" s="6"/>
      <c r="F1836" s="6"/>
      <c r="G1836" t="b">
        <f t="shared" si="89"/>
        <v>0</v>
      </c>
      <c r="H1836" s="6" t="s">
        <v>1540</v>
      </c>
      <c r="I1836" t="s">
        <v>1561</v>
      </c>
      <c r="J1836" t="s">
        <v>1561</v>
      </c>
      <c r="L1836">
        <f t="shared" si="84"/>
        <v>1</v>
      </c>
    </row>
    <row r="1837" spans="1:12" x14ac:dyDescent="0.35">
      <c r="A1837" s="9">
        <f t="shared" si="85"/>
        <v>1836</v>
      </c>
      <c r="B1837" t="s">
        <v>111</v>
      </c>
      <c r="C1837" s="109">
        <f>IF(ISBLANK(K1837),IFERROR(VLOOKUP(I1837,FS_input_data!$C$307:$N$397,Export!J1837,FALSE),""),K1837)</f>
        <v>153</v>
      </c>
      <c r="D1837" s="6" t="b">
        <v>1</v>
      </c>
      <c r="E1837" t="s">
        <v>1561</v>
      </c>
      <c r="F1837" s="6"/>
      <c r="G1837" t="b">
        <f t="shared" si="89"/>
        <v>0</v>
      </c>
      <c r="H1837" s="6" t="s">
        <v>1540</v>
      </c>
      <c r="I1837" t="s">
        <v>1621</v>
      </c>
      <c r="J1837">
        <v>4</v>
      </c>
      <c r="L1837" s="9" t="e">
        <f t="shared" si="84"/>
        <v>#VALUE!</v>
      </c>
    </row>
    <row r="1838" spans="1:12" x14ac:dyDescent="0.35">
      <c r="A1838">
        <f t="shared" si="85"/>
        <v>1837</v>
      </c>
      <c r="B1838" t="s">
        <v>112</v>
      </c>
      <c r="C1838" s="109" t="str">
        <f>IF(ISBLANK(K1838),IFERROR(VLOOKUP(I1838,FS_input_data!$C$307:$N$397,Export!J1838,FALSE),""),K1838)</f>
        <v/>
      </c>
      <c r="D1838" s="6"/>
      <c r="E1838" t="s">
        <v>1561</v>
      </c>
      <c r="F1838" s="6"/>
      <c r="G1838" t="b">
        <f t="shared" si="89"/>
        <v>0</v>
      </c>
      <c r="H1838" s="6" t="s">
        <v>1540</v>
      </c>
      <c r="I1838" t="s">
        <v>1561</v>
      </c>
      <c r="J1838" t="s">
        <v>1561</v>
      </c>
      <c r="L1838">
        <f t="shared" si="84"/>
        <v>1</v>
      </c>
    </row>
    <row r="1839" spans="1:12" x14ac:dyDescent="0.35">
      <c r="A1839">
        <f t="shared" si="85"/>
        <v>1838</v>
      </c>
      <c r="B1839" t="s">
        <v>528</v>
      </c>
      <c r="C1839" s="109" t="str">
        <f>IF(ISBLANK(K1839),IFERROR(VLOOKUP(I1839,FS_input_data!$C$307:$N$397,Export!J1839,FALSE),""),K1839)</f>
        <v/>
      </c>
      <c r="D1839" s="6"/>
      <c r="E1839" t="s">
        <v>1561</v>
      </c>
      <c r="F1839" s="6"/>
      <c r="G1839" t="b">
        <f t="shared" si="89"/>
        <v>0</v>
      </c>
      <c r="H1839" s="6" t="s">
        <v>1540</v>
      </c>
      <c r="I1839" t="s">
        <v>1561</v>
      </c>
      <c r="J1839" t="s">
        <v>1561</v>
      </c>
      <c r="L1839">
        <f t="shared" si="84"/>
        <v>1</v>
      </c>
    </row>
    <row r="1840" spans="1:12" x14ac:dyDescent="0.35">
      <c r="A1840">
        <f t="shared" si="85"/>
        <v>1839</v>
      </c>
      <c r="B1840" t="s">
        <v>575</v>
      </c>
      <c r="C1840" s="109" t="str">
        <f>IF(ISBLANK(K1840),IFERROR(VLOOKUP(I1840,FS_input_data!$C$307:$N$397,Export!J1840,FALSE),""),K1840)</f>
        <v/>
      </c>
      <c r="D1840" s="6"/>
      <c r="E1840" t="s">
        <v>1561</v>
      </c>
      <c r="F1840" s="6"/>
      <c r="G1840" t="b">
        <f t="shared" si="89"/>
        <v>0</v>
      </c>
      <c r="H1840" s="6" t="s">
        <v>1540</v>
      </c>
      <c r="I1840" t="s">
        <v>1561</v>
      </c>
      <c r="J1840" t="s">
        <v>1561</v>
      </c>
      <c r="L1840">
        <f t="shared" si="84"/>
        <v>1</v>
      </c>
    </row>
    <row r="1841" spans="1:12" x14ac:dyDescent="0.35">
      <c r="A1841">
        <f t="shared" si="85"/>
        <v>1840</v>
      </c>
      <c r="B1841" t="s">
        <v>574</v>
      </c>
      <c r="C1841" s="109" t="str">
        <f>IF(ISBLANK(K1841),IFERROR(VLOOKUP(I1841,FS_input_data!$C$307:$N$397,Export!J1841,FALSE),""),K1841)</f>
        <v/>
      </c>
      <c r="D1841" s="6"/>
      <c r="E1841" t="s">
        <v>1622</v>
      </c>
      <c r="F1841" s="6"/>
      <c r="G1841" t="b">
        <f t="shared" ref="G1841:G1852" si="90">IF(capital_xml,AND($C$1845=0,$C$1847=0),TRUE)</f>
        <v>0</v>
      </c>
      <c r="H1841" s="6" t="s">
        <v>1540</v>
      </c>
      <c r="I1841" t="s">
        <v>1561</v>
      </c>
      <c r="J1841" t="s">
        <v>1561</v>
      </c>
      <c r="L1841" s="9" t="e">
        <f t="shared" si="84"/>
        <v>#VALUE!</v>
      </c>
    </row>
    <row r="1842" spans="1:12" x14ac:dyDescent="0.35">
      <c r="A1842" s="9">
        <f t="shared" si="85"/>
        <v>1841</v>
      </c>
      <c r="B1842" t="s">
        <v>101</v>
      </c>
      <c r="C1842" s="109" t="str">
        <f>IF(ISBLANK(K1842),IFERROR(VLOOKUP(I1842,FS_input_data!$C$307:$N$397,Export!J1842,FALSE),""),K1842)</f>
        <v>IVb_PozycjaUszczegolawiajaca_3</v>
      </c>
      <c r="D1842" s="6" t="b">
        <v>1</v>
      </c>
      <c r="E1842" t="s">
        <v>1561</v>
      </c>
      <c r="F1842" s="6"/>
      <c r="G1842" t="b">
        <f t="shared" si="90"/>
        <v>0</v>
      </c>
      <c r="H1842" s="6" t="s">
        <v>1540</v>
      </c>
      <c r="I1842" t="s">
        <v>1622</v>
      </c>
      <c r="J1842">
        <v>2</v>
      </c>
      <c r="L1842" s="9" t="e">
        <f t="shared" si="84"/>
        <v>#VALUE!</v>
      </c>
    </row>
    <row r="1843" spans="1:12" x14ac:dyDescent="0.35">
      <c r="A1843">
        <f t="shared" si="85"/>
        <v>1842</v>
      </c>
      <c r="B1843" t="s">
        <v>102</v>
      </c>
      <c r="C1843" s="109" t="str">
        <f>IF(ISBLANK(K1843),IFERROR(VLOOKUP(I1843,FS_input_data!$C$307:$N$397,Export!J1843,FALSE),""),K1843)</f>
        <v/>
      </c>
      <c r="D1843" s="6"/>
      <c r="E1843" t="s">
        <v>1561</v>
      </c>
      <c r="F1843" s="6"/>
      <c r="G1843" t="b">
        <f t="shared" si="90"/>
        <v>0</v>
      </c>
      <c r="H1843" s="6" t="s">
        <v>1540</v>
      </c>
      <c r="I1843" t="s">
        <v>1561</v>
      </c>
      <c r="J1843" t="s">
        <v>1561</v>
      </c>
      <c r="L1843">
        <f t="shared" si="84"/>
        <v>1</v>
      </c>
    </row>
    <row r="1844" spans="1:12" x14ac:dyDescent="0.35">
      <c r="A1844">
        <f t="shared" si="85"/>
        <v>1843</v>
      </c>
      <c r="B1844" t="s">
        <v>527</v>
      </c>
      <c r="C1844" s="109" t="str">
        <f>IF(ISBLANK(K1844),IFERROR(VLOOKUP(I1844,FS_input_data!$C$307:$N$397,Export!J1844,FALSE),""),K1844)</f>
        <v/>
      </c>
      <c r="D1844" s="6"/>
      <c r="F1844" s="6"/>
      <c r="G1844" t="b">
        <f t="shared" si="90"/>
        <v>0</v>
      </c>
      <c r="H1844" s="6" t="s">
        <v>1540</v>
      </c>
      <c r="I1844" t="s">
        <v>1561</v>
      </c>
      <c r="J1844" t="s">
        <v>1561</v>
      </c>
      <c r="L1844" s="9" t="e">
        <f t="shared" si="84"/>
        <v>#VALUE!</v>
      </c>
    </row>
    <row r="1845" spans="1:12" x14ac:dyDescent="0.35">
      <c r="A1845" s="9">
        <f t="shared" si="85"/>
        <v>1844</v>
      </c>
      <c r="B1845" t="s">
        <v>109</v>
      </c>
      <c r="C1845" s="109">
        <f>IF(ISBLANK(K1845),IFERROR(VLOOKUP(I1845,FS_input_data!$C$307:$N$397,Export!J1845,FALSE),""),K1845)</f>
        <v>54</v>
      </c>
      <c r="D1845" s="6" t="b">
        <v>1</v>
      </c>
      <c r="E1845" t="s">
        <v>1561</v>
      </c>
      <c r="F1845" s="6"/>
      <c r="G1845" t="b">
        <f t="shared" si="90"/>
        <v>0</v>
      </c>
      <c r="H1845" s="6" t="s">
        <v>1540</v>
      </c>
      <c r="I1845" t="s">
        <v>1622</v>
      </c>
      <c r="J1845">
        <v>3</v>
      </c>
      <c r="L1845" s="9" t="e">
        <f t="shared" si="84"/>
        <v>#VALUE!</v>
      </c>
    </row>
    <row r="1846" spans="1:12" x14ac:dyDescent="0.35">
      <c r="A1846">
        <f t="shared" si="85"/>
        <v>1845</v>
      </c>
      <c r="B1846" t="s">
        <v>110</v>
      </c>
      <c r="C1846" s="109" t="str">
        <f>IF(ISBLANK(K1846),IFERROR(VLOOKUP(I1846,FS_input_data!$C$307:$N$397,Export!J1846,FALSE),""),K1846)</f>
        <v/>
      </c>
      <c r="D1846" s="6"/>
      <c r="F1846" s="6"/>
      <c r="G1846" t="b">
        <f t="shared" si="90"/>
        <v>0</v>
      </c>
      <c r="H1846" s="6" t="s">
        <v>1540</v>
      </c>
      <c r="I1846" t="s">
        <v>1561</v>
      </c>
      <c r="J1846" t="s">
        <v>1561</v>
      </c>
      <c r="L1846">
        <f t="shared" si="84"/>
        <v>1</v>
      </c>
    </row>
    <row r="1847" spans="1:12" x14ac:dyDescent="0.35">
      <c r="A1847" s="9">
        <f t="shared" si="85"/>
        <v>1846</v>
      </c>
      <c r="B1847" t="s">
        <v>111</v>
      </c>
      <c r="C1847" s="109">
        <f>IF(ISBLANK(K1847),IFERROR(VLOOKUP(I1847,FS_input_data!$C$307:$N$397,Export!J1847,FALSE),""),K1847)</f>
        <v>154</v>
      </c>
      <c r="D1847" s="6" t="b">
        <v>1</v>
      </c>
      <c r="E1847" t="s">
        <v>1561</v>
      </c>
      <c r="F1847" s="6"/>
      <c r="G1847" t="b">
        <f t="shared" si="90"/>
        <v>0</v>
      </c>
      <c r="H1847" s="6" t="s">
        <v>1540</v>
      </c>
      <c r="I1847" t="s">
        <v>1622</v>
      </c>
      <c r="J1847">
        <v>4</v>
      </c>
      <c r="L1847" s="9" t="e">
        <f t="shared" si="84"/>
        <v>#VALUE!</v>
      </c>
    </row>
    <row r="1848" spans="1:12" x14ac:dyDescent="0.35">
      <c r="A1848">
        <f t="shared" si="85"/>
        <v>1847</v>
      </c>
      <c r="B1848" t="s">
        <v>112</v>
      </c>
      <c r="C1848" s="109" t="str">
        <f>IF(ISBLANK(K1848),IFERROR(VLOOKUP(I1848,FS_input_data!$C$307:$N$397,Export!J1848,FALSE),""),K1848)</f>
        <v/>
      </c>
      <c r="D1848" s="6"/>
      <c r="E1848" t="s">
        <v>1561</v>
      </c>
      <c r="F1848" s="6"/>
      <c r="G1848" t="b">
        <f t="shared" si="90"/>
        <v>0</v>
      </c>
      <c r="H1848" s="6" t="s">
        <v>1540</v>
      </c>
      <c r="I1848" t="s">
        <v>1561</v>
      </c>
      <c r="J1848" t="s">
        <v>1561</v>
      </c>
      <c r="L1848">
        <f t="shared" si="84"/>
        <v>1</v>
      </c>
    </row>
    <row r="1849" spans="1:12" x14ac:dyDescent="0.35">
      <c r="A1849">
        <f t="shared" si="85"/>
        <v>1848</v>
      </c>
      <c r="B1849" t="s">
        <v>528</v>
      </c>
      <c r="C1849" s="109" t="str">
        <f>IF(ISBLANK(K1849),IFERROR(VLOOKUP(I1849,FS_input_data!$C$307:$N$397,Export!J1849,FALSE),""),K1849)</f>
        <v/>
      </c>
      <c r="D1849" s="6"/>
      <c r="E1849" t="s">
        <v>1561</v>
      </c>
      <c r="F1849" s="6"/>
      <c r="G1849" t="b">
        <f t="shared" si="90"/>
        <v>0</v>
      </c>
      <c r="H1849" s="6" t="s">
        <v>1540</v>
      </c>
      <c r="I1849" t="s">
        <v>1561</v>
      </c>
      <c r="J1849" t="s">
        <v>1561</v>
      </c>
      <c r="L1849">
        <f t="shared" si="84"/>
        <v>1</v>
      </c>
    </row>
    <row r="1850" spans="1:12" x14ac:dyDescent="0.35">
      <c r="A1850">
        <f t="shared" si="85"/>
        <v>1849</v>
      </c>
      <c r="B1850" t="s">
        <v>575</v>
      </c>
      <c r="C1850" s="109" t="str">
        <f>IF(ISBLANK(K1850),IFERROR(VLOOKUP(I1850,FS_input_data!$C$307:$N$397,Export!J1850,FALSE),""),K1850)</f>
        <v/>
      </c>
      <c r="D1850" s="6"/>
      <c r="E1850" t="s">
        <v>1561</v>
      </c>
      <c r="F1850" s="6"/>
      <c r="G1850" t="b">
        <f t="shared" si="90"/>
        <v>0</v>
      </c>
      <c r="H1850" s="6" t="s">
        <v>1540</v>
      </c>
      <c r="I1850" t="s">
        <v>1561</v>
      </c>
      <c r="J1850" t="s">
        <v>1561</v>
      </c>
      <c r="L1850">
        <f t="shared" si="84"/>
        <v>1</v>
      </c>
    </row>
    <row r="1851" spans="1:12" x14ac:dyDescent="0.35">
      <c r="A1851">
        <f t="shared" si="85"/>
        <v>1850</v>
      </c>
      <c r="B1851" t="s">
        <v>578</v>
      </c>
      <c r="C1851" s="109" t="str">
        <f>IF(ISBLANK(K1851),IFERROR(VLOOKUP(I1851,FS_input_data!$C$307:$N$397,Export!J1851,FALSE),""),K1851)</f>
        <v/>
      </c>
      <c r="D1851" s="6"/>
      <c r="E1851" t="s">
        <v>1561</v>
      </c>
      <c r="F1851" s="6"/>
      <c r="G1851" t="b">
        <f t="shared" si="90"/>
        <v>0</v>
      </c>
      <c r="H1851" s="6" t="s">
        <v>1540</v>
      </c>
      <c r="I1851" t="s">
        <v>1561</v>
      </c>
      <c r="J1851" t="s">
        <v>1561</v>
      </c>
      <c r="L1851">
        <f t="shared" si="84"/>
        <v>1</v>
      </c>
    </row>
    <row r="1852" spans="1:12" x14ac:dyDescent="0.35">
      <c r="A1852">
        <f t="shared" si="85"/>
        <v>1851</v>
      </c>
      <c r="B1852" t="s">
        <v>579</v>
      </c>
      <c r="C1852" s="109" t="str">
        <f>IF(ISBLANK(K1852),IFERROR(VLOOKUP(I1852,FS_input_data!$C$307:$N$397,Export!J1852,FALSE),""),K1852)</f>
        <v/>
      </c>
      <c r="D1852" s="6"/>
      <c r="E1852" t="s">
        <v>1561</v>
      </c>
      <c r="F1852" s="6"/>
      <c r="G1852" t="b">
        <f t="shared" si="90"/>
        <v>0</v>
      </c>
      <c r="H1852" s="6" t="s">
        <v>1540</v>
      </c>
      <c r="I1852" t="s">
        <v>1561</v>
      </c>
      <c r="J1852" t="s">
        <v>1561</v>
      </c>
      <c r="L1852">
        <f t="shared" si="84"/>
        <v>1</v>
      </c>
    </row>
    <row r="1853" spans="1:12" x14ac:dyDescent="0.35">
      <c r="A1853">
        <f t="shared" si="85"/>
        <v>1852</v>
      </c>
      <c r="B1853" t="s">
        <v>580</v>
      </c>
      <c r="C1853" s="109" t="str">
        <f>IF(ISBLANK(K1853),IFERROR(VLOOKUP(I1853,FS_input_data!$C$307:$N$397,Export!J1853,FALSE),""),K1853)</f>
        <v/>
      </c>
      <c r="D1853" s="6"/>
      <c r="E1853" t="s">
        <v>1624</v>
      </c>
      <c r="F1853" s="6"/>
      <c r="G1853" t="b">
        <f t="shared" ref="G1853:G1859" si="91">IF(capital_xml,AND($C$1854=0,$C$1856=0),TRUE)</f>
        <v>0</v>
      </c>
      <c r="H1853" s="6" t="s">
        <v>1540</v>
      </c>
      <c r="I1853" t="s">
        <v>1561</v>
      </c>
      <c r="J1853" t="s">
        <v>1561</v>
      </c>
      <c r="L1853" s="26" t="e">
        <f t="shared" si="84"/>
        <v>#VALUE!</v>
      </c>
    </row>
    <row r="1854" spans="1:12" x14ac:dyDescent="0.35">
      <c r="A1854" s="9">
        <f t="shared" si="85"/>
        <v>1853</v>
      </c>
      <c r="B1854" t="s">
        <v>109</v>
      </c>
      <c r="C1854" s="109">
        <f>IF(ISBLANK(K1854),IFERROR(VLOOKUP(I1854,FS_input_data!$C$307:$N$397,Export!J1854,FALSE),""),K1854)</f>
        <v>-24</v>
      </c>
      <c r="D1854" s="6" t="b">
        <v>1</v>
      </c>
      <c r="E1854" t="s">
        <v>1561</v>
      </c>
      <c r="F1854" s="6"/>
      <c r="G1854" t="b">
        <f t="shared" si="91"/>
        <v>0</v>
      </c>
      <c r="H1854" s="6" t="s">
        <v>1540</v>
      </c>
      <c r="I1854" t="s">
        <v>1623</v>
      </c>
      <c r="J1854">
        <v>3</v>
      </c>
      <c r="L1854" s="9" t="e">
        <f t="shared" si="84"/>
        <v>#VALUE!</v>
      </c>
    </row>
    <row r="1855" spans="1:12" x14ac:dyDescent="0.35">
      <c r="A1855">
        <f t="shared" si="85"/>
        <v>1854</v>
      </c>
      <c r="B1855" t="s">
        <v>110</v>
      </c>
      <c r="C1855" s="109" t="str">
        <f>IF(ISBLANK(K1855),IFERROR(VLOOKUP(I1855,FS_input_data!$C$307:$N$397,Export!J1855,FALSE),""),K1855)</f>
        <v/>
      </c>
      <c r="D1855" s="6"/>
      <c r="F1855" s="6"/>
      <c r="G1855" t="b">
        <f t="shared" si="91"/>
        <v>0</v>
      </c>
      <c r="H1855" s="6" t="s">
        <v>1540</v>
      </c>
      <c r="I1855" t="s">
        <v>1561</v>
      </c>
      <c r="J1855" t="s">
        <v>1561</v>
      </c>
      <c r="L1855">
        <f t="shared" si="84"/>
        <v>1</v>
      </c>
    </row>
    <row r="1856" spans="1:12" x14ac:dyDescent="0.35">
      <c r="A1856" s="9">
        <f t="shared" si="85"/>
        <v>1855</v>
      </c>
      <c r="B1856" t="s">
        <v>111</v>
      </c>
      <c r="C1856" s="109">
        <f>IF(ISBLANK(K1856),IFERROR(VLOOKUP(I1856,FS_input_data!$C$307:$N$397,Export!J1856,FALSE),""),K1856)</f>
        <v>-12</v>
      </c>
      <c r="D1856" s="6" t="b">
        <v>1</v>
      </c>
      <c r="E1856" t="s">
        <v>1561</v>
      </c>
      <c r="F1856" s="6"/>
      <c r="G1856" t="b">
        <f t="shared" si="91"/>
        <v>0</v>
      </c>
      <c r="H1856" s="6" t="s">
        <v>1540</v>
      </c>
      <c r="I1856" t="s">
        <v>1623</v>
      </c>
      <c r="J1856">
        <v>4</v>
      </c>
      <c r="L1856" s="9" t="e">
        <f t="shared" si="84"/>
        <v>#VALUE!</v>
      </c>
    </row>
    <row r="1857" spans="1:12" x14ac:dyDescent="0.35">
      <c r="A1857">
        <f t="shared" si="85"/>
        <v>1856</v>
      </c>
      <c r="B1857" t="s">
        <v>112</v>
      </c>
      <c r="C1857" s="109" t="str">
        <f>IF(ISBLANK(K1857),IFERROR(VLOOKUP(I1857,FS_input_data!$C$307:$N$397,Export!J1857,FALSE),""),K1857)</f>
        <v/>
      </c>
      <c r="D1857" s="6"/>
      <c r="E1857" t="s">
        <v>1561</v>
      </c>
      <c r="F1857" s="6"/>
      <c r="G1857" t="b">
        <f t="shared" si="91"/>
        <v>0</v>
      </c>
      <c r="H1857" s="6" t="s">
        <v>1540</v>
      </c>
      <c r="I1857" t="s">
        <v>1561</v>
      </c>
      <c r="J1857" t="s">
        <v>1561</v>
      </c>
      <c r="L1857">
        <f t="shared" si="84"/>
        <v>1</v>
      </c>
    </row>
    <row r="1858" spans="1:12" x14ac:dyDescent="0.35">
      <c r="A1858">
        <f t="shared" si="85"/>
        <v>1857</v>
      </c>
      <c r="B1858" t="s">
        <v>581</v>
      </c>
      <c r="C1858" s="109" t="str">
        <f>IF(ISBLANK(K1858),IFERROR(VLOOKUP(I1858,FS_input_data!$C$307:$N$397,Export!J1858,FALSE),""),K1858)</f>
        <v/>
      </c>
      <c r="D1858" s="6"/>
      <c r="E1858" t="s">
        <v>1561</v>
      </c>
      <c r="F1858" s="6"/>
      <c r="G1858" t="b">
        <f t="shared" si="91"/>
        <v>0</v>
      </c>
      <c r="H1858" s="6" t="s">
        <v>1540</v>
      </c>
      <c r="I1858" t="s">
        <v>1561</v>
      </c>
      <c r="J1858" t="s">
        <v>1561</v>
      </c>
      <c r="L1858">
        <f t="shared" ref="L1858:L1921" si="92">FIND("/",B1858)</f>
        <v>1</v>
      </c>
    </row>
    <row r="1859" spans="1:12" x14ac:dyDescent="0.35">
      <c r="A1859">
        <f t="shared" ref="A1859:A1922" si="93">A1858+1</f>
        <v>1858</v>
      </c>
      <c r="B1859" t="s">
        <v>582</v>
      </c>
      <c r="C1859" s="109" t="str">
        <f>IF(ISBLANK(K1859),IFERROR(VLOOKUP(I1859,FS_input_data!$C$307:$N$397,Export!J1859,FALSE),""),K1859)</f>
        <v/>
      </c>
      <c r="D1859" s="6"/>
      <c r="E1859" t="s">
        <v>1561</v>
      </c>
      <c r="F1859" s="6"/>
      <c r="G1859" t="b">
        <f t="shared" si="91"/>
        <v>0</v>
      </c>
      <c r="H1859" s="6" t="s">
        <v>1540</v>
      </c>
      <c r="I1859" t="s">
        <v>1561</v>
      </c>
      <c r="J1859" t="s">
        <v>1561</v>
      </c>
      <c r="L1859">
        <f t="shared" si="92"/>
        <v>1</v>
      </c>
    </row>
    <row r="1860" spans="1:12" x14ac:dyDescent="0.35">
      <c r="A1860">
        <f t="shared" si="93"/>
        <v>1859</v>
      </c>
      <c r="B1860" t="s">
        <v>583</v>
      </c>
      <c r="C1860" s="109" t="str">
        <f>IF(ISBLANK(K1860),IFERROR(VLOOKUP(I1860,FS_input_data!$C$307:$N$397,Export!J1860,FALSE),""),K1860)</f>
        <v/>
      </c>
      <c r="D1860" s="6"/>
      <c r="E1860" t="s">
        <v>1626</v>
      </c>
      <c r="F1860" s="6"/>
      <c r="G1860" t="b">
        <f>IF(capital_xml,AND($C$1861=0,$C$1863=0),TRUE)</f>
        <v>0</v>
      </c>
      <c r="H1860" s="6" t="s">
        <v>1540</v>
      </c>
      <c r="I1860" t="s">
        <v>1561</v>
      </c>
      <c r="J1860" t="s">
        <v>1561</v>
      </c>
      <c r="L1860" s="26" t="e">
        <f t="shared" si="92"/>
        <v>#VALUE!</v>
      </c>
    </row>
    <row r="1861" spans="1:12" x14ac:dyDescent="0.35">
      <c r="A1861" s="9">
        <f t="shared" si="93"/>
        <v>1860</v>
      </c>
      <c r="B1861" t="s">
        <v>109</v>
      </c>
      <c r="C1861" s="109">
        <f>IF(ISBLANK(K1861),IFERROR(VLOOKUP(I1861,FS_input_data!$C$307:$N$397,Export!J1861,FALSE),""),K1861)</f>
        <v>1697</v>
      </c>
      <c r="D1861" s="6" t="b">
        <v>1</v>
      </c>
      <c r="E1861" t="s">
        <v>1561</v>
      </c>
      <c r="F1861" s="6"/>
      <c r="G1861" t="b">
        <f>IF(capital_xml,AND($C$1861=0,$C$1863=0),TRUE)</f>
        <v>0</v>
      </c>
      <c r="H1861" s="6" t="s">
        <v>1540</v>
      </c>
      <c r="I1861" t="s">
        <v>1625</v>
      </c>
      <c r="J1861">
        <v>3</v>
      </c>
      <c r="L1861" s="9" t="e">
        <f t="shared" si="92"/>
        <v>#VALUE!</v>
      </c>
    </row>
    <row r="1862" spans="1:12" x14ac:dyDescent="0.35">
      <c r="A1862">
        <f t="shared" si="93"/>
        <v>1861</v>
      </c>
      <c r="B1862" t="s">
        <v>110</v>
      </c>
      <c r="C1862" s="109" t="str">
        <f>IF(ISBLANK(K1862),IFERROR(VLOOKUP(I1862,FS_input_data!$C$307:$N$397,Export!J1862,FALSE),""),K1862)</f>
        <v/>
      </c>
      <c r="D1862" s="6"/>
      <c r="F1862" s="6"/>
      <c r="G1862" t="b">
        <f>IF(capital_xml,AND($C$1861=0,$C$1863=0),TRUE)</f>
        <v>0</v>
      </c>
      <c r="H1862" s="6" t="s">
        <v>1540</v>
      </c>
      <c r="I1862" t="s">
        <v>1561</v>
      </c>
      <c r="J1862" t="s">
        <v>1561</v>
      </c>
      <c r="L1862">
        <f t="shared" si="92"/>
        <v>1</v>
      </c>
    </row>
    <row r="1863" spans="1:12" x14ac:dyDescent="0.35">
      <c r="A1863" s="9">
        <f t="shared" si="93"/>
        <v>1862</v>
      </c>
      <c r="B1863" t="s">
        <v>111</v>
      </c>
      <c r="C1863" s="109">
        <f>IF(ISBLANK(K1863),IFERROR(VLOOKUP(I1863,FS_input_data!$C$307:$N$397,Export!J1863,FALSE),""),K1863)</f>
        <v>157</v>
      </c>
      <c r="D1863" s="6" t="b">
        <v>1</v>
      </c>
      <c r="E1863" t="s">
        <v>1561</v>
      </c>
      <c r="F1863" s="6"/>
      <c r="G1863" t="b">
        <f>IF(capital_xml,AND($C$1861=0,$C$1863=0),TRUE)</f>
        <v>0</v>
      </c>
      <c r="H1863" s="6" t="s">
        <v>1540</v>
      </c>
      <c r="I1863" t="s">
        <v>1625</v>
      </c>
      <c r="J1863">
        <v>4</v>
      </c>
      <c r="L1863" s="9" t="e">
        <f t="shared" si="92"/>
        <v>#VALUE!</v>
      </c>
    </row>
    <row r="1864" spans="1:12" x14ac:dyDescent="0.35">
      <c r="A1864">
        <f t="shared" si="93"/>
        <v>1863</v>
      </c>
      <c r="B1864" t="s">
        <v>112</v>
      </c>
      <c r="C1864" s="109" t="str">
        <f>IF(ISBLANK(K1864),IFERROR(VLOOKUP(I1864,FS_input_data!$C$307:$N$397,Export!J1864,FALSE),""),K1864)</f>
        <v/>
      </c>
      <c r="D1864" s="6"/>
      <c r="E1864" t="s">
        <v>1561</v>
      </c>
      <c r="F1864" s="6"/>
      <c r="G1864" t="b">
        <f>IF(capital_xml,AND($C$1861=0,$C$1863=0),TRUE)</f>
        <v>0</v>
      </c>
      <c r="H1864" s="6" t="s">
        <v>1540</v>
      </c>
      <c r="I1864" t="s">
        <v>1561</v>
      </c>
      <c r="J1864" t="s">
        <v>1561</v>
      </c>
      <c r="L1864">
        <f t="shared" si="92"/>
        <v>1</v>
      </c>
    </row>
    <row r="1865" spans="1:12" x14ac:dyDescent="0.35">
      <c r="A1865">
        <f t="shared" si="93"/>
        <v>1864</v>
      </c>
      <c r="B1865" t="s">
        <v>584</v>
      </c>
      <c r="C1865" s="109" t="str">
        <f>IF(ISBLANK(K1865),IFERROR(VLOOKUP(I1865,FS_input_data!$C$307:$N$397,Export!J1865,FALSE),""),K1865)</f>
        <v/>
      </c>
      <c r="D1865" s="6"/>
      <c r="E1865" t="s">
        <v>2218</v>
      </c>
      <c r="F1865" s="6"/>
      <c r="G1865" t="b">
        <f>IF(capital_xml,AND($C$1866=0,$C$1868=0),TRUE)</f>
        <v>0</v>
      </c>
      <c r="H1865" s="6" t="s">
        <v>1540</v>
      </c>
      <c r="I1865" t="s">
        <v>1561</v>
      </c>
      <c r="J1865" t="s">
        <v>1561</v>
      </c>
      <c r="L1865" s="26" t="e">
        <f t="shared" si="92"/>
        <v>#VALUE!</v>
      </c>
    </row>
    <row r="1866" spans="1:12" x14ac:dyDescent="0.35">
      <c r="A1866" s="9">
        <f t="shared" si="93"/>
        <v>1865</v>
      </c>
      <c r="B1866" t="s">
        <v>109</v>
      </c>
      <c r="C1866" s="109">
        <f>IF(ISBLANK(K1866),IFERROR(VLOOKUP(I1866,FS_input_data!$C$307:$N$397,Export!J1866,FALSE),""),K1866)</f>
        <v>1000</v>
      </c>
      <c r="D1866" s="6" t="b">
        <v>1</v>
      </c>
      <c r="E1866" t="s">
        <v>1561</v>
      </c>
      <c r="F1866" s="6"/>
      <c r="G1866" t="b">
        <f>IF(capital_xml,AND($C$1866=0,$C$1868=0),TRUE)</f>
        <v>0</v>
      </c>
      <c r="H1866" s="6" t="s">
        <v>1540</v>
      </c>
      <c r="I1866" t="s">
        <v>1627</v>
      </c>
      <c r="J1866">
        <v>3</v>
      </c>
      <c r="L1866" s="9" t="e">
        <f t="shared" si="92"/>
        <v>#VALUE!</v>
      </c>
    </row>
    <row r="1867" spans="1:12" x14ac:dyDescent="0.35">
      <c r="A1867">
        <f t="shared" si="93"/>
        <v>1866</v>
      </c>
      <c r="B1867" t="s">
        <v>110</v>
      </c>
      <c r="C1867" s="109" t="str">
        <f>IF(ISBLANK(K1867),IFERROR(VLOOKUP(I1867,FS_input_data!$C$307:$N$397,Export!J1867,FALSE),""),K1867)</f>
        <v/>
      </c>
      <c r="D1867" s="6"/>
      <c r="F1867" s="6"/>
      <c r="G1867" t="b">
        <f>IF(capital_xml,AND($C$1866=0,$C$1868=0),TRUE)</f>
        <v>0</v>
      </c>
      <c r="H1867" s="6" t="s">
        <v>1540</v>
      </c>
      <c r="I1867" t="s">
        <v>1561</v>
      </c>
      <c r="J1867" t="s">
        <v>1561</v>
      </c>
      <c r="L1867">
        <f t="shared" si="92"/>
        <v>1</v>
      </c>
    </row>
    <row r="1868" spans="1:12" x14ac:dyDescent="0.35">
      <c r="A1868" s="9">
        <f t="shared" si="93"/>
        <v>1867</v>
      </c>
      <c r="B1868" t="s">
        <v>111</v>
      </c>
      <c r="C1868" s="109">
        <f>IF(ISBLANK(K1868),IFERROR(VLOOKUP(I1868,FS_input_data!$C$307:$N$397,Export!J1868,FALSE),""),K1868)</f>
        <v>157</v>
      </c>
      <c r="D1868" s="6" t="b">
        <v>1</v>
      </c>
      <c r="E1868" t="s">
        <v>1561</v>
      </c>
      <c r="F1868" s="6"/>
      <c r="G1868" t="b">
        <f>IF(capital_xml,AND($C$1866=0,$C$1868=0),TRUE)</f>
        <v>0</v>
      </c>
      <c r="H1868" s="6" t="s">
        <v>1540</v>
      </c>
      <c r="I1868" t="s">
        <v>1627</v>
      </c>
      <c r="J1868">
        <v>4</v>
      </c>
      <c r="L1868" s="9" t="e">
        <f t="shared" si="92"/>
        <v>#VALUE!</v>
      </c>
    </row>
    <row r="1869" spans="1:12" x14ac:dyDescent="0.35">
      <c r="A1869">
        <f t="shared" si="93"/>
        <v>1868</v>
      </c>
      <c r="B1869" t="s">
        <v>112</v>
      </c>
      <c r="C1869" s="109" t="str">
        <f>IF(ISBLANK(K1869),IFERROR(VLOOKUP(I1869,FS_input_data!$C$307:$N$397,Export!J1869,FALSE),""),K1869)</f>
        <v/>
      </c>
      <c r="D1869" s="6"/>
      <c r="E1869" t="s">
        <v>1561</v>
      </c>
      <c r="F1869" s="6"/>
      <c r="G1869" t="b">
        <f>IF(capital_xml,AND($C$1866=0,$C$1868=0),TRUE)</f>
        <v>0</v>
      </c>
      <c r="H1869" s="6" t="s">
        <v>1540</v>
      </c>
      <c r="I1869" t="s">
        <v>1561</v>
      </c>
      <c r="J1869" t="s">
        <v>1561</v>
      </c>
      <c r="L1869">
        <f t="shared" si="92"/>
        <v>1</v>
      </c>
    </row>
    <row r="1870" spans="1:12" x14ac:dyDescent="0.35">
      <c r="A1870">
        <f t="shared" si="93"/>
        <v>1869</v>
      </c>
      <c r="B1870" t="s">
        <v>585</v>
      </c>
      <c r="C1870" s="109" t="str">
        <f>IF(ISBLANK(K1870),IFERROR(VLOOKUP(I1870,FS_input_data!$C$307:$N$397,Export!J1870,FALSE),""),K1870)</f>
        <v/>
      </c>
      <c r="D1870" s="6"/>
      <c r="E1870" t="s">
        <v>1543</v>
      </c>
      <c r="F1870" s="6"/>
      <c r="G1870" t="b">
        <f t="shared" ref="G1870:G1875" si="94">IF(capital_xml,AND($C$1871=0,$C$1873=0),TRUE)</f>
        <v>0</v>
      </c>
      <c r="H1870" s="6" t="s">
        <v>1540</v>
      </c>
      <c r="I1870" t="s">
        <v>1561</v>
      </c>
      <c r="J1870" t="s">
        <v>1561</v>
      </c>
      <c r="L1870" s="26" t="e">
        <f t="shared" si="92"/>
        <v>#VALUE!</v>
      </c>
    </row>
    <row r="1871" spans="1:12" x14ac:dyDescent="0.35">
      <c r="A1871" s="9">
        <f t="shared" si="93"/>
        <v>1870</v>
      </c>
      <c r="B1871" t="s">
        <v>109</v>
      </c>
      <c r="C1871" s="109">
        <f>IF(ISBLANK(K1871),IFERROR(VLOOKUP(I1871,FS_input_data!$C$307:$N$397,Export!J1871,FALSE),""),K1871)</f>
        <v>58</v>
      </c>
      <c r="D1871" s="6" t="b">
        <v>1</v>
      </c>
      <c r="E1871" t="s">
        <v>1561</v>
      </c>
      <c r="F1871" s="6"/>
      <c r="G1871" t="b">
        <f t="shared" si="94"/>
        <v>0</v>
      </c>
      <c r="H1871" s="6" t="s">
        <v>1540</v>
      </c>
      <c r="I1871" t="s">
        <v>1629</v>
      </c>
      <c r="J1871">
        <v>3</v>
      </c>
      <c r="L1871" s="9" t="e">
        <f t="shared" si="92"/>
        <v>#VALUE!</v>
      </c>
    </row>
    <row r="1872" spans="1:12" x14ac:dyDescent="0.35">
      <c r="A1872">
        <f t="shared" si="93"/>
        <v>1871</v>
      </c>
      <c r="B1872" t="s">
        <v>110</v>
      </c>
      <c r="C1872" s="109" t="str">
        <f>IF(ISBLANK(K1872),IFERROR(VLOOKUP(I1872,FS_input_data!$C$307:$N$397,Export!J1872,FALSE),""),K1872)</f>
        <v/>
      </c>
      <c r="D1872" s="6"/>
      <c r="F1872" s="6"/>
      <c r="G1872" t="b">
        <f t="shared" si="94"/>
        <v>0</v>
      </c>
      <c r="H1872" s="6" t="s">
        <v>1540</v>
      </c>
      <c r="I1872" t="s">
        <v>1561</v>
      </c>
      <c r="J1872" t="s">
        <v>1561</v>
      </c>
      <c r="L1872">
        <f t="shared" si="92"/>
        <v>1</v>
      </c>
    </row>
    <row r="1873" spans="1:12" x14ac:dyDescent="0.35">
      <c r="A1873" s="9">
        <f t="shared" si="93"/>
        <v>1872</v>
      </c>
      <c r="B1873" t="s">
        <v>111</v>
      </c>
      <c r="C1873" s="109">
        <f>IF(ISBLANK(K1873),IFERROR(VLOOKUP(I1873,FS_input_data!$C$307:$N$397,Export!J1873,FALSE),""),K1873)</f>
        <v>158</v>
      </c>
      <c r="D1873" s="6" t="b">
        <v>1</v>
      </c>
      <c r="E1873" t="s">
        <v>1561</v>
      </c>
      <c r="F1873" s="6"/>
      <c r="G1873" t="b">
        <f t="shared" si="94"/>
        <v>0</v>
      </c>
      <c r="H1873" s="6" t="s">
        <v>1540</v>
      </c>
      <c r="I1873" t="s">
        <v>1629</v>
      </c>
      <c r="J1873">
        <v>4</v>
      </c>
      <c r="L1873" s="9" t="e">
        <f t="shared" si="92"/>
        <v>#VALUE!</v>
      </c>
    </row>
    <row r="1874" spans="1:12" x14ac:dyDescent="0.35">
      <c r="A1874">
        <f t="shared" si="93"/>
        <v>1873</v>
      </c>
      <c r="B1874" t="s">
        <v>112</v>
      </c>
      <c r="C1874" s="109" t="str">
        <f>IF(ISBLANK(K1874),IFERROR(VLOOKUP(I1874,FS_input_data!$C$307:$N$397,Export!J1874,FALSE),""),K1874)</f>
        <v/>
      </c>
      <c r="D1874" s="6"/>
      <c r="E1874" t="s">
        <v>1561</v>
      </c>
      <c r="F1874" s="6"/>
      <c r="G1874" t="b">
        <f t="shared" si="94"/>
        <v>0</v>
      </c>
      <c r="H1874" s="6" t="s">
        <v>1540</v>
      </c>
      <c r="I1874" t="s">
        <v>1561</v>
      </c>
      <c r="J1874" t="s">
        <v>1561</v>
      </c>
      <c r="L1874">
        <f t="shared" si="92"/>
        <v>1</v>
      </c>
    </row>
    <row r="1875" spans="1:12" x14ac:dyDescent="0.35">
      <c r="A1875">
        <f t="shared" si="93"/>
        <v>1874</v>
      </c>
      <c r="B1875" t="s">
        <v>586</v>
      </c>
      <c r="C1875" s="109" t="str">
        <f>IF(ISBLANK(K1875),IFERROR(VLOOKUP(I1875,FS_input_data!$C$307:$N$397,Export!J1875,FALSE),""),K1875)</f>
        <v/>
      </c>
      <c r="D1875" s="6"/>
      <c r="E1875" t="s">
        <v>1561</v>
      </c>
      <c r="F1875" s="6"/>
      <c r="G1875" t="b">
        <f t="shared" si="94"/>
        <v>0</v>
      </c>
      <c r="H1875" s="6" t="s">
        <v>1540</v>
      </c>
      <c r="I1875" t="s">
        <v>1561</v>
      </c>
      <c r="J1875" t="s">
        <v>1561</v>
      </c>
      <c r="L1875">
        <f t="shared" si="92"/>
        <v>1</v>
      </c>
    </row>
    <row r="1876" spans="1:12" x14ac:dyDescent="0.35">
      <c r="A1876">
        <f t="shared" si="93"/>
        <v>1875</v>
      </c>
      <c r="B1876" t="s">
        <v>587</v>
      </c>
      <c r="C1876" s="109" t="str">
        <f>IF(ISBLANK(K1876),IFERROR(VLOOKUP(I1876,FS_input_data!$C$307:$N$397,Export!J1876,FALSE),""),K1876)</f>
        <v/>
      </c>
      <c r="D1876" s="6"/>
      <c r="E1876" t="s">
        <v>1545</v>
      </c>
      <c r="F1876" s="6"/>
      <c r="G1876" t="b">
        <f t="shared" ref="G1876:G1882" si="95">IF(capital_xml,AND($C$1877=0,$C$1879=0),TRUE)</f>
        <v>0</v>
      </c>
      <c r="H1876" s="6" t="s">
        <v>1540</v>
      </c>
      <c r="I1876" t="s">
        <v>1561</v>
      </c>
      <c r="J1876" t="s">
        <v>1561</v>
      </c>
      <c r="L1876" s="26" t="e">
        <f t="shared" si="92"/>
        <v>#VALUE!</v>
      </c>
    </row>
    <row r="1877" spans="1:12" x14ac:dyDescent="0.35">
      <c r="A1877" s="9">
        <f t="shared" si="93"/>
        <v>1876</v>
      </c>
      <c r="B1877" t="s">
        <v>109</v>
      </c>
      <c r="C1877" s="109">
        <f>IF(ISBLANK(K1877),IFERROR(VLOOKUP(I1877,FS_input_data!$C$307:$N$397,Export!J1877,FALSE),""),K1877)</f>
        <v>59</v>
      </c>
      <c r="D1877" s="6" t="b">
        <v>1</v>
      </c>
      <c r="E1877" t="s">
        <v>1561</v>
      </c>
      <c r="F1877" s="6"/>
      <c r="G1877" t="b">
        <f t="shared" si="95"/>
        <v>0</v>
      </c>
      <c r="H1877" s="6" t="s">
        <v>1540</v>
      </c>
      <c r="I1877" t="s">
        <v>1630</v>
      </c>
      <c r="J1877">
        <v>3</v>
      </c>
      <c r="L1877" s="9" t="e">
        <f t="shared" si="92"/>
        <v>#VALUE!</v>
      </c>
    </row>
    <row r="1878" spans="1:12" x14ac:dyDescent="0.35">
      <c r="A1878">
        <f t="shared" si="93"/>
        <v>1877</v>
      </c>
      <c r="B1878" t="s">
        <v>110</v>
      </c>
      <c r="C1878" s="109" t="str">
        <f>IF(ISBLANK(K1878),IFERROR(VLOOKUP(I1878,FS_input_data!$C$307:$N$397,Export!J1878,FALSE),""),K1878)</f>
        <v/>
      </c>
      <c r="D1878" s="6"/>
      <c r="F1878" s="6"/>
      <c r="G1878" t="b">
        <f t="shared" si="95"/>
        <v>0</v>
      </c>
      <c r="H1878" s="6" t="s">
        <v>1540</v>
      </c>
      <c r="I1878" t="s">
        <v>1561</v>
      </c>
      <c r="J1878" t="s">
        <v>1561</v>
      </c>
      <c r="L1878">
        <f t="shared" si="92"/>
        <v>1</v>
      </c>
    </row>
    <row r="1879" spans="1:12" x14ac:dyDescent="0.35">
      <c r="A1879" s="9">
        <f t="shared" si="93"/>
        <v>1878</v>
      </c>
      <c r="B1879" t="s">
        <v>111</v>
      </c>
      <c r="C1879" s="109">
        <f>IF(ISBLANK(K1879),IFERROR(VLOOKUP(I1879,FS_input_data!$C$307:$N$397,Export!J1879,FALSE),""),K1879)</f>
        <v>159</v>
      </c>
      <c r="D1879" s="6" t="b">
        <v>1</v>
      </c>
      <c r="E1879" t="s">
        <v>1561</v>
      </c>
      <c r="F1879" s="6"/>
      <c r="G1879" t="b">
        <f t="shared" si="95"/>
        <v>0</v>
      </c>
      <c r="H1879" s="6" t="s">
        <v>1540</v>
      </c>
      <c r="I1879" t="s">
        <v>1630</v>
      </c>
      <c r="J1879">
        <v>4</v>
      </c>
      <c r="L1879" s="9" t="e">
        <f t="shared" si="92"/>
        <v>#VALUE!</v>
      </c>
    </row>
    <row r="1880" spans="1:12" x14ac:dyDescent="0.35">
      <c r="A1880">
        <f t="shared" si="93"/>
        <v>1879</v>
      </c>
      <c r="B1880" t="s">
        <v>112</v>
      </c>
      <c r="C1880" s="109" t="str">
        <f>IF(ISBLANK(K1880),IFERROR(VLOOKUP(I1880,FS_input_data!$C$307:$N$397,Export!J1880,FALSE),""),K1880)</f>
        <v/>
      </c>
      <c r="D1880" s="6"/>
      <c r="E1880" t="s">
        <v>1561</v>
      </c>
      <c r="F1880" s="6"/>
      <c r="G1880" t="b">
        <f t="shared" si="95"/>
        <v>0</v>
      </c>
      <c r="H1880" s="6" t="s">
        <v>1540</v>
      </c>
      <c r="I1880" t="s">
        <v>1561</v>
      </c>
      <c r="J1880" t="s">
        <v>1561</v>
      </c>
      <c r="L1880">
        <f t="shared" si="92"/>
        <v>1</v>
      </c>
    </row>
    <row r="1881" spans="1:12" x14ac:dyDescent="0.35">
      <c r="A1881">
        <f t="shared" si="93"/>
        <v>1880</v>
      </c>
      <c r="B1881" t="s">
        <v>588</v>
      </c>
      <c r="C1881" s="109" t="str">
        <f>IF(ISBLANK(K1881),IFERROR(VLOOKUP(I1881,FS_input_data!$C$307:$N$397,Export!J1881,FALSE),""),K1881)</f>
        <v/>
      </c>
      <c r="D1881" s="6"/>
      <c r="E1881" t="s">
        <v>1561</v>
      </c>
      <c r="F1881" s="6"/>
      <c r="G1881" t="b">
        <f t="shared" si="95"/>
        <v>0</v>
      </c>
      <c r="H1881" s="6" t="s">
        <v>1540</v>
      </c>
      <c r="I1881" t="s">
        <v>1561</v>
      </c>
      <c r="J1881" t="s">
        <v>1561</v>
      </c>
      <c r="L1881">
        <f t="shared" si="92"/>
        <v>1</v>
      </c>
    </row>
    <row r="1882" spans="1:12" x14ac:dyDescent="0.35">
      <c r="A1882">
        <f t="shared" si="93"/>
        <v>1881</v>
      </c>
      <c r="B1882" t="s">
        <v>589</v>
      </c>
      <c r="C1882" s="109" t="str">
        <f>IF(ISBLANK(K1882),IFERROR(VLOOKUP(I1882,FS_input_data!$C$307:$N$397,Export!J1882,FALSE),""),K1882)</f>
        <v/>
      </c>
      <c r="D1882" s="6"/>
      <c r="E1882" t="s">
        <v>1561</v>
      </c>
      <c r="F1882" s="6"/>
      <c r="G1882" t="b">
        <f t="shared" si="95"/>
        <v>0</v>
      </c>
      <c r="H1882" s="6" t="s">
        <v>1540</v>
      </c>
      <c r="I1882" t="s">
        <v>1561</v>
      </c>
      <c r="J1882" t="s">
        <v>1561</v>
      </c>
      <c r="L1882">
        <f t="shared" si="92"/>
        <v>1</v>
      </c>
    </row>
    <row r="1883" spans="1:12" x14ac:dyDescent="0.35">
      <c r="A1883">
        <f t="shared" si="93"/>
        <v>1882</v>
      </c>
      <c r="B1883" t="s">
        <v>590</v>
      </c>
      <c r="C1883" s="109" t="str">
        <f>IF(ISBLANK(K1883),IFERROR(VLOOKUP(I1883,FS_input_data!$C$307:$N$397,Export!J1883,FALSE),""),K1883)</f>
        <v/>
      </c>
      <c r="D1883" s="6"/>
      <c r="E1883" t="s">
        <v>2219</v>
      </c>
      <c r="F1883" s="6"/>
      <c r="G1883" t="b">
        <f>IF(capital_xml,AND($C$1884=0,$C$1886=0),TRUE)</f>
        <v>0</v>
      </c>
      <c r="H1883" s="6" t="s">
        <v>1540</v>
      </c>
      <c r="I1883" t="s">
        <v>1561</v>
      </c>
      <c r="J1883" t="s">
        <v>1561</v>
      </c>
      <c r="L1883" s="26" t="e">
        <f t="shared" si="92"/>
        <v>#VALUE!</v>
      </c>
    </row>
    <row r="1884" spans="1:12" x14ac:dyDescent="0.35">
      <c r="A1884" s="9">
        <f t="shared" si="93"/>
        <v>1883</v>
      </c>
      <c r="B1884" t="s">
        <v>109</v>
      </c>
      <c r="C1884" s="109">
        <f>IF(ISBLANK(K1884),IFERROR(VLOOKUP(I1884,FS_input_data!$C$307:$N$397,Export!J1884,FALSE),""),K1884)</f>
        <v>1117</v>
      </c>
      <c r="D1884" s="6" t="b">
        <v>1</v>
      </c>
      <c r="E1884" t="s">
        <v>1561</v>
      </c>
      <c r="F1884" s="6"/>
      <c r="G1884" t="b">
        <f>IF(capital_xml,AND($C$1884=0,$C$1886=0),TRUE)</f>
        <v>0</v>
      </c>
      <c r="H1884" s="6" t="s">
        <v>1540</v>
      </c>
      <c r="I1884" t="s">
        <v>1631</v>
      </c>
      <c r="J1884">
        <v>3</v>
      </c>
      <c r="L1884" s="9" t="e">
        <f t="shared" si="92"/>
        <v>#VALUE!</v>
      </c>
    </row>
    <row r="1885" spans="1:12" x14ac:dyDescent="0.35">
      <c r="A1885">
        <f t="shared" si="93"/>
        <v>1884</v>
      </c>
      <c r="B1885" t="s">
        <v>110</v>
      </c>
      <c r="C1885" s="109" t="str">
        <f>IF(ISBLANK(K1885),IFERROR(VLOOKUP(I1885,FS_input_data!$C$307:$N$397,Export!J1885,FALSE),""),K1885)</f>
        <v/>
      </c>
      <c r="D1885" s="6"/>
      <c r="F1885" s="6"/>
      <c r="G1885" t="b">
        <f>IF(capital_xml,AND($C$1884=0,$C$1886=0),TRUE)</f>
        <v>0</v>
      </c>
      <c r="H1885" s="6" t="s">
        <v>1540</v>
      </c>
      <c r="I1885" t="s">
        <v>1561</v>
      </c>
      <c r="J1885" t="s">
        <v>1561</v>
      </c>
      <c r="L1885">
        <f t="shared" si="92"/>
        <v>1</v>
      </c>
    </row>
    <row r="1886" spans="1:12" x14ac:dyDescent="0.35">
      <c r="A1886" s="9">
        <f t="shared" si="93"/>
        <v>1885</v>
      </c>
      <c r="B1886" t="s">
        <v>111</v>
      </c>
      <c r="C1886" s="109">
        <f>IF(ISBLANK(K1886),IFERROR(VLOOKUP(I1886,FS_input_data!$C$307:$N$397,Export!J1886,FALSE),""),K1886)</f>
        <v>474</v>
      </c>
      <c r="D1886" s="6" t="b">
        <v>1</v>
      </c>
      <c r="E1886" t="s">
        <v>1561</v>
      </c>
      <c r="F1886" s="6"/>
      <c r="G1886" t="b">
        <f>IF(capital_xml,AND($C$1884=0,$C$1886=0),TRUE)</f>
        <v>0</v>
      </c>
      <c r="H1886" s="6" t="s">
        <v>1540</v>
      </c>
      <c r="I1886" t="s">
        <v>1631</v>
      </c>
      <c r="J1886">
        <v>4</v>
      </c>
      <c r="L1886" s="9" t="e">
        <f t="shared" si="92"/>
        <v>#VALUE!</v>
      </c>
    </row>
    <row r="1887" spans="1:12" x14ac:dyDescent="0.35">
      <c r="A1887">
        <f t="shared" si="93"/>
        <v>1886</v>
      </c>
      <c r="B1887" t="s">
        <v>112</v>
      </c>
      <c r="C1887" s="109" t="str">
        <f>IF(ISBLANK(K1887),IFERROR(VLOOKUP(I1887,FS_input_data!$C$307:$N$397,Export!J1887,FALSE),""),K1887)</f>
        <v/>
      </c>
      <c r="D1887" s="6"/>
      <c r="E1887" t="s">
        <v>1561</v>
      </c>
      <c r="F1887" s="6"/>
      <c r="G1887" t="b">
        <f>IF(capital_xml,AND($C$1884=0,$C$1886=0),TRUE)</f>
        <v>0</v>
      </c>
      <c r="H1887" s="6" t="s">
        <v>1540</v>
      </c>
      <c r="I1887" t="s">
        <v>1561</v>
      </c>
      <c r="J1887" t="s">
        <v>1561</v>
      </c>
      <c r="L1887">
        <f t="shared" si="92"/>
        <v>1</v>
      </c>
    </row>
    <row r="1888" spans="1:12" x14ac:dyDescent="0.35">
      <c r="A1888">
        <f t="shared" si="93"/>
        <v>1887</v>
      </c>
      <c r="B1888" t="s">
        <v>591</v>
      </c>
      <c r="C1888" s="109" t="str">
        <f>IF(ISBLANK(K1888),IFERROR(VLOOKUP(I1888,FS_input_data!$C$307:$N$397,Export!J1888,FALSE),""),K1888)</f>
        <v/>
      </c>
      <c r="D1888" s="6"/>
      <c r="E1888" t="s">
        <v>1553</v>
      </c>
      <c r="F1888" s="6"/>
      <c r="G1888" t="b">
        <f>IF(capital_xml,AND($C$1889=0,$C$1891=0),TRUE)</f>
        <v>0</v>
      </c>
      <c r="H1888" s="6" t="s">
        <v>1540</v>
      </c>
      <c r="I1888" t="s">
        <v>1561</v>
      </c>
      <c r="J1888" t="s">
        <v>1561</v>
      </c>
      <c r="L1888" s="26" t="e">
        <f t="shared" si="92"/>
        <v>#VALUE!</v>
      </c>
    </row>
    <row r="1889" spans="1:12" x14ac:dyDescent="0.35">
      <c r="A1889" s="9">
        <f t="shared" si="93"/>
        <v>1888</v>
      </c>
      <c r="B1889" t="s">
        <v>109</v>
      </c>
      <c r="C1889" s="109">
        <f>IF(ISBLANK(K1889),IFERROR(VLOOKUP(I1889,FS_input_data!$C$307:$N$397,Export!J1889,FALSE),""),K1889)</f>
        <v>254</v>
      </c>
      <c r="D1889" s="6" t="b">
        <v>1</v>
      </c>
      <c r="E1889" t="s">
        <v>1561</v>
      </c>
      <c r="F1889" s="6"/>
      <c r="G1889" t="b">
        <f>IF(capital_xml,AND($C$1889=0,$C$1891=0),TRUE)</f>
        <v>0</v>
      </c>
      <c r="H1889" s="6" t="s">
        <v>1540</v>
      </c>
      <c r="I1889" t="s">
        <v>1633</v>
      </c>
      <c r="J1889">
        <v>3</v>
      </c>
      <c r="L1889" s="9" t="e">
        <f t="shared" si="92"/>
        <v>#VALUE!</v>
      </c>
    </row>
    <row r="1890" spans="1:12" x14ac:dyDescent="0.35">
      <c r="A1890">
        <f t="shared" si="93"/>
        <v>1889</v>
      </c>
      <c r="B1890" t="s">
        <v>110</v>
      </c>
      <c r="C1890" s="109" t="str">
        <f>IF(ISBLANK(K1890),IFERROR(VLOOKUP(I1890,FS_input_data!$C$307:$N$397,Export!J1890,FALSE),""),K1890)</f>
        <v/>
      </c>
      <c r="D1890" s="6"/>
      <c r="F1890" s="6"/>
      <c r="G1890" t="b">
        <f>IF(capital_xml,AND($C$1889=0,$C$1891=0),TRUE)</f>
        <v>0</v>
      </c>
      <c r="H1890" s="6" t="s">
        <v>1540</v>
      </c>
      <c r="I1890" t="s">
        <v>1561</v>
      </c>
      <c r="J1890" t="s">
        <v>1561</v>
      </c>
      <c r="L1890">
        <f t="shared" si="92"/>
        <v>1</v>
      </c>
    </row>
    <row r="1891" spans="1:12" x14ac:dyDescent="0.35">
      <c r="A1891" s="9">
        <f t="shared" si="93"/>
        <v>1890</v>
      </c>
      <c r="B1891" t="s">
        <v>111</v>
      </c>
      <c r="C1891" s="109">
        <f>IF(ISBLANK(K1891),IFERROR(VLOOKUP(I1891,FS_input_data!$C$307:$N$397,Export!J1891,FALSE),""),K1891)</f>
        <v>654</v>
      </c>
      <c r="D1891" s="6" t="b">
        <v>1</v>
      </c>
      <c r="E1891" t="s">
        <v>1561</v>
      </c>
      <c r="F1891" s="6"/>
      <c r="G1891" t="b">
        <f>IF(capital_xml,AND($C$1889=0,$C$1891=0),TRUE)</f>
        <v>0</v>
      </c>
      <c r="H1891" s="6" t="s">
        <v>1540</v>
      </c>
      <c r="I1891" t="s">
        <v>1633</v>
      </c>
      <c r="J1891">
        <v>4</v>
      </c>
      <c r="L1891" s="9" t="e">
        <f t="shared" si="92"/>
        <v>#VALUE!</v>
      </c>
    </row>
    <row r="1892" spans="1:12" x14ac:dyDescent="0.35">
      <c r="A1892">
        <f t="shared" si="93"/>
        <v>1891</v>
      </c>
      <c r="B1892" t="s">
        <v>112</v>
      </c>
      <c r="C1892" s="109" t="str">
        <f>IF(ISBLANK(K1892),IFERROR(VLOOKUP(I1892,FS_input_data!$C$307:$N$397,Export!J1892,FALSE),""),K1892)</f>
        <v/>
      </c>
      <c r="D1892" s="6"/>
      <c r="E1892" t="s">
        <v>1561</v>
      </c>
      <c r="F1892" s="6"/>
      <c r="G1892" t="b">
        <f>IF(capital_xml,AND($C$1889=0,$C$1891=0),TRUE)</f>
        <v>0</v>
      </c>
      <c r="H1892" s="6" t="s">
        <v>1540</v>
      </c>
      <c r="I1892" t="s">
        <v>1561</v>
      </c>
      <c r="J1892" t="s">
        <v>1561</v>
      </c>
      <c r="L1892">
        <f t="shared" si="92"/>
        <v>1</v>
      </c>
    </row>
    <row r="1893" spans="1:12" x14ac:dyDescent="0.35">
      <c r="A1893">
        <f t="shared" si="93"/>
        <v>1892</v>
      </c>
      <c r="B1893" t="s">
        <v>592</v>
      </c>
      <c r="C1893" s="109" t="str">
        <f>IF(ISBLANK(K1893),IFERROR(VLOOKUP(I1893,FS_input_data!$C$307:$N$397,Export!J1893,FALSE),""),K1893)</f>
        <v/>
      </c>
      <c r="D1893" s="6"/>
      <c r="E1893" t="s">
        <v>1635</v>
      </c>
      <c r="F1893" s="6"/>
      <c r="G1893" t="b">
        <f t="shared" ref="G1893:G1898" si="96">IF(capital_xml,AND($C$1894=0,$C$1896=0),TRUE)</f>
        <v>0</v>
      </c>
      <c r="H1893" s="6" t="s">
        <v>1540</v>
      </c>
      <c r="I1893" t="s">
        <v>1561</v>
      </c>
      <c r="J1893" t="s">
        <v>1561</v>
      </c>
      <c r="L1893" s="26" t="e">
        <f t="shared" si="92"/>
        <v>#VALUE!</v>
      </c>
    </row>
    <row r="1894" spans="1:12" x14ac:dyDescent="0.35">
      <c r="A1894" s="9">
        <f t="shared" si="93"/>
        <v>1893</v>
      </c>
      <c r="B1894" t="s">
        <v>109</v>
      </c>
      <c r="C1894" s="109">
        <f>IF(ISBLANK(K1894),IFERROR(VLOOKUP(I1894,FS_input_data!$C$307:$N$397,Export!J1894,FALSE),""),K1894)</f>
        <v>62</v>
      </c>
      <c r="D1894" s="6" t="b">
        <v>1</v>
      </c>
      <c r="E1894" t="s">
        <v>1561</v>
      </c>
      <c r="F1894" s="6"/>
      <c r="G1894" t="b">
        <f t="shared" si="96"/>
        <v>0</v>
      </c>
      <c r="H1894" s="6" t="s">
        <v>1540</v>
      </c>
      <c r="I1894" t="s">
        <v>1634</v>
      </c>
      <c r="J1894">
        <v>3</v>
      </c>
      <c r="L1894" s="9" t="e">
        <f t="shared" si="92"/>
        <v>#VALUE!</v>
      </c>
    </row>
    <row r="1895" spans="1:12" x14ac:dyDescent="0.35">
      <c r="A1895">
        <f t="shared" si="93"/>
        <v>1894</v>
      </c>
      <c r="B1895" t="s">
        <v>110</v>
      </c>
      <c r="C1895" s="109" t="str">
        <f>IF(ISBLANK(K1895),IFERROR(VLOOKUP(I1895,FS_input_data!$C$307:$N$397,Export!J1895,FALSE),""),K1895)</f>
        <v/>
      </c>
      <c r="D1895" s="6"/>
      <c r="F1895" s="6"/>
      <c r="G1895" t="b">
        <f t="shared" si="96"/>
        <v>0</v>
      </c>
      <c r="H1895" s="6" t="s">
        <v>1540</v>
      </c>
      <c r="I1895" t="s">
        <v>1561</v>
      </c>
      <c r="J1895" t="s">
        <v>1561</v>
      </c>
      <c r="L1895">
        <f t="shared" si="92"/>
        <v>1</v>
      </c>
    </row>
    <row r="1896" spans="1:12" x14ac:dyDescent="0.35">
      <c r="A1896" s="9">
        <f t="shared" si="93"/>
        <v>1895</v>
      </c>
      <c r="B1896" t="s">
        <v>111</v>
      </c>
      <c r="C1896" s="109">
        <f>IF(ISBLANK(K1896),IFERROR(VLOOKUP(I1896,FS_input_data!$C$307:$N$397,Export!J1896,FALSE),""),K1896)</f>
        <v>162</v>
      </c>
      <c r="D1896" s="6" t="b">
        <v>1</v>
      </c>
      <c r="E1896" t="s">
        <v>1561</v>
      </c>
      <c r="F1896" s="6"/>
      <c r="G1896" t="b">
        <f t="shared" si="96"/>
        <v>0</v>
      </c>
      <c r="H1896" s="6" t="s">
        <v>1540</v>
      </c>
      <c r="I1896" t="s">
        <v>1634</v>
      </c>
      <c r="J1896">
        <v>4</v>
      </c>
      <c r="L1896" s="9" t="e">
        <f t="shared" si="92"/>
        <v>#VALUE!</v>
      </c>
    </row>
    <row r="1897" spans="1:12" x14ac:dyDescent="0.35">
      <c r="A1897">
        <f t="shared" si="93"/>
        <v>1896</v>
      </c>
      <c r="B1897" t="s">
        <v>112</v>
      </c>
      <c r="C1897" s="109" t="str">
        <f>IF(ISBLANK(K1897),IFERROR(VLOOKUP(I1897,FS_input_data!$C$307:$N$397,Export!J1897,FALSE),""),K1897)</f>
        <v/>
      </c>
      <c r="D1897" s="6"/>
      <c r="E1897" t="s">
        <v>1561</v>
      </c>
      <c r="F1897" s="6"/>
      <c r="G1897" t="b">
        <f t="shared" si="96"/>
        <v>0</v>
      </c>
      <c r="H1897" s="6" t="s">
        <v>1540</v>
      </c>
      <c r="I1897" t="s">
        <v>1561</v>
      </c>
      <c r="J1897" t="s">
        <v>1561</v>
      </c>
      <c r="L1897">
        <f t="shared" si="92"/>
        <v>1</v>
      </c>
    </row>
    <row r="1898" spans="1:12" x14ac:dyDescent="0.35">
      <c r="A1898">
        <f t="shared" si="93"/>
        <v>1897</v>
      </c>
      <c r="B1898" t="s">
        <v>593</v>
      </c>
      <c r="C1898" s="109" t="str">
        <f>IF(ISBLANK(K1898),IFERROR(VLOOKUP(I1898,FS_input_data!$C$307:$N$397,Export!J1898,FALSE),""),K1898)</f>
        <v/>
      </c>
      <c r="D1898" s="6"/>
      <c r="E1898" t="s">
        <v>1561</v>
      </c>
      <c r="F1898" s="6"/>
      <c r="G1898" t="b">
        <f t="shared" si="96"/>
        <v>0</v>
      </c>
      <c r="H1898" s="6" t="s">
        <v>1540</v>
      </c>
      <c r="I1898" t="s">
        <v>1561</v>
      </c>
      <c r="J1898" t="s">
        <v>1561</v>
      </c>
      <c r="L1898">
        <f t="shared" si="92"/>
        <v>1</v>
      </c>
    </row>
    <row r="1899" spans="1:12" x14ac:dyDescent="0.35">
      <c r="A1899">
        <f t="shared" si="93"/>
        <v>1898</v>
      </c>
      <c r="B1899" s="9" t="s">
        <v>526</v>
      </c>
      <c r="C1899" s="109" t="str">
        <f>IF(ISBLANK(K1899),IFERROR(VLOOKUP(I1899,FS_input_data!$C$307:$N$397,Export!J1899,FALSE),""),K1899)</f>
        <v/>
      </c>
      <c r="D1899" s="6"/>
      <c r="E1899" s="106" t="s">
        <v>1637</v>
      </c>
      <c r="F1899" s="6"/>
      <c r="G1899" t="b">
        <f t="shared" ref="G1899:G1908" si="97">IF(capital_xml,AND($C$1903=0,$C$1905=0),TRUE)</f>
        <v>0</v>
      </c>
      <c r="H1899" s="6" t="s">
        <v>1540</v>
      </c>
      <c r="I1899" t="s">
        <v>1561</v>
      </c>
      <c r="J1899" t="s">
        <v>1561</v>
      </c>
      <c r="L1899" s="26" t="e">
        <f t="shared" si="92"/>
        <v>#VALUE!</v>
      </c>
    </row>
    <row r="1900" spans="1:12" x14ac:dyDescent="0.35">
      <c r="A1900" s="9">
        <f t="shared" si="93"/>
        <v>1899</v>
      </c>
      <c r="B1900" t="s">
        <v>101</v>
      </c>
      <c r="C1900" s="109" t="str">
        <f>IF(ISBLANK(K1900),IFERROR(VLOOKUP(I1900,FS_input_data!$C$307:$N$397,Export!J1900,FALSE),""),K1900)</f>
        <v>Va_PozycjaUszczegolawiajaca_1</v>
      </c>
      <c r="D1900" s="6" t="b">
        <v>1</v>
      </c>
      <c r="E1900" t="s">
        <v>1561</v>
      </c>
      <c r="F1900" s="6"/>
      <c r="G1900" t="b">
        <f t="shared" si="97"/>
        <v>0</v>
      </c>
      <c r="H1900" s="6" t="s">
        <v>1540</v>
      </c>
      <c r="I1900" t="s">
        <v>1637</v>
      </c>
      <c r="J1900">
        <v>2</v>
      </c>
      <c r="L1900" s="9" t="e">
        <f t="shared" si="92"/>
        <v>#VALUE!</v>
      </c>
    </row>
    <row r="1901" spans="1:12" x14ac:dyDescent="0.35">
      <c r="A1901">
        <f t="shared" si="93"/>
        <v>1900</v>
      </c>
      <c r="B1901" t="s">
        <v>102</v>
      </c>
      <c r="C1901" s="109" t="str">
        <f>IF(ISBLANK(K1901),IFERROR(VLOOKUP(I1901,FS_input_data!$C$307:$N$397,Export!J1901,FALSE),""),K1901)</f>
        <v/>
      </c>
      <c r="D1901" s="6"/>
      <c r="E1901" t="s">
        <v>1561</v>
      </c>
      <c r="F1901" s="6"/>
      <c r="G1901" t="b">
        <f t="shared" si="97"/>
        <v>0</v>
      </c>
      <c r="H1901" s="6" t="s">
        <v>1540</v>
      </c>
      <c r="I1901" t="s">
        <v>1561</v>
      </c>
      <c r="J1901" t="s">
        <v>1561</v>
      </c>
      <c r="L1901">
        <f t="shared" si="92"/>
        <v>1</v>
      </c>
    </row>
    <row r="1902" spans="1:12" x14ac:dyDescent="0.35">
      <c r="A1902">
        <f t="shared" si="93"/>
        <v>1901</v>
      </c>
      <c r="B1902" t="s">
        <v>527</v>
      </c>
      <c r="C1902" s="109" t="str">
        <f>IF(ISBLANK(K1902),IFERROR(VLOOKUP(I1902,FS_input_data!$C$307:$N$397,Export!J1902,FALSE),""),K1902)</f>
        <v/>
      </c>
      <c r="D1902" s="6"/>
      <c r="F1902" s="6"/>
      <c r="G1902" t="b">
        <f t="shared" si="97"/>
        <v>0</v>
      </c>
      <c r="H1902" s="6" t="s">
        <v>1540</v>
      </c>
      <c r="I1902" t="s">
        <v>1561</v>
      </c>
      <c r="J1902" t="s">
        <v>1561</v>
      </c>
      <c r="L1902" s="9" t="e">
        <f t="shared" si="92"/>
        <v>#VALUE!</v>
      </c>
    </row>
    <row r="1903" spans="1:12" x14ac:dyDescent="0.35">
      <c r="A1903" s="9">
        <f t="shared" si="93"/>
        <v>1902</v>
      </c>
      <c r="B1903" t="s">
        <v>109</v>
      </c>
      <c r="C1903" s="109">
        <f>IF(ISBLANK(K1903),IFERROR(VLOOKUP(I1903,FS_input_data!$C$307:$N$397,Export!J1903,FALSE),""),K1903)</f>
        <v>63</v>
      </c>
      <c r="D1903" s="6" t="b">
        <v>1</v>
      </c>
      <c r="E1903" t="s">
        <v>1561</v>
      </c>
      <c r="F1903" s="6"/>
      <c r="G1903" t="b">
        <f t="shared" si="97"/>
        <v>0</v>
      </c>
      <c r="H1903" s="6" t="s">
        <v>1540</v>
      </c>
      <c r="I1903" t="s">
        <v>1637</v>
      </c>
      <c r="J1903">
        <v>3</v>
      </c>
      <c r="L1903" s="9" t="e">
        <f t="shared" si="92"/>
        <v>#VALUE!</v>
      </c>
    </row>
    <row r="1904" spans="1:12" x14ac:dyDescent="0.35">
      <c r="A1904">
        <f t="shared" si="93"/>
        <v>1903</v>
      </c>
      <c r="B1904" t="s">
        <v>110</v>
      </c>
      <c r="C1904" s="109" t="str">
        <f>IF(ISBLANK(K1904),IFERROR(VLOOKUP(I1904,FS_input_data!$C$307:$N$397,Export!J1904,FALSE),""),K1904)</f>
        <v/>
      </c>
      <c r="D1904" s="6"/>
      <c r="F1904" s="6"/>
      <c r="G1904" t="b">
        <f t="shared" si="97"/>
        <v>0</v>
      </c>
      <c r="H1904" s="6" t="s">
        <v>1540</v>
      </c>
      <c r="I1904" t="s">
        <v>1561</v>
      </c>
      <c r="J1904" t="s">
        <v>1561</v>
      </c>
      <c r="L1904">
        <f t="shared" si="92"/>
        <v>1</v>
      </c>
    </row>
    <row r="1905" spans="1:12" x14ac:dyDescent="0.35">
      <c r="A1905" s="9">
        <f t="shared" si="93"/>
        <v>1904</v>
      </c>
      <c r="B1905" t="s">
        <v>111</v>
      </c>
      <c r="C1905" s="109">
        <f>IF(ISBLANK(K1905),IFERROR(VLOOKUP(I1905,FS_input_data!$C$307:$N$397,Export!J1905,FALSE),""),K1905)</f>
        <v>163</v>
      </c>
      <c r="D1905" s="6" t="b">
        <v>1</v>
      </c>
      <c r="E1905" t="s">
        <v>1561</v>
      </c>
      <c r="F1905" s="6"/>
      <c r="G1905" t="b">
        <f t="shared" si="97"/>
        <v>0</v>
      </c>
      <c r="H1905" s="6" t="s">
        <v>1540</v>
      </c>
      <c r="I1905" t="s">
        <v>1637</v>
      </c>
      <c r="J1905">
        <v>4</v>
      </c>
      <c r="L1905" s="9" t="e">
        <f t="shared" si="92"/>
        <v>#VALUE!</v>
      </c>
    </row>
    <row r="1906" spans="1:12" x14ac:dyDescent="0.35">
      <c r="A1906">
        <f t="shared" si="93"/>
        <v>1905</v>
      </c>
      <c r="B1906" t="s">
        <v>112</v>
      </c>
      <c r="C1906" s="109" t="str">
        <f>IF(ISBLANK(K1906),IFERROR(VLOOKUP(I1906,FS_input_data!$C$307:$N$397,Export!J1906,FALSE),""),K1906)</f>
        <v/>
      </c>
      <c r="D1906" s="6"/>
      <c r="E1906" t="s">
        <v>1561</v>
      </c>
      <c r="F1906" s="6"/>
      <c r="G1906" t="b">
        <f t="shared" si="97"/>
        <v>0</v>
      </c>
      <c r="H1906" s="6" t="s">
        <v>1540</v>
      </c>
      <c r="I1906" t="s">
        <v>1561</v>
      </c>
      <c r="J1906" t="s">
        <v>1561</v>
      </c>
      <c r="L1906">
        <f t="shared" si="92"/>
        <v>1</v>
      </c>
    </row>
    <row r="1907" spans="1:12" x14ac:dyDescent="0.35">
      <c r="A1907">
        <f t="shared" si="93"/>
        <v>1906</v>
      </c>
      <c r="B1907" t="s">
        <v>528</v>
      </c>
      <c r="C1907" s="109" t="str">
        <f>IF(ISBLANK(K1907),IFERROR(VLOOKUP(I1907,FS_input_data!$C$307:$N$397,Export!J1907,FALSE),""),K1907)</f>
        <v/>
      </c>
      <c r="D1907" s="6"/>
      <c r="E1907" t="s">
        <v>1561</v>
      </c>
      <c r="F1907" s="6"/>
      <c r="G1907" t="b">
        <f t="shared" si="97"/>
        <v>0</v>
      </c>
      <c r="H1907" s="6" t="s">
        <v>1540</v>
      </c>
      <c r="I1907" t="s">
        <v>1561</v>
      </c>
      <c r="J1907" t="s">
        <v>1561</v>
      </c>
      <c r="L1907">
        <f t="shared" si="92"/>
        <v>1</v>
      </c>
    </row>
    <row r="1908" spans="1:12" x14ac:dyDescent="0.35">
      <c r="A1908">
        <f t="shared" si="93"/>
        <v>1907</v>
      </c>
      <c r="B1908" t="s">
        <v>529</v>
      </c>
      <c r="C1908" s="109" t="str">
        <f>IF(ISBLANK(K1908),IFERROR(VLOOKUP(I1908,FS_input_data!$C$307:$N$397,Export!J1908,FALSE),""),K1908)</f>
        <v/>
      </c>
      <c r="D1908" s="6"/>
      <c r="E1908" t="s">
        <v>1561</v>
      </c>
      <c r="F1908" s="6"/>
      <c r="G1908" t="b">
        <f t="shared" si="97"/>
        <v>0</v>
      </c>
      <c r="H1908" s="6" t="s">
        <v>1540</v>
      </c>
      <c r="I1908" t="s">
        <v>1561</v>
      </c>
      <c r="J1908" t="s">
        <v>1561</v>
      </c>
      <c r="L1908">
        <f t="shared" si="92"/>
        <v>1</v>
      </c>
    </row>
    <row r="1909" spans="1:12" x14ac:dyDescent="0.35">
      <c r="A1909">
        <f t="shared" si="93"/>
        <v>1908</v>
      </c>
      <c r="B1909" t="s">
        <v>526</v>
      </c>
      <c r="C1909" s="109" t="str">
        <f>IF(ISBLANK(K1909),IFERROR(VLOOKUP(I1909,FS_input_data!$C$307:$N$397,Export!J1909,FALSE),""),K1909)</f>
        <v/>
      </c>
      <c r="D1909" s="6"/>
      <c r="E1909" t="s">
        <v>1636</v>
      </c>
      <c r="F1909" s="6"/>
      <c r="G1909" t="b">
        <f t="shared" ref="G1909:G1918" si="98">IF(capital_xml,AND($C$1913=0,$C$1915=0),TRUE)</f>
        <v>0</v>
      </c>
      <c r="H1909" s="6" t="s">
        <v>1540</v>
      </c>
      <c r="I1909" t="s">
        <v>1561</v>
      </c>
      <c r="J1909" t="s">
        <v>1561</v>
      </c>
      <c r="L1909" s="26" t="e">
        <f t="shared" si="92"/>
        <v>#VALUE!</v>
      </c>
    </row>
    <row r="1910" spans="1:12" x14ac:dyDescent="0.35">
      <c r="A1910" s="9">
        <f t="shared" si="93"/>
        <v>1909</v>
      </c>
      <c r="B1910" t="s">
        <v>101</v>
      </c>
      <c r="C1910" s="109" t="str">
        <f>IF(ISBLANK(K1910),IFERROR(VLOOKUP(I1910,FS_input_data!$C$307:$N$397,Export!J1910,FALSE),""),K1910)</f>
        <v>Va_PozycjaUszczegolawiajaca_2</v>
      </c>
      <c r="D1910" s="6" t="b">
        <v>1</v>
      </c>
      <c r="E1910" t="s">
        <v>1561</v>
      </c>
      <c r="F1910" s="6"/>
      <c r="G1910" t="b">
        <f t="shared" si="98"/>
        <v>0</v>
      </c>
      <c r="H1910" s="6" t="s">
        <v>1540</v>
      </c>
      <c r="I1910" t="s">
        <v>1636</v>
      </c>
      <c r="J1910">
        <v>2</v>
      </c>
      <c r="L1910" s="9" t="e">
        <f t="shared" si="92"/>
        <v>#VALUE!</v>
      </c>
    </row>
    <row r="1911" spans="1:12" x14ac:dyDescent="0.35">
      <c r="A1911">
        <f t="shared" si="93"/>
        <v>1910</v>
      </c>
      <c r="B1911" t="s">
        <v>102</v>
      </c>
      <c r="C1911" s="109" t="str">
        <f>IF(ISBLANK(K1911),IFERROR(VLOOKUP(I1911,FS_input_data!$C$307:$N$397,Export!J1911,FALSE),""),K1911)</f>
        <v/>
      </c>
      <c r="D1911" s="6"/>
      <c r="E1911" t="s">
        <v>1561</v>
      </c>
      <c r="F1911" s="6"/>
      <c r="G1911" t="b">
        <f t="shared" si="98"/>
        <v>0</v>
      </c>
      <c r="H1911" s="6" t="s">
        <v>1540</v>
      </c>
      <c r="I1911" t="s">
        <v>1561</v>
      </c>
      <c r="J1911" t="s">
        <v>1561</v>
      </c>
      <c r="L1911">
        <f t="shared" si="92"/>
        <v>1</v>
      </c>
    </row>
    <row r="1912" spans="1:12" x14ac:dyDescent="0.35">
      <c r="A1912">
        <f t="shared" si="93"/>
        <v>1911</v>
      </c>
      <c r="B1912" t="s">
        <v>527</v>
      </c>
      <c r="C1912" s="109" t="str">
        <f>IF(ISBLANK(K1912),IFERROR(VLOOKUP(I1912,FS_input_data!$C$307:$N$397,Export!J1912,FALSE),""),K1912)</f>
        <v/>
      </c>
      <c r="D1912" s="6"/>
      <c r="F1912" s="6"/>
      <c r="G1912" t="b">
        <f t="shared" si="98"/>
        <v>0</v>
      </c>
      <c r="H1912" s="6" t="s">
        <v>1540</v>
      </c>
      <c r="I1912" t="s">
        <v>1561</v>
      </c>
      <c r="J1912" t="s">
        <v>1561</v>
      </c>
      <c r="L1912" s="9" t="e">
        <f t="shared" si="92"/>
        <v>#VALUE!</v>
      </c>
    </row>
    <row r="1913" spans="1:12" x14ac:dyDescent="0.35">
      <c r="A1913" s="9">
        <f t="shared" si="93"/>
        <v>1912</v>
      </c>
      <c r="B1913" t="s">
        <v>109</v>
      </c>
      <c r="C1913" s="109">
        <f>IF(ISBLANK(K1913),IFERROR(VLOOKUP(I1913,FS_input_data!$C$307:$N$397,Export!J1913,FALSE),""),K1913)</f>
        <v>64</v>
      </c>
      <c r="D1913" s="6" t="b">
        <v>1</v>
      </c>
      <c r="E1913" t="s">
        <v>1561</v>
      </c>
      <c r="F1913" s="6"/>
      <c r="G1913" t="b">
        <f t="shared" si="98"/>
        <v>0</v>
      </c>
      <c r="H1913" s="6" t="s">
        <v>1540</v>
      </c>
      <c r="I1913" t="s">
        <v>1636</v>
      </c>
      <c r="J1913">
        <v>3</v>
      </c>
      <c r="L1913" s="9" t="e">
        <f t="shared" si="92"/>
        <v>#VALUE!</v>
      </c>
    </row>
    <row r="1914" spans="1:12" x14ac:dyDescent="0.35">
      <c r="A1914">
        <f t="shared" si="93"/>
        <v>1913</v>
      </c>
      <c r="B1914" t="s">
        <v>110</v>
      </c>
      <c r="C1914" s="109" t="str">
        <f>IF(ISBLANK(K1914),IFERROR(VLOOKUP(I1914,FS_input_data!$C$307:$N$397,Export!J1914,FALSE),""),K1914)</f>
        <v/>
      </c>
      <c r="D1914" s="6"/>
      <c r="F1914" s="6"/>
      <c r="G1914" t="b">
        <f t="shared" si="98"/>
        <v>0</v>
      </c>
      <c r="H1914" s="6" t="s">
        <v>1540</v>
      </c>
      <c r="I1914" t="s">
        <v>1561</v>
      </c>
      <c r="J1914" t="s">
        <v>1561</v>
      </c>
      <c r="L1914">
        <f t="shared" si="92"/>
        <v>1</v>
      </c>
    </row>
    <row r="1915" spans="1:12" x14ac:dyDescent="0.35">
      <c r="A1915" s="9">
        <f t="shared" si="93"/>
        <v>1914</v>
      </c>
      <c r="B1915" t="s">
        <v>111</v>
      </c>
      <c r="C1915" s="109">
        <f>IF(ISBLANK(K1915),IFERROR(VLOOKUP(I1915,FS_input_data!$C$307:$N$397,Export!J1915,FALSE),""),K1915)</f>
        <v>164</v>
      </c>
      <c r="D1915" s="6" t="b">
        <v>1</v>
      </c>
      <c r="E1915" t="s">
        <v>1561</v>
      </c>
      <c r="F1915" s="6"/>
      <c r="G1915" t="b">
        <f t="shared" si="98"/>
        <v>0</v>
      </c>
      <c r="H1915" s="6" t="s">
        <v>1540</v>
      </c>
      <c r="I1915" t="s">
        <v>1636</v>
      </c>
      <c r="J1915">
        <v>4</v>
      </c>
      <c r="L1915" s="9" t="e">
        <f t="shared" si="92"/>
        <v>#VALUE!</v>
      </c>
    </row>
    <row r="1916" spans="1:12" x14ac:dyDescent="0.35">
      <c r="A1916">
        <f t="shared" si="93"/>
        <v>1915</v>
      </c>
      <c r="B1916" t="s">
        <v>112</v>
      </c>
      <c r="C1916" s="109" t="str">
        <f>IF(ISBLANK(K1916),IFERROR(VLOOKUP(I1916,FS_input_data!$C$307:$N$397,Export!J1916,FALSE),""),K1916)</f>
        <v/>
      </c>
      <c r="D1916" s="6"/>
      <c r="E1916" t="s">
        <v>1561</v>
      </c>
      <c r="F1916" s="6"/>
      <c r="G1916" t="b">
        <f t="shared" si="98"/>
        <v>0</v>
      </c>
      <c r="H1916" s="6" t="s">
        <v>1540</v>
      </c>
      <c r="I1916" t="s">
        <v>1561</v>
      </c>
      <c r="J1916" t="s">
        <v>1561</v>
      </c>
      <c r="L1916">
        <f t="shared" si="92"/>
        <v>1</v>
      </c>
    </row>
    <row r="1917" spans="1:12" x14ac:dyDescent="0.35">
      <c r="A1917">
        <f t="shared" si="93"/>
        <v>1916</v>
      </c>
      <c r="B1917" t="s">
        <v>528</v>
      </c>
      <c r="C1917" s="109" t="str">
        <f>IF(ISBLANK(K1917),IFERROR(VLOOKUP(I1917,FS_input_data!$C$307:$N$397,Export!J1917,FALSE),""),K1917)</f>
        <v/>
      </c>
      <c r="D1917" s="6"/>
      <c r="E1917" t="s">
        <v>1561</v>
      </c>
      <c r="F1917" s="6"/>
      <c r="G1917" t="b">
        <f t="shared" si="98"/>
        <v>0</v>
      </c>
      <c r="H1917" s="6" t="s">
        <v>1540</v>
      </c>
      <c r="I1917" t="s">
        <v>1561</v>
      </c>
      <c r="J1917" t="s">
        <v>1561</v>
      </c>
      <c r="L1917">
        <f t="shared" si="92"/>
        <v>1</v>
      </c>
    </row>
    <row r="1918" spans="1:12" x14ac:dyDescent="0.35">
      <c r="A1918">
        <f t="shared" si="93"/>
        <v>1917</v>
      </c>
      <c r="B1918" t="s">
        <v>529</v>
      </c>
      <c r="C1918" s="109" t="str">
        <f>IF(ISBLANK(K1918),IFERROR(VLOOKUP(I1918,FS_input_data!$C$307:$N$397,Export!J1918,FALSE),""),K1918)</f>
        <v/>
      </c>
      <c r="D1918" s="6"/>
      <c r="E1918" t="s">
        <v>1561</v>
      </c>
      <c r="F1918" s="6"/>
      <c r="G1918" t="b">
        <f t="shared" si="98"/>
        <v>0</v>
      </c>
      <c r="H1918" s="6" t="s">
        <v>1540</v>
      </c>
      <c r="I1918" t="s">
        <v>1561</v>
      </c>
      <c r="J1918" t="s">
        <v>1561</v>
      </c>
      <c r="L1918">
        <f t="shared" si="92"/>
        <v>1</v>
      </c>
    </row>
    <row r="1919" spans="1:12" x14ac:dyDescent="0.35">
      <c r="A1919">
        <f t="shared" si="93"/>
        <v>1918</v>
      </c>
      <c r="B1919" t="s">
        <v>526</v>
      </c>
      <c r="C1919" s="109" t="str">
        <f>IF(ISBLANK(K1919),IFERROR(VLOOKUP(I1919,FS_input_data!$C$307:$N$397,Export!J1919,FALSE),""),K1919)</f>
        <v/>
      </c>
      <c r="D1919" s="6"/>
      <c r="E1919" t="s">
        <v>1638</v>
      </c>
      <c r="F1919" s="6"/>
      <c r="G1919" t="b">
        <f t="shared" ref="G1919:G1929" si="99">IF(capital_xml,AND($C$1923=0,$C$1925=0),TRUE)</f>
        <v>0</v>
      </c>
      <c r="H1919" s="6" t="s">
        <v>1540</v>
      </c>
      <c r="I1919" t="s">
        <v>1561</v>
      </c>
      <c r="J1919" t="s">
        <v>1561</v>
      </c>
      <c r="L1919" s="26" t="e">
        <f t="shared" si="92"/>
        <v>#VALUE!</v>
      </c>
    </row>
    <row r="1920" spans="1:12" x14ac:dyDescent="0.35">
      <c r="A1920" s="9">
        <f t="shared" si="93"/>
        <v>1919</v>
      </c>
      <c r="B1920" t="s">
        <v>101</v>
      </c>
      <c r="C1920" s="109" t="str">
        <f>IF(ISBLANK(K1920),IFERROR(VLOOKUP(I1920,FS_input_data!$C$307:$N$397,Export!J1920,FALSE),""),K1920)</f>
        <v>Va_PozycjaUszczegolawiajaca_3</v>
      </c>
      <c r="D1920" s="6" t="b">
        <v>1</v>
      </c>
      <c r="E1920" t="s">
        <v>1561</v>
      </c>
      <c r="F1920" s="6"/>
      <c r="G1920" t="b">
        <f t="shared" si="99"/>
        <v>0</v>
      </c>
      <c r="H1920" s="6" t="s">
        <v>1540</v>
      </c>
      <c r="I1920" t="s">
        <v>1638</v>
      </c>
      <c r="J1920">
        <v>2</v>
      </c>
      <c r="L1920" s="9" t="e">
        <f t="shared" si="92"/>
        <v>#VALUE!</v>
      </c>
    </row>
    <row r="1921" spans="1:12" x14ac:dyDescent="0.35">
      <c r="A1921">
        <f t="shared" si="93"/>
        <v>1920</v>
      </c>
      <c r="B1921" t="s">
        <v>102</v>
      </c>
      <c r="C1921" s="109" t="str">
        <f>IF(ISBLANK(K1921),IFERROR(VLOOKUP(I1921,FS_input_data!$C$307:$N$397,Export!J1921,FALSE),""),K1921)</f>
        <v/>
      </c>
      <c r="D1921" s="6"/>
      <c r="E1921" t="s">
        <v>1561</v>
      </c>
      <c r="F1921" s="6"/>
      <c r="G1921" t="b">
        <f t="shared" si="99"/>
        <v>0</v>
      </c>
      <c r="H1921" s="6" t="s">
        <v>1540</v>
      </c>
      <c r="I1921" t="s">
        <v>1561</v>
      </c>
      <c r="J1921" t="s">
        <v>1561</v>
      </c>
      <c r="L1921">
        <f t="shared" si="92"/>
        <v>1</v>
      </c>
    </row>
    <row r="1922" spans="1:12" x14ac:dyDescent="0.35">
      <c r="A1922">
        <f t="shared" si="93"/>
        <v>1921</v>
      </c>
      <c r="B1922" t="s">
        <v>527</v>
      </c>
      <c r="C1922" s="109" t="str">
        <f>IF(ISBLANK(K1922),IFERROR(VLOOKUP(I1922,FS_input_data!$C$307:$N$397,Export!J1922,FALSE),""),K1922)</f>
        <v/>
      </c>
      <c r="D1922" s="6"/>
      <c r="F1922" s="6"/>
      <c r="G1922" t="b">
        <f t="shared" si="99"/>
        <v>0</v>
      </c>
      <c r="H1922" s="6" t="s">
        <v>1540</v>
      </c>
      <c r="I1922" t="s">
        <v>1561</v>
      </c>
      <c r="J1922" t="s">
        <v>1561</v>
      </c>
      <c r="L1922" s="9" t="e">
        <f t="shared" ref="L1922:L1985" si="100">FIND("/",B1922)</f>
        <v>#VALUE!</v>
      </c>
    </row>
    <row r="1923" spans="1:12" x14ac:dyDescent="0.35">
      <c r="A1923" s="9">
        <f t="shared" ref="A1923:A1986" si="101">A1922+1</f>
        <v>1922</v>
      </c>
      <c r="B1923" t="s">
        <v>109</v>
      </c>
      <c r="C1923" s="109">
        <f>IF(ISBLANK(K1923),IFERROR(VLOOKUP(I1923,FS_input_data!$C$307:$N$397,Export!J1923,FALSE),""),K1923)</f>
        <v>65</v>
      </c>
      <c r="D1923" s="6" t="b">
        <v>1</v>
      </c>
      <c r="E1923" t="s">
        <v>1561</v>
      </c>
      <c r="F1923" s="6"/>
      <c r="G1923" t="b">
        <f t="shared" si="99"/>
        <v>0</v>
      </c>
      <c r="H1923" s="6" t="s">
        <v>1540</v>
      </c>
      <c r="I1923" t="s">
        <v>1638</v>
      </c>
      <c r="J1923">
        <v>3</v>
      </c>
      <c r="L1923" s="9" t="e">
        <f t="shared" si="100"/>
        <v>#VALUE!</v>
      </c>
    </row>
    <row r="1924" spans="1:12" x14ac:dyDescent="0.35">
      <c r="A1924">
        <f t="shared" si="101"/>
        <v>1923</v>
      </c>
      <c r="B1924" t="s">
        <v>110</v>
      </c>
      <c r="C1924" s="109" t="str">
        <f>IF(ISBLANK(K1924),IFERROR(VLOOKUP(I1924,FS_input_data!$C$307:$N$397,Export!J1924,FALSE),""),K1924)</f>
        <v/>
      </c>
      <c r="D1924" s="6"/>
      <c r="F1924" s="6"/>
      <c r="G1924" t="b">
        <f t="shared" si="99"/>
        <v>0</v>
      </c>
      <c r="H1924" s="6" t="s">
        <v>1540</v>
      </c>
      <c r="I1924" t="s">
        <v>1561</v>
      </c>
      <c r="J1924" t="s">
        <v>1561</v>
      </c>
      <c r="L1924">
        <f t="shared" si="100"/>
        <v>1</v>
      </c>
    </row>
    <row r="1925" spans="1:12" x14ac:dyDescent="0.35">
      <c r="A1925" s="9">
        <f t="shared" si="101"/>
        <v>1924</v>
      </c>
      <c r="B1925" t="s">
        <v>111</v>
      </c>
      <c r="C1925" s="109">
        <f>IF(ISBLANK(K1925),IFERROR(VLOOKUP(I1925,FS_input_data!$C$307:$N$397,Export!J1925,FALSE),""),K1925)</f>
        <v>165</v>
      </c>
      <c r="D1925" s="6" t="b">
        <v>1</v>
      </c>
      <c r="E1925" t="s">
        <v>1561</v>
      </c>
      <c r="F1925" s="6"/>
      <c r="G1925" t="b">
        <f t="shared" si="99"/>
        <v>0</v>
      </c>
      <c r="H1925" s="6" t="s">
        <v>1540</v>
      </c>
      <c r="I1925" t="s">
        <v>1638</v>
      </c>
      <c r="J1925">
        <v>4</v>
      </c>
      <c r="L1925" s="9" t="e">
        <f t="shared" si="100"/>
        <v>#VALUE!</v>
      </c>
    </row>
    <row r="1926" spans="1:12" x14ac:dyDescent="0.35">
      <c r="A1926">
        <f t="shared" si="101"/>
        <v>1925</v>
      </c>
      <c r="B1926" t="s">
        <v>112</v>
      </c>
      <c r="C1926" s="109" t="str">
        <f>IF(ISBLANK(K1926),IFERROR(VLOOKUP(I1926,FS_input_data!$C$307:$N$397,Export!J1926,FALSE),""),K1926)</f>
        <v/>
      </c>
      <c r="D1926" s="6"/>
      <c r="E1926" t="s">
        <v>1561</v>
      </c>
      <c r="F1926" s="6"/>
      <c r="G1926" t="b">
        <f t="shared" si="99"/>
        <v>0</v>
      </c>
      <c r="H1926" s="6" t="s">
        <v>1540</v>
      </c>
      <c r="I1926" t="s">
        <v>1561</v>
      </c>
      <c r="J1926" t="s">
        <v>1561</v>
      </c>
      <c r="L1926">
        <f t="shared" si="100"/>
        <v>1</v>
      </c>
    </row>
    <row r="1927" spans="1:12" x14ac:dyDescent="0.35">
      <c r="A1927">
        <f t="shared" si="101"/>
        <v>1926</v>
      </c>
      <c r="B1927" t="s">
        <v>528</v>
      </c>
      <c r="C1927" s="109" t="str">
        <f>IF(ISBLANK(K1927),IFERROR(VLOOKUP(I1927,FS_input_data!$C$307:$N$397,Export!J1927,FALSE),""),K1927)</f>
        <v/>
      </c>
      <c r="D1927" s="6"/>
      <c r="E1927" t="s">
        <v>1561</v>
      </c>
      <c r="F1927" s="6"/>
      <c r="G1927" t="b">
        <f t="shared" si="99"/>
        <v>0</v>
      </c>
      <c r="H1927" s="6" t="s">
        <v>1540</v>
      </c>
      <c r="I1927" t="s">
        <v>1561</v>
      </c>
      <c r="J1927" t="s">
        <v>1561</v>
      </c>
      <c r="L1927">
        <f t="shared" si="100"/>
        <v>1</v>
      </c>
    </row>
    <row r="1928" spans="1:12" x14ac:dyDescent="0.35">
      <c r="A1928">
        <f t="shared" si="101"/>
        <v>1927</v>
      </c>
      <c r="B1928" t="s">
        <v>529</v>
      </c>
      <c r="C1928" s="109" t="str">
        <f>IF(ISBLANK(K1928),IFERROR(VLOOKUP(I1928,FS_input_data!$C$307:$N$397,Export!J1928,FALSE),""),K1928)</f>
        <v/>
      </c>
      <c r="D1928" s="6"/>
      <c r="E1928" t="s">
        <v>1561</v>
      </c>
      <c r="F1928" s="6"/>
      <c r="G1928" t="b">
        <f t="shared" si="99"/>
        <v>0</v>
      </c>
      <c r="H1928" s="6" t="s">
        <v>1540</v>
      </c>
      <c r="I1928" t="s">
        <v>1561</v>
      </c>
      <c r="J1928" t="s">
        <v>1561</v>
      </c>
      <c r="L1928">
        <f t="shared" si="100"/>
        <v>1</v>
      </c>
    </row>
    <row r="1929" spans="1:12" x14ac:dyDescent="0.35">
      <c r="A1929">
        <f t="shared" si="101"/>
        <v>1928</v>
      </c>
      <c r="B1929" t="s">
        <v>594</v>
      </c>
      <c r="C1929" s="109" t="str">
        <f>IF(ISBLANK(K1929),IFERROR(VLOOKUP(I1929,FS_input_data!$C$307:$N$397,Export!J1929,FALSE),""),K1929)</f>
        <v/>
      </c>
      <c r="D1929" s="6"/>
      <c r="E1929" t="s">
        <v>1561</v>
      </c>
      <c r="F1929" s="6"/>
      <c r="G1929" t="b">
        <f t="shared" si="99"/>
        <v>0</v>
      </c>
      <c r="H1929" s="6" t="s">
        <v>1540</v>
      </c>
      <c r="I1929" t="s">
        <v>1561</v>
      </c>
      <c r="J1929" t="s">
        <v>1561</v>
      </c>
      <c r="L1929">
        <f t="shared" si="100"/>
        <v>1</v>
      </c>
    </row>
    <row r="1930" spans="1:12" x14ac:dyDescent="0.35">
      <c r="A1930">
        <f t="shared" si="101"/>
        <v>1929</v>
      </c>
      <c r="B1930" t="s">
        <v>595</v>
      </c>
      <c r="C1930" s="109" t="str">
        <f>IF(ISBLANK(K1930),IFERROR(VLOOKUP(I1930,FS_input_data!$C$307:$N$397,Export!J1930,FALSE),""),K1930)</f>
        <v/>
      </c>
      <c r="D1930" s="6"/>
      <c r="E1930" t="s">
        <v>1560</v>
      </c>
      <c r="F1930" s="6"/>
      <c r="G1930" t="b">
        <f>IF(capital_xml,AND($C$1931=0,$C$1933=0),TRUE)</f>
        <v>0</v>
      </c>
      <c r="H1930" s="6" t="s">
        <v>1540</v>
      </c>
      <c r="I1930" t="s">
        <v>1561</v>
      </c>
      <c r="J1930" t="s">
        <v>1561</v>
      </c>
      <c r="L1930" s="26" t="e">
        <f t="shared" si="100"/>
        <v>#VALUE!</v>
      </c>
    </row>
    <row r="1931" spans="1:12" x14ac:dyDescent="0.35">
      <c r="A1931" s="9">
        <f t="shared" si="101"/>
        <v>1930</v>
      </c>
      <c r="B1931" t="s">
        <v>109</v>
      </c>
      <c r="C1931" s="109">
        <f>IF(ISBLANK(K1931),IFERROR(VLOOKUP(I1931,FS_input_data!$C$307:$N$397,Export!J1931,FALSE),""),K1931)</f>
        <v>204</v>
      </c>
      <c r="D1931" s="6" t="b">
        <v>1</v>
      </c>
      <c r="E1931" t="s">
        <v>1561</v>
      </c>
      <c r="F1931" s="6"/>
      <c r="G1931" t="b">
        <f>IF(capital_xml,AND($C$1931=0,$C$1933=0),TRUE)</f>
        <v>0</v>
      </c>
      <c r="H1931" s="6" t="s">
        <v>1540</v>
      </c>
      <c r="I1931" t="s">
        <v>1639</v>
      </c>
      <c r="J1931">
        <v>3</v>
      </c>
      <c r="L1931" s="9" t="e">
        <f t="shared" si="100"/>
        <v>#VALUE!</v>
      </c>
    </row>
    <row r="1932" spans="1:12" x14ac:dyDescent="0.35">
      <c r="A1932">
        <f t="shared" si="101"/>
        <v>1931</v>
      </c>
      <c r="B1932" t="s">
        <v>110</v>
      </c>
      <c r="C1932" s="109" t="str">
        <f>IF(ISBLANK(K1932),IFERROR(VLOOKUP(I1932,FS_input_data!$C$307:$N$397,Export!J1932,FALSE),""),K1932)</f>
        <v/>
      </c>
      <c r="D1932" s="6"/>
      <c r="F1932" s="6"/>
      <c r="G1932" t="b">
        <f>IF(capital_xml,AND($C$1931=0,$C$1933=0),TRUE)</f>
        <v>0</v>
      </c>
      <c r="H1932" s="6" t="s">
        <v>1540</v>
      </c>
      <c r="I1932" t="s">
        <v>1561</v>
      </c>
      <c r="J1932" t="s">
        <v>1561</v>
      </c>
      <c r="L1932">
        <f t="shared" si="100"/>
        <v>1</v>
      </c>
    </row>
    <row r="1933" spans="1:12" x14ac:dyDescent="0.35">
      <c r="A1933" s="9">
        <f t="shared" si="101"/>
        <v>1932</v>
      </c>
      <c r="B1933" t="s">
        <v>111</v>
      </c>
      <c r="C1933" s="109">
        <f>IF(ISBLANK(K1933),IFERROR(VLOOKUP(I1933,FS_input_data!$C$307:$N$397,Export!J1933,FALSE),""),K1933)</f>
        <v>504</v>
      </c>
      <c r="D1933" s="6" t="b">
        <v>1</v>
      </c>
      <c r="E1933" t="s">
        <v>1561</v>
      </c>
      <c r="F1933" s="6"/>
      <c r="G1933" t="b">
        <f>IF(capital_xml,AND($C$1931=0,$C$1933=0),TRUE)</f>
        <v>0</v>
      </c>
      <c r="H1933" s="6" t="s">
        <v>1540</v>
      </c>
      <c r="I1933" t="s">
        <v>1639</v>
      </c>
      <c r="J1933">
        <v>4</v>
      </c>
      <c r="L1933" s="9" t="e">
        <f t="shared" si="100"/>
        <v>#VALUE!</v>
      </c>
    </row>
    <row r="1934" spans="1:12" x14ac:dyDescent="0.35">
      <c r="A1934">
        <f t="shared" si="101"/>
        <v>1933</v>
      </c>
      <c r="B1934" t="s">
        <v>112</v>
      </c>
      <c r="C1934" s="109" t="str">
        <f>IF(ISBLANK(K1934),IFERROR(VLOOKUP(I1934,FS_input_data!$C$307:$N$397,Export!J1934,FALSE),""),K1934)</f>
        <v/>
      </c>
      <c r="D1934" s="6"/>
      <c r="E1934" t="s">
        <v>1561</v>
      </c>
      <c r="F1934" s="6"/>
      <c r="G1934" t="b">
        <f>IF(capital_xml,AND($C$1931=0,$C$1933=0),TRUE)</f>
        <v>0</v>
      </c>
      <c r="H1934" s="6" t="s">
        <v>1540</v>
      </c>
      <c r="I1934" t="s">
        <v>1561</v>
      </c>
      <c r="J1934" t="s">
        <v>1561</v>
      </c>
      <c r="L1934">
        <f t="shared" si="100"/>
        <v>1</v>
      </c>
    </row>
    <row r="1935" spans="1:12" x14ac:dyDescent="0.35">
      <c r="A1935">
        <f t="shared" si="101"/>
        <v>1934</v>
      </c>
      <c r="B1935" t="s">
        <v>574</v>
      </c>
      <c r="C1935" s="109" t="str">
        <f>IF(ISBLANK(K1935),IFERROR(VLOOKUP(I1935,FS_input_data!$C$307:$N$397,Export!J1935,FALSE),""),K1935)</f>
        <v/>
      </c>
      <c r="D1935" s="6"/>
      <c r="E1935" t="s">
        <v>1641</v>
      </c>
      <c r="F1935" s="6"/>
      <c r="G1935" t="b">
        <f t="shared" ref="G1935:G1944" si="102">IF(capital_xml,AND($C$1939=0,$C$1941=0),TRUE)</f>
        <v>0</v>
      </c>
      <c r="H1935" s="6" t="s">
        <v>1540</v>
      </c>
      <c r="I1935" t="s">
        <v>1561</v>
      </c>
      <c r="J1935" t="s">
        <v>1561</v>
      </c>
      <c r="L1935" s="9" t="e">
        <f t="shared" si="100"/>
        <v>#VALUE!</v>
      </c>
    </row>
    <row r="1936" spans="1:12" x14ac:dyDescent="0.35">
      <c r="A1936" s="9">
        <f t="shared" si="101"/>
        <v>1935</v>
      </c>
      <c r="B1936" t="s">
        <v>101</v>
      </c>
      <c r="C1936" s="109" t="str">
        <f>IF(ISBLANK(K1936),IFERROR(VLOOKUP(I1936,FS_input_data!$C$307:$N$397,Export!J1936,FALSE),""),K1936)</f>
        <v>Vb_PozycjaUszczegolawiajaca_1</v>
      </c>
      <c r="D1936" s="6" t="b">
        <v>1</v>
      </c>
      <c r="E1936" t="s">
        <v>1561</v>
      </c>
      <c r="F1936" s="6"/>
      <c r="G1936" t="b">
        <f t="shared" si="102"/>
        <v>0</v>
      </c>
      <c r="H1936" s="6" t="s">
        <v>1540</v>
      </c>
      <c r="I1936" t="s">
        <v>1641</v>
      </c>
      <c r="J1936">
        <v>2</v>
      </c>
      <c r="L1936" s="9" t="e">
        <f t="shared" si="100"/>
        <v>#VALUE!</v>
      </c>
    </row>
    <row r="1937" spans="1:12" x14ac:dyDescent="0.35">
      <c r="A1937">
        <f t="shared" si="101"/>
        <v>1936</v>
      </c>
      <c r="B1937" t="s">
        <v>102</v>
      </c>
      <c r="C1937" s="109" t="str">
        <f>IF(ISBLANK(K1937),IFERROR(VLOOKUP(I1937,FS_input_data!$C$307:$N$397,Export!J1937,FALSE),""),K1937)</f>
        <v/>
      </c>
      <c r="D1937" s="6"/>
      <c r="E1937" t="s">
        <v>1561</v>
      </c>
      <c r="F1937" s="6"/>
      <c r="G1937" t="b">
        <f t="shared" si="102"/>
        <v>0</v>
      </c>
      <c r="H1937" s="6" t="s">
        <v>1540</v>
      </c>
      <c r="I1937" t="s">
        <v>1561</v>
      </c>
      <c r="J1937" t="s">
        <v>1561</v>
      </c>
      <c r="L1937">
        <f t="shared" si="100"/>
        <v>1</v>
      </c>
    </row>
    <row r="1938" spans="1:12" x14ac:dyDescent="0.35">
      <c r="A1938">
        <f t="shared" si="101"/>
        <v>1937</v>
      </c>
      <c r="B1938" t="s">
        <v>527</v>
      </c>
      <c r="C1938" s="109" t="str">
        <f>IF(ISBLANK(K1938),IFERROR(VLOOKUP(I1938,FS_input_data!$C$307:$N$397,Export!J1938,FALSE),""),K1938)</f>
        <v/>
      </c>
      <c r="D1938" s="6"/>
      <c r="F1938" s="6"/>
      <c r="G1938" t="b">
        <f t="shared" si="102"/>
        <v>0</v>
      </c>
      <c r="H1938" s="6" t="s">
        <v>1540</v>
      </c>
      <c r="I1938" t="s">
        <v>1561</v>
      </c>
      <c r="J1938" t="s">
        <v>1561</v>
      </c>
      <c r="L1938" s="9" t="e">
        <f t="shared" si="100"/>
        <v>#VALUE!</v>
      </c>
    </row>
    <row r="1939" spans="1:12" x14ac:dyDescent="0.35">
      <c r="A1939" s="9">
        <f t="shared" si="101"/>
        <v>1938</v>
      </c>
      <c r="B1939" t="s">
        <v>109</v>
      </c>
      <c r="C1939" s="109">
        <f>IF(ISBLANK(K1939),IFERROR(VLOOKUP(I1939,FS_input_data!$C$307:$N$397,Export!J1939,FALSE),""),K1939)</f>
        <v>67</v>
      </c>
      <c r="D1939" s="6" t="b">
        <v>1</v>
      </c>
      <c r="E1939" t="s">
        <v>1561</v>
      </c>
      <c r="F1939" s="6"/>
      <c r="G1939" t="b">
        <f t="shared" si="102"/>
        <v>0</v>
      </c>
      <c r="H1939" s="6" t="s">
        <v>1540</v>
      </c>
      <c r="I1939" t="s">
        <v>1641</v>
      </c>
      <c r="J1939">
        <v>3</v>
      </c>
      <c r="L1939" s="9" t="e">
        <f t="shared" si="100"/>
        <v>#VALUE!</v>
      </c>
    </row>
    <row r="1940" spans="1:12" x14ac:dyDescent="0.35">
      <c r="A1940">
        <f t="shared" si="101"/>
        <v>1939</v>
      </c>
      <c r="B1940" t="s">
        <v>110</v>
      </c>
      <c r="C1940" s="109" t="str">
        <f>IF(ISBLANK(K1940),IFERROR(VLOOKUP(I1940,FS_input_data!$C$307:$N$397,Export!J1940,FALSE),""),K1940)</f>
        <v/>
      </c>
      <c r="D1940" s="6"/>
      <c r="F1940" s="6"/>
      <c r="G1940" t="b">
        <f t="shared" si="102"/>
        <v>0</v>
      </c>
      <c r="H1940" s="6" t="s">
        <v>1540</v>
      </c>
      <c r="I1940" t="s">
        <v>1561</v>
      </c>
      <c r="J1940" t="s">
        <v>1561</v>
      </c>
      <c r="L1940">
        <f t="shared" si="100"/>
        <v>1</v>
      </c>
    </row>
    <row r="1941" spans="1:12" x14ac:dyDescent="0.35">
      <c r="A1941" s="9">
        <f t="shared" si="101"/>
        <v>1940</v>
      </c>
      <c r="B1941" t="s">
        <v>111</v>
      </c>
      <c r="C1941" s="109">
        <f>IF(ISBLANK(K1941),IFERROR(VLOOKUP(I1941,FS_input_data!$C$307:$N$397,Export!J1941,FALSE),""),K1941)</f>
        <v>167</v>
      </c>
      <c r="D1941" s="6" t="b">
        <v>1</v>
      </c>
      <c r="E1941" t="s">
        <v>1561</v>
      </c>
      <c r="F1941" s="6"/>
      <c r="G1941" t="b">
        <f t="shared" si="102"/>
        <v>0</v>
      </c>
      <c r="H1941" s="6" t="s">
        <v>1540</v>
      </c>
      <c r="I1941" t="s">
        <v>1641</v>
      </c>
      <c r="J1941">
        <v>4</v>
      </c>
      <c r="L1941" s="9" t="e">
        <f t="shared" si="100"/>
        <v>#VALUE!</v>
      </c>
    </row>
    <row r="1942" spans="1:12" x14ac:dyDescent="0.35">
      <c r="A1942">
        <f t="shared" si="101"/>
        <v>1941</v>
      </c>
      <c r="B1942" t="s">
        <v>112</v>
      </c>
      <c r="C1942" s="109" t="str">
        <f>IF(ISBLANK(K1942),IFERROR(VLOOKUP(I1942,FS_input_data!$C$307:$N$397,Export!J1942,FALSE),""),K1942)</f>
        <v/>
      </c>
      <c r="D1942" s="6"/>
      <c r="E1942" t="s">
        <v>1561</v>
      </c>
      <c r="F1942" s="6"/>
      <c r="G1942" t="b">
        <f t="shared" si="102"/>
        <v>0</v>
      </c>
      <c r="H1942" s="6" t="s">
        <v>1540</v>
      </c>
      <c r="I1942" t="s">
        <v>1561</v>
      </c>
      <c r="J1942" t="s">
        <v>1561</v>
      </c>
      <c r="L1942">
        <f t="shared" si="100"/>
        <v>1</v>
      </c>
    </row>
    <row r="1943" spans="1:12" x14ac:dyDescent="0.35">
      <c r="A1943">
        <f t="shared" si="101"/>
        <v>1942</v>
      </c>
      <c r="B1943" t="s">
        <v>528</v>
      </c>
      <c r="C1943" s="109" t="str">
        <f>IF(ISBLANK(K1943),IFERROR(VLOOKUP(I1943,FS_input_data!$C$307:$N$397,Export!J1943,FALSE),""),K1943)</f>
        <v/>
      </c>
      <c r="D1943" s="6"/>
      <c r="E1943" t="s">
        <v>1561</v>
      </c>
      <c r="F1943" s="6"/>
      <c r="G1943" t="b">
        <f t="shared" si="102"/>
        <v>0</v>
      </c>
      <c r="H1943" s="6" t="s">
        <v>1540</v>
      </c>
      <c r="I1943" t="s">
        <v>1561</v>
      </c>
      <c r="J1943" t="s">
        <v>1561</v>
      </c>
      <c r="L1943">
        <f t="shared" si="100"/>
        <v>1</v>
      </c>
    </row>
    <row r="1944" spans="1:12" x14ac:dyDescent="0.35">
      <c r="A1944">
        <f t="shared" si="101"/>
        <v>1943</v>
      </c>
      <c r="B1944" t="s">
        <v>575</v>
      </c>
      <c r="C1944" s="109" t="str">
        <f>IF(ISBLANK(K1944),IFERROR(VLOOKUP(I1944,FS_input_data!$C$307:$N$397,Export!J1944,FALSE),""),K1944)</f>
        <v/>
      </c>
      <c r="D1944" s="6"/>
      <c r="E1944" t="s">
        <v>1561</v>
      </c>
      <c r="F1944" s="6"/>
      <c r="G1944" t="b">
        <f t="shared" si="102"/>
        <v>0</v>
      </c>
      <c r="H1944" s="6" t="s">
        <v>1540</v>
      </c>
      <c r="I1944" t="s">
        <v>1561</v>
      </c>
      <c r="J1944" t="s">
        <v>1561</v>
      </c>
      <c r="L1944">
        <f t="shared" si="100"/>
        <v>1</v>
      </c>
    </row>
    <row r="1945" spans="1:12" x14ac:dyDescent="0.35">
      <c r="A1945">
        <f t="shared" si="101"/>
        <v>1944</v>
      </c>
      <c r="B1945" t="s">
        <v>574</v>
      </c>
      <c r="C1945" s="109" t="str">
        <f>IF(ISBLANK(K1945),IFERROR(VLOOKUP(I1945,FS_input_data!$C$307:$N$397,Export!J1945,FALSE),""),K1945)</f>
        <v/>
      </c>
      <c r="D1945" s="6"/>
      <c r="E1945" t="s">
        <v>1642</v>
      </c>
      <c r="F1945" s="6"/>
      <c r="G1945" t="b">
        <f t="shared" ref="G1945:G1954" si="103">IF(capital_xml,AND($C$1949=0,$C$1951=0),TRUE)</f>
        <v>0</v>
      </c>
      <c r="H1945" s="6" t="s">
        <v>1540</v>
      </c>
      <c r="I1945" t="s">
        <v>1561</v>
      </c>
      <c r="J1945" t="s">
        <v>1561</v>
      </c>
      <c r="L1945" s="9" t="e">
        <f t="shared" si="100"/>
        <v>#VALUE!</v>
      </c>
    </row>
    <row r="1946" spans="1:12" x14ac:dyDescent="0.35">
      <c r="A1946" s="9">
        <f t="shared" si="101"/>
        <v>1945</v>
      </c>
      <c r="B1946" t="s">
        <v>101</v>
      </c>
      <c r="C1946" s="109" t="str">
        <f>IF(ISBLANK(K1946),IFERROR(VLOOKUP(I1946,FS_input_data!$C$307:$N$397,Export!J1946,FALSE),""),K1946)</f>
        <v>Vb_PozycjaUszczegolawiajaca_2</v>
      </c>
      <c r="D1946" s="6" t="b">
        <v>1</v>
      </c>
      <c r="E1946" t="s">
        <v>1561</v>
      </c>
      <c r="F1946" s="6"/>
      <c r="G1946" t="b">
        <f t="shared" si="103"/>
        <v>0</v>
      </c>
      <c r="H1946" s="6" t="s">
        <v>1540</v>
      </c>
      <c r="I1946" t="s">
        <v>1642</v>
      </c>
      <c r="J1946">
        <v>2</v>
      </c>
      <c r="L1946" s="9" t="e">
        <f t="shared" si="100"/>
        <v>#VALUE!</v>
      </c>
    </row>
    <row r="1947" spans="1:12" x14ac:dyDescent="0.35">
      <c r="A1947">
        <f t="shared" si="101"/>
        <v>1946</v>
      </c>
      <c r="B1947" t="s">
        <v>102</v>
      </c>
      <c r="C1947" s="109" t="str">
        <f>IF(ISBLANK(K1947),IFERROR(VLOOKUP(I1947,FS_input_data!$C$307:$N$397,Export!J1947,FALSE),""),K1947)</f>
        <v/>
      </c>
      <c r="D1947" s="6"/>
      <c r="E1947" t="s">
        <v>1561</v>
      </c>
      <c r="F1947" s="6"/>
      <c r="G1947" t="b">
        <f t="shared" si="103"/>
        <v>0</v>
      </c>
      <c r="H1947" s="6" t="s">
        <v>1540</v>
      </c>
      <c r="I1947" t="s">
        <v>1561</v>
      </c>
      <c r="J1947" t="s">
        <v>1561</v>
      </c>
      <c r="L1947">
        <f t="shared" si="100"/>
        <v>1</v>
      </c>
    </row>
    <row r="1948" spans="1:12" x14ac:dyDescent="0.35">
      <c r="A1948">
        <f t="shared" si="101"/>
        <v>1947</v>
      </c>
      <c r="B1948" t="s">
        <v>527</v>
      </c>
      <c r="C1948" s="109" t="str">
        <f>IF(ISBLANK(K1948),IFERROR(VLOOKUP(I1948,FS_input_data!$C$307:$N$397,Export!J1948,FALSE),""),K1948)</f>
        <v/>
      </c>
      <c r="D1948" s="6"/>
      <c r="F1948" s="6"/>
      <c r="G1948" t="b">
        <f t="shared" si="103"/>
        <v>0</v>
      </c>
      <c r="H1948" s="6" t="s">
        <v>1540</v>
      </c>
      <c r="I1948" t="s">
        <v>1561</v>
      </c>
      <c r="J1948" t="s">
        <v>1561</v>
      </c>
      <c r="L1948" s="9" t="e">
        <f t="shared" si="100"/>
        <v>#VALUE!</v>
      </c>
    </row>
    <row r="1949" spans="1:12" x14ac:dyDescent="0.35">
      <c r="A1949" s="9">
        <f t="shared" si="101"/>
        <v>1948</v>
      </c>
      <c r="B1949" t="s">
        <v>109</v>
      </c>
      <c r="C1949" s="109">
        <f>IF(ISBLANK(K1949),IFERROR(VLOOKUP(I1949,FS_input_data!$C$307:$N$397,Export!J1949,FALSE),""),K1949)</f>
        <v>68</v>
      </c>
      <c r="D1949" s="6" t="b">
        <v>1</v>
      </c>
      <c r="E1949" t="s">
        <v>1561</v>
      </c>
      <c r="F1949" s="6"/>
      <c r="G1949" t="b">
        <f t="shared" si="103"/>
        <v>0</v>
      </c>
      <c r="H1949" s="6" t="s">
        <v>1540</v>
      </c>
      <c r="I1949" t="s">
        <v>1642</v>
      </c>
      <c r="J1949">
        <v>3</v>
      </c>
      <c r="L1949" s="9" t="e">
        <f t="shared" si="100"/>
        <v>#VALUE!</v>
      </c>
    </row>
    <row r="1950" spans="1:12" x14ac:dyDescent="0.35">
      <c r="A1950">
        <f t="shared" si="101"/>
        <v>1949</v>
      </c>
      <c r="B1950" t="s">
        <v>110</v>
      </c>
      <c r="C1950" s="109" t="str">
        <f>IF(ISBLANK(K1950),IFERROR(VLOOKUP(I1950,FS_input_data!$C$307:$N$397,Export!J1950,FALSE),""),K1950)</f>
        <v/>
      </c>
      <c r="D1950" s="6"/>
      <c r="F1950" s="6"/>
      <c r="G1950" t="b">
        <f t="shared" si="103"/>
        <v>0</v>
      </c>
      <c r="H1950" s="6" t="s">
        <v>1540</v>
      </c>
      <c r="I1950" t="s">
        <v>1561</v>
      </c>
      <c r="J1950" t="s">
        <v>1561</v>
      </c>
      <c r="L1950">
        <f t="shared" si="100"/>
        <v>1</v>
      </c>
    </row>
    <row r="1951" spans="1:12" x14ac:dyDescent="0.35">
      <c r="A1951" s="9">
        <f t="shared" si="101"/>
        <v>1950</v>
      </c>
      <c r="B1951" t="s">
        <v>111</v>
      </c>
      <c r="C1951" s="109">
        <f>IF(ISBLANK(K1951),IFERROR(VLOOKUP(I1951,FS_input_data!$C$307:$N$397,Export!J1951,FALSE),""),K1951)</f>
        <v>168</v>
      </c>
      <c r="D1951" s="6" t="b">
        <v>1</v>
      </c>
      <c r="E1951" t="s">
        <v>1561</v>
      </c>
      <c r="F1951" s="6"/>
      <c r="G1951" t="b">
        <f t="shared" si="103"/>
        <v>0</v>
      </c>
      <c r="H1951" s="6" t="s">
        <v>1540</v>
      </c>
      <c r="I1951" t="s">
        <v>1642</v>
      </c>
      <c r="J1951">
        <v>4</v>
      </c>
      <c r="L1951" s="9" t="e">
        <f t="shared" si="100"/>
        <v>#VALUE!</v>
      </c>
    </row>
    <row r="1952" spans="1:12" x14ac:dyDescent="0.35">
      <c r="A1952">
        <f t="shared" si="101"/>
        <v>1951</v>
      </c>
      <c r="B1952" t="s">
        <v>112</v>
      </c>
      <c r="C1952" s="109" t="str">
        <f>IF(ISBLANK(K1952),IFERROR(VLOOKUP(I1952,FS_input_data!$C$307:$N$397,Export!J1952,FALSE),""),K1952)</f>
        <v/>
      </c>
      <c r="D1952" s="6"/>
      <c r="E1952" t="s">
        <v>1561</v>
      </c>
      <c r="F1952" s="6"/>
      <c r="G1952" t="b">
        <f t="shared" si="103"/>
        <v>0</v>
      </c>
      <c r="H1952" s="6" t="s">
        <v>1540</v>
      </c>
      <c r="I1952" t="s">
        <v>1561</v>
      </c>
      <c r="J1952" t="s">
        <v>1561</v>
      </c>
      <c r="L1952">
        <f t="shared" si="100"/>
        <v>1</v>
      </c>
    </row>
    <row r="1953" spans="1:12" x14ac:dyDescent="0.35">
      <c r="A1953">
        <f t="shared" si="101"/>
        <v>1952</v>
      </c>
      <c r="B1953" t="s">
        <v>528</v>
      </c>
      <c r="C1953" s="109" t="str">
        <f>IF(ISBLANK(K1953),IFERROR(VLOOKUP(I1953,FS_input_data!$C$307:$N$397,Export!J1953,FALSE),""),K1953)</f>
        <v/>
      </c>
      <c r="D1953" s="6"/>
      <c r="E1953" t="s">
        <v>1561</v>
      </c>
      <c r="F1953" s="6"/>
      <c r="G1953" t="b">
        <f t="shared" si="103"/>
        <v>0</v>
      </c>
      <c r="H1953" s="6" t="s">
        <v>1540</v>
      </c>
      <c r="I1953" t="s">
        <v>1561</v>
      </c>
      <c r="J1953" t="s">
        <v>1561</v>
      </c>
      <c r="L1953">
        <f t="shared" si="100"/>
        <v>1</v>
      </c>
    </row>
    <row r="1954" spans="1:12" x14ac:dyDescent="0.35">
      <c r="A1954">
        <f t="shared" si="101"/>
        <v>1953</v>
      </c>
      <c r="B1954" t="s">
        <v>575</v>
      </c>
      <c r="C1954" s="109" t="str">
        <f>IF(ISBLANK(K1954),IFERROR(VLOOKUP(I1954,FS_input_data!$C$307:$N$397,Export!J1954,FALSE),""),K1954)</f>
        <v/>
      </c>
      <c r="D1954" s="6"/>
      <c r="E1954" t="s">
        <v>1561</v>
      </c>
      <c r="F1954" s="6"/>
      <c r="G1954" t="b">
        <f t="shared" si="103"/>
        <v>0</v>
      </c>
      <c r="H1954" s="6" t="s">
        <v>1540</v>
      </c>
      <c r="I1954" t="s">
        <v>1561</v>
      </c>
      <c r="J1954" t="s">
        <v>1561</v>
      </c>
      <c r="L1954">
        <f t="shared" si="100"/>
        <v>1</v>
      </c>
    </row>
    <row r="1955" spans="1:12" x14ac:dyDescent="0.35">
      <c r="A1955">
        <f t="shared" si="101"/>
        <v>1954</v>
      </c>
      <c r="B1955" t="s">
        <v>574</v>
      </c>
      <c r="C1955" s="109" t="str">
        <f>IF(ISBLANK(K1955),IFERROR(VLOOKUP(I1955,FS_input_data!$C$307:$N$397,Export!J1955,FALSE),""),K1955)</f>
        <v/>
      </c>
      <c r="D1955" s="6"/>
      <c r="E1955" t="s">
        <v>1643</v>
      </c>
      <c r="F1955" s="6"/>
      <c r="G1955" t="b">
        <f t="shared" ref="G1955:G1966" si="104">IF(capital_xml,AND($C$1959=0,$C$1961=0),TRUE)</f>
        <v>0</v>
      </c>
      <c r="H1955" s="6" t="s">
        <v>1540</v>
      </c>
      <c r="I1955" t="s">
        <v>1561</v>
      </c>
      <c r="J1955" t="s">
        <v>1561</v>
      </c>
      <c r="L1955" s="9" t="e">
        <f t="shared" si="100"/>
        <v>#VALUE!</v>
      </c>
    </row>
    <row r="1956" spans="1:12" x14ac:dyDescent="0.35">
      <c r="A1956" s="9">
        <f t="shared" si="101"/>
        <v>1955</v>
      </c>
      <c r="B1956" t="s">
        <v>101</v>
      </c>
      <c r="C1956" s="109" t="str">
        <f>IF(ISBLANK(K1956),IFERROR(VLOOKUP(I1956,FS_input_data!$C$307:$N$397,Export!J1956,FALSE),""),K1956)</f>
        <v>Vb_PozycjaUszczegolawiajaca_3</v>
      </c>
      <c r="D1956" s="6" t="b">
        <v>1</v>
      </c>
      <c r="E1956" t="s">
        <v>1561</v>
      </c>
      <c r="F1956" s="6"/>
      <c r="G1956" t="b">
        <f t="shared" si="104"/>
        <v>0</v>
      </c>
      <c r="H1956" s="6" t="s">
        <v>1540</v>
      </c>
      <c r="I1956" t="s">
        <v>1643</v>
      </c>
      <c r="J1956">
        <v>2</v>
      </c>
      <c r="L1956" s="9" t="e">
        <f t="shared" si="100"/>
        <v>#VALUE!</v>
      </c>
    </row>
    <row r="1957" spans="1:12" x14ac:dyDescent="0.35">
      <c r="A1957">
        <f t="shared" si="101"/>
        <v>1956</v>
      </c>
      <c r="B1957" t="s">
        <v>102</v>
      </c>
      <c r="C1957" s="109" t="str">
        <f>IF(ISBLANK(K1957),IFERROR(VLOOKUP(I1957,FS_input_data!$C$307:$N$397,Export!J1957,FALSE),""),K1957)</f>
        <v/>
      </c>
      <c r="D1957" s="6"/>
      <c r="E1957" t="s">
        <v>1561</v>
      </c>
      <c r="F1957" s="6"/>
      <c r="G1957" t="b">
        <f t="shared" si="104"/>
        <v>0</v>
      </c>
      <c r="H1957" s="6" t="s">
        <v>1540</v>
      </c>
      <c r="I1957" t="s">
        <v>1561</v>
      </c>
      <c r="J1957" t="s">
        <v>1561</v>
      </c>
      <c r="L1957">
        <f t="shared" si="100"/>
        <v>1</v>
      </c>
    </row>
    <row r="1958" spans="1:12" x14ac:dyDescent="0.35">
      <c r="A1958">
        <f t="shared" si="101"/>
        <v>1957</v>
      </c>
      <c r="B1958" t="s">
        <v>527</v>
      </c>
      <c r="C1958" s="109" t="str">
        <f>IF(ISBLANK(K1958),IFERROR(VLOOKUP(I1958,FS_input_data!$C$307:$N$397,Export!J1958,FALSE),""),K1958)</f>
        <v/>
      </c>
      <c r="D1958" s="6"/>
      <c r="F1958" s="6"/>
      <c r="G1958" t="b">
        <f t="shared" si="104"/>
        <v>0</v>
      </c>
      <c r="H1958" s="6" t="s">
        <v>1540</v>
      </c>
      <c r="I1958" t="s">
        <v>1561</v>
      </c>
      <c r="J1958" t="s">
        <v>1561</v>
      </c>
      <c r="L1958" s="9" t="e">
        <f t="shared" si="100"/>
        <v>#VALUE!</v>
      </c>
    </row>
    <row r="1959" spans="1:12" x14ac:dyDescent="0.35">
      <c r="A1959" s="9">
        <f t="shared" si="101"/>
        <v>1958</v>
      </c>
      <c r="B1959" t="s">
        <v>109</v>
      </c>
      <c r="C1959" s="109">
        <f>IF(ISBLANK(K1959),IFERROR(VLOOKUP(I1959,FS_input_data!$C$307:$N$397,Export!J1959,FALSE),""),K1959)</f>
        <v>69</v>
      </c>
      <c r="D1959" s="6" t="b">
        <v>1</v>
      </c>
      <c r="E1959" t="s">
        <v>1561</v>
      </c>
      <c r="F1959" s="6"/>
      <c r="G1959" t="b">
        <f t="shared" si="104"/>
        <v>0</v>
      </c>
      <c r="H1959" s="6" t="s">
        <v>1540</v>
      </c>
      <c r="I1959" t="s">
        <v>1643</v>
      </c>
      <c r="J1959">
        <v>3</v>
      </c>
      <c r="L1959" s="9" t="e">
        <f t="shared" si="100"/>
        <v>#VALUE!</v>
      </c>
    </row>
    <row r="1960" spans="1:12" x14ac:dyDescent="0.35">
      <c r="A1960">
        <f t="shared" si="101"/>
        <v>1959</v>
      </c>
      <c r="B1960" t="s">
        <v>110</v>
      </c>
      <c r="C1960" s="109" t="str">
        <f>IF(ISBLANK(K1960),IFERROR(VLOOKUP(I1960,FS_input_data!$C$307:$N$397,Export!J1960,FALSE),""),K1960)</f>
        <v/>
      </c>
      <c r="D1960" s="6"/>
      <c r="F1960" s="6"/>
      <c r="G1960" t="b">
        <f t="shared" si="104"/>
        <v>0</v>
      </c>
      <c r="H1960" s="6" t="s">
        <v>1540</v>
      </c>
      <c r="I1960" t="s">
        <v>1561</v>
      </c>
      <c r="J1960" t="s">
        <v>1561</v>
      </c>
      <c r="L1960">
        <f t="shared" si="100"/>
        <v>1</v>
      </c>
    </row>
    <row r="1961" spans="1:12" x14ac:dyDescent="0.35">
      <c r="A1961" s="9">
        <f t="shared" si="101"/>
        <v>1960</v>
      </c>
      <c r="B1961" t="s">
        <v>111</v>
      </c>
      <c r="C1961" s="109">
        <f>IF(ISBLANK(K1961),IFERROR(VLOOKUP(I1961,FS_input_data!$C$307:$N$397,Export!J1961,FALSE),""),K1961)</f>
        <v>169</v>
      </c>
      <c r="D1961" s="6" t="b">
        <v>1</v>
      </c>
      <c r="E1961" t="s">
        <v>1561</v>
      </c>
      <c r="F1961" s="6"/>
      <c r="G1961" t="b">
        <f t="shared" si="104"/>
        <v>0</v>
      </c>
      <c r="H1961" s="6" t="s">
        <v>1540</v>
      </c>
      <c r="I1961" t="s">
        <v>1643</v>
      </c>
      <c r="J1961">
        <v>4</v>
      </c>
      <c r="L1961" s="9" t="e">
        <f t="shared" si="100"/>
        <v>#VALUE!</v>
      </c>
    </row>
    <row r="1962" spans="1:12" x14ac:dyDescent="0.35">
      <c r="A1962">
        <f t="shared" si="101"/>
        <v>1961</v>
      </c>
      <c r="B1962" t="s">
        <v>112</v>
      </c>
      <c r="C1962" s="109" t="str">
        <f>IF(ISBLANK(K1962),IFERROR(VLOOKUP(I1962,FS_input_data!$C$307:$N$397,Export!J1962,FALSE),""),K1962)</f>
        <v/>
      </c>
      <c r="D1962" s="6"/>
      <c r="E1962" t="s">
        <v>1561</v>
      </c>
      <c r="F1962" s="6"/>
      <c r="G1962" t="b">
        <f t="shared" si="104"/>
        <v>0</v>
      </c>
      <c r="H1962" s="6" t="s">
        <v>1540</v>
      </c>
      <c r="I1962" t="s">
        <v>1561</v>
      </c>
      <c r="J1962" t="s">
        <v>1561</v>
      </c>
      <c r="L1962">
        <f t="shared" si="100"/>
        <v>1</v>
      </c>
    </row>
    <row r="1963" spans="1:12" x14ac:dyDescent="0.35">
      <c r="A1963">
        <f t="shared" si="101"/>
        <v>1962</v>
      </c>
      <c r="B1963" t="s">
        <v>528</v>
      </c>
      <c r="C1963" s="109" t="str">
        <f>IF(ISBLANK(K1963),IFERROR(VLOOKUP(I1963,FS_input_data!$C$307:$N$397,Export!J1963,FALSE),""),K1963)</f>
        <v/>
      </c>
      <c r="D1963" s="6"/>
      <c r="E1963" t="s">
        <v>1561</v>
      </c>
      <c r="F1963" s="6"/>
      <c r="G1963" t="b">
        <f t="shared" si="104"/>
        <v>0</v>
      </c>
      <c r="H1963" s="6" t="s">
        <v>1540</v>
      </c>
      <c r="I1963" t="s">
        <v>1561</v>
      </c>
      <c r="J1963" t="s">
        <v>1561</v>
      </c>
      <c r="L1963">
        <f t="shared" si="100"/>
        <v>1</v>
      </c>
    </row>
    <row r="1964" spans="1:12" x14ac:dyDescent="0.35">
      <c r="A1964">
        <f t="shared" si="101"/>
        <v>1963</v>
      </c>
      <c r="B1964" t="s">
        <v>575</v>
      </c>
      <c r="C1964" s="109" t="str">
        <f>IF(ISBLANK(K1964),IFERROR(VLOOKUP(I1964,FS_input_data!$C$307:$N$397,Export!J1964,FALSE),""),K1964)</f>
        <v/>
      </c>
      <c r="D1964" s="6"/>
      <c r="E1964" t="s">
        <v>1561</v>
      </c>
      <c r="F1964" s="6"/>
      <c r="G1964" t="b">
        <f t="shared" si="104"/>
        <v>0</v>
      </c>
      <c r="H1964" s="6" t="s">
        <v>1540</v>
      </c>
      <c r="I1964" t="s">
        <v>1561</v>
      </c>
      <c r="J1964" t="s">
        <v>1561</v>
      </c>
      <c r="L1964">
        <f t="shared" si="100"/>
        <v>1</v>
      </c>
    </row>
    <row r="1965" spans="1:12" x14ac:dyDescent="0.35">
      <c r="A1965">
        <f t="shared" si="101"/>
        <v>1964</v>
      </c>
      <c r="B1965" t="s">
        <v>596</v>
      </c>
      <c r="C1965" s="109" t="str">
        <f>IF(ISBLANK(K1965),IFERROR(VLOOKUP(I1965,FS_input_data!$C$307:$N$397,Export!J1965,FALSE),""),K1965)</f>
        <v/>
      </c>
      <c r="D1965" s="6"/>
      <c r="E1965" t="s">
        <v>1561</v>
      </c>
      <c r="F1965" s="6"/>
      <c r="G1965" t="b">
        <f t="shared" si="104"/>
        <v>0</v>
      </c>
      <c r="H1965" s="6" t="s">
        <v>1540</v>
      </c>
      <c r="I1965" t="s">
        <v>1561</v>
      </c>
      <c r="J1965" t="s">
        <v>1561</v>
      </c>
      <c r="L1965">
        <f t="shared" si="100"/>
        <v>1</v>
      </c>
    </row>
    <row r="1966" spans="1:12" x14ac:dyDescent="0.35">
      <c r="A1966">
        <f t="shared" si="101"/>
        <v>1965</v>
      </c>
      <c r="B1966" t="s">
        <v>597</v>
      </c>
      <c r="C1966" s="109" t="str">
        <f>IF(ISBLANK(K1966),IFERROR(VLOOKUP(I1966,FS_input_data!$C$307:$N$397,Export!J1966,FALSE),""),K1966)</f>
        <v/>
      </c>
      <c r="D1966" s="6"/>
      <c r="E1966" t="s">
        <v>1561</v>
      </c>
      <c r="F1966" s="6"/>
      <c r="G1966" t="b">
        <f t="shared" si="104"/>
        <v>0</v>
      </c>
      <c r="H1966" s="6" t="s">
        <v>1540</v>
      </c>
      <c r="I1966" t="s">
        <v>1561</v>
      </c>
      <c r="J1966" t="s">
        <v>1561</v>
      </c>
      <c r="L1966">
        <f t="shared" si="100"/>
        <v>1</v>
      </c>
    </row>
    <row r="1967" spans="1:12" x14ac:dyDescent="0.35">
      <c r="A1967">
        <f t="shared" si="101"/>
        <v>1966</v>
      </c>
      <c r="B1967" t="s">
        <v>598</v>
      </c>
      <c r="C1967" s="109" t="str">
        <f>IF(ISBLANK(K1967),IFERROR(VLOOKUP(I1967,FS_input_data!$C$307:$N$397,Export!J1967,FALSE),""),K1967)</f>
        <v/>
      </c>
      <c r="D1967" s="6"/>
      <c r="E1967" t="s">
        <v>1645</v>
      </c>
      <c r="F1967" s="6"/>
      <c r="G1967" t="b">
        <f t="shared" ref="G1967:G1972" si="105">IF(capital_xml,AND($C$1968=0,$C$1970=0),TRUE)</f>
        <v>0</v>
      </c>
      <c r="H1967" s="6" t="s">
        <v>1540</v>
      </c>
      <c r="I1967" t="s">
        <v>1561</v>
      </c>
      <c r="J1967" t="s">
        <v>1561</v>
      </c>
      <c r="L1967" s="26" t="e">
        <f t="shared" si="100"/>
        <v>#VALUE!</v>
      </c>
    </row>
    <row r="1968" spans="1:12" x14ac:dyDescent="0.35">
      <c r="A1968" s="9">
        <f t="shared" si="101"/>
        <v>1967</v>
      </c>
      <c r="B1968" t="s">
        <v>109</v>
      </c>
      <c r="C1968" s="109">
        <f>IF(ISBLANK(K1968),IFERROR(VLOOKUP(I1968,FS_input_data!$C$307:$N$397,Export!J1968,FALSE),""),K1968)</f>
        <v>1167</v>
      </c>
      <c r="D1968" s="6" t="b">
        <v>1</v>
      </c>
      <c r="E1968" t="s">
        <v>1561</v>
      </c>
      <c r="F1968" s="6"/>
      <c r="G1968" t="b">
        <f t="shared" si="105"/>
        <v>0</v>
      </c>
      <c r="H1968" s="6" t="s">
        <v>1540</v>
      </c>
      <c r="I1968" t="s">
        <v>1644</v>
      </c>
      <c r="J1968">
        <v>3</v>
      </c>
      <c r="L1968" s="9" t="e">
        <f t="shared" si="100"/>
        <v>#VALUE!</v>
      </c>
    </row>
    <row r="1969" spans="1:12" x14ac:dyDescent="0.35">
      <c r="A1969">
        <f t="shared" si="101"/>
        <v>1968</v>
      </c>
      <c r="B1969" t="s">
        <v>110</v>
      </c>
      <c r="C1969" s="109" t="str">
        <f>IF(ISBLANK(K1969),IFERROR(VLOOKUP(I1969,FS_input_data!$C$307:$N$397,Export!J1969,FALSE),""),K1969)</f>
        <v/>
      </c>
      <c r="D1969" s="6"/>
      <c r="F1969" s="6"/>
      <c r="G1969" t="b">
        <f t="shared" si="105"/>
        <v>0</v>
      </c>
      <c r="H1969" s="6" t="s">
        <v>1540</v>
      </c>
      <c r="I1969" t="s">
        <v>1561</v>
      </c>
      <c r="J1969" t="s">
        <v>1561</v>
      </c>
      <c r="L1969">
        <f t="shared" si="100"/>
        <v>1</v>
      </c>
    </row>
    <row r="1970" spans="1:12" x14ac:dyDescent="0.35">
      <c r="A1970" s="9">
        <f t="shared" si="101"/>
        <v>1969</v>
      </c>
      <c r="B1970" t="s">
        <v>111</v>
      </c>
      <c r="C1970" s="109">
        <f>IF(ISBLANK(K1970),IFERROR(VLOOKUP(I1970,FS_input_data!$C$307:$N$397,Export!J1970,FALSE),""),K1970)</f>
        <v>624</v>
      </c>
      <c r="D1970" s="6" t="b">
        <v>1</v>
      </c>
      <c r="E1970" t="s">
        <v>1561</v>
      </c>
      <c r="F1970" s="6"/>
      <c r="G1970" t="b">
        <f t="shared" si="105"/>
        <v>0</v>
      </c>
      <c r="H1970" s="6" t="s">
        <v>1540</v>
      </c>
      <c r="I1970" t="s">
        <v>1644</v>
      </c>
      <c r="J1970">
        <v>4</v>
      </c>
      <c r="L1970" s="9" t="e">
        <f t="shared" si="100"/>
        <v>#VALUE!</v>
      </c>
    </row>
    <row r="1971" spans="1:12" x14ac:dyDescent="0.35">
      <c r="A1971">
        <f t="shared" si="101"/>
        <v>1970</v>
      </c>
      <c r="B1971" t="s">
        <v>112</v>
      </c>
      <c r="C1971" s="109" t="str">
        <f>IF(ISBLANK(K1971),IFERROR(VLOOKUP(I1971,FS_input_data!$C$307:$N$397,Export!J1971,FALSE),""),K1971)</f>
        <v/>
      </c>
      <c r="D1971" s="6"/>
      <c r="E1971" t="s">
        <v>1561</v>
      </c>
      <c r="F1971" s="6"/>
      <c r="G1971" t="b">
        <f t="shared" si="105"/>
        <v>0</v>
      </c>
      <c r="H1971" s="6" t="s">
        <v>1540</v>
      </c>
      <c r="I1971" t="s">
        <v>1561</v>
      </c>
      <c r="J1971" t="s">
        <v>1561</v>
      </c>
      <c r="L1971">
        <f t="shared" si="100"/>
        <v>1</v>
      </c>
    </row>
    <row r="1972" spans="1:12" x14ac:dyDescent="0.35">
      <c r="A1972">
        <f t="shared" si="101"/>
        <v>1971</v>
      </c>
      <c r="B1972" t="s">
        <v>599</v>
      </c>
      <c r="C1972" s="109" t="str">
        <f>IF(ISBLANK(K1972),IFERROR(VLOOKUP(I1972,FS_input_data!$C$307:$N$397,Export!J1972,FALSE),""),K1972)</f>
        <v/>
      </c>
      <c r="D1972" s="6"/>
      <c r="E1972" t="s">
        <v>1561</v>
      </c>
      <c r="F1972" s="6"/>
      <c r="G1972" t="b">
        <f t="shared" si="105"/>
        <v>0</v>
      </c>
      <c r="H1972" s="6" t="s">
        <v>1540</v>
      </c>
      <c r="I1972" t="s">
        <v>1561</v>
      </c>
      <c r="J1972" t="s">
        <v>1561</v>
      </c>
      <c r="L1972">
        <f t="shared" si="100"/>
        <v>1</v>
      </c>
    </row>
    <row r="1973" spans="1:12" x14ac:dyDescent="0.35">
      <c r="A1973">
        <f t="shared" si="101"/>
        <v>1972</v>
      </c>
      <c r="B1973" t="s">
        <v>600</v>
      </c>
      <c r="C1973" s="109" t="str">
        <f>IF(ISBLANK(K1973),IFERROR(VLOOKUP(I1973,FS_input_data!$C$307:$N$397,Export!J1973,FALSE),""),K1973)</f>
        <v/>
      </c>
      <c r="D1973" s="6"/>
      <c r="E1973" t="s">
        <v>1647</v>
      </c>
      <c r="F1973" s="6"/>
      <c r="G1973" t="b">
        <f>IF(capital_xml,AND($C$1974=0,$C$1976=0),TRUE)</f>
        <v>0</v>
      </c>
      <c r="H1973" s="6" t="s">
        <v>1540</v>
      </c>
      <c r="I1973" t="s">
        <v>1561</v>
      </c>
      <c r="J1973" t="s">
        <v>1561</v>
      </c>
      <c r="L1973" s="26" t="e">
        <f t="shared" si="100"/>
        <v>#VALUE!</v>
      </c>
    </row>
    <row r="1974" spans="1:12" x14ac:dyDescent="0.35">
      <c r="A1974" s="9">
        <f t="shared" si="101"/>
        <v>1973</v>
      </c>
      <c r="B1974" t="s">
        <v>109</v>
      </c>
      <c r="C1974" s="109">
        <f>IF(ISBLANK(K1974),IFERROR(VLOOKUP(I1974,FS_input_data!$C$307:$N$397,Export!J1974,FALSE),""),K1974)</f>
        <v>697</v>
      </c>
      <c r="D1974" s="6" t="b">
        <v>1</v>
      </c>
      <c r="E1974" t="s">
        <v>1561</v>
      </c>
      <c r="F1974" s="6"/>
      <c r="G1974" t="b">
        <f>IF(capital_xml,AND($C$1974=0,$C$1976=0),TRUE)</f>
        <v>0</v>
      </c>
      <c r="H1974" s="6" t="s">
        <v>1540</v>
      </c>
      <c r="I1974" t="s">
        <v>1646</v>
      </c>
      <c r="J1974">
        <v>3</v>
      </c>
      <c r="L1974" s="9" t="e">
        <f t="shared" si="100"/>
        <v>#VALUE!</v>
      </c>
    </row>
    <row r="1975" spans="1:12" x14ac:dyDescent="0.35">
      <c r="A1975">
        <f t="shared" si="101"/>
        <v>1974</v>
      </c>
      <c r="B1975" t="s">
        <v>110</v>
      </c>
      <c r="C1975" s="109" t="str">
        <f>IF(ISBLANK(K1975),IFERROR(VLOOKUP(I1975,FS_input_data!$C$307:$N$397,Export!J1975,FALSE),""),K1975)</f>
        <v/>
      </c>
      <c r="D1975" s="6"/>
      <c r="F1975" s="6"/>
      <c r="G1975" t="b">
        <f>IF(capital_xml,AND($C$1974=0,$C$1976=0),TRUE)</f>
        <v>0</v>
      </c>
      <c r="H1975" s="6" t="s">
        <v>1540</v>
      </c>
      <c r="I1975" t="s">
        <v>1561</v>
      </c>
      <c r="J1975" t="s">
        <v>1561</v>
      </c>
      <c r="L1975">
        <f t="shared" si="100"/>
        <v>1</v>
      </c>
    </row>
    <row r="1976" spans="1:12" x14ac:dyDescent="0.35">
      <c r="A1976" s="9">
        <f t="shared" si="101"/>
        <v>1975</v>
      </c>
      <c r="B1976" t="s">
        <v>111</v>
      </c>
      <c r="C1976" s="109">
        <f>IF(ISBLANK(K1976),IFERROR(VLOOKUP(I1976,FS_input_data!$C$307:$N$397,Export!J1976,FALSE),""),K1976)</f>
        <v>0</v>
      </c>
      <c r="D1976" s="6" t="b">
        <v>1</v>
      </c>
      <c r="E1976" t="s">
        <v>1561</v>
      </c>
      <c r="F1976" s="6"/>
      <c r="G1976" t="b">
        <f>IF(capital_xml,AND($C$1974=0,$C$1976=0),TRUE)</f>
        <v>0</v>
      </c>
      <c r="H1976" s="6" t="s">
        <v>1540</v>
      </c>
      <c r="I1976" t="s">
        <v>1646</v>
      </c>
      <c r="J1976">
        <v>4</v>
      </c>
      <c r="L1976" s="9" t="e">
        <f t="shared" si="100"/>
        <v>#VALUE!</v>
      </c>
    </row>
    <row r="1977" spans="1:12" x14ac:dyDescent="0.35">
      <c r="A1977">
        <f t="shared" si="101"/>
        <v>1976</v>
      </c>
      <c r="B1977" t="s">
        <v>112</v>
      </c>
      <c r="C1977" s="109" t="str">
        <f>IF(ISBLANK(K1977),IFERROR(VLOOKUP(I1977,FS_input_data!$C$307:$N$397,Export!J1977,FALSE),""),K1977)</f>
        <v/>
      </c>
      <c r="D1977" s="6"/>
      <c r="E1977" t="s">
        <v>1561</v>
      </c>
      <c r="F1977" s="6"/>
      <c r="G1977" t="b">
        <f>IF(capital_xml,AND($C$1974=0,$C$1976=0),TRUE)</f>
        <v>0</v>
      </c>
      <c r="H1977" s="6" t="s">
        <v>1540</v>
      </c>
      <c r="I1977" t="s">
        <v>1561</v>
      </c>
      <c r="J1977" t="s">
        <v>1561</v>
      </c>
      <c r="L1977">
        <f t="shared" si="100"/>
        <v>1</v>
      </c>
    </row>
    <row r="1978" spans="1:12" x14ac:dyDescent="0.35">
      <c r="A1978">
        <f t="shared" si="101"/>
        <v>1977</v>
      </c>
      <c r="B1978" t="s">
        <v>601</v>
      </c>
      <c r="C1978" s="109" t="str">
        <f>IF(ISBLANK(K1978),IFERROR(VLOOKUP(I1978,FS_input_data!$C$307:$N$397,Export!J1978,FALSE),""),K1978)</f>
        <v/>
      </c>
      <c r="D1978" s="6"/>
      <c r="E1978" t="s">
        <v>1543</v>
      </c>
      <c r="F1978" s="6"/>
      <c r="G1978" t="b">
        <f t="shared" ref="G1978:G1983" si="106">IF(capital_xml,AND($C$1979=0,$C$1981=0),TRUE)</f>
        <v>0</v>
      </c>
      <c r="H1978" s="6" t="s">
        <v>1540</v>
      </c>
      <c r="I1978" t="s">
        <v>1561</v>
      </c>
      <c r="J1978" t="s">
        <v>1561</v>
      </c>
      <c r="L1978" s="26" t="e">
        <f t="shared" si="100"/>
        <v>#VALUE!</v>
      </c>
    </row>
    <row r="1979" spans="1:12" x14ac:dyDescent="0.35">
      <c r="A1979" s="9">
        <f t="shared" si="101"/>
        <v>1978</v>
      </c>
      <c r="B1979" t="s">
        <v>109</v>
      </c>
      <c r="C1979" s="109">
        <f>IF(ISBLANK(K1979),IFERROR(VLOOKUP(I1979,FS_input_data!$C$307:$N$397,Export!J1979,FALSE),""),K1979)</f>
        <v>72</v>
      </c>
      <c r="D1979" s="6" t="b">
        <v>1</v>
      </c>
      <c r="E1979" t="s">
        <v>1561</v>
      </c>
      <c r="F1979" s="6"/>
      <c r="G1979" t="b">
        <f t="shared" si="106"/>
        <v>0</v>
      </c>
      <c r="H1979" s="6" t="s">
        <v>1540</v>
      </c>
      <c r="I1979" t="s">
        <v>1648</v>
      </c>
      <c r="J1979">
        <v>3</v>
      </c>
      <c r="L1979" s="9" t="e">
        <f t="shared" si="100"/>
        <v>#VALUE!</v>
      </c>
    </row>
    <row r="1980" spans="1:12" x14ac:dyDescent="0.35">
      <c r="A1980">
        <f t="shared" si="101"/>
        <v>1979</v>
      </c>
      <c r="B1980" t="s">
        <v>110</v>
      </c>
      <c r="C1980" s="109" t="str">
        <f>IF(ISBLANK(K1980),IFERROR(VLOOKUP(I1980,FS_input_data!$C$307:$N$397,Export!J1980,FALSE),""),K1980)</f>
        <v/>
      </c>
      <c r="D1980" s="6"/>
      <c r="F1980" s="6"/>
      <c r="G1980" t="b">
        <f t="shared" si="106"/>
        <v>0</v>
      </c>
      <c r="H1980" s="6" t="s">
        <v>1540</v>
      </c>
      <c r="I1980" t="s">
        <v>1561</v>
      </c>
      <c r="J1980" t="s">
        <v>1561</v>
      </c>
      <c r="L1980">
        <f t="shared" si="100"/>
        <v>1</v>
      </c>
    </row>
    <row r="1981" spans="1:12" x14ac:dyDescent="0.35">
      <c r="A1981" s="9">
        <f t="shared" si="101"/>
        <v>1980</v>
      </c>
      <c r="B1981" t="s">
        <v>111</v>
      </c>
      <c r="C1981" s="109">
        <f>IF(ISBLANK(K1981),IFERROR(VLOOKUP(I1981,FS_input_data!$C$307:$N$397,Export!J1981,FALSE),""),K1981)</f>
        <v>172</v>
      </c>
      <c r="D1981" s="6" t="b">
        <v>1</v>
      </c>
      <c r="E1981" t="s">
        <v>1561</v>
      </c>
      <c r="F1981" s="6"/>
      <c r="G1981" t="b">
        <f t="shared" si="106"/>
        <v>0</v>
      </c>
      <c r="H1981" s="6" t="s">
        <v>1540</v>
      </c>
      <c r="I1981" t="s">
        <v>1648</v>
      </c>
      <c r="J1981">
        <v>4</v>
      </c>
      <c r="L1981" s="9" t="e">
        <f t="shared" si="100"/>
        <v>#VALUE!</v>
      </c>
    </row>
    <row r="1982" spans="1:12" x14ac:dyDescent="0.35">
      <c r="A1982">
        <f t="shared" si="101"/>
        <v>1981</v>
      </c>
      <c r="B1982" t="s">
        <v>112</v>
      </c>
      <c r="C1982" s="109" t="str">
        <f>IF(ISBLANK(K1982),IFERROR(VLOOKUP(I1982,FS_input_data!$C$307:$N$397,Export!J1982,FALSE),""),K1982)</f>
        <v/>
      </c>
      <c r="D1982" s="6"/>
      <c r="E1982" t="s">
        <v>1561</v>
      </c>
      <c r="F1982" s="6"/>
      <c r="G1982" t="b">
        <f t="shared" si="106"/>
        <v>0</v>
      </c>
      <c r="H1982" s="6" t="s">
        <v>1540</v>
      </c>
      <c r="I1982" t="s">
        <v>1561</v>
      </c>
      <c r="J1982" t="s">
        <v>1561</v>
      </c>
      <c r="L1982">
        <f t="shared" si="100"/>
        <v>1</v>
      </c>
    </row>
    <row r="1983" spans="1:12" x14ac:dyDescent="0.35">
      <c r="A1983">
        <f t="shared" si="101"/>
        <v>1982</v>
      </c>
      <c r="B1983" t="s">
        <v>602</v>
      </c>
      <c r="C1983" s="109" t="str">
        <f>IF(ISBLANK(K1983),IFERROR(VLOOKUP(I1983,FS_input_data!$C$307:$N$397,Export!J1983,FALSE),""),K1983)</f>
        <v/>
      </c>
      <c r="D1983" s="6"/>
      <c r="E1983" t="s">
        <v>1561</v>
      </c>
      <c r="F1983" s="6"/>
      <c r="G1983" t="b">
        <f t="shared" si="106"/>
        <v>0</v>
      </c>
      <c r="H1983" s="6" t="s">
        <v>1540</v>
      </c>
      <c r="I1983" t="s">
        <v>1561</v>
      </c>
      <c r="J1983" t="s">
        <v>1561</v>
      </c>
      <c r="L1983">
        <f t="shared" si="100"/>
        <v>1</v>
      </c>
    </row>
    <row r="1984" spans="1:12" x14ac:dyDescent="0.35">
      <c r="A1984">
        <f t="shared" si="101"/>
        <v>1983</v>
      </c>
      <c r="B1984" t="s">
        <v>603</v>
      </c>
      <c r="C1984" s="109" t="str">
        <f>IF(ISBLANK(K1984),IFERROR(VLOOKUP(I1984,FS_input_data!$C$307:$N$397,Export!J1984,FALSE),""),K1984)</f>
        <v/>
      </c>
      <c r="D1984" s="6"/>
      <c r="E1984" t="s">
        <v>1545</v>
      </c>
      <c r="F1984" s="6"/>
      <c r="G1984" t="b">
        <f t="shared" ref="G1984:G1990" si="107">IF(capital_xml,AND($C$1985=0,$C$1987=0),TRUE)</f>
        <v>0</v>
      </c>
      <c r="H1984" s="6" t="s">
        <v>1540</v>
      </c>
      <c r="I1984" t="s">
        <v>1561</v>
      </c>
      <c r="J1984" t="s">
        <v>1561</v>
      </c>
      <c r="L1984" s="26" t="e">
        <f t="shared" si="100"/>
        <v>#VALUE!</v>
      </c>
    </row>
    <row r="1985" spans="1:12" x14ac:dyDescent="0.35">
      <c r="A1985" s="9">
        <f t="shared" si="101"/>
        <v>1984</v>
      </c>
      <c r="B1985" t="s">
        <v>109</v>
      </c>
      <c r="C1985" s="109">
        <f>IF(ISBLANK(K1985),IFERROR(VLOOKUP(I1985,FS_input_data!$C$307:$N$397,Export!J1985,FALSE),""),K1985)</f>
        <v>73</v>
      </c>
      <c r="D1985" s="6" t="b">
        <v>1</v>
      </c>
      <c r="E1985" t="s">
        <v>1561</v>
      </c>
      <c r="F1985" s="6"/>
      <c r="G1985" t="b">
        <f t="shared" si="107"/>
        <v>0</v>
      </c>
      <c r="H1985" s="6" t="s">
        <v>1540</v>
      </c>
      <c r="I1985" t="s">
        <v>1649</v>
      </c>
      <c r="J1985">
        <v>3</v>
      </c>
      <c r="L1985" s="9" t="e">
        <f t="shared" si="100"/>
        <v>#VALUE!</v>
      </c>
    </row>
    <row r="1986" spans="1:12" x14ac:dyDescent="0.35">
      <c r="A1986">
        <f t="shared" si="101"/>
        <v>1985</v>
      </c>
      <c r="B1986" t="s">
        <v>110</v>
      </c>
      <c r="C1986" s="109" t="str">
        <f>IF(ISBLANK(K1986),IFERROR(VLOOKUP(I1986,FS_input_data!$C$307:$N$397,Export!J1986,FALSE),""),K1986)</f>
        <v/>
      </c>
      <c r="D1986" s="6"/>
      <c r="F1986" s="6"/>
      <c r="G1986" t="b">
        <f t="shared" si="107"/>
        <v>0</v>
      </c>
      <c r="H1986" s="6" t="s">
        <v>1540</v>
      </c>
      <c r="I1986" t="s">
        <v>1561</v>
      </c>
      <c r="J1986" t="s">
        <v>1561</v>
      </c>
      <c r="L1986">
        <f t="shared" ref="L1986:L2049" si="108">FIND("/",B1986)</f>
        <v>1</v>
      </c>
    </row>
    <row r="1987" spans="1:12" x14ac:dyDescent="0.35">
      <c r="A1987" s="9">
        <f t="shared" ref="A1987:A2050" si="109">A1986+1</f>
        <v>1986</v>
      </c>
      <c r="B1987" t="s">
        <v>111</v>
      </c>
      <c r="C1987" s="109">
        <f>IF(ISBLANK(K1987),IFERROR(VLOOKUP(I1987,FS_input_data!$C$307:$N$397,Export!J1987,FALSE),""),K1987)</f>
        <v>173</v>
      </c>
      <c r="D1987" s="6" t="b">
        <v>1</v>
      </c>
      <c r="E1987" t="s">
        <v>1561</v>
      </c>
      <c r="F1987" s="6"/>
      <c r="G1987" t="b">
        <f t="shared" si="107"/>
        <v>0</v>
      </c>
      <c r="H1987" s="6" t="s">
        <v>1540</v>
      </c>
      <c r="I1987" t="s">
        <v>1649</v>
      </c>
      <c r="J1987">
        <v>4</v>
      </c>
      <c r="L1987" s="9" t="e">
        <f t="shared" si="108"/>
        <v>#VALUE!</v>
      </c>
    </row>
    <row r="1988" spans="1:12" x14ac:dyDescent="0.35">
      <c r="A1988">
        <f t="shared" si="109"/>
        <v>1987</v>
      </c>
      <c r="B1988" t="s">
        <v>112</v>
      </c>
      <c r="C1988" s="109" t="str">
        <f>IF(ISBLANK(K1988),IFERROR(VLOOKUP(I1988,FS_input_data!$C$307:$N$397,Export!J1988,FALSE),""),K1988)</f>
        <v/>
      </c>
      <c r="D1988" s="6"/>
      <c r="E1988" t="s">
        <v>1561</v>
      </c>
      <c r="F1988" s="6"/>
      <c r="G1988" t="b">
        <f t="shared" si="107"/>
        <v>0</v>
      </c>
      <c r="H1988" s="6" t="s">
        <v>1540</v>
      </c>
      <c r="I1988" t="s">
        <v>1561</v>
      </c>
      <c r="J1988" t="s">
        <v>1561</v>
      </c>
      <c r="L1988">
        <f t="shared" si="108"/>
        <v>1</v>
      </c>
    </row>
    <row r="1989" spans="1:12" x14ac:dyDescent="0.35">
      <c r="A1989">
        <f t="shared" si="109"/>
        <v>1988</v>
      </c>
      <c r="B1989" t="s">
        <v>604</v>
      </c>
      <c r="C1989" s="109" t="str">
        <f>IF(ISBLANK(K1989),IFERROR(VLOOKUP(I1989,FS_input_data!$C$307:$N$397,Export!J1989,FALSE),""),K1989)</f>
        <v/>
      </c>
      <c r="D1989" s="6"/>
      <c r="E1989" t="s">
        <v>1561</v>
      </c>
      <c r="F1989" s="6"/>
      <c r="G1989" t="b">
        <f t="shared" si="107"/>
        <v>0</v>
      </c>
      <c r="H1989" s="6" t="s">
        <v>1540</v>
      </c>
      <c r="I1989" t="s">
        <v>1561</v>
      </c>
      <c r="J1989" t="s">
        <v>1561</v>
      </c>
      <c r="L1989">
        <f t="shared" si="108"/>
        <v>1</v>
      </c>
    </row>
    <row r="1990" spans="1:12" x14ac:dyDescent="0.35">
      <c r="A1990">
        <f t="shared" si="109"/>
        <v>1989</v>
      </c>
      <c r="B1990" t="s">
        <v>605</v>
      </c>
      <c r="C1990" s="109" t="str">
        <f>IF(ISBLANK(K1990),IFERROR(VLOOKUP(I1990,FS_input_data!$C$307:$N$397,Export!J1990,FALSE),""),K1990)</f>
        <v/>
      </c>
      <c r="D1990" s="6"/>
      <c r="E1990" t="s">
        <v>1561</v>
      </c>
      <c r="F1990" s="6"/>
      <c r="G1990" t="b">
        <f t="shared" si="107"/>
        <v>0</v>
      </c>
      <c r="H1990" s="6" t="s">
        <v>1540</v>
      </c>
      <c r="I1990" t="s">
        <v>1561</v>
      </c>
      <c r="J1990" t="s">
        <v>1561</v>
      </c>
      <c r="L1990">
        <f t="shared" si="108"/>
        <v>1</v>
      </c>
    </row>
    <row r="1991" spans="1:12" x14ac:dyDescent="0.35">
      <c r="A1991">
        <f t="shared" si="109"/>
        <v>1990</v>
      </c>
      <c r="B1991" t="s">
        <v>606</v>
      </c>
      <c r="C1991" s="109" t="str">
        <f>IF(ISBLANK(K1991),IFERROR(VLOOKUP(I1991,FS_input_data!$C$307:$N$397,Export!J1991,FALSE),""),K1991)</f>
        <v/>
      </c>
      <c r="D1991" s="6"/>
      <c r="E1991" t="s">
        <v>1651</v>
      </c>
      <c r="F1991" s="6"/>
      <c r="G1991" t="b">
        <f>IF(capital_xml,AND($C$1992=0,$C$1994=0),TRUE)</f>
        <v>0</v>
      </c>
      <c r="H1991" s="6" t="s">
        <v>1540</v>
      </c>
      <c r="I1991" t="s">
        <v>1561</v>
      </c>
      <c r="J1991" t="s">
        <v>1561</v>
      </c>
      <c r="L1991" s="26" t="e">
        <f t="shared" si="108"/>
        <v>#VALUE!</v>
      </c>
    </row>
    <row r="1992" spans="1:12" x14ac:dyDescent="0.35">
      <c r="A1992" s="9">
        <f t="shared" si="109"/>
        <v>1991</v>
      </c>
      <c r="B1992" t="s">
        <v>109</v>
      </c>
      <c r="C1992" s="109">
        <f>IF(ISBLANK(K1992),IFERROR(VLOOKUP(I1992,FS_input_data!$C$307:$N$397,Export!J1992,FALSE),""),K1992)</f>
        <v>842</v>
      </c>
      <c r="D1992" s="6" t="b">
        <v>1</v>
      </c>
      <c r="E1992" t="s">
        <v>1561</v>
      </c>
      <c r="F1992" s="6"/>
      <c r="G1992" t="b">
        <f>IF(capital_xml,AND($C$1992=0,$C$1994=0),TRUE)</f>
        <v>0</v>
      </c>
      <c r="H1992" s="6" t="s">
        <v>1540</v>
      </c>
      <c r="I1992" t="s">
        <v>1650</v>
      </c>
      <c r="J1992">
        <v>3</v>
      </c>
      <c r="L1992" s="9" t="e">
        <f t="shared" si="108"/>
        <v>#VALUE!</v>
      </c>
    </row>
    <row r="1993" spans="1:12" x14ac:dyDescent="0.35">
      <c r="A1993">
        <f t="shared" si="109"/>
        <v>1992</v>
      </c>
      <c r="B1993" t="s">
        <v>110</v>
      </c>
      <c r="C1993" s="109" t="str">
        <f>IF(ISBLANK(K1993),IFERROR(VLOOKUP(I1993,FS_input_data!$C$307:$N$397,Export!J1993,FALSE),""),K1993)</f>
        <v/>
      </c>
      <c r="D1993" s="6"/>
      <c r="F1993" s="6"/>
      <c r="G1993" t="b">
        <f>IF(capital_xml,AND($C$1992=0,$C$1994=0),TRUE)</f>
        <v>0</v>
      </c>
      <c r="H1993" s="6" t="s">
        <v>1540</v>
      </c>
      <c r="I1993" t="s">
        <v>1561</v>
      </c>
      <c r="J1993" t="s">
        <v>1561</v>
      </c>
      <c r="L1993">
        <f t="shared" si="108"/>
        <v>1</v>
      </c>
    </row>
    <row r="1994" spans="1:12" x14ac:dyDescent="0.35">
      <c r="A1994" s="9">
        <f t="shared" si="109"/>
        <v>1993</v>
      </c>
      <c r="B1994" t="s">
        <v>111</v>
      </c>
      <c r="C1994" s="109">
        <f>IF(ISBLANK(K1994),IFERROR(VLOOKUP(I1994,FS_input_data!$C$307:$N$397,Export!J1994,FALSE),""),K1994)</f>
        <v>345</v>
      </c>
      <c r="D1994" s="6" t="b">
        <v>1</v>
      </c>
      <c r="E1994" t="s">
        <v>1561</v>
      </c>
      <c r="F1994" s="6"/>
      <c r="G1994" t="b">
        <f>IF(capital_xml,AND($C$1992=0,$C$1994=0),TRUE)</f>
        <v>0</v>
      </c>
      <c r="H1994" s="6" t="s">
        <v>1540</v>
      </c>
      <c r="I1994" t="s">
        <v>1650</v>
      </c>
      <c r="J1994">
        <v>4</v>
      </c>
      <c r="L1994" s="9" t="e">
        <f t="shared" si="108"/>
        <v>#VALUE!</v>
      </c>
    </row>
    <row r="1995" spans="1:12" x14ac:dyDescent="0.35">
      <c r="A1995">
        <f t="shared" si="109"/>
        <v>1994</v>
      </c>
      <c r="B1995" t="s">
        <v>112</v>
      </c>
      <c r="C1995" s="109" t="str">
        <f>IF(ISBLANK(K1995),IFERROR(VLOOKUP(I1995,FS_input_data!$C$307:$N$397,Export!J1995,FALSE),""),K1995)</f>
        <v/>
      </c>
      <c r="D1995" s="6"/>
      <c r="E1995" t="s">
        <v>1561</v>
      </c>
      <c r="F1995" s="6"/>
      <c r="G1995" t="b">
        <f>IF(capital_xml,AND($C$1992=0,$C$1994=0),TRUE)</f>
        <v>0</v>
      </c>
      <c r="H1995" s="6" t="s">
        <v>1540</v>
      </c>
      <c r="I1995" t="s">
        <v>1561</v>
      </c>
      <c r="J1995" t="s">
        <v>1561</v>
      </c>
      <c r="L1995">
        <f t="shared" si="108"/>
        <v>1</v>
      </c>
    </row>
    <row r="1996" spans="1:12" x14ac:dyDescent="0.35">
      <c r="A1996">
        <f t="shared" si="109"/>
        <v>1995</v>
      </c>
      <c r="B1996" t="s">
        <v>607</v>
      </c>
      <c r="C1996" s="109" t="str">
        <f>IF(ISBLANK(K1996),IFERROR(VLOOKUP(I1996,FS_input_data!$C$307:$N$397,Export!J1996,FALSE),""),K1996)</f>
        <v/>
      </c>
      <c r="D1996" s="6"/>
      <c r="E1996" t="s">
        <v>1553</v>
      </c>
      <c r="F1996" s="6"/>
      <c r="G1996" t="b">
        <f>IF(capital_xml,AND($C$1997=0,$C$1999=0),TRUE)</f>
        <v>0</v>
      </c>
      <c r="H1996" s="6" t="s">
        <v>1540</v>
      </c>
      <c r="I1996" t="s">
        <v>1561</v>
      </c>
      <c r="J1996" t="s">
        <v>1561</v>
      </c>
      <c r="L1996" s="26" t="e">
        <f t="shared" si="108"/>
        <v>#VALUE!</v>
      </c>
    </row>
    <row r="1997" spans="1:12" x14ac:dyDescent="0.35">
      <c r="A1997" s="9">
        <f t="shared" si="109"/>
        <v>1996</v>
      </c>
      <c r="B1997" t="s">
        <v>109</v>
      </c>
      <c r="C1997" s="109">
        <f>IF(ISBLANK(K1997),IFERROR(VLOOKUP(I1997,FS_input_data!$C$307:$N$397,Export!J1997,FALSE),""),K1997)</f>
        <v>310</v>
      </c>
      <c r="D1997" s="6" t="b">
        <v>1</v>
      </c>
      <c r="E1997" t="s">
        <v>1561</v>
      </c>
      <c r="F1997" s="6"/>
      <c r="G1997" t="b">
        <f>IF(capital_xml,AND($C$1997=0,$C$1999=0),TRUE)</f>
        <v>0</v>
      </c>
      <c r="H1997" s="6" t="s">
        <v>1540</v>
      </c>
      <c r="I1997" t="s">
        <v>1652</v>
      </c>
      <c r="J1997">
        <v>3</v>
      </c>
      <c r="L1997" s="9" t="e">
        <f t="shared" si="108"/>
        <v>#VALUE!</v>
      </c>
    </row>
    <row r="1998" spans="1:12" x14ac:dyDescent="0.35">
      <c r="A1998">
        <f t="shared" si="109"/>
        <v>1997</v>
      </c>
      <c r="B1998" t="s">
        <v>110</v>
      </c>
      <c r="C1998" s="109" t="str">
        <f>IF(ISBLANK(K1998),IFERROR(VLOOKUP(I1998,FS_input_data!$C$307:$N$397,Export!J1998,FALSE),""),K1998)</f>
        <v/>
      </c>
      <c r="D1998" s="6"/>
      <c r="F1998" s="6"/>
      <c r="G1998" t="b">
        <f>IF(capital_xml,AND($C$1997=0,$C$1999=0),TRUE)</f>
        <v>0</v>
      </c>
      <c r="H1998" s="6" t="s">
        <v>1540</v>
      </c>
      <c r="I1998" t="s">
        <v>1561</v>
      </c>
      <c r="J1998" t="s">
        <v>1561</v>
      </c>
      <c r="L1998">
        <f t="shared" si="108"/>
        <v>1</v>
      </c>
    </row>
    <row r="1999" spans="1:12" x14ac:dyDescent="0.35">
      <c r="A1999" s="9">
        <f t="shared" si="109"/>
        <v>1998</v>
      </c>
      <c r="B1999" t="s">
        <v>111</v>
      </c>
      <c r="C1999" s="109">
        <f>IF(ISBLANK(K1999),IFERROR(VLOOKUP(I1999,FS_input_data!$C$307:$N$397,Export!J1999,FALSE),""),K1999)</f>
        <v>710</v>
      </c>
      <c r="D1999" s="6" t="b">
        <v>1</v>
      </c>
      <c r="F1999" s="6"/>
      <c r="G1999" t="b">
        <f>IF(capital_xml,AND($C$1997=0,$C$1999=0),TRUE)</f>
        <v>0</v>
      </c>
      <c r="H1999" s="6" t="s">
        <v>1540</v>
      </c>
      <c r="I1999" t="s">
        <v>1652</v>
      </c>
      <c r="J1999">
        <v>4</v>
      </c>
      <c r="L1999" s="9" t="e">
        <f t="shared" si="108"/>
        <v>#VALUE!</v>
      </c>
    </row>
    <row r="2000" spans="1:12" x14ac:dyDescent="0.35">
      <c r="A2000">
        <f t="shared" si="109"/>
        <v>1999</v>
      </c>
      <c r="B2000" t="s">
        <v>112</v>
      </c>
      <c r="C2000" s="109" t="str">
        <f>IF(ISBLANK(K2000),IFERROR(VLOOKUP(I2000,FS_input_data!$C$307:$N$397,Export!J2000,FALSE),""),K2000)</f>
        <v/>
      </c>
      <c r="D2000" s="6"/>
      <c r="E2000" t="s">
        <v>1561</v>
      </c>
      <c r="F2000" s="6"/>
      <c r="G2000" t="b">
        <f>IF(capital_xml,AND($C$1997=0,$C$1999=0),TRUE)</f>
        <v>0</v>
      </c>
      <c r="H2000" s="6" t="s">
        <v>1540</v>
      </c>
      <c r="I2000" t="s">
        <v>1561</v>
      </c>
      <c r="J2000" t="s">
        <v>1561</v>
      </c>
      <c r="L2000">
        <f t="shared" si="108"/>
        <v>1</v>
      </c>
    </row>
    <row r="2001" spans="1:12" x14ac:dyDescent="0.35">
      <c r="A2001">
        <f t="shared" si="109"/>
        <v>2000</v>
      </c>
      <c r="B2001" t="s">
        <v>608</v>
      </c>
      <c r="C2001" s="109" t="str">
        <f>IF(ISBLANK(K2001),IFERROR(VLOOKUP(I2001,FS_input_data!$C$307:$N$397,Export!J2001,FALSE),""),K2001)</f>
        <v/>
      </c>
      <c r="D2001" s="6"/>
      <c r="E2001" t="s">
        <v>1654</v>
      </c>
      <c r="F2001" s="6"/>
      <c r="G2001" t="b">
        <f t="shared" ref="G2001:G2006" si="110">IF(capital_xml,AND($C$2002=0,$C$2004=0),TRUE)</f>
        <v>0</v>
      </c>
      <c r="H2001" s="6" t="s">
        <v>1540</v>
      </c>
      <c r="I2001" t="s">
        <v>1561</v>
      </c>
      <c r="J2001" t="s">
        <v>1561</v>
      </c>
      <c r="L2001" s="26" t="e">
        <f t="shared" si="108"/>
        <v>#VALUE!</v>
      </c>
    </row>
    <row r="2002" spans="1:12" x14ac:dyDescent="0.35">
      <c r="A2002" s="9">
        <f t="shared" si="109"/>
        <v>2001</v>
      </c>
      <c r="B2002" t="s">
        <v>109</v>
      </c>
      <c r="C2002" s="109">
        <f>IF(ISBLANK(K2002),IFERROR(VLOOKUP(I2002,FS_input_data!$C$307:$N$397,Export!J2002,FALSE),""),K2002)</f>
        <v>76</v>
      </c>
      <c r="D2002" s="6" t="b">
        <v>1</v>
      </c>
      <c r="E2002" t="s">
        <v>1561</v>
      </c>
      <c r="F2002" s="6"/>
      <c r="G2002" t="b">
        <f t="shared" si="110"/>
        <v>0</v>
      </c>
      <c r="H2002" s="6" t="s">
        <v>1540</v>
      </c>
      <c r="I2002" t="s">
        <v>1653</v>
      </c>
      <c r="J2002">
        <v>3</v>
      </c>
      <c r="L2002" s="9" t="e">
        <f t="shared" si="108"/>
        <v>#VALUE!</v>
      </c>
    </row>
    <row r="2003" spans="1:12" x14ac:dyDescent="0.35">
      <c r="A2003">
        <f t="shared" si="109"/>
        <v>2002</v>
      </c>
      <c r="B2003" t="s">
        <v>110</v>
      </c>
      <c r="C2003" s="109" t="str">
        <f>IF(ISBLANK(K2003),IFERROR(VLOOKUP(I2003,FS_input_data!$C$307:$N$397,Export!J2003,FALSE),""),K2003)</f>
        <v/>
      </c>
      <c r="D2003" s="6"/>
      <c r="F2003" s="6"/>
      <c r="G2003" t="b">
        <f t="shared" si="110"/>
        <v>0</v>
      </c>
      <c r="H2003" s="6" t="s">
        <v>1540</v>
      </c>
      <c r="I2003" t="s">
        <v>1561</v>
      </c>
      <c r="J2003" t="s">
        <v>1561</v>
      </c>
      <c r="L2003">
        <f t="shared" si="108"/>
        <v>1</v>
      </c>
    </row>
    <row r="2004" spans="1:12" x14ac:dyDescent="0.35">
      <c r="A2004" s="9">
        <f t="shared" si="109"/>
        <v>2003</v>
      </c>
      <c r="B2004" t="s">
        <v>111</v>
      </c>
      <c r="C2004" s="109">
        <f>IF(ISBLANK(K2004),IFERROR(VLOOKUP(I2004,FS_input_data!$C$307:$N$397,Export!J2004,FALSE),""),K2004)</f>
        <v>176</v>
      </c>
      <c r="D2004" s="6" t="b">
        <v>1</v>
      </c>
      <c r="E2004" t="s">
        <v>1561</v>
      </c>
      <c r="F2004" s="6"/>
      <c r="G2004" t="b">
        <f t="shared" si="110"/>
        <v>0</v>
      </c>
      <c r="H2004" s="6" t="s">
        <v>1540</v>
      </c>
      <c r="I2004" t="s">
        <v>1653</v>
      </c>
      <c r="J2004">
        <v>4</v>
      </c>
      <c r="L2004" s="9" t="e">
        <f t="shared" si="108"/>
        <v>#VALUE!</v>
      </c>
    </row>
    <row r="2005" spans="1:12" x14ac:dyDescent="0.35">
      <c r="A2005">
        <f t="shared" si="109"/>
        <v>2004</v>
      </c>
      <c r="B2005" t="s">
        <v>112</v>
      </c>
      <c r="C2005" s="109" t="str">
        <f>IF(ISBLANK(K2005),IFERROR(VLOOKUP(I2005,FS_input_data!$C$307:$N$397,Export!J2005,FALSE),""),K2005)</f>
        <v/>
      </c>
      <c r="D2005" s="6"/>
      <c r="E2005" t="s">
        <v>1561</v>
      </c>
      <c r="F2005" s="6"/>
      <c r="G2005" t="b">
        <f t="shared" si="110"/>
        <v>0</v>
      </c>
      <c r="H2005" s="6" t="s">
        <v>1540</v>
      </c>
      <c r="I2005" t="s">
        <v>1561</v>
      </c>
      <c r="J2005" t="s">
        <v>1561</v>
      </c>
      <c r="L2005">
        <f t="shared" si="108"/>
        <v>1</v>
      </c>
    </row>
    <row r="2006" spans="1:12" x14ac:dyDescent="0.35">
      <c r="A2006">
        <f t="shared" si="109"/>
        <v>2005</v>
      </c>
      <c r="B2006" t="s">
        <v>609</v>
      </c>
      <c r="C2006" s="109" t="str">
        <f>IF(ISBLANK(K2006),IFERROR(VLOOKUP(I2006,FS_input_data!$C$307:$N$397,Export!J2006,FALSE),""),K2006)</f>
        <v/>
      </c>
      <c r="D2006" s="6"/>
      <c r="E2006" t="s">
        <v>1561</v>
      </c>
      <c r="F2006" s="6"/>
      <c r="G2006" t="b">
        <f t="shared" si="110"/>
        <v>0</v>
      </c>
      <c r="H2006" s="6" t="s">
        <v>1540</v>
      </c>
      <c r="I2006" t="s">
        <v>1561</v>
      </c>
      <c r="J2006" t="s">
        <v>1561</v>
      </c>
      <c r="L2006">
        <f t="shared" si="108"/>
        <v>1</v>
      </c>
    </row>
    <row r="2007" spans="1:12" x14ac:dyDescent="0.35">
      <c r="A2007">
        <f t="shared" si="109"/>
        <v>2006</v>
      </c>
      <c r="B2007" t="s">
        <v>526</v>
      </c>
      <c r="C2007" s="109" t="str">
        <f>IF(ISBLANK(K2007),IFERROR(VLOOKUP(I2007,FS_input_data!$C$307:$N$397,Export!J2007,FALSE),""),K2007)</f>
        <v/>
      </c>
      <c r="D2007" s="6"/>
      <c r="E2007" t="s">
        <v>1656</v>
      </c>
      <c r="F2007" s="6"/>
      <c r="G2007" t="b">
        <f t="shared" ref="G2007:G2016" si="111">IF(capital_xml,AND($C$2011=0,$C$2013=0),TRUE)</f>
        <v>0</v>
      </c>
      <c r="H2007" s="6" t="s">
        <v>1540</v>
      </c>
      <c r="I2007" t="s">
        <v>1561</v>
      </c>
      <c r="J2007" t="s">
        <v>1561</v>
      </c>
      <c r="L2007" s="26" t="e">
        <f t="shared" si="108"/>
        <v>#VALUE!</v>
      </c>
    </row>
    <row r="2008" spans="1:12" x14ac:dyDescent="0.35">
      <c r="A2008" s="9">
        <f t="shared" si="109"/>
        <v>2007</v>
      </c>
      <c r="B2008" t="s">
        <v>101</v>
      </c>
      <c r="C2008" s="109" t="str">
        <f>IF(ISBLANK(K2008),IFERROR(VLOOKUP(I2008,FS_input_data!$C$307:$N$397,Export!J2008,FALSE),""),K2008)</f>
        <v>Vc_PozycjaUszczegolawiajaca_1</v>
      </c>
      <c r="D2008" s="6" t="b">
        <v>1</v>
      </c>
      <c r="E2008" t="s">
        <v>1561</v>
      </c>
      <c r="F2008" s="6"/>
      <c r="G2008" t="b">
        <f t="shared" si="111"/>
        <v>0</v>
      </c>
      <c r="H2008" s="6" t="s">
        <v>1540</v>
      </c>
      <c r="I2008" t="s">
        <v>1656</v>
      </c>
      <c r="J2008">
        <v>2</v>
      </c>
      <c r="L2008" s="9" t="e">
        <f t="shared" si="108"/>
        <v>#VALUE!</v>
      </c>
    </row>
    <row r="2009" spans="1:12" x14ac:dyDescent="0.35">
      <c r="A2009">
        <f t="shared" si="109"/>
        <v>2008</v>
      </c>
      <c r="B2009" t="s">
        <v>102</v>
      </c>
      <c r="C2009" s="109" t="str">
        <f>IF(ISBLANK(K2009),IFERROR(VLOOKUP(I2009,FS_input_data!$C$307:$N$397,Export!J2009,FALSE),""),K2009)</f>
        <v/>
      </c>
      <c r="D2009" s="6"/>
      <c r="F2009" s="6"/>
      <c r="G2009" t="b">
        <f t="shared" si="111"/>
        <v>0</v>
      </c>
      <c r="H2009" s="6" t="s">
        <v>1540</v>
      </c>
      <c r="I2009" t="s">
        <v>1561</v>
      </c>
      <c r="J2009" t="s">
        <v>1561</v>
      </c>
      <c r="L2009">
        <f t="shared" si="108"/>
        <v>1</v>
      </c>
    </row>
    <row r="2010" spans="1:12" x14ac:dyDescent="0.35">
      <c r="A2010">
        <f t="shared" si="109"/>
        <v>2009</v>
      </c>
      <c r="B2010" t="s">
        <v>527</v>
      </c>
      <c r="C2010" s="109" t="str">
        <f>IF(ISBLANK(K2010),IFERROR(VLOOKUP(I2010,FS_input_data!$C$307:$N$397,Export!J2010,FALSE),""),K2010)</f>
        <v/>
      </c>
      <c r="D2010" s="6"/>
      <c r="F2010" s="6"/>
      <c r="G2010" t="b">
        <f t="shared" si="111"/>
        <v>0</v>
      </c>
      <c r="H2010" s="6" t="s">
        <v>1540</v>
      </c>
      <c r="I2010" t="s">
        <v>1561</v>
      </c>
      <c r="J2010" t="s">
        <v>1561</v>
      </c>
      <c r="L2010" s="9" t="e">
        <f t="shared" si="108"/>
        <v>#VALUE!</v>
      </c>
    </row>
    <row r="2011" spans="1:12" x14ac:dyDescent="0.35">
      <c r="A2011" s="9">
        <f t="shared" si="109"/>
        <v>2010</v>
      </c>
      <c r="B2011" t="s">
        <v>109</v>
      </c>
      <c r="C2011" s="109">
        <f>IF(ISBLANK(K2011),IFERROR(VLOOKUP(I2011,FS_input_data!$C$307:$N$397,Export!J2011,FALSE),""),K2011)</f>
        <v>77</v>
      </c>
      <c r="D2011" s="6" t="b">
        <v>1</v>
      </c>
      <c r="F2011" s="6"/>
      <c r="G2011" t="b">
        <f t="shared" si="111"/>
        <v>0</v>
      </c>
      <c r="H2011" s="6" t="s">
        <v>1540</v>
      </c>
      <c r="I2011" t="s">
        <v>1656</v>
      </c>
      <c r="J2011">
        <v>3</v>
      </c>
      <c r="L2011" s="9" t="e">
        <f t="shared" si="108"/>
        <v>#VALUE!</v>
      </c>
    </row>
    <row r="2012" spans="1:12" x14ac:dyDescent="0.35">
      <c r="A2012">
        <f t="shared" si="109"/>
        <v>2011</v>
      </c>
      <c r="B2012" t="s">
        <v>110</v>
      </c>
      <c r="C2012" s="109" t="str">
        <f>IF(ISBLANK(K2012),IFERROR(VLOOKUP(I2012,FS_input_data!$C$307:$N$397,Export!J2012,FALSE),""),K2012)</f>
        <v/>
      </c>
      <c r="D2012" s="6"/>
      <c r="F2012" s="6"/>
      <c r="G2012" t="b">
        <f t="shared" si="111"/>
        <v>0</v>
      </c>
      <c r="H2012" s="6" t="s">
        <v>1540</v>
      </c>
      <c r="I2012" t="s">
        <v>1561</v>
      </c>
      <c r="J2012" t="s">
        <v>1561</v>
      </c>
      <c r="L2012">
        <f t="shared" si="108"/>
        <v>1</v>
      </c>
    </row>
    <row r="2013" spans="1:12" x14ac:dyDescent="0.35">
      <c r="A2013" s="9">
        <f t="shared" si="109"/>
        <v>2012</v>
      </c>
      <c r="B2013" t="s">
        <v>111</v>
      </c>
      <c r="C2013" s="109">
        <f>IF(ISBLANK(K2013),IFERROR(VLOOKUP(I2013,FS_input_data!$C$307:$N$397,Export!J2013,FALSE),""),K2013)</f>
        <v>177</v>
      </c>
      <c r="D2013" s="6" t="b">
        <v>1</v>
      </c>
      <c r="E2013" t="s">
        <v>1561</v>
      </c>
      <c r="F2013" s="6"/>
      <c r="G2013" t="b">
        <f t="shared" si="111"/>
        <v>0</v>
      </c>
      <c r="H2013" s="6" t="s">
        <v>1540</v>
      </c>
      <c r="I2013" t="s">
        <v>1656</v>
      </c>
      <c r="J2013">
        <v>4</v>
      </c>
      <c r="L2013" s="9" t="e">
        <f t="shared" si="108"/>
        <v>#VALUE!</v>
      </c>
    </row>
    <row r="2014" spans="1:12" x14ac:dyDescent="0.35">
      <c r="A2014">
        <f t="shared" si="109"/>
        <v>2013</v>
      </c>
      <c r="B2014" t="s">
        <v>112</v>
      </c>
      <c r="C2014" s="109" t="str">
        <f>IF(ISBLANK(K2014),IFERROR(VLOOKUP(I2014,FS_input_data!$C$307:$N$397,Export!J2014,FALSE),""),K2014)</f>
        <v/>
      </c>
      <c r="D2014" s="6"/>
      <c r="E2014" t="s">
        <v>1561</v>
      </c>
      <c r="F2014" s="6"/>
      <c r="G2014" t="b">
        <f t="shared" si="111"/>
        <v>0</v>
      </c>
      <c r="H2014" s="6" t="s">
        <v>1540</v>
      </c>
      <c r="I2014" t="s">
        <v>1561</v>
      </c>
      <c r="J2014" t="s">
        <v>1561</v>
      </c>
      <c r="L2014">
        <f t="shared" si="108"/>
        <v>1</v>
      </c>
    </row>
    <row r="2015" spans="1:12" x14ac:dyDescent="0.35">
      <c r="A2015">
        <f t="shared" si="109"/>
        <v>2014</v>
      </c>
      <c r="B2015" t="s">
        <v>528</v>
      </c>
      <c r="C2015" s="109" t="str">
        <f>IF(ISBLANK(K2015),IFERROR(VLOOKUP(I2015,FS_input_data!$C$307:$N$397,Export!J2015,FALSE),""),K2015)</f>
        <v/>
      </c>
      <c r="D2015" s="6"/>
      <c r="E2015" t="s">
        <v>1561</v>
      </c>
      <c r="F2015" s="6"/>
      <c r="G2015" t="b">
        <f t="shared" si="111"/>
        <v>0</v>
      </c>
      <c r="H2015" s="6" t="s">
        <v>1540</v>
      </c>
      <c r="I2015" t="s">
        <v>1561</v>
      </c>
      <c r="J2015" t="s">
        <v>1561</v>
      </c>
      <c r="L2015">
        <f t="shared" si="108"/>
        <v>1</v>
      </c>
    </row>
    <row r="2016" spans="1:12" x14ac:dyDescent="0.35">
      <c r="A2016">
        <f t="shared" si="109"/>
        <v>2015</v>
      </c>
      <c r="B2016" t="s">
        <v>529</v>
      </c>
      <c r="C2016" s="109" t="str">
        <f>IF(ISBLANK(K2016),IFERROR(VLOOKUP(I2016,FS_input_data!$C$307:$N$397,Export!J2016,FALSE),""),K2016)</f>
        <v/>
      </c>
      <c r="D2016" s="6"/>
      <c r="E2016" t="s">
        <v>1561</v>
      </c>
      <c r="F2016" s="6"/>
      <c r="G2016" t="b">
        <f t="shared" si="111"/>
        <v>0</v>
      </c>
      <c r="H2016" s="6" t="s">
        <v>1540</v>
      </c>
      <c r="I2016" t="s">
        <v>1561</v>
      </c>
      <c r="J2016" t="s">
        <v>1561</v>
      </c>
      <c r="L2016">
        <f t="shared" si="108"/>
        <v>1</v>
      </c>
    </row>
    <row r="2017" spans="1:12" x14ac:dyDescent="0.35">
      <c r="A2017">
        <f t="shared" si="109"/>
        <v>2016</v>
      </c>
      <c r="B2017" t="s">
        <v>526</v>
      </c>
      <c r="C2017" s="109" t="str">
        <f>IF(ISBLANK(K2017),IFERROR(VLOOKUP(I2017,FS_input_data!$C$307:$N$397,Export!J2017,FALSE),""),K2017)</f>
        <v/>
      </c>
      <c r="D2017" s="6"/>
      <c r="E2017" t="s">
        <v>1655</v>
      </c>
      <c r="F2017" s="6"/>
      <c r="G2017" t="b">
        <f t="shared" ref="G2017:G2026" si="112">IF(capital_xml,AND($C$2021=0,$C$2023=0),TRUE)</f>
        <v>0</v>
      </c>
      <c r="H2017" s="6" t="s">
        <v>1540</v>
      </c>
      <c r="I2017" t="s">
        <v>1561</v>
      </c>
      <c r="J2017" t="s">
        <v>1561</v>
      </c>
      <c r="L2017" s="26" t="e">
        <f t="shared" si="108"/>
        <v>#VALUE!</v>
      </c>
    </row>
    <row r="2018" spans="1:12" x14ac:dyDescent="0.35">
      <c r="A2018" s="9">
        <f t="shared" si="109"/>
        <v>2017</v>
      </c>
      <c r="B2018" t="s">
        <v>101</v>
      </c>
      <c r="C2018" s="109" t="str">
        <f>IF(ISBLANK(K2018),IFERROR(VLOOKUP(I2018,FS_input_data!$C$307:$N$397,Export!J2018,FALSE),""),K2018)</f>
        <v>Vc_PozycjaUszczegolawiajaca_2</v>
      </c>
      <c r="D2018" s="6" t="b">
        <v>1</v>
      </c>
      <c r="E2018" t="s">
        <v>1561</v>
      </c>
      <c r="F2018" s="6"/>
      <c r="G2018" t="b">
        <f t="shared" si="112"/>
        <v>0</v>
      </c>
      <c r="H2018" s="6" t="s">
        <v>1540</v>
      </c>
      <c r="I2018" t="s">
        <v>1655</v>
      </c>
      <c r="J2018">
        <v>2</v>
      </c>
      <c r="L2018" s="9" t="e">
        <f t="shared" si="108"/>
        <v>#VALUE!</v>
      </c>
    </row>
    <row r="2019" spans="1:12" x14ac:dyDescent="0.35">
      <c r="A2019">
        <f t="shared" si="109"/>
        <v>2018</v>
      </c>
      <c r="B2019" t="s">
        <v>102</v>
      </c>
      <c r="C2019" s="109" t="str">
        <f>IF(ISBLANK(K2019),IFERROR(VLOOKUP(I2019,FS_input_data!$C$307:$N$397,Export!J2019,FALSE),""),K2019)</f>
        <v/>
      </c>
      <c r="D2019" s="6"/>
      <c r="E2019" t="s">
        <v>1561</v>
      </c>
      <c r="F2019" s="6"/>
      <c r="G2019" t="b">
        <f t="shared" si="112"/>
        <v>0</v>
      </c>
      <c r="H2019" s="6" t="s">
        <v>1540</v>
      </c>
      <c r="I2019" t="s">
        <v>1561</v>
      </c>
      <c r="J2019" t="s">
        <v>1561</v>
      </c>
      <c r="L2019">
        <f t="shared" si="108"/>
        <v>1</v>
      </c>
    </row>
    <row r="2020" spans="1:12" x14ac:dyDescent="0.35">
      <c r="A2020">
        <f t="shared" si="109"/>
        <v>2019</v>
      </c>
      <c r="B2020" t="s">
        <v>527</v>
      </c>
      <c r="C2020" s="109" t="str">
        <f>IF(ISBLANK(K2020),IFERROR(VLOOKUP(I2020,FS_input_data!$C$307:$N$397,Export!J2020,FALSE),""),K2020)</f>
        <v/>
      </c>
      <c r="D2020" s="6"/>
      <c r="F2020" s="6"/>
      <c r="G2020" t="b">
        <f t="shared" si="112"/>
        <v>0</v>
      </c>
      <c r="H2020" s="6" t="s">
        <v>1540</v>
      </c>
      <c r="I2020" t="s">
        <v>1561</v>
      </c>
      <c r="J2020" t="s">
        <v>1561</v>
      </c>
      <c r="L2020" s="9" t="e">
        <f t="shared" si="108"/>
        <v>#VALUE!</v>
      </c>
    </row>
    <row r="2021" spans="1:12" x14ac:dyDescent="0.35">
      <c r="A2021" s="9">
        <f t="shared" si="109"/>
        <v>2020</v>
      </c>
      <c r="B2021" t="s">
        <v>109</v>
      </c>
      <c r="C2021" s="109">
        <f>IF(ISBLANK(K2021),IFERROR(VLOOKUP(I2021,FS_input_data!$C$307:$N$397,Export!J2021,FALSE),""),K2021)</f>
        <v>78</v>
      </c>
      <c r="D2021" s="6" t="b">
        <v>1</v>
      </c>
      <c r="E2021" t="s">
        <v>1561</v>
      </c>
      <c r="F2021" s="6"/>
      <c r="G2021" t="b">
        <f t="shared" si="112"/>
        <v>0</v>
      </c>
      <c r="H2021" s="6" t="s">
        <v>1540</v>
      </c>
      <c r="I2021" t="s">
        <v>1655</v>
      </c>
      <c r="J2021">
        <v>3</v>
      </c>
      <c r="L2021" s="9" t="e">
        <f t="shared" si="108"/>
        <v>#VALUE!</v>
      </c>
    </row>
    <row r="2022" spans="1:12" x14ac:dyDescent="0.35">
      <c r="A2022">
        <f t="shared" si="109"/>
        <v>2021</v>
      </c>
      <c r="B2022" t="s">
        <v>110</v>
      </c>
      <c r="C2022" s="109" t="str">
        <f>IF(ISBLANK(K2022),IFERROR(VLOOKUP(I2022,FS_input_data!$C$307:$N$397,Export!J2022,FALSE),""),K2022)</f>
        <v/>
      </c>
      <c r="D2022" s="6"/>
      <c r="F2022" s="6"/>
      <c r="G2022" t="b">
        <f t="shared" si="112"/>
        <v>0</v>
      </c>
      <c r="H2022" s="6" t="s">
        <v>1540</v>
      </c>
      <c r="I2022" t="s">
        <v>1561</v>
      </c>
      <c r="J2022" t="s">
        <v>1561</v>
      </c>
      <c r="L2022">
        <f t="shared" si="108"/>
        <v>1</v>
      </c>
    </row>
    <row r="2023" spans="1:12" x14ac:dyDescent="0.35">
      <c r="A2023" s="9">
        <f t="shared" si="109"/>
        <v>2022</v>
      </c>
      <c r="B2023" t="s">
        <v>111</v>
      </c>
      <c r="C2023" s="109">
        <f>IF(ISBLANK(K2023),IFERROR(VLOOKUP(I2023,FS_input_data!$C$307:$N$397,Export!J2023,FALSE),""),K2023)</f>
        <v>178</v>
      </c>
      <c r="D2023" s="6" t="b">
        <v>1</v>
      </c>
      <c r="E2023" t="s">
        <v>1561</v>
      </c>
      <c r="F2023" s="6"/>
      <c r="G2023" t="b">
        <f t="shared" si="112"/>
        <v>0</v>
      </c>
      <c r="H2023" s="6" t="s">
        <v>1540</v>
      </c>
      <c r="I2023" t="s">
        <v>1655</v>
      </c>
      <c r="J2023">
        <v>4</v>
      </c>
      <c r="L2023" s="9" t="e">
        <f t="shared" si="108"/>
        <v>#VALUE!</v>
      </c>
    </row>
    <row r="2024" spans="1:12" x14ac:dyDescent="0.35">
      <c r="A2024">
        <f t="shared" si="109"/>
        <v>2023</v>
      </c>
      <c r="B2024" t="s">
        <v>112</v>
      </c>
      <c r="C2024" s="109" t="str">
        <f>IF(ISBLANK(K2024),IFERROR(VLOOKUP(I2024,FS_input_data!$C$307:$N$397,Export!J2024,FALSE),""),K2024)</f>
        <v/>
      </c>
      <c r="D2024" s="6"/>
      <c r="E2024" t="s">
        <v>1561</v>
      </c>
      <c r="F2024" s="6"/>
      <c r="G2024" t="b">
        <f t="shared" si="112"/>
        <v>0</v>
      </c>
      <c r="H2024" s="6" t="s">
        <v>1540</v>
      </c>
      <c r="I2024" t="s">
        <v>1561</v>
      </c>
      <c r="J2024" t="s">
        <v>1561</v>
      </c>
      <c r="L2024">
        <f t="shared" si="108"/>
        <v>1</v>
      </c>
    </row>
    <row r="2025" spans="1:12" x14ac:dyDescent="0.35">
      <c r="A2025">
        <f t="shared" si="109"/>
        <v>2024</v>
      </c>
      <c r="B2025" t="s">
        <v>528</v>
      </c>
      <c r="C2025" s="109" t="str">
        <f>IF(ISBLANK(K2025),IFERROR(VLOOKUP(I2025,FS_input_data!$C$307:$N$397,Export!J2025,FALSE),""),K2025)</f>
        <v/>
      </c>
      <c r="D2025" s="6"/>
      <c r="E2025" t="s">
        <v>1561</v>
      </c>
      <c r="F2025" s="6"/>
      <c r="G2025" t="b">
        <f t="shared" si="112"/>
        <v>0</v>
      </c>
      <c r="H2025" s="6" t="s">
        <v>1540</v>
      </c>
      <c r="I2025" t="s">
        <v>1561</v>
      </c>
      <c r="J2025" t="s">
        <v>1561</v>
      </c>
      <c r="L2025">
        <f t="shared" si="108"/>
        <v>1</v>
      </c>
    </row>
    <row r="2026" spans="1:12" x14ac:dyDescent="0.35">
      <c r="A2026">
        <f t="shared" si="109"/>
        <v>2025</v>
      </c>
      <c r="B2026" t="s">
        <v>529</v>
      </c>
      <c r="C2026" s="109" t="str">
        <f>IF(ISBLANK(K2026),IFERROR(VLOOKUP(I2026,FS_input_data!$C$307:$N$397,Export!J2026,FALSE),""),K2026)</f>
        <v/>
      </c>
      <c r="D2026" s="6"/>
      <c r="E2026" t="s">
        <v>1561</v>
      </c>
      <c r="F2026" s="6"/>
      <c r="G2026" t="b">
        <f t="shared" si="112"/>
        <v>0</v>
      </c>
      <c r="H2026" s="6" t="s">
        <v>1540</v>
      </c>
      <c r="I2026" t="s">
        <v>1561</v>
      </c>
      <c r="J2026" t="s">
        <v>1561</v>
      </c>
      <c r="L2026">
        <f t="shared" si="108"/>
        <v>1</v>
      </c>
    </row>
    <row r="2027" spans="1:12" x14ac:dyDescent="0.35">
      <c r="A2027">
        <f t="shared" si="109"/>
        <v>2026</v>
      </c>
      <c r="B2027" t="s">
        <v>526</v>
      </c>
      <c r="C2027" s="109" t="str">
        <f>IF(ISBLANK(K2027),IFERROR(VLOOKUP(I2027,FS_input_data!$C$307:$N$397,Export!J2027,FALSE),""),K2027)</f>
        <v/>
      </c>
      <c r="D2027" s="6"/>
      <c r="E2027" t="s">
        <v>1657</v>
      </c>
      <c r="F2027" s="6"/>
      <c r="G2027" t="b">
        <f t="shared" ref="G2027:G2037" si="113">IF(capital_xml,AND($C$2031=0,$C$2033=0),TRUE)</f>
        <v>0</v>
      </c>
      <c r="H2027" s="6" t="s">
        <v>1540</v>
      </c>
      <c r="I2027" t="s">
        <v>1561</v>
      </c>
      <c r="J2027" t="s">
        <v>1561</v>
      </c>
      <c r="L2027" s="26" t="e">
        <f t="shared" si="108"/>
        <v>#VALUE!</v>
      </c>
    </row>
    <row r="2028" spans="1:12" x14ac:dyDescent="0.35">
      <c r="A2028" s="9">
        <f t="shared" si="109"/>
        <v>2027</v>
      </c>
      <c r="B2028" t="s">
        <v>101</v>
      </c>
      <c r="C2028" s="109" t="str">
        <f>IF(ISBLANK(K2028),IFERROR(VLOOKUP(I2028,FS_input_data!$C$307:$N$397,Export!J2028,FALSE),""),K2028)</f>
        <v>Vc_PozycjaUszczegolawiajaca_3</v>
      </c>
      <c r="D2028" s="6" t="b">
        <v>1</v>
      </c>
      <c r="E2028" t="s">
        <v>1561</v>
      </c>
      <c r="F2028" s="6"/>
      <c r="G2028" t="b">
        <f t="shared" si="113"/>
        <v>0</v>
      </c>
      <c r="H2028" s="6" t="s">
        <v>1540</v>
      </c>
      <c r="I2028" t="s">
        <v>1657</v>
      </c>
      <c r="J2028">
        <v>2</v>
      </c>
      <c r="L2028" s="9" t="e">
        <f t="shared" si="108"/>
        <v>#VALUE!</v>
      </c>
    </row>
    <row r="2029" spans="1:12" x14ac:dyDescent="0.35">
      <c r="A2029">
        <f t="shared" si="109"/>
        <v>2028</v>
      </c>
      <c r="B2029" t="s">
        <v>102</v>
      </c>
      <c r="C2029" s="109" t="str">
        <f>IF(ISBLANK(K2029),IFERROR(VLOOKUP(I2029,FS_input_data!$C$307:$N$397,Export!J2029,FALSE),""),K2029)</f>
        <v/>
      </c>
      <c r="D2029" s="6"/>
      <c r="E2029" t="s">
        <v>1561</v>
      </c>
      <c r="F2029" s="6"/>
      <c r="G2029" t="b">
        <f t="shared" si="113"/>
        <v>0</v>
      </c>
      <c r="H2029" s="6" t="s">
        <v>1540</v>
      </c>
      <c r="I2029" t="s">
        <v>1561</v>
      </c>
      <c r="J2029" t="s">
        <v>1561</v>
      </c>
      <c r="L2029">
        <f t="shared" si="108"/>
        <v>1</v>
      </c>
    </row>
    <row r="2030" spans="1:12" x14ac:dyDescent="0.35">
      <c r="A2030">
        <f t="shared" si="109"/>
        <v>2029</v>
      </c>
      <c r="B2030" t="s">
        <v>527</v>
      </c>
      <c r="C2030" s="109" t="str">
        <f>IF(ISBLANK(K2030),IFERROR(VLOOKUP(I2030,FS_input_data!$C$307:$N$397,Export!J2030,FALSE),""),K2030)</f>
        <v/>
      </c>
      <c r="D2030" s="6"/>
      <c r="F2030" s="6"/>
      <c r="G2030" t="b">
        <f t="shared" si="113"/>
        <v>0</v>
      </c>
      <c r="H2030" s="6" t="s">
        <v>1540</v>
      </c>
      <c r="I2030" t="s">
        <v>1561</v>
      </c>
      <c r="J2030" t="s">
        <v>1561</v>
      </c>
      <c r="L2030" s="9" t="e">
        <f t="shared" si="108"/>
        <v>#VALUE!</v>
      </c>
    </row>
    <row r="2031" spans="1:12" x14ac:dyDescent="0.35">
      <c r="A2031" s="9">
        <f t="shared" si="109"/>
        <v>2030</v>
      </c>
      <c r="B2031" t="s">
        <v>109</v>
      </c>
      <c r="C2031" s="109">
        <f>IF(ISBLANK(K2031),IFERROR(VLOOKUP(I2031,FS_input_data!$C$307:$N$397,Export!J2031,FALSE),""),K2031)</f>
        <v>79</v>
      </c>
      <c r="D2031" s="6" t="b">
        <v>1</v>
      </c>
      <c r="E2031" t="s">
        <v>1561</v>
      </c>
      <c r="F2031" s="6"/>
      <c r="G2031" t="b">
        <f t="shared" si="113"/>
        <v>0</v>
      </c>
      <c r="H2031" s="6" t="s">
        <v>1540</v>
      </c>
      <c r="I2031" t="s">
        <v>1657</v>
      </c>
      <c r="J2031">
        <v>3</v>
      </c>
      <c r="L2031" s="9" t="e">
        <f t="shared" si="108"/>
        <v>#VALUE!</v>
      </c>
    </row>
    <row r="2032" spans="1:12" x14ac:dyDescent="0.35">
      <c r="A2032">
        <f t="shared" si="109"/>
        <v>2031</v>
      </c>
      <c r="B2032" t="s">
        <v>110</v>
      </c>
      <c r="C2032" s="109" t="str">
        <f>IF(ISBLANK(K2032),IFERROR(VLOOKUP(I2032,FS_input_data!$C$307:$N$397,Export!J2032,FALSE),""),K2032)</f>
        <v/>
      </c>
      <c r="D2032" s="6"/>
      <c r="F2032" s="6"/>
      <c r="G2032" t="b">
        <f t="shared" si="113"/>
        <v>0</v>
      </c>
      <c r="H2032" s="6" t="s">
        <v>1540</v>
      </c>
      <c r="I2032" t="s">
        <v>1561</v>
      </c>
      <c r="J2032" t="s">
        <v>1561</v>
      </c>
      <c r="L2032">
        <f t="shared" si="108"/>
        <v>1</v>
      </c>
    </row>
    <row r="2033" spans="1:12" x14ac:dyDescent="0.35">
      <c r="A2033" s="9">
        <f t="shared" si="109"/>
        <v>2032</v>
      </c>
      <c r="B2033" t="s">
        <v>111</v>
      </c>
      <c r="C2033" s="109">
        <f>IF(ISBLANK(K2033),IFERROR(VLOOKUP(I2033,FS_input_data!$C$307:$N$397,Export!J2033,FALSE),""),K2033)</f>
        <v>179</v>
      </c>
      <c r="D2033" s="6" t="b">
        <v>1</v>
      </c>
      <c r="E2033" t="s">
        <v>1561</v>
      </c>
      <c r="F2033" s="6"/>
      <c r="G2033" t="b">
        <f t="shared" si="113"/>
        <v>0</v>
      </c>
      <c r="H2033" s="6" t="s">
        <v>1540</v>
      </c>
      <c r="I2033" t="s">
        <v>1657</v>
      </c>
      <c r="J2033">
        <v>4</v>
      </c>
      <c r="L2033" s="9" t="e">
        <f t="shared" si="108"/>
        <v>#VALUE!</v>
      </c>
    </row>
    <row r="2034" spans="1:12" x14ac:dyDescent="0.35">
      <c r="A2034">
        <f t="shared" si="109"/>
        <v>2033</v>
      </c>
      <c r="B2034" t="s">
        <v>112</v>
      </c>
      <c r="C2034" s="109" t="str">
        <f>IF(ISBLANK(K2034),IFERROR(VLOOKUP(I2034,FS_input_data!$C$307:$N$397,Export!J2034,FALSE),""),K2034)</f>
        <v/>
      </c>
      <c r="D2034" s="6"/>
      <c r="E2034" t="s">
        <v>1561</v>
      </c>
      <c r="F2034" s="6"/>
      <c r="G2034" t="b">
        <f t="shared" si="113"/>
        <v>0</v>
      </c>
      <c r="H2034" s="6" t="s">
        <v>1540</v>
      </c>
      <c r="I2034" t="s">
        <v>1561</v>
      </c>
      <c r="J2034" t="s">
        <v>1561</v>
      </c>
      <c r="L2034">
        <f t="shared" si="108"/>
        <v>1</v>
      </c>
    </row>
    <row r="2035" spans="1:12" x14ac:dyDescent="0.35">
      <c r="A2035">
        <f t="shared" si="109"/>
        <v>2034</v>
      </c>
      <c r="B2035" t="s">
        <v>528</v>
      </c>
      <c r="C2035" s="109" t="str">
        <f>IF(ISBLANK(K2035),IFERROR(VLOOKUP(I2035,FS_input_data!$C$307:$N$397,Export!J2035,FALSE),""),K2035)</f>
        <v/>
      </c>
      <c r="D2035" s="6"/>
      <c r="E2035" t="s">
        <v>1561</v>
      </c>
      <c r="F2035" s="6"/>
      <c r="G2035" t="b">
        <f t="shared" si="113"/>
        <v>0</v>
      </c>
      <c r="H2035" s="6" t="s">
        <v>1540</v>
      </c>
      <c r="I2035" t="s">
        <v>1561</v>
      </c>
      <c r="J2035" t="s">
        <v>1561</v>
      </c>
      <c r="L2035">
        <f t="shared" si="108"/>
        <v>1</v>
      </c>
    </row>
    <row r="2036" spans="1:12" x14ac:dyDescent="0.35">
      <c r="A2036">
        <f t="shared" si="109"/>
        <v>2035</v>
      </c>
      <c r="B2036" t="s">
        <v>529</v>
      </c>
      <c r="C2036" s="109" t="str">
        <f>IF(ISBLANK(K2036),IFERROR(VLOOKUP(I2036,FS_input_data!$C$307:$N$397,Export!J2036,FALSE),""),K2036)</f>
        <v/>
      </c>
      <c r="D2036" s="6"/>
      <c r="E2036" t="s">
        <v>1561</v>
      </c>
      <c r="F2036" s="6"/>
      <c r="G2036" t="b">
        <f t="shared" si="113"/>
        <v>0</v>
      </c>
      <c r="H2036" s="6" t="s">
        <v>1540</v>
      </c>
      <c r="I2036" t="s">
        <v>1561</v>
      </c>
      <c r="J2036" t="s">
        <v>1561</v>
      </c>
      <c r="L2036">
        <f t="shared" si="108"/>
        <v>1</v>
      </c>
    </row>
    <row r="2037" spans="1:12" x14ac:dyDescent="0.35">
      <c r="A2037">
        <f t="shared" si="109"/>
        <v>2036</v>
      </c>
      <c r="B2037" t="s">
        <v>610</v>
      </c>
      <c r="C2037" s="109" t="str">
        <f>IF(ISBLANK(K2037),IFERROR(VLOOKUP(I2037,FS_input_data!$C$307:$N$397,Export!J2037,FALSE),""),K2037)</f>
        <v/>
      </c>
      <c r="D2037" s="6"/>
      <c r="E2037" t="s">
        <v>1561</v>
      </c>
      <c r="F2037" s="6"/>
      <c r="G2037" t="b">
        <f t="shared" si="113"/>
        <v>0</v>
      </c>
      <c r="H2037" s="6" t="s">
        <v>1540</v>
      </c>
      <c r="I2037" t="s">
        <v>1561</v>
      </c>
      <c r="J2037" t="s">
        <v>1561</v>
      </c>
      <c r="L2037">
        <f t="shared" si="108"/>
        <v>1</v>
      </c>
    </row>
    <row r="2038" spans="1:12" x14ac:dyDescent="0.35">
      <c r="A2038">
        <f t="shared" si="109"/>
        <v>2037</v>
      </c>
      <c r="B2038" t="s">
        <v>611</v>
      </c>
      <c r="C2038" s="109" t="str">
        <f>IF(ISBLANK(K2038),IFERROR(VLOOKUP(I2038,FS_input_data!$C$307:$N$397,Export!J2038,FALSE),""),K2038)</f>
        <v/>
      </c>
      <c r="D2038" s="6"/>
      <c r="E2038" t="s">
        <v>1560</v>
      </c>
      <c r="F2038" s="6"/>
      <c r="G2038" t="b">
        <f>IF(capital_xml,AND($C$2039=0,$C$2041=0),TRUE)</f>
        <v>0</v>
      </c>
      <c r="H2038" s="6" t="s">
        <v>1540</v>
      </c>
      <c r="I2038" t="s">
        <v>1561</v>
      </c>
      <c r="J2038" t="s">
        <v>1561</v>
      </c>
      <c r="L2038" s="26" t="e">
        <f t="shared" si="108"/>
        <v>#VALUE!</v>
      </c>
    </row>
    <row r="2039" spans="1:12" x14ac:dyDescent="0.35">
      <c r="A2039" s="9">
        <f t="shared" si="109"/>
        <v>2038</v>
      </c>
      <c r="B2039" t="s">
        <v>109</v>
      </c>
      <c r="C2039" s="109">
        <f>IF(ISBLANK(K2039),IFERROR(VLOOKUP(I2039,FS_input_data!$C$307:$N$397,Export!J2039,FALSE),""),K2039)</f>
        <v>246</v>
      </c>
      <c r="D2039" s="6" t="b">
        <v>1</v>
      </c>
      <c r="E2039" t="s">
        <v>1561</v>
      </c>
      <c r="F2039" s="6"/>
      <c r="G2039" t="b">
        <f>IF(capital_xml,AND($C$2039=0,$C$2041=0),TRUE)</f>
        <v>0</v>
      </c>
      <c r="H2039" s="6" t="s">
        <v>1540</v>
      </c>
      <c r="I2039" t="s">
        <v>1658</v>
      </c>
      <c r="J2039">
        <v>3</v>
      </c>
      <c r="L2039" s="9" t="e">
        <f t="shared" si="108"/>
        <v>#VALUE!</v>
      </c>
    </row>
    <row r="2040" spans="1:12" x14ac:dyDescent="0.35">
      <c r="A2040">
        <f t="shared" si="109"/>
        <v>2039</v>
      </c>
      <c r="B2040" t="s">
        <v>110</v>
      </c>
      <c r="C2040" s="109" t="str">
        <f>IF(ISBLANK(K2040),IFERROR(VLOOKUP(I2040,FS_input_data!$C$307:$N$397,Export!J2040,FALSE),""),K2040)</f>
        <v/>
      </c>
      <c r="D2040" s="6"/>
      <c r="F2040" s="6"/>
      <c r="G2040" t="b">
        <f>IF(capital_xml,AND($C$2039=0,$C$2041=0),TRUE)</f>
        <v>0</v>
      </c>
      <c r="H2040" s="6" t="s">
        <v>1540</v>
      </c>
      <c r="I2040" t="s">
        <v>1561</v>
      </c>
      <c r="J2040" t="s">
        <v>1561</v>
      </c>
      <c r="L2040">
        <f t="shared" si="108"/>
        <v>1</v>
      </c>
    </row>
    <row r="2041" spans="1:12" x14ac:dyDescent="0.35">
      <c r="A2041" s="9">
        <f t="shared" si="109"/>
        <v>2040</v>
      </c>
      <c r="B2041" t="s">
        <v>111</v>
      </c>
      <c r="C2041" s="109">
        <f>IF(ISBLANK(K2041),IFERROR(VLOOKUP(I2041,FS_input_data!$C$307:$N$397,Export!J2041,FALSE),""),K2041)</f>
        <v>546</v>
      </c>
      <c r="D2041" s="6" t="b">
        <v>1</v>
      </c>
      <c r="E2041" t="s">
        <v>1561</v>
      </c>
      <c r="F2041" s="6"/>
      <c r="G2041" t="b">
        <f>IF(capital_xml,AND($C$2039=0,$C$2041=0),TRUE)</f>
        <v>0</v>
      </c>
      <c r="H2041" s="6" t="s">
        <v>1540</v>
      </c>
      <c r="I2041" t="s">
        <v>1658</v>
      </c>
      <c r="J2041">
        <v>4</v>
      </c>
      <c r="L2041" s="9" t="e">
        <f t="shared" si="108"/>
        <v>#VALUE!</v>
      </c>
    </row>
    <row r="2042" spans="1:12" x14ac:dyDescent="0.35">
      <c r="A2042">
        <f t="shared" si="109"/>
        <v>2041</v>
      </c>
      <c r="B2042" t="s">
        <v>112</v>
      </c>
      <c r="C2042" s="109" t="str">
        <f>IF(ISBLANK(K2042),IFERROR(VLOOKUP(I2042,FS_input_data!$C$307:$N$397,Export!J2042,FALSE),""),K2042)</f>
        <v/>
      </c>
      <c r="D2042" s="6"/>
      <c r="E2042" t="s">
        <v>1561</v>
      </c>
      <c r="F2042" s="6"/>
      <c r="G2042" t="b">
        <f>IF(capital_xml,AND($C$2039=0,$C$2041=0),TRUE)</f>
        <v>0</v>
      </c>
      <c r="H2042" s="6" t="s">
        <v>1540</v>
      </c>
      <c r="I2042" t="s">
        <v>1561</v>
      </c>
      <c r="J2042" t="s">
        <v>1561</v>
      </c>
      <c r="L2042">
        <f t="shared" si="108"/>
        <v>1</v>
      </c>
    </row>
    <row r="2043" spans="1:12" x14ac:dyDescent="0.35">
      <c r="A2043">
        <f t="shared" si="109"/>
        <v>2042</v>
      </c>
      <c r="B2043" t="s">
        <v>574</v>
      </c>
      <c r="C2043" s="109" t="str">
        <f>IF(ISBLANK(K2043),IFERROR(VLOOKUP(I2043,FS_input_data!$C$307:$N$397,Export!J2043,FALSE),""),K2043)</f>
        <v/>
      </c>
      <c r="D2043" s="6"/>
      <c r="E2043" t="s">
        <v>1660</v>
      </c>
      <c r="F2043" s="6"/>
      <c r="G2043" t="b">
        <f t="shared" ref="G2043:G2052" si="114">IF(capital_xml,AND($C$2047=0,$C$2049=0),TRUE)</f>
        <v>0</v>
      </c>
      <c r="H2043" s="6" t="s">
        <v>1540</v>
      </c>
      <c r="I2043" t="s">
        <v>1561</v>
      </c>
      <c r="J2043" t="s">
        <v>1561</v>
      </c>
      <c r="L2043" s="9" t="e">
        <f t="shared" si="108"/>
        <v>#VALUE!</v>
      </c>
    </row>
    <row r="2044" spans="1:12" x14ac:dyDescent="0.35">
      <c r="A2044" s="9">
        <f t="shared" si="109"/>
        <v>2043</v>
      </c>
      <c r="B2044" t="s">
        <v>101</v>
      </c>
      <c r="C2044" s="109" t="str">
        <f>IF(ISBLANK(K2044),IFERROR(VLOOKUP(I2044,FS_input_data!$C$307:$N$397,Export!J2044,FALSE),""),K2044)</f>
        <v>Vd_PozycjaUszczegolawiajaca_1</v>
      </c>
      <c r="D2044" s="6" t="b">
        <v>1</v>
      </c>
      <c r="E2044" t="s">
        <v>1561</v>
      </c>
      <c r="F2044" s="6"/>
      <c r="G2044" t="b">
        <f t="shared" si="114"/>
        <v>0</v>
      </c>
      <c r="H2044" s="6" t="s">
        <v>1540</v>
      </c>
      <c r="I2044" t="s">
        <v>1660</v>
      </c>
      <c r="J2044">
        <v>2</v>
      </c>
      <c r="L2044" s="9" t="e">
        <f t="shared" si="108"/>
        <v>#VALUE!</v>
      </c>
    </row>
    <row r="2045" spans="1:12" x14ac:dyDescent="0.35">
      <c r="A2045">
        <f t="shared" si="109"/>
        <v>2044</v>
      </c>
      <c r="B2045" t="s">
        <v>102</v>
      </c>
      <c r="C2045" s="109" t="str">
        <f>IF(ISBLANK(K2045),IFERROR(VLOOKUP(I2045,FS_input_data!$C$307:$N$397,Export!J2045,FALSE),""),K2045)</f>
        <v/>
      </c>
      <c r="D2045" s="6"/>
      <c r="E2045" t="s">
        <v>1561</v>
      </c>
      <c r="F2045" s="6"/>
      <c r="G2045" t="b">
        <f t="shared" si="114"/>
        <v>0</v>
      </c>
      <c r="H2045" s="6" t="s">
        <v>1540</v>
      </c>
      <c r="I2045" t="s">
        <v>1561</v>
      </c>
      <c r="J2045" t="s">
        <v>1561</v>
      </c>
      <c r="L2045">
        <f t="shared" si="108"/>
        <v>1</v>
      </c>
    </row>
    <row r="2046" spans="1:12" x14ac:dyDescent="0.35">
      <c r="A2046">
        <f t="shared" si="109"/>
        <v>2045</v>
      </c>
      <c r="B2046" t="s">
        <v>527</v>
      </c>
      <c r="C2046" s="109" t="str">
        <f>IF(ISBLANK(K2046),IFERROR(VLOOKUP(I2046,FS_input_data!$C$307:$N$397,Export!J2046,FALSE),""),K2046)</f>
        <v/>
      </c>
      <c r="D2046" s="6"/>
      <c r="F2046" s="6"/>
      <c r="G2046" t="b">
        <f t="shared" si="114"/>
        <v>0</v>
      </c>
      <c r="H2046" s="6" t="s">
        <v>1540</v>
      </c>
      <c r="I2046" t="s">
        <v>1561</v>
      </c>
      <c r="J2046" t="s">
        <v>1561</v>
      </c>
      <c r="L2046" s="9" t="e">
        <f t="shared" si="108"/>
        <v>#VALUE!</v>
      </c>
    </row>
    <row r="2047" spans="1:12" x14ac:dyDescent="0.35">
      <c r="A2047" s="9">
        <f t="shared" si="109"/>
        <v>2046</v>
      </c>
      <c r="B2047" t="s">
        <v>109</v>
      </c>
      <c r="C2047" s="109">
        <f>IF(ISBLANK(K2047),IFERROR(VLOOKUP(I2047,FS_input_data!$C$307:$N$397,Export!J2047,FALSE),""),K2047)</f>
        <v>81</v>
      </c>
      <c r="D2047" s="6" t="b">
        <v>1</v>
      </c>
      <c r="E2047" t="s">
        <v>1561</v>
      </c>
      <c r="F2047" s="6"/>
      <c r="G2047" t="b">
        <f t="shared" si="114"/>
        <v>0</v>
      </c>
      <c r="H2047" s="6" t="s">
        <v>1540</v>
      </c>
      <c r="I2047" t="s">
        <v>1660</v>
      </c>
      <c r="J2047">
        <v>3</v>
      </c>
      <c r="L2047" s="9" t="e">
        <f t="shared" si="108"/>
        <v>#VALUE!</v>
      </c>
    </row>
    <row r="2048" spans="1:12" x14ac:dyDescent="0.35">
      <c r="A2048">
        <f t="shared" si="109"/>
        <v>2047</v>
      </c>
      <c r="B2048" t="s">
        <v>110</v>
      </c>
      <c r="C2048" s="109" t="str">
        <f>IF(ISBLANK(K2048),IFERROR(VLOOKUP(I2048,FS_input_data!$C$307:$N$397,Export!J2048,FALSE),""),K2048)</f>
        <v/>
      </c>
      <c r="D2048" s="6"/>
      <c r="F2048" s="6"/>
      <c r="G2048" t="b">
        <f t="shared" si="114"/>
        <v>0</v>
      </c>
      <c r="H2048" s="6" t="s">
        <v>1540</v>
      </c>
      <c r="I2048" t="s">
        <v>1561</v>
      </c>
      <c r="J2048" t="s">
        <v>1561</v>
      </c>
      <c r="L2048">
        <f t="shared" si="108"/>
        <v>1</v>
      </c>
    </row>
    <row r="2049" spans="1:12" x14ac:dyDescent="0.35">
      <c r="A2049" s="9">
        <f t="shared" si="109"/>
        <v>2048</v>
      </c>
      <c r="B2049" t="s">
        <v>111</v>
      </c>
      <c r="C2049" s="109">
        <f>IF(ISBLANK(K2049),IFERROR(VLOOKUP(I2049,FS_input_data!$C$307:$N$397,Export!J2049,FALSE),""),K2049)</f>
        <v>181</v>
      </c>
      <c r="D2049" s="6" t="b">
        <v>1</v>
      </c>
      <c r="E2049" t="s">
        <v>1561</v>
      </c>
      <c r="F2049" s="6"/>
      <c r="G2049" t="b">
        <f t="shared" si="114"/>
        <v>0</v>
      </c>
      <c r="H2049" s="6" t="s">
        <v>1540</v>
      </c>
      <c r="I2049" t="s">
        <v>1660</v>
      </c>
      <c r="J2049">
        <v>4</v>
      </c>
      <c r="L2049" s="9" t="e">
        <f t="shared" si="108"/>
        <v>#VALUE!</v>
      </c>
    </row>
    <row r="2050" spans="1:12" x14ac:dyDescent="0.35">
      <c r="A2050">
        <f t="shared" si="109"/>
        <v>2049</v>
      </c>
      <c r="B2050" t="s">
        <v>112</v>
      </c>
      <c r="C2050" s="109" t="str">
        <f>IF(ISBLANK(K2050),IFERROR(VLOOKUP(I2050,FS_input_data!$C$307:$N$397,Export!J2050,FALSE),""),K2050)</f>
        <v/>
      </c>
      <c r="D2050" s="6"/>
      <c r="E2050" t="s">
        <v>1561</v>
      </c>
      <c r="F2050" s="6"/>
      <c r="G2050" t="b">
        <f t="shared" si="114"/>
        <v>0</v>
      </c>
      <c r="H2050" s="6" t="s">
        <v>1540</v>
      </c>
      <c r="I2050" t="s">
        <v>1561</v>
      </c>
      <c r="J2050" t="s">
        <v>1561</v>
      </c>
      <c r="L2050">
        <f t="shared" ref="L2050:L2113" si="115">FIND("/",B2050)</f>
        <v>1</v>
      </c>
    </row>
    <row r="2051" spans="1:12" x14ac:dyDescent="0.35">
      <c r="A2051">
        <f t="shared" ref="A2051:A2114" si="116">A2050+1</f>
        <v>2050</v>
      </c>
      <c r="B2051" t="s">
        <v>528</v>
      </c>
      <c r="C2051" s="109" t="str">
        <f>IF(ISBLANK(K2051),IFERROR(VLOOKUP(I2051,FS_input_data!$C$307:$N$397,Export!J2051,FALSE),""),K2051)</f>
        <v/>
      </c>
      <c r="D2051" s="6"/>
      <c r="E2051" t="s">
        <v>1561</v>
      </c>
      <c r="F2051" s="6"/>
      <c r="G2051" t="b">
        <f t="shared" si="114"/>
        <v>0</v>
      </c>
      <c r="H2051" s="6" t="s">
        <v>1540</v>
      </c>
      <c r="I2051" t="s">
        <v>1561</v>
      </c>
      <c r="J2051" t="s">
        <v>1561</v>
      </c>
      <c r="L2051">
        <f t="shared" si="115"/>
        <v>1</v>
      </c>
    </row>
    <row r="2052" spans="1:12" x14ac:dyDescent="0.35">
      <c r="A2052">
        <f t="shared" si="116"/>
        <v>2051</v>
      </c>
      <c r="B2052" t="s">
        <v>575</v>
      </c>
      <c r="C2052" s="109" t="str">
        <f>IF(ISBLANK(K2052),IFERROR(VLOOKUP(I2052,FS_input_data!$C$307:$N$397,Export!J2052,FALSE),""),K2052)</f>
        <v/>
      </c>
      <c r="D2052" s="6"/>
      <c r="E2052" t="s">
        <v>1561</v>
      </c>
      <c r="F2052" s="6"/>
      <c r="G2052" t="b">
        <f t="shared" si="114"/>
        <v>0</v>
      </c>
      <c r="H2052" s="6" t="s">
        <v>1540</v>
      </c>
      <c r="I2052" t="s">
        <v>1561</v>
      </c>
      <c r="J2052" t="s">
        <v>1561</v>
      </c>
      <c r="L2052">
        <f t="shared" si="115"/>
        <v>1</v>
      </c>
    </row>
    <row r="2053" spans="1:12" x14ac:dyDescent="0.35">
      <c r="A2053">
        <f t="shared" si="116"/>
        <v>2052</v>
      </c>
      <c r="B2053" t="s">
        <v>574</v>
      </c>
      <c r="C2053" s="109" t="str">
        <f>IF(ISBLANK(K2053),IFERROR(VLOOKUP(I2053,FS_input_data!$C$307:$N$397,Export!J2053,FALSE),""),K2053)</f>
        <v/>
      </c>
      <c r="D2053" s="6"/>
      <c r="E2053" t="s">
        <v>1661</v>
      </c>
      <c r="F2053" s="6"/>
      <c r="G2053" t="b">
        <f t="shared" ref="G2053:G2062" si="117">IF(capital_xml,AND($C$2057=0,$C$2059=0),TRUE)</f>
        <v>0</v>
      </c>
      <c r="H2053" s="6" t="s">
        <v>1540</v>
      </c>
      <c r="I2053" t="s">
        <v>1561</v>
      </c>
      <c r="J2053" t="s">
        <v>1561</v>
      </c>
      <c r="L2053" s="9" t="e">
        <f t="shared" si="115"/>
        <v>#VALUE!</v>
      </c>
    </row>
    <row r="2054" spans="1:12" x14ac:dyDescent="0.35">
      <c r="A2054" s="9">
        <f t="shared" si="116"/>
        <v>2053</v>
      </c>
      <c r="B2054" t="s">
        <v>101</v>
      </c>
      <c r="C2054" s="109" t="str">
        <f>IF(ISBLANK(K2054),IFERROR(VLOOKUP(I2054,FS_input_data!$C$307:$N$397,Export!J2054,FALSE),""),K2054)</f>
        <v>Vd_PozycjaUszczegolawiajaca_2</v>
      </c>
      <c r="D2054" s="6" t="b">
        <v>1</v>
      </c>
      <c r="E2054" t="s">
        <v>1561</v>
      </c>
      <c r="F2054" s="6"/>
      <c r="G2054" t="b">
        <f t="shared" si="117"/>
        <v>0</v>
      </c>
      <c r="H2054" s="6" t="s">
        <v>1540</v>
      </c>
      <c r="I2054" t="s">
        <v>1661</v>
      </c>
      <c r="J2054">
        <v>2</v>
      </c>
      <c r="L2054" s="9" t="e">
        <f t="shared" si="115"/>
        <v>#VALUE!</v>
      </c>
    </row>
    <row r="2055" spans="1:12" x14ac:dyDescent="0.35">
      <c r="A2055">
        <f t="shared" si="116"/>
        <v>2054</v>
      </c>
      <c r="B2055" t="s">
        <v>102</v>
      </c>
      <c r="C2055" s="109" t="str">
        <f>IF(ISBLANK(K2055),IFERROR(VLOOKUP(I2055,FS_input_data!$C$307:$N$397,Export!J2055,FALSE),""),K2055)</f>
        <v/>
      </c>
      <c r="D2055" s="6"/>
      <c r="E2055" t="s">
        <v>1561</v>
      </c>
      <c r="F2055" s="6"/>
      <c r="G2055" t="b">
        <f t="shared" si="117"/>
        <v>0</v>
      </c>
      <c r="H2055" s="6" t="s">
        <v>1540</v>
      </c>
      <c r="I2055" t="s">
        <v>1561</v>
      </c>
      <c r="J2055" t="s">
        <v>1561</v>
      </c>
      <c r="L2055">
        <f t="shared" si="115"/>
        <v>1</v>
      </c>
    </row>
    <row r="2056" spans="1:12" x14ac:dyDescent="0.35">
      <c r="A2056">
        <f t="shared" si="116"/>
        <v>2055</v>
      </c>
      <c r="B2056" t="s">
        <v>527</v>
      </c>
      <c r="C2056" s="109" t="str">
        <f>IF(ISBLANK(K2056),IFERROR(VLOOKUP(I2056,FS_input_data!$C$307:$N$397,Export!J2056,FALSE),""),K2056)</f>
        <v/>
      </c>
      <c r="D2056" s="6"/>
      <c r="F2056" s="6"/>
      <c r="G2056" t="b">
        <f t="shared" si="117"/>
        <v>0</v>
      </c>
      <c r="H2056" s="6" t="s">
        <v>1540</v>
      </c>
      <c r="I2056" t="s">
        <v>1561</v>
      </c>
      <c r="J2056" t="s">
        <v>1561</v>
      </c>
      <c r="L2056" s="9" t="e">
        <f t="shared" si="115"/>
        <v>#VALUE!</v>
      </c>
    </row>
    <row r="2057" spans="1:12" x14ac:dyDescent="0.35">
      <c r="A2057" s="9">
        <f t="shared" si="116"/>
        <v>2056</v>
      </c>
      <c r="B2057" t="s">
        <v>109</v>
      </c>
      <c r="C2057" s="109">
        <f>IF(ISBLANK(K2057),IFERROR(VLOOKUP(I2057,FS_input_data!$C$307:$N$397,Export!J2057,FALSE),""),K2057)</f>
        <v>82</v>
      </c>
      <c r="D2057" s="6" t="b">
        <v>1</v>
      </c>
      <c r="E2057" t="s">
        <v>1561</v>
      </c>
      <c r="F2057" s="6"/>
      <c r="G2057" t="b">
        <f t="shared" si="117"/>
        <v>0</v>
      </c>
      <c r="H2057" s="6" t="s">
        <v>1540</v>
      </c>
      <c r="I2057" t="s">
        <v>1661</v>
      </c>
      <c r="J2057">
        <v>3</v>
      </c>
      <c r="L2057" s="9" t="e">
        <f t="shared" si="115"/>
        <v>#VALUE!</v>
      </c>
    </row>
    <row r="2058" spans="1:12" x14ac:dyDescent="0.35">
      <c r="A2058">
        <f t="shared" si="116"/>
        <v>2057</v>
      </c>
      <c r="B2058" t="s">
        <v>110</v>
      </c>
      <c r="C2058" s="109" t="str">
        <f>IF(ISBLANK(K2058),IFERROR(VLOOKUP(I2058,FS_input_data!$C$307:$N$397,Export!J2058,FALSE),""),K2058)</f>
        <v/>
      </c>
      <c r="D2058" s="6"/>
      <c r="F2058" s="6"/>
      <c r="G2058" t="b">
        <f t="shared" si="117"/>
        <v>0</v>
      </c>
      <c r="H2058" s="6" t="s">
        <v>1540</v>
      </c>
      <c r="I2058" t="s">
        <v>1561</v>
      </c>
      <c r="J2058" t="s">
        <v>1561</v>
      </c>
      <c r="L2058">
        <f t="shared" si="115"/>
        <v>1</v>
      </c>
    </row>
    <row r="2059" spans="1:12" x14ac:dyDescent="0.35">
      <c r="A2059" s="9">
        <f t="shared" si="116"/>
        <v>2058</v>
      </c>
      <c r="B2059" t="s">
        <v>111</v>
      </c>
      <c r="C2059" s="109">
        <f>IF(ISBLANK(K2059),IFERROR(VLOOKUP(I2059,FS_input_data!$C$307:$N$397,Export!J2059,FALSE),""),K2059)</f>
        <v>182</v>
      </c>
      <c r="D2059" s="6" t="b">
        <v>1</v>
      </c>
      <c r="E2059" t="s">
        <v>1561</v>
      </c>
      <c r="F2059" s="6"/>
      <c r="G2059" t="b">
        <f t="shared" si="117"/>
        <v>0</v>
      </c>
      <c r="H2059" s="6" t="s">
        <v>1540</v>
      </c>
      <c r="I2059" t="s">
        <v>1661</v>
      </c>
      <c r="J2059">
        <v>4</v>
      </c>
      <c r="L2059" s="9" t="e">
        <f t="shared" si="115"/>
        <v>#VALUE!</v>
      </c>
    </row>
    <row r="2060" spans="1:12" x14ac:dyDescent="0.35">
      <c r="A2060">
        <f t="shared" si="116"/>
        <v>2059</v>
      </c>
      <c r="B2060" t="s">
        <v>112</v>
      </c>
      <c r="C2060" s="109" t="str">
        <f>IF(ISBLANK(K2060),IFERROR(VLOOKUP(I2060,FS_input_data!$C$307:$N$397,Export!J2060,FALSE),""),K2060)</f>
        <v/>
      </c>
      <c r="D2060" s="6"/>
      <c r="E2060" t="s">
        <v>1561</v>
      </c>
      <c r="F2060" s="6"/>
      <c r="G2060" t="b">
        <f t="shared" si="117"/>
        <v>0</v>
      </c>
      <c r="H2060" s="6" t="s">
        <v>1540</v>
      </c>
      <c r="I2060" t="s">
        <v>1561</v>
      </c>
      <c r="J2060" t="s">
        <v>1561</v>
      </c>
      <c r="L2060">
        <f t="shared" si="115"/>
        <v>1</v>
      </c>
    </row>
    <row r="2061" spans="1:12" x14ac:dyDescent="0.35">
      <c r="A2061">
        <f t="shared" si="116"/>
        <v>2060</v>
      </c>
      <c r="B2061" t="s">
        <v>528</v>
      </c>
      <c r="C2061" s="109" t="str">
        <f>IF(ISBLANK(K2061),IFERROR(VLOOKUP(I2061,FS_input_data!$C$307:$N$397,Export!J2061,FALSE),""),K2061)</f>
        <v/>
      </c>
      <c r="D2061" s="6"/>
      <c r="E2061" t="s">
        <v>1561</v>
      </c>
      <c r="F2061" s="6"/>
      <c r="G2061" t="b">
        <f t="shared" si="117"/>
        <v>0</v>
      </c>
      <c r="H2061" s="6" t="s">
        <v>1540</v>
      </c>
      <c r="I2061" t="s">
        <v>1561</v>
      </c>
      <c r="J2061" t="s">
        <v>1561</v>
      </c>
      <c r="L2061">
        <f t="shared" si="115"/>
        <v>1</v>
      </c>
    </row>
    <row r="2062" spans="1:12" x14ac:dyDescent="0.35">
      <c r="A2062">
        <f t="shared" si="116"/>
        <v>2061</v>
      </c>
      <c r="B2062" t="s">
        <v>575</v>
      </c>
      <c r="C2062" s="109" t="str">
        <f>IF(ISBLANK(K2062),IFERROR(VLOOKUP(I2062,FS_input_data!$C$307:$N$397,Export!J2062,FALSE),""),K2062)</f>
        <v/>
      </c>
      <c r="D2062" s="6"/>
      <c r="E2062" t="s">
        <v>1561</v>
      </c>
      <c r="F2062" s="6"/>
      <c r="G2062" t="b">
        <f t="shared" si="117"/>
        <v>0</v>
      </c>
      <c r="H2062" s="6" t="s">
        <v>1540</v>
      </c>
      <c r="I2062" t="s">
        <v>1561</v>
      </c>
      <c r="J2062" t="s">
        <v>1561</v>
      </c>
      <c r="L2062">
        <f t="shared" si="115"/>
        <v>1</v>
      </c>
    </row>
    <row r="2063" spans="1:12" x14ac:dyDescent="0.35">
      <c r="A2063">
        <f t="shared" si="116"/>
        <v>2062</v>
      </c>
      <c r="B2063" t="s">
        <v>574</v>
      </c>
      <c r="C2063" s="109" t="str">
        <f>IF(ISBLANK(K2063),IFERROR(VLOOKUP(I2063,FS_input_data!$C$307:$N$397,Export!J2063,FALSE),""),K2063)</f>
        <v/>
      </c>
      <c r="D2063" s="6"/>
      <c r="E2063" t="s">
        <v>1662</v>
      </c>
      <c r="F2063" s="6"/>
      <c r="G2063" t="b">
        <f t="shared" ref="G2063:G2074" si="118">IF(capital_xml,AND($C$2067=0,$C$2069=0),TRUE)</f>
        <v>0</v>
      </c>
      <c r="H2063" s="6" t="s">
        <v>1540</v>
      </c>
      <c r="I2063" t="s">
        <v>1561</v>
      </c>
      <c r="J2063" t="s">
        <v>1561</v>
      </c>
      <c r="L2063" s="9" t="e">
        <f t="shared" si="115"/>
        <v>#VALUE!</v>
      </c>
    </row>
    <row r="2064" spans="1:12" x14ac:dyDescent="0.35">
      <c r="A2064" s="9">
        <f t="shared" si="116"/>
        <v>2063</v>
      </c>
      <c r="B2064" t="s">
        <v>101</v>
      </c>
      <c r="C2064" s="109" t="str">
        <f>IF(ISBLANK(K2064),IFERROR(VLOOKUP(I2064,FS_input_data!$C$307:$N$397,Export!J2064,FALSE),""),K2064)</f>
        <v>Vd_PozycjaUszczegolawiajaca_3</v>
      </c>
      <c r="D2064" s="6" t="b">
        <v>1</v>
      </c>
      <c r="E2064" t="s">
        <v>1561</v>
      </c>
      <c r="F2064" s="6"/>
      <c r="G2064" t="b">
        <f t="shared" si="118"/>
        <v>0</v>
      </c>
      <c r="H2064" s="6" t="s">
        <v>1540</v>
      </c>
      <c r="I2064" t="s">
        <v>1662</v>
      </c>
      <c r="J2064">
        <v>2</v>
      </c>
      <c r="L2064" s="9" t="e">
        <f t="shared" si="115"/>
        <v>#VALUE!</v>
      </c>
    </row>
    <row r="2065" spans="1:12" x14ac:dyDescent="0.35">
      <c r="A2065">
        <f t="shared" si="116"/>
        <v>2064</v>
      </c>
      <c r="B2065" t="s">
        <v>102</v>
      </c>
      <c r="C2065" s="109" t="str">
        <f>IF(ISBLANK(K2065),IFERROR(VLOOKUP(I2065,FS_input_data!$C$307:$N$397,Export!J2065,FALSE),""),K2065)</f>
        <v/>
      </c>
      <c r="D2065" s="6"/>
      <c r="E2065" t="s">
        <v>1561</v>
      </c>
      <c r="F2065" s="6"/>
      <c r="G2065" t="b">
        <f t="shared" si="118"/>
        <v>0</v>
      </c>
      <c r="H2065" s="6" t="s">
        <v>1540</v>
      </c>
      <c r="I2065" t="s">
        <v>1561</v>
      </c>
      <c r="J2065" t="s">
        <v>1561</v>
      </c>
      <c r="L2065">
        <f t="shared" si="115"/>
        <v>1</v>
      </c>
    </row>
    <row r="2066" spans="1:12" x14ac:dyDescent="0.35">
      <c r="A2066">
        <f t="shared" si="116"/>
        <v>2065</v>
      </c>
      <c r="B2066" t="s">
        <v>527</v>
      </c>
      <c r="C2066" s="109" t="str">
        <f>IF(ISBLANK(K2066),IFERROR(VLOOKUP(I2066,FS_input_data!$C$307:$N$397,Export!J2066,FALSE),""),K2066)</f>
        <v/>
      </c>
      <c r="D2066" s="6"/>
      <c r="F2066" s="6"/>
      <c r="G2066" t="b">
        <f t="shared" si="118"/>
        <v>0</v>
      </c>
      <c r="H2066" s="6" t="s">
        <v>1540</v>
      </c>
      <c r="I2066" t="s">
        <v>1561</v>
      </c>
      <c r="J2066" t="s">
        <v>1561</v>
      </c>
      <c r="L2066" s="9" t="e">
        <f t="shared" si="115"/>
        <v>#VALUE!</v>
      </c>
    </row>
    <row r="2067" spans="1:12" x14ac:dyDescent="0.35">
      <c r="A2067" s="9">
        <f t="shared" si="116"/>
        <v>2066</v>
      </c>
      <c r="B2067" t="s">
        <v>109</v>
      </c>
      <c r="C2067" s="109">
        <f>IF(ISBLANK(K2067),IFERROR(VLOOKUP(I2067,FS_input_data!$C$307:$N$397,Export!J2067,FALSE),""),K2067)</f>
        <v>83</v>
      </c>
      <c r="D2067" s="6" t="b">
        <v>1</v>
      </c>
      <c r="E2067" t="s">
        <v>1561</v>
      </c>
      <c r="F2067" s="6"/>
      <c r="G2067" t="b">
        <f t="shared" si="118"/>
        <v>0</v>
      </c>
      <c r="H2067" s="6" t="s">
        <v>1540</v>
      </c>
      <c r="I2067" t="s">
        <v>1662</v>
      </c>
      <c r="J2067">
        <v>3</v>
      </c>
      <c r="L2067" s="9" t="e">
        <f t="shared" si="115"/>
        <v>#VALUE!</v>
      </c>
    </row>
    <row r="2068" spans="1:12" x14ac:dyDescent="0.35">
      <c r="A2068">
        <f t="shared" si="116"/>
        <v>2067</v>
      </c>
      <c r="B2068" t="s">
        <v>110</v>
      </c>
      <c r="C2068" s="109" t="str">
        <f>IF(ISBLANK(K2068),IFERROR(VLOOKUP(I2068,FS_input_data!$C$307:$N$397,Export!J2068,FALSE),""),K2068)</f>
        <v/>
      </c>
      <c r="D2068" s="6"/>
      <c r="F2068" s="6"/>
      <c r="G2068" t="b">
        <f t="shared" si="118"/>
        <v>0</v>
      </c>
      <c r="H2068" s="6" t="s">
        <v>1540</v>
      </c>
      <c r="I2068" t="s">
        <v>1561</v>
      </c>
      <c r="J2068" t="s">
        <v>1561</v>
      </c>
      <c r="L2068">
        <f t="shared" si="115"/>
        <v>1</v>
      </c>
    </row>
    <row r="2069" spans="1:12" x14ac:dyDescent="0.35">
      <c r="A2069" s="9">
        <f t="shared" si="116"/>
        <v>2068</v>
      </c>
      <c r="B2069" t="s">
        <v>111</v>
      </c>
      <c r="C2069" s="109">
        <f>IF(ISBLANK(K2069),IFERROR(VLOOKUP(I2069,FS_input_data!$C$307:$N$397,Export!J2069,FALSE),""),K2069)</f>
        <v>183</v>
      </c>
      <c r="D2069" s="6" t="b">
        <v>1</v>
      </c>
      <c r="E2069" t="s">
        <v>1561</v>
      </c>
      <c r="F2069" s="6"/>
      <c r="G2069" t="b">
        <f t="shared" si="118"/>
        <v>0</v>
      </c>
      <c r="H2069" s="6" t="s">
        <v>1540</v>
      </c>
      <c r="I2069" t="s">
        <v>1662</v>
      </c>
      <c r="J2069">
        <v>4</v>
      </c>
      <c r="L2069" s="9" t="e">
        <f t="shared" si="115"/>
        <v>#VALUE!</v>
      </c>
    </row>
    <row r="2070" spans="1:12" x14ac:dyDescent="0.35">
      <c r="A2070">
        <f t="shared" si="116"/>
        <v>2069</v>
      </c>
      <c r="B2070" t="s">
        <v>112</v>
      </c>
      <c r="C2070" s="109" t="str">
        <f>IF(ISBLANK(K2070),IFERROR(VLOOKUP(I2070,FS_input_data!$C$307:$N$397,Export!J2070,FALSE),""),K2070)</f>
        <v/>
      </c>
      <c r="D2070" s="6"/>
      <c r="E2070" t="s">
        <v>1561</v>
      </c>
      <c r="F2070" s="6"/>
      <c r="G2070" t="b">
        <f t="shared" si="118"/>
        <v>0</v>
      </c>
      <c r="H2070" s="6" t="s">
        <v>1540</v>
      </c>
      <c r="I2070" t="s">
        <v>1561</v>
      </c>
      <c r="J2070" t="s">
        <v>1561</v>
      </c>
      <c r="L2070">
        <f t="shared" si="115"/>
        <v>1</v>
      </c>
    </row>
    <row r="2071" spans="1:12" x14ac:dyDescent="0.35">
      <c r="A2071">
        <f t="shared" si="116"/>
        <v>2070</v>
      </c>
      <c r="B2071" t="s">
        <v>528</v>
      </c>
      <c r="C2071" s="109" t="str">
        <f>IF(ISBLANK(K2071),IFERROR(VLOOKUP(I2071,FS_input_data!$C$307:$N$397,Export!J2071,FALSE),""),K2071)</f>
        <v/>
      </c>
      <c r="D2071" s="6"/>
      <c r="E2071" t="s">
        <v>1561</v>
      </c>
      <c r="F2071" s="6"/>
      <c r="G2071" t="b">
        <f t="shared" si="118"/>
        <v>0</v>
      </c>
      <c r="H2071" s="6" t="s">
        <v>1540</v>
      </c>
      <c r="I2071" t="s">
        <v>1561</v>
      </c>
      <c r="J2071" t="s">
        <v>1561</v>
      </c>
      <c r="L2071">
        <f t="shared" si="115"/>
        <v>1</v>
      </c>
    </row>
    <row r="2072" spans="1:12" x14ac:dyDescent="0.35">
      <c r="A2072">
        <f t="shared" si="116"/>
        <v>2071</v>
      </c>
      <c r="B2072" t="s">
        <v>575</v>
      </c>
      <c r="C2072" s="109" t="str">
        <f>IF(ISBLANK(K2072),IFERROR(VLOOKUP(I2072,FS_input_data!$C$307:$N$397,Export!J2072,FALSE),""),K2072)</f>
        <v/>
      </c>
      <c r="D2072" s="6"/>
      <c r="E2072" t="s">
        <v>1561</v>
      </c>
      <c r="F2072" s="6"/>
      <c r="G2072" t="b">
        <f t="shared" si="118"/>
        <v>0</v>
      </c>
      <c r="H2072" s="6" t="s">
        <v>1540</v>
      </c>
      <c r="I2072" t="s">
        <v>1561</v>
      </c>
      <c r="J2072" t="s">
        <v>1561</v>
      </c>
      <c r="L2072">
        <f t="shared" si="115"/>
        <v>1</v>
      </c>
    </row>
    <row r="2073" spans="1:12" x14ac:dyDescent="0.35">
      <c r="A2073">
        <f t="shared" si="116"/>
        <v>2072</v>
      </c>
      <c r="B2073" t="s">
        <v>612</v>
      </c>
      <c r="C2073" s="109" t="str">
        <f>IF(ISBLANK(K2073),IFERROR(VLOOKUP(I2073,FS_input_data!$C$307:$N$397,Export!J2073,FALSE),""),K2073)</f>
        <v/>
      </c>
      <c r="D2073" s="6"/>
      <c r="E2073" t="s">
        <v>1561</v>
      </c>
      <c r="F2073" s="6"/>
      <c r="G2073" t="b">
        <f t="shared" si="118"/>
        <v>0</v>
      </c>
      <c r="H2073" s="6" t="s">
        <v>1540</v>
      </c>
      <c r="I2073" t="s">
        <v>1561</v>
      </c>
      <c r="J2073" t="s">
        <v>1561</v>
      </c>
      <c r="L2073">
        <f t="shared" si="115"/>
        <v>1</v>
      </c>
    </row>
    <row r="2074" spans="1:12" x14ac:dyDescent="0.35">
      <c r="A2074">
        <f t="shared" si="116"/>
        <v>2073</v>
      </c>
      <c r="B2074" t="s">
        <v>613</v>
      </c>
      <c r="C2074" s="109" t="str">
        <f>IF(ISBLANK(K2074),IFERROR(VLOOKUP(I2074,FS_input_data!$C$307:$N$397,Export!J2074,FALSE),""),K2074)</f>
        <v/>
      </c>
      <c r="D2074" s="6"/>
      <c r="E2074" t="s">
        <v>1561</v>
      </c>
      <c r="F2074" s="6"/>
      <c r="G2074" t="b">
        <f t="shared" si="118"/>
        <v>0</v>
      </c>
      <c r="H2074" s="6" t="s">
        <v>1540</v>
      </c>
      <c r="I2074" t="s">
        <v>1561</v>
      </c>
      <c r="J2074" t="s">
        <v>1561</v>
      </c>
      <c r="L2074">
        <f t="shared" si="115"/>
        <v>1</v>
      </c>
    </row>
    <row r="2075" spans="1:12" x14ac:dyDescent="0.35">
      <c r="A2075">
        <f t="shared" si="116"/>
        <v>2074</v>
      </c>
      <c r="B2075" t="s">
        <v>614</v>
      </c>
      <c r="C2075" s="109" t="str">
        <f>IF(ISBLANK(K2075),IFERROR(VLOOKUP(I2075,FS_input_data!$C$307:$N$397,Export!J2075,FALSE),""),K2075)</f>
        <v/>
      </c>
      <c r="D2075" s="6"/>
      <c r="E2075" t="s">
        <v>1664</v>
      </c>
      <c r="F2075" s="6"/>
      <c r="G2075" t="b">
        <f t="shared" ref="G2075:G2080" si="119">IF(capital_xml,AND($C$2076=0,$C$2078=0),TRUE)</f>
        <v>0</v>
      </c>
      <c r="H2075" s="6" t="s">
        <v>1540</v>
      </c>
      <c r="I2075" t="s">
        <v>1561</v>
      </c>
      <c r="J2075" t="s">
        <v>1561</v>
      </c>
      <c r="L2075" s="26" t="e">
        <f t="shared" si="115"/>
        <v>#VALUE!</v>
      </c>
    </row>
    <row r="2076" spans="1:12" x14ac:dyDescent="0.35">
      <c r="A2076" s="9">
        <f t="shared" si="116"/>
        <v>2075</v>
      </c>
      <c r="B2076" t="s">
        <v>109</v>
      </c>
      <c r="C2076" s="109">
        <f>IF(ISBLANK(K2076),IFERROR(VLOOKUP(I2076,FS_input_data!$C$307:$N$397,Export!J2076,FALSE),""),K2076)</f>
        <v>906</v>
      </c>
      <c r="D2076" s="6" t="b">
        <v>1</v>
      </c>
      <c r="E2076" t="s">
        <v>1561</v>
      </c>
      <c r="F2076" s="6"/>
      <c r="G2076" t="b">
        <f t="shared" si="119"/>
        <v>0</v>
      </c>
      <c r="H2076" s="6" t="s">
        <v>1540</v>
      </c>
      <c r="I2076" t="s">
        <v>1663</v>
      </c>
      <c r="J2076">
        <v>3</v>
      </c>
      <c r="L2076" s="9" t="e">
        <f t="shared" si="115"/>
        <v>#VALUE!</v>
      </c>
    </row>
    <row r="2077" spans="1:12" x14ac:dyDescent="0.35">
      <c r="A2077">
        <f t="shared" si="116"/>
        <v>2076</v>
      </c>
      <c r="B2077" t="s">
        <v>110</v>
      </c>
      <c r="C2077" s="109" t="str">
        <f>IF(ISBLANK(K2077),IFERROR(VLOOKUP(I2077,FS_input_data!$C$307:$N$397,Export!J2077,FALSE),""),K2077)</f>
        <v/>
      </c>
      <c r="D2077" s="6"/>
      <c r="F2077" s="6"/>
      <c r="G2077" t="b">
        <f t="shared" si="119"/>
        <v>0</v>
      </c>
      <c r="H2077" s="6" t="s">
        <v>1540</v>
      </c>
      <c r="I2077" t="s">
        <v>1561</v>
      </c>
      <c r="J2077" t="s">
        <v>1561</v>
      </c>
      <c r="L2077">
        <f t="shared" si="115"/>
        <v>1</v>
      </c>
    </row>
    <row r="2078" spans="1:12" x14ac:dyDescent="0.35">
      <c r="A2078" s="9">
        <f t="shared" si="116"/>
        <v>2077</v>
      </c>
      <c r="B2078" t="s">
        <v>111</v>
      </c>
      <c r="C2078" s="109">
        <f>IF(ISBLANK(K2078),IFERROR(VLOOKUP(I2078,FS_input_data!$C$307:$N$397,Export!J2078,FALSE),""),K2078)</f>
        <v>509</v>
      </c>
      <c r="D2078" s="6" t="b">
        <v>1</v>
      </c>
      <c r="E2078" t="s">
        <v>1561</v>
      </c>
      <c r="F2078" s="6"/>
      <c r="G2078" t="b">
        <f t="shared" si="119"/>
        <v>0</v>
      </c>
      <c r="H2078" s="6" t="s">
        <v>1540</v>
      </c>
      <c r="I2078" t="s">
        <v>1663</v>
      </c>
      <c r="J2078">
        <v>4</v>
      </c>
      <c r="L2078" s="9" t="e">
        <f t="shared" si="115"/>
        <v>#VALUE!</v>
      </c>
    </row>
    <row r="2079" spans="1:12" x14ac:dyDescent="0.35">
      <c r="A2079">
        <f t="shared" si="116"/>
        <v>2078</v>
      </c>
      <c r="B2079" t="s">
        <v>112</v>
      </c>
      <c r="C2079" s="109" t="str">
        <f>IF(ISBLANK(K2079),IFERROR(VLOOKUP(I2079,FS_input_data!$C$307:$N$397,Export!J2079,FALSE),""),K2079)</f>
        <v/>
      </c>
      <c r="D2079" s="6"/>
      <c r="E2079" t="s">
        <v>1561</v>
      </c>
      <c r="F2079" s="6"/>
      <c r="G2079" t="b">
        <f t="shared" si="119"/>
        <v>0</v>
      </c>
      <c r="H2079" s="6" t="s">
        <v>1540</v>
      </c>
      <c r="I2079" t="s">
        <v>1561</v>
      </c>
      <c r="J2079" t="s">
        <v>1561</v>
      </c>
      <c r="L2079">
        <f t="shared" si="115"/>
        <v>1</v>
      </c>
    </row>
    <row r="2080" spans="1:12" x14ac:dyDescent="0.35">
      <c r="A2080">
        <f t="shared" si="116"/>
        <v>2079</v>
      </c>
      <c r="B2080" t="s">
        <v>615</v>
      </c>
      <c r="C2080" s="109" t="str">
        <f>IF(ISBLANK(K2080),IFERROR(VLOOKUP(I2080,FS_input_data!$C$307:$N$397,Export!J2080,FALSE),""),K2080)</f>
        <v/>
      </c>
      <c r="D2080" s="6"/>
      <c r="E2080" t="s">
        <v>1561</v>
      </c>
      <c r="F2080" s="6"/>
      <c r="G2080" t="b">
        <f t="shared" si="119"/>
        <v>0</v>
      </c>
      <c r="H2080" s="6" t="s">
        <v>1540</v>
      </c>
      <c r="I2080" t="s">
        <v>1561</v>
      </c>
      <c r="J2080" t="s">
        <v>1561</v>
      </c>
      <c r="L2080">
        <f t="shared" si="115"/>
        <v>1</v>
      </c>
    </row>
    <row r="2081" spans="1:12" x14ac:dyDescent="0.35">
      <c r="A2081">
        <f t="shared" si="116"/>
        <v>2080</v>
      </c>
      <c r="B2081" t="s">
        <v>616</v>
      </c>
      <c r="C2081" s="109" t="str">
        <f>IF(ISBLANK(K2081),IFERROR(VLOOKUP(I2081,FS_input_data!$C$307:$N$397,Export!J2081,FALSE),""),K2081)</f>
        <v/>
      </c>
      <c r="D2081" s="6"/>
      <c r="E2081" t="s">
        <v>1666</v>
      </c>
      <c r="F2081" s="6"/>
      <c r="G2081" t="b">
        <f t="shared" ref="G2081:G2087" si="120">IF(capital_xml,AND($C$2082=0,$C$2084=0),TRUE)</f>
        <v>0</v>
      </c>
      <c r="H2081" s="6" t="s">
        <v>1540</v>
      </c>
      <c r="I2081" t="s">
        <v>1561</v>
      </c>
      <c r="J2081" t="s">
        <v>1561</v>
      </c>
      <c r="L2081" s="26" t="e">
        <f t="shared" si="115"/>
        <v>#VALUE!</v>
      </c>
    </row>
    <row r="2082" spans="1:12" x14ac:dyDescent="0.35">
      <c r="A2082" s="9">
        <f t="shared" si="116"/>
        <v>2081</v>
      </c>
      <c r="B2082" t="s">
        <v>109</v>
      </c>
      <c r="C2082" s="109">
        <f>IF(ISBLANK(K2082),IFERROR(VLOOKUP(I2082,FS_input_data!$C$307:$N$397,Export!J2082,FALSE),""),K2082)</f>
        <v>2073</v>
      </c>
      <c r="D2082" s="6" t="b">
        <v>1</v>
      </c>
      <c r="E2082" t="s">
        <v>1561</v>
      </c>
      <c r="F2082" s="6"/>
      <c r="G2082" t="b">
        <f t="shared" si="120"/>
        <v>0</v>
      </c>
      <c r="H2082" s="6" t="s">
        <v>1540</v>
      </c>
      <c r="I2082" t="s">
        <v>1665</v>
      </c>
      <c r="J2082">
        <v>3</v>
      </c>
      <c r="L2082" s="9" t="e">
        <f t="shared" si="115"/>
        <v>#VALUE!</v>
      </c>
    </row>
    <row r="2083" spans="1:12" x14ac:dyDescent="0.35">
      <c r="A2083">
        <f t="shared" si="116"/>
        <v>2082</v>
      </c>
      <c r="B2083" t="s">
        <v>110</v>
      </c>
      <c r="C2083" s="109" t="str">
        <f>IF(ISBLANK(K2083),IFERROR(VLOOKUP(I2083,FS_input_data!$C$307:$N$397,Export!J2083,FALSE),""),K2083)</f>
        <v/>
      </c>
      <c r="D2083" s="6"/>
      <c r="F2083" s="6"/>
      <c r="G2083" t="b">
        <f t="shared" si="120"/>
        <v>0</v>
      </c>
      <c r="H2083" s="6" t="s">
        <v>1540</v>
      </c>
      <c r="I2083" t="s">
        <v>1561</v>
      </c>
      <c r="J2083" t="s">
        <v>1561</v>
      </c>
      <c r="L2083">
        <f t="shared" si="115"/>
        <v>1</v>
      </c>
    </row>
    <row r="2084" spans="1:12" x14ac:dyDescent="0.35">
      <c r="A2084" s="9">
        <f t="shared" si="116"/>
        <v>2083</v>
      </c>
      <c r="B2084" t="s">
        <v>111</v>
      </c>
      <c r="C2084" s="109">
        <f>IF(ISBLANK(K2084),IFERROR(VLOOKUP(I2084,FS_input_data!$C$307:$N$397,Export!J2084,FALSE),""),K2084)</f>
        <v>1133</v>
      </c>
      <c r="D2084" s="6" t="b">
        <v>1</v>
      </c>
      <c r="E2084" t="s">
        <v>1561</v>
      </c>
      <c r="F2084" s="6"/>
      <c r="G2084" t="b">
        <f t="shared" si="120"/>
        <v>0</v>
      </c>
      <c r="H2084" s="6" t="s">
        <v>1540</v>
      </c>
      <c r="I2084" t="s">
        <v>1665</v>
      </c>
      <c r="J2084">
        <v>4</v>
      </c>
      <c r="L2084" s="9" t="e">
        <f t="shared" si="115"/>
        <v>#VALUE!</v>
      </c>
    </row>
    <row r="2085" spans="1:12" x14ac:dyDescent="0.35">
      <c r="A2085">
        <f t="shared" si="116"/>
        <v>2084</v>
      </c>
      <c r="B2085" t="s">
        <v>112</v>
      </c>
      <c r="C2085" s="109" t="str">
        <f>IF(ISBLANK(K2085),IFERROR(VLOOKUP(I2085,FS_input_data!$C$307:$N$397,Export!J2085,FALSE),""),K2085)</f>
        <v/>
      </c>
      <c r="D2085" s="6"/>
      <c r="E2085" t="s">
        <v>1561</v>
      </c>
      <c r="F2085" s="6"/>
      <c r="G2085" t="b">
        <f t="shared" si="120"/>
        <v>0</v>
      </c>
      <c r="H2085" s="6" t="s">
        <v>1540</v>
      </c>
      <c r="I2085" t="s">
        <v>1561</v>
      </c>
      <c r="J2085" t="s">
        <v>1561</v>
      </c>
      <c r="L2085">
        <f t="shared" si="115"/>
        <v>1</v>
      </c>
    </row>
    <row r="2086" spans="1:12" x14ac:dyDescent="0.35">
      <c r="A2086">
        <f t="shared" si="116"/>
        <v>2085</v>
      </c>
      <c r="B2086" t="s">
        <v>617</v>
      </c>
      <c r="C2086" s="109" t="str">
        <f>IF(ISBLANK(K2086),IFERROR(VLOOKUP(I2086,FS_input_data!$C$307:$N$397,Export!J2086,FALSE),""),K2086)</f>
        <v/>
      </c>
      <c r="D2086" s="6"/>
      <c r="E2086" t="s">
        <v>1561</v>
      </c>
      <c r="F2086" s="6"/>
      <c r="G2086" t="b">
        <f t="shared" si="120"/>
        <v>0</v>
      </c>
      <c r="H2086" s="6" t="s">
        <v>1540</v>
      </c>
      <c r="I2086" t="s">
        <v>1561</v>
      </c>
      <c r="J2086" t="s">
        <v>1561</v>
      </c>
      <c r="L2086">
        <f t="shared" si="115"/>
        <v>1</v>
      </c>
    </row>
    <row r="2087" spans="1:12" x14ac:dyDescent="0.35">
      <c r="A2087">
        <f t="shared" si="116"/>
        <v>2086</v>
      </c>
      <c r="B2087" t="s">
        <v>618</v>
      </c>
      <c r="C2087" s="109" t="str">
        <f>IF(ISBLANK(K2087),IFERROR(VLOOKUP(I2087,FS_input_data!$C$307:$N$397,Export!J2087,FALSE),""),K2087)</f>
        <v/>
      </c>
      <c r="D2087" s="6"/>
      <c r="E2087" t="s">
        <v>1561</v>
      </c>
      <c r="F2087" s="6"/>
      <c r="G2087" t="b">
        <f t="shared" si="120"/>
        <v>0</v>
      </c>
      <c r="H2087" s="6" t="s">
        <v>1540</v>
      </c>
      <c r="I2087" t="s">
        <v>1561</v>
      </c>
      <c r="J2087" t="s">
        <v>1561</v>
      </c>
      <c r="L2087">
        <f t="shared" si="115"/>
        <v>1</v>
      </c>
    </row>
    <row r="2088" spans="1:12" x14ac:dyDescent="0.35">
      <c r="A2088">
        <f t="shared" si="116"/>
        <v>2087</v>
      </c>
      <c r="B2088" t="s">
        <v>619</v>
      </c>
      <c r="C2088" s="109" t="str">
        <f>IF(ISBLANK(K2088),IFERROR(VLOOKUP(I2088,FS_input_data!$C$307:$N$397,Export!J2088,FALSE),""),K2088)</f>
        <v/>
      </c>
      <c r="D2088" s="6"/>
      <c r="E2088" t="s">
        <v>1668</v>
      </c>
      <c r="F2088" s="6"/>
      <c r="G2088" t="b">
        <f t="shared" ref="G2088:G2098" si="121">IF(capital_xml,AND($C$2089=0,$C$2091=0),TRUE)</f>
        <v>0</v>
      </c>
      <c r="H2088" s="6" t="s">
        <v>1540</v>
      </c>
      <c r="I2088" t="s">
        <v>1561</v>
      </c>
      <c r="J2088" t="s">
        <v>1561</v>
      </c>
      <c r="L2088" s="26" t="e">
        <f t="shared" si="115"/>
        <v>#VALUE!</v>
      </c>
    </row>
    <row r="2089" spans="1:12" x14ac:dyDescent="0.35">
      <c r="A2089" s="9">
        <f t="shared" si="116"/>
        <v>2088</v>
      </c>
      <c r="B2089" t="s">
        <v>109</v>
      </c>
      <c r="C2089" s="109">
        <f>IF(ISBLANK(K2089),IFERROR(VLOOKUP(I2089,FS_input_data!$C$307:$N$397,Export!J2089,FALSE),""),K2089)</f>
        <v>264</v>
      </c>
      <c r="D2089" s="6" t="b">
        <v>1</v>
      </c>
      <c r="E2089" t="s">
        <v>1561</v>
      </c>
      <c r="F2089" s="6"/>
      <c r="G2089" t="b">
        <f t="shared" si="121"/>
        <v>0</v>
      </c>
      <c r="H2089" s="6" t="s">
        <v>1540</v>
      </c>
      <c r="I2089" t="s">
        <v>1667</v>
      </c>
      <c r="J2089">
        <v>3</v>
      </c>
      <c r="L2089" s="9" t="e">
        <f t="shared" si="115"/>
        <v>#VALUE!</v>
      </c>
    </row>
    <row r="2090" spans="1:12" x14ac:dyDescent="0.35">
      <c r="A2090">
        <f t="shared" si="116"/>
        <v>2089</v>
      </c>
      <c r="B2090" t="s">
        <v>110</v>
      </c>
      <c r="C2090" s="109" t="str">
        <f>IF(ISBLANK(K2090),IFERROR(VLOOKUP(I2090,FS_input_data!$C$307:$N$397,Export!J2090,FALSE),""),K2090)</f>
        <v/>
      </c>
      <c r="D2090" s="6"/>
      <c r="F2090" s="6"/>
      <c r="G2090" t="b">
        <f t="shared" si="121"/>
        <v>0</v>
      </c>
      <c r="H2090" s="6" t="s">
        <v>1540</v>
      </c>
      <c r="I2090" t="s">
        <v>1561</v>
      </c>
      <c r="J2090" t="s">
        <v>1561</v>
      </c>
      <c r="L2090">
        <f t="shared" si="115"/>
        <v>1</v>
      </c>
    </row>
    <row r="2091" spans="1:12" x14ac:dyDescent="0.35">
      <c r="A2091" s="9">
        <f t="shared" si="116"/>
        <v>2090</v>
      </c>
      <c r="B2091" t="s">
        <v>111</v>
      </c>
      <c r="C2091" s="109">
        <f>IF(ISBLANK(K2091),IFERROR(VLOOKUP(I2091,FS_input_data!$C$307:$N$397,Export!J2091,FALSE),""),K2091)</f>
        <v>564</v>
      </c>
      <c r="D2091" s="6" t="b">
        <v>1</v>
      </c>
      <c r="E2091" t="s">
        <v>1561</v>
      </c>
      <c r="F2091" s="6"/>
      <c r="G2091" t="b">
        <f t="shared" si="121"/>
        <v>0</v>
      </c>
      <c r="H2091" s="6" t="s">
        <v>1540</v>
      </c>
      <c r="I2091" t="s">
        <v>1667</v>
      </c>
      <c r="J2091">
        <v>4</v>
      </c>
      <c r="L2091" s="9" t="e">
        <f t="shared" si="115"/>
        <v>#VALUE!</v>
      </c>
    </row>
    <row r="2092" spans="1:12" x14ac:dyDescent="0.35">
      <c r="A2092">
        <f t="shared" si="116"/>
        <v>2091</v>
      </c>
      <c r="B2092" t="s">
        <v>112</v>
      </c>
      <c r="C2092" s="109" t="str">
        <f>IF(ISBLANK(K2092),IFERROR(VLOOKUP(I2092,FS_input_data!$C$307:$N$397,Export!J2092,FALSE),""),K2092)</f>
        <v/>
      </c>
      <c r="D2092" s="6"/>
      <c r="E2092" t="s">
        <v>1561</v>
      </c>
      <c r="F2092" s="6"/>
      <c r="G2092" t="b">
        <f t="shared" si="121"/>
        <v>0</v>
      </c>
      <c r="H2092" s="6" t="s">
        <v>1540</v>
      </c>
      <c r="I2092" t="s">
        <v>1561</v>
      </c>
      <c r="J2092" t="s">
        <v>1561</v>
      </c>
      <c r="L2092">
        <f t="shared" si="115"/>
        <v>1</v>
      </c>
    </row>
    <row r="2093" spans="1:12" x14ac:dyDescent="0.35">
      <c r="A2093">
        <f t="shared" si="116"/>
        <v>2092</v>
      </c>
      <c r="B2093" t="s">
        <v>620</v>
      </c>
      <c r="C2093" s="109" t="str">
        <f>IF(ISBLANK(K2093),IFERROR(VLOOKUP(I2093,FS_input_data!$C$307:$N$397,Export!J2093,FALSE),""),K2093)</f>
        <v/>
      </c>
      <c r="D2093" s="6"/>
      <c r="E2093" t="s">
        <v>1670</v>
      </c>
      <c r="F2093" s="6"/>
      <c r="G2093" t="b">
        <f t="shared" si="121"/>
        <v>0</v>
      </c>
      <c r="H2093" s="6" t="s">
        <v>1540</v>
      </c>
      <c r="I2093" t="s">
        <v>1561</v>
      </c>
      <c r="J2093" t="s">
        <v>1561</v>
      </c>
      <c r="L2093" s="26" t="e">
        <f t="shared" si="115"/>
        <v>#VALUE!</v>
      </c>
    </row>
    <row r="2094" spans="1:12" x14ac:dyDescent="0.35">
      <c r="A2094" s="9">
        <f t="shared" si="116"/>
        <v>2093</v>
      </c>
      <c r="B2094" t="s">
        <v>109</v>
      </c>
      <c r="C2094" s="109">
        <f>IF(ISBLANK(K2094),IFERROR(VLOOKUP(I2094,FS_input_data!$C$307:$N$397,Export!J2094,FALSE),""),K2094)</f>
        <v>87</v>
      </c>
      <c r="D2094" s="6" t="b">
        <v>1</v>
      </c>
      <c r="E2094" t="s">
        <v>1561</v>
      </c>
      <c r="F2094" s="6"/>
      <c r="G2094" t="b">
        <f t="shared" si="121"/>
        <v>0</v>
      </c>
      <c r="H2094" s="6" t="s">
        <v>1540</v>
      </c>
      <c r="I2094" t="s">
        <v>1669</v>
      </c>
      <c r="J2094">
        <v>3</v>
      </c>
      <c r="L2094" s="9" t="e">
        <f t="shared" si="115"/>
        <v>#VALUE!</v>
      </c>
    </row>
    <row r="2095" spans="1:12" x14ac:dyDescent="0.35">
      <c r="A2095">
        <f t="shared" si="116"/>
        <v>2094</v>
      </c>
      <c r="B2095" t="s">
        <v>110</v>
      </c>
      <c r="C2095" s="109" t="str">
        <f>IF(ISBLANK(K2095),IFERROR(VLOOKUP(I2095,FS_input_data!$C$307:$N$397,Export!J2095,FALSE),""),K2095)</f>
        <v/>
      </c>
      <c r="D2095" s="6"/>
      <c r="F2095" s="6"/>
      <c r="G2095" t="b">
        <f t="shared" si="121"/>
        <v>0</v>
      </c>
      <c r="H2095" s="6" t="s">
        <v>1540</v>
      </c>
      <c r="I2095" t="s">
        <v>1561</v>
      </c>
      <c r="J2095" t="s">
        <v>1561</v>
      </c>
      <c r="L2095">
        <f t="shared" si="115"/>
        <v>1</v>
      </c>
    </row>
    <row r="2096" spans="1:12" x14ac:dyDescent="0.35">
      <c r="A2096" s="9">
        <f t="shared" si="116"/>
        <v>2095</v>
      </c>
      <c r="B2096" t="s">
        <v>111</v>
      </c>
      <c r="C2096" s="109">
        <f>IF(ISBLANK(K2096),IFERROR(VLOOKUP(I2096,FS_input_data!$C$307:$N$397,Export!J2096,FALSE),""),K2096)</f>
        <v>187</v>
      </c>
      <c r="D2096" s="6" t="b">
        <v>1</v>
      </c>
      <c r="E2096" t="s">
        <v>1561</v>
      </c>
      <c r="F2096" s="6"/>
      <c r="G2096" t="b">
        <f t="shared" si="121"/>
        <v>0</v>
      </c>
      <c r="H2096" s="6" t="s">
        <v>1540</v>
      </c>
      <c r="I2096" t="s">
        <v>1669</v>
      </c>
      <c r="J2096">
        <v>4</v>
      </c>
      <c r="L2096" s="9" t="e">
        <f t="shared" si="115"/>
        <v>#VALUE!</v>
      </c>
    </row>
    <row r="2097" spans="1:12" x14ac:dyDescent="0.35">
      <c r="A2097">
        <f t="shared" si="116"/>
        <v>2096</v>
      </c>
      <c r="B2097" t="s">
        <v>112</v>
      </c>
      <c r="C2097" s="109" t="str">
        <f>IF(ISBLANK(K2097),IFERROR(VLOOKUP(I2097,FS_input_data!$C$307:$N$397,Export!J2097,FALSE),""),K2097)</f>
        <v/>
      </c>
      <c r="D2097" s="6"/>
      <c r="E2097" t="s">
        <v>1561</v>
      </c>
      <c r="F2097" s="6"/>
      <c r="G2097" t="b">
        <f t="shared" si="121"/>
        <v>0</v>
      </c>
      <c r="H2097" s="6" t="s">
        <v>1540</v>
      </c>
      <c r="I2097" t="s">
        <v>1561</v>
      </c>
      <c r="J2097" t="s">
        <v>1561</v>
      </c>
      <c r="L2097">
        <f t="shared" si="115"/>
        <v>1</v>
      </c>
    </row>
    <row r="2098" spans="1:12" x14ac:dyDescent="0.35">
      <c r="A2098">
        <f t="shared" si="116"/>
        <v>2097</v>
      </c>
      <c r="B2098" t="s">
        <v>621</v>
      </c>
      <c r="C2098" s="109" t="str">
        <f>IF(ISBLANK(K2098),IFERROR(VLOOKUP(I2098,FS_input_data!$C$307:$N$397,Export!J2098,FALSE),""),K2098)</f>
        <v/>
      </c>
      <c r="D2098" s="6"/>
      <c r="E2098" t="s">
        <v>1561</v>
      </c>
      <c r="F2098" s="6"/>
      <c r="G2098" t="b">
        <f t="shared" si="121"/>
        <v>0</v>
      </c>
      <c r="H2098" s="6" t="s">
        <v>1540</v>
      </c>
      <c r="I2098" t="s">
        <v>1561</v>
      </c>
      <c r="J2098" t="s">
        <v>1561</v>
      </c>
      <c r="L2098">
        <f t="shared" si="115"/>
        <v>1</v>
      </c>
    </row>
    <row r="2099" spans="1:12" x14ac:dyDescent="0.35">
      <c r="A2099">
        <f t="shared" si="116"/>
        <v>2098</v>
      </c>
      <c r="B2099" t="s">
        <v>622</v>
      </c>
      <c r="C2099" s="109" t="str">
        <f>IF(ISBLANK(K2099),IFERROR(VLOOKUP(I2099,FS_input_data!$C$307:$N$397,Export!J2099,FALSE),""),K2099)</f>
        <v/>
      </c>
      <c r="D2099" s="6"/>
      <c r="E2099" t="s">
        <v>1672</v>
      </c>
      <c r="F2099" s="6"/>
      <c r="G2099" t="b">
        <f t="shared" ref="G2099:G2104" si="122">IF(capital_xml,AND($C$2100=0,$C$2102=0),TRUE)</f>
        <v>0</v>
      </c>
      <c r="H2099" s="6" t="s">
        <v>1540</v>
      </c>
      <c r="I2099" t="s">
        <v>1561</v>
      </c>
      <c r="J2099" t="s">
        <v>1561</v>
      </c>
      <c r="L2099" s="26" t="e">
        <f t="shared" si="115"/>
        <v>#VALUE!</v>
      </c>
    </row>
    <row r="2100" spans="1:12" x14ac:dyDescent="0.35">
      <c r="A2100" s="9">
        <f t="shared" si="116"/>
        <v>2099</v>
      </c>
      <c r="B2100" t="s">
        <v>109</v>
      </c>
      <c r="C2100" s="109">
        <f>IF(ISBLANK(K2100),IFERROR(VLOOKUP(I2100,FS_input_data!$C$307:$N$397,Export!J2100,FALSE),""),K2100)</f>
        <v>88</v>
      </c>
      <c r="D2100" s="6" t="b">
        <v>1</v>
      </c>
      <c r="E2100" t="s">
        <v>1561</v>
      </c>
      <c r="F2100" s="6"/>
      <c r="G2100" t="b">
        <f t="shared" si="122"/>
        <v>0</v>
      </c>
      <c r="H2100" s="6" t="s">
        <v>1540</v>
      </c>
      <c r="I2100" t="s">
        <v>1671</v>
      </c>
      <c r="J2100">
        <v>3</v>
      </c>
      <c r="L2100" s="9" t="e">
        <f t="shared" si="115"/>
        <v>#VALUE!</v>
      </c>
    </row>
    <row r="2101" spans="1:12" x14ac:dyDescent="0.35">
      <c r="A2101">
        <f t="shared" si="116"/>
        <v>2100</v>
      </c>
      <c r="B2101" t="s">
        <v>110</v>
      </c>
      <c r="C2101" s="109" t="str">
        <f>IF(ISBLANK(K2101),IFERROR(VLOOKUP(I2101,FS_input_data!$C$307:$N$397,Export!J2101,FALSE),""),K2101)</f>
        <v/>
      </c>
      <c r="D2101" s="6"/>
      <c r="F2101" s="6"/>
      <c r="G2101" t="b">
        <f t="shared" si="122"/>
        <v>0</v>
      </c>
      <c r="H2101" s="6" t="s">
        <v>1540</v>
      </c>
      <c r="I2101" t="s">
        <v>1561</v>
      </c>
      <c r="J2101" t="s">
        <v>1561</v>
      </c>
      <c r="L2101">
        <f t="shared" si="115"/>
        <v>1</v>
      </c>
    </row>
    <row r="2102" spans="1:12" x14ac:dyDescent="0.35">
      <c r="A2102" s="9">
        <f t="shared" si="116"/>
        <v>2101</v>
      </c>
      <c r="B2102" t="s">
        <v>111</v>
      </c>
      <c r="C2102" s="109">
        <f>IF(ISBLANK(K2102),IFERROR(VLOOKUP(I2102,FS_input_data!$C$307:$N$397,Export!J2102,FALSE),""),K2102)</f>
        <v>188</v>
      </c>
      <c r="D2102" s="6" t="b">
        <v>1</v>
      </c>
      <c r="E2102" t="s">
        <v>1561</v>
      </c>
      <c r="F2102" s="6"/>
      <c r="G2102" t="b">
        <f t="shared" si="122"/>
        <v>0</v>
      </c>
      <c r="H2102" s="6" t="s">
        <v>1540</v>
      </c>
      <c r="I2102" t="s">
        <v>1671</v>
      </c>
      <c r="J2102">
        <v>4</v>
      </c>
      <c r="L2102" s="9" t="e">
        <f t="shared" si="115"/>
        <v>#VALUE!</v>
      </c>
    </row>
    <row r="2103" spans="1:12" x14ac:dyDescent="0.35">
      <c r="A2103">
        <f t="shared" si="116"/>
        <v>2102</v>
      </c>
      <c r="B2103" t="s">
        <v>112</v>
      </c>
      <c r="C2103" s="109" t="str">
        <f>IF(ISBLANK(K2103),IFERROR(VLOOKUP(I2103,FS_input_data!$C$307:$N$397,Export!J2103,FALSE),""),K2103)</f>
        <v/>
      </c>
      <c r="D2103" s="6"/>
      <c r="E2103" t="s">
        <v>1561</v>
      </c>
      <c r="F2103" s="6"/>
      <c r="G2103" t="b">
        <f t="shared" si="122"/>
        <v>0</v>
      </c>
      <c r="H2103" s="6" t="s">
        <v>1540</v>
      </c>
      <c r="I2103" t="s">
        <v>1561</v>
      </c>
      <c r="J2103" t="s">
        <v>1561</v>
      </c>
      <c r="L2103">
        <f t="shared" si="115"/>
        <v>1</v>
      </c>
    </row>
    <row r="2104" spans="1:12" x14ac:dyDescent="0.35">
      <c r="A2104">
        <f t="shared" si="116"/>
        <v>2103</v>
      </c>
      <c r="B2104" t="s">
        <v>623</v>
      </c>
      <c r="C2104" s="109" t="str">
        <f>IF(ISBLANK(K2104),IFERROR(VLOOKUP(I2104,FS_input_data!$C$307:$N$397,Export!J2104,FALSE),""),K2104)</f>
        <v/>
      </c>
      <c r="D2104" s="6"/>
      <c r="E2104" t="s">
        <v>1561</v>
      </c>
      <c r="F2104" s="6"/>
      <c r="G2104" t="b">
        <f t="shared" si="122"/>
        <v>0</v>
      </c>
      <c r="H2104" s="6" t="s">
        <v>1540</v>
      </c>
      <c r="I2104" t="s">
        <v>1561</v>
      </c>
      <c r="J2104" t="s">
        <v>1561</v>
      </c>
      <c r="L2104">
        <f t="shared" si="115"/>
        <v>1</v>
      </c>
    </row>
    <row r="2105" spans="1:12" x14ac:dyDescent="0.35">
      <c r="A2105">
        <f t="shared" si="116"/>
        <v>2104</v>
      </c>
      <c r="B2105" t="s">
        <v>624</v>
      </c>
      <c r="C2105" s="109" t="str">
        <f>IF(ISBLANK(K2105),IFERROR(VLOOKUP(I2105,FS_input_data!$C$307:$N$397,Export!J2105,FALSE),""),K2105)</f>
        <v/>
      </c>
      <c r="D2105" s="6"/>
      <c r="E2105" t="s">
        <v>1674</v>
      </c>
      <c r="F2105" s="6"/>
      <c r="G2105" t="b">
        <f t="shared" ref="G2105:G2112" si="123">IF(capital_xml,AND($C$2106=0,$C$2108=0),TRUE)</f>
        <v>0</v>
      </c>
      <c r="H2105" s="6" t="s">
        <v>1540</v>
      </c>
      <c r="I2105" t="s">
        <v>1561</v>
      </c>
      <c r="J2105" t="s">
        <v>1561</v>
      </c>
      <c r="L2105" s="26" t="e">
        <f t="shared" si="115"/>
        <v>#VALUE!</v>
      </c>
    </row>
    <row r="2106" spans="1:12" x14ac:dyDescent="0.35">
      <c r="A2106" s="9">
        <f t="shared" si="116"/>
        <v>2105</v>
      </c>
      <c r="B2106" t="s">
        <v>109</v>
      </c>
      <c r="C2106" s="109">
        <f>IF(ISBLANK(K2106),IFERROR(VLOOKUP(I2106,FS_input_data!$C$307:$N$397,Export!J2106,FALSE),""),K2106)</f>
        <v>89</v>
      </c>
      <c r="D2106" s="6" t="b">
        <v>1</v>
      </c>
      <c r="E2106" t="s">
        <v>1561</v>
      </c>
      <c r="F2106" s="6"/>
      <c r="G2106" t="b">
        <f t="shared" si="123"/>
        <v>0</v>
      </c>
      <c r="H2106" s="6" t="s">
        <v>1540</v>
      </c>
      <c r="I2106" t="s">
        <v>1673</v>
      </c>
      <c r="J2106">
        <v>3</v>
      </c>
      <c r="L2106" s="9" t="e">
        <f t="shared" si="115"/>
        <v>#VALUE!</v>
      </c>
    </row>
    <row r="2107" spans="1:12" x14ac:dyDescent="0.35">
      <c r="A2107">
        <f t="shared" si="116"/>
        <v>2106</v>
      </c>
      <c r="B2107" t="s">
        <v>110</v>
      </c>
      <c r="C2107" s="109" t="str">
        <f>IF(ISBLANK(K2107),IFERROR(VLOOKUP(I2107,FS_input_data!$C$307:$N$397,Export!J2107,FALSE),""),K2107)</f>
        <v/>
      </c>
      <c r="D2107" s="6"/>
      <c r="F2107" s="6"/>
      <c r="G2107" t="b">
        <f t="shared" si="123"/>
        <v>0</v>
      </c>
      <c r="H2107" s="6" t="s">
        <v>1540</v>
      </c>
      <c r="I2107" t="s">
        <v>1561</v>
      </c>
      <c r="J2107" t="s">
        <v>1561</v>
      </c>
      <c r="L2107">
        <f t="shared" si="115"/>
        <v>1</v>
      </c>
    </row>
    <row r="2108" spans="1:12" x14ac:dyDescent="0.35">
      <c r="A2108" s="9">
        <f t="shared" si="116"/>
        <v>2107</v>
      </c>
      <c r="B2108" t="s">
        <v>111</v>
      </c>
      <c r="C2108" s="109">
        <f>IF(ISBLANK(K2108),IFERROR(VLOOKUP(I2108,FS_input_data!$C$307:$N$397,Export!J2108,FALSE),""),K2108)</f>
        <v>189</v>
      </c>
      <c r="D2108" s="6" t="b">
        <v>1</v>
      </c>
      <c r="E2108" t="s">
        <v>1561</v>
      </c>
      <c r="F2108" s="6"/>
      <c r="G2108" t="b">
        <f t="shared" si="123"/>
        <v>0</v>
      </c>
      <c r="H2108" s="6" t="s">
        <v>1540</v>
      </c>
      <c r="I2108" t="s">
        <v>1673</v>
      </c>
      <c r="J2108">
        <v>4</v>
      </c>
      <c r="L2108" s="9" t="e">
        <f t="shared" si="115"/>
        <v>#VALUE!</v>
      </c>
    </row>
    <row r="2109" spans="1:12" x14ac:dyDescent="0.35">
      <c r="A2109">
        <f t="shared" si="116"/>
        <v>2108</v>
      </c>
      <c r="B2109" t="s">
        <v>112</v>
      </c>
      <c r="C2109" s="109" t="str">
        <f>IF(ISBLANK(K2109),IFERROR(VLOOKUP(I2109,FS_input_data!$C$307:$N$397,Export!J2109,FALSE),""),K2109)</f>
        <v/>
      </c>
      <c r="D2109" s="6"/>
      <c r="E2109" t="s">
        <v>1561</v>
      </c>
      <c r="F2109" s="6"/>
      <c r="G2109" t="b">
        <f t="shared" si="123"/>
        <v>0</v>
      </c>
      <c r="H2109" s="6" t="s">
        <v>1540</v>
      </c>
      <c r="I2109" t="s">
        <v>1561</v>
      </c>
      <c r="J2109" t="s">
        <v>1561</v>
      </c>
      <c r="L2109">
        <f t="shared" si="115"/>
        <v>1</v>
      </c>
    </row>
    <row r="2110" spans="1:12" x14ac:dyDescent="0.35">
      <c r="A2110">
        <f t="shared" si="116"/>
        <v>2109</v>
      </c>
      <c r="B2110" t="s">
        <v>625</v>
      </c>
      <c r="C2110" s="109" t="str">
        <f>IF(ISBLANK(K2110),IFERROR(VLOOKUP(I2110,FS_input_data!$C$307:$N$397,Export!J2110,FALSE),""),K2110)</f>
        <v/>
      </c>
      <c r="D2110" s="6"/>
      <c r="E2110" t="s">
        <v>1561</v>
      </c>
      <c r="F2110" s="6"/>
      <c r="G2110" t="b">
        <f t="shared" si="123"/>
        <v>0</v>
      </c>
      <c r="H2110" s="6" t="s">
        <v>1540</v>
      </c>
      <c r="I2110" t="s">
        <v>1561</v>
      </c>
      <c r="J2110" t="s">
        <v>1561</v>
      </c>
      <c r="L2110">
        <f t="shared" si="115"/>
        <v>1</v>
      </c>
    </row>
    <row r="2111" spans="1:12" x14ac:dyDescent="0.35">
      <c r="A2111">
        <f t="shared" si="116"/>
        <v>2110</v>
      </c>
      <c r="B2111" t="s">
        <v>626</v>
      </c>
      <c r="C2111" s="109" t="str">
        <f>IF(ISBLANK(K2111),IFERROR(VLOOKUP(I2111,FS_input_data!$C$307:$N$397,Export!J2111,FALSE),""),K2111)</f>
        <v/>
      </c>
      <c r="D2111" s="6"/>
      <c r="E2111" t="s">
        <v>1561</v>
      </c>
      <c r="F2111" s="6"/>
      <c r="G2111" t="b">
        <f t="shared" si="123"/>
        <v>0</v>
      </c>
      <c r="H2111" s="6" t="s">
        <v>1540</v>
      </c>
      <c r="I2111" t="s">
        <v>1561</v>
      </c>
      <c r="J2111" t="s">
        <v>1561</v>
      </c>
      <c r="L2111">
        <f t="shared" si="115"/>
        <v>1</v>
      </c>
    </row>
    <row r="2112" spans="1:12" x14ac:dyDescent="0.35">
      <c r="A2112">
        <f t="shared" si="116"/>
        <v>2111</v>
      </c>
      <c r="B2112" t="s">
        <v>627</v>
      </c>
      <c r="C2112" s="109" t="str">
        <f>IF(ISBLANK(K2112),IFERROR(VLOOKUP(I2112,FS_input_data!$C$307:$N$397,Export!J2112,FALSE),""),K2112)</f>
        <v/>
      </c>
      <c r="D2112" s="6"/>
      <c r="E2112" t="s">
        <v>1561</v>
      </c>
      <c r="F2112" s="6"/>
      <c r="G2112" t="b">
        <f t="shared" si="123"/>
        <v>0</v>
      </c>
      <c r="H2112" s="6" t="s">
        <v>1540</v>
      </c>
      <c r="I2112" t="s">
        <v>1561</v>
      </c>
      <c r="J2112" t="s">
        <v>1561</v>
      </c>
      <c r="L2112">
        <f t="shared" si="115"/>
        <v>1</v>
      </c>
    </row>
    <row r="2113" spans="1:12" x14ac:dyDescent="0.35">
      <c r="A2113">
        <f t="shared" si="116"/>
        <v>2112</v>
      </c>
      <c r="B2113" t="s">
        <v>628</v>
      </c>
      <c r="C2113" s="109" t="str">
        <f>IF(ISBLANK(K2113),IFERROR(VLOOKUP(I2113,FS_input_data!$C$307:$N$397,Export!J2113,FALSE),""),K2113)</f>
        <v/>
      </c>
      <c r="D2113" s="6"/>
      <c r="E2113" t="s">
        <v>1676</v>
      </c>
      <c r="F2113" s="6"/>
      <c r="G2113" t="b">
        <f t="shared" ref="G2113:G2118" si="124">IF(capital_xml,AND($C$2114=0,$C$2116=0),TRUE)</f>
        <v>0</v>
      </c>
      <c r="H2113" s="6" t="s">
        <v>1540</v>
      </c>
      <c r="I2113" t="s">
        <v>1561</v>
      </c>
      <c r="J2113" t="s">
        <v>1561</v>
      </c>
      <c r="L2113" s="26" t="e">
        <f t="shared" si="115"/>
        <v>#VALUE!</v>
      </c>
    </row>
    <row r="2114" spans="1:12" x14ac:dyDescent="0.35">
      <c r="A2114" s="9">
        <f t="shared" si="116"/>
        <v>2113</v>
      </c>
      <c r="B2114" t="s">
        <v>109</v>
      </c>
      <c r="C2114" s="109">
        <f>IF(ISBLANK(K2114),IFERROR(VLOOKUP(I2114,FS_input_data!$C$307:$N$397,Export!J2114,FALSE),""),K2114)</f>
        <v>2335</v>
      </c>
      <c r="D2114" s="6" t="b">
        <v>1</v>
      </c>
      <c r="E2114" t="s">
        <v>1561</v>
      </c>
      <c r="F2114" s="6"/>
      <c r="G2114" t="b">
        <f t="shared" si="124"/>
        <v>0</v>
      </c>
      <c r="H2114" s="6" t="s">
        <v>1540</v>
      </c>
      <c r="I2114" t="s">
        <v>1675</v>
      </c>
      <c r="J2114">
        <v>3</v>
      </c>
      <c r="L2114" s="9" t="e">
        <f t="shared" ref="L2114:L2177" si="125">FIND("/",B2114)</f>
        <v>#VALUE!</v>
      </c>
    </row>
    <row r="2115" spans="1:12" x14ac:dyDescent="0.35">
      <c r="A2115">
        <f t="shared" ref="A2115:A2178" si="126">A2114+1</f>
        <v>2114</v>
      </c>
      <c r="B2115" t="s">
        <v>110</v>
      </c>
      <c r="C2115" s="109" t="str">
        <f>IF(ISBLANK(K2115),IFERROR(VLOOKUP(I2115,FS_input_data!$C$307:$N$397,Export!J2115,FALSE),""),K2115)</f>
        <v/>
      </c>
      <c r="D2115" s="6"/>
      <c r="F2115" s="6"/>
      <c r="G2115" t="b">
        <f t="shared" si="124"/>
        <v>0</v>
      </c>
      <c r="H2115" s="6" t="s">
        <v>1540</v>
      </c>
      <c r="I2115" t="s">
        <v>1561</v>
      </c>
      <c r="J2115" t="s">
        <v>1561</v>
      </c>
      <c r="L2115">
        <f t="shared" si="125"/>
        <v>1</v>
      </c>
    </row>
    <row r="2116" spans="1:12" x14ac:dyDescent="0.35">
      <c r="A2116" s="9">
        <f t="shared" si="126"/>
        <v>2115</v>
      </c>
      <c r="B2116" t="s">
        <v>111</v>
      </c>
      <c r="C2116" s="109">
        <f>IF(ISBLANK(K2116),IFERROR(VLOOKUP(I2116,FS_input_data!$C$307:$N$397,Export!J2116,FALSE),""),K2116)</f>
        <v>1215</v>
      </c>
      <c r="D2116" s="6" t="b">
        <v>1</v>
      </c>
      <c r="E2116" t="s">
        <v>1561</v>
      </c>
      <c r="F2116" s="6"/>
      <c r="G2116" t="b">
        <f t="shared" si="124"/>
        <v>0</v>
      </c>
      <c r="H2116" s="6" t="s">
        <v>1540</v>
      </c>
      <c r="I2116" t="s">
        <v>1675</v>
      </c>
      <c r="J2116">
        <v>4</v>
      </c>
      <c r="L2116" s="9" t="e">
        <f t="shared" si="125"/>
        <v>#VALUE!</v>
      </c>
    </row>
    <row r="2117" spans="1:12" x14ac:dyDescent="0.35">
      <c r="A2117">
        <f t="shared" si="126"/>
        <v>2116</v>
      </c>
      <c r="B2117" t="s">
        <v>112</v>
      </c>
      <c r="C2117" s="109" t="str">
        <f>IF(ISBLANK(K2117),IFERROR(VLOOKUP(I2117,FS_input_data!$C$307:$N$397,Export!J2117,FALSE),""),K2117)</f>
        <v/>
      </c>
      <c r="D2117" s="6"/>
      <c r="E2117" t="s">
        <v>1561</v>
      </c>
      <c r="F2117" s="6"/>
      <c r="G2117" t="b">
        <f t="shared" si="124"/>
        <v>0</v>
      </c>
      <c r="H2117" s="6" t="s">
        <v>1540</v>
      </c>
      <c r="I2117" t="s">
        <v>1561</v>
      </c>
      <c r="J2117" t="s">
        <v>1561</v>
      </c>
      <c r="L2117">
        <f t="shared" si="125"/>
        <v>1</v>
      </c>
    </row>
    <row r="2118" spans="1:12" x14ac:dyDescent="0.35">
      <c r="A2118">
        <f t="shared" si="126"/>
        <v>2117</v>
      </c>
      <c r="B2118" t="s">
        <v>629</v>
      </c>
      <c r="C2118" s="109" t="str">
        <f>IF(ISBLANK(K2118),IFERROR(VLOOKUP(I2118,FS_input_data!$C$307:$N$397,Export!J2118,FALSE),""),K2118)</f>
        <v/>
      </c>
      <c r="D2118" s="6"/>
      <c r="E2118" t="s">
        <v>1561</v>
      </c>
      <c r="F2118" s="6"/>
      <c r="G2118" t="b">
        <f t="shared" si="124"/>
        <v>0</v>
      </c>
      <c r="H2118" s="6" t="s">
        <v>1540</v>
      </c>
      <c r="I2118" t="s">
        <v>1561</v>
      </c>
      <c r="J2118" t="s">
        <v>1561</v>
      </c>
      <c r="L2118">
        <f t="shared" si="125"/>
        <v>1</v>
      </c>
    </row>
    <row r="2119" spans="1:12" x14ac:dyDescent="0.35">
      <c r="A2119">
        <f t="shared" si="126"/>
        <v>2118</v>
      </c>
      <c r="B2119" t="s">
        <v>630</v>
      </c>
      <c r="C2119" s="109" t="str">
        <f>IF(ISBLANK(K2119),IFERROR(VLOOKUP(I2119,FS_input_data!$C$307:$N$397,Export!J2119,FALSE),""),K2119)</f>
        <v/>
      </c>
      <c r="D2119" s="6"/>
      <c r="E2119" t="s">
        <v>1678</v>
      </c>
      <c r="F2119" s="6"/>
      <c r="G2119" t="b">
        <f t="shared" ref="G2119:G2125" si="127">IF(capital_xml,AND($C$2120=0,$C$2122=0),TRUE)</f>
        <v>0</v>
      </c>
      <c r="H2119" s="6" t="s">
        <v>1540</v>
      </c>
      <c r="I2119" t="s">
        <v>1561</v>
      </c>
      <c r="J2119" t="s">
        <v>1561</v>
      </c>
      <c r="L2119" s="26" t="e">
        <f t="shared" si="125"/>
        <v>#VALUE!</v>
      </c>
    </row>
    <row r="2120" spans="1:12" x14ac:dyDescent="0.35">
      <c r="A2120" s="9">
        <f t="shared" si="126"/>
        <v>2119</v>
      </c>
      <c r="B2120" t="s">
        <v>109</v>
      </c>
      <c r="C2120" s="109">
        <f>IF(ISBLANK(K2120),IFERROR(VLOOKUP(I2120,FS_input_data!$C$307:$N$397,Export!J2120,FALSE),""),K2120)</f>
        <v>91</v>
      </c>
      <c r="D2120" s="6" t="b">
        <v>1</v>
      </c>
      <c r="E2120" t="s">
        <v>1561</v>
      </c>
      <c r="F2120" s="6"/>
      <c r="G2120" t="b">
        <f t="shared" si="127"/>
        <v>0</v>
      </c>
      <c r="H2120" s="6" t="s">
        <v>1540</v>
      </c>
      <c r="I2120" t="s">
        <v>1677</v>
      </c>
      <c r="J2120">
        <v>3</v>
      </c>
      <c r="L2120" s="9" t="e">
        <f t="shared" si="125"/>
        <v>#VALUE!</v>
      </c>
    </row>
    <row r="2121" spans="1:12" x14ac:dyDescent="0.35">
      <c r="A2121">
        <f t="shared" si="126"/>
        <v>2120</v>
      </c>
      <c r="B2121" t="s">
        <v>110</v>
      </c>
      <c r="C2121" s="109" t="str">
        <f>IF(ISBLANK(K2121),IFERROR(VLOOKUP(I2121,FS_input_data!$C$307:$N$397,Export!J2121,FALSE),""),K2121)</f>
        <v/>
      </c>
      <c r="D2121" s="6"/>
      <c r="F2121" s="6"/>
      <c r="G2121" t="b">
        <f t="shared" si="127"/>
        <v>0</v>
      </c>
      <c r="H2121" s="6" t="s">
        <v>1540</v>
      </c>
      <c r="I2121" t="s">
        <v>1561</v>
      </c>
      <c r="J2121" t="s">
        <v>1561</v>
      </c>
      <c r="L2121">
        <f t="shared" si="125"/>
        <v>1</v>
      </c>
    </row>
    <row r="2122" spans="1:12" x14ac:dyDescent="0.35">
      <c r="A2122" s="9">
        <f t="shared" si="126"/>
        <v>2121</v>
      </c>
      <c r="B2122" t="s">
        <v>111</v>
      </c>
      <c r="C2122" s="109">
        <f>IF(ISBLANK(K2122),IFERROR(VLOOKUP(I2122,FS_input_data!$C$307:$N$397,Export!J2122,FALSE),""),K2122)</f>
        <v>191</v>
      </c>
      <c r="D2122" s="6" t="b">
        <v>1</v>
      </c>
      <c r="E2122" t="s">
        <v>1561</v>
      </c>
      <c r="F2122" s="6"/>
      <c r="G2122" t="b">
        <f t="shared" si="127"/>
        <v>0</v>
      </c>
      <c r="H2122" s="6" t="s">
        <v>1540</v>
      </c>
      <c r="I2122" t="s">
        <v>1677</v>
      </c>
      <c r="J2122">
        <v>4</v>
      </c>
      <c r="L2122" s="9" t="e">
        <f t="shared" si="125"/>
        <v>#VALUE!</v>
      </c>
    </row>
    <row r="2123" spans="1:12" x14ac:dyDescent="0.35">
      <c r="A2123">
        <f t="shared" si="126"/>
        <v>2122</v>
      </c>
      <c r="B2123" t="s">
        <v>112</v>
      </c>
      <c r="C2123" s="109" t="str">
        <f>IF(ISBLANK(K2123),IFERROR(VLOOKUP(I2123,FS_input_data!$C$307:$N$397,Export!J2123,FALSE),""),K2123)</f>
        <v/>
      </c>
      <c r="D2123" s="6"/>
      <c r="E2123" t="s">
        <v>1561</v>
      </c>
      <c r="F2123" s="6"/>
      <c r="G2123" t="b">
        <f t="shared" si="127"/>
        <v>0</v>
      </c>
      <c r="H2123" s="6" t="s">
        <v>1540</v>
      </c>
      <c r="I2123" t="s">
        <v>1561</v>
      </c>
      <c r="J2123" t="s">
        <v>1561</v>
      </c>
      <c r="L2123">
        <f t="shared" si="125"/>
        <v>1</v>
      </c>
    </row>
    <row r="2124" spans="1:12" x14ac:dyDescent="0.35">
      <c r="A2124">
        <f t="shared" si="126"/>
        <v>2123</v>
      </c>
      <c r="B2124" t="s">
        <v>631</v>
      </c>
      <c r="C2124" s="109" t="str">
        <f>IF(ISBLANK(K2124),IFERROR(VLOOKUP(I2124,FS_input_data!$C$307:$N$397,Export!J2124,FALSE),""),K2124)</f>
        <v/>
      </c>
      <c r="D2124" s="6"/>
      <c r="E2124" t="s">
        <v>1561</v>
      </c>
      <c r="F2124" s="6"/>
      <c r="G2124" t="b">
        <f t="shared" si="127"/>
        <v>0</v>
      </c>
      <c r="H2124" s="6" t="s">
        <v>1540</v>
      </c>
      <c r="I2124" t="s">
        <v>1561</v>
      </c>
      <c r="J2124" t="s">
        <v>1561</v>
      </c>
      <c r="L2124">
        <f t="shared" si="125"/>
        <v>1</v>
      </c>
    </row>
    <row r="2125" spans="1:12" x14ac:dyDescent="0.35">
      <c r="A2125">
        <f t="shared" si="126"/>
        <v>2124</v>
      </c>
      <c r="B2125" t="s">
        <v>632</v>
      </c>
      <c r="C2125" s="109" t="str">
        <f>IF(ISBLANK(K2125),IFERROR(VLOOKUP(I2125,FS_input_data!$C$307:$N$397,Export!J2125,FALSE),""),K2125)</f>
        <v/>
      </c>
      <c r="D2125" s="6"/>
      <c r="E2125" t="s">
        <v>1561</v>
      </c>
      <c r="F2125" s="6"/>
      <c r="G2125" t="b">
        <f t="shared" si="127"/>
        <v>0</v>
      </c>
      <c r="H2125" s="6" t="s">
        <v>1540</v>
      </c>
      <c r="I2125" t="s">
        <v>1561</v>
      </c>
      <c r="J2125" t="s">
        <v>1561</v>
      </c>
      <c r="L2125">
        <f t="shared" si="125"/>
        <v>1</v>
      </c>
    </row>
    <row r="2126" spans="1:12" x14ac:dyDescent="0.35">
      <c r="A2126">
        <f t="shared" si="126"/>
        <v>2125</v>
      </c>
      <c r="B2126" t="s">
        <v>633</v>
      </c>
      <c r="C2126" s="109" t="str">
        <f>IF(ISBLANK(K2126),IFERROR(VLOOKUP(I2126,FS_input_data!$C$398:$N$457,Export!J2126,FALSE),""),K2126)</f>
        <v/>
      </c>
      <c r="D2126" s="6"/>
      <c r="E2126" t="s">
        <v>1561</v>
      </c>
      <c r="F2126" s="6" t="s">
        <v>2228</v>
      </c>
      <c r="G2126" s="6" t="b">
        <f t="shared" ref="G2126:G2189" si="128">NOT(CF_xml)</f>
        <v>0</v>
      </c>
      <c r="H2126" s="6" t="s">
        <v>2212</v>
      </c>
      <c r="I2126" t="s">
        <v>1561</v>
      </c>
      <c r="J2126" t="s">
        <v>1561</v>
      </c>
      <c r="L2126" s="9" t="e">
        <f t="shared" si="125"/>
        <v>#VALUE!</v>
      </c>
    </row>
    <row r="2127" spans="1:12" x14ac:dyDescent="0.35">
      <c r="A2127">
        <f t="shared" si="126"/>
        <v>2126</v>
      </c>
      <c r="B2127" t="s">
        <v>634</v>
      </c>
      <c r="C2127" s="109" t="str">
        <f>IF(ISBLANK(K2127),IFERROR(VLOOKUP(I2127,FS_input_data!$C$398:$N$457,Export!J2127,FALSE),""),K2127)</f>
        <v/>
      </c>
      <c r="D2127" s="6"/>
      <c r="E2127" t="s">
        <v>1561</v>
      </c>
      <c r="F2127" s="6" t="s">
        <v>2228</v>
      </c>
      <c r="G2127" s="6" t="b">
        <f t="shared" si="128"/>
        <v>0</v>
      </c>
      <c r="H2127" s="6" t="s">
        <v>2212</v>
      </c>
      <c r="I2127" t="s">
        <v>1561</v>
      </c>
      <c r="J2127" t="s">
        <v>1561</v>
      </c>
      <c r="L2127" s="26" t="e">
        <f t="shared" si="125"/>
        <v>#VALUE!</v>
      </c>
    </row>
    <row r="2128" spans="1:12" x14ac:dyDescent="0.35">
      <c r="A2128">
        <f t="shared" si="126"/>
        <v>2127</v>
      </c>
      <c r="B2128" t="s">
        <v>411</v>
      </c>
      <c r="C2128" s="109" t="str">
        <f>IF(ISBLANK(K2128),IFERROR(VLOOKUP(I2128,FS_input_data!$C$398:$N$457,Export!J2128,FALSE),""),K2128)</f>
        <v/>
      </c>
      <c r="D2128" s="6"/>
      <c r="E2128" t="s">
        <v>1680</v>
      </c>
      <c r="F2128" s="6" t="s">
        <v>2228</v>
      </c>
      <c r="G2128" s="6" t="b">
        <f t="shared" si="128"/>
        <v>0</v>
      </c>
      <c r="H2128" s="6" t="s">
        <v>2212</v>
      </c>
      <c r="I2128" t="s">
        <v>1561</v>
      </c>
      <c r="J2128" t="s">
        <v>1561</v>
      </c>
      <c r="L2128" s="26" t="e">
        <f t="shared" si="125"/>
        <v>#VALUE!</v>
      </c>
    </row>
    <row r="2129" spans="1:12" x14ac:dyDescent="0.35">
      <c r="A2129" s="9">
        <f t="shared" si="126"/>
        <v>2128</v>
      </c>
      <c r="B2129" t="s">
        <v>109</v>
      </c>
      <c r="C2129" s="109">
        <f>IF(ISBLANK(K2129),IFERROR(VLOOKUP(I2129,FS_input_data!$C$398:$N$457,Export!J2129,FALSE),""),K2129)</f>
        <v>1</v>
      </c>
      <c r="D2129" s="6" t="b">
        <v>1</v>
      </c>
      <c r="E2129" t="s">
        <v>1561</v>
      </c>
      <c r="F2129" s="6" t="s">
        <v>2228</v>
      </c>
      <c r="G2129" s="6" t="b">
        <f t="shared" si="128"/>
        <v>0</v>
      </c>
      <c r="H2129" s="6" t="s">
        <v>2212</v>
      </c>
      <c r="I2129" t="s">
        <v>1391</v>
      </c>
      <c r="J2129">
        <v>3</v>
      </c>
      <c r="L2129" s="9" t="e">
        <f t="shared" si="125"/>
        <v>#VALUE!</v>
      </c>
    </row>
    <row r="2130" spans="1:12" x14ac:dyDescent="0.35">
      <c r="A2130">
        <f t="shared" si="126"/>
        <v>2129</v>
      </c>
      <c r="B2130" t="s">
        <v>110</v>
      </c>
      <c r="C2130" s="109" t="str">
        <f>IF(ISBLANK(K2130),IFERROR(VLOOKUP(I2130,FS_input_data!$C$398:$N$457,Export!J2130,FALSE),""),K2130)</f>
        <v/>
      </c>
      <c r="D2130" s="6"/>
      <c r="F2130" s="6" t="s">
        <v>2228</v>
      </c>
      <c r="G2130" s="6" t="b">
        <f t="shared" si="128"/>
        <v>0</v>
      </c>
      <c r="H2130" s="6" t="s">
        <v>2212</v>
      </c>
      <c r="I2130" t="s">
        <v>1561</v>
      </c>
      <c r="J2130" t="s">
        <v>1561</v>
      </c>
      <c r="L2130">
        <f t="shared" si="125"/>
        <v>1</v>
      </c>
    </row>
    <row r="2131" spans="1:12" x14ac:dyDescent="0.35">
      <c r="A2131" s="9">
        <f t="shared" si="126"/>
        <v>2130</v>
      </c>
      <c r="B2131" t="s">
        <v>111</v>
      </c>
      <c r="C2131" s="109">
        <f>IF(ISBLANK(K2131),IFERROR(VLOOKUP(I2131,FS_input_data!$C$398:$N$457,Export!J2131,FALSE),""),K2131)</f>
        <v>101</v>
      </c>
      <c r="D2131" s="6" t="b">
        <v>1</v>
      </c>
      <c r="E2131" t="s">
        <v>1561</v>
      </c>
      <c r="F2131" s="6" t="s">
        <v>2228</v>
      </c>
      <c r="G2131" s="6" t="b">
        <f t="shared" si="128"/>
        <v>0</v>
      </c>
      <c r="H2131" s="6" t="s">
        <v>2212</v>
      </c>
      <c r="I2131" t="s">
        <v>1391</v>
      </c>
      <c r="J2131">
        <v>4</v>
      </c>
      <c r="L2131" s="9" t="e">
        <f t="shared" si="125"/>
        <v>#VALUE!</v>
      </c>
    </row>
    <row r="2132" spans="1:12" x14ac:dyDescent="0.35">
      <c r="A2132">
        <f t="shared" si="126"/>
        <v>2131</v>
      </c>
      <c r="B2132" t="s">
        <v>112</v>
      </c>
      <c r="C2132" s="109" t="str">
        <f>IF(ISBLANK(K2132),IFERROR(VLOOKUP(I2132,FS_input_data!$C$398:$N$457,Export!J2132,FALSE),""),K2132)</f>
        <v/>
      </c>
      <c r="D2132" s="6"/>
      <c r="E2132" t="s">
        <v>1561</v>
      </c>
      <c r="F2132" s="6" t="s">
        <v>2228</v>
      </c>
      <c r="G2132" s="6" t="b">
        <f t="shared" si="128"/>
        <v>0</v>
      </c>
      <c r="H2132" s="6" t="s">
        <v>2212</v>
      </c>
      <c r="I2132" t="s">
        <v>1561</v>
      </c>
      <c r="J2132" t="s">
        <v>1561</v>
      </c>
      <c r="L2132">
        <f t="shared" si="125"/>
        <v>1</v>
      </c>
    </row>
    <row r="2133" spans="1:12" x14ac:dyDescent="0.35">
      <c r="A2133">
        <f t="shared" si="126"/>
        <v>2132</v>
      </c>
      <c r="B2133" t="s">
        <v>414</v>
      </c>
      <c r="C2133" s="109" t="str">
        <f>IF(ISBLANK(K2133),IFERROR(VLOOKUP(I2133,FS_input_data!$C$398:$N$457,Export!J2133,FALSE),""),K2133)</f>
        <v/>
      </c>
      <c r="D2133" s="6"/>
      <c r="E2133" t="s">
        <v>1681</v>
      </c>
      <c r="F2133" s="6" t="s">
        <v>2228</v>
      </c>
      <c r="G2133" s="6" t="b">
        <f t="shared" si="128"/>
        <v>0</v>
      </c>
      <c r="H2133" s="6" t="s">
        <v>2212</v>
      </c>
      <c r="I2133" t="s">
        <v>1561</v>
      </c>
      <c r="J2133" t="s">
        <v>1561</v>
      </c>
      <c r="L2133" s="26" t="e">
        <f t="shared" si="125"/>
        <v>#VALUE!</v>
      </c>
    </row>
    <row r="2134" spans="1:12" x14ac:dyDescent="0.35">
      <c r="A2134" s="9">
        <f t="shared" si="126"/>
        <v>2133</v>
      </c>
      <c r="B2134" t="s">
        <v>109</v>
      </c>
      <c r="C2134" s="109">
        <f>IF(ISBLANK(K2134),IFERROR(VLOOKUP(I2134,FS_input_data!$C$398:$N$457,Export!J2134,FALSE),""),K2134)</f>
        <v>2</v>
      </c>
      <c r="D2134" s="6" t="b">
        <v>1</v>
      </c>
      <c r="E2134" t="s">
        <v>1561</v>
      </c>
      <c r="F2134" s="6" t="s">
        <v>2228</v>
      </c>
      <c r="G2134" s="6" t="b">
        <f t="shared" si="128"/>
        <v>0</v>
      </c>
      <c r="H2134" s="6" t="s">
        <v>2212</v>
      </c>
      <c r="I2134" t="s">
        <v>1397</v>
      </c>
      <c r="J2134">
        <v>3</v>
      </c>
      <c r="L2134" s="9" t="e">
        <f t="shared" si="125"/>
        <v>#VALUE!</v>
      </c>
    </row>
    <row r="2135" spans="1:12" x14ac:dyDescent="0.35">
      <c r="A2135">
        <f t="shared" si="126"/>
        <v>2134</v>
      </c>
      <c r="B2135" t="s">
        <v>110</v>
      </c>
      <c r="C2135" s="109" t="str">
        <f>IF(ISBLANK(K2135),IFERROR(VLOOKUP(I2135,FS_input_data!$C$398:$N$457,Export!J2135,FALSE),""),K2135)</f>
        <v/>
      </c>
      <c r="D2135" s="6"/>
      <c r="F2135" s="6" t="s">
        <v>2228</v>
      </c>
      <c r="G2135" s="6" t="b">
        <f t="shared" si="128"/>
        <v>0</v>
      </c>
      <c r="H2135" s="6" t="s">
        <v>2212</v>
      </c>
      <c r="I2135" t="s">
        <v>1561</v>
      </c>
      <c r="J2135" t="s">
        <v>1561</v>
      </c>
      <c r="L2135">
        <f t="shared" si="125"/>
        <v>1</v>
      </c>
    </row>
    <row r="2136" spans="1:12" x14ac:dyDescent="0.35">
      <c r="A2136" s="9">
        <f t="shared" si="126"/>
        <v>2135</v>
      </c>
      <c r="B2136" t="s">
        <v>111</v>
      </c>
      <c r="C2136" s="109">
        <f>IF(ISBLANK(K2136),IFERROR(VLOOKUP(I2136,FS_input_data!$C$398:$N$457,Export!J2136,FALSE),""),K2136)</f>
        <v>102</v>
      </c>
      <c r="D2136" s="6" t="b">
        <v>1</v>
      </c>
      <c r="E2136" t="s">
        <v>1561</v>
      </c>
      <c r="F2136" s="6" t="s">
        <v>2228</v>
      </c>
      <c r="G2136" s="6" t="b">
        <f t="shared" si="128"/>
        <v>0</v>
      </c>
      <c r="H2136" s="6" t="s">
        <v>2212</v>
      </c>
      <c r="I2136" t="s">
        <v>1397</v>
      </c>
      <c r="J2136">
        <v>4</v>
      </c>
      <c r="L2136" s="9" t="e">
        <f t="shared" si="125"/>
        <v>#VALUE!</v>
      </c>
    </row>
    <row r="2137" spans="1:12" x14ac:dyDescent="0.35">
      <c r="A2137">
        <f t="shared" si="126"/>
        <v>2136</v>
      </c>
      <c r="B2137" t="s">
        <v>112</v>
      </c>
      <c r="C2137" s="109" t="str">
        <f>IF(ISBLANK(K2137),IFERROR(VLOOKUP(I2137,FS_input_data!$C$398:$N$457,Export!J2137,FALSE),""),K2137)</f>
        <v/>
      </c>
      <c r="D2137" s="6"/>
      <c r="E2137" t="s">
        <v>1561</v>
      </c>
      <c r="F2137" s="6" t="s">
        <v>2228</v>
      </c>
      <c r="G2137" s="6" t="b">
        <f t="shared" si="128"/>
        <v>0</v>
      </c>
      <c r="H2137" s="6" t="s">
        <v>2212</v>
      </c>
      <c r="I2137" t="s">
        <v>1561</v>
      </c>
      <c r="J2137" t="s">
        <v>1561</v>
      </c>
      <c r="L2137">
        <f t="shared" si="125"/>
        <v>1</v>
      </c>
    </row>
    <row r="2138" spans="1:12" x14ac:dyDescent="0.35">
      <c r="A2138">
        <f t="shared" si="126"/>
        <v>2137</v>
      </c>
      <c r="B2138" t="s">
        <v>415</v>
      </c>
      <c r="C2138" s="109" t="str">
        <f>IF(ISBLANK(K2138),IFERROR(VLOOKUP(I2138,FS_input_data!$C$398:$N$457,Export!J2138,FALSE),""),K2138)</f>
        <v/>
      </c>
      <c r="D2138" s="6"/>
      <c r="E2138" t="s">
        <v>1561</v>
      </c>
      <c r="F2138" s="6" t="s">
        <v>2228</v>
      </c>
      <c r="G2138" s="6" t="b">
        <f t="shared" si="128"/>
        <v>0</v>
      </c>
      <c r="H2138" s="6" t="s">
        <v>2212</v>
      </c>
      <c r="I2138" t="s">
        <v>1561</v>
      </c>
      <c r="J2138" t="s">
        <v>1561</v>
      </c>
      <c r="L2138">
        <f t="shared" si="125"/>
        <v>1</v>
      </c>
    </row>
    <row r="2139" spans="1:12" x14ac:dyDescent="0.35">
      <c r="A2139">
        <f t="shared" si="126"/>
        <v>2138</v>
      </c>
      <c r="B2139" t="s">
        <v>416</v>
      </c>
      <c r="C2139" s="109" t="str">
        <f>IF(ISBLANK(K2139),IFERROR(VLOOKUP(I2139,FS_input_data!$C$398:$N$457,Export!J2139,FALSE),""),K2139)</f>
        <v/>
      </c>
      <c r="D2139" s="6"/>
      <c r="E2139" t="s">
        <v>1682</v>
      </c>
      <c r="F2139" s="6" t="s">
        <v>2228</v>
      </c>
      <c r="G2139" s="6" t="b">
        <f t="shared" si="128"/>
        <v>0</v>
      </c>
      <c r="H2139" s="6" t="s">
        <v>2212</v>
      </c>
      <c r="I2139" t="s">
        <v>1561</v>
      </c>
      <c r="J2139" t="s">
        <v>1561</v>
      </c>
      <c r="L2139" s="26" t="e">
        <f t="shared" si="125"/>
        <v>#VALUE!</v>
      </c>
    </row>
    <row r="2140" spans="1:12" x14ac:dyDescent="0.35">
      <c r="A2140" s="9">
        <f t="shared" si="126"/>
        <v>2139</v>
      </c>
      <c r="B2140" t="s">
        <v>109</v>
      </c>
      <c r="C2140" s="109">
        <f>IF(ISBLANK(K2140),IFERROR(VLOOKUP(I2140,FS_input_data!$C$398:$N$457,Export!J2140,FALSE),""),K2140)</f>
        <v>85</v>
      </c>
      <c r="D2140" s="6" t="b">
        <v>1</v>
      </c>
      <c r="E2140" t="s">
        <v>1561</v>
      </c>
      <c r="F2140" s="6" t="s">
        <v>2228</v>
      </c>
      <c r="G2140" s="6" t="b">
        <f t="shared" si="128"/>
        <v>0</v>
      </c>
      <c r="H2140" s="6" t="s">
        <v>2212</v>
      </c>
      <c r="I2140" t="s">
        <v>1400</v>
      </c>
      <c r="J2140">
        <v>3</v>
      </c>
      <c r="L2140" s="9" t="e">
        <f t="shared" si="125"/>
        <v>#VALUE!</v>
      </c>
    </row>
    <row r="2141" spans="1:12" x14ac:dyDescent="0.35">
      <c r="A2141">
        <f t="shared" si="126"/>
        <v>2140</v>
      </c>
      <c r="B2141" t="s">
        <v>110</v>
      </c>
      <c r="C2141" s="109" t="str">
        <f>IF(ISBLANK(K2141),IFERROR(VLOOKUP(I2141,FS_input_data!$C$398:$N$457,Export!J2141,FALSE),""),K2141)</f>
        <v/>
      </c>
      <c r="D2141" s="6"/>
      <c r="F2141" s="6" t="s">
        <v>2228</v>
      </c>
      <c r="G2141" s="6" t="b">
        <f t="shared" si="128"/>
        <v>0</v>
      </c>
      <c r="H2141" s="6" t="s">
        <v>2212</v>
      </c>
      <c r="I2141" t="s">
        <v>1561</v>
      </c>
      <c r="J2141" t="s">
        <v>1561</v>
      </c>
      <c r="L2141">
        <f t="shared" si="125"/>
        <v>1</v>
      </c>
    </row>
    <row r="2142" spans="1:12" x14ac:dyDescent="0.35">
      <c r="A2142" s="9">
        <f t="shared" si="126"/>
        <v>2141</v>
      </c>
      <c r="B2142" t="s">
        <v>111</v>
      </c>
      <c r="C2142" s="109">
        <f>IF(ISBLANK(K2142),IFERROR(VLOOKUP(I2142,FS_input_data!$C$398:$N$457,Export!J2142,FALSE),""),K2142)</f>
        <v>1085</v>
      </c>
      <c r="D2142" s="6" t="b">
        <v>1</v>
      </c>
      <c r="E2142" t="s">
        <v>1561</v>
      </c>
      <c r="F2142" s="6" t="s">
        <v>2228</v>
      </c>
      <c r="G2142" s="6" t="b">
        <f t="shared" si="128"/>
        <v>0</v>
      </c>
      <c r="H2142" s="6" t="s">
        <v>2212</v>
      </c>
      <c r="I2142" t="s">
        <v>1400</v>
      </c>
      <c r="J2142">
        <v>4</v>
      </c>
      <c r="L2142" s="9" t="e">
        <f t="shared" si="125"/>
        <v>#VALUE!</v>
      </c>
    </row>
    <row r="2143" spans="1:12" x14ac:dyDescent="0.35">
      <c r="A2143">
        <f t="shared" si="126"/>
        <v>2142</v>
      </c>
      <c r="B2143" t="s">
        <v>112</v>
      </c>
      <c r="C2143" s="109" t="str">
        <f>IF(ISBLANK(K2143),IFERROR(VLOOKUP(I2143,FS_input_data!$C$398:$N$457,Export!J2143,FALSE),""),K2143)</f>
        <v/>
      </c>
      <c r="D2143" s="6"/>
      <c r="E2143" t="s">
        <v>1561</v>
      </c>
      <c r="F2143" s="6" t="s">
        <v>2228</v>
      </c>
      <c r="G2143" s="6" t="b">
        <f t="shared" si="128"/>
        <v>0</v>
      </c>
      <c r="H2143" s="6" t="s">
        <v>2212</v>
      </c>
      <c r="I2143" t="s">
        <v>1561</v>
      </c>
      <c r="J2143" t="s">
        <v>1561</v>
      </c>
      <c r="L2143">
        <f t="shared" si="125"/>
        <v>1</v>
      </c>
    </row>
    <row r="2144" spans="1:12" x14ac:dyDescent="0.35">
      <c r="A2144">
        <f t="shared" si="126"/>
        <v>2143</v>
      </c>
      <c r="B2144" t="s">
        <v>635</v>
      </c>
      <c r="C2144" s="109" t="str">
        <f>IF(ISBLANK(K2144),IFERROR(VLOOKUP(I2144,FS_input_data!$C$398:$N$457,Export!J2144,FALSE),""),K2144)</f>
        <v/>
      </c>
      <c r="D2144" s="6"/>
      <c r="E2144" t="s">
        <v>1684</v>
      </c>
      <c r="F2144" s="6" t="s">
        <v>2228</v>
      </c>
      <c r="G2144" s="6" t="b">
        <f t="shared" si="128"/>
        <v>0</v>
      </c>
      <c r="H2144" s="6" t="s">
        <v>2212</v>
      </c>
      <c r="I2144" t="s">
        <v>1561</v>
      </c>
      <c r="J2144" t="s">
        <v>1561</v>
      </c>
      <c r="L2144" s="26" t="e">
        <f t="shared" si="125"/>
        <v>#VALUE!</v>
      </c>
    </row>
    <row r="2145" spans="1:12" x14ac:dyDescent="0.35">
      <c r="A2145" s="9">
        <f t="shared" si="126"/>
        <v>2144</v>
      </c>
      <c r="B2145" t="s">
        <v>109</v>
      </c>
      <c r="C2145" s="109">
        <f>IF(ISBLANK(K2145),IFERROR(VLOOKUP(I2145,FS_input_data!$C$398:$N$457,Export!J2145,FALSE),""),K2145)</f>
        <v>4</v>
      </c>
      <c r="D2145" s="6" t="b">
        <v>1</v>
      </c>
      <c r="E2145" t="s">
        <v>1561</v>
      </c>
      <c r="F2145" s="6" t="s">
        <v>2228</v>
      </c>
      <c r="G2145" s="6" t="b">
        <f t="shared" si="128"/>
        <v>0</v>
      </c>
      <c r="H2145" s="6" t="s">
        <v>2212</v>
      </c>
      <c r="I2145" t="s">
        <v>1683</v>
      </c>
      <c r="J2145">
        <v>3</v>
      </c>
      <c r="L2145" s="9" t="e">
        <f t="shared" si="125"/>
        <v>#VALUE!</v>
      </c>
    </row>
    <row r="2146" spans="1:12" x14ac:dyDescent="0.35">
      <c r="A2146">
        <f t="shared" si="126"/>
        <v>2145</v>
      </c>
      <c r="B2146" t="s">
        <v>110</v>
      </c>
      <c r="C2146" s="109" t="str">
        <f>IF(ISBLANK(K2146),IFERROR(VLOOKUP(I2146,FS_input_data!$C$398:$N$457,Export!J2146,FALSE),""),K2146)</f>
        <v/>
      </c>
      <c r="D2146" s="6"/>
      <c r="F2146" s="6" t="s">
        <v>2228</v>
      </c>
      <c r="G2146" s="6" t="b">
        <f t="shared" si="128"/>
        <v>0</v>
      </c>
      <c r="H2146" s="6" t="s">
        <v>2212</v>
      </c>
      <c r="I2146" t="s">
        <v>1561</v>
      </c>
      <c r="J2146" t="s">
        <v>1561</v>
      </c>
      <c r="L2146">
        <f t="shared" si="125"/>
        <v>1</v>
      </c>
    </row>
    <row r="2147" spans="1:12" x14ac:dyDescent="0.35">
      <c r="A2147" s="9">
        <f t="shared" si="126"/>
        <v>2146</v>
      </c>
      <c r="B2147" t="s">
        <v>111</v>
      </c>
      <c r="C2147" s="109">
        <f>IF(ISBLANK(K2147),IFERROR(VLOOKUP(I2147,FS_input_data!$C$398:$N$457,Export!J2147,FALSE),""),K2147)</f>
        <v>104</v>
      </c>
      <c r="D2147" s="6" t="b">
        <v>1</v>
      </c>
      <c r="E2147" t="s">
        <v>1561</v>
      </c>
      <c r="F2147" s="6" t="s">
        <v>2228</v>
      </c>
      <c r="G2147" s="6" t="b">
        <f t="shared" si="128"/>
        <v>0</v>
      </c>
      <c r="H2147" s="6" t="s">
        <v>2212</v>
      </c>
      <c r="I2147" t="s">
        <v>1683</v>
      </c>
      <c r="J2147">
        <v>4</v>
      </c>
      <c r="L2147" s="9" t="e">
        <f t="shared" si="125"/>
        <v>#VALUE!</v>
      </c>
    </row>
    <row r="2148" spans="1:12" x14ac:dyDescent="0.35">
      <c r="A2148">
        <f t="shared" si="126"/>
        <v>2147</v>
      </c>
      <c r="B2148" t="s">
        <v>112</v>
      </c>
      <c r="C2148" s="109" t="str">
        <f>IF(ISBLANK(K2148),IFERROR(VLOOKUP(I2148,FS_input_data!$C$398:$N$457,Export!J2148,FALSE),""),K2148)</f>
        <v/>
      </c>
      <c r="D2148" s="6"/>
      <c r="E2148" t="s">
        <v>1561</v>
      </c>
      <c r="F2148" s="6" t="s">
        <v>2228</v>
      </c>
      <c r="G2148" s="6" t="b">
        <f t="shared" si="128"/>
        <v>0</v>
      </c>
      <c r="H2148" s="6" t="s">
        <v>2212</v>
      </c>
      <c r="I2148" t="s">
        <v>1561</v>
      </c>
      <c r="J2148" t="s">
        <v>1561</v>
      </c>
      <c r="L2148">
        <f t="shared" si="125"/>
        <v>1</v>
      </c>
    </row>
    <row r="2149" spans="1:12" x14ac:dyDescent="0.35">
      <c r="A2149">
        <f t="shared" si="126"/>
        <v>2148</v>
      </c>
      <c r="B2149" t="s">
        <v>636</v>
      </c>
      <c r="C2149" s="109" t="str">
        <f>IF(ISBLANK(K2149),IFERROR(VLOOKUP(I2149,FS_input_data!$C$398:$N$457,Export!J2149,FALSE),""),K2149)</f>
        <v/>
      </c>
      <c r="D2149" s="6"/>
      <c r="E2149" t="s">
        <v>1561</v>
      </c>
      <c r="F2149" s="6" t="s">
        <v>2228</v>
      </c>
      <c r="G2149" s="6" t="b">
        <f t="shared" si="128"/>
        <v>0</v>
      </c>
      <c r="H2149" s="6" t="s">
        <v>2212</v>
      </c>
      <c r="I2149" t="s">
        <v>1561</v>
      </c>
      <c r="J2149" t="s">
        <v>1561</v>
      </c>
      <c r="L2149">
        <f t="shared" si="125"/>
        <v>1</v>
      </c>
    </row>
    <row r="2150" spans="1:12" x14ac:dyDescent="0.35">
      <c r="A2150">
        <f t="shared" si="126"/>
        <v>2149</v>
      </c>
      <c r="B2150" t="s">
        <v>637</v>
      </c>
      <c r="C2150" s="109" t="str">
        <f>IF(ISBLANK(K2150),IFERROR(VLOOKUP(I2150,FS_input_data!$C$398:$N$457,Export!J2150,FALSE),""),K2150)</f>
        <v/>
      </c>
      <c r="D2150" s="6"/>
      <c r="E2150" t="s">
        <v>1686</v>
      </c>
      <c r="F2150" s="6" t="s">
        <v>2228</v>
      </c>
      <c r="G2150" s="6" t="b">
        <f t="shared" si="128"/>
        <v>0</v>
      </c>
      <c r="H2150" s="6" t="s">
        <v>2212</v>
      </c>
      <c r="I2150" t="s">
        <v>1561</v>
      </c>
      <c r="J2150" t="s">
        <v>1561</v>
      </c>
      <c r="L2150" s="26" t="e">
        <f t="shared" si="125"/>
        <v>#VALUE!</v>
      </c>
    </row>
    <row r="2151" spans="1:12" x14ac:dyDescent="0.35">
      <c r="A2151" s="9">
        <f t="shared" si="126"/>
        <v>2150</v>
      </c>
      <c r="B2151" t="s">
        <v>109</v>
      </c>
      <c r="C2151" s="109">
        <f>IF(ISBLANK(K2151),IFERROR(VLOOKUP(I2151,FS_input_data!$C$398:$N$457,Export!J2151,FALSE),""),K2151)</f>
        <v>5</v>
      </c>
      <c r="D2151" s="6" t="b">
        <v>1</v>
      </c>
      <c r="E2151" t="s">
        <v>1561</v>
      </c>
      <c r="F2151" s="6" t="s">
        <v>2228</v>
      </c>
      <c r="G2151" s="6" t="b">
        <f t="shared" si="128"/>
        <v>0</v>
      </c>
      <c r="H2151" s="6" t="s">
        <v>2212</v>
      </c>
      <c r="I2151" t="s">
        <v>1685</v>
      </c>
      <c r="J2151">
        <v>3</v>
      </c>
      <c r="L2151" s="9" t="e">
        <f t="shared" si="125"/>
        <v>#VALUE!</v>
      </c>
    </row>
    <row r="2152" spans="1:12" x14ac:dyDescent="0.35">
      <c r="A2152">
        <f t="shared" si="126"/>
        <v>2151</v>
      </c>
      <c r="B2152" t="s">
        <v>110</v>
      </c>
      <c r="C2152" s="109" t="str">
        <f>IF(ISBLANK(K2152),IFERROR(VLOOKUP(I2152,FS_input_data!$C$398:$N$457,Export!J2152,FALSE),""),K2152)</f>
        <v/>
      </c>
      <c r="D2152" s="6"/>
      <c r="F2152" s="6" t="s">
        <v>2228</v>
      </c>
      <c r="G2152" s="6" t="b">
        <f t="shared" si="128"/>
        <v>0</v>
      </c>
      <c r="H2152" s="6" t="s">
        <v>2212</v>
      </c>
      <c r="I2152" t="s">
        <v>1561</v>
      </c>
      <c r="J2152" t="s">
        <v>1561</v>
      </c>
      <c r="L2152">
        <f t="shared" si="125"/>
        <v>1</v>
      </c>
    </row>
    <row r="2153" spans="1:12" x14ac:dyDescent="0.35">
      <c r="A2153" s="9">
        <f t="shared" si="126"/>
        <v>2152</v>
      </c>
      <c r="B2153" t="s">
        <v>111</v>
      </c>
      <c r="C2153" s="109">
        <f>IF(ISBLANK(K2153),IFERROR(VLOOKUP(I2153,FS_input_data!$C$398:$N$457,Export!J2153,FALSE),""),K2153)</f>
        <v>105</v>
      </c>
      <c r="D2153" s="6" t="b">
        <v>1</v>
      </c>
      <c r="E2153" t="s">
        <v>1561</v>
      </c>
      <c r="F2153" s="6" t="s">
        <v>2228</v>
      </c>
      <c r="G2153" s="6" t="b">
        <f t="shared" si="128"/>
        <v>0</v>
      </c>
      <c r="H2153" s="6" t="s">
        <v>2212</v>
      </c>
      <c r="I2153" t="s">
        <v>1685</v>
      </c>
      <c r="J2153">
        <v>4</v>
      </c>
      <c r="L2153" s="9" t="e">
        <f t="shared" si="125"/>
        <v>#VALUE!</v>
      </c>
    </row>
    <row r="2154" spans="1:12" x14ac:dyDescent="0.35">
      <c r="A2154">
        <f t="shared" si="126"/>
        <v>2153</v>
      </c>
      <c r="B2154" t="s">
        <v>112</v>
      </c>
      <c r="C2154" s="109" t="str">
        <f>IF(ISBLANK(K2154),IFERROR(VLOOKUP(I2154,FS_input_data!$C$398:$N$457,Export!J2154,FALSE),""),K2154)</f>
        <v/>
      </c>
      <c r="D2154" s="6"/>
      <c r="E2154" t="s">
        <v>1561</v>
      </c>
      <c r="F2154" s="6" t="s">
        <v>2228</v>
      </c>
      <c r="G2154" s="6" t="b">
        <f t="shared" si="128"/>
        <v>0</v>
      </c>
      <c r="H2154" s="6" t="s">
        <v>2212</v>
      </c>
      <c r="I2154" t="s">
        <v>1561</v>
      </c>
      <c r="J2154" t="s">
        <v>1561</v>
      </c>
      <c r="L2154">
        <f t="shared" si="125"/>
        <v>1</v>
      </c>
    </row>
    <row r="2155" spans="1:12" x14ac:dyDescent="0.35">
      <c r="A2155">
        <f t="shared" si="126"/>
        <v>2154</v>
      </c>
      <c r="B2155" t="s">
        <v>638</v>
      </c>
      <c r="C2155" s="109" t="str">
        <f>IF(ISBLANK(K2155),IFERROR(VLOOKUP(I2155,FS_input_data!$C$398:$N$457,Export!J2155,FALSE),""),K2155)</f>
        <v/>
      </c>
      <c r="D2155" s="6"/>
      <c r="E2155" t="s">
        <v>1561</v>
      </c>
      <c r="F2155" s="6" t="s">
        <v>2228</v>
      </c>
      <c r="G2155" s="6" t="b">
        <f t="shared" si="128"/>
        <v>0</v>
      </c>
      <c r="H2155" s="6" t="s">
        <v>2212</v>
      </c>
      <c r="I2155" t="s">
        <v>1561</v>
      </c>
      <c r="J2155" t="s">
        <v>1561</v>
      </c>
      <c r="L2155">
        <f t="shared" si="125"/>
        <v>1</v>
      </c>
    </row>
    <row r="2156" spans="1:12" x14ac:dyDescent="0.35">
      <c r="A2156">
        <f t="shared" si="126"/>
        <v>2155</v>
      </c>
      <c r="B2156" t="s">
        <v>639</v>
      </c>
      <c r="C2156" s="109" t="str">
        <f>IF(ISBLANK(K2156),IFERROR(VLOOKUP(I2156,FS_input_data!$C$398:$N$457,Export!J2156,FALSE),""),K2156)</f>
        <v/>
      </c>
      <c r="D2156" s="6"/>
      <c r="E2156" t="s">
        <v>1688</v>
      </c>
      <c r="F2156" s="6" t="s">
        <v>2228</v>
      </c>
      <c r="G2156" s="6" t="b">
        <f t="shared" si="128"/>
        <v>0</v>
      </c>
      <c r="H2156" s="6" t="s">
        <v>2212</v>
      </c>
      <c r="I2156" t="s">
        <v>1561</v>
      </c>
      <c r="J2156" t="s">
        <v>1561</v>
      </c>
      <c r="L2156" s="26" t="e">
        <f t="shared" si="125"/>
        <v>#VALUE!</v>
      </c>
    </row>
    <row r="2157" spans="1:12" x14ac:dyDescent="0.35">
      <c r="A2157" s="9">
        <f t="shared" si="126"/>
        <v>2156</v>
      </c>
      <c r="B2157" t="s">
        <v>109</v>
      </c>
      <c r="C2157" s="109">
        <f>IF(ISBLANK(K2157),IFERROR(VLOOKUP(I2157,FS_input_data!$C$398:$N$457,Export!J2157,FALSE),""),K2157)</f>
        <v>6</v>
      </c>
      <c r="D2157" s="6" t="b">
        <v>1</v>
      </c>
      <c r="E2157" t="s">
        <v>1561</v>
      </c>
      <c r="F2157" s="6" t="s">
        <v>2228</v>
      </c>
      <c r="G2157" s="6" t="b">
        <f t="shared" si="128"/>
        <v>0</v>
      </c>
      <c r="H2157" s="6" t="s">
        <v>2212</v>
      </c>
      <c r="I2157" t="s">
        <v>1687</v>
      </c>
      <c r="J2157">
        <v>3</v>
      </c>
      <c r="L2157" s="9" t="e">
        <f t="shared" si="125"/>
        <v>#VALUE!</v>
      </c>
    </row>
    <row r="2158" spans="1:12" x14ac:dyDescent="0.35">
      <c r="A2158">
        <f t="shared" si="126"/>
        <v>2157</v>
      </c>
      <c r="B2158" t="s">
        <v>110</v>
      </c>
      <c r="C2158" s="109" t="str">
        <f>IF(ISBLANK(K2158),IFERROR(VLOOKUP(I2158,FS_input_data!$C$398:$N$457,Export!J2158,FALSE),""),K2158)</f>
        <v/>
      </c>
      <c r="D2158" s="6"/>
      <c r="F2158" s="6" t="s">
        <v>2228</v>
      </c>
      <c r="G2158" s="6" t="b">
        <f t="shared" si="128"/>
        <v>0</v>
      </c>
      <c r="H2158" s="6" t="s">
        <v>2212</v>
      </c>
      <c r="I2158" t="s">
        <v>1561</v>
      </c>
      <c r="J2158" t="s">
        <v>1561</v>
      </c>
      <c r="L2158">
        <f t="shared" si="125"/>
        <v>1</v>
      </c>
    </row>
    <row r="2159" spans="1:12" x14ac:dyDescent="0.35">
      <c r="A2159" s="9">
        <f t="shared" si="126"/>
        <v>2158</v>
      </c>
      <c r="B2159" t="s">
        <v>111</v>
      </c>
      <c r="C2159" s="109">
        <f>IF(ISBLANK(K2159),IFERROR(VLOOKUP(I2159,FS_input_data!$C$398:$N$457,Export!J2159,FALSE),""),K2159)</f>
        <v>106</v>
      </c>
      <c r="D2159" s="6" t="b">
        <v>1</v>
      </c>
      <c r="E2159" t="s">
        <v>1561</v>
      </c>
      <c r="F2159" s="6" t="s">
        <v>2228</v>
      </c>
      <c r="G2159" s="6" t="b">
        <f t="shared" si="128"/>
        <v>0</v>
      </c>
      <c r="H2159" s="6" t="s">
        <v>2212</v>
      </c>
      <c r="I2159" t="s">
        <v>1687</v>
      </c>
      <c r="J2159">
        <v>4</v>
      </c>
      <c r="L2159" s="9" t="e">
        <f t="shared" si="125"/>
        <v>#VALUE!</v>
      </c>
    </row>
    <row r="2160" spans="1:12" x14ac:dyDescent="0.35">
      <c r="A2160">
        <f t="shared" si="126"/>
        <v>2159</v>
      </c>
      <c r="B2160" t="s">
        <v>112</v>
      </c>
      <c r="C2160" s="109" t="str">
        <f>IF(ISBLANK(K2160),IFERROR(VLOOKUP(I2160,FS_input_data!$C$398:$N$457,Export!J2160,FALSE),""),K2160)</f>
        <v/>
      </c>
      <c r="D2160" s="6"/>
      <c r="E2160" t="s">
        <v>1561</v>
      </c>
      <c r="F2160" s="6" t="s">
        <v>2228</v>
      </c>
      <c r="G2160" s="6" t="b">
        <f t="shared" si="128"/>
        <v>0</v>
      </c>
      <c r="H2160" s="6" t="s">
        <v>2212</v>
      </c>
      <c r="I2160" t="s">
        <v>1561</v>
      </c>
      <c r="J2160" t="s">
        <v>1561</v>
      </c>
      <c r="L2160">
        <f t="shared" si="125"/>
        <v>1</v>
      </c>
    </row>
    <row r="2161" spans="1:12" x14ac:dyDescent="0.35">
      <c r="A2161">
        <f t="shared" si="126"/>
        <v>2160</v>
      </c>
      <c r="B2161" t="s">
        <v>640</v>
      </c>
      <c r="C2161" s="109" t="str">
        <f>IF(ISBLANK(K2161),IFERROR(VLOOKUP(I2161,FS_input_data!$C$398:$N$457,Export!J2161,FALSE),""),K2161)</f>
        <v/>
      </c>
      <c r="D2161" s="6"/>
      <c r="E2161" t="s">
        <v>1561</v>
      </c>
      <c r="F2161" s="6" t="s">
        <v>2228</v>
      </c>
      <c r="G2161" s="6" t="b">
        <f t="shared" si="128"/>
        <v>0</v>
      </c>
      <c r="H2161" s="6" t="s">
        <v>2212</v>
      </c>
      <c r="I2161" t="s">
        <v>1561</v>
      </c>
      <c r="J2161" t="s">
        <v>1561</v>
      </c>
      <c r="L2161">
        <f t="shared" si="125"/>
        <v>1</v>
      </c>
    </row>
    <row r="2162" spans="1:12" x14ac:dyDescent="0.35">
      <c r="A2162">
        <f t="shared" si="126"/>
        <v>2161</v>
      </c>
      <c r="B2162" t="s">
        <v>641</v>
      </c>
      <c r="C2162" s="109" t="str">
        <f>IF(ISBLANK(K2162),IFERROR(VLOOKUP(I2162,FS_input_data!$C$398:$N$457,Export!J2162,FALSE),""),K2162)</f>
        <v/>
      </c>
      <c r="D2162" s="6"/>
      <c r="E2162" t="s">
        <v>1690</v>
      </c>
      <c r="F2162" s="6" t="s">
        <v>2228</v>
      </c>
      <c r="G2162" s="6" t="b">
        <f t="shared" si="128"/>
        <v>0</v>
      </c>
      <c r="H2162" s="6" t="s">
        <v>2212</v>
      </c>
      <c r="I2162" t="s">
        <v>1561</v>
      </c>
      <c r="J2162" t="s">
        <v>1561</v>
      </c>
      <c r="L2162" s="26" t="e">
        <f t="shared" si="125"/>
        <v>#VALUE!</v>
      </c>
    </row>
    <row r="2163" spans="1:12" x14ac:dyDescent="0.35">
      <c r="A2163" s="9">
        <f t="shared" si="126"/>
        <v>2162</v>
      </c>
      <c r="B2163" t="s">
        <v>109</v>
      </c>
      <c r="C2163" s="109">
        <f>IF(ISBLANK(K2163),IFERROR(VLOOKUP(I2163,FS_input_data!$C$398:$N$457,Export!J2163,FALSE),""),K2163)</f>
        <v>7</v>
      </c>
      <c r="D2163" s="6" t="b">
        <v>1</v>
      </c>
      <c r="E2163" t="s">
        <v>1561</v>
      </c>
      <c r="F2163" s="6" t="s">
        <v>2228</v>
      </c>
      <c r="G2163" s="6" t="b">
        <f t="shared" si="128"/>
        <v>0</v>
      </c>
      <c r="H2163" s="6" t="s">
        <v>2212</v>
      </c>
      <c r="I2163" t="s">
        <v>1689</v>
      </c>
      <c r="J2163">
        <v>3</v>
      </c>
      <c r="L2163" s="9" t="e">
        <f t="shared" si="125"/>
        <v>#VALUE!</v>
      </c>
    </row>
    <row r="2164" spans="1:12" x14ac:dyDescent="0.35">
      <c r="A2164">
        <f t="shared" si="126"/>
        <v>2163</v>
      </c>
      <c r="B2164" t="s">
        <v>110</v>
      </c>
      <c r="C2164" s="109" t="str">
        <f>IF(ISBLANK(K2164),IFERROR(VLOOKUP(I2164,FS_input_data!$C$398:$N$457,Export!J2164,FALSE),""),K2164)</f>
        <v/>
      </c>
      <c r="D2164" s="6"/>
      <c r="F2164" s="6" t="s">
        <v>2228</v>
      </c>
      <c r="G2164" s="6" t="b">
        <f t="shared" si="128"/>
        <v>0</v>
      </c>
      <c r="H2164" s="6" t="s">
        <v>2212</v>
      </c>
      <c r="I2164" t="s">
        <v>1561</v>
      </c>
      <c r="J2164" t="s">
        <v>1561</v>
      </c>
      <c r="L2164">
        <f t="shared" si="125"/>
        <v>1</v>
      </c>
    </row>
    <row r="2165" spans="1:12" x14ac:dyDescent="0.35">
      <c r="A2165" s="9">
        <f t="shared" si="126"/>
        <v>2164</v>
      </c>
      <c r="B2165" t="s">
        <v>111</v>
      </c>
      <c r="C2165" s="109">
        <f>IF(ISBLANK(K2165),IFERROR(VLOOKUP(I2165,FS_input_data!$C$398:$N$457,Export!J2165,FALSE),""),K2165)</f>
        <v>107</v>
      </c>
      <c r="D2165" s="6" t="b">
        <v>1</v>
      </c>
      <c r="E2165" t="s">
        <v>1561</v>
      </c>
      <c r="F2165" s="6" t="s">
        <v>2228</v>
      </c>
      <c r="G2165" s="6" t="b">
        <f t="shared" si="128"/>
        <v>0</v>
      </c>
      <c r="H2165" s="6" t="s">
        <v>2212</v>
      </c>
      <c r="I2165" t="s">
        <v>1689</v>
      </c>
      <c r="J2165">
        <v>4</v>
      </c>
      <c r="L2165" s="9" t="e">
        <f t="shared" si="125"/>
        <v>#VALUE!</v>
      </c>
    </row>
    <row r="2166" spans="1:12" x14ac:dyDescent="0.35">
      <c r="A2166">
        <f t="shared" si="126"/>
        <v>2165</v>
      </c>
      <c r="B2166" t="s">
        <v>112</v>
      </c>
      <c r="C2166" s="109" t="str">
        <f>IF(ISBLANK(K2166),IFERROR(VLOOKUP(I2166,FS_input_data!$C$398:$N$457,Export!J2166,FALSE),""),K2166)</f>
        <v/>
      </c>
      <c r="D2166" s="6"/>
      <c r="E2166" t="s">
        <v>1561</v>
      </c>
      <c r="F2166" s="6" t="s">
        <v>2228</v>
      </c>
      <c r="G2166" s="6" t="b">
        <f t="shared" si="128"/>
        <v>0</v>
      </c>
      <c r="H2166" s="6" t="s">
        <v>2212</v>
      </c>
      <c r="I2166" t="s">
        <v>1561</v>
      </c>
      <c r="J2166" t="s">
        <v>1561</v>
      </c>
      <c r="L2166">
        <f t="shared" si="125"/>
        <v>1</v>
      </c>
    </row>
    <row r="2167" spans="1:12" x14ac:dyDescent="0.35">
      <c r="A2167">
        <f t="shared" si="126"/>
        <v>2166</v>
      </c>
      <c r="B2167" t="s">
        <v>642</v>
      </c>
      <c r="C2167" s="109" t="str">
        <f>IF(ISBLANK(K2167),IFERROR(VLOOKUP(I2167,FS_input_data!$C$398:$N$457,Export!J2167,FALSE),""),K2167)</f>
        <v/>
      </c>
      <c r="D2167" s="6"/>
      <c r="E2167" t="s">
        <v>1561</v>
      </c>
      <c r="F2167" s="6" t="s">
        <v>2228</v>
      </c>
      <c r="G2167" s="6" t="b">
        <f t="shared" si="128"/>
        <v>0</v>
      </c>
      <c r="H2167" s="6" t="s">
        <v>2212</v>
      </c>
      <c r="I2167" t="s">
        <v>1561</v>
      </c>
      <c r="J2167" t="s">
        <v>1561</v>
      </c>
      <c r="L2167">
        <f t="shared" si="125"/>
        <v>1</v>
      </c>
    </row>
    <row r="2168" spans="1:12" x14ac:dyDescent="0.35">
      <c r="A2168">
        <f t="shared" si="126"/>
        <v>2167</v>
      </c>
      <c r="B2168" t="s">
        <v>643</v>
      </c>
      <c r="C2168" s="109" t="str">
        <f>IF(ISBLANK(K2168),IFERROR(VLOOKUP(I2168,FS_input_data!$C$398:$N$457,Export!J2168,FALSE),""),K2168)</f>
        <v/>
      </c>
      <c r="D2168" s="6"/>
      <c r="E2168" t="s">
        <v>1692</v>
      </c>
      <c r="F2168" s="6" t="s">
        <v>2228</v>
      </c>
      <c r="G2168" s="6" t="b">
        <f t="shared" si="128"/>
        <v>0</v>
      </c>
      <c r="H2168" s="6" t="s">
        <v>2212</v>
      </c>
      <c r="I2168" t="s">
        <v>1561</v>
      </c>
      <c r="J2168" t="s">
        <v>1561</v>
      </c>
      <c r="L2168" s="26" t="e">
        <f t="shared" si="125"/>
        <v>#VALUE!</v>
      </c>
    </row>
    <row r="2169" spans="1:12" x14ac:dyDescent="0.35">
      <c r="A2169" s="9">
        <f t="shared" si="126"/>
        <v>2168</v>
      </c>
      <c r="B2169" t="s">
        <v>109</v>
      </c>
      <c r="C2169" s="109">
        <f>IF(ISBLANK(K2169),IFERROR(VLOOKUP(I2169,FS_input_data!$C$398:$N$457,Export!J2169,FALSE),""),K2169)</f>
        <v>8</v>
      </c>
      <c r="D2169" s="6" t="b">
        <v>1</v>
      </c>
      <c r="E2169" t="s">
        <v>1561</v>
      </c>
      <c r="F2169" s="6" t="s">
        <v>2228</v>
      </c>
      <c r="G2169" s="6" t="b">
        <f t="shared" si="128"/>
        <v>0</v>
      </c>
      <c r="H2169" s="6" t="s">
        <v>2212</v>
      </c>
      <c r="I2169" t="s">
        <v>1691</v>
      </c>
      <c r="J2169">
        <v>3</v>
      </c>
      <c r="L2169" s="9" t="e">
        <f t="shared" si="125"/>
        <v>#VALUE!</v>
      </c>
    </row>
    <row r="2170" spans="1:12" x14ac:dyDescent="0.35">
      <c r="A2170">
        <f t="shared" si="126"/>
        <v>2169</v>
      </c>
      <c r="B2170" t="s">
        <v>110</v>
      </c>
      <c r="C2170" s="109" t="str">
        <f>IF(ISBLANK(K2170),IFERROR(VLOOKUP(I2170,FS_input_data!$C$398:$N$457,Export!J2170,FALSE),""),K2170)</f>
        <v/>
      </c>
      <c r="D2170" s="6"/>
      <c r="F2170" s="6" t="s">
        <v>2228</v>
      </c>
      <c r="G2170" s="6" t="b">
        <f t="shared" si="128"/>
        <v>0</v>
      </c>
      <c r="H2170" s="6" t="s">
        <v>2212</v>
      </c>
      <c r="I2170" t="s">
        <v>1561</v>
      </c>
      <c r="J2170" t="s">
        <v>1561</v>
      </c>
      <c r="L2170">
        <f t="shared" si="125"/>
        <v>1</v>
      </c>
    </row>
    <row r="2171" spans="1:12" x14ac:dyDescent="0.35">
      <c r="A2171" s="9">
        <f t="shared" si="126"/>
        <v>2170</v>
      </c>
      <c r="B2171" t="s">
        <v>111</v>
      </c>
      <c r="C2171" s="109">
        <f>IF(ISBLANK(K2171),IFERROR(VLOOKUP(I2171,FS_input_data!$C$398:$N$457,Export!J2171,FALSE),""),K2171)</f>
        <v>108</v>
      </c>
      <c r="D2171" s="6" t="b">
        <v>1</v>
      </c>
      <c r="E2171" t="s">
        <v>1561</v>
      </c>
      <c r="F2171" s="6" t="s">
        <v>2228</v>
      </c>
      <c r="G2171" s="6" t="b">
        <f t="shared" si="128"/>
        <v>0</v>
      </c>
      <c r="H2171" s="6" t="s">
        <v>2212</v>
      </c>
      <c r="I2171" t="s">
        <v>1691</v>
      </c>
      <c r="J2171">
        <v>4</v>
      </c>
      <c r="L2171" s="9" t="e">
        <f t="shared" si="125"/>
        <v>#VALUE!</v>
      </c>
    </row>
    <row r="2172" spans="1:12" x14ac:dyDescent="0.35">
      <c r="A2172">
        <f t="shared" si="126"/>
        <v>2171</v>
      </c>
      <c r="B2172" t="s">
        <v>112</v>
      </c>
      <c r="C2172" s="109" t="str">
        <f>IF(ISBLANK(K2172),IFERROR(VLOOKUP(I2172,FS_input_data!$C$398:$N$457,Export!J2172,FALSE),""),K2172)</f>
        <v/>
      </c>
      <c r="D2172" s="6"/>
      <c r="E2172" t="s">
        <v>1561</v>
      </c>
      <c r="F2172" s="6" t="s">
        <v>2228</v>
      </c>
      <c r="G2172" s="6" t="b">
        <f t="shared" si="128"/>
        <v>0</v>
      </c>
      <c r="H2172" s="6" t="s">
        <v>2212</v>
      </c>
      <c r="I2172" t="s">
        <v>1561</v>
      </c>
      <c r="J2172" t="s">
        <v>1561</v>
      </c>
      <c r="L2172">
        <f t="shared" si="125"/>
        <v>1</v>
      </c>
    </row>
    <row r="2173" spans="1:12" x14ac:dyDescent="0.35">
      <c r="A2173">
        <f t="shared" si="126"/>
        <v>2172</v>
      </c>
      <c r="B2173" t="s">
        <v>644</v>
      </c>
      <c r="C2173" s="109" t="str">
        <f>IF(ISBLANK(K2173),IFERROR(VLOOKUP(I2173,FS_input_data!$C$398:$N$457,Export!J2173,FALSE),""),K2173)</f>
        <v/>
      </c>
      <c r="D2173" s="6"/>
      <c r="E2173" t="s">
        <v>1561</v>
      </c>
      <c r="F2173" s="6" t="s">
        <v>2228</v>
      </c>
      <c r="G2173" s="6" t="b">
        <f t="shared" si="128"/>
        <v>0</v>
      </c>
      <c r="H2173" s="6" t="s">
        <v>2212</v>
      </c>
      <c r="I2173" t="s">
        <v>1561</v>
      </c>
      <c r="J2173" t="s">
        <v>1561</v>
      </c>
      <c r="L2173">
        <f t="shared" si="125"/>
        <v>1</v>
      </c>
    </row>
    <row r="2174" spans="1:12" x14ac:dyDescent="0.35">
      <c r="A2174">
        <f t="shared" si="126"/>
        <v>2173</v>
      </c>
      <c r="B2174" t="s">
        <v>645</v>
      </c>
      <c r="C2174" s="109" t="str">
        <f>IF(ISBLANK(K2174),IFERROR(VLOOKUP(I2174,FS_input_data!$C$398:$N$457,Export!J2174,FALSE),""),K2174)</f>
        <v/>
      </c>
      <c r="D2174" s="6"/>
      <c r="E2174" t="s">
        <v>1694</v>
      </c>
      <c r="F2174" s="6" t="s">
        <v>2228</v>
      </c>
      <c r="G2174" s="6" t="b">
        <f t="shared" si="128"/>
        <v>0</v>
      </c>
      <c r="H2174" s="6" t="s">
        <v>2212</v>
      </c>
      <c r="I2174" t="s">
        <v>1561</v>
      </c>
      <c r="J2174" t="s">
        <v>1561</v>
      </c>
      <c r="L2174" s="26" t="e">
        <f t="shared" si="125"/>
        <v>#VALUE!</v>
      </c>
    </row>
    <row r="2175" spans="1:12" x14ac:dyDescent="0.35">
      <c r="A2175" s="9">
        <f t="shared" si="126"/>
        <v>2174</v>
      </c>
      <c r="B2175" t="s">
        <v>109</v>
      </c>
      <c r="C2175" s="109">
        <f>IF(ISBLANK(K2175),IFERROR(VLOOKUP(I2175,FS_input_data!$C$398:$N$457,Export!J2175,FALSE),""),K2175)</f>
        <v>9</v>
      </c>
      <c r="D2175" s="6" t="b">
        <v>1</v>
      </c>
      <c r="E2175" t="s">
        <v>1561</v>
      </c>
      <c r="F2175" s="6" t="s">
        <v>2228</v>
      </c>
      <c r="G2175" s="6" t="b">
        <f t="shared" si="128"/>
        <v>0</v>
      </c>
      <c r="H2175" s="6" t="s">
        <v>2212</v>
      </c>
      <c r="I2175" t="s">
        <v>1693</v>
      </c>
      <c r="J2175">
        <v>3</v>
      </c>
      <c r="L2175" s="9" t="e">
        <f t="shared" si="125"/>
        <v>#VALUE!</v>
      </c>
    </row>
    <row r="2176" spans="1:12" x14ac:dyDescent="0.35">
      <c r="A2176">
        <f t="shared" si="126"/>
        <v>2175</v>
      </c>
      <c r="B2176" t="s">
        <v>110</v>
      </c>
      <c r="C2176" s="109" t="str">
        <f>IF(ISBLANK(K2176),IFERROR(VLOOKUP(I2176,FS_input_data!$C$398:$N$457,Export!J2176,FALSE),""),K2176)</f>
        <v/>
      </c>
      <c r="D2176" s="6"/>
      <c r="F2176" s="6" t="s">
        <v>2228</v>
      </c>
      <c r="G2176" s="6" t="b">
        <f t="shared" si="128"/>
        <v>0</v>
      </c>
      <c r="H2176" s="6" t="s">
        <v>2212</v>
      </c>
      <c r="I2176" t="s">
        <v>1561</v>
      </c>
      <c r="J2176" t="s">
        <v>1561</v>
      </c>
      <c r="L2176">
        <f t="shared" si="125"/>
        <v>1</v>
      </c>
    </row>
    <row r="2177" spans="1:12" x14ac:dyDescent="0.35">
      <c r="A2177" s="9">
        <f t="shared" si="126"/>
        <v>2176</v>
      </c>
      <c r="B2177" t="s">
        <v>111</v>
      </c>
      <c r="C2177" s="109">
        <f>IF(ISBLANK(K2177),IFERROR(VLOOKUP(I2177,FS_input_data!$C$398:$N$457,Export!J2177,FALSE),""),K2177)</f>
        <v>109</v>
      </c>
      <c r="D2177" s="6" t="b">
        <v>1</v>
      </c>
      <c r="E2177" t="s">
        <v>1561</v>
      </c>
      <c r="F2177" s="6" t="s">
        <v>2228</v>
      </c>
      <c r="G2177" s="6" t="b">
        <f t="shared" si="128"/>
        <v>0</v>
      </c>
      <c r="H2177" s="6" t="s">
        <v>2212</v>
      </c>
      <c r="I2177" t="s">
        <v>1693</v>
      </c>
      <c r="J2177">
        <v>4</v>
      </c>
      <c r="L2177" s="9" t="e">
        <f t="shared" si="125"/>
        <v>#VALUE!</v>
      </c>
    </row>
    <row r="2178" spans="1:12" x14ac:dyDescent="0.35">
      <c r="A2178">
        <f t="shared" si="126"/>
        <v>2177</v>
      </c>
      <c r="B2178" t="s">
        <v>112</v>
      </c>
      <c r="C2178" s="109" t="str">
        <f>IF(ISBLANK(K2178),IFERROR(VLOOKUP(I2178,FS_input_data!$C$398:$N$457,Export!J2178,FALSE),""),K2178)</f>
        <v/>
      </c>
      <c r="D2178" s="6"/>
      <c r="E2178" t="s">
        <v>1561</v>
      </c>
      <c r="F2178" s="6" t="s">
        <v>2228</v>
      </c>
      <c r="G2178" s="6" t="b">
        <f t="shared" si="128"/>
        <v>0</v>
      </c>
      <c r="H2178" s="6" t="s">
        <v>2212</v>
      </c>
      <c r="I2178" t="s">
        <v>1561</v>
      </c>
      <c r="J2178" t="s">
        <v>1561</v>
      </c>
      <c r="L2178">
        <f t="shared" ref="L2178:L2241" si="129">FIND("/",B2178)</f>
        <v>1</v>
      </c>
    </row>
    <row r="2179" spans="1:12" x14ac:dyDescent="0.35">
      <c r="A2179">
        <f t="shared" ref="A2179:A2242" si="130">A2178+1</f>
        <v>2178</v>
      </c>
      <c r="B2179" t="s">
        <v>646</v>
      </c>
      <c r="C2179" s="109" t="str">
        <f>IF(ISBLANK(K2179),IFERROR(VLOOKUP(I2179,FS_input_data!$C$398:$N$457,Export!J2179,FALSE),""),K2179)</f>
        <v/>
      </c>
      <c r="D2179" s="6"/>
      <c r="E2179" t="s">
        <v>1561</v>
      </c>
      <c r="F2179" s="6" t="s">
        <v>2228</v>
      </c>
      <c r="G2179" s="6" t="b">
        <f t="shared" si="128"/>
        <v>0</v>
      </c>
      <c r="H2179" s="6" t="s">
        <v>2212</v>
      </c>
      <c r="I2179" t="s">
        <v>1561</v>
      </c>
      <c r="J2179" t="s">
        <v>1561</v>
      </c>
      <c r="L2179">
        <f t="shared" si="129"/>
        <v>1</v>
      </c>
    </row>
    <row r="2180" spans="1:12" x14ac:dyDescent="0.35">
      <c r="A2180">
        <f t="shared" si="130"/>
        <v>2179</v>
      </c>
      <c r="B2180" t="s">
        <v>647</v>
      </c>
      <c r="C2180" s="109" t="str">
        <f>IF(ISBLANK(K2180),IFERROR(VLOOKUP(I2180,FS_input_data!$C$398:$N$457,Export!J2180,FALSE),""),K2180)</f>
        <v/>
      </c>
      <c r="D2180" s="6"/>
      <c r="E2180" t="s">
        <v>1696</v>
      </c>
      <c r="F2180" s="6" t="s">
        <v>2228</v>
      </c>
      <c r="G2180" s="6" t="b">
        <f t="shared" si="128"/>
        <v>0</v>
      </c>
      <c r="H2180" s="6" t="s">
        <v>2212</v>
      </c>
      <c r="I2180" t="s">
        <v>1561</v>
      </c>
      <c r="J2180" t="s">
        <v>1561</v>
      </c>
      <c r="L2180" s="26" t="e">
        <f t="shared" si="129"/>
        <v>#VALUE!</v>
      </c>
    </row>
    <row r="2181" spans="1:12" x14ac:dyDescent="0.35">
      <c r="A2181" s="9">
        <f t="shared" si="130"/>
        <v>2180</v>
      </c>
      <c r="B2181" t="s">
        <v>109</v>
      </c>
      <c r="C2181" s="109">
        <f>IF(ISBLANK(K2181),IFERROR(VLOOKUP(I2181,FS_input_data!$C$398:$N$457,Export!J2181,FALSE),""),K2181)</f>
        <v>10</v>
      </c>
      <c r="D2181" s="6" t="b">
        <v>1</v>
      </c>
      <c r="E2181" t="s">
        <v>1561</v>
      </c>
      <c r="F2181" s="6" t="s">
        <v>2228</v>
      </c>
      <c r="G2181" s="6" t="b">
        <f t="shared" si="128"/>
        <v>0</v>
      </c>
      <c r="H2181" s="6" t="s">
        <v>2212</v>
      </c>
      <c r="I2181" t="s">
        <v>1695</v>
      </c>
      <c r="J2181">
        <v>3</v>
      </c>
      <c r="L2181" s="9" t="e">
        <f t="shared" si="129"/>
        <v>#VALUE!</v>
      </c>
    </row>
    <row r="2182" spans="1:12" x14ac:dyDescent="0.35">
      <c r="A2182">
        <f t="shared" si="130"/>
        <v>2181</v>
      </c>
      <c r="B2182" t="s">
        <v>110</v>
      </c>
      <c r="C2182" s="109" t="str">
        <f>IF(ISBLANK(K2182),IFERROR(VLOOKUP(I2182,FS_input_data!$C$398:$N$457,Export!J2182,FALSE),""),K2182)</f>
        <v/>
      </c>
      <c r="D2182" s="6"/>
      <c r="F2182" s="6" t="s">
        <v>2228</v>
      </c>
      <c r="G2182" s="6" t="b">
        <f t="shared" si="128"/>
        <v>0</v>
      </c>
      <c r="H2182" s="6" t="s">
        <v>2212</v>
      </c>
      <c r="I2182" t="s">
        <v>1561</v>
      </c>
      <c r="J2182" t="s">
        <v>1561</v>
      </c>
      <c r="L2182">
        <f t="shared" si="129"/>
        <v>1</v>
      </c>
    </row>
    <row r="2183" spans="1:12" x14ac:dyDescent="0.35">
      <c r="A2183" s="9">
        <f t="shared" si="130"/>
        <v>2182</v>
      </c>
      <c r="B2183" t="s">
        <v>111</v>
      </c>
      <c r="C2183" s="109">
        <f>IF(ISBLANK(K2183),IFERROR(VLOOKUP(I2183,FS_input_data!$C$398:$N$457,Export!J2183,FALSE),""),K2183)</f>
        <v>110</v>
      </c>
      <c r="D2183" s="6" t="b">
        <v>1</v>
      </c>
      <c r="E2183" t="s">
        <v>1561</v>
      </c>
      <c r="F2183" s="6" t="s">
        <v>2228</v>
      </c>
      <c r="G2183" s="6" t="b">
        <f t="shared" si="128"/>
        <v>0</v>
      </c>
      <c r="H2183" s="6" t="s">
        <v>2212</v>
      </c>
      <c r="I2183" t="s">
        <v>1695</v>
      </c>
      <c r="J2183">
        <v>4</v>
      </c>
      <c r="L2183" s="9" t="e">
        <f t="shared" si="129"/>
        <v>#VALUE!</v>
      </c>
    </row>
    <row r="2184" spans="1:12" x14ac:dyDescent="0.35">
      <c r="A2184">
        <f t="shared" si="130"/>
        <v>2183</v>
      </c>
      <c r="B2184" t="s">
        <v>112</v>
      </c>
      <c r="C2184" s="109" t="str">
        <f>IF(ISBLANK(K2184),IFERROR(VLOOKUP(I2184,FS_input_data!$C$398:$N$457,Export!J2184,FALSE),""),K2184)</f>
        <v/>
      </c>
      <c r="D2184" s="6"/>
      <c r="E2184" t="s">
        <v>1561</v>
      </c>
      <c r="F2184" s="6" t="s">
        <v>2228</v>
      </c>
      <c r="G2184" s="6" t="b">
        <f t="shared" si="128"/>
        <v>0</v>
      </c>
      <c r="H2184" s="6" t="s">
        <v>2212</v>
      </c>
      <c r="I2184" t="s">
        <v>1561</v>
      </c>
      <c r="J2184" t="s">
        <v>1561</v>
      </c>
      <c r="L2184">
        <f t="shared" si="129"/>
        <v>1</v>
      </c>
    </row>
    <row r="2185" spans="1:12" x14ac:dyDescent="0.35">
      <c r="A2185">
        <f t="shared" si="130"/>
        <v>2184</v>
      </c>
      <c r="B2185" t="s">
        <v>648</v>
      </c>
      <c r="C2185" s="109" t="str">
        <f>IF(ISBLANK(K2185),IFERROR(VLOOKUP(I2185,FS_input_data!$C$398:$N$457,Export!J2185,FALSE),""),K2185)</f>
        <v/>
      </c>
      <c r="D2185" s="6"/>
      <c r="E2185" t="s">
        <v>1561</v>
      </c>
      <c r="F2185" s="6" t="s">
        <v>2228</v>
      </c>
      <c r="G2185" s="6" t="b">
        <f t="shared" si="128"/>
        <v>0</v>
      </c>
      <c r="H2185" s="6" t="s">
        <v>2212</v>
      </c>
      <c r="I2185" t="s">
        <v>1561</v>
      </c>
      <c r="J2185" t="s">
        <v>1561</v>
      </c>
      <c r="L2185">
        <f t="shared" si="129"/>
        <v>1</v>
      </c>
    </row>
    <row r="2186" spans="1:12" x14ac:dyDescent="0.35">
      <c r="A2186">
        <f t="shared" si="130"/>
        <v>2185</v>
      </c>
      <c r="B2186" t="s">
        <v>649</v>
      </c>
      <c r="C2186" s="109" t="str">
        <f>IF(ISBLANK(K2186),IFERROR(VLOOKUP(I2186,FS_input_data!$C$398:$N$457,Export!J2186,FALSE),""),K2186)</f>
        <v/>
      </c>
      <c r="D2186" s="6"/>
      <c r="E2186" t="s">
        <v>1698</v>
      </c>
      <c r="F2186" s="6" t="s">
        <v>2228</v>
      </c>
      <c r="G2186" s="6" t="b">
        <f t="shared" si="128"/>
        <v>0</v>
      </c>
      <c r="H2186" s="6" t="s">
        <v>2212</v>
      </c>
      <c r="I2186" t="s">
        <v>1561</v>
      </c>
      <c r="J2186" t="s">
        <v>1561</v>
      </c>
      <c r="L2186" s="26" t="e">
        <f t="shared" si="129"/>
        <v>#VALUE!</v>
      </c>
    </row>
    <row r="2187" spans="1:12" x14ac:dyDescent="0.35">
      <c r="A2187" s="9">
        <f t="shared" si="130"/>
        <v>2186</v>
      </c>
      <c r="B2187" t="s">
        <v>109</v>
      </c>
      <c r="C2187" s="109">
        <f>IF(ISBLANK(K2187),IFERROR(VLOOKUP(I2187,FS_input_data!$C$398:$N$457,Export!J2187,FALSE),""),K2187)</f>
        <v>11</v>
      </c>
      <c r="D2187" s="6" t="b">
        <v>1</v>
      </c>
      <c r="E2187" t="s">
        <v>1561</v>
      </c>
      <c r="F2187" s="6" t="s">
        <v>2228</v>
      </c>
      <c r="G2187" s="6" t="b">
        <f t="shared" si="128"/>
        <v>0</v>
      </c>
      <c r="H2187" s="6" t="s">
        <v>2212</v>
      </c>
      <c r="I2187" t="s">
        <v>1697</v>
      </c>
      <c r="J2187">
        <v>3</v>
      </c>
      <c r="L2187" s="9" t="e">
        <f t="shared" si="129"/>
        <v>#VALUE!</v>
      </c>
    </row>
    <row r="2188" spans="1:12" x14ac:dyDescent="0.35">
      <c r="A2188">
        <f t="shared" si="130"/>
        <v>2187</v>
      </c>
      <c r="B2188" t="s">
        <v>110</v>
      </c>
      <c r="C2188" s="109" t="str">
        <f>IF(ISBLANK(K2188),IFERROR(VLOOKUP(I2188,FS_input_data!$C$398:$N$457,Export!J2188,FALSE),""),K2188)</f>
        <v/>
      </c>
      <c r="D2188" s="6"/>
      <c r="F2188" s="6" t="s">
        <v>2228</v>
      </c>
      <c r="G2188" s="6" t="b">
        <f t="shared" si="128"/>
        <v>0</v>
      </c>
      <c r="H2188" s="6" t="s">
        <v>2212</v>
      </c>
      <c r="I2188" t="s">
        <v>1561</v>
      </c>
      <c r="J2188" t="s">
        <v>1561</v>
      </c>
      <c r="L2188">
        <f t="shared" si="129"/>
        <v>1</v>
      </c>
    </row>
    <row r="2189" spans="1:12" x14ac:dyDescent="0.35">
      <c r="A2189" s="9">
        <f t="shared" si="130"/>
        <v>2188</v>
      </c>
      <c r="B2189" t="s">
        <v>111</v>
      </c>
      <c r="C2189" s="109">
        <f>IF(ISBLANK(K2189),IFERROR(VLOOKUP(I2189,FS_input_data!$C$398:$N$457,Export!J2189,FALSE),""),K2189)</f>
        <v>111</v>
      </c>
      <c r="D2189" s="6" t="b">
        <v>1</v>
      </c>
      <c r="E2189" t="s">
        <v>1561</v>
      </c>
      <c r="F2189" s="6" t="s">
        <v>2228</v>
      </c>
      <c r="G2189" s="6" t="b">
        <f t="shared" si="128"/>
        <v>0</v>
      </c>
      <c r="H2189" s="6" t="s">
        <v>2212</v>
      </c>
      <c r="I2189" t="s">
        <v>1697</v>
      </c>
      <c r="J2189">
        <v>4</v>
      </c>
      <c r="L2189" s="9" t="e">
        <f t="shared" si="129"/>
        <v>#VALUE!</v>
      </c>
    </row>
    <row r="2190" spans="1:12" x14ac:dyDescent="0.35">
      <c r="A2190">
        <f t="shared" si="130"/>
        <v>2189</v>
      </c>
      <c r="B2190" t="s">
        <v>112</v>
      </c>
      <c r="C2190" s="109" t="str">
        <f>IF(ISBLANK(K2190),IFERROR(VLOOKUP(I2190,FS_input_data!$C$398:$N$457,Export!J2190,FALSE),""),K2190)</f>
        <v/>
      </c>
      <c r="D2190" s="6"/>
      <c r="E2190" t="s">
        <v>1561</v>
      </c>
      <c r="F2190" s="6" t="s">
        <v>2228</v>
      </c>
      <c r="G2190" s="6" t="b">
        <f t="shared" ref="G2190:G2253" si="131">NOT(CF_xml)</f>
        <v>0</v>
      </c>
      <c r="H2190" s="6" t="s">
        <v>2212</v>
      </c>
      <c r="I2190" t="s">
        <v>1561</v>
      </c>
      <c r="J2190" t="s">
        <v>1561</v>
      </c>
      <c r="L2190">
        <f t="shared" si="129"/>
        <v>1</v>
      </c>
    </row>
    <row r="2191" spans="1:12" x14ac:dyDescent="0.35">
      <c r="A2191">
        <f t="shared" si="130"/>
        <v>2190</v>
      </c>
      <c r="B2191" t="s">
        <v>650</v>
      </c>
      <c r="C2191" s="109" t="str">
        <f>IF(ISBLANK(K2191),IFERROR(VLOOKUP(I2191,FS_input_data!$C$398:$N$457,Export!J2191,FALSE),""),K2191)</f>
        <v/>
      </c>
      <c r="D2191" s="6"/>
      <c r="E2191" t="s">
        <v>1561</v>
      </c>
      <c r="F2191" s="6" t="s">
        <v>2228</v>
      </c>
      <c r="G2191" s="6" t="b">
        <f t="shared" si="131"/>
        <v>0</v>
      </c>
      <c r="H2191" s="6" t="s">
        <v>2212</v>
      </c>
      <c r="I2191" t="s">
        <v>1561</v>
      </c>
      <c r="J2191" t="s">
        <v>1561</v>
      </c>
      <c r="L2191">
        <f t="shared" si="129"/>
        <v>1</v>
      </c>
    </row>
    <row r="2192" spans="1:12" x14ac:dyDescent="0.35">
      <c r="A2192">
        <f t="shared" si="130"/>
        <v>2191</v>
      </c>
      <c r="B2192" t="s">
        <v>651</v>
      </c>
      <c r="C2192" s="109" t="str">
        <f>IF(ISBLANK(K2192),IFERROR(VLOOKUP(I2192,FS_input_data!$C$398:$N$457,Export!J2192,FALSE),""),K2192)</f>
        <v/>
      </c>
      <c r="D2192" s="6"/>
      <c r="E2192" t="s">
        <v>1700</v>
      </c>
      <c r="F2192" s="6" t="s">
        <v>2228</v>
      </c>
      <c r="G2192" s="6" t="b">
        <f t="shared" si="131"/>
        <v>0</v>
      </c>
      <c r="H2192" s="6" t="s">
        <v>2212</v>
      </c>
      <c r="I2192" t="s">
        <v>1561</v>
      </c>
      <c r="J2192" t="s">
        <v>1561</v>
      </c>
      <c r="L2192" s="26" t="e">
        <f t="shared" si="129"/>
        <v>#VALUE!</v>
      </c>
    </row>
    <row r="2193" spans="1:12" x14ac:dyDescent="0.35">
      <c r="A2193" s="9">
        <f t="shared" si="130"/>
        <v>2192</v>
      </c>
      <c r="B2193" t="s">
        <v>109</v>
      </c>
      <c r="C2193" s="109">
        <f>IF(ISBLANK(K2193),IFERROR(VLOOKUP(I2193,FS_input_data!$C$398:$N$457,Export!J2193,FALSE),""),K2193)</f>
        <v>12</v>
      </c>
      <c r="D2193" s="6" t="b">
        <v>1</v>
      </c>
      <c r="E2193" t="s">
        <v>1561</v>
      </c>
      <c r="F2193" s="6" t="s">
        <v>2228</v>
      </c>
      <c r="G2193" s="6" t="b">
        <f t="shared" si="131"/>
        <v>0</v>
      </c>
      <c r="H2193" s="6" t="s">
        <v>2212</v>
      </c>
      <c r="I2193" t="s">
        <v>1699</v>
      </c>
      <c r="J2193">
        <v>3</v>
      </c>
      <c r="L2193" s="9" t="e">
        <f t="shared" si="129"/>
        <v>#VALUE!</v>
      </c>
    </row>
    <row r="2194" spans="1:12" x14ac:dyDescent="0.35">
      <c r="A2194">
        <f t="shared" si="130"/>
        <v>2193</v>
      </c>
      <c r="B2194" t="s">
        <v>110</v>
      </c>
      <c r="C2194" s="109" t="str">
        <f>IF(ISBLANK(K2194),IFERROR(VLOOKUP(I2194,FS_input_data!$C$398:$N$457,Export!J2194,FALSE),""),K2194)</f>
        <v/>
      </c>
      <c r="D2194" s="6"/>
      <c r="F2194" s="6" t="s">
        <v>2228</v>
      </c>
      <c r="G2194" s="6" t="b">
        <f t="shared" si="131"/>
        <v>0</v>
      </c>
      <c r="H2194" s="6" t="s">
        <v>2212</v>
      </c>
      <c r="I2194" t="s">
        <v>1561</v>
      </c>
      <c r="J2194" t="s">
        <v>1561</v>
      </c>
      <c r="L2194">
        <f t="shared" si="129"/>
        <v>1</v>
      </c>
    </row>
    <row r="2195" spans="1:12" x14ac:dyDescent="0.35">
      <c r="A2195" s="9">
        <f t="shared" si="130"/>
        <v>2194</v>
      </c>
      <c r="B2195" t="s">
        <v>111</v>
      </c>
      <c r="C2195" s="109">
        <f>IF(ISBLANK(K2195),IFERROR(VLOOKUP(I2195,FS_input_data!$C$398:$N$457,Export!J2195,FALSE),""),K2195)</f>
        <v>112</v>
      </c>
      <c r="D2195" s="6" t="b">
        <v>1</v>
      </c>
      <c r="E2195" t="s">
        <v>1561</v>
      </c>
      <c r="F2195" s="6" t="s">
        <v>2228</v>
      </c>
      <c r="G2195" s="6" t="b">
        <f t="shared" si="131"/>
        <v>0</v>
      </c>
      <c r="H2195" s="6" t="s">
        <v>2212</v>
      </c>
      <c r="I2195" t="s">
        <v>1699</v>
      </c>
      <c r="J2195">
        <v>4</v>
      </c>
      <c r="L2195" s="9" t="e">
        <f t="shared" si="129"/>
        <v>#VALUE!</v>
      </c>
    </row>
    <row r="2196" spans="1:12" x14ac:dyDescent="0.35">
      <c r="A2196">
        <f t="shared" si="130"/>
        <v>2195</v>
      </c>
      <c r="B2196" t="s">
        <v>112</v>
      </c>
      <c r="C2196" s="109" t="str">
        <f>IF(ISBLANK(K2196),IFERROR(VLOOKUP(I2196,FS_input_data!$C$398:$N$457,Export!J2196,FALSE),""),K2196)</f>
        <v/>
      </c>
      <c r="D2196" s="6"/>
      <c r="E2196" t="s">
        <v>1561</v>
      </c>
      <c r="F2196" s="6" t="s">
        <v>2228</v>
      </c>
      <c r="G2196" s="6" t="b">
        <f t="shared" si="131"/>
        <v>0</v>
      </c>
      <c r="H2196" s="6" t="s">
        <v>2212</v>
      </c>
      <c r="I2196" t="s">
        <v>1561</v>
      </c>
      <c r="J2196" t="s">
        <v>1561</v>
      </c>
      <c r="L2196">
        <f t="shared" si="129"/>
        <v>1</v>
      </c>
    </row>
    <row r="2197" spans="1:12" x14ac:dyDescent="0.35">
      <c r="A2197">
        <f t="shared" si="130"/>
        <v>2196</v>
      </c>
      <c r="B2197" t="s">
        <v>652</v>
      </c>
      <c r="C2197" s="109" t="str">
        <f>IF(ISBLANK(K2197),IFERROR(VLOOKUP(I2197,FS_input_data!$C$398:$N$457,Export!J2197,FALSE),""),K2197)</f>
        <v/>
      </c>
      <c r="D2197" s="6"/>
      <c r="E2197" t="s">
        <v>1561</v>
      </c>
      <c r="F2197" s="6" t="s">
        <v>2228</v>
      </c>
      <c r="G2197" s="6" t="b">
        <f t="shared" si="131"/>
        <v>0</v>
      </c>
      <c r="H2197" s="6" t="s">
        <v>2212</v>
      </c>
      <c r="I2197" t="s">
        <v>1561</v>
      </c>
      <c r="J2197" t="s">
        <v>1561</v>
      </c>
      <c r="L2197">
        <f t="shared" si="129"/>
        <v>1</v>
      </c>
    </row>
    <row r="2198" spans="1:12" x14ac:dyDescent="0.35">
      <c r="A2198">
        <f t="shared" si="130"/>
        <v>2197</v>
      </c>
      <c r="B2198" t="s">
        <v>653</v>
      </c>
      <c r="C2198" s="109" t="str">
        <f>IF(ISBLANK(K2198),IFERROR(VLOOKUP(I2198,FS_input_data!$C$398:$N$457,Export!J2198,FALSE),""),K2198)</f>
        <v/>
      </c>
      <c r="D2198" s="6"/>
      <c r="E2198" t="s">
        <v>1702</v>
      </c>
      <c r="F2198" s="6" t="s">
        <v>2228</v>
      </c>
      <c r="G2198" s="6" t="b">
        <f t="shared" si="131"/>
        <v>0</v>
      </c>
      <c r="H2198" s="6" t="s">
        <v>2212</v>
      </c>
      <c r="I2198" t="s">
        <v>1561</v>
      </c>
      <c r="J2198" t="s">
        <v>1561</v>
      </c>
      <c r="L2198" s="26" t="e">
        <f t="shared" si="129"/>
        <v>#VALUE!</v>
      </c>
    </row>
    <row r="2199" spans="1:12" x14ac:dyDescent="0.35">
      <c r="A2199" s="9">
        <f t="shared" si="130"/>
        <v>2198</v>
      </c>
      <c r="B2199" t="s">
        <v>109</v>
      </c>
      <c r="C2199" s="109">
        <f>IF(ISBLANK(K2199),IFERROR(VLOOKUP(I2199,FS_input_data!$C$398:$N$457,Export!J2199,FALSE),""),K2199)</f>
        <v>13</v>
      </c>
      <c r="D2199" s="6" t="b">
        <v>1</v>
      </c>
      <c r="E2199" t="s">
        <v>1561</v>
      </c>
      <c r="F2199" s="6" t="s">
        <v>2228</v>
      </c>
      <c r="G2199" s="6" t="b">
        <f t="shared" si="131"/>
        <v>0</v>
      </c>
      <c r="H2199" s="6" t="s">
        <v>2212</v>
      </c>
      <c r="I2199" t="s">
        <v>1701</v>
      </c>
      <c r="J2199">
        <v>3</v>
      </c>
      <c r="L2199" s="9" t="e">
        <f t="shared" si="129"/>
        <v>#VALUE!</v>
      </c>
    </row>
    <row r="2200" spans="1:12" x14ac:dyDescent="0.35">
      <c r="A2200">
        <f t="shared" si="130"/>
        <v>2199</v>
      </c>
      <c r="B2200" t="s">
        <v>110</v>
      </c>
      <c r="C2200" s="109" t="str">
        <f>IF(ISBLANK(K2200),IFERROR(VLOOKUP(I2200,FS_input_data!$C$398:$N$457,Export!J2200,FALSE),""),K2200)</f>
        <v/>
      </c>
      <c r="D2200" s="6"/>
      <c r="F2200" s="6" t="s">
        <v>2228</v>
      </c>
      <c r="G2200" s="6" t="b">
        <f t="shared" si="131"/>
        <v>0</v>
      </c>
      <c r="H2200" s="6" t="s">
        <v>2212</v>
      </c>
      <c r="I2200" t="s">
        <v>1561</v>
      </c>
      <c r="J2200" t="s">
        <v>1561</v>
      </c>
      <c r="L2200">
        <f t="shared" si="129"/>
        <v>1</v>
      </c>
    </row>
    <row r="2201" spans="1:12" x14ac:dyDescent="0.35">
      <c r="A2201" s="9">
        <f t="shared" si="130"/>
        <v>2200</v>
      </c>
      <c r="B2201" t="s">
        <v>111</v>
      </c>
      <c r="C2201" s="109">
        <f>IF(ISBLANK(K2201),IFERROR(VLOOKUP(I2201,FS_input_data!$C$398:$N$457,Export!J2201,FALSE),""),K2201)</f>
        <v>113</v>
      </c>
      <c r="D2201" s="6" t="b">
        <v>1</v>
      </c>
      <c r="E2201" t="s">
        <v>1561</v>
      </c>
      <c r="F2201" s="6" t="s">
        <v>2228</v>
      </c>
      <c r="G2201" s="6" t="b">
        <f t="shared" si="131"/>
        <v>0</v>
      </c>
      <c r="H2201" s="6" t="s">
        <v>2212</v>
      </c>
      <c r="I2201" t="s">
        <v>1701</v>
      </c>
      <c r="J2201">
        <v>4</v>
      </c>
      <c r="L2201" s="9" t="e">
        <f t="shared" si="129"/>
        <v>#VALUE!</v>
      </c>
    </row>
    <row r="2202" spans="1:12" x14ac:dyDescent="0.35">
      <c r="A2202">
        <f t="shared" si="130"/>
        <v>2201</v>
      </c>
      <c r="B2202" t="s">
        <v>112</v>
      </c>
      <c r="C2202" s="109" t="str">
        <f>IF(ISBLANK(K2202),IFERROR(VLOOKUP(I2202,FS_input_data!$C$398:$N$457,Export!J2202,FALSE),""),K2202)</f>
        <v/>
      </c>
      <c r="D2202" s="6"/>
      <c r="E2202" t="s">
        <v>1561</v>
      </c>
      <c r="F2202" s="6" t="s">
        <v>2228</v>
      </c>
      <c r="G2202" s="6" t="b">
        <f t="shared" si="131"/>
        <v>0</v>
      </c>
      <c r="H2202" s="6" t="s">
        <v>2212</v>
      </c>
      <c r="I2202" t="s">
        <v>1561</v>
      </c>
      <c r="J2202" t="s">
        <v>1561</v>
      </c>
      <c r="L2202">
        <f t="shared" si="129"/>
        <v>1</v>
      </c>
    </row>
    <row r="2203" spans="1:12" x14ac:dyDescent="0.35">
      <c r="A2203">
        <f t="shared" si="130"/>
        <v>2202</v>
      </c>
      <c r="B2203" t="s">
        <v>654</v>
      </c>
      <c r="C2203" s="109" t="str">
        <f>IF(ISBLANK(K2203),IFERROR(VLOOKUP(I2203,FS_input_data!$C$398:$N$457,Export!J2203,FALSE),""),K2203)</f>
        <v/>
      </c>
      <c r="D2203" s="6"/>
      <c r="E2203" t="s">
        <v>1561</v>
      </c>
      <c r="F2203" s="6" t="s">
        <v>2228</v>
      </c>
      <c r="G2203" s="6" t="b">
        <f t="shared" si="131"/>
        <v>0</v>
      </c>
      <c r="H2203" s="6" t="s">
        <v>2212</v>
      </c>
      <c r="I2203" t="s">
        <v>1561</v>
      </c>
      <c r="J2203" t="s">
        <v>1561</v>
      </c>
      <c r="L2203">
        <f t="shared" si="129"/>
        <v>1</v>
      </c>
    </row>
    <row r="2204" spans="1:12" x14ac:dyDescent="0.35">
      <c r="A2204">
        <f t="shared" si="130"/>
        <v>2203</v>
      </c>
      <c r="B2204" t="s">
        <v>417</v>
      </c>
      <c r="C2204" s="109" t="str">
        <f>IF(ISBLANK(K2204),IFERROR(VLOOKUP(I2204,FS_input_data!$C$398:$N$457,Export!J2204,FALSE),""),K2204)</f>
        <v/>
      </c>
      <c r="D2204" s="6"/>
      <c r="E2204" t="s">
        <v>1561</v>
      </c>
      <c r="F2204" s="6" t="s">
        <v>2228</v>
      </c>
      <c r="G2204" s="6" t="b">
        <f t="shared" si="131"/>
        <v>0</v>
      </c>
      <c r="H2204" s="6" t="s">
        <v>2212</v>
      </c>
      <c r="I2204" t="s">
        <v>1561</v>
      </c>
      <c r="J2204" t="s">
        <v>1561</v>
      </c>
      <c r="L2204">
        <f t="shared" si="129"/>
        <v>1</v>
      </c>
    </row>
    <row r="2205" spans="1:12" x14ac:dyDescent="0.35">
      <c r="A2205">
        <f t="shared" si="130"/>
        <v>2204</v>
      </c>
      <c r="B2205" t="s">
        <v>418</v>
      </c>
      <c r="C2205" s="109" t="str">
        <f>IF(ISBLANK(K2205),IFERROR(VLOOKUP(I2205,FS_input_data!$C$398:$N$457,Export!J2205,FALSE),""),K2205)</f>
        <v/>
      </c>
      <c r="D2205" s="6"/>
      <c r="E2205" t="s">
        <v>1703</v>
      </c>
      <c r="F2205" s="6" t="s">
        <v>2228</v>
      </c>
      <c r="G2205" s="6" t="b">
        <f t="shared" si="131"/>
        <v>0</v>
      </c>
      <c r="H2205" s="6" t="s">
        <v>2212</v>
      </c>
      <c r="I2205" t="s">
        <v>1561</v>
      </c>
      <c r="J2205" t="s">
        <v>1561</v>
      </c>
      <c r="L2205" s="26" t="e">
        <f t="shared" si="129"/>
        <v>#VALUE!</v>
      </c>
    </row>
    <row r="2206" spans="1:12" x14ac:dyDescent="0.35">
      <c r="A2206" s="9">
        <f t="shared" si="130"/>
        <v>2205</v>
      </c>
      <c r="B2206" t="s">
        <v>109</v>
      </c>
      <c r="C2206" s="109">
        <f>IF(ISBLANK(K2206),IFERROR(VLOOKUP(I2206,FS_input_data!$C$398:$N$457,Export!J2206,FALSE),""),K2206)</f>
        <v>87</v>
      </c>
      <c r="D2206" s="6" t="b">
        <v>1</v>
      </c>
      <c r="E2206" t="s">
        <v>1561</v>
      </c>
      <c r="F2206" s="6" t="s">
        <v>2228</v>
      </c>
      <c r="G2206" s="6" t="b">
        <f t="shared" si="131"/>
        <v>0</v>
      </c>
      <c r="H2206" s="6" t="s">
        <v>2212</v>
      </c>
      <c r="I2206" t="s">
        <v>1403</v>
      </c>
      <c r="J2206">
        <v>3</v>
      </c>
      <c r="L2206" s="9" t="e">
        <f t="shared" si="129"/>
        <v>#VALUE!</v>
      </c>
    </row>
    <row r="2207" spans="1:12" x14ac:dyDescent="0.35">
      <c r="A2207">
        <f t="shared" si="130"/>
        <v>2206</v>
      </c>
      <c r="B2207" t="s">
        <v>110</v>
      </c>
      <c r="C2207" s="109" t="str">
        <f>IF(ISBLANK(K2207),IFERROR(VLOOKUP(I2207,FS_input_data!$C$398:$N$457,Export!J2207,FALSE),""),K2207)</f>
        <v/>
      </c>
      <c r="D2207" s="6"/>
      <c r="F2207" s="6" t="s">
        <v>2228</v>
      </c>
      <c r="G2207" s="6" t="b">
        <f t="shared" si="131"/>
        <v>0</v>
      </c>
      <c r="H2207" s="6" t="s">
        <v>2212</v>
      </c>
      <c r="I2207" t="s">
        <v>1561</v>
      </c>
      <c r="J2207" t="s">
        <v>1561</v>
      </c>
      <c r="L2207">
        <f t="shared" si="129"/>
        <v>1</v>
      </c>
    </row>
    <row r="2208" spans="1:12" x14ac:dyDescent="0.35">
      <c r="A2208" s="9">
        <f t="shared" si="130"/>
        <v>2207</v>
      </c>
      <c r="B2208" t="s">
        <v>111</v>
      </c>
      <c r="C2208" s="109">
        <f>IF(ISBLANK(K2208),IFERROR(VLOOKUP(I2208,FS_input_data!$C$398:$N$457,Export!J2208,FALSE),""),K2208)</f>
        <v>1187</v>
      </c>
      <c r="D2208" s="6" t="b">
        <v>1</v>
      </c>
      <c r="E2208" t="s">
        <v>1561</v>
      </c>
      <c r="F2208" s="6" t="s">
        <v>2228</v>
      </c>
      <c r="G2208" s="6" t="b">
        <f t="shared" si="131"/>
        <v>0</v>
      </c>
      <c r="H2208" s="6" t="s">
        <v>2212</v>
      </c>
      <c r="I2208" t="s">
        <v>1403</v>
      </c>
      <c r="J2208">
        <v>4</v>
      </c>
      <c r="L2208" s="9" t="e">
        <f t="shared" si="129"/>
        <v>#VALUE!</v>
      </c>
    </row>
    <row r="2209" spans="1:12" x14ac:dyDescent="0.35">
      <c r="A2209">
        <f t="shared" si="130"/>
        <v>2208</v>
      </c>
      <c r="B2209" t="s">
        <v>112</v>
      </c>
      <c r="C2209" s="109" t="str">
        <f>IF(ISBLANK(K2209),IFERROR(VLOOKUP(I2209,FS_input_data!$C$398:$N$457,Export!J2209,FALSE),""),K2209)</f>
        <v/>
      </c>
      <c r="D2209" s="6"/>
      <c r="E2209" t="s">
        <v>1561</v>
      </c>
      <c r="F2209" s="6" t="s">
        <v>2228</v>
      </c>
      <c r="G2209" s="6" t="b">
        <f t="shared" si="131"/>
        <v>0</v>
      </c>
      <c r="H2209" s="6" t="s">
        <v>2212</v>
      </c>
      <c r="I2209" t="s">
        <v>1561</v>
      </c>
      <c r="J2209" t="s">
        <v>1561</v>
      </c>
      <c r="L2209">
        <f t="shared" si="129"/>
        <v>1</v>
      </c>
    </row>
    <row r="2210" spans="1:12" x14ac:dyDescent="0.35">
      <c r="A2210">
        <f t="shared" si="130"/>
        <v>2209</v>
      </c>
      <c r="B2210" t="s">
        <v>419</v>
      </c>
      <c r="C2210" s="109" t="str">
        <f>IF(ISBLANK(K2210),IFERROR(VLOOKUP(I2210,FS_input_data!$C$398:$N$457,Export!J2210,FALSE),""),K2210)</f>
        <v/>
      </c>
      <c r="D2210" s="6"/>
      <c r="E2210" t="s">
        <v>1561</v>
      </c>
      <c r="F2210" s="6" t="s">
        <v>2228</v>
      </c>
      <c r="G2210" s="6" t="b">
        <f t="shared" si="131"/>
        <v>0</v>
      </c>
      <c r="H2210" s="6" t="s">
        <v>2212</v>
      </c>
      <c r="I2210" t="s">
        <v>1561</v>
      </c>
      <c r="J2210" t="s">
        <v>1561</v>
      </c>
      <c r="L2210">
        <f t="shared" si="129"/>
        <v>1</v>
      </c>
    </row>
    <row r="2211" spans="1:12" x14ac:dyDescent="0.35">
      <c r="A2211">
        <f t="shared" si="130"/>
        <v>2210</v>
      </c>
      <c r="B2211" t="s">
        <v>422</v>
      </c>
      <c r="C2211" s="109" t="str">
        <f>IF(ISBLANK(K2211),IFERROR(VLOOKUP(I2211,FS_input_data!$C$398:$N$457,Export!J2211,FALSE),""),K2211)</f>
        <v/>
      </c>
      <c r="D2211" s="6"/>
      <c r="E2211" t="s">
        <v>1561</v>
      </c>
      <c r="F2211" s="6" t="s">
        <v>2228</v>
      </c>
      <c r="G2211" s="6" t="b">
        <f t="shared" si="131"/>
        <v>0</v>
      </c>
      <c r="H2211" s="6" t="s">
        <v>2212</v>
      </c>
      <c r="I2211" t="s">
        <v>1561</v>
      </c>
      <c r="J2211" t="s">
        <v>1561</v>
      </c>
      <c r="L2211">
        <f t="shared" si="129"/>
        <v>1</v>
      </c>
    </row>
    <row r="2212" spans="1:12" x14ac:dyDescent="0.35">
      <c r="A2212">
        <f t="shared" si="130"/>
        <v>2211</v>
      </c>
      <c r="B2212" t="s">
        <v>423</v>
      </c>
      <c r="C2212" s="109" t="str">
        <f>IF(ISBLANK(K2212),IFERROR(VLOOKUP(I2212,FS_input_data!$C$398:$N$457,Export!J2212,FALSE),""),K2212)</f>
        <v/>
      </c>
      <c r="D2212" s="6"/>
      <c r="E2212" t="s">
        <v>1704</v>
      </c>
      <c r="F2212" s="6" t="s">
        <v>2228</v>
      </c>
      <c r="G2212" s="6" t="b">
        <f t="shared" si="131"/>
        <v>0</v>
      </c>
      <c r="H2212" s="6" t="s">
        <v>2212</v>
      </c>
      <c r="I2212" t="s">
        <v>1561</v>
      </c>
      <c r="J2212" t="s">
        <v>1561</v>
      </c>
      <c r="L2212" s="26" t="e">
        <f t="shared" si="129"/>
        <v>#VALUE!</v>
      </c>
    </row>
    <row r="2213" spans="1:12" x14ac:dyDescent="0.35">
      <c r="A2213" s="9">
        <f t="shared" si="130"/>
        <v>2212</v>
      </c>
      <c r="B2213" t="s">
        <v>109</v>
      </c>
      <c r="C2213" s="109">
        <f>IF(ISBLANK(K2213),IFERROR(VLOOKUP(I2213,FS_input_data!$C$398:$N$457,Export!J2213,FALSE),""),K2213)</f>
        <v>15</v>
      </c>
      <c r="D2213" s="6" t="b">
        <v>1</v>
      </c>
      <c r="E2213" t="s">
        <v>1561</v>
      </c>
      <c r="F2213" s="6" t="s">
        <v>2228</v>
      </c>
      <c r="G2213" s="6" t="b">
        <f t="shared" si="131"/>
        <v>0</v>
      </c>
      <c r="H2213" s="6" t="s">
        <v>2212</v>
      </c>
      <c r="I2213" t="s">
        <v>1409</v>
      </c>
      <c r="J2213">
        <v>3</v>
      </c>
      <c r="L2213" s="9" t="e">
        <f t="shared" si="129"/>
        <v>#VALUE!</v>
      </c>
    </row>
    <row r="2214" spans="1:12" x14ac:dyDescent="0.35">
      <c r="A2214">
        <f t="shared" si="130"/>
        <v>2213</v>
      </c>
      <c r="B2214" t="s">
        <v>110</v>
      </c>
      <c r="C2214" s="109" t="str">
        <f>IF(ISBLANK(K2214),IFERROR(VLOOKUP(I2214,FS_input_data!$C$398:$N$457,Export!J2214,FALSE),""),K2214)</f>
        <v/>
      </c>
      <c r="D2214" s="6"/>
      <c r="F2214" s="6" t="s">
        <v>2228</v>
      </c>
      <c r="G2214" s="6" t="b">
        <f t="shared" si="131"/>
        <v>0</v>
      </c>
      <c r="H2214" s="6" t="s">
        <v>2212</v>
      </c>
      <c r="I2214" t="s">
        <v>1561</v>
      </c>
      <c r="J2214" t="s">
        <v>1561</v>
      </c>
      <c r="L2214">
        <f t="shared" si="129"/>
        <v>1</v>
      </c>
    </row>
    <row r="2215" spans="1:12" x14ac:dyDescent="0.35">
      <c r="A2215" s="9">
        <f t="shared" si="130"/>
        <v>2214</v>
      </c>
      <c r="B2215" t="s">
        <v>111</v>
      </c>
      <c r="C2215" s="109">
        <f>IF(ISBLANK(K2215),IFERROR(VLOOKUP(I2215,FS_input_data!$C$398:$N$457,Export!J2215,FALSE),""),K2215)</f>
        <v>115</v>
      </c>
      <c r="D2215" s="6" t="b">
        <v>1</v>
      </c>
      <c r="E2215" t="s">
        <v>1561</v>
      </c>
      <c r="F2215" s="6" t="s">
        <v>2228</v>
      </c>
      <c r="G2215" s="6" t="b">
        <f t="shared" si="131"/>
        <v>0</v>
      </c>
      <c r="H2215" s="6" t="s">
        <v>2212</v>
      </c>
      <c r="I2215" t="s">
        <v>1409</v>
      </c>
      <c r="J2215">
        <v>4</v>
      </c>
      <c r="L2215" s="9" t="e">
        <f t="shared" si="129"/>
        <v>#VALUE!</v>
      </c>
    </row>
    <row r="2216" spans="1:12" x14ac:dyDescent="0.35">
      <c r="A2216">
        <f t="shared" si="130"/>
        <v>2215</v>
      </c>
      <c r="B2216" t="s">
        <v>112</v>
      </c>
      <c r="C2216" s="109" t="str">
        <f>IF(ISBLANK(K2216),IFERROR(VLOOKUP(I2216,FS_input_data!$C$398:$N$457,Export!J2216,FALSE),""),K2216)</f>
        <v/>
      </c>
      <c r="D2216" s="6"/>
      <c r="E2216" t="s">
        <v>1561</v>
      </c>
      <c r="F2216" s="6" t="s">
        <v>2228</v>
      </c>
      <c r="G2216" s="6" t="b">
        <f t="shared" si="131"/>
        <v>0</v>
      </c>
      <c r="H2216" s="6" t="s">
        <v>2212</v>
      </c>
      <c r="I2216" t="s">
        <v>1561</v>
      </c>
      <c r="J2216" t="s">
        <v>1561</v>
      </c>
      <c r="L2216">
        <f t="shared" si="129"/>
        <v>1</v>
      </c>
    </row>
    <row r="2217" spans="1:12" x14ac:dyDescent="0.35">
      <c r="A2217">
        <f t="shared" si="130"/>
        <v>2216</v>
      </c>
      <c r="B2217" t="s">
        <v>424</v>
      </c>
      <c r="C2217" s="109" t="str">
        <f>IF(ISBLANK(K2217),IFERROR(VLOOKUP(I2217,FS_input_data!$C$398:$N$457,Export!J2217,FALSE),""),K2217)</f>
        <v/>
      </c>
      <c r="D2217" s="6"/>
      <c r="E2217" t="s">
        <v>1705</v>
      </c>
      <c r="F2217" s="6" t="s">
        <v>2228</v>
      </c>
      <c r="G2217" s="6" t="b">
        <f t="shared" si="131"/>
        <v>0</v>
      </c>
      <c r="H2217" s="6" t="s">
        <v>2212</v>
      </c>
      <c r="I2217" t="s">
        <v>1561</v>
      </c>
      <c r="J2217" t="s">
        <v>1561</v>
      </c>
      <c r="L2217" s="26" t="e">
        <f t="shared" si="129"/>
        <v>#VALUE!</v>
      </c>
    </row>
    <row r="2218" spans="1:12" x14ac:dyDescent="0.35">
      <c r="A2218" s="9">
        <f t="shared" si="130"/>
        <v>2217</v>
      </c>
      <c r="B2218" t="s">
        <v>109</v>
      </c>
      <c r="C2218" s="109">
        <f>IF(ISBLANK(K2218),IFERROR(VLOOKUP(I2218,FS_input_data!$C$398:$N$457,Export!J2218,FALSE),""),K2218)</f>
        <v>202</v>
      </c>
      <c r="D2218" s="6" t="b">
        <v>1</v>
      </c>
      <c r="E2218" t="s">
        <v>1561</v>
      </c>
      <c r="F2218" s="6" t="s">
        <v>2228</v>
      </c>
      <c r="G2218" s="6" t="b">
        <f t="shared" si="131"/>
        <v>0</v>
      </c>
      <c r="H2218" s="6" t="s">
        <v>2212</v>
      </c>
      <c r="I2218" t="s">
        <v>1412</v>
      </c>
      <c r="J2218">
        <v>3</v>
      </c>
      <c r="L2218" s="9" t="e">
        <f t="shared" si="129"/>
        <v>#VALUE!</v>
      </c>
    </row>
    <row r="2219" spans="1:12" x14ac:dyDescent="0.35">
      <c r="A2219">
        <f t="shared" si="130"/>
        <v>2218</v>
      </c>
      <c r="B2219" t="s">
        <v>110</v>
      </c>
      <c r="C2219" s="109" t="str">
        <f>IF(ISBLANK(K2219),IFERROR(VLOOKUP(I2219,FS_input_data!$C$398:$N$457,Export!J2219,FALSE),""),K2219)</f>
        <v/>
      </c>
      <c r="D2219" s="6"/>
      <c r="F2219" s="6" t="s">
        <v>2228</v>
      </c>
      <c r="G2219" s="6" t="b">
        <f t="shared" si="131"/>
        <v>0</v>
      </c>
      <c r="H2219" s="6" t="s">
        <v>2212</v>
      </c>
      <c r="I2219" t="s">
        <v>1561</v>
      </c>
      <c r="J2219" t="s">
        <v>1561</v>
      </c>
      <c r="L2219">
        <f t="shared" si="129"/>
        <v>1</v>
      </c>
    </row>
    <row r="2220" spans="1:12" x14ac:dyDescent="0.35">
      <c r="A2220" s="9">
        <f t="shared" si="130"/>
        <v>2219</v>
      </c>
      <c r="B2220" t="s">
        <v>111</v>
      </c>
      <c r="C2220" s="109">
        <f>IF(ISBLANK(K2220),IFERROR(VLOOKUP(I2220,FS_input_data!$C$398:$N$457,Export!J2220,FALSE),""),K2220)</f>
        <v>1102</v>
      </c>
      <c r="D2220" s="6" t="b">
        <v>1</v>
      </c>
      <c r="E2220" t="s">
        <v>1561</v>
      </c>
      <c r="F2220" s="6" t="s">
        <v>2228</v>
      </c>
      <c r="G2220" s="6" t="b">
        <f t="shared" si="131"/>
        <v>0</v>
      </c>
      <c r="H2220" s="6" t="s">
        <v>2212</v>
      </c>
      <c r="I2220" t="s">
        <v>1412</v>
      </c>
      <c r="J2220">
        <v>4</v>
      </c>
      <c r="L2220" s="9" t="e">
        <f t="shared" si="129"/>
        <v>#VALUE!</v>
      </c>
    </row>
    <row r="2221" spans="1:12" x14ac:dyDescent="0.35">
      <c r="A2221">
        <f t="shared" si="130"/>
        <v>2220</v>
      </c>
      <c r="B2221" t="s">
        <v>112</v>
      </c>
      <c r="C2221" s="109" t="str">
        <f>IF(ISBLANK(K2221),IFERROR(VLOOKUP(I2221,FS_input_data!$C$398:$N$457,Export!J2221,FALSE),""),K2221)</f>
        <v/>
      </c>
      <c r="D2221" s="6"/>
      <c r="E2221" t="s">
        <v>1561</v>
      </c>
      <c r="F2221" s="6" t="s">
        <v>2228</v>
      </c>
      <c r="G2221" s="6" t="b">
        <f t="shared" si="131"/>
        <v>0</v>
      </c>
      <c r="H2221" s="6" t="s">
        <v>2212</v>
      </c>
      <c r="I2221" t="s">
        <v>1561</v>
      </c>
      <c r="J2221" t="s">
        <v>1561</v>
      </c>
      <c r="L2221">
        <f t="shared" si="129"/>
        <v>1</v>
      </c>
    </row>
    <row r="2222" spans="1:12" x14ac:dyDescent="0.35">
      <c r="A2222">
        <f t="shared" si="130"/>
        <v>2221</v>
      </c>
      <c r="B2222" t="s">
        <v>655</v>
      </c>
      <c r="C2222" s="109" t="str">
        <f>IF(ISBLANK(K2222),IFERROR(VLOOKUP(I2222,FS_input_data!$C$398:$N$457,Export!J2222,FALSE),""),K2222)</f>
        <v/>
      </c>
      <c r="D2222" s="6"/>
      <c r="E2222" t="s">
        <v>1707</v>
      </c>
      <c r="F2222" s="6" t="s">
        <v>2228</v>
      </c>
      <c r="G2222" s="6" t="b">
        <f t="shared" si="131"/>
        <v>0</v>
      </c>
      <c r="H2222" s="6" t="s">
        <v>2212</v>
      </c>
      <c r="I2222" t="s">
        <v>1561</v>
      </c>
      <c r="J2222" t="s">
        <v>1561</v>
      </c>
      <c r="L2222" s="26" t="e">
        <f t="shared" si="129"/>
        <v>#VALUE!</v>
      </c>
    </row>
    <row r="2223" spans="1:12" x14ac:dyDescent="0.35">
      <c r="A2223" s="9">
        <f t="shared" si="130"/>
        <v>2222</v>
      </c>
      <c r="B2223" t="s">
        <v>109</v>
      </c>
      <c r="C2223" s="109">
        <f>IF(ISBLANK(K2223),IFERROR(VLOOKUP(I2223,FS_input_data!$C$398:$N$457,Export!J2223,FALSE),""),K2223)</f>
        <v>17</v>
      </c>
      <c r="D2223" s="6" t="b">
        <v>1</v>
      </c>
      <c r="E2223" t="s">
        <v>1561</v>
      </c>
      <c r="F2223" s="6" t="s">
        <v>2228</v>
      </c>
      <c r="G2223" s="6" t="b">
        <f t="shared" si="131"/>
        <v>0</v>
      </c>
      <c r="H2223" s="6" t="s">
        <v>2212</v>
      </c>
      <c r="I2223" t="s">
        <v>1706</v>
      </c>
      <c r="J2223">
        <v>3</v>
      </c>
      <c r="L2223" s="9" t="e">
        <f t="shared" si="129"/>
        <v>#VALUE!</v>
      </c>
    </row>
    <row r="2224" spans="1:12" x14ac:dyDescent="0.35">
      <c r="A2224">
        <f t="shared" si="130"/>
        <v>2223</v>
      </c>
      <c r="B2224" t="s">
        <v>110</v>
      </c>
      <c r="C2224" s="109" t="str">
        <f>IF(ISBLANK(K2224),IFERROR(VLOOKUP(I2224,FS_input_data!$C$398:$N$457,Export!J2224,FALSE),""),K2224)</f>
        <v/>
      </c>
      <c r="D2224" s="6"/>
      <c r="F2224" s="6" t="s">
        <v>2228</v>
      </c>
      <c r="G2224" s="6" t="b">
        <f t="shared" si="131"/>
        <v>0</v>
      </c>
      <c r="H2224" s="6" t="s">
        <v>2212</v>
      </c>
      <c r="I2224" t="s">
        <v>1561</v>
      </c>
      <c r="J2224" t="s">
        <v>1561</v>
      </c>
      <c r="L2224">
        <f t="shared" si="129"/>
        <v>1</v>
      </c>
    </row>
    <row r="2225" spans="1:12" x14ac:dyDescent="0.35">
      <c r="A2225" s="9">
        <f t="shared" si="130"/>
        <v>2224</v>
      </c>
      <c r="B2225" t="s">
        <v>111</v>
      </c>
      <c r="C2225" s="109">
        <f>IF(ISBLANK(K2225),IFERROR(VLOOKUP(I2225,FS_input_data!$C$398:$N$457,Export!J2225,FALSE),""),K2225)</f>
        <v>117</v>
      </c>
      <c r="D2225" s="6" t="b">
        <v>1</v>
      </c>
      <c r="E2225" t="s">
        <v>1561</v>
      </c>
      <c r="F2225" s="6" t="s">
        <v>2228</v>
      </c>
      <c r="G2225" s="6" t="b">
        <f t="shared" si="131"/>
        <v>0</v>
      </c>
      <c r="H2225" s="6" t="s">
        <v>2212</v>
      </c>
      <c r="I2225" t="s">
        <v>1706</v>
      </c>
      <c r="J2225">
        <v>4</v>
      </c>
      <c r="L2225" s="9" t="e">
        <f t="shared" si="129"/>
        <v>#VALUE!</v>
      </c>
    </row>
    <row r="2226" spans="1:12" x14ac:dyDescent="0.35">
      <c r="A2226">
        <f t="shared" si="130"/>
        <v>2225</v>
      </c>
      <c r="B2226" t="s">
        <v>112</v>
      </c>
      <c r="C2226" s="109" t="str">
        <f>IF(ISBLANK(K2226),IFERROR(VLOOKUP(I2226,FS_input_data!$C$398:$N$457,Export!J2226,FALSE),""),K2226)</f>
        <v/>
      </c>
      <c r="D2226" s="6"/>
      <c r="E2226" t="s">
        <v>1561</v>
      </c>
      <c r="F2226" s="6" t="s">
        <v>2228</v>
      </c>
      <c r="G2226" s="6" t="b">
        <f t="shared" si="131"/>
        <v>0</v>
      </c>
      <c r="H2226" s="6" t="s">
        <v>2212</v>
      </c>
      <c r="I2226" t="s">
        <v>1561</v>
      </c>
      <c r="J2226" t="s">
        <v>1561</v>
      </c>
      <c r="L2226">
        <f t="shared" si="129"/>
        <v>1</v>
      </c>
    </row>
    <row r="2227" spans="1:12" x14ac:dyDescent="0.35">
      <c r="A2227">
        <f t="shared" si="130"/>
        <v>2226</v>
      </c>
      <c r="B2227" t="s">
        <v>656</v>
      </c>
      <c r="C2227" s="109" t="str">
        <f>IF(ISBLANK(K2227),IFERROR(VLOOKUP(I2227,FS_input_data!$C$398:$N$457,Export!J2227,FALSE),""),K2227)</f>
        <v/>
      </c>
      <c r="D2227" s="6"/>
      <c r="E2227" t="s">
        <v>1561</v>
      </c>
      <c r="F2227" s="6" t="s">
        <v>2228</v>
      </c>
      <c r="G2227" s="6" t="b">
        <f t="shared" si="131"/>
        <v>0</v>
      </c>
      <c r="H2227" s="6" t="s">
        <v>2212</v>
      </c>
      <c r="I2227" t="s">
        <v>1561</v>
      </c>
      <c r="J2227" t="s">
        <v>1561</v>
      </c>
      <c r="L2227">
        <f t="shared" si="129"/>
        <v>1</v>
      </c>
    </row>
    <row r="2228" spans="1:12" x14ac:dyDescent="0.35">
      <c r="A2228">
        <f t="shared" si="130"/>
        <v>2227</v>
      </c>
      <c r="B2228" t="s">
        <v>657</v>
      </c>
      <c r="C2228" s="109" t="str">
        <f>IF(ISBLANK(K2228),IFERROR(VLOOKUP(I2228,FS_input_data!$C$398:$N$457,Export!J2228,FALSE),""),K2228)</f>
        <v/>
      </c>
      <c r="D2228" s="6"/>
      <c r="E2228" t="s">
        <v>1709</v>
      </c>
      <c r="F2228" s="6" t="s">
        <v>2228</v>
      </c>
      <c r="G2228" s="6" t="b">
        <f t="shared" si="131"/>
        <v>0</v>
      </c>
      <c r="H2228" s="6" t="s">
        <v>2212</v>
      </c>
      <c r="I2228" t="s">
        <v>1561</v>
      </c>
      <c r="J2228" t="s">
        <v>1561</v>
      </c>
      <c r="L2228" s="26" t="e">
        <f t="shared" si="129"/>
        <v>#VALUE!</v>
      </c>
    </row>
    <row r="2229" spans="1:12" x14ac:dyDescent="0.35">
      <c r="A2229" s="9">
        <f t="shared" si="130"/>
        <v>2228</v>
      </c>
      <c r="B2229" t="s">
        <v>109</v>
      </c>
      <c r="C2229" s="109">
        <f>IF(ISBLANK(K2229),IFERROR(VLOOKUP(I2229,FS_input_data!$C$398:$N$457,Export!J2229,FALSE),""),K2229)</f>
        <v>18</v>
      </c>
      <c r="D2229" s="6" t="b">
        <v>1</v>
      </c>
      <c r="E2229" t="s">
        <v>1561</v>
      </c>
      <c r="F2229" s="6" t="s">
        <v>2228</v>
      </c>
      <c r="G2229" s="6" t="b">
        <f t="shared" si="131"/>
        <v>0</v>
      </c>
      <c r="H2229" s="6" t="s">
        <v>2212</v>
      </c>
      <c r="I2229" t="s">
        <v>1708</v>
      </c>
      <c r="J2229">
        <v>3</v>
      </c>
      <c r="L2229" s="9" t="e">
        <f t="shared" si="129"/>
        <v>#VALUE!</v>
      </c>
    </row>
    <row r="2230" spans="1:12" x14ac:dyDescent="0.35">
      <c r="A2230">
        <f t="shared" si="130"/>
        <v>2229</v>
      </c>
      <c r="B2230" t="s">
        <v>110</v>
      </c>
      <c r="C2230" s="109" t="str">
        <f>IF(ISBLANK(K2230),IFERROR(VLOOKUP(I2230,FS_input_data!$C$398:$N$457,Export!J2230,FALSE),""),K2230)</f>
        <v/>
      </c>
      <c r="D2230" s="6"/>
      <c r="F2230" s="6" t="s">
        <v>2228</v>
      </c>
      <c r="G2230" s="6" t="b">
        <f t="shared" si="131"/>
        <v>0</v>
      </c>
      <c r="H2230" s="6" t="s">
        <v>2212</v>
      </c>
      <c r="I2230" t="s">
        <v>1561</v>
      </c>
      <c r="J2230" t="s">
        <v>1561</v>
      </c>
      <c r="L2230">
        <f t="shared" si="129"/>
        <v>1</v>
      </c>
    </row>
    <row r="2231" spans="1:12" x14ac:dyDescent="0.35">
      <c r="A2231" s="9">
        <f t="shared" si="130"/>
        <v>2230</v>
      </c>
      <c r="B2231" t="s">
        <v>111</v>
      </c>
      <c r="C2231" s="109">
        <f>IF(ISBLANK(K2231),IFERROR(VLOOKUP(I2231,FS_input_data!$C$398:$N$457,Export!J2231,FALSE),""),K2231)</f>
        <v>118</v>
      </c>
      <c r="D2231" s="6" t="b">
        <v>1</v>
      </c>
      <c r="E2231" t="s">
        <v>1561</v>
      </c>
      <c r="F2231" s="6" t="s">
        <v>2228</v>
      </c>
      <c r="G2231" s="6" t="b">
        <f t="shared" si="131"/>
        <v>0</v>
      </c>
      <c r="H2231" s="6" t="s">
        <v>2212</v>
      </c>
      <c r="I2231" t="s">
        <v>1708</v>
      </c>
      <c r="J2231">
        <v>4</v>
      </c>
      <c r="L2231" s="9" t="e">
        <f t="shared" si="129"/>
        <v>#VALUE!</v>
      </c>
    </row>
    <row r="2232" spans="1:12" x14ac:dyDescent="0.35">
      <c r="A2232">
        <f t="shared" si="130"/>
        <v>2231</v>
      </c>
      <c r="B2232" t="s">
        <v>112</v>
      </c>
      <c r="C2232" s="109" t="str">
        <f>IF(ISBLANK(K2232),IFERROR(VLOOKUP(I2232,FS_input_data!$C$398:$N$457,Export!J2232,FALSE),""),K2232)</f>
        <v/>
      </c>
      <c r="D2232" s="6"/>
      <c r="E2232" t="s">
        <v>1561</v>
      </c>
      <c r="F2232" s="6" t="s">
        <v>2228</v>
      </c>
      <c r="G2232" s="6" t="b">
        <f t="shared" si="131"/>
        <v>0</v>
      </c>
      <c r="H2232" s="6" t="s">
        <v>2212</v>
      </c>
      <c r="I2232" t="s">
        <v>1561</v>
      </c>
      <c r="J2232" t="s">
        <v>1561</v>
      </c>
      <c r="L2232">
        <f t="shared" si="129"/>
        <v>1</v>
      </c>
    </row>
    <row r="2233" spans="1:12" x14ac:dyDescent="0.35">
      <c r="A2233">
        <f t="shared" si="130"/>
        <v>2232</v>
      </c>
      <c r="B2233" t="s">
        <v>658</v>
      </c>
      <c r="C2233" s="109" t="str">
        <f>IF(ISBLANK(K2233),IFERROR(VLOOKUP(I2233,FS_input_data!$C$398:$N$457,Export!J2233,FALSE),""),K2233)</f>
        <v/>
      </c>
      <c r="D2233" s="6"/>
      <c r="E2233" t="s">
        <v>1561</v>
      </c>
      <c r="F2233" s="6" t="s">
        <v>2228</v>
      </c>
      <c r="G2233" s="6" t="b">
        <f t="shared" si="131"/>
        <v>0</v>
      </c>
      <c r="H2233" s="6" t="s">
        <v>2212</v>
      </c>
      <c r="I2233" t="s">
        <v>1561</v>
      </c>
      <c r="J2233" t="s">
        <v>1561</v>
      </c>
      <c r="L2233">
        <f t="shared" si="129"/>
        <v>1</v>
      </c>
    </row>
    <row r="2234" spans="1:12" x14ac:dyDescent="0.35">
      <c r="A2234">
        <f t="shared" si="130"/>
        <v>2233</v>
      </c>
      <c r="B2234" t="s">
        <v>659</v>
      </c>
      <c r="C2234" s="109" t="str">
        <f>IF(ISBLANK(K2234),IFERROR(VLOOKUP(I2234,FS_input_data!$C$398:$N$457,Export!J2234,FALSE),""),K2234)</f>
        <v/>
      </c>
      <c r="D2234" s="6"/>
      <c r="E2234" t="s">
        <v>1711</v>
      </c>
      <c r="F2234" s="6" t="s">
        <v>2228</v>
      </c>
      <c r="G2234" s="6" t="b">
        <f t="shared" si="131"/>
        <v>0</v>
      </c>
      <c r="H2234" s="6" t="s">
        <v>2212</v>
      </c>
      <c r="I2234" t="s">
        <v>1561</v>
      </c>
      <c r="J2234" t="s">
        <v>1561</v>
      </c>
      <c r="L2234" s="26" t="e">
        <f t="shared" si="129"/>
        <v>#VALUE!</v>
      </c>
    </row>
    <row r="2235" spans="1:12" x14ac:dyDescent="0.35">
      <c r="A2235" s="9">
        <f t="shared" si="130"/>
        <v>2234</v>
      </c>
      <c r="B2235" t="s">
        <v>109</v>
      </c>
      <c r="C2235" s="109">
        <f>IF(ISBLANK(K2235),IFERROR(VLOOKUP(I2235,FS_input_data!$C$398:$N$457,Export!J2235,FALSE),""),K2235)</f>
        <v>140</v>
      </c>
      <c r="D2235" s="6" t="b">
        <v>1</v>
      </c>
      <c r="E2235" t="s">
        <v>1561</v>
      </c>
      <c r="F2235" s="6" t="s">
        <v>2228</v>
      </c>
      <c r="G2235" s="6" t="b">
        <f t="shared" si="131"/>
        <v>0</v>
      </c>
      <c r="H2235" s="6" t="s">
        <v>2212</v>
      </c>
      <c r="I2235" t="s">
        <v>1710</v>
      </c>
      <c r="J2235">
        <v>3</v>
      </c>
      <c r="L2235" s="9" t="e">
        <f t="shared" si="129"/>
        <v>#VALUE!</v>
      </c>
    </row>
    <row r="2236" spans="1:12" x14ac:dyDescent="0.35">
      <c r="A2236">
        <f t="shared" si="130"/>
        <v>2235</v>
      </c>
      <c r="B2236" t="s">
        <v>110</v>
      </c>
      <c r="C2236" s="109" t="str">
        <f>IF(ISBLANK(K2236),IFERROR(VLOOKUP(I2236,FS_input_data!$C$398:$N$457,Export!J2236,FALSE),""),K2236)</f>
        <v/>
      </c>
      <c r="D2236" s="6"/>
      <c r="F2236" s="6" t="s">
        <v>2228</v>
      </c>
      <c r="G2236" s="6" t="b">
        <f t="shared" si="131"/>
        <v>0</v>
      </c>
      <c r="H2236" s="6" t="s">
        <v>2212</v>
      </c>
      <c r="I2236" t="s">
        <v>1561</v>
      </c>
      <c r="J2236" t="s">
        <v>1561</v>
      </c>
      <c r="L2236">
        <f t="shared" si="129"/>
        <v>1</v>
      </c>
    </row>
    <row r="2237" spans="1:12" x14ac:dyDescent="0.35">
      <c r="A2237" s="9">
        <f t="shared" si="130"/>
        <v>2236</v>
      </c>
      <c r="B2237" t="s">
        <v>111</v>
      </c>
      <c r="C2237" s="109">
        <f>IF(ISBLANK(K2237),IFERROR(VLOOKUP(I2237,FS_input_data!$C$398:$N$457,Export!J2237,FALSE),""),K2237)</f>
        <v>740</v>
      </c>
      <c r="D2237" s="6" t="b">
        <v>1</v>
      </c>
      <c r="E2237" t="s">
        <v>1561</v>
      </c>
      <c r="F2237" s="6" t="s">
        <v>2228</v>
      </c>
      <c r="G2237" s="6" t="b">
        <f t="shared" si="131"/>
        <v>0</v>
      </c>
      <c r="H2237" s="6" t="s">
        <v>2212</v>
      </c>
      <c r="I2237" t="s">
        <v>1710</v>
      </c>
      <c r="J2237">
        <v>4</v>
      </c>
      <c r="L2237" s="9" t="e">
        <f t="shared" si="129"/>
        <v>#VALUE!</v>
      </c>
    </row>
    <row r="2238" spans="1:12" x14ac:dyDescent="0.35">
      <c r="A2238">
        <f t="shared" si="130"/>
        <v>2237</v>
      </c>
      <c r="B2238" t="s">
        <v>112</v>
      </c>
      <c r="C2238" s="109" t="str">
        <f>IF(ISBLANK(K2238),IFERROR(VLOOKUP(I2238,FS_input_data!$C$398:$N$457,Export!J2238,FALSE),""),K2238)</f>
        <v/>
      </c>
      <c r="D2238" s="6"/>
      <c r="E2238" t="s">
        <v>1561</v>
      </c>
      <c r="F2238" s="6" t="s">
        <v>2228</v>
      </c>
      <c r="G2238" s="6" t="b">
        <f t="shared" si="131"/>
        <v>0</v>
      </c>
      <c r="H2238" s="6" t="s">
        <v>2212</v>
      </c>
      <c r="I2238" t="s">
        <v>1561</v>
      </c>
      <c r="J2238" t="s">
        <v>1561</v>
      </c>
      <c r="L2238">
        <f t="shared" si="129"/>
        <v>1</v>
      </c>
    </row>
    <row r="2239" spans="1:12" x14ac:dyDescent="0.35">
      <c r="A2239">
        <f t="shared" si="130"/>
        <v>2238</v>
      </c>
      <c r="B2239" t="s">
        <v>660</v>
      </c>
      <c r="C2239" s="109" t="str">
        <f>IF(ISBLANK(K2239),IFERROR(VLOOKUP(I2239,FS_input_data!$C$398:$N$457,Export!J2239,FALSE),""),K2239)</f>
        <v/>
      </c>
      <c r="D2239" s="6"/>
      <c r="E2239" t="s">
        <v>1057</v>
      </c>
      <c r="F2239" s="6" t="s">
        <v>2228</v>
      </c>
      <c r="G2239" s="6" t="b">
        <f t="shared" si="131"/>
        <v>0</v>
      </c>
      <c r="H2239" s="6" t="s">
        <v>2212</v>
      </c>
      <c r="I2239" t="s">
        <v>1561</v>
      </c>
      <c r="J2239" t="s">
        <v>1561</v>
      </c>
      <c r="L2239" s="26" t="e">
        <f t="shared" si="129"/>
        <v>#VALUE!</v>
      </c>
    </row>
    <row r="2240" spans="1:12" x14ac:dyDescent="0.35">
      <c r="A2240" s="9">
        <f t="shared" si="130"/>
        <v>2239</v>
      </c>
      <c r="B2240" t="s">
        <v>109</v>
      </c>
      <c r="C2240" s="109">
        <f>IF(ISBLANK(K2240),IFERROR(VLOOKUP(I2240,FS_input_data!$C$398:$N$457,Export!J2240,FALSE),""),K2240)</f>
        <v>20</v>
      </c>
      <c r="D2240" s="6" t="b">
        <v>1</v>
      </c>
      <c r="E2240" t="s">
        <v>1561</v>
      </c>
      <c r="F2240" s="6" t="s">
        <v>2228</v>
      </c>
      <c r="G2240" s="6" t="b">
        <f t="shared" si="131"/>
        <v>0</v>
      </c>
      <c r="H2240" s="6" t="s">
        <v>2212</v>
      </c>
      <c r="I2240" t="s">
        <v>1712</v>
      </c>
      <c r="J2240">
        <v>3</v>
      </c>
      <c r="L2240" s="9" t="e">
        <f t="shared" si="129"/>
        <v>#VALUE!</v>
      </c>
    </row>
    <row r="2241" spans="1:12" x14ac:dyDescent="0.35">
      <c r="A2241">
        <f t="shared" si="130"/>
        <v>2240</v>
      </c>
      <c r="B2241" t="s">
        <v>110</v>
      </c>
      <c r="C2241" s="109" t="str">
        <f>IF(ISBLANK(K2241),IFERROR(VLOOKUP(I2241,FS_input_data!$C$398:$N$457,Export!J2241,FALSE),""),K2241)</f>
        <v/>
      </c>
      <c r="D2241" s="6"/>
      <c r="F2241" s="6" t="s">
        <v>2228</v>
      </c>
      <c r="G2241" s="6" t="b">
        <f t="shared" si="131"/>
        <v>0</v>
      </c>
      <c r="H2241" s="6" t="s">
        <v>2212</v>
      </c>
      <c r="I2241" t="s">
        <v>1561</v>
      </c>
      <c r="J2241" t="s">
        <v>1561</v>
      </c>
      <c r="L2241">
        <f t="shared" si="129"/>
        <v>1</v>
      </c>
    </row>
    <row r="2242" spans="1:12" x14ac:dyDescent="0.35">
      <c r="A2242" s="9">
        <f t="shared" si="130"/>
        <v>2241</v>
      </c>
      <c r="B2242" t="s">
        <v>111</v>
      </c>
      <c r="C2242" s="109">
        <f>IF(ISBLANK(K2242),IFERROR(VLOOKUP(I2242,FS_input_data!$C$398:$N$457,Export!J2242,FALSE),""),K2242)</f>
        <v>120</v>
      </c>
      <c r="D2242" s="6" t="b">
        <v>1</v>
      </c>
      <c r="E2242" t="s">
        <v>1561</v>
      </c>
      <c r="F2242" s="6" t="s">
        <v>2228</v>
      </c>
      <c r="G2242" s="6" t="b">
        <f t="shared" si="131"/>
        <v>0</v>
      </c>
      <c r="H2242" s="6" t="s">
        <v>2212</v>
      </c>
      <c r="I2242" t="s">
        <v>1712</v>
      </c>
      <c r="J2242">
        <v>4</v>
      </c>
      <c r="L2242" s="9" t="e">
        <f t="shared" ref="L2242:L2305" si="132">FIND("/",B2242)</f>
        <v>#VALUE!</v>
      </c>
    </row>
    <row r="2243" spans="1:12" x14ac:dyDescent="0.35">
      <c r="A2243">
        <f t="shared" ref="A2243:A2306" si="133">A2242+1</f>
        <v>2242</v>
      </c>
      <c r="B2243" t="s">
        <v>112</v>
      </c>
      <c r="C2243" s="109" t="str">
        <f>IF(ISBLANK(K2243),IFERROR(VLOOKUP(I2243,FS_input_data!$C$398:$N$457,Export!J2243,FALSE),""),K2243)</f>
        <v/>
      </c>
      <c r="D2243" s="6"/>
      <c r="E2243" t="s">
        <v>1561</v>
      </c>
      <c r="F2243" s="6" t="s">
        <v>2228</v>
      </c>
      <c r="G2243" s="6" t="b">
        <f t="shared" si="131"/>
        <v>0</v>
      </c>
      <c r="H2243" s="6" t="s">
        <v>2212</v>
      </c>
      <c r="I2243" t="s">
        <v>1561</v>
      </c>
      <c r="J2243" t="s">
        <v>1561</v>
      </c>
      <c r="L2243">
        <f t="shared" si="132"/>
        <v>1</v>
      </c>
    </row>
    <row r="2244" spans="1:12" x14ac:dyDescent="0.35">
      <c r="A2244">
        <f t="shared" si="133"/>
        <v>2243</v>
      </c>
      <c r="B2244" t="s">
        <v>661</v>
      </c>
      <c r="C2244" s="109" t="str">
        <f>IF(ISBLANK(K2244),IFERROR(VLOOKUP(I2244,FS_input_data!$C$398:$N$457,Export!J2244,FALSE),""),K2244)</f>
        <v/>
      </c>
      <c r="D2244" s="6"/>
      <c r="E2244" t="s">
        <v>1561</v>
      </c>
      <c r="F2244" s="6" t="s">
        <v>2228</v>
      </c>
      <c r="G2244" s="6" t="b">
        <f t="shared" si="131"/>
        <v>0</v>
      </c>
      <c r="H2244" s="6" t="s">
        <v>2212</v>
      </c>
      <c r="I2244" t="s">
        <v>1561</v>
      </c>
      <c r="J2244" t="s">
        <v>1561</v>
      </c>
      <c r="L2244">
        <f t="shared" si="132"/>
        <v>1</v>
      </c>
    </row>
    <row r="2245" spans="1:12" x14ac:dyDescent="0.35">
      <c r="A2245">
        <f t="shared" si="133"/>
        <v>2244</v>
      </c>
      <c r="B2245" t="s">
        <v>662</v>
      </c>
      <c r="C2245" s="109" t="str">
        <f>IF(ISBLANK(K2245),IFERROR(VLOOKUP(I2245,FS_input_data!$C$398:$N$457,Export!J2245,FALSE),""),K2245)</f>
        <v/>
      </c>
      <c r="D2245" s="6"/>
      <c r="E2245" t="s">
        <v>1190</v>
      </c>
      <c r="F2245" s="6" t="s">
        <v>2228</v>
      </c>
      <c r="G2245" s="6" t="b">
        <f t="shared" si="131"/>
        <v>0</v>
      </c>
      <c r="H2245" s="6" t="s">
        <v>2212</v>
      </c>
      <c r="I2245" t="s">
        <v>1561</v>
      </c>
      <c r="J2245" t="s">
        <v>1561</v>
      </c>
      <c r="L2245" s="26" t="e">
        <f t="shared" si="132"/>
        <v>#VALUE!</v>
      </c>
    </row>
    <row r="2246" spans="1:12" x14ac:dyDescent="0.35">
      <c r="A2246" s="9">
        <f t="shared" si="133"/>
        <v>2245</v>
      </c>
      <c r="B2246" t="s">
        <v>109</v>
      </c>
      <c r="C2246" s="109">
        <f>IF(ISBLANK(K2246),IFERROR(VLOOKUP(I2246,FS_input_data!$C$398:$N$457,Export!J2246,FALSE),""),K2246)</f>
        <v>120</v>
      </c>
      <c r="D2246" s="6" t="b">
        <v>1</v>
      </c>
      <c r="E2246" t="s">
        <v>1561</v>
      </c>
      <c r="F2246" s="6" t="s">
        <v>2228</v>
      </c>
      <c r="G2246" s="6" t="b">
        <f t="shared" si="131"/>
        <v>0</v>
      </c>
      <c r="H2246" s="6" t="s">
        <v>2212</v>
      </c>
      <c r="I2246" t="s">
        <v>1713</v>
      </c>
      <c r="J2246">
        <v>3</v>
      </c>
      <c r="L2246" s="9" t="e">
        <f t="shared" si="132"/>
        <v>#VALUE!</v>
      </c>
    </row>
    <row r="2247" spans="1:12" x14ac:dyDescent="0.35">
      <c r="A2247">
        <f t="shared" si="133"/>
        <v>2246</v>
      </c>
      <c r="B2247" t="s">
        <v>110</v>
      </c>
      <c r="C2247" s="109" t="str">
        <f>IF(ISBLANK(K2247),IFERROR(VLOOKUP(I2247,FS_input_data!$C$398:$N$457,Export!J2247,FALSE),""),K2247)</f>
        <v/>
      </c>
      <c r="D2247" s="6"/>
      <c r="F2247" s="6" t="s">
        <v>2228</v>
      </c>
      <c r="G2247" s="6" t="b">
        <f t="shared" si="131"/>
        <v>0</v>
      </c>
      <c r="H2247" s="6" t="s">
        <v>2212</v>
      </c>
      <c r="I2247" t="s">
        <v>1561</v>
      </c>
      <c r="J2247" t="s">
        <v>1561</v>
      </c>
      <c r="L2247">
        <f t="shared" si="132"/>
        <v>1</v>
      </c>
    </row>
    <row r="2248" spans="1:12" x14ac:dyDescent="0.35">
      <c r="A2248" s="9">
        <f t="shared" si="133"/>
        <v>2247</v>
      </c>
      <c r="B2248" t="s">
        <v>111</v>
      </c>
      <c r="C2248" s="109">
        <f>IF(ISBLANK(K2248),IFERROR(VLOOKUP(I2248,FS_input_data!$C$398:$N$457,Export!J2248,FALSE),""),K2248)</f>
        <v>620</v>
      </c>
      <c r="D2248" s="6" t="b">
        <v>1</v>
      </c>
      <c r="E2248" t="s">
        <v>1561</v>
      </c>
      <c r="F2248" s="6" t="s">
        <v>2228</v>
      </c>
      <c r="G2248" s="6" t="b">
        <f t="shared" si="131"/>
        <v>0</v>
      </c>
      <c r="H2248" s="6" t="s">
        <v>2212</v>
      </c>
      <c r="I2248" t="s">
        <v>1713</v>
      </c>
      <c r="J2248">
        <v>4</v>
      </c>
      <c r="L2248" s="9" t="e">
        <f t="shared" si="132"/>
        <v>#VALUE!</v>
      </c>
    </row>
    <row r="2249" spans="1:12" x14ac:dyDescent="0.35">
      <c r="A2249">
        <f t="shared" si="133"/>
        <v>2248</v>
      </c>
      <c r="B2249" t="s">
        <v>112</v>
      </c>
      <c r="C2249" s="109" t="str">
        <f>IF(ISBLANK(K2249),IFERROR(VLOOKUP(I2249,FS_input_data!$C$398:$N$457,Export!J2249,FALSE),""),K2249)</f>
        <v/>
      </c>
      <c r="D2249" s="6"/>
      <c r="E2249" t="s">
        <v>1561</v>
      </c>
      <c r="F2249" s="6" t="s">
        <v>2228</v>
      </c>
      <c r="G2249" s="6" t="b">
        <f t="shared" si="131"/>
        <v>0</v>
      </c>
      <c r="H2249" s="6" t="s">
        <v>2212</v>
      </c>
      <c r="I2249" t="s">
        <v>1561</v>
      </c>
      <c r="J2249" t="s">
        <v>1561</v>
      </c>
      <c r="L2249">
        <f t="shared" si="132"/>
        <v>1</v>
      </c>
    </row>
    <row r="2250" spans="1:12" x14ac:dyDescent="0.35">
      <c r="A2250">
        <f t="shared" si="133"/>
        <v>2249</v>
      </c>
      <c r="B2250" t="s">
        <v>663</v>
      </c>
      <c r="C2250" s="109" t="str">
        <f>IF(ISBLANK(K2250),IFERROR(VLOOKUP(I2250,FS_input_data!$C$398:$N$457,Export!J2250,FALSE),""),K2250)</f>
        <v/>
      </c>
      <c r="D2250" s="6"/>
      <c r="E2250" t="s">
        <v>1715</v>
      </c>
      <c r="F2250" s="6" t="s">
        <v>2228</v>
      </c>
      <c r="G2250" s="6" t="b">
        <f t="shared" si="131"/>
        <v>0</v>
      </c>
      <c r="H2250" s="6" t="s">
        <v>2212</v>
      </c>
      <c r="I2250" t="s">
        <v>1561</v>
      </c>
      <c r="J2250" t="s">
        <v>1561</v>
      </c>
      <c r="L2250" s="26" t="e">
        <f t="shared" si="132"/>
        <v>#VALUE!</v>
      </c>
    </row>
    <row r="2251" spans="1:12" x14ac:dyDescent="0.35">
      <c r="A2251" s="9">
        <f t="shared" si="133"/>
        <v>2250</v>
      </c>
      <c r="B2251" t="s">
        <v>109</v>
      </c>
      <c r="C2251" s="109">
        <f>IF(ISBLANK(K2251),IFERROR(VLOOKUP(I2251,FS_input_data!$C$398:$N$457,Export!J2251,FALSE),""),K2251)</f>
        <v>22</v>
      </c>
      <c r="D2251" s="6" t="b">
        <v>1</v>
      </c>
      <c r="E2251" t="s">
        <v>1561</v>
      </c>
      <c r="F2251" s="6" t="s">
        <v>2228</v>
      </c>
      <c r="G2251" s="6" t="b">
        <f t="shared" si="131"/>
        <v>0</v>
      </c>
      <c r="H2251" s="6" t="s">
        <v>2212</v>
      </c>
      <c r="I2251" t="s">
        <v>1714</v>
      </c>
      <c r="J2251">
        <v>3</v>
      </c>
      <c r="L2251" s="9" t="e">
        <f t="shared" si="132"/>
        <v>#VALUE!</v>
      </c>
    </row>
    <row r="2252" spans="1:12" x14ac:dyDescent="0.35">
      <c r="A2252">
        <f t="shared" si="133"/>
        <v>2251</v>
      </c>
      <c r="B2252" t="s">
        <v>110</v>
      </c>
      <c r="C2252" s="109" t="str">
        <f>IF(ISBLANK(K2252),IFERROR(VLOOKUP(I2252,FS_input_data!$C$398:$N$457,Export!J2252,FALSE),""),K2252)</f>
        <v/>
      </c>
      <c r="D2252" s="6"/>
      <c r="F2252" s="6" t="s">
        <v>2228</v>
      </c>
      <c r="G2252" s="6" t="b">
        <f t="shared" si="131"/>
        <v>0</v>
      </c>
      <c r="H2252" s="6" t="s">
        <v>2212</v>
      </c>
      <c r="I2252" t="s">
        <v>1561</v>
      </c>
      <c r="J2252" t="s">
        <v>1561</v>
      </c>
      <c r="L2252">
        <f t="shared" si="132"/>
        <v>1</v>
      </c>
    </row>
    <row r="2253" spans="1:12" x14ac:dyDescent="0.35">
      <c r="A2253" s="9">
        <f t="shared" si="133"/>
        <v>2252</v>
      </c>
      <c r="B2253" t="s">
        <v>111</v>
      </c>
      <c r="C2253" s="109">
        <f>IF(ISBLANK(K2253),IFERROR(VLOOKUP(I2253,FS_input_data!$C$398:$N$457,Export!J2253,FALSE),""),K2253)</f>
        <v>122</v>
      </c>
      <c r="D2253" s="6" t="b">
        <v>1</v>
      </c>
      <c r="E2253" t="s">
        <v>1561</v>
      </c>
      <c r="F2253" s="6" t="s">
        <v>2228</v>
      </c>
      <c r="G2253" s="6" t="b">
        <f t="shared" si="131"/>
        <v>0</v>
      </c>
      <c r="H2253" s="6" t="s">
        <v>2212</v>
      </c>
      <c r="I2253" t="s">
        <v>1714</v>
      </c>
      <c r="J2253">
        <v>4</v>
      </c>
      <c r="L2253" s="9" t="e">
        <f t="shared" si="132"/>
        <v>#VALUE!</v>
      </c>
    </row>
    <row r="2254" spans="1:12" x14ac:dyDescent="0.35">
      <c r="A2254">
        <f t="shared" si="133"/>
        <v>2253</v>
      </c>
      <c r="B2254" t="s">
        <v>112</v>
      </c>
      <c r="C2254" s="109" t="str">
        <f>IF(ISBLANK(K2254),IFERROR(VLOOKUP(I2254,FS_input_data!$C$398:$N$457,Export!J2254,FALSE),""),K2254)</f>
        <v/>
      </c>
      <c r="D2254" s="6"/>
      <c r="E2254" t="s">
        <v>1561</v>
      </c>
      <c r="F2254" s="6" t="s">
        <v>2228</v>
      </c>
      <c r="G2254" s="6" t="b">
        <f t="shared" ref="G2254:G2317" si="134">NOT(CF_xml)</f>
        <v>0</v>
      </c>
      <c r="H2254" s="6" t="s">
        <v>2212</v>
      </c>
      <c r="I2254" t="s">
        <v>1561</v>
      </c>
      <c r="J2254" t="s">
        <v>1561</v>
      </c>
      <c r="L2254">
        <f t="shared" si="132"/>
        <v>1</v>
      </c>
    </row>
    <row r="2255" spans="1:12" x14ac:dyDescent="0.35">
      <c r="A2255">
        <f t="shared" si="133"/>
        <v>2254</v>
      </c>
      <c r="B2255" t="s">
        <v>664</v>
      </c>
      <c r="C2255" s="109" t="str">
        <f>IF(ISBLANK(K2255),IFERROR(VLOOKUP(I2255,FS_input_data!$C$398:$N$457,Export!J2255,FALSE),""),K2255)</f>
        <v/>
      </c>
      <c r="D2255" s="6"/>
      <c r="E2255" t="s">
        <v>1561</v>
      </c>
      <c r="F2255" s="6" t="s">
        <v>2228</v>
      </c>
      <c r="G2255" s="6" t="b">
        <f t="shared" si="134"/>
        <v>0</v>
      </c>
      <c r="H2255" s="6" t="s">
        <v>2212</v>
      </c>
      <c r="I2255" t="s">
        <v>1561</v>
      </c>
      <c r="J2255" t="s">
        <v>1561</v>
      </c>
      <c r="L2255">
        <f t="shared" si="132"/>
        <v>1</v>
      </c>
    </row>
    <row r="2256" spans="1:12" x14ac:dyDescent="0.35">
      <c r="A2256">
        <f t="shared" si="133"/>
        <v>2255</v>
      </c>
      <c r="B2256" t="s">
        <v>665</v>
      </c>
      <c r="C2256" s="109" t="str">
        <f>IF(ISBLANK(K2256),IFERROR(VLOOKUP(I2256,FS_input_data!$C$398:$N$457,Export!J2256,FALSE),""),K2256)</f>
        <v/>
      </c>
      <c r="D2256" s="6"/>
      <c r="E2256" t="s">
        <v>1717</v>
      </c>
      <c r="F2256" s="6" t="s">
        <v>2228</v>
      </c>
      <c r="G2256" s="6" t="b">
        <f t="shared" si="134"/>
        <v>0</v>
      </c>
      <c r="H2256" s="6" t="s">
        <v>2212</v>
      </c>
      <c r="I2256" t="s">
        <v>1561</v>
      </c>
      <c r="J2256" t="s">
        <v>1561</v>
      </c>
      <c r="L2256" s="26" t="e">
        <f t="shared" si="132"/>
        <v>#VALUE!</v>
      </c>
    </row>
    <row r="2257" spans="1:12" x14ac:dyDescent="0.35">
      <c r="A2257" s="9">
        <f t="shared" si="133"/>
        <v>2256</v>
      </c>
      <c r="B2257" t="s">
        <v>109</v>
      </c>
      <c r="C2257" s="109">
        <f>IF(ISBLANK(K2257),IFERROR(VLOOKUP(I2257,FS_input_data!$C$398:$N$457,Export!J2257,FALSE),""),K2257)</f>
        <v>23</v>
      </c>
      <c r="D2257" s="6" t="b">
        <v>1</v>
      </c>
      <c r="E2257" t="s">
        <v>1561</v>
      </c>
      <c r="F2257" s="6" t="s">
        <v>2228</v>
      </c>
      <c r="G2257" s="6" t="b">
        <f t="shared" si="134"/>
        <v>0</v>
      </c>
      <c r="H2257" s="6" t="s">
        <v>2212</v>
      </c>
      <c r="I2257" t="s">
        <v>1716</v>
      </c>
      <c r="J2257">
        <v>3</v>
      </c>
      <c r="L2257" s="9" t="e">
        <f t="shared" si="132"/>
        <v>#VALUE!</v>
      </c>
    </row>
    <row r="2258" spans="1:12" x14ac:dyDescent="0.35">
      <c r="A2258">
        <f t="shared" si="133"/>
        <v>2257</v>
      </c>
      <c r="B2258" t="s">
        <v>110</v>
      </c>
      <c r="C2258" s="109" t="str">
        <f>IF(ISBLANK(K2258),IFERROR(VLOOKUP(I2258,FS_input_data!$C$398:$N$457,Export!J2258,FALSE),""),K2258)</f>
        <v/>
      </c>
      <c r="D2258" s="6"/>
      <c r="F2258" s="6" t="s">
        <v>2228</v>
      </c>
      <c r="G2258" s="6" t="b">
        <f t="shared" si="134"/>
        <v>0</v>
      </c>
      <c r="H2258" s="6" t="s">
        <v>2212</v>
      </c>
      <c r="I2258" t="s">
        <v>1561</v>
      </c>
      <c r="J2258" t="s">
        <v>1561</v>
      </c>
      <c r="L2258">
        <f t="shared" si="132"/>
        <v>1</v>
      </c>
    </row>
    <row r="2259" spans="1:12" x14ac:dyDescent="0.35">
      <c r="A2259" s="9">
        <f t="shared" si="133"/>
        <v>2258</v>
      </c>
      <c r="B2259" t="s">
        <v>111</v>
      </c>
      <c r="C2259" s="109">
        <f>IF(ISBLANK(K2259),IFERROR(VLOOKUP(I2259,FS_input_data!$C$398:$N$457,Export!J2259,FALSE),""),K2259)</f>
        <v>123</v>
      </c>
      <c r="D2259" s="6" t="b">
        <v>1</v>
      </c>
      <c r="E2259" t="s">
        <v>1561</v>
      </c>
      <c r="F2259" s="6" t="s">
        <v>2228</v>
      </c>
      <c r="G2259" s="6" t="b">
        <f t="shared" si="134"/>
        <v>0</v>
      </c>
      <c r="H2259" s="6" t="s">
        <v>2212</v>
      </c>
      <c r="I2259" t="s">
        <v>1716</v>
      </c>
      <c r="J2259">
        <v>4</v>
      </c>
      <c r="L2259" s="9" t="e">
        <f t="shared" si="132"/>
        <v>#VALUE!</v>
      </c>
    </row>
    <row r="2260" spans="1:12" x14ac:dyDescent="0.35">
      <c r="A2260">
        <f t="shared" si="133"/>
        <v>2259</v>
      </c>
      <c r="B2260" t="s">
        <v>112</v>
      </c>
      <c r="C2260" s="109" t="str">
        <f>IF(ISBLANK(K2260),IFERROR(VLOOKUP(I2260,FS_input_data!$C$398:$N$457,Export!J2260,FALSE),""),K2260)</f>
        <v/>
      </c>
      <c r="D2260" s="6"/>
      <c r="E2260" t="s">
        <v>1561</v>
      </c>
      <c r="F2260" s="6" t="s">
        <v>2228</v>
      </c>
      <c r="G2260" s="6" t="b">
        <f t="shared" si="134"/>
        <v>0</v>
      </c>
      <c r="H2260" s="6" t="s">
        <v>2212</v>
      </c>
      <c r="I2260" t="s">
        <v>1561</v>
      </c>
      <c r="J2260" t="s">
        <v>1561</v>
      </c>
      <c r="L2260">
        <f t="shared" si="132"/>
        <v>1</v>
      </c>
    </row>
    <row r="2261" spans="1:12" x14ac:dyDescent="0.35">
      <c r="A2261">
        <f t="shared" si="133"/>
        <v>2260</v>
      </c>
      <c r="B2261" t="s">
        <v>666</v>
      </c>
      <c r="C2261" s="109" t="str">
        <f>IF(ISBLANK(K2261),IFERROR(VLOOKUP(I2261,FS_input_data!$C$398:$N$457,Export!J2261,FALSE),""),K2261)</f>
        <v/>
      </c>
      <c r="D2261" s="6"/>
      <c r="E2261" t="s">
        <v>1561</v>
      </c>
      <c r="F2261" s="6" t="s">
        <v>2228</v>
      </c>
      <c r="G2261" s="6" t="b">
        <f t="shared" si="134"/>
        <v>0</v>
      </c>
      <c r="H2261" s="6" t="s">
        <v>2212</v>
      </c>
      <c r="I2261" t="s">
        <v>1561</v>
      </c>
      <c r="J2261" t="s">
        <v>1561</v>
      </c>
      <c r="L2261">
        <f t="shared" si="132"/>
        <v>1</v>
      </c>
    </row>
    <row r="2262" spans="1:12" x14ac:dyDescent="0.35">
      <c r="A2262">
        <f t="shared" si="133"/>
        <v>2261</v>
      </c>
      <c r="B2262" t="s">
        <v>667</v>
      </c>
      <c r="C2262" s="109" t="str">
        <f>IF(ISBLANK(K2262),IFERROR(VLOOKUP(I2262,FS_input_data!$C$398:$N$457,Export!J2262,FALSE),""),K2262)</f>
        <v/>
      </c>
      <c r="D2262" s="6"/>
      <c r="E2262" t="s">
        <v>1719</v>
      </c>
      <c r="F2262" s="6" t="s">
        <v>2228</v>
      </c>
      <c r="G2262" s="6" t="b">
        <f t="shared" si="134"/>
        <v>0</v>
      </c>
      <c r="H2262" s="6" t="s">
        <v>2212</v>
      </c>
      <c r="I2262" t="s">
        <v>1561</v>
      </c>
      <c r="J2262" t="s">
        <v>1561</v>
      </c>
      <c r="L2262" s="26" t="e">
        <f t="shared" si="132"/>
        <v>#VALUE!</v>
      </c>
    </row>
    <row r="2263" spans="1:12" x14ac:dyDescent="0.35">
      <c r="A2263" s="9">
        <f t="shared" si="133"/>
        <v>2262</v>
      </c>
      <c r="B2263" t="s">
        <v>109</v>
      </c>
      <c r="C2263" s="109">
        <f>IF(ISBLANK(K2263),IFERROR(VLOOKUP(I2263,FS_input_data!$C$398:$N$457,Export!J2263,FALSE),""),K2263)</f>
        <v>24</v>
      </c>
      <c r="D2263" s="6" t="b">
        <v>1</v>
      </c>
      <c r="E2263" t="s">
        <v>1561</v>
      </c>
      <c r="F2263" s="6" t="s">
        <v>2228</v>
      </c>
      <c r="G2263" s="6" t="b">
        <f t="shared" si="134"/>
        <v>0</v>
      </c>
      <c r="H2263" s="6" t="s">
        <v>2212</v>
      </c>
      <c r="I2263" t="s">
        <v>1718</v>
      </c>
      <c r="J2263">
        <v>3</v>
      </c>
      <c r="L2263" s="9" t="e">
        <f t="shared" si="132"/>
        <v>#VALUE!</v>
      </c>
    </row>
    <row r="2264" spans="1:12" x14ac:dyDescent="0.35">
      <c r="A2264">
        <f t="shared" si="133"/>
        <v>2263</v>
      </c>
      <c r="B2264" t="s">
        <v>110</v>
      </c>
      <c r="C2264" s="109" t="str">
        <f>IF(ISBLANK(K2264),IFERROR(VLOOKUP(I2264,FS_input_data!$C$398:$N$457,Export!J2264,FALSE),""),K2264)</f>
        <v/>
      </c>
      <c r="D2264" s="6"/>
      <c r="F2264" s="6" t="s">
        <v>2228</v>
      </c>
      <c r="G2264" s="6" t="b">
        <f t="shared" si="134"/>
        <v>0</v>
      </c>
      <c r="H2264" s="6" t="s">
        <v>2212</v>
      </c>
      <c r="I2264" t="s">
        <v>1561</v>
      </c>
      <c r="J2264" t="s">
        <v>1561</v>
      </c>
      <c r="L2264">
        <f t="shared" si="132"/>
        <v>1</v>
      </c>
    </row>
    <row r="2265" spans="1:12" x14ac:dyDescent="0.35">
      <c r="A2265" s="9">
        <f t="shared" si="133"/>
        <v>2264</v>
      </c>
      <c r="B2265" t="s">
        <v>111</v>
      </c>
      <c r="C2265" s="109">
        <f>IF(ISBLANK(K2265),IFERROR(VLOOKUP(I2265,FS_input_data!$C$398:$N$457,Export!J2265,FALSE),""),K2265)</f>
        <v>124</v>
      </c>
      <c r="D2265" s="6" t="b">
        <v>1</v>
      </c>
      <c r="E2265" t="s">
        <v>1561</v>
      </c>
      <c r="F2265" s="6" t="s">
        <v>2228</v>
      </c>
      <c r="G2265" s="6" t="b">
        <f t="shared" si="134"/>
        <v>0</v>
      </c>
      <c r="H2265" s="6" t="s">
        <v>2212</v>
      </c>
      <c r="I2265" t="s">
        <v>1718</v>
      </c>
      <c r="J2265">
        <v>4</v>
      </c>
      <c r="L2265" s="9" t="e">
        <f t="shared" si="132"/>
        <v>#VALUE!</v>
      </c>
    </row>
    <row r="2266" spans="1:12" x14ac:dyDescent="0.35">
      <c r="A2266">
        <f t="shared" si="133"/>
        <v>2265</v>
      </c>
      <c r="B2266" t="s">
        <v>112</v>
      </c>
      <c r="C2266" s="109" t="str">
        <f>IF(ISBLANK(K2266),IFERROR(VLOOKUP(I2266,FS_input_data!$C$398:$N$457,Export!J2266,FALSE),""),K2266)</f>
        <v/>
      </c>
      <c r="D2266" s="6"/>
      <c r="E2266" t="s">
        <v>1561</v>
      </c>
      <c r="F2266" s="6" t="s">
        <v>2228</v>
      </c>
      <c r="G2266" s="6" t="b">
        <f t="shared" si="134"/>
        <v>0</v>
      </c>
      <c r="H2266" s="6" t="s">
        <v>2212</v>
      </c>
      <c r="I2266" t="s">
        <v>1561</v>
      </c>
      <c r="J2266" t="s">
        <v>1561</v>
      </c>
      <c r="L2266">
        <f t="shared" si="132"/>
        <v>1</v>
      </c>
    </row>
    <row r="2267" spans="1:12" x14ac:dyDescent="0.35">
      <c r="A2267">
        <f t="shared" si="133"/>
        <v>2266</v>
      </c>
      <c r="B2267" t="s">
        <v>668</v>
      </c>
      <c r="C2267" s="109" t="str">
        <f>IF(ISBLANK(K2267),IFERROR(VLOOKUP(I2267,FS_input_data!$C$398:$N$457,Export!J2267,FALSE),""),K2267)</f>
        <v/>
      </c>
      <c r="D2267" s="6"/>
      <c r="E2267" t="s">
        <v>1561</v>
      </c>
      <c r="F2267" s="6" t="s">
        <v>2228</v>
      </c>
      <c r="G2267" s="6" t="b">
        <f t="shared" si="134"/>
        <v>0</v>
      </c>
      <c r="H2267" s="6" t="s">
        <v>2212</v>
      </c>
      <c r="I2267" t="s">
        <v>1561</v>
      </c>
      <c r="J2267" t="s">
        <v>1561</v>
      </c>
      <c r="L2267">
        <f t="shared" si="132"/>
        <v>1</v>
      </c>
    </row>
    <row r="2268" spans="1:12" x14ac:dyDescent="0.35">
      <c r="A2268">
        <f t="shared" si="133"/>
        <v>2267</v>
      </c>
      <c r="B2268" t="s">
        <v>669</v>
      </c>
      <c r="C2268" s="109" t="str">
        <f>IF(ISBLANK(K2268),IFERROR(VLOOKUP(I2268,FS_input_data!$C$398:$N$457,Export!J2268,FALSE),""),K2268)</f>
        <v/>
      </c>
      <c r="D2268" s="6"/>
      <c r="E2268" t="s">
        <v>1721</v>
      </c>
      <c r="F2268" s="6" t="s">
        <v>2228</v>
      </c>
      <c r="G2268" s="6" t="b">
        <f t="shared" si="134"/>
        <v>0</v>
      </c>
      <c r="H2268" s="6" t="s">
        <v>2212</v>
      </c>
      <c r="I2268" t="s">
        <v>1561</v>
      </c>
      <c r="J2268" t="s">
        <v>1561</v>
      </c>
      <c r="L2268" s="26" t="e">
        <f t="shared" si="132"/>
        <v>#VALUE!</v>
      </c>
    </row>
    <row r="2269" spans="1:12" x14ac:dyDescent="0.35">
      <c r="A2269" s="9">
        <f t="shared" si="133"/>
        <v>2268</v>
      </c>
      <c r="B2269" t="s">
        <v>109</v>
      </c>
      <c r="C2269" s="109">
        <f>IF(ISBLANK(K2269),IFERROR(VLOOKUP(I2269,FS_input_data!$C$398:$N$457,Export!J2269,FALSE),""),K2269)</f>
        <v>25</v>
      </c>
      <c r="D2269" s="6" t="b">
        <v>1</v>
      </c>
      <c r="E2269" t="s">
        <v>1561</v>
      </c>
      <c r="F2269" s="6" t="s">
        <v>2228</v>
      </c>
      <c r="G2269" s="6" t="b">
        <f t="shared" si="134"/>
        <v>0</v>
      </c>
      <c r="H2269" s="6" t="s">
        <v>2212</v>
      </c>
      <c r="I2269" t="s">
        <v>1720</v>
      </c>
      <c r="J2269">
        <v>3</v>
      </c>
      <c r="L2269" s="9" t="e">
        <f t="shared" si="132"/>
        <v>#VALUE!</v>
      </c>
    </row>
    <row r="2270" spans="1:12" x14ac:dyDescent="0.35">
      <c r="A2270">
        <f t="shared" si="133"/>
        <v>2269</v>
      </c>
      <c r="B2270" t="s">
        <v>110</v>
      </c>
      <c r="C2270" s="109" t="str">
        <f>IF(ISBLANK(K2270),IFERROR(VLOOKUP(I2270,FS_input_data!$C$398:$N$457,Export!J2270,FALSE),""),K2270)</f>
        <v/>
      </c>
      <c r="D2270" s="6"/>
      <c r="F2270" s="6" t="s">
        <v>2228</v>
      </c>
      <c r="G2270" s="6" t="b">
        <f t="shared" si="134"/>
        <v>0</v>
      </c>
      <c r="H2270" s="6" t="s">
        <v>2212</v>
      </c>
      <c r="I2270" t="s">
        <v>1561</v>
      </c>
      <c r="J2270" t="s">
        <v>1561</v>
      </c>
      <c r="L2270">
        <f t="shared" si="132"/>
        <v>1</v>
      </c>
    </row>
    <row r="2271" spans="1:12" x14ac:dyDescent="0.35">
      <c r="A2271" s="9">
        <f t="shared" si="133"/>
        <v>2270</v>
      </c>
      <c r="B2271" t="s">
        <v>111</v>
      </c>
      <c r="C2271" s="109">
        <f>IF(ISBLANK(K2271),IFERROR(VLOOKUP(I2271,FS_input_data!$C$398:$N$457,Export!J2271,FALSE),""),K2271)</f>
        <v>125</v>
      </c>
      <c r="D2271" s="6" t="b">
        <v>1</v>
      </c>
      <c r="E2271" t="s">
        <v>1561</v>
      </c>
      <c r="F2271" s="6" t="s">
        <v>2228</v>
      </c>
      <c r="G2271" s="6" t="b">
        <f t="shared" si="134"/>
        <v>0</v>
      </c>
      <c r="H2271" s="6" t="s">
        <v>2212</v>
      </c>
      <c r="I2271" t="s">
        <v>1720</v>
      </c>
      <c r="J2271">
        <v>4</v>
      </c>
      <c r="L2271" s="9" t="e">
        <f t="shared" si="132"/>
        <v>#VALUE!</v>
      </c>
    </row>
    <row r="2272" spans="1:12" x14ac:dyDescent="0.35">
      <c r="A2272">
        <f t="shared" si="133"/>
        <v>2271</v>
      </c>
      <c r="B2272" t="s">
        <v>112</v>
      </c>
      <c r="C2272" s="109" t="str">
        <f>IF(ISBLANK(K2272),IFERROR(VLOOKUP(I2272,FS_input_data!$C$398:$N$457,Export!J2272,FALSE),""),K2272)</f>
        <v/>
      </c>
      <c r="D2272" s="6"/>
      <c r="E2272" t="s">
        <v>1561</v>
      </c>
      <c r="F2272" s="6" t="s">
        <v>2228</v>
      </c>
      <c r="G2272" s="6" t="b">
        <f t="shared" si="134"/>
        <v>0</v>
      </c>
      <c r="H2272" s="6" t="s">
        <v>2212</v>
      </c>
      <c r="I2272" t="s">
        <v>1561</v>
      </c>
      <c r="J2272" t="s">
        <v>1561</v>
      </c>
      <c r="L2272">
        <f t="shared" si="132"/>
        <v>1</v>
      </c>
    </row>
    <row r="2273" spans="1:12" x14ac:dyDescent="0.35">
      <c r="A2273">
        <f t="shared" si="133"/>
        <v>2272</v>
      </c>
      <c r="B2273" t="s">
        <v>670</v>
      </c>
      <c r="C2273" s="109" t="str">
        <f>IF(ISBLANK(K2273),IFERROR(VLOOKUP(I2273,FS_input_data!$C$398:$N$457,Export!J2273,FALSE),""),K2273)</f>
        <v/>
      </c>
      <c r="D2273" s="6"/>
      <c r="E2273" t="s">
        <v>1561</v>
      </c>
      <c r="F2273" s="6" t="s">
        <v>2228</v>
      </c>
      <c r="G2273" s="6" t="b">
        <f t="shared" si="134"/>
        <v>0</v>
      </c>
      <c r="H2273" s="6" t="s">
        <v>2212</v>
      </c>
      <c r="I2273" t="s">
        <v>1561</v>
      </c>
      <c r="J2273" t="s">
        <v>1561</v>
      </c>
      <c r="L2273">
        <f t="shared" si="132"/>
        <v>1</v>
      </c>
    </row>
    <row r="2274" spans="1:12" x14ac:dyDescent="0.35">
      <c r="A2274">
        <f t="shared" si="133"/>
        <v>2273</v>
      </c>
      <c r="B2274" t="s">
        <v>671</v>
      </c>
      <c r="C2274" s="109" t="str">
        <f>IF(ISBLANK(K2274),IFERROR(VLOOKUP(I2274,FS_input_data!$C$398:$N$457,Export!J2274,FALSE),""),K2274)</f>
        <v/>
      </c>
      <c r="D2274" s="6"/>
      <c r="E2274" t="s">
        <v>1723</v>
      </c>
      <c r="F2274" s="6" t="s">
        <v>2228</v>
      </c>
      <c r="G2274" s="6" t="b">
        <f t="shared" si="134"/>
        <v>0</v>
      </c>
      <c r="H2274" s="6" t="s">
        <v>2212</v>
      </c>
      <c r="I2274" t="s">
        <v>1561</v>
      </c>
      <c r="J2274" t="s">
        <v>1561</v>
      </c>
      <c r="L2274" s="26" t="e">
        <f t="shared" si="132"/>
        <v>#VALUE!</v>
      </c>
    </row>
    <row r="2275" spans="1:12" x14ac:dyDescent="0.35">
      <c r="A2275" s="9">
        <f t="shared" si="133"/>
        <v>2274</v>
      </c>
      <c r="B2275" t="s">
        <v>109</v>
      </c>
      <c r="C2275" s="109">
        <f>IF(ISBLANK(K2275),IFERROR(VLOOKUP(I2275,FS_input_data!$C$398:$N$457,Export!J2275,FALSE),""),K2275)</f>
        <v>26</v>
      </c>
      <c r="D2275" s="6" t="b">
        <v>1</v>
      </c>
      <c r="E2275" t="s">
        <v>1561</v>
      </c>
      <c r="F2275" s="6" t="s">
        <v>2228</v>
      </c>
      <c r="G2275" s="6" t="b">
        <f t="shared" si="134"/>
        <v>0</v>
      </c>
      <c r="H2275" s="6" t="s">
        <v>2212</v>
      </c>
      <c r="I2275" t="s">
        <v>1722</v>
      </c>
      <c r="J2275">
        <v>3</v>
      </c>
      <c r="L2275" s="9" t="e">
        <f t="shared" si="132"/>
        <v>#VALUE!</v>
      </c>
    </row>
    <row r="2276" spans="1:12" x14ac:dyDescent="0.35">
      <c r="A2276">
        <f t="shared" si="133"/>
        <v>2275</v>
      </c>
      <c r="B2276" t="s">
        <v>110</v>
      </c>
      <c r="C2276" s="109" t="str">
        <f>IF(ISBLANK(K2276),IFERROR(VLOOKUP(I2276,FS_input_data!$C$398:$N$457,Export!J2276,FALSE),""),K2276)</f>
        <v/>
      </c>
      <c r="D2276" s="6"/>
      <c r="F2276" s="6" t="s">
        <v>2228</v>
      </c>
      <c r="G2276" s="6" t="b">
        <f t="shared" si="134"/>
        <v>0</v>
      </c>
      <c r="H2276" s="6" t="s">
        <v>2212</v>
      </c>
      <c r="I2276" t="s">
        <v>1561</v>
      </c>
      <c r="J2276" t="s">
        <v>1561</v>
      </c>
      <c r="L2276">
        <f t="shared" si="132"/>
        <v>1</v>
      </c>
    </row>
    <row r="2277" spans="1:12" x14ac:dyDescent="0.35">
      <c r="A2277" s="9">
        <f t="shared" si="133"/>
        <v>2276</v>
      </c>
      <c r="B2277" t="s">
        <v>111</v>
      </c>
      <c r="C2277" s="109">
        <f>IF(ISBLANK(K2277),IFERROR(VLOOKUP(I2277,FS_input_data!$C$398:$N$457,Export!J2277,FALSE),""),K2277)</f>
        <v>126</v>
      </c>
      <c r="D2277" s="6" t="b">
        <v>1</v>
      </c>
      <c r="E2277" t="s">
        <v>1561</v>
      </c>
      <c r="F2277" s="6" t="s">
        <v>2228</v>
      </c>
      <c r="G2277" s="6" t="b">
        <f t="shared" si="134"/>
        <v>0</v>
      </c>
      <c r="H2277" s="6" t="s">
        <v>2212</v>
      </c>
      <c r="I2277" t="s">
        <v>1722</v>
      </c>
      <c r="J2277">
        <v>4</v>
      </c>
      <c r="L2277" s="9" t="e">
        <f t="shared" si="132"/>
        <v>#VALUE!</v>
      </c>
    </row>
    <row r="2278" spans="1:12" x14ac:dyDescent="0.35">
      <c r="A2278">
        <f t="shared" si="133"/>
        <v>2277</v>
      </c>
      <c r="B2278" t="s">
        <v>112</v>
      </c>
      <c r="C2278" s="109" t="str">
        <f>IF(ISBLANK(K2278),IFERROR(VLOOKUP(I2278,FS_input_data!$C$398:$N$457,Export!J2278,FALSE),""),K2278)</f>
        <v/>
      </c>
      <c r="D2278" s="6"/>
      <c r="E2278" t="s">
        <v>1561</v>
      </c>
      <c r="F2278" s="6" t="s">
        <v>2228</v>
      </c>
      <c r="G2278" s="6" t="b">
        <f t="shared" si="134"/>
        <v>0</v>
      </c>
      <c r="H2278" s="6" t="s">
        <v>2212</v>
      </c>
      <c r="I2278" t="s">
        <v>1561</v>
      </c>
      <c r="J2278" t="s">
        <v>1561</v>
      </c>
      <c r="L2278">
        <f t="shared" si="132"/>
        <v>1</v>
      </c>
    </row>
    <row r="2279" spans="1:12" x14ac:dyDescent="0.35">
      <c r="A2279">
        <f t="shared" si="133"/>
        <v>2278</v>
      </c>
      <c r="B2279" t="s">
        <v>672</v>
      </c>
      <c r="C2279" s="109" t="str">
        <f>IF(ISBLANK(K2279),IFERROR(VLOOKUP(I2279,FS_input_data!$C$398:$N$457,Export!J2279,FALSE),""),K2279)</f>
        <v/>
      </c>
      <c r="D2279" s="6"/>
      <c r="E2279" t="s">
        <v>1561</v>
      </c>
      <c r="F2279" s="6" t="s">
        <v>2228</v>
      </c>
      <c r="G2279" s="6" t="b">
        <f t="shared" si="134"/>
        <v>0</v>
      </c>
      <c r="H2279" s="6" t="s">
        <v>2212</v>
      </c>
      <c r="I2279" t="s">
        <v>1561</v>
      </c>
      <c r="J2279" t="s">
        <v>1561</v>
      </c>
      <c r="L2279">
        <f t="shared" si="132"/>
        <v>1</v>
      </c>
    </row>
    <row r="2280" spans="1:12" x14ac:dyDescent="0.35">
      <c r="A2280">
        <f t="shared" si="133"/>
        <v>2279</v>
      </c>
      <c r="B2280" t="s">
        <v>673</v>
      </c>
      <c r="C2280" s="109" t="str">
        <f>IF(ISBLANK(K2280),IFERROR(VLOOKUP(I2280,FS_input_data!$C$398:$N$457,Export!J2280,FALSE),""),K2280)</f>
        <v/>
      </c>
      <c r="D2280" s="6"/>
      <c r="E2280" t="s">
        <v>1561</v>
      </c>
      <c r="F2280" s="6" t="s">
        <v>2228</v>
      </c>
      <c r="G2280" s="6" t="b">
        <f t="shared" si="134"/>
        <v>0</v>
      </c>
      <c r="H2280" s="6" t="s">
        <v>2212</v>
      </c>
      <c r="I2280" t="s">
        <v>1561</v>
      </c>
      <c r="J2280" t="s">
        <v>1561</v>
      </c>
      <c r="L2280">
        <f t="shared" si="132"/>
        <v>1</v>
      </c>
    </row>
    <row r="2281" spans="1:12" x14ac:dyDescent="0.35">
      <c r="A2281">
        <f t="shared" si="133"/>
        <v>2280</v>
      </c>
      <c r="B2281" t="s">
        <v>674</v>
      </c>
      <c r="C2281" s="109" t="str">
        <f>IF(ISBLANK(K2281),IFERROR(VLOOKUP(I2281,FS_input_data!$C$398:$N$457,Export!J2281,FALSE),""),K2281)</f>
        <v/>
      </c>
      <c r="D2281" s="6"/>
      <c r="E2281" t="s">
        <v>1561</v>
      </c>
      <c r="F2281" s="6" t="s">
        <v>2228</v>
      </c>
      <c r="G2281" s="6" t="b">
        <f t="shared" si="134"/>
        <v>0</v>
      </c>
      <c r="H2281" s="6" t="s">
        <v>2212</v>
      </c>
      <c r="I2281" t="s">
        <v>1561</v>
      </c>
      <c r="J2281" t="s">
        <v>1561</v>
      </c>
      <c r="L2281">
        <f t="shared" si="132"/>
        <v>1</v>
      </c>
    </row>
    <row r="2282" spans="1:12" x14ac:dyDescent="0.35">
      <c r="A2282">
        <f t="shared" si="133"/>
        <v>2281</v>
      </c>
      <c r="B2282" t="s">
        <v>675</v>
      </c>
      <c r="C2282" s="109" t="str">
        <f>IF(ISBLANK(K2282),IFERROR(VLOOKUP(I2282,FS_input_data!$C$398:$N$457,Export!J2282,FALSE),""),K2282)</f>
        <v/>
      </c>
      <c r="D2282" s="6"/>
      <c r="E2282" t="s">
        <v>1725</v>
      </c>
      <c r="F2282" s="6" t="s">
        <v>2228</v>
      </c>
      <c r="G2282" s="6" t="b">
        <f t="shared" si="134"/>
        <v>0</v>
      </c>
      <c r="H2282" s="6" t="s">
        <v>2212</v>
      </c>
      <c r="I2282" t="s">
        <v>1561</v>
      </c>
      <c r="J2282" t="s">
        <v>1561</v>
      </c>
      <c r="L2282" s="26" t="e">
        <f t="shared" si="132"/>
        <v>#VALUE!</v>
      </c>
    </row>
    <row r="2283" spans="1:12" x14ac:dyDescent="0.35">
      <c r="A2283" s="9">
        <f t="shared" si="133"/>
        <v>2282</v>
      </c>
      <c r="B2283" t="s">
        <v>109</v>
      </c>
      <c r="C2283" s="109">
        <f>IF(ISBLANK(K2283),IFERROR(VLOOKUP(I2283,FS_input_data!$C$398:$N$457,Export!J2283,FALSE),""),K2283)</f>
        <v>27</v>
      </c>
      <c r="D2283" s="6" t="b">
        <v>1</v>
      </c>
      <c r="E2283" t="s">
        <v>1561</v>
      </c>
      <c r="F2283" s="6" t="s">
        <v>2228</v>
      </c>
      <c r="G2283" s="6" t="b">
        <f t="shared" si="134"/>
        <v>0</v>
      </c>
      <c r="H2283" s="6" t="s">
        <v>2212</v>
      </c>
      <c r="I2283" t="s">
        <v>1724</v>
      </c>
      <c r="J2283">
        <v>3</v>
      </c>
      <c r="L2283" s="9" t="e">
        <f t="shared" si="132"/>
        <v>#VALUE!</v>
      </c>
    </row>
    <row r="2284" spans="1:12" x14ac:dyDescent="0.35">
      <c r="A2284">
        <f t="shared" si="133"/>
        <v>2283</v>
      </c>
      <c r="B2284" t="s">
        <v>110</v>
      </c>
      <c r="C2284" s="109" t="str">
        <f>IF(ISBLANK(K2284),IFERROR(VLOOKUP(I2284,FS_input_data!$C$398:$N$457,Export!J2284,FALSE),""),K2284)</f>
        <v/>
      </c>
      <c r="D2284" s="6"/>
      <c r="F2284" s="6" t="s">
        <v>2228</v>
      </c>
      <c r="G2284" s="6" t="b">
        <f t="shared" si="134"/>
        <v>0</v>
      </c>
      <c r="H2284" s="6" t="s">
        <v>2212</v>
      </c>
      <c r="I2284" t="s">
        <v>1561</v>
      </c>
      <c r="J2284" t="s">
        <v>1561</v>
      </c>
      <c r="L2284">
        <f t="shared" si="132"/>
        <v>1</v>
      </c>
    </row>
    <row r="2285" spans="1:12" x14ac:dyDescent="0.35">
      <c r="A2285" s="9">
        <f t="shared" si="133"/>
        <v>2284</v>
      </c>
      <c r="B2285" t="s">
        <v>111</v>
      </c>
      <c r="C2285" s="109">
        <f>IF(ISBLANK(K2285),IFERROR(VLOOKUP(I2285,FS_input_data!$C$398:$N$457,Export!J2285,FALSE),""),K2285)</f>
        <v>127</v>
      </c>
      <c r="D2285" s="6" t="b">
        <v>1</v>
      </c>
      <c r="E2285" t="s">
        <v>1561</v>
      </c>
      <c r="F2285" s="6" t="s">
        <v>2228</v>
      </c>
      <c r="G2285" s="6" t="b">
        <f t="shared" si="134"/>
        <v>0</v>
      </c>
      <c r="H2285" s="6" t="s">
        <v>2212</v>
      </c>
      <c r="I2285" t="s">
        <v>1724</v>
      </c>
      <c r="J2285">
        <v>4</v>
      </c>
      <c r="L2285" s="9" t="e">
        <f t="shared" si="132"/>
        <v>#VALUE!</v>
      </c>
    </row>
    <row r="2286" spans="1:12" x14ac:dyDescent="0.35">
      <c r="A2286">
        <f t="shared" si="133"/>
        <v>2285</v>
      </c>
      <c r="B2286" t="s">
        <v>112</v>
      </c>
      <c r="C2286" s="109" t="str">
        <f>IF(ISBLANK(K2286),IFERROR(VLOOKUP(I2286,FS_input_data!$C$398:$N$457,Export!J2286,FALSE),""),K2286)</f>
        <v/>
      </c>
      <c r="D2286" s="6"/>
      <c r="E2286" t="s">
        <v>1561</v>
      </c>
      <c r="F2286" s="6" t="s">
        <v>2228</v>
      </c>
      <c r="G2286" s="6" t="b">
        <f t="shared" si="134"/>
        <v>0</v>
      </c>
      <c r="H2286" s="6" t="s">
        <v>2212</v>
      </c>
      <c r="I2286" t="s">
        <v>1561</v>
      </c>
      <c r="J2286" t="s">
        <v>1561</v>
      </c>
      <c r="L2286">
        <f t="shared" si="132"/>
        <v>1</v>
      </c>
    </row>
    <row r="2287" spans="1:12" x14ac:dyDescent="0.35">
      <c r="A2287">
        <f t="shared" si="133"/>
        <v>2286</v>
      </c>
      <c r="B2287" t="s">
        <v>676</v>
      </c>
      <c r="C2287" s="109" t="str">
        <f>IF(ISBLANK(K2287),IFERROR(VLOOKUP(I2287,FS_input_data!$C$398:$N$457,Export!J2287,FALSE),""),K2287)</f>
        <v/>
      </c>
      <c r="D2287" s="6"/>
      <c r="E2287" t="s">
        <v>1561</v>
      </c>
      <c r="F2287" s="6" t="s">
        <v>2228</v>
      </c>
      <c r="G2287" s="6" t="b">
        <f t="shared" si="134"/>
        <v>0</v>
      </c>
      <c r="H2287" s="6" t="s">
        <v>2212</v>
      </c>
      <c r="I2287" t="s">
        <v>1561</v>
      </c>
      <c r="J2287" t="s">
        <v>1561</v>
      </c>
      <c r="L2287">
        <f t="shared" si="132"/>
        <v>1</v>
      </c>
    </row>
    <row r="2288" spans="1:12" x14ac:dyDescent="0.35">
      <c r="A2288">
        <f t="shared" si="133"/>
        <v>2287</v>
      </c>
      <c r="B2288" t="s">
        <v>425</v>
      </c>
      <c r="C2288" s="109" t="str">
        <f>IF(ISBLANK(K2288),IFERROR(VLOOKUP(I2288,FS_input_data!$C$398:$N$457,Export!J2288,FALSE),""),K2288)</f>
        <v/>
      </c>
      <c r="D2288" s="6"/>
      <c r="E2288" t="s">
        <v>1561</v>
      </c>
      <c r="F2288" s="6" t="s">
        <v>2228</v>
      </c>
      <c r="G2288" s="6" t="b">
        <f t="shared" si="134"/>
        <v>0</v>
      </c>
      <c r="H2288" s="6" t="s">
        <v>2212</v>
      </c>
      <c r="I2288" t="s">
        <v>1561</v>
      </c>
      <c r="J2288" t="s">
        <v>1561</v>
      </c>
      <c r="L2288">
        <f t="shared" si="132"/>
        <v>1</v>
      </c>
    </row>
    <row r="2289" spans="1:12" x14ac:dyDescent="0.35">
      <c r="A2289">
        <f t="shared" si="133"/>
        <v>2288</v>
      </c>
      <c r="B2289" t="s">
        <v>426</v>
      </c>
      <c r="C2289" s="109" t="str">
        <f>IF(ISBLANK(K2289),IFERROR(VLOOKUP(I2289,FS_input_data!$C$398:$N$457,Export!J2289,FALSE),""),K2289)</f>
        <v/>
      </c>
      <c r="D2289" s="6"/>
      <c r="E2289" t="s">
        <v>1726</v>
      </c>
      <c r="F2289" s="6" t="s">
        <v>2228</v>
      </c>
      <c r="G2289" s="6" t="b">
        <f t="shared" si="134"/>
        <v>0</v>
      </c>
      <c r="H2289" s="6" t="s">
        <v>2212</v>
      </c>
      <c r="I2289" t="s">
        <v>1561</v>
      </c>
      <c r="J2289" t="s">
        <v>1561</v>
      </c>
      <c r="L2289" s="26" t="e">
        <f t="shared" si="132"/>
        <v>#VALUE!</v>
      </c>
    </row>
    <row r="2290" spans="1:12" x14ac:dyDescent="0.35">
      <c r="A2290" s="9">
        <f t="shared" si="133"/>
        <v>2289</v>
      </c>
      <c r="B2290" t="s">
        <v>109</v>
      </c>
      <c r="C2290" s="109">
        <f>IF(ISBLANK(K2290),IFERROR(VLOOKUP(I2290,FS_input_data!$C$398:$N$457,Export!J2290,FALSE),""),K2290)</f>
        <v>196</v>
      </c>
      <c r="D2290" s="6" t="b">
        <v>1</v>
      </c>
      <c r="E2290" t="s">
        <v>1561</v>
      </c>
      <c r="F2290" s="6" t="s">
        <v>2228</v>
      </c>
      <c r="G2290" s="6" t="b">
        <f t="shared" si="134"/>
        <v>0</v>
      </c>
      <c r="H2290" s="6" t="s">
        <v>2212</v>
      </c>
      <c r="I2290" t="s">
        <v>1415</v>
      </c>
      <c r="J2290">
        <v>3</v>
      </c>
      <c r="L2290" s="9" t="e">
        <f t="shared" si="132"/>
        <v>#VALUE!</v>
      </c>
    </row>
    <row r="2291" spans="1:12" x14ac:dyDescent="0.35">
      <c r="A2291">
        <f t="shared" si="133"/>
        <v>2290</v>
      </c>
      <c r="B2291" t="s">
        <v>110</v>
      </c>
      <c r="C2291" s="109" t="str">
        <f>IF(ISBLANK(K2291),IFERROR(VLOOKUP(I2291,FS_input_data!$C$398:$N$457,Export!J2291,FALSE),""),K2291)</f>
        <v/>
      </c>
      <c r="D2291" s="6"/>
      <c r="F2291" s="6" t="s">
        <v>2228</v>
      </c>
      <c r="G2291" s="6" t="b">
        <f t="shared" si="134"/>
        <v>0</v>
      </c>
      <c r="H2291" s="6" t="s">
        <v>2212</v>
      </c>
      <c r="I2291" t="s">
        <v>1561</v>
      </c>
      <c r="J2291" t="s">
        <v>1561</v>
      </c>
      <c r="L2291">
        <f t="shared" si="132"/>
        <v>1</v>
      </c>
    </row>
    <row r="2292" spans="1:12" x14ac:dyDescent="0.35">
      <c r="A2292" s="9">
        <f t="shared" si="133"/>
        <v>2291</v>
      </c>
      <c r="B2292" t="s">
        <v>111</v>
      </c>
      <c r="C2292" s="109">
        <f>IF(ISBLANK(K2292),IFERROR(VLOOKUP(I2292,FS_input_data!$C$398:$N$457,Export!J2292,FALSE),""),K2292)</f>
        <v>796</v>
      </c>
      <c r="D2292" s="6" t="b">
        <v>1</v>
      </c>
      <c r="E2292" t="s">
        <v>1561</v>
      </c>
      <c r="F2292" s="6" t="s">
        <v>2228</v>
      </c>
      <c r="G2292" s="6" t="b">
        <f t="shared" si="134"/>
        <v>0</v>
      </c>
      <c r="H2292" s="6" t="s">
        <v>2212</v>
      </c>
      <c r="I2292" t="s">
        <v>1415</v>
      </c>
      <c r="J2292">
        <v>4</v>
      </c>
      <c r="L2292" s="9" t="e">
        <f t="shared" si="132"/>
        <v>#VALUE!</v>
      </c>
    </row>
    <row r="2293" spans="1:12" x14ac:dyDescent="0.35">
      <c r="A2293">
        <f t="shared" si="133"/>
        <v>2292</v>
      </c>
      <c r="B2293" t="s">
        <v>112</v>
      </c>
      <c r="C2293" s="109" t="str">
        <f>IF(ISBLANK(K2293),IFERROR(VLOOKUP(I2293,FS_input_data!$C$398:$N$457,Export!J2293,FALSE),""),K2293)</f>
        <v/>
      </c>
      <c r="D2293" s="6"/>
      <c r="E2293" t="s">
        <v>1561</v>
      </c>
      <c r="F2293" s="6" t="s">
        <v>2228</v>
      </c>
      <c r="G2293" s="6" t="b">
        <f t="shared" si="134"/>
        <v>0</v>
      </c>
      <c r="H2293" s="6" t="s">
        <v>2212</v>
      </c>
      <c r="I2293" t="s">
        <v>1561</v>
      </c>
      <c r="J2293" t="s">
        <v>1561</v>
      </c>
      <c r="L2293">
        <f t="shared" si="132"/>
        <v>1</v>
      </c>
    </row>
    <row r="2294" spans="1:12" x14ac:dyDescent="0.35">
      <c r="A2294">
        <f t="shared" si="133"/>
        <v>2293</v>
      </c>
      <c r="B2294" t="s">
        <v>677</v>
      </c>
      <c r="C2294" s="109" t="str">
        <f>IF(ISBLANK(K2294),IFERROR(VLOOKUP(I2294,FS_input_data!$C$398:$N$457,Export!J2294,FALSE),""),K2294)</f>
        <v/>
      </c>
      <c r="D2294" s="6"/>
      <c r="E2294" t="s">
        <v>1728</v>
      </c>
      <c r="F2294" s="6" t="s">
        <v>2228</v>
      </c>
      <c r="G2294" s="6" t="b">
        <f t="shared" si="134"/>
        <v>0</v>
      </c>
      <c r="H2294" s="6" t="s">
        <v>2212</v>
      </c>
      <c r="I2294" t="s">
        <v>1561</v>
      </c>
      <c r="J2294" t="s">
        <v>1561</v>
      </c>
      <c r="L2294" s="26" t="e">
        <f t="shared" si="132"/>
        <v>#VALUE!</v>
      </c>
    </row>
    <row r="2295" spans="1:12" x14ac:dyDescent="0.35">
      <c r="A2295" s="9">
        <f t="shared" si="133"/>
        <v>2294</v>
      </c>
      <c r="B2295" t="s">
        <v>109</v>
      </c>
      <c r="C2295" s="109">
        <f>IF(ISBLANK(K2295),IFERROR(VLOOKUP(I2295,FS_input_data!$C$398:$N$457,Export!J2295,FALSE),""),K2295)</f>
        <v>29</v>
      </c>
      <c r="D2295" s="6" t="b">
        <v>1</v>
      </c>
      <c r="E2295" t="s">
        <v>1561</v>
      </c>
      <c r="F2295" s="6" t="s">
        <v>2228</v>
      </c>
      <c r="G2295" s="6" t="b">
        <f t="shared" si="134"/>
        <v>0</v>
      </c>
      <c r="H2295" s="6" t="s">
        <v>2212</v>
      </c>
      <c r="I2295" t="s">
        <v>1727</v>
      </c>
      <c r="J2295">
        <v>3</v>
      </c>
      <c r="L2295" s="9" t="e">
        <f t="shared" si="132"/>
        <v>#VALUE!</v>
      </c>
    </row>
    <row r="2296" spans="1:12" x14ac:dyDescent="0.35">
      <c r="A2296">
        <f t="shared" si="133"/>
        <v>2295</v>
      </c>
      <c r="B2296" t="s">
        <v>110</v>
      </c>
      <c r="C2296" s="109" t="str">
        <f>IF(ISBLANK(K2296),IFERROR(VLOOKUP(I2296,FS_input_data!$C$398:$N$457,Export!J2296,FALSE),""),K2296)</f>
        <v/>
      </c>
      <c r="D2296" s="6"/>
      <c r="F2296" s="6" t="s">
        <v>2228</v>
      </c>
      <c r="G2296" s="6" t="b">
        <f t="shared" si="134"/>
        <v>0</v>
      </c>
      <c r="H2296" s="6" t="s">
        <v>2212</v>
      </c>
      <c r="I2296" t="s">
        <v>1561</v>
      </c>
      <c r="J2296" t="s">
        <v>1561</v>
      </c>
      <c r="L2296">
        <f t="shared" si="132"/>
        <v>1</v>
      </c>
    </row>
    <row r="2297" spans="1:12" x14ac:dyDescent="0.35">
      <c r="A2297" s="9">
        <f t="shared" si="133"/>
        <v>2296</v>
      </c>
      <c r="B2297" t="s">
        <v>111</v>
      </c>
      <c r="C2297" s="109">
        <f>IF(ISBLANK(K2297),IFERROR(VLOOKUP(I2297,FS_input_data!$C$398:$N$457,Export!J2297,FALSE),""),K2297)</f>
        <v>129</v>
      </c>
      <c r="D2297" s="6" t="b">
        <v>1</v>
      </c>
      <c r="E2297" t="s">
        <v>1561</v>
      </c>
      <c r="F2297" s="6" t="s">
        <v>2228</v>
      </c>
      <c r="G2297" s="6" t="b">
        <f t="shared" si="134"/>
        <v>0</v>
      </c>
      <c r="H2297" s="6" t="s">
        <v>2212</v>
      </c>
      <c r="I2297" t="s">
        <v>1727</v>
      </c>
      <c r="J2297">
        <v>4</v>
      </c>
      <c r="L2297" s="9" t="e">
        <f t="shared" si="132"/>
        <v>#VALUE!</v>
      </c>
    </row>
    <row r="2298" spans="1:12" x14ac:dyDescent="0.35">
      <c r="A2298">
        <f t="shared" si="133"/>
        <v>2297</v>
      </c>
      <c r="B2298" t="s">
        <v>112</v>
      </c>
      <c r="C2298" s="109" t="str">
        <f>IF(ISBLANK(K2298),IFERROR(VLOOKUP(I2298,FS_input_data!$C$398:$N$457,Export!J2298,FALSE),""),K2298)</f>
        <v/>
      </c>
      <c r="D2298" s="6"/>
      <c r="E2298" t="s">
        <v>1561</v>
      </c>
      <c r="F2298" s="6" t="s">
        <v>2228</v>
      </c>
      <c r="G2298" s="6" t="b">
        <f t="shared" si="134"/>
        <v>0</v>
      </c>
      <c r="H2298" s="6" t="s">
        <v>2212</v>
      </c>
      <c r="I2298" t="s">
        <v>1561</v>
      </c>
      <c r="J2298" t="s">
        <v>1561</v>
      </c>
      <c r="L2298">
        <f t="shared" si="132"/>
        <v>1</v>
      </c>
    </row>
    <row r="2299" spans="1:12" x14ac:dyDescent="0.35">
      <c r="A2299">
        <f t="shared" si="133"/>
        <v>2298</v>
      </c>
      <c r="B2299" t="s">
        <v>678</v>
      </c>
      <c r="C2299" s="109" t="str">
        <f>IF(ISBLANK(K2299),IFERROR(VLOOKUP(I2299,FS_input_data!$C$398:$N$457,Export!J2299,FALSE),""),K2299)</f>
        <v/>
      </c>
      <c r="D2299" s="6"/>
      <c r="E2299" t="s">
        <v>1561</v>
      </c>
      <c r="F2299" s="6" t="s">
        <v>2228</v>
      </c>
      <c r="G2299" s="6" t="b">
        <f t="shared" si="134"/>
        <v>0</v>
      </c>
      <c r="H2299" s="6" t="s">
        <v>2212</v>
      </c>
      <c r="I2299" t="s">
        <v>1561</v>
      </c>
      <c r="J2299" t="s">
        <v>1561</v>
      </c>
      <c r="L2299">
        <f t="shared" si="132"/>
        <v>1</v>
      </c>
    </row>
    <row r="2300" spans="1:12" x14ac:dyDescent="0.35">
      <c r="A2300">
        <f t="shared" si="133"/>
        <v>2299</v>
      </c>
      <c r="B2300" t="s">
        <v>679</v>
      </c>
      <c r="C2300" s="109" t="str">
        <f>IF(ISBLANK(K2300),IFERROR(VLOOKUP(I2300,FS_input_data!$C$398:$N$457,Export!J2300,FALSE),""),K2300)</f>
        <v/>
      </c>
      <c r="D2300" s="6"/>
      <c r="E2300" t="s">
        <v>1730</v>
      </c>
      <c r="F2300" s="6" t="s">
        <v>2228</v>
      </c>
      <c r="G2300" s="6" t="b">
        <f t="shared" si="134"/>
        <v>0</v>
      </c>
      <c r="H2300" s="6" t="s">
        <v>2212</v>
      </c>
      <c r="I2300" t="s">
        <v>1561</v>
      </c>
      <c r="J2300" t="s">
        <v>1561</v>
      </c>
      <c r="L2300" s="26" t="e">
        <f t="shared" si="132"/>
        <v>#VALUE!</v>
      </c>
    </row>
    <row r="2301" spans="1:12" x14ac:dyDescent="0.35">
      <c r="A2301" s="9">
        <f t="shared" si="133"/>
        <v>2300</v>
      </c>
      <c r="B2301" t="s">
        <v>109</v>
      </c>
      <c r="C2301" s="109">
        <f>IF(ISBLANK(K2301),IFERROR(VLOOKUP(I2301,FS_input_data!$C$398:$N$457,Export!J2301,FALSE),""),K2301)</f>
        <v>30</v>
      </c>
      <c r="D2301" s="6" t="b">
        <v>1</v>
      </c>
      <c r="E2301" t="s">
        <v>1561</v>
      </c>
      <c r="F2301" s="6" t="s">
        <v>2228</v>
      </c>
      <c r="G2301" s="6" t="b">
        <f t="shared" si="134"/>
        <v>0</v>
      </c>
      <c r="H2301" s="6" t="s">
        <v>2212</v>
      </c>
      <c r="I2301" t="s">
        <v>1729</v>
      </c>
      <c r="J2301">
        <v>3</v>
      </c>
      <c r="L2301" s="9" t="e">
        <f t="shared" si="132"/>
        <v>#VALUE!</v>
      </c>
    </row>
    <row r="2302" spans="1:12" x14ac:dyDescent="0.35">
      <c r="A2302">
        <f t="shared" si="133"/>
        <v>2301</v>
      </c>
      <c r="B2302" t="s">
        <v>110</v>
      </c>
      <c r="C2302" s="109" t="str">
        <f>IF(ISBLANK(K2302),IFERROR(VLOOKUP(I2302,FS_input_data!$C$398:$N$457,Export!J2302,FALSE),""),K2302)</f>
        <v/>
      </c>
      <c r="D2302" s="6"/>
      <c r="F2302" s="6" t="s">
        <v>2228</v>
      </c>
      <c r="G2302" s="6" t="b">
        <f t="shared" si="134"/>
        <v>0</v>
      </c>
      <c r="H2302" s="6" t="s">
        <v>2212</v>
      </c>
      <c r="I2302" t="s">
        <v>1561</v>
      </c>
      <c r="J2302" t="s">
        <v>1561</v>
      </c>
      <c r="L2302">
        <f t="shared" si="132"/>
        <v>1</v>
      </c>
    </row>
    <row r="2303" spans="1:12" x14ac:dyDescent="0.35">
      <c r="A2303" s="9">
        <f t="shared" si="133"/>
        <v>2302</v>
      </c>
      <c r="B2303" t="s">
        <v>111</v>
      </c>
      <c r="C2303" s="109">
        <f>IF(ISBLANK(K2303),IFERROR(VLOOKUP(I2303,FS_input_data!$C$398:$N$457,Export!J2303,FALSE),""),K2303)</f>
        <v>130</v>
      </c>
      <c r="D2303" s="6" t="b">
        <v>1</v>
      </c>
      <c r="E2303" t="s">
        <v>1561</v>
      </c>
      <c r="F2303" s="6" t="s">
        <v>2228</v>
      </c>
      <c r="G2303" s="6" t="b">
        <f t="shared" si="134"/>
        <v>0</v>
      </c>
      <c r="H2303" s="6" t="s">
        <v>2212</v>
      </c>
      <c r="I2303" t="s">
        <v>1729</v>
      </c>
      <c r="J2303">
        <v>4</v>
      </c>
      <c r="L2303" s="9" t="e">
        <f t="shared" si="132"/>
        <v>#VALUE!</v>
      </c>
    </row>
    <row r="2304" spans="1:12" x14ac:dyDescent="0.35">
      <c r="A2304">
        <f t="shared" si="133"/>
        <v>2303</v>
      </c>
      <c r="B2304" t="s">
        <v>112</v>
      </c>
      <c r="C2304" s="109" t="str">
        <f>IF(ISBLANK(K2304),IFERROR(VLOOKUP(I2304,FS_input_data!$C$398:$N$457,Export!J2304,FALSE),""),K2304)</f>
        <v/>
      </c>
      <c r="D2304" s="6"/>
      <c r="E2304" t="s">
        <v>1561</v>
      </c>
      <c r="F2304" s="6" t="s">
        <v>2228</v>
      </c>
      <c r="G2304" s="6" t="b">
        <f t="shared" si="134"/>
        <v>0</v>
      </c>
      <c r="H2304" s="6" t="s">
        <v>2212</v>
      </c>
      <c r="I2304" t="s">
        <v>1561</v>
      </c>
      <c r="J2304" t="s">
        <v>1561</v>
      </c>
      <c r="L2304">
        <f t="shared" si="132"/>
        <v>1</v>
      </c>
    </row>
    <row r="2305" spans="1:12" x14ac:dyDescent="0.35">
      <c r="A2305">
        <f t="shared" si="133"/>
        <v>2304</v>
      </c>
      <c r="B2305" t="s">
        <v>680</v>
      </c>
      <c r="C2305" s="109" t="str">
        <f>IF(ISBLANK(K2305),IFERROR(VLOOKUP(I2305,FS_input_data!$C$398:$N$457,Export!J2305,FALSE),""),K2305)</f>
        <v/>
      </c>
      <c r="D2305" s="6"/>
      <c r="E2305" t="s">
        <v>1561</v>
      </c>
      <c r="F2305" s="6" t="s">
        <v>2228</v>
      </c>
      <c r="G2305" s="6" t="b">
        <f t="shared" si="134"/>
        <v>0</v>
      </c>
      <c r="H2305" s="6" t="s">
        <v>2212</v>
      </c>
      <c r="I2305" t="s">
        <v>1561</v>
      </c>
      <c r="J2305" t="s">
        <v>1561</v>
      </c>
      <c r="L2305">
        <f t="shared" si="132"/>
        <v>1</v>
      </c>
    </row>
    <row r="2306" spans="1:12" x14ac:dyDescent="0.35">
      <c r="A2306">
        <f t="shared" si="133"/>
        <v>2305</v>
      </c>
      <c r="B2306" t="s">
        <v>681</v>
      </c>
      <c r="C2306" s="109" t="str">
        <f>IF(ISBLANK(K2306),IFERROR(VLOOKUP(I2306,FS_input_data!$C$398:$N$457,Export!J2306,FALSE),""),K2306)</f>
        <v/>
      </c>
      <c r="D2306" s="6"/>
      <c r="E2306" t="s">
        <v>1732</v>
      </c>
      <c r="F2306" s="6" t="s">
        <v>2228</v>
      </c>
      <c r="G2306" s="6" t="b">
        <f t="shared" si="134"/>
        <v>0</v>
      </c>
      <c r="H2306" s="6" t="s">
        <v>2212</v>
      </c>
      <c r="I2306" t="s">
        <v>1561</v>
      </c>
      <c r="J2306" t="s">
        <v>1561</v>
      </c>
      <c r="L2306" s="26" t="e">
        <f t="shared" ref="L2306:L2369" si="135">FIND("/",B2306)</f>
        <v>#VALUE!</v>
      </c>
    </row>
    <row r="2307" spans="1:12" x14ac:dyDescent="0.35">
      <c r="A2307" s="9">
        <f t="shared" ref="A2307:A2370" si="136">A2306+1</f>
        <v>2306</v>
      </c>
      <c r="B2307" t="s">
        <v>109</v>
      </c>
      <c r="C2307" s="109">
        <f>IF(ISBLANK(K2307),IFERROR(VLOOKUP(I2307,FS_input_data!$C$398:$N$457,Export!J2307,FALSE),""),K2307)</f>
        <v>101</v>
      </c>
      <c r="D2307" s="6" t="b">
        <v>1</v>
      </c>
      <c r="E2307" t="s">
        <v>1561</v>
      </c>
      <c r="F2307" s="6" t="s">
        <v>2228</v>
      </c>
      <c r="G2307" s="6" t="b">
        <f t="shared" si="134"/>
        <v>0</v>
      </c>
      <c r="H2307" s="6" t="s">
        <v>2212</v>
      </c>
      <c r="I2307" t="s">
        <v>1731</v>
      </c>
      <c r="J2307">
        <v>3</v>
      </c>
      <c r="L2307" s="9" t="e">
        <f t="shared" si="135"/>
        <v>#VALUE!</v>
      </c>
    </row>
    <row r="2308" spans="1:12" x14ac:dyDescent="0.35">
      <c r="A2308">
        <f t="shared" si="136"/>
        <v>2307</v>
      </c>
      <c r="B2308" t="s">
        <v>110</v>
      </c>
      <c r="C2308" s="109" t="str">
        <f>IF(ISBLANK(K2308),IFERROR(VLOOKUP(I2308,FS_input_data!$C$398:$N$457,Export!J2308,FALSE),""),K2308)</f>
        <v/>
      </c>
      <c r="D2308" s="6"/>
      <c r="F2308" s="6" t="s">
        <v>2228</v>
      </c>
      <c r="G2308" s="6" t="b">
        <f t="shared" si="134"/>
        <v>0</v>
      </c>
      <c r="H2308" s="6" t="s">
        <v>2212</v>
      </c>
      <c r="I2308" t="s">
        <v>1561</v>
      </c>
      <c r="J2308" t="s">
        <v>1561</v>
      </c>
      <c r="L2308">
        <f t="shared" si="135"/>
        <v>1</v>
      </c>
    </row>
    <row r="2309" spans="1:12" x14ac:dyDescent="0.35">
      <c r="A2309" s="9">
        <f t="shared" si="136"/>
        <v>2308</v>
      </c>
      <c r="B2309" t="s">
        <v>111</v>
      </c>
      <c r="C2309" s="109">
        <f>IF(ISBLANK(K2309),IFERROR(VLOOKUP(I2309,FS_input_data!$C$398:$N$457,Export!J2309,FALSE),""),K2309)</f>
        <v>401</v>
      </c>
      <c r="D2309" s="6" t="b">
        <v>1</v>
      </c>
      <c r="E2309" t="s">
        <v>1561</v>
      </c>
      <c r="F2309" s="6" t="s">
        <v>2228</v>
      </c>
      <c r="G2309" s="6" t="b">
        <f t="shared" si="134"/>
        <v>0</v>
      </c>
      <c r="H2309" s="6" t="s">
        <v>2212</v>
      </c>
      <c r="I2309" t="s">
        <v>1731</v>
      </c>
      <c r="J2309">
        <v>4</v>
      </c>
      <c r="L2309" s="9" t="e">
        <f t="shared" si="135"/>
        <v>#VALUE!</v>
      </c>
    </row>
    <row r="2310" spans="1:12" x14ac:dyDescent="0.35">
      <c r="A2310">
        <f t="shared" si="136"/>
        <v>2309</v>
      </c>
      <c r="B2310" t="s">
        <v>112</v>
      </c>
      <c r="C2310" s="109" t="str">
        <f>IF(ISBLANK(K2310),IFERROR(VLOOKUP(I2310,FS_input_data!$C$398:$N$457,Export!J2310,FALSE),""),K2310)</f>
        <v/>
      </c>
      <c r="D2310" s="6"/>
      <c r="E2310" t="s">
        <v>1561</v>
      </c>
      <c r="F2310" s="6" t="s">
        <v>2228</v>
      </c>
      <c r="G2310" s="6" t="b">
        <f t="shared" si="134"/>
        <v>0</v>
      </c>
      <c r="H2310" s="6" t="s">
        <v>2212</v>
      </c>
      <c r="I2310" t="s">
        <v>1561</v>
      </c>
      <c r="J2310" t="s">
        <v>1561</v>
      </c>
      <c r="L2310">
        <f t="shared" si="135"/>
        <v>1</v>
      </c>
    </row>
    <row r="2311" spans="1:12" x14ac:dyDescent="0.35">
      <c r="A2311">
        <f t="shared" si="136"/>
        <v>2310</v>
      </c>
      <c r="B2311" t="s">
        <v>682</v>
      </c>
      <c r="C2311" s="109" t="str">
        <f>IF(ISBLANK(K2311),IFERROR(VLOOKUP(I2311,FS_input_data!$C$398:$N$457,Export!J2311,FALSE),""),K2311)</f>
        <v/>
      </c>
      <c r="D2311" s="6"/>
      <c r="E2311" t="s">
        <v>1057</v>
      </c>
      <c r="F2311" s="6" t="s">
        <v>2228</v>
      </c>
      <c r="G2311" s="6" t="b">
        <f t="shared" si="134"/>
        <v>0</v>
      </c>
      <c r="H2311" s="6" t="s">
        <v>2212</v>
      </c>
      <c r="I2311" t="s">
        <v>1561</v>
      </c>
      <c r="J2311" t="s">
        <v>1561</v>
      </c>
      <c r="L2311" s="26" t="e">
        <f t="shared" si="135"/>
        <v>#VALUE!</v>
      </c>
    </row>
    <row r="2312" spans="1:12" x14ac:dyDescent="0.35">
      <c r="A2312" s="9">
        <f t="shared" si="136"/>
        <v>2311</v>
      </c>
      <c r="B2312" t="s">
        <v>109</v>
      </c>
      <c r="C2312" s="109">
        <f>IF(ISBLANK(K2312),IFERROR(VLOOKUP(I2312,FS_input_data!$C$398:$N$457,Export!J2312,FALSE),""),K2312)</f>
        <v>32</v>
      </c>
      <c r="D2312" s="6" t="b">
        <v>1</v>
      </c>
      <c r="E2312" t="s">
        <v>1561</v>
      </c>
      <c r="F2312" s="6" t="s">
        <v>2228</v>
      </c>
      <c r="G2312" s="6" t="b">
        <f t="shared" si="134"/>
        <v>0</v>
      </c>
      <c r="H2312" s="6" t="s">
        <v>2212</v>
      </c>
      <c r="I2312" t="s">
        <v>1733</v>
      </c>
      <c r="J2312">
        <v>3</v>
      </c>
      <c r="L2312" s="9" t="e">
        <f t="shared" si="135"/>
        <v>#VALUE!</v>
      </c>
    </row>
    <row r="2313" spans="1:12" x14ac:dyDescent="0.35">
      <c r="A2313">
        <f t="shared" si="136"/>
        <v>2312</v>
      </c>
      <c r="B2313" t="s">
        <v>110</v>
      </c>
      <c r="C2313" s="109" t="str">
        <f>IF(ISBLANK(K2313),IFERROR(VLOOKUP(I2313,FS_input_data!$C$398:$N$457,Export!J2313,FALSE),""),K2313)</f>
        <v/>
      </c>
      <c r="D2313" s="6"/>
      <c r="F2313" s="6" t="s">
        <v>2228</v>
      </c>
      <c r="G2313" s="6" t="b">
        <f t="shared" si="134"/>
        <v>0</v>
      </c>
      <c r="H2313" s="6" t="s">
        <v>2212</v>
      </c>
      <c r="I2313" t="s">
        <v>1561</v>
      </c>
      <c r="J2313" t="s">
        <v>1561</v>
      </c>
      <c r="L2313">
        <f t="shared" si="135"/>
        <v>1</v>
      </c>
    </row>
    <row r="2314" spans="1:12" x14ac:dyDescent="0.35">
      <c r="A2314" s="9">
        <f t="shared" si="136"/>
        <v>2313</v>
      </c>
      <c r="B2314" t="s">
        <v>111</v>
      </c>
      <c r="C2314" s="109">
        <f>IF(ISBLANK(K2314),IFERROR(VLOOKUP(I2314,FS_input_data!$C$398:$N$457,Export!J2314,FALSE),""),K2314)</f>
        <v>132</v>
      </c>
      <c r="D2314" s="6" t="b">
        <v>1</v>
      </c>
      <c r="E2314" t="s">
        <v>1561</v>
      </c>
      <c r="F2314" s="6" t="s">
        <v>2228</v>
      </c>
      <c r="G2314" s="6" t="b">
        <f t="shared" si="134"/>
        <v>0</v>
      </c>
      <c r="H2314" s="6" t="s">
        <v>2212</v>
      </c>
      <c r="I2314" t="s">
        <v>1733</v>
      </c>
      <c r="J2314">
        <v>4</v>
      </c>
      <c r="L2314" s="9" t="e">
        <f t="shared" si="135"/>
        <v>#VALUE!</v>
      </c>
    </row>
    <row r="2315" spans="1:12" x14ac:dyDescent="0.35">
      <c r="A2315">
        <f t="shared" si="136"/>
        <v>2314</v>
      </c>
      <c r="B2315" t="s">
        <v>112</v>
      </c>
      <c r="C2315" s="109" t="str">
        <f>IF(ISBLANK(K2315),IFERROR(VLOOKUP(I2315,FS_input_data!$C$398:$N$457,Export!J2315,FALSE),""),K2315)</f>
        <v/>
      </c>
      <c r="D2315" s="6"/>
      <c r="E2315" t="s">
        <v>1561</v>
      </c>
      <c r="F2315" s="6" t="s">
        <v>2228</v>
      </c>
      <c r="G2315" s="6" t="b">
        <f t="shared" si="134"/>
        <v>0</v>
      </c>
      <c r="H2315" s="6" t="s">
        <v>2212</v>
      </c>
      <c r="I2315" t="s">
        <v>1561</v>
      </c>
      <c r="J2315" t="s">
        <v>1561</v>
      </c>
      <c r="L2315">
        <f t="shared" si="135"/>
        <v>1</v>
      </c>
    </row>
    <row r="2316" spans="1:12" x14ac:dyDescent="0.35">
      <c r="A2316">
        <f t="shared" si="136"/>
        <v>2315</v>
      </c>
      <c r="B2316" t="s">
        <v>683</v>
      </c>
      <c r="C2316" s="109" t="str">
        <f>IF(ISBLANK(K2316),IFERROR(VLOOKUP(I2316,FS_input_data!$C$398:$N$457,Export!J2316,FALSE),""),K2316)</f>
        <v/>
      </c>
      <c r="D2316" s="6"/>
      <c r="E2316" t="s">
        <v>1561</v>
      </c>
      <c r="F2316" s="6" t="s">
        <v>2228</v>
      </c>
      <c r="G2316" s="6" t="b">
        <f t="shared" si="134"/>
        <v>0</v>
      </c>
      <c r="H2316" s="6" t="s">
        <v>2212</v>
      </c>
      <c r="I2316" t="s">
        <v>1561</v>
      </c>
      <c r="J2316" t="s">
        <v>1561</v>
      </c>
      <c r="L2316">
        <f t="shared" si="135"/>
        <v>1</v>
      </c>
    </row>
    <row r="2317" spans="1:12" x14ac:dyDescent="0.35">
      <c r="A2317">
        <f t="shared" si="136"/>
        <v>2316</v>
      </c>
      <c r="B2317" t="s">
        <v>684</v>
      </c>
      <c r="C2317" s="109" t="str">
        <f>IF(ISBLANK(K2317),IFERROR(VLOOKUP(I2317,FS_input_data!$C$398:$N$457,Export!J2317,FALSE),""),K2317)</f>
        <v/>
      </c>
      <c r="D2317" s="6"/>
      <c r="E2317" t="s">
        <v>1190</v>
      </c>
      <c r="F2317" s="6" t="s">
        <v>2228</v>
      </c>
      <c r="G2317" s="6" t="b">
        <f t="shared" si="134"/>
        <v>0</v>
      </c>
      <c r="H2317" s="6" t="s">
        <v>2212</v>
      </c>
      <c r="I2317" t="s">
        <v>1561</v>
      </c>
      <c r="J2317" t="s">
        <v>1561</v>
      </c>
      <c r="L2317" s="26" t="e">
        <f t="shared" si="135"/>
        <v>#VALUE!</v>
      </c>
    </row>
    <row r="2318" spans="1:12" x14ac:dyDescent="0.35">
      <c r="A2318" s="9">
        <f t="shared" si="136"/>
        <v>2317</v>
      </c>
      <c r="B2318" t="s">
        <v>109</v>
      </c>
      <c r="C2318" s="109">
        <f>IF(ISBLANK(K2318),IFERROR(VLOOKUP(I2318,FS_input_data!$C$398:$N$457,Export!J2318,FALSE),""),K2318)</f>
        <v>69</v>
      </c>
      <c r="D2318" s="6" t="b">
        <v>1</v>
      </c>
      <c r="E2318" t="s">
        <v>1561</v>
      </c>
      <c r="F2318" s="6" t="s">
        <v>2228</v>
      </c>
      <c r="G2318" s="6" t="b">
        <f t="shared" ref="G2318:G2381" si="137">NOT(CF_xml)</f>
        <v>0</v>
      </c>
      <c r="H2318" s="6" t="s">
        <v>2212</v>
      </c>
      <c r="I2318" t="s">
        <v>1734</v>
      </c>
      <c r="J2318">
        <v>3</v>
      </c>
      <c r="L2318" s="9" t="e">
        <f t="shared" si="135"/>
        <v>#VALUE!</v>
      </c>
    </row>
    <row r="2319" spans="1:12" x14ac:dyDescent="0.35">
      <c r="A2319">
        <f t="shared" si="136"/>
        <v>2318</v>
      </c>
      <c r="B2319" t="s">
        <v>110</v>
      </c>
      <c r="C2319" s="109" t="str">
        <f>IF(ISBLANK(K2319),IFERROR(VLOOKUP(I2319,FS_input_data!$C$398:$N$457,Export!J2319,FALSE),""),K2319)</f>
        <v/>
      </c>
      <c r="D2319" s="6"/>
      <c r="F2319" s="6" t="s">
        <v>2228</v>
      </c>
      <c r="G2319" s="6" t="b">
        <f t="shared" si="137"/>
        <v>0</v>
      </c>
      <c r="H2319" s="6" t="s">
        <v>2212</v>
      </c>
      <c r="I2319" t="s">
        <v>1561</v>
      </c>
      <c r="J2319" t="s">
        <v>1561</v>
      </c>
      <c r="L2319">
        <f t="shared" si="135"/>
        <v>1</v>
      </c>
    </row>
    <row r="2320" spans="1:12" x14ac:dyDescent="0.35">
      <c r="A2320" s="9">
        <f t="shared" si="136"/>
        <v>2319</v>
      </c>
      <c r="B2320" t="s">
        <v>111</v>
      </c>
      <c r="C2320" s="109">
        <f>IF(ISBLANK(K2320),IFERROR(VLOOKUP(I2320,FS_input_data!$C$398:$N$457,Export!J2320,FALSE),""),K2320)</f>
        <v>269</v>
      </c>
      <c r="D2320" s="6" t="b">
        <v>1</v>
      </c>
      <c r="E2320" t="s">
        <v>1561</v>
      </c>
      <c r="F2320" s="6" t="s">
        <v>2228</v>
      </c>
      <c r="G2320" s="6" t="b">
        <f t="shared" si="137"/>
        <v>0</v>
      </c>
      <c r="H2320" s="6" t="s">
        <v>2212</v>
      </c>
      <c r="I2320" t="s">
        <v>1734</v>
      </c>
      <c r="J2320">
        <v>4</v>
      </c>
      <c r="L2320" s="9" t="e">
        <f t="shared" si="135"/>
        <v>#VALUE!</v>
      </c>
    </row>
    <row r="2321" spans="1:12" x14ac:dyDescent="0.35">
      <c r="A2321">
        <f t="shared" si="136"/>
        <v>2320</v>
      </c>
      <c r="B2321" t="s">
        <v>112</v>
      </c>
      <c r="C2321" s="109" t="str">
        <f>IF(ISBLANK(K2321),IFERROR(VLOOKUP(I2321,FS_input_data!$C$398:$N$457,Export!J2321,FALSE),""),K2321)</f>
        <v/>
      </c>
      <c r="D2321" s="6"/>
      <c r="E2321" t="s">
        <v>1561</v>
      </c>
      <c r="F2321" s="6" t="s">
        <v>2228</v>
      </c>
      <c r="G2321" s="6" t="b">
        <f t="shared" si="137"/>
        <v>0</v>
      </c>
      <c r="H2321" s="6" t="s">
        <v>2212</v>
      </c>
      <c r="I2321" t="s">
        <v>1561</v>
      </c>
      <c r="J2321" t="s">
        <v>1561</v>
      </c>
      <c r="L2321">
        <f t="shared" si="135"/>
        <v>1</v>
      </c>
    </row>
    <row r="2322" spans="1:12" x14ac:dyDescent="0.35">
      <c r="A2322">
        <f t="shared" si="136"/>
        <v>2321</v>
      </c>
      <c r="B2322" t="s">
        <v>685</v>
      </c>
      <c r="C2322" s="109" t="str">
        <f>IF(ISBLANK(K2322),IFERROR(VLOOKUP(I2322,FS_input_data!$C$398:$N$457,Export!J2322,FALSE),""),K2322)</f>
        <v/>
      </c>
      <c r="D2322" s="6"/>
      <c r="E2322" t="s">
        <v>1736</v>
      </c>
      <c r="F2322" s="6" t="s">
        <v>2228</v>
      </c>
      <c r="G2322" s="6" t="b">
        <f t="shared" si="137"/>
        <v>0</v>
      </c>
      <c r="H2322" s="6" t="s">
        <v>2212</v>
      </c>
      <c r="I2322" t="s">
        <v>1561</v>
      </c>
      <c r="J2322" t="s">
        <v>1561</v>
      </c>
      <c r="L2322" s="26" t="e">
        <f t="shared" si="135"/>
        <v>#VALUE!</v>
      </c>
    </row>
    <row r="2323" spans="1:12" x14ac:dyDescent="0.35">
      <c r="A2323" s="9">
        <f t="shared" si="136"/>
        <v>2322</v>
      </c>
      <c r="B2323" t="s">
        <v>109</v>
      </c>
      <c r="C2323" s="109">
        <f>IF(ISBLANK(K2323),IFERROR(VLOOKUP(I2323,FS_input_data!$C$398:$N$457,Export!J2323,FALSE),""),K2323)</f>
        <v>34</v>
      </c>
      <c r="D2323" s="6" t="b">
        <v>1</v>
      </c>
      <c r="E2323" t="s">
        <v>1561</v>
      </c>
      <c r="F2323" s="6" t="s">
        <v>2228</v>
      </c>
      <c r="G2323" s="6" t="b">
        <f t="shared" si="137"/>
        <v>0</v>
      </c>
      <c r="H2323" s="6" t="s">
        <v>2212</v>
      </c>
      <c r="I2323" t="s">
        <v>1735</v>
      </c>
      <c r="J2323">
        <v>3</v>
      </c>
      <c r="L2323" s="9" t="e">
        <f t="shared" si="135"/>
        <v>#VALUE!</v>
      </c>
    </row>
    <row r="2324" spans="1:12" x14ac:dyDescent="0.35">
      <c r="A2324">
        <f t="shared" si="136"/>
        <v>2323</v>
      </c>
      <c r="B2324" t="s">
        <v>110</v>
      </c>
      <c r="C2324" s="109" t="str">
        <f>IF(ISBLANK(K2324),IFERROR(VLOOKUP(I2324,FS_input_data!$C$398:$N$457,Export!J2324,FALSE),""),K2324)</f>
        <v/>
      </c>
      <c r="D2324" s="6"/>
      <c r="F2324" s="6" t="s">
        <v>2228</v>
      </c>
      <c r="G2324" s="6" t="b">
        <f t="shared" si="137"/>
        <v>0</v>
      </c>
      <c r="H2324" s="6" t="s">
        <v>2212</v>
      </c>
      <c r="I2324" t="s">
        <v>1561</v>
      </c>
      <c r="J2324" t="s">
        <v>1561</v>
      </c>
      <c r="L2324">
        <f t="shared" si="135"/>
        <v>1</v>
      </c>
    </row>
    <row r="2325" spans="1:12" x14ac:dyDescent="0.35">
      <c r="A2325" s="9">
        <f t="shared" si="136"/>
        <v>2324</v>
      </c>
      <c r="B2325" t="s">
        <v>111</v>
      </c>
      <c r="C2325" s="109">
        <f>IF(ISBLANK(K2325),IFERROR(VLOOKUP(I2325,FS_input_data!$C$398:$N$457,Export!J2325,FALSE),""),K2325)</f>
        <v>134</v>
      </c>
      <c r="D2325" s="6" t="b">
        <v>1</v>
      </c>
      <c r="E2325" t="s">
        <v>1561</v>
      </c>
      <c r="F2325" s="6" t="s">
        <v>2228</v>
      </c>
      <c r="G2325" s="6" t="b">
        <f t="shared" si="137"/>
        <v>0</v>
      </c>
      <c r="H2325" s="6" t="s">
        <v>2212</v>
      </c>
      <c r="I2325" t="s">
        <v>1735</v>
      </c>
      <c r="J2325">
        <v>4</v>
      </c>
      <c r="L2325" s="9" t="e">
        <f t="shared" si="135"/>
        <v>#VALUE!</v>
      </c>
    </row>
    <row r="2326" spans="1:12" x14ac:dyDescent="0.35">
      <c r="A2326">
        <f t="shared" si="136"/>
        <v>2325</v>
      </c>
      <c r="B2326" t="s">
        <v>112</v>
      </c>
      <c r="C2326" s="109" t="str">
        <f>IF(ISBLANK(K2326),IFERROR(VLOOKUP(I2326,FS_input_data!$C$398:$N$457,Export!J2326,FALSE),""),K2326)</f>
        <v/>
      </c>
      <c r="D2326" s="6"/>
      <c r="E2326" t="s">
        <v>1561</v>
      </c>
      <c r="F2326" s="6" t="s">
        <v>2228</v>
      </c>
      <c r="G2326" s="6" t="b">
        <f t="shared" si="137"/>
        <v>0</v>
      </c>
      <c r="H2326" s="6" t="s">
        <v>2212</v>
      </c>
      <c r="I2326" t="s">
        <v>1561</v>
      </c>
      <c r="J2326" t="s">
        <v>1561</v>
      </c>
      <c r="L2326">
        <f t="shared" si="135"/>
        <v>1</v>
      </c>
    </row>
    <row r="2327" spans="1:12" x14ac:dyDescent="0.35">
      <c r="A2327">
        <f t="shared" si="136"/>
        <v>2326</v>
      </c>
      <c r="B2327" t="s">
        <v>686</v>
      </c>
      <c r="C2327" s="109" t="str">
        <f>IF(ISBLANK(K2327),IFERROR(VLOOKUP(I2327,FS_input_data!$C$398:$N$457,Export!J2327,FALSE),""),K2327)</f>
        <v/>
      </c>
      <c r="D2327" s="6"/>
      <c r="E2327" t="s">
        <v>1561</v>
      </c>
      <c r="F2327" s="6" t="s">
        <v>2228</v>
      </c>
      <c r="G2327" s="6" t="b">
        <f t="shared" si="137"/>
        <v>0</v>
      </c>
      <c r="H2327" s="6" t="s">
        <v>2212</v>
      </c>
      <c r="I2327" t="s">
        <v>1561</v>
      </c>
      <c r="J2327" t="s">
        <v>1561</v>
      </c>
      <c r="L2327">
        <f t="shared" si="135"/>
        <v>1</v>
      </c>
    </row>
    <row r="2328" spans="1:12" x14ac:dyDescent="0.35">
      <c r="A2328">
        <f t="shared" si="136"/>
        <v>2327</v>
      </c>
      <c r="B2328" t="s">
        <v>687</v>
      </c>
      <c r="C2328" s="109" t="str">
        <f>IF(ISBLANK(K2328),IFERROR(VLOOKUP(I2328,FS_input_data!$C$398:$N$457,Export!J2328,FALSE),""),K2328)</f>
        <v/>
      </c>
      <c r="D2328" s="6"/>
      <c r="E2328" t="s">
        <v>1738</v>
      </c>
      <c r="F2328" s="6" t="s">
        <v>2228</v>
      </c>
      <c r="G2328" s="6" t="b">
        <f t="shared" si="137"/>
        <v>0</v>
      </c>
      <c r="H2328" s="6" t="s">
        <v>2212</v>
      </c>
      <c r="I2328" t="s">
        <v>1561</v>
      </c>
      <c r="J2328" t="s">
        <v>1561</v>
      </c>
      <c r="L2328" s="26" t="e">
        <f t="shared" si="135"/>
        <v>#VALUE!</v>
      </c>
    </row>
    <row r="2329" spans="1:12" x14ac:dyDescent="0.35">
      <c r="A2329" s="9">
        <f t="shared" si="136"/>
        <v>2328</v>
      </c>
      <c r="B2329" t="s">
        <v>109</v>
      </c>
      <c r="C2329" s="109">
        <f>IF(ISBLANK(K2329),IFERROR(VLOOKUP(I2329,FS_input_data!$C$398:$N$457,Export!J2329,FALSE),""),K2329)</f>
        <v>35</v>
      </c>
      <c r="D2329" s="6" t="b">
        <v>1</v>
      </c>
      <c r="E2329" t="s">
        <v>1561</v>
      </c>
      <c r="F2329" s="6" t="s">
        <v>2228</v>
      </c>
      <c r="G2329" s="6" t="b">
        <f t="shared" si="137"/>
        <v>0</v>
      </c>
      <c r="H2329" s="6" t="s">
        <v>2212</v>
      </c>
      <c r="I2329" t="s">
        <v>1737</v>
      </c>
      <c r="J2329">
        <v>3</v>
      </c>
      <c r="L2329" s="9" t="e">
        <f t="shared" si="135"/>
        <v>#VALUE!</v>
      </c>
    </row>
    <row r="2330" spans="1:12" x14ac:dyDescent="0.35">
      <c r="A2330">
        <f t="shared" si="136"/>
        <v>2329</v>
      </c>
      <c r="B2330" t="s">
        <v>110</v>
      </c>
      <c r="C2330" s="109" t="str">
        <f>IF(ISBLANK(K2330),IFERROR(VLOOKUP(I2330,FS_input_data!$C$398:$N$457,Export!J2330,FALSE),""),K2330)</f>
        <v/>
      </c>
      <c r="D2330" s="6"/>
      <c r="F2330" s="6" t="s">
        <v>2228</v>
      </c>
      <c r="G2330" s="6" t="b">
        <f t="shared" si="137"/>
        <v>0</v>
      </c>
      <c r="H2330" s="6" t="s">
        <v>2212</v>
      </c>
      <c r="I2330" t="s">
        <v>1561</v>
      </c>
      <c r="J2330" t="s">
        <v>1561</v>
      </c>
      <c r="L2330">
        <f t="shared" si="135"/>
        <v>1</v>
      </c>
    </row>
    <row r="2331" spans="1:12" x14ac:dyDescent="0.35">
      <c r="A2331" s="9">
        <f t="shared" si="136"/>
        <v>2330</v>
      </c>
      <c r="B2331" t="s">
        <v>111</v>
      </c>
      <c r="C2331" s="109">
        <f>IF(ISBLANK(K2331),IFERROR(VLOOKUP(I2331,FS_input_data!$C$398:$N$457,Export!J2331,FALSE),""),K2331)</f>
        <v>135</v>
      </c>
      <c r="D2331" s="6" t="b">
        <v>1</v>
      </c>
      <c r="E2331" t="s">
        <v>1561</v>
      </c>
      <c r="F2331" s="6" t="s">
        <v>2228</v>
      </c>
      <c r="G2331" s="6" t="b">
        <f t="shared" si="137"/>
        <v>0</v>
      </c>
      <c r="H2331" s="6" t="s">
        <v>2212</v>
      </c>
      <c r="I2331" t="s">
        <v>1737</v>
      </c>
      <c r="J2331">
        <v>4</v>
      </c>
      <c r="L2331" s="9" t="e">
        <f t="shared" si="135"/>
        <v>#VALUE!</v>
      </c>
    </row>
    <row r="2332" spans="1:12" x14ac:dyDescent="0.35">
      <c r="A2332">
        <f t="shared" si="136"/>
        <v>2331</v>
      </c>
      <c r="B2332" t="s">
        <v>112</v>
      </c>
      <c r="C2332" s="109" t="str">
        <f>IF(ISBLANK(K2332),IFERROR(VLOOKUP(I2332,FS_input_data!$C$398:$N$457,Export!J2332,FALSE),""),K2332)</f>
        <v/>
      </c>
      <c r="D2332" s="6"/>
      <c r="E2332" t="s">
        <v>1561</v>
      </c>
      <c r="F2332" s="6" t="s">
        <v>2228</v>
      </c>
      <c r="G2332" s="6" t="b">
        <f t="shared" si="137"/>
        <v>0</v>
      </c>
      <c r="H2332" s="6" t="s">
        <v>2212</v>
      </c>
      <c r="I2332" t="s">
        <v>1561</v>
      </c>
      <c r="J2332" t="s">
        <v>1561</v>
      </c>
      <c r="L2332">
        <f t="shared" si="135"/>
        <v>1</v>
      </c>
    </row>
    <row r="2333" spans="1:12" x14ac:dyDescent="0.35">
      <c r="A2333">
        <f t="shared" si="136"/>
        <v>2332</v>
      </c>
      <c r="B2333" t="s">
        <v>688</v>
      </c>
      <c r="C2333" s="109" t="str">
        <f>IF(ISBLANK(K2333),IFERROR(VLOOKUP(I2333,FS_input_data!$C$398:$N$457,Export!J2333,FALSE),""),K2333)</f>
        <v/>
      </c>
      <c r="D2333" s="6"/>
      <c r="E2333" t="s">
        <v>1561</v>
      </c>
      <c r="F2333" s="6" t="s">
        <v>2228</v>
      </c>
      <c r="G2333" s="6" t="b">
        <f t="shared" si="137"/>
        <v>0</v>
      </c>
      <c r="H2333" s="6" t="s">
        <v>2212</v>
      </c>
      <c r="I2333" t="s">
        <v>1561</v>
      </c>
      <c r="J2333" t="s">
        <v>1561</v>
      </c>
      <c r="L2333">
        <f t="shared" si="135"/>
        <v>1</v>
      </c>
    </row>
    <row r="2334" spans="1:12" x14ac:dyDescent="0.35">
      <c r="A2334">
        <f t="shared" si="136"/>
        <v>2333</v>
      </c>
      <c r="B2334" t="s">
        <v>689</v>
      </c>
      <c r="C2334" s="109" t="str">
        <f>IF(ISBLANK(K2334),IFERROR(VLOOKUP(I2334,FS_input_data!$C$398:$N$457,Export!J2334,FALSE),""),K2334)</f>
        <v/>
      </c>
      <c r="D2334" s="6"/>
      <c r="E2334" t="s">
        <v>1561</v>
      </c>
      <c r="F2334" s="6" t="s">
        <v>2228</v>
      </c>
      <c r="G2334" s="6" t="b">
        <f t="shared" si="137"/>
        <v>0</v>
      </c>
      <c r="H2334" s="6" t="s">
        <v>2212</v>
      </c>
      <c r="I2334" t="s">
        <v>1561</v>
      </c>
      <c r="J2334" t="s">
        <v>1561</v>
      </c>
      <c r="L2334">
        <f t="shared" si="135"/>
        <v>1</v>
      </c>
    </row>
    <row r="2335" spans="1:12" x14ac:dyDescent="0.35">
      <c r="A2335">
        <f t="shared" si="136"/>
        <v>2334</v>
      </c>
      <c r="B2335" t="s">
        <v>690</v>
      </c>
      <c r="C2335" s="109" t="str">
        <f>IF(ISBLANK(K2335),IFERROR(VLOOKUP(I2335,FS_input_data!$C$398:$N$457,Export!J2335,FALSE),""),K2335)</f>
        <v/>
      </c>
      <c r="D2335" s="6"/>
      <c r="E2335" t="s">
        <v>1561</v>
      </c>
      <c r="F2335" s="6" t="s">
        <v>2228</v>
      </c>
      <c r="G2335" s="6" t="b">
        <f t="shared" si="137"/>
        <v>0</v>
      </c>
      <c r="H2335" s="6" t="s">
        <v>2212</v>
      </c>
      <c r="I2335" t="s">
        <v>1561</v>
      </c>
      <c r="J2335" t="s">
        <v>1561</v>
      </c>
      <c r="L2335">
        <f t="shared" si="135"/>
        <v>1</v>
      </c>
    </row>
    <row r="2336" spans="1:12" x14ac:dyDescent="0.35">
      <c r="A2336">
        <f t="shared" si="136"/>
        <v>2335</v>
      </c>
      <c r="B2336" t="s">
        <v>691</v>
      </c>
      <c r="C2336" s="109" t="str">
        <f>IF(ISBLANK(K2336),IFERROR(VLOOKUP(I2336,FS_input_data!$C$398:$N$457,Export!J2336,FALSE),""),K2336)</f>
        <v/>
      </c>
      <c r="D2336" s="6"/>
      <c r="E2336" t="s">
        <v>1740</v>
      </c>
      <c r="F2336" s="6" t="s">
        <v>2228</v>
      </c>
      <c r="G2336" s="6" t="b">
        <f t="shared" si="137"/>
        <v>0</v>
      </c>
      <c r="H2336" s="6" t="s">
        <v>2212</v>
      </c>
      <c r="I2336" t="s">
        <v>1561</v>
      </c>
      <c r="J2336" t="s">
        <v>1561</v>
      </c>
      <c r="L2336" s="26" t="e">
        <f t="shared" si="135"/>
        <v>#VALUE!</v>
      </c>
    </row>
    <row r="2337" spans="1:12" x14ac:dyDescent="0.35">
      <c r="A2337" s="9">
        <f t="shared" si="136"/>
        <v>2336</v>
      </c>
      <c r="B2337" t="s">
        <v>109</v>
      </c>
      <c r="C2337" s="109">
        <f>IF(ISBLANK(K2337),IFERROR(VLOOKUP(I2337,FS_input_data!$C$398:$N$457,Export!J2337,FALSE),""),K2337)</f>
        <v>36</v>
      </c>
      <c r="D2337" s="6" t="b">
        <v>1</v>
      </c>
      <c r="E2337" t="s">
        <v>1561</v>
      </c>
      <c r="F2337" s="6" t="s">
        <v>2228</v>
      </c>
      <c r="G2337" s="6" t="b">
        <f t="shared" si="137"/>
        <v>0</v>
      </c>
      <c r="H2337" s="6" t="s">
        <v>2212</v>
      </c>
      <c r="I2337" t="s">
        <v>1739</v>
      </c>
      <c r="J2337">
        <v>3</v>
      </c>
      <c r="L2337" s="9" t="e">
        <f t="shared" si="135"/>
        <v>#VALUE!</v>
      </c>
    </row>
    <row r="2338" spans="1:12" x14ac:dyDescent="0.35">
      <c r="A2338">
        <f t="shared" si="136"/>
        <v>2337</v>
      </c>
      <c r="B2338" t="s">
        <v>110</v>
      </c>
      <c r="C2338" s="109" t="str">
        <f>IF(ISBLANK(K2338),IFERROR(VLOOKUP(I2338,FS_input_data!$C$398:$N$457,Export!J2338,FALSE),""),K2338)</f>
        <v/>
      </c>
      <c r="D2338" s="6"/>
      <c r="F2338" s="6" t="s">
        <v>2228</v>
      </c>
      <c r="G2338" s="6" t="b">
        <f t="shared" si="137"/>
        <v>0</v>
      </c>
      <c r="H2338" s="6" t="s">
        <v>2212</v>
      </c>
      <c r="I2338" t="s">
        <v>1561</v>
      </c>
      <c r="J2338" t="s">
        <v>1561</v>
      </c>
      <c r="L2338">
        <f t="shared" si="135"/>
        <v>1</v>
      </c>
    </row>
    <row r="2339" spans="1:12" x14ac:dyDescent="0.35">
      <c r="A2339" s="9">
        <f t="shared" si="136"/>
        <v>2338</v>
      </c>
      <c r="B2339" t="s">
        <v>111</v>
      </c>
      <c r="C2339" s="109">
        <f>IF(ISBLANK(K2339),IFERROR(VLOOKUP(I2339,FS_input_data!$C$398:$N$457,Export!J2339,FALSE),""),K2339)</f>
        <v>136</v>
      </c>
      <c r="D2339" s="6" t="b">
        <v>1</v>
      </c>
      <c r="E2339" t="s">
        <v>1561</v>
      </c>
      <c r="F2339" s="6" t="s">
        <v>2228</v>
      </c>
      <c r="G2339" s="6" t="b">
        <f t="shared" si="137"/>
        <v>0</v>
      </c>
      <c r="H2339" s="6" t="s">
        <v>2212</v>
      </c>
      <c r="I2339" t="s">
        <v>1739</v>
      </c>
      <c r="J2339">
        <v>4</v>
      </c>
      <c r="L2339" s="9" t="e">
        <f t="shared" si="135"/>
        <v>#VALUE!</v>
      </c>
    </row>
    <row r="2340" spans="1:12" x14ac:dyDescent="0.35">
      <c r="A2340">
        <f t="shared" si="136"/>
        <v>2339</v>
      </c>
      <c r="B2340" t="s">
        <v>112</v>
      </c>
      <c r="C2340" s="109" t="str">
        <f>IF(ISBLANK(K2340),IFERROR(VLOOKUP(I2340,FS_input_data!$C$398:$N$457,Export!J2340,FALSE),""),K2340)</f>
        <v/>
      </c>
      <c r="D2340" s="6"/>
      <c r="E2340" t="s">
        <v>1561</v>
      </c>
      <c r="F2340" s="6" t="s">
        <v>2228</v>
      </c>
      <c r="G2340" s="6" t="b">
        <f t="shared" si="137"/>
        <v>0</v>
      </c>
      <c r="H2340" s="6" t="s">
        <v>2212</v>
      </c>
      <c r="I2340" t="s">
        <v>1561</v>
      </c>
      <c r="J2340" t="s">
        <v>1561</v>
      </c>
      <c r="L2340">
        <f t="shared" si="135"/>
        <v>1</v>
      </c>
    </row>
    <row r="2341" spans="1:12" x14ac:dyDescent="0.35">
      <c r="A2341">
        <f t="shared" si="136"/>
        <v>2340</v>
      </c>
      <c r="B2341" t="s">
        <v>692</v>
      </c>
      <c r="C2341" s="109" t="str">
        <f>IF(ISBLANK(K2341),IFERROR(VLOOKUP(I2341,FS_input_data!$C$398:$N$457,Export!J2341,FALSE),""),K2341)</f>
        <v/>
      </c>
      <c r="D2341" s="6"/>
      <c r="E2341" t="s">
        <v>1561</v>
      </c>
      <c r="F2341" s="6" t="s">
        <v>2228</v>
      </c>
      <c r="G2341" s="6" t="b">
        <f t="shared" si="137"/>
        <v>0</v>
      </c>
      <c r="H2341" s="6" t="s">
        <v>2212</v>
      </c>
      <c r="I2341" t="s">
        <v>1561</v>
      </c>
      <c r="J2341" t="s">
        <v>1561</v>
      </c>
      <c r="L2341">
        <f t="shared" si="135"/>
        <v>1</v>
      </c>
    </row>
    <row r="2342" spans="1:12" x14ac:dyDescent="0.35">
      <c r="A2342">
        <f t="shared" si="136"/>
        <v>2341</v>
      </c>
      <c r="B2342" t="s">
        <v>427</v>
      </c>
      <c r="C2342" s="109" t="str">
        <f>IF(ISBLANK(K2342),IFERROR(VLOOKUP(I2342,FS_input_data!$C$398:$N$457,Export!J2342,FALSE),""),K2342)</f>
        <v/>
      </c>
      <c r="D2342" s="6"/>
      <c r="E2342" t="s">
        <v>1561</v>
      </c>
      <c r="F2342" s="6" t="s">
        <v>2228</v>
      </c>
      <c r="G2342" s="6" t="b">
        <f t="shared" si="137"/>
        <v>0</v>
      </c>
      <c r="H2342" s="6" t="s">
        <v>2212</v>
      </c>
      <c r="I2342" t="s">
        <v>1561</v>
      </c>
      <c r="J2342" t="s">
        <v>1561</v>
      </c>
      <c r="L2342">
        <f t="shared" si="135"/>
        <v>1</v>
      </c>
    </row>
    <row r="2343" spans="1:12" x14ac:dyDescent="0.35">
      <c r="A2343">
        <f t="shared" si="136"/>
        <v>2342</v>
      </c>
      <c r="B2343" t="s">
        <v>428</v>
      </c>
      <c r="C2343" s="109" t="str">
        <f>IF(ISBLANK(K2343),IFERROR(VLOOKUP(I2343,FS_input_data!$C$398:$N$457,Export!J2343,FALSE),""),K2343)</f>
        <v/>
      </c>
      <c r="D2343" s="6"/>
      <c r="E2343" t="s">
        <v>1741</v>
      </c>
      <c r="F2343" s="6" t="s">
        <v>2228</v>
      </c>
      <c r="G2343" s="6" t="b">
        <f t="shared" si="137"/>
        <v>0</v>
      </c>
      <c r="H2343" s="6" t="s">
        <v>2212</v>
      </c>
      <c r="I2343" t="s">
        <v>1561</v>
      </c>
      <c r="J2343" t="s">
        <v>1561</v>
      </c>
      <c r="L2343" s="26" t="e">
        <f t="shared" si="135"/>
        <v>#VALUE!</v>
      </c>
    </row>
    <row r="2344" spans="1:12" x14ac:dyDescent="0.35">
      <c r="A2344" s="9">
        <f t="shared" si="136"/>
        <v>2343</v>
      </c>
      <c r="B2344" t="s">
        <v>109</v>
      </c>
      <c r="C2344" s="109">
        <f>IF(ISBLANK(K2344),IFERROR(VLOOKUP(I2344,FS_input_data!$C$398:$N$457,Export!J2344,FALSE),""),K2344)</f>
        <v>6</v>
      </c>
      <c r="D2344" s="6" t="b">
        <v>1</v>
      </c>
      <c r="E2344" t="s">
        <v>1561</v>
      </c>
      <c r="F2344" s="6" t="s">
        <v>2228</v>
      </c>
      <c r="G2344" s="6" t="b">
        <f t="shared" si="137"/>
        <v>0</v>
      </c>
      <c r="H2344" s="6" t="s">
        <v>2212</v>
      </c>
      <c r="I2344" t="s">
        <v>1418</v>
      </c>
      <c r="J2344">
        <v>3</v>
      </c>
      <c r="L2344" s="9" t="e">
        <f t="shared" si="135"/>
        <v>#VALUE!</v>
      </c>
    </row>
    <row r="2345" spans="1:12" x14ac:dyDescent="0.35">
      <c r="A2345">
        <f t="shared" si="136"/>
        <v>2344</v>
      </c>
      <c r="B2345" t="s">
        <v>110</v>
      </c>
      <c r="C2345" s="109" t="str">
        <f>IF(ISBLANK(K2345),IFERROR(VLOOKUP(I2345,FS_input_data!$C$398:$N$457,Export!J2345,FALSE),""),K2345)</f>
        <v/>
      </c>
      <c r="D2345" s="6"/>
      <c r="F2345" s="6" t="s">
        <v>2228</v>
      </c>
      <c r="G2345" s="6" t="b">
        <f t="shared" si="137"/>
        <v>0</v>
      </c>
      <c r="H2345" s="6" t="s">
        <v>2212</v>
      </c>
      <c r="I2345" t="s">
        <v>1561</v>
      </c>
      <c r="J2345" t="s">
        <v>1561</v>
      </c>
      <c r="L2345">
        <f t="shared" si="135"/>
        <v>1</v>
      </c>
    </row>
    <row r="2346" spans="1:12" x14ac:dyDescent="0.35">
      <c r="A2346" s="9">
        <f t="shared" si="136"/>
        <v>2345</v>
      </c>
      <c r="B2346" t="s">
        <v>111</v>
      </c>
      <c r="C2346" s="109">
        <f>IF(ISBLANK(K2346),IFERROR(VLOOKUP(I2346,FS_input_data!$C$398:$N$457,Export!J2346,FALSE),""),K2346)</f>
        <v>306</v>
      </c>
      <c r="D2346" s="6" t="b">
        <v>1</v>
      </c>
      <c r="E2346" t="s">
        <v>1561</v>
      </c>
      <c r="F2346" s="6" t="s">
        <v>2228</v>
      </c>
      <c r="G2346" s="6" t="b">
        <f t="shared" si="137"/>
        <v>0</v>
      </c>
      <c r="H2346" s="6" t="s">
        <v>2212</v>
      </c>
      <c r="I2346" t="s">
        <v>1418</v>
      </c>
      <c r="J2346">
        <v>4</v>
      </c>
      <c r="L2346" s="9" t="e">
        <f t="shared" si="135"/>
        <v>#VALUE!</v>
      </c>
    </row>
    <row r="2347" spans="1:12" x14ac:dyDescent="0.35">
      <c r="A2347">
        <f t="shared" si="136"/>
        <v>2346</v>
      </c>
      <c r="B2347" t="s">
        <v>112</v>
      </c>
      <c r="C2347" s="109" t="str">
        <f>IF(ISBLANK(K2347),IFERROR(VLOOKUP(I2347,FS_input_data!$C$398:$N$457,Export!J2347,FALSE),""),K2347)</f>
        <v/>
      </c>
      <c r="D2347" s="6"/>
      <c r="E2347" t="s">
        <v>1561</v>
      </c>
      <c r="F2347" s="6" t="s">
        <v>2228</v>
      </c>
      <c r="G2347" s="6" t="b">
        <f t="shared" si="137"/>
        <v>0</v>
      </c>
      <c r="H2347" s="6" t="s">
        <v>2212</v>
      </c>
      <c r="I2347" t="s">
        <v>1561</v>
      </c>
      <c r="J2347" t="s">
        <v>1561</v>
      </c>
      <c r="L2347">
        <f t="shared" si="135"/>
        <v>1</v>
      </c>
    </row>
    <row r="2348" spans="1:12" x14ac:dyDescent="0.35">
      <c r="A2348">
        <f t="shared" si="136"/>
        <v>2347</v>
      </c>
      <c r="B2348" t="s">
        <v>429</v>
      </c>
      <c r="C2348" s="109" t="str">
        <f>IF(ISBLANK(K2348),IFERROR(VLOOKUP(I2348,FS_input_data!$C$398:$N$457,Export!J2348,FALSE),""),K2348)</f>
        <v/>
      </c>
      <c r="D2348" s="6"/>
      <c r="E2348" t="s">
        <v>1561</v>
      </c>
      <c r="F2348" s="6" t="s">
        <v>2228</v>
      </c>
      <c r="G2348" s="6" t="b">
        <f t="shared" si="137"/>
        <v>0</v>
      </c>
      <c r="H2348" s="6" t="s">
        <v>2212</v>
      </c>
      <c r="I2348" t="s">
        <v>1561</v>
      </c>
      <c r="J2348" t="s">
        <v>1561</v>
      </c>
      <c r="L2348">
        <f t="shared" si="135"/>
        <v>1</v>
      </c>
    </row>
    <row r="2349" spans="1:12" x14ac:dyDescent="0.35">
      <c r="A2349">
        <f t="shared" si="136"/>
        <v>2348</v>
      </c>
      <c r="B2349" t="s">
        <v>444</v>
      </c>
      <c r="C2349" s="109" t="str">
        <f>IF(ISBLANK(K2349),IFERROR(VLOOKUP(I2349,FS_input_data!$C$398:$N$457,Export!J2349,FALSE),""),K2349)</f>
        <v/>
      </c>
      <c r="D2349" s="6"/>
      <c r="E2349" t="s">
        <v>1561</v>
      </c>
      <c r="F2349" s="6" t="s">
        <v>2228</v>
      </c>
      <c r="G2349" s="6" t="b">
        <f t="shared" si="137"/>
        <v>0</v>
      </c>
      <c r="H2349" s="6" t="s">
        <v>2212</v>
      </c>
      <c r="I2349" t="s">
        <v>1561</v>
      </c>
      <c r="J2349" t="s">
        <v>1561</v>
      </c>
      <c r="L2349">
        <f t="shared" si="135"/>
        <v>1</v>
      </c>
    </row>
    <row r="2350" spans="1:12" x14ac:dyDescent="0.35">
      <c r="A2350">
        <f t="shared" si="136"/>
        <v>2349</v>
      </c>
      <c r="B2350" t="s">
        <v>445</v>
      </c>
      <c r="C2350" s="109" t="str">
        <f>IF(ISBLANK(K2350),IFERROR(VLOOKUP(I2350,FS_input_data!$C$398:$N$457,Export!J2350,FALSE),""),K2350)</f>
        <v/>
      </c>
      <c r="D2350" s="6"/>
      <c r="E2350" t="s">
        <v>1742</v>
      </c>
      <c r="F2350" s="6" t="s">
        <v>2228</v>
      </c>
      <c r="G2350" s="6" t="b">
        <f t="shared" si="137"/>
        <v>0</v>
      </c>
      <c r="H2350" s="6" t="s">
        <v>2212</v>
      </c>
      <c r="I2350" t="s">
        <v>1561</v>
      </c>
      <c r="J2350" t="s">
        <v>1561</v>
      </c>
      <c r="L2350" s="26" t="e">
        <f t="shared" si="135"/>
        <v>#VALUE!</v>
      </c>
    </row>
    <row r="2351" spans="1:12" x14ac:dyDescent="0.35">
      <c r="A2351" s="9">
        <f t="shared" si="136"/>
        <v>2350</v>
      </c>
      <c r="B2351" t="s">
        <v>109</v>
      </c>
      <c r="C2351" s="109">
        <f>IF(ISBLANK(K2351),IFERROR(VLOOKUP(I2351,FS_input_data!$C$398:$N$457,Export!J2351,FALSE),""),K2351)</f>
        <v>38</v>
      </c>
      <c r="D2351" s="6" t="b">
        <v>1</v>
      </c>
      <c r="E2351" t="s">
        <v>1561</v>
      </c>
      <c r="F2351" s="6" t="s">
        <v>2228</v>
      </c>
      <c r="G2351" s="6" t="b">
        <f t="shared" si="137"/>
        <v>0</v>
      </c>
      <c r="H2351" s="6" t="s">
        <v>2212</v>
      </c>
      <c r="I2351" t="s">
        <v>1442</v>
      </c>
      <c r="J2351">
        <v>3</v>
      </c>
      <c r="L2351" s="9" t="e">
        <f t="shared" si="135"/>
        <v>#VALUE!</v>
      </c>
    </row>
    <row r="2352" spans="1:12" x14ac:dyDescent="0.35">
      <c r="A2352">
        <f t="shared" si="136"/>
        <v>2351</v>
      </c>
      <c r="B2352" t="s">
        <v>110</v>
      </c>
      <c r="C2352" s="109" t="str">
        <f>IF(ISBLANK(K2352),IFERROR(VLOOKUP(I2352,FS_input_data!$C$398:$N$457,Export!J2352,FALSE),""),K2352)</f>
        <v/>
      </c>
      <c r="D2352" s="6"/>
      <c r="F2352" s="6" t="s">
        <v>2228</v>
      </c>
      <c r="G2352" s="6" t="b">
        <f t="shared" si="137"/>
        <v>0</v>
      </c>
      <c r="H2352" s="6" t="s">
        <v>2212</v>
      </c>
      <c r="I2352" t="s">
        <v>1561</v>
      </c>
      <c r="J2352" t="s">
        <v>1561</v>
      </c>
      <c r="L2352">
        <f t="shared" si="135"/>
        <v>1</v>
      </c>
    </row>
    <row r="2353" spans="1:12" x14ac:dyDescent="0.35">
      <c r="A2353" s="9">
        <f t="shared" si="136"/>
        <v>2352</v>
      </c>
      <c r="B2353" t="s">
        <v>111</v>
      </c>
      <c r="C2353" s="109">
        <f>IF(ISBLANK(K2353),IFERROR(VLOOKUP(I2353,FS_input_data!$C$398:$N$457,Export!J2353,FALSE),""),K2353)</f>
        <v>138</v>
      </c>
      <c r="D2353" s="6" t="b">
        <v>1</v>
      </c>
      <c r="E2353" t="s">
        <v>1561</v>
      </c>
      <c r="F2353" s="6" t="s">
        <v>2228</v>
      </c>
      <c r="G2353" s="6" t="b">
        <f t="shared" si="137"/>
        <v>0</v>
      </c>
      <c r="H2353" s="6" t="s">
        <v>2212</v>
      </c>
      <c r="I2353" t="s">
        <v>1442</v>
      </c>
      <c r="J2353">
        <v>4</v>
      </c>
      <c r="L2353" s="9" t="e">
        <f t="shared" si="135"/>
        <v>#VALUE!</v>
      </c>
    </row>
    <row r="2354" spans="1:12" x14ac:dyDescent="0.35">
      <c r="A2354">
        <f t="shared" si="136"/>
        <v>2353</v>
      </c>
      <c r="B2354" t="s">
        <v>112</v>
      </c>
      <c r="C2354" s="109" t="str">
        <f>IF(ISBLANK(K2354),IFERROR(VLOOKUP(I2354,FS_input_data!$C$398:$N$457,Export!J2354,FALSE),""),K2354)</f>
        <v/>
      </c>
      <c r="D2354" s="6"/>
      <c r="E2354" t="s">
        <v>1561</v>
      </c>
      <c r="F2354" s="6" t="s">
        <v>2228</v>
      </c>
      <c r="G2354" s="6" t="b">
        <f t="shared" si="137"/>
        <v>0</v>
      </c>
      <c r="H2354" s="6" t="s">
        <v>2212</v>
      </c>
      <c r="I2354" t="s">
        <v>1561</v>
      </c>
      <c r="J2354" t="s">
        <v>1561</v>
      </c>
      <c r="L2354">
        <f t="shared" si="135"/>
        <v>1</v>
      </c>
    </row>
    <row r="2355" spans="1:12" x14ac:dyDescent="0.35">
      <c r="A2355">
        <f t="shared" si="136"/>
        <v>2354</v>
      </c>
      <c r="B2355" t="s">
        <v>693</v>
      </c>
      <c r="C2355" s="109" t="str">
        <f>IF(ISBLANK(K2355),IFERROR(VLOOKUP(I2355,FS_input_data!$C$398:$N$457,Export!J2355,FALSE),""),K2355)</f>
        <v/>
      </c>
      <c r="D2355" s="6"/>
      <c r="E2355" t="s">
        <v>1705</v>
      </c>
      <c r="F2355" s="6" t="s">
        <v>2228</v>
      </c>
      <c r="G2355" s="6" t="b">
        <f t="shared" si="137"/>
        <v>0</v>
      </c>
      <c r="H2355" s="6" t="s">
        <v>2212</v>
      </c>
      <c r="I2355" t="s">
        <v>1561</v>
      </c>
      <c r="J2355" t="s">
        <v>1561</v>
      </c>
      <c r="L2355" s="26" t="e">
        <f t="shared" si="135"/>
        <v>#VALUE!</v>
      </c>
    </row>
    <row r="2356" spans="1:12" x14ac:dyDescent="0.35">
      <c r="A2356" s="9">
        <f t="shared" si="136"/>
        <v>2355</v>
      </c>
      <c r="B2356" t="s">
        <v>109</v>
      </c>
      <c r="C2356" s="109">
        <f>IF(ISBLANK(K2356),IFERROR(VLOOKUP(I2356,FS_input_data!$C$398:$N$457,Export!J2356,FALSE),""),K2356)</f>
        <v>166</v>
      </c>
      <c r="D2356" s="6" t="b">
        <v>1</v>
      </c>
      <c r="E2356" t="s">
        <v>1561</v>
      </c>
      <c r="F2356" s="6" t="s">
        <v>2228</v>
      </c>
      <c r="G2356" s="6" t="b">
        <f t="shared" si="137"/>
        <v>0</v>
      </c>
      <c r="H2356" s="6" t="s">
        <v>2212</v>
      </c>
      <c r="I2356" t="s">
        <v>1743</v>
      </c>
      <c r="J2356">
        <v>3</v>
      </c>
      <c r="L2356" s="9" t="e">
        <f t="shared" si="135"/>
        <v>#VALUE!</v>
      </c>
    </row>
    <row r="2357" spans="1:12" x14ac:dyDescent="0.35">
      <c r="A2357">
        <f t="shared" si="136"/>
        <v>2356</v>
      </c>
      <c r="B2357" t="s">
        <v>110</v>
      </c>
      <c r="C2357" s="109" t="str">
        <f>IF(ISBLANK(K2357),IFERROR(VLOOKUP(I2357,FS_input_data!$C$398:$N$457,Export!J2357,FALSE),""),K2357)</f>
        <v/>
      </c>
      <c r="D2357" s="6"/>
      <c r="F2357" s="6" t="s">
        <v>2228</v>
      </c>
      <c r="G2357" s="6" t="b">
        <f t="shared" si="137"/>
        <v>0</v>
      </c>
      <c r="H2357" s="6" t="s">
        <v>2212</v>
      </c>
      <c r="I2357" t="s">
        <v>1561</v>
      </c>
      <c r="J2357" t="s">
        <v>1561</v>
      </c>
      <c r="L2357">
        <f t="shared" si="135"/>
        <v>1</v>
      </c>
    </row>
    <row r="2358" spans="1:12" x14ac:dyDescent="0.35">
      <c r="A2358" s="9">
        <f t="shared" si="136"/>
        <v>2357</v>
      </c>
      <c r="B2358" t="s">
        <v>111</v>
      </c>
      <c r="C2358" s="109">
        <f>IF(ISBLANK(K2358),IFERROR(VLOOKUP(I2358,FS_input_data!$C$398:$N$457,Export!J2358,FALSE),""),K2358)</f>
        <v>566</v>
      </c>
      <c r="D2358" s="6" t="b">
        <v>1</v>
      </c>
      <c r="E2358" t="s">
        <v>1561</v>
      </c>
      <c r="F2358" s="6" t="s">
        <v>2228</v>
      </c>
      <c r="G2358" s="6" t="b">
        <f t="shared" si="137"/>
        <v>0</v>
      </c>
      <c r="H2358" s="6" t="s">
        <v>2212</v>
      </c>
      <c r="I2358" t="s">
        <v>1743</v>
      </c>
      <c r="J2358">
        <v>4</v>
      </c>
      <c r="L2358" s="9" t="e">
        <f t="shared" si="135"/>
        <v>#VALUE!</v>
      </c>
    </row>
    <row r="2359" spans="1:12" x14ac:dyDescent="0.35">
      <c r="A2359">
        <f t="shared" si="136"/>
        <v>2358</v>
      </c>
      <c r="B2359" t="s">
        <v>112</v>
      </c>
      <c r="C2359" s="109" t="str">
        <f>IF(ISBLANK(K2359),IFERROR(VLOOKUP(I2359,FS_input_data!$C$398:$N$457,Export!J2359,FALSE),""),K2359)</f>
        <v/>
      </c>
      <c r="D2359" s="6"/>
      <c r="E2359" t="s">
        <v>1561</v>
      </c>
      <c r="F2359" s="6" t="s">
        <v>2228</v>
      </c>
      <c r="G2359" s="6" t="b">
        <f t="shared" si="137"/>
        <v>0</v>
      </c>
      <c r="H2359" s="6" t="s">
        <v>2212</v>
      </c>
      <c r="I2359" t="s">
        <v>1561</v>
      </c>
      <c r="J2359" t="s">
        <v>1561</v>
      </c>
      <c r="L2359">
        <f t="shared" si="135"/>
        <v>1</v>
      </c>
    </row>
    <row r="2360" spans="1:12" x14ac:dyDescent="0.35">
      <c r="A2360">
        <f t="shared" si="136"/>
        <v>2359</v>
      </c>
      <c r="B2360" t="s">
        <v>694</v>
      </c>
      <c r="C2360" s="109" t="str">
        <f>IF(ISBLANK(K2360),IFERROR(VLOOKUP(I2360,FS_input_data!$C$398:$N$457,Export!J2360,FALSE),""),K2360)</f>
        <v/>
      </c>
      <c r="D2360" s="6"/>
      <c r="E2360" t="s">
        <v>1745</v>
      </c>
      <c r="F2360" s="6" t="s">
        <v>2228</v>
      </c>
      <c r="G2360" s="6" t="b">
        <f t="shared" si="137"/>
        <v>0</v>
      </c>
      <c r="H2360" s="6" t="s">
        <v>2212</v>
      </c>
      <c r="I2360" t="s">
        <v>1561</v>
      </c>
      <c r="J2360" t="s">
        <v>1561</v>
      </c>
      <c r="L2360" s="26" t="e">
        <f t="shared" si="135"/>
        <v>#VALUE!</v>
      </c>
    </row>
    <row r="2361" spans="1:12" x14ac:dyDescent="0.35">
      <c r="A2361" s="9">
        <f t="shared" si="136"/>
        <v>2360</v>
      </c>
      <c r="B2361" t="s">
        <v>109</v>
      </c>
      <c r="C2361" s="109">
        <f>IF(ISBLANK(K2361),IFERROR(VLOOKUP(I2361,FS_input_data!$C$398:$N$457,Export!J2361,FALSE),""),K2361)</f>
        <v>40</v>
      </c>
      <c r="D2361" s="6" t="b">
        <v>1</v>
      </c>
      <c r="E2361" t="s">
        <v>1561</v>
      </c>
      <c r="F2361" s="6" t="s">
        <v>2228</v>
      </c>
      <c r="G2361" s="6" t="b">
        <f t="shared" si="137"/>
        <v>0</v>
      </c>
      <c r="H2361" s="6" t="s">
        <v>2212</v>
      </c>
      <c r="I2361" t="s">
        <v>1744</v>
      </c>
      <c r="J2361">
        <v>3</v>
      </c>
      <c r="L2361" s="9" t="e">
        <f t="shared" si="135"/>
        <v>#VALUE!</v>
      </c>
    </row>
    <row r="2362" spans="1:12" x14ac:dyDescent="0.35">
      <c r="A2362">
        <f t="shared" si="136"/>
        <v>2361</v>
      </c>
      <c r="B2362" t="s">
        <v>110</v>
      </c>
      <c r="C2362" s="109" t="str">
        <f>IF(ISBLANK(K2362),IFERROR(VLOOKUP(I2362,FS_input_data!$C$398:$N$457,Export!J2362,FALSE),""),K2362)</f>
        <v/>
      </c>
      <c r="D2362" s="6"/>
      <c r="F2362" s="6" t="s">
        <v>2228</v>
      </c>
      <c r="G2362" s="6" t="b">
        <f t="shared" si="137"/>
        <v>0</v>
      </c>
      <c r="H2362" s="6" t="s">
        <v>2212</v>
      </c>
      <c r="I2362" t="s">
        <v>1561</v>
      </c>
      <c r="J2362" t="s">
        <v>1561</v>
      </c>
      <c r="L2362">
        <f t="shared" si="135"/>
        <v>1</v>
      </c>
    </row>
    <row r="2363" spans="1:12" x14ac:dyDescent="0.35">
      <c r="A2363" s="9">
        <f t="shared" si="136"/>
        <v>2362</v>
      </c>
      <c r="B2363" t="s">
        <v>111</v>
      </c>
      <c r="C2363" s="109">
        <f>IF(ISBLANK(K2363),IFERROR(VLOOKUP(I2363,FS_input_data!$C$398:$N$457,Export!J2363,FALSE),""),K2363)</f>
        <v>140</v>
      </c>
      <c r="D2363" s="6" t="b">
        <v>1</v>
      </c>
      <c r="E2363" t="s">
        <v>1561</v>
      </c>
      <c r="F2363" s="6" t="s">
        <v>2228</v>
      </c>
      <c r="G2363" s="6" t="b">
        <f t="shared" si="137"/>
        <v>0</v>
      </c>
      <c r="H2363" s="6" t="s">
        <v>2212</v>
      </c>
      <c r="I2363" t="s">
        <v>1744</v>
      </c>
      <c r="J2363">
        <v>4</v>
      </c>
      <c r="L2363" s="9" t="e">
        <f t="shared" si="135"/>
        <v>#VALUE!</v>
      </c>
    </row>
    <row r="2364" spans="1:12" x14ac:dyDescent="0.35">
      <c r="A2364">
        <f t="shared" si="136"/>
        <v>2363</v>
      </c>
      <c r="B2364" t="s">
        <v>112</v>
      </c>
      <c r="C2364" s="109" t="str">
        <f>IF(ISBLANK(K2364),IFERROR(VLOOKUP(I2364,FS_input_data!$C$398:$N$457,Export!J2364,FALSE),""),K2364)</f>
        <v/>
      </c>
      <c r="D2364" s="6"/>
      <c r="E2364" t="s">
        <v>1561</v>
      </c>
      <c r="F2364" s="6" t="s">
        <v>2228</v>
      </c>
      <c r="G2364" s="6" t="b">
        <f t="shared" si="137"/>
        <v>0</v>
      </c>
      <c r="H2364" s="6" t="s">
        <v>2212</v>
      </c>
      <c r="I2364" t="s">
        <v>1561</v>
      </c>
      <c r="J2364" t="s">
        <v>1561</v>
      </c>
      <c r="L2364">
        <f t="shared" si="135"/>
        <v>1</v>
      </c>
    </row>
    <row r="2365" spans="1:12" x14ac:dyDescent="0.35">
      <c r="A2365">
        <f t="shared" si="136"/>
        <v>2364</v>
      </c>
      <c r="B2365" t="s">
        <v>695</v>
      </c>
      <c r="C2365" s="109" t="str">
        <f>IF(ISBLANK(K2365),IFERROR(VLOOKUP(I2365,FS_input_data!$C$398:$N$457,Export!J2365,FALSE),""),K2365)</f>
        <v/>
      </c>
      <c r="D2365" s="6"/>
      <c r="E2365" t="s">
        <v>1561</v>
      </c>
      <c r="F2365" s="6" t="s">
        <v>2228</v>
      </c>
      <c r="G2365" s="6" t="b">
        <f t="shared" si="137"/>
        <v>0</v>
      </c>
      <c r="H2365" s="6" t="s">
        <v>2212</v>
      </c>
      <c r="I2365" t="s">
        <v>1561</v>
      </c>
      <c r="J2365" t="s">
        <v>1561</v>
      </c>
      <c r="L2365">
        <f t="shared" si="135"/>
        <v>1</v>
      </c>
    </row>
    <row r="2366" spans="1:12" x14ac:dyDescent="0.35">
      <c r="A2366">
        <f t="shared" si="136"/>
        <v>2365</v>
      </c>
      <c r="B2366" t="s">
        <v>696</v>
      </c>
      <c r="C2366" s="109" t="str">
        <f>IF(ISBLANK(K2366),IFERROR(VLOOKUP(I2366,FS_input_data!$C$398:$N$457,Export!J2366,FALSE),""),K2366)</f>
        <v/>
      </c>
      <c r="D2366" s="6"/>
      <c r="E2366" t="s">
        <v>1747</v>
      </c>
      <c r="F2366" s="6" t="s">
        <v>2228</v>
      </c>
      <c r="G2366" s="6" t="b">
        <f t="shared" si="137"/>
        <v>0</v>
      </c>
      <c r="H2366" s="6" t="s">
        <v>2212</v>
      </c>
      <c r="I2366" t="s">
        <v>1561</v>
      </c>
      <c r="J2366" t="s">
        <v>1561</v>
      </c>
      <c r="L2366" s="26" t="e">
        <f t="shared" si="135"/>
        <v>#VALUE!</v>
      </c>
    </row>
    <row r="2367" spans="1:12" x14ac:dyDescent="0.35">
      <c r="A2367" s="9">
        <f t="shared" si="136"/>
        <v>2366</v>
      </c>
      <c r="B2367" t="s">
        <v>109</v>
      </c>
      <c r="C2367" s="109">
        <f>IF(ISBLANK(K2367),IFERROR(VLOOKUP(I2367,FS_input_data!$C$398:$N$457,Export!J2367,FALSE),""),K2367)</f>
        <v>41</v>
      </c>
      <c r="D2367" s="6" t="b">
        <v>1</v>
      </c>
      <c r="E2367" t="s">
        <v>1561</v>
      </c>
      <c r="F2367" s="6" t="s">
        <v>2228</v>
      </c>
      <c r="G2367" s="6" t="b">
        <f t="shared" si="137"/>
        <v>0</v>
      </c>
      <c r="H2367" s="6" t="s">
        <v>2212</v>
      </c>
      <c r="I2367" t="s">
        <v>1746</v>
      </c>
      <c r="J2367">
        <v>3</v>
      </c>
      <c r="L2367" s="9" t="e">
        <f t="shared" si="135"/>
        <v>#VALUE!</v>
      </c>
    </row>
    <row r="2368" spans="1:12" x14ac:dyDescent="0.35">
      <c r="A2368">
        <f t="shared" si="136"/>
        <v>2367</v>
      </c>
      <c r="B2368" t="s">
        <v>110</v>
      </c>
      <c r="C2368" s="109" t="str">
        <f>IF(ISBLANK(K2368),IFERROR(VLOOKUP(I2368,FS_input_data!$C$398:$N$457,Export!J2368,FALSE),""),K2368)</f>
        <v/>
      </c>
      <c r="D2368" s="6"/>
      <c r="F2368" s="6" t="s">
        <v>2228</v>
      </c>
      <c r="G2368" s="6" t="b">
        <f t="shared" si="137"/>
        <v>0</v>
      </c>
      <c r="H2368" s="6" t="s">
        <v>2212</v>
      </c>
      <c r="I2368" t="s">
        <v>1561</v>
      </c>
      <c r="J2368" t="s">
        <v>1561</v>
      </c>
      <c r="L2368">
        <f t="shared" si="135"/>
        <v>1</v>
      </c>
    </row>
    <row r="2369" spans="1:12" x14ac:dyDescent="0.35">
      <c r="A2369" s="9">
        <f t="shared" si="136"/>
        <v>2368</v>
      </c>
      <c r="B2369" t="s">
        <v>111</v>
      </c>
      <c r="C2369" s="109">
        <f>IF(ISBLANK(K2369),IFERROR(VLOOKUP(I2369,FS_input_data!$C$398:$N$457,Export!J2369,FALSE),""),K2369)</f>
        <v>141</v>
      </c>
      <c r="D2369" s="6" t="b">
        <v>1</v>
      </c>
      <c r="E2369" t="s">
        <v>1561</v>
      </c>
      <c r="F2369" s="6" t="s">
        <v>2228</v>
      </c>
      <c r="G2369" s="6" t="b">
        <f t="shared" si="137"/>
        <v>0</v>
      </c>
      <c r="H2369" s="6" t="s">
        <v>2212</v>
      </c>
      <c r="I2369" t="s">
        <v>1746</v>
      </c>
      <c r="J2369">
        <v>4</v>
      </c>
      <c r="L2369" s="9" t="e">
        <f t="shared" si="135"/>
        <v>#VALUE!</v>
      </c>
    </row>
    <row r="2370" spans="1:12" x14ac:dyDescent="0.35">
      <c r="A2370">
        <f t="shared" si="136"/>
        <v>2369</v>
      </c>
      <c r="B2370" t="s">
        <v>112</v>
      </c>
      <c r="C2370" s="109" t="str">
        <f>IF(ISBLANK(K2370),IFERROR(VLOOKUP(I2370,FS_input_data!$C$398:$N$457,Export!J2370,FALSE),""),K2370)</f>
        <v/>
      </c>
      <c r="D2370" s="6"/>
      <c r="E2370" t="s">
        <v>1561</v>
      </c>
      <c r="F2370" s="6" t="s">
        <v>2228</v>
      </c>
      <c r="G2370" s="6" t="b">
        <f t="shared" si="137"/>
        <v>0</v>
      </c>
      <c r="H2370" s="6" t="s">
        <v>2212</v>
      </c>
      <c r="I2370" t="s">
        <v>1561</v>
      </c>
      <c r="J2370" t="s">
        <v>1561</v>
      </c>
      <c r="L2370">
        <f t="shared" ref="L2370:L2433" si="138">FIND("/",B2370)</f>
        <v>1</v>
      </c>
    </row>
    <row r="2371" spans="1:12" x14ac:dyDescent="0.35">
      <c r="A2371">
        <f t="shared" ref="A2371:A2434" si="139">A2370+1</f>
        <v>2370</v>
      </c>
      <c r="B2371" t="s">
        <v>697</v>
      </c>
      <c r="C2371" s="109" t="str">
        <f>IF(ISBLANK(K2371),IFERROR(VLOOKUP(I2371,FS_input_data!$C$398:$N$457,Export!J2371,FALSE),""),K2371)</f>
        <v/>
      </c>
      <c r="D2371" s="6"/>
      <c r="E2371" t="s">
        <v>1561</v>
      </c>
      <c r="F2371" s="6" t="s">
        <v>2228</v>
      </c>
      <c r="G2371" s="6" t="b">
        <f t="shared" si="137"/>
        <v>0</v>
      </c>
      <c r="H2371" s="6" t="s">
        <v>2212</v>
      </c>
      <c r="I2371" t="s">
        <v>1561</v>
      </c>
      <c r="J2371" t="s">
        <v>1561</v>
      </c>
      <c r="L2371">
        <f t="shared" si="138"/>
        <v>1</v>
      </c>
    </row>
    <row r="2372" spans="1:12" x14ac:dyDescent="0.35">
      <c r="A2372">
        <f t="shared" si="139"/>
        <v>2371</v>
      </c>
      <c r="B2372" t="s">
        <v>698</v>
      </c>
      <c r="C2372" s="109" t="str">
        <f>IF(ISBLANK(K2372),IFERROR(VLOOKUP(I2372,FS_input_data!$C$398:$N$457,Export!J2372,FALSE),""),K2372)</f>
        <v/>
      </c>
      <c r="D2372" s="6"/>
      <c r="E2372" t="s">
        <v>1749</v>
      </c>
      <c r="F2372" s="6" t="s">
        <v>2228</v>
      </c>
      <c r="G2372" s="6" t="b">
        <f t="shared" si="137"/>
        <v>0</v>
      </c>
      <c r="H2372" s="6" t="s">
        <v>2212</v>
      </c>
      <c r="I2372" t="s">
        <v>1561</v>
      </c>
      <c r="J2372" t="s">
        <v>1561</v>
      </c>
      <c r="L2372" s="26" t="e">
        <f t="shared" si="138"/>
        <v>#VALUE!</v>
      </c>
    </row>
    <row r="2373" spans="1:12" x14ac:dyDescent="0.35">
      <c r="A2373" s="9">
        <f t="shared" si="139"/>
        <v>2372</v>
      </c>
      <c r="B2373" t="s">
        <v>109</v>
      </c>
      <c r="C2373" s="109">
        <f>IF(ISBLANK(K2373),IFERROR(VLOOKUP(I2373,FS_input_data!$C$398:$N$457,Export!J2373,FALSE),""),K2373)</f>
        <v>42</v>
      </c>
      <c r="D2373" s="6" t="b">
        <v>1</v>
      </c>
      <c r="E2373" t="s">
        <v>1561</v>
      </c>
      <c r="F2373" s="6" t="s">
        <v>2228</v>
      </c>
      <c r="G2373" s="6" t="b">
        <f t="shared" si="137"/>
        <v>0</v>
      </c>
      <c r="H2373" s="6" t="s">
        <v>2212</v>
      </c>
      <c r="I2373" t="s">
        <v>1748</v>
      </c>
      <c r="J2373">
        <v>3</v>
      </c>
      <c r="L2373" s="9" t="e">
        <f t="shared" si="138"/>
        <v>#VALUE!</v>
      </c>
    </row>
    <row r="2374" spans="1:12" x14ac:dyDescent="0.35">
      <c r="A2374">
        <f t="shared" si="139"/>
        <v>2373</v>
      </c>
      <c r="B2374" t="s">
        <v>110</v>
      </c>
      <c r="C2374" s="109" t="str">
        <f>IF(ISBLANK(K2374),IFERROR(VLOOKUP(I2374,FS_input_data!$C$398:$N$457,Export!J2374,FALSE),""),K2374)</f>
        <v/>
      </c>
      <c r="D2374" s="6"/>
      <c r="F2374" s="6" t="s">
        <v>2228</v>
      </c>
      <c r="G2374" s="6" t="b">
        <f t="shared" si="137"/>
        <v>0</v>
      </c>
      <c r="H2374" s="6" t="s">
        <v>2212</v>
      </c>
      <c r="I2374" t="s">
        <v>1561</v>
      </c>
      <c r="J2374" t="s">
        <v>1561</v>
      </c>
      <c r="L2374">
        <f t="shared" si="138"/>
        <v>1</v>
      </c>
    </row>
    <row r="2375" spans="1:12" x14ac:dyDescent="0.35">
      <c r="A2375" s="9">
        <f t="shared" si="139"/>
        <v>2374</v>
      </c>
      <c r="B2375" t="s">
        <v>111</v>
      </c>
      <c r="C2375" s="109">
        <f>IF(ISBLANK(K2375),IFERROR(VLOOKUP(I2375,FS_input_data!$C$398:$N$457,Export!J2375,FALSE),""),K2375)</f>
        <v>142</v>
      </c>
      <c r="D2375" s="6" t="b">
        <v>1</v>
      </c>
      <c r="E2375" t="s">
        <v>1561</v>
      </c>
      <c r="F2375" s="6" t="s">
        <v>2228</v>
      </c>
      <c r="G2375" s="6" t="b">
        <f t="shared" si="137"/>
        <v>0</v>
      </c>
      <c r="H2375" s="6" t="s">
        <v>2212</v>
      </c>
      <c r="I2375" t="s">
        <v>1748</v>
      </c>
      <c r="J2375">
        <v>4</v>
      </c>
      <c r="L2375" s="9" t="e">
        <f t="shared" si="138"/>
        <v>#VALUE!</v>
      </c>
    </row>
    <row r="2376" spans="1:12" x14ac:dyDescent="0.35">
      <c r="A2376">
        <f t="shared" si="139"/>
        <v>2375</v>
      </c>
      <c r="B2376" t="s">
        <v>112</v>
      </c>
      <c r="C2376" s="109" t="str">
        <f>IF(ISBLANK(K2376),IFERROR(VLOOKUP(I2376,FS_input_data!$C$398:$N$457,Export!J2376,FALSE),""),K2376)</f>
        <v/>
      </c>
      <c r="D2376" s="6"/>
      <c r="E2376" t="s">
        <v>1561</v>
      </c>
      <c r="F2376" s="6" t="s">
        <v>2228</v>
      </c>
      <c r="G2376" s="6" t="b">
        <f t="shared" si="137"/>
        <v>0</v>
      </c>
      <c r="H2376" s="6" t="s">
        <v>2212</v>
      </c>
      <c r="I2376" t="s">
        <v>1561</v>
      </c>
      <c r="J2376" t="s">
        <v>1561</v>
      </c>
      <c r="L2376">
        <f t="shared" si="138"/>
        <v>1</v>
      </c>
    </row>
    <row r="2377" spans="1:12" x14ac:dyDescent="0.35">
      <c r="A2377">
        <f t="shared" si="139"/>
        <v>2376</v>
      </c>
      <c r="B2377" t="s">
        <v>699</v>
      </c>
      <c r="C2377" s="109" t="str">
        <f>IF(ISBLANK(K2377),IFERROR(VLOOKUP(I2377,FS_input_data!$C$398:$N$457,Export!J2377,FALSE),""),K2377)</f>
        <v/>
      </c>
      <c r="D2377" s="6"/>
      <c r="E2377" t="s">
        <v>1561</v>
      </c>
      <c r="F2377" s="6" t="s">
        <v>2228</v>
      </c>
      <c r="G2377" s="6" t="b">
        <f t="shared" si="137"/>
        <v>0</v>
      </c>
      <c r="H2377" s="6" t="s">
        <v>2212</v>
      </c>
      <c r="I2377" t="s">
        <v>1561</v>
      </c>
      <c r="J2377" t="s">
        <v>1561</v>
      </c>
      <c r="L2377">
        <f t="shared" si="138"/>
        <v>1</v>
      </c>
    </row>
    <row r="2378" spans="1:12" x14ac:dyDescent="0.35">
      <c r="A2378">
        <f t="shared" si="139"/>
        <v>2377</v>
      </c>
      <c r="B2378" t="s">
        <v>700</v>
      </c>
      <c r="C2378" s="109" t="str">
        <f>IF(ISBLANK(K2378),IFERROR(VLOOKUP(I2378,FS_input_data!$C$398:$N$457,Export!J2378,FALSE),""),K2378)</f>
        <v/>
      </c>
      <c r="D2378" s="6"/>
      <c r="E2378" t="s">
        <v>1751</v>
      </c>
      <c r="F2378" s="6" t="s">
        <v>2228</v>
      </c>
      <c r="G2378" s="6" t="b">
        <f t="shared" si="137"/>
        <v>0</v>
      </c>
      <c r="H2378" s="6" t="s">
        <v>2212</v>
      </c>
      <c r="I2378" t="s">
        <v>1561</v>
      </c>
      <c r="J2378" t="s">
        <v>1561</v>
      </c>
      <c r="L2378" s="26" t="e">
        <f t="shared" si="138"/>
        <v>#VALUE!</v>
      </c>
    </row>
    <row r="2379" spans="1:12" x14ac:dyDescent="0.35">
      <c r="A2379" s="9">
        <f t="shared" si="139"/>
        <v>2378</v>
      </c>
      <c r="B2379" t="s">
        <v>109</v>
      </c>
      <c r="C2379" s="109">
        <f>IF(ISBLANK(K2379),IFERROR(VLOOKUP(I2379,FS_input_data!$C$398:$N$457,Export!J2379,FALSE),""),K2379)</f>
        <v>43</v>
      </c>
      <c r="D2379" s="6" t="b">
        <v>1</v>
      </c>
      <c r="E2379" t="s">
        <v>1561</v>
      </c>
      <c r="F2379" s="6" t="s">
        <v>2228</v>
      </c>
      <c r="G2379" s="6" t="b">
        <f t="shared" si="137"/>
        <v>0</v>
      </c>
      <c r="H2379" s="6" t="s">
        <v>2212</v>
      </c>
      <c r="I2379" t="s">
        <v>1750</v>
      </c>
      <c r="J2379">
        <v>3</v>
      </c>
      <c r="L2379" s="9" t="e">
        <f t="shared" si="138"/>
        <v>#VALUE!</v>
      </c>
    </row>
    <row r="2380" spans="1:12" x14ac:dyDescent="0.35">
      <c r="A2380">
        <f t="shared" si="139"/>
        <v>2379</v>
      </c>
      <c r="B2380" t="s">
        <v>110</v>
      </c>
      <c r="C2380" s="109" t="str">
        <f>IF(ISBLANK(K2380),IFERROR(VLOOKUP(I2380,FS_input_data!$C$398:$N$457,Export!J2380,FALSE),""),K2380)</f>
        <v/>
      </c>
      <c r="D2380" s="6"/>
      <c r="F2380" s="6" t="s">
        <v>2228</v>
      </c>
      <c r="G2380" s="6" t="b">
        <f t="shared" si="137"/>
        <v>0</v>
      </c>
      <c r="H2380" s="6" t="s">
        <v>2212</v>
      </c>
      <c r="I2380" t="s">
        <v>1561</v>
      </c>
      <c r="J2380" t="s">
        <v>1561</v>
      </c>
      <c r="L2380">
        <f t="shared" si="138"/>
        <v>1</v>
      </c>
    </row>
    <row r="2381" spans="1:12" x14ac:dyDescent="0.35">
      <c r="A2381" s="9">
        <f t="shared" si="139"/>
        <v>2380</v>
      </c>
      <c r="B2381" t="s">
        <v>111</v>
      </c>
      <c r="C2381" s="109">
        <f>IF(ISBLANK(K2381),IFERROR(VLOOKUP(I2381,FS_input_data!$C$398:$N$457,Export!J2381,FALSE),""),K2381)</f>
        <v>143</v>
      </c>
      <c r="D2381" s="6" t="b">
        <v>1</v>
      </c>
      <c r="E2381" t="s">
        <v>1561</v>
      </c>
      <c r="F2381" s="6" t="s">
        <v>2228</v>
      </c>
      <c r="G2381" s="6" t="b">
        <f t="shared" si="137"/>
        <v>0</v>
      </c>
      <c r="H2381" s="6" t="s">
        <v>2212</v>
      </c>
      <c r="I2381" t="s">
        <v>1750</v>
      </c>
      <c r="J2381">
        <v>4</v>
      </c>
      <c r="L2381" s="9" t="e">
        <f t="shared" si="138"/>
        <v>#VALUE!</v>
      </c>
    </row>
    <row r="2382" spans="1:12" x14ac:dyDescent="0.35">
      <c r="A2382">
        <f t="shared" si="139"/>
        <v>2381</v>
      </c>
      <c r="B2382" t="s">
        <v>112</v>
      </c>
      <c r="C2382" s="109" t="str">
        <f>IF(ISBLANK(K2382),IFERROR(VLOOKUP(I2382,FS_input_data!$C$398:$N$457,Export!J2382,FALSE),""),K2382)</f>
        <v/>
      </c>
      <c r="D2382" s="6"/>
      <c r="E2382" t="s">
        <v>1561</v>
      </c>
      <c r="F2382" s="6" t="s">
        <v>2228</v>
      </c>
      <c r="G2382" s="6" t="b">
        <f t="shared" ref="G2382:G2445" si="140">NOT(CF_xml)</f>
        <v>0</v>
      </c>
      <c r="H2382" s="6" t="s">
        <v>2212</v>
      </c>
      <c r="I2382" t="s">
        <v>1561</v>
      </c>
      <c r="J2382" t="s">
        <v>1561</v>
      </c>
      <c r="L2382">
        <f t="shared" si="138"/>
        <v>1</v>
      </c>
    </row>
    <row r="2383" spans="1:12" x14ac:dyDescent="0.35">
      <c r="A2383">
        <f t="shared" si="139"/>
        <v>2382</v>
      </c>
      <c r="B2383" t="s">
        <v>701</v>
      </c>
      <c r="C2383" s="109" t="str">
        <f>IF(ISBLANK(K2383),IFERROR(VLOOKUP(I2383,FS_input_data!$C$398:$N$457,Export!J2383,FALSE),""),K2383)</f>
        <v/>
      </c>
      <c r="D2383" s="6"/>
      <c r="E2383" t="s">
        <v>1561</v>
      </c>
      <c r="F2383" s="6" t="s">
        <v>2228</v>
      </c>
      <c r="G2383" s="6" t="b">
        <f t="shared" si="140"/>
        <v>0</v>
      </c>
      <c r="H2383" s="6" t="s">
        <v>2212</v>
      </c>
      <c r="I2383" t="s">
        <v>1561</v>
      </c>
      <c r="J2383" t="s">
        <v>1561</v>
      </c>
      <c r="L2383">
        <f t="shared" si="138"/>
        <v>1</v>
      </c>
    </row>
    <row r="2384" spans="1:12" x14ac:dyDescent="0.35">
      <c r="A2384">
        <f t="shared" si="139"/>
        <v>2383</v>
      </c>
      <c r="B2384" t="s">
        <v>702</v>
      </c>
      <c r="C2384" s="109" t="str">
        <f>IF(ISBLANK(K2384),IFERROR(VLOOKUP(I2384,FS_input_data!$C$398:$N$457,Export!J2384,FALSE),""),K2384)</f>
        <v/>
      </c>
      <c r="D2384" s="6"/>
      <c r="E2384" t="s">
        <v>1561</v>
      </c>
      <c r="F2384" s="6" t="s">
        <v>2228</v>
      </c>
      <c r="G2384" s="6" t="b">
        <f t="shared" si="140"/>
        <v>0</v>
      </c>
      <c r="H2384" s="6" t="s">
        <v>2212</v>
      </c>
      <c r="I2384" t="s">
        <v>1561</v>
      </c>
      <c r="J2384" t="s">
        <v>1561</v>
      </c>
      <c r="L2384">
        <f t="shared" si="138"/>
        <v>1</v>
      </c>
    </row>
    <row r="2385" spans="1:12" x14ac:dyDescent="0.35">
      <c r="A2385">
        <f t="shared" si="139"/>
        <v>2384</v>
      </c>
      <c r="B2385" t="s">
        <v>703</v>
      </c>
      <c r="C2385" s="109" t="str">
        <f>IF(ISBLANK(K2385),IFERROR(VLOOKUP(I2385,FS_input_data!$C$398:$N$457,Export!J2385,FALSE),""),K2385)</f>
        <v/>
      </c>
      <c r="D2385" s="6"/>
      <c r="E2385" t="s">
        <v>1726</v>
      </c>
      <c r="F2385" s="6" t="s">
        <v>2228</v>
      </c>
      <c r="G2385" s="6" t="b">
        <f t="shared" si="140"/>
        <v>0</v>
      </c>
      <c r="H2385" s="6" t="s">
        <v>2212</v>
      </c>
      <c r="I2385" t="s">
        <v>1561</v>
      </c>
      <c r="J2385" t="s">
        <v>1561</v>
      </c>
      <c r="L2385" s="26" t="e">
        <f t="shared" si="138"/>
        <v>#VALUE!</v>
      </c>
    </row>
    <row r="2386" spans="1:12" x14ac:dyDescent="0.35">
      <c r="A2386" s="9">
        <f t="shared" si="139"/>
        <v>2385</v>
      </c>
      <c r="B2386" t="s">
        <v>109</v>
      </c>
      <c r="C2386" s="109">
        <f>IF(ISBLANK(K2386),IFERROR(VLOOKUP(I2386,FS_input_data!$C$398:$N$457,Export!J2386,FALSE),""),K2386)</f>
        <v>441</v>
      </c>
      <c r="D2386" s="6" t="b">
        <v>1</v>
      </c>
      <c r="E2386" t="s">
        <v>1561</v>
      </c>
      <c r="F2386" s="6" t="s">
        <v>2228</v>
      </c>
      <c r="G2386" s="6" t="b">
        <f t="shared" si="140"/>
        <v>0</v>
      </c>
      <c r="H2386" s="6" t="s">
        <v>2212</v>
      </c>
      <c r="I2386" t="s">
        <v>1752</v>
      </c>
      <c r="J2386">
        <v>3</v>
      </c>
      <c r="L2386" s="9" t="e">
        <f t="shared" si="138"/>
        <v>#VALUE!</v>
      </c>
    </row>
    <row r="2387" spans="1:12" x14ac:dyDescent="0.35">
      <c r="A2387">
        <f t="shared" si="139"/>
        <v>2386</v>
      </c>
      <c r="B2387" t="s">
        <v>110</v>
      </c>
      <c r="C2387" s="109" t="str">
        <f>IF(ISBLANK(K2387),IFERROR(VLOOKUP(I2387,FS_input_data!$C$398:$N$457,Export!J2387,FALSE),""),K2387)</f>
        <v/>
      </c>
      <c r="D2387" s="6"/>
      <c r="F2387" s="6" t="s">
        <v>2228</v>
      </c>
      <c r="G2387" s="6" t="b">
        <f t="shared" si="140"/>
        <v>0</v>
      </c>
      <c r="H2387" s="6" t="s">
        <v>2212</v>
      </c>
      <c r="I2387" t="s">
        <v>1561</v>
      </c>
      <c r="J2387" t="s">
        <v>1561</v>
      </c>
      <c r="L2387">
        <f t="shared" si="138"/>
        <v>1</v>
      </c>
    </row>
    <row r="2388" spans="1:12" x14ac:dyDescent="0.35">
      <c r="A2388" s="9">
        <f t="shared" si="139"/>
        <v>2387</v>
      </c>
      <c r="B2388" t="s">
        <v>111</v>
      </c>
      <c r="C2388" s="109">
        <f>IF(ISBLANK(K2388),IFERROR(VLOOKUP(I2388,FS_input_data!$C$398:$N$457,Export!J2388,FALSE),""),K2388)</f>
        <v>1341</v>
      </c>
      <c r="D2388" s="6" t="b">
        <v>1</v>
      </c>
      <c r="E2388" t="s">
        <v>1561</v>
      </c>
      <c r="F2388" s="6" t="s">
        <v>2228</v>
      </c>
      <c r="G2388" s="6" t="b">
        <f t="shared" si="140"/>
        <v>0</v>
      </c>
      <c r="H2388" s="6" t="s">
        <v>2212</v>
      </c>
      <c r="I2388" t="s">
        <v>1752</v>
      </c>
      <c r="J2388">
        <v>4</v>
      </c>
      <c r="L2388" s="9" t="e">
        <f t="shared" si="138"/>
        <v>#VALUE!</v>
      </c>
    </row>
    <row r="2389" spans="1:12" x14ac:dyDescent="0.35">
      <c r="A2389">
        <f t="shared" si="139"/>
        <v>2388</v>
      </c>
      <c r="B2389" t="s">
        <v>112</v>
      </c>
      <c r="C2389" s="109" t="str">
        <f>IF(ISBLANK(K2389),IFERROR(VLOOKUP(I2389,FS_input_data!$C$398:$N$457,Export!J2389,FALSE),""),K2389)</f>
        <v/>
      </c>
      <c r="D2389" s="6"/>
      <c r="E2389" t="s">
        <v>1561</v>
      </c>
      <c r="F2389" s="6" t="s">
        <v>2228</v>
      </c>
      <c r="G2389" s="6" t="b">
        <f t="shared" si="140"/>
        <v>0</v>
      </c>
      <c r="H2389" s="6" t="s">
        <v>2212</v>
      </c>
      <c r="I2389" t="s">
        <v>1561</v>
      </c>
      <c r="J2389" t="s">
        <v>1561</v>
      </c>
      <c r="L2389">
        <f t="shared" si="138"/>
        <v>1</v>
      </c>
    </row>
    <row r="2390" spans="1:12" x14ac:dyDescent="0.35">
      <c r="A2390">
        <f t="shared" si="139"/>
        <v>2389</v>
      </c>
      <c r="B2390" t="s">
        <v>704</v>
      </c>
      <c r="C2390" s="109" t="str">
        <f>IF(ISBLANK(K2390),IFERROR(VLOOKUP(I2390,FS_input_data!$C$398:$N$457,Export!J2390,FALSE),""),K2390)</f>
        <v/>
      </c>
      <c r="D2390" s="6"/>
      <c r="E2390" t="s">
        <v>1754</v>
      </c>
      <c r="F2390" s="6" t="s">
        <v>2228</v>
      </c>
      <c r="G2390" s="6" t="b">
        <f t="shared" si="140"/>
        <v>0</v>
      </c>
      <c r="H2390" s="6" t="s">
        <v>2212</v>
      </c>
      <c r="I2390" t="s">
        <v>1561</v>
      </c>
      <c r="J2390" t="s">
        <v>1561</v>
      </c>
      <c r="L2390" s="26" t="e">
        <f t="shared" si="138"/>
        <v>#VALUE!</v>
      </c>
    </row>
    <row r="2391" spans="1:12" x14ac:dyDescent="0.35">
      <c r="A2391" s="9">
        <f t="shared" si="139"/>
        <v>2390</v>
      </c>
      <c r="B2391" t="s">
        <v>109</v>
      </c>
      <c r="C2391" s="109">
        <f>IF(ISBLANK(K2391),IFERROR(VLOOKUP(I2391,FS_input_data!$C$398:$N$457,Export!J2391,FALSE),""),K2391)</f>
        <v>45</v>
      </c>
      <c r="D2391" s="6" t="b">
        <v>1</v>
      </c>
      <c r="E2391" t="s">
        <v>1561</v>
      </c>
      <c r="F2391" s="6" t="s">
        <v>2228</v>
      </c>
      <c r="G2391" s="6" t="b">
        <f t="shared" si="140"/>
        <v>0</v>
      </c>
      <c r="H2391" s="6" t="s">
        <v>2212</v>
      </c>
      <c r="I2391" t="s">
        <v>1753</v>
      </c>
      <c r="J2391">
        <v>3</v>
      </c>
      <c r="L2391" s="9" t="e">
        <f t="shared" si="138"/>
        <v>#VALUE!</v>
      </c>
    </row>
    <row r="2392" spans="1:12" x14ac:dyDescent="0.35">
      <c r="A2392">
        <f t="shared" si="139"/>
        <v>2391</v>
      </c>
      <c r="B2392" t="s">
        <v>110</v>
      </c>
      <c r="C2392" s="109" t="str">
        <f>IF(ISBLANK(K2392),IFERROR(VLOOKUP(I2392,FS_input_data!$C$398:$N$457,Export!J2392,FALSE),""),K2392)</f>
        <v/>
      </c>
      <c r="D2392" s="6"/>
      <c r="F2392" s="6" t="s">
        <v>2228</v>
      </c>
      <c r="G2392" s="6" t="b">
        <f t="shared" si="140"/>
        <v>0</v>
      </c>
      <c r="H2392" s="6" t="s">
        <v>2212</v>
      </c>
      <c r="I2392" t="s">
        <v>1561</v>
      </c>
      <c r="J2392" t="s">
        <v>1561</v>
      </c>
      <c r="L2392">
        <f t="shared" si="138"/>
        <v>1</v>
      </c>
    </row>
    <row r="2393" spans="1:12" x14ac:dyDescent="0.35">
      <c r="A2393" s="9">
        <f t="shared" si="139"/>
        <v>2392</v>
      </c>
      <c r="B2393" t="s">
        <v>111</v>
      </c>
      <c r="C2393" s="109">
        <f>IF(ISBLANK(K2393),IFERROR(VLOOKUP(I2393,FS_input_data!$C$398:$N$457,Export!J2393,FALSE),""),K2393)</f>
        <v>145</v>
      </c>
      <c r="D2393" s="6" t="b">
        <v>1</v>
      </c>
      <c r="E2393" t="s">
        <v>1561</v>
      </c>
      <c r="F2393" s="6" t="s">
        <v>2228</v>
      </c>
      <c r="G2393" s="6" t="b">
        <f t="shared" si="140"/>
        <v>0</v>
      </c>
      <c r="H2393" s="6" t="s">
        <v>2212</v>
      </c>
      <c r="I2393" t="s">
        <v>1753</v>
      </c>
      <c r="J2393">
        <v>4</v>
      </c>
      <c r="L2393" s="9" t="e">
        <f t="shared" si="138"/>
        <v>#VALUE!</v>
      </c>
    </row>
    <row r="2394" spans="1:12" x14ac:dyDescent="0.35">
      <c r="A2394">
        <f t="shared" si="139"/>
        <v>2393</v>
      </c>
      <c r="B2394" t="s">
        <v>112</v>
      </c>
      <c r="C2394" s="109" t="str">
        <f>IF(ISBLANK(K2394),IFERROR(VLOOKUP(I2394,FS_input_data!$C$398:$N$457,Export!J2394,FALSE),""),K2394)</f>
        <v/>
      </c>
      <c r="D2394" s="6"/>
      <c r="E2394" t="s">
        <v>1561</v>
      </c>
      <c r="F2394" s="6" t="s">
        <v>2228</v>
      </c>
      <c r="G2394" s="6" t="b">
        <f t="shared" si="140"/>
        <v>0</v>
      </c>
      <c r="H2394" s="6" t="s">
        <v>2212</v>
      </c>
      <c r="I2394" t="s">
        <v>1561</v>
      </c>
      <c r="J2394" t="s">
        <v>1561</v>
      </c>
      <c r="L2394">
        <f t="shared" si="138"/>
        <v>1</v>
      </c>
    </row>
    <row r="2395" spans="1:12" x14ac:dyDescent="0.35">
      <c r="A2395">
        <f t="shared" si="139"/>
        <v>2394</v>
      </c>
      <c r="B2395" t="s">
        <v>705</v>
      </c>
      <c r="C2395" s="109" t="str">
        <f>IF(ISBLANK(K2395),IFERROR(VLOOKUP(I2395,FS_input_data!$C$398:$N$457,Export!J2395,FALSE),""),K2395)</f>
        <v/>
      </c>
      <c r="D2395" s="6"/>
      <c r="E2395" t="s">
        <v>1561</v>
      </c>
      <c r="F2395" s="6" t="s">
        <v>2228</v>
      </c>
      <c r="G2395" s="6" t="b">
        <f t="shared" si="140"/>
        <v>0</v>
      </c>
      <c r="H2395" s="6" t="s">
        <v>2212</v>
      </c>
      <c r="I2395" t="s">
        <v>1561</v>
      </c>
      <c r="J2395" t="s">
        <v>1561</v>
      </c>
      <c r="L2395">
        <f t="shared" si="138"/>
        <v>1</v>
      </c>
    </row>
    <row r="2396" spans="1:12" x14ac:dyDescent="0.35">
      <c r="A2396">
        <f t="shared" si="139"/>
        <v>2395</v>
      </c>
      <c r="B2396" t="s">
        <v>706</v>
      </c>
      <c r="C2396" s="109" t="str">
        <f>IF(ISBLANK(K2396),IFERROR(VLOOKUP(I2396,FS_input_data!$C$398:$N$457,Export!J2396,FALSE),""),K2396)</f>
        <v/>
      </c>
      <c r="D2396" s="6"/>
      <c r="E2396" t="s">
        <v>1756</v>
      </c>
      <c r="F2396" s="6" t="s">
        <v>2228</v>
      </c>
      <c r="G2396" s="6" t="b">
        <f t="shared" si="140"/>
        <v>0</v>
      </c>
      <c r="H2396" s="6" t="s">
        <v>2212</v>
      </c>
      <c r="I2396" t="s">
        <v>1561</v>
      </c>
      <c r="J2396" t="s">
        <v>1561</v>
      </c>
      <c r="L2396" s="26" t="e">
        <f t="shared" si="138"/>
        <v>#VALUE!</v>
      </c>
    </row>
    <row r="2397" spans="1:12" x14ac:dyDescent="0.35">
      <c r="A2397" s="9">
        <f t="shared" si="139"/>
        <v>2396</v>
      </c>
      <c r="B2397" t="s">
        <v>109</v>
      </c>
      <c r="C2397" s="109">
        <f>IF(ISBLANK(K2397),IFERROR(VLOOKUP(I2397,FS_input_data!$C$398:$N$457,Export!J2397,FALSE),""),K2397)</f>
        <v>46</v>
      </c>
      <c r="D2397" s="6" t="b">
        <v>1</v>
      </c>
      <c r="E2397" t="s">
        <v>1561</v>
      </c>
      <c r="F2397" s="6" t="s">
        <v>2228</v>
      </c>
      <c r="G2397" s="6" t="b">
        <f t="shared" si="140"/>
        <v>0</v>
      </c>
      <c r="H2397" s="6" t="s">
        <v>2212</v>
      </c>
      <c r="I2397" t="s">
        <v>1755</v>
      </c>
      <c r="J2397">
        <v>3</v>
      </c>
      <c r="L2397" s="9" t="e">
        <f t="shared" si="138"/>
        <v>#VALUE!</v>
      </c>
    </row>
    <row r="2398" spans="1:12" x14ac:dyDescent="0.35">
      <c r="A2398">
        <f t="shared" si="139"/>
        <v>2397</v>
      </c>
      <c r="B2398" t="s">
        <v>110</v>
      </c>
      <c r="C2398" s="109" t="str">
        <f>IF(ISBLANK(K2398),IFERROR(VLOOKUP(I2398,FS_input_data!$C$398:$N$457,Export!J2398,FALSE),""),K2398)</f>
        <v/>
      </c>
      <c r="D2398" s="6"/>
      <c r="F2398" s="6" t="s">
        <v>2228</v>
      </c>
      <c r="G2398" s="6" t="b">
        <f t="shared" si="140"/>
        <v>0</v>
      </c>
      <c r="H2398" s="6" t="s">
        <v>2212</v>
      </c>
      <c r="I2398" t="s">
        <v>1561</v>
      </c>
      <c r="J2398" t="s">
        <v>1561</v>
      </c>
      <c r="L2398">
        <f t="shared" si="138"/>
        <v>1</v>
      </c>
    </row>
    <row r="2399" spans="1:12" x14ac:dyDescent="0.35">
      <c r="A2399" s="9">
        <f t="shared" si="139"/>
        <v>2398</v>
      </c>
      <c r="B2399" t="s">
        <v>111</v>
      </c>
      <c r="C2399" s="109">
        <f>IF(ISBLANK(K2399),IFERROR(VLOOKUP(I2399,FS_input_data!$C$398:$N$457,Export!J2399,FALSE),""),K2399)</f>
        <v>146</v>
      </c>
      <c r="D2399" s="6" t="b">
        <v>1</v>
      </c>
      <c r="E2399" t="s">
        <v>1561</v>
      </c>
      <c r="F2399" s="6" t="s">
        <v>2228</v>
      </c>
      <c r="G2399" s="6" t="b">
        <f t="shared" si="140"/>
        <v>0</v>
      </c>
      <c r="H2399" s="6" t="s">
        <v>2212</v>
      </c>
      <c r="I2399" t="s">
        <v>1755</v>
      </c>
      <c r="J2399">
        <v>4</v>
      </c>
      <c r="L2399" s="9" t="e">
        <f t="shared" si="138"/>
        <v>#VALUE!</v>
      </c>
    </row>
    <row r="2400" spans="1:12" x14ac:dyDescent="0.35">
      <c r="A2400">
        <f t="shared" si="139"/>
        <v>2399</v>
      </c>
      <c r="B2400" t="s">
        <v>112</v>
      </c>
      <c r="C2400" s="109" t="str">
        <f>IF(ISBLANK(K2400),IFERROR(VLOOKUP(I2400,FS_input_data!$C$398:$N$457,Export!J2400,FALSE),""),K2400)</f>
        <v/>
      </c>
      <c r="D2400" s="6"/>
      <c r="E2400" t="s">
        <v>1561</v>
      </c>
      <c r="F2400" s="6" t="s">
        <v>2228</v>
      </c>
      <c r="G2400" s="6" t="b">
        <f t="shared" si="140"/>
        <v>0</v>
      </c>
      <c r="H2400" s="6" t="s">
        <v>2212</v>
      </c>
      <c r="I2400" t="s">
        <v>1561</v>
      </c>
      <c r="J2400" t="s">
        <v>1561</v>
      </c>
      <c r="L2400">
        <f t="shared" si="138"/>
        <v>1</v>
      </c>
    </row>
    <row r="2401" spans="1:12" x14ac:dyDescent="0.35">
      <c r="A2401">
        <f t="shared" si="139"/>
        <v>2400</v>
      </c>
      <c r="B2401" t="s">
        <v>707</v>
      </c>
      <c r="C2401" s="109" t="str">
        <f>IF(ISBLANK(K2401),IFERROR(VLOOKUP(I2401,FS_input_data!$C$398:$N$457,Export!J2401,FALSE),""),K2401)</f>
        <v/>
      </c>
      <c r="D2401" s="6"/>
      <c r="E2401" t="s">
        <v>1561</v>
      </c>
      <c r="F2401" s="6" t="s">
        <v>2228</v>
      </c>
      <c r="G2401" s="6" t="b">
        <f t="shared" si="140"/>
        <v>0</v>
      </c>
      <c r="H2401" s="6" t="s">
        <v>2212</v>
      </c>
      <c r="I2401" t="s">
        <v>1561</v>
      </c>
      <c r="J2401" t="s">
        <v>1561</v>
      </c>
      <c r="L2401">
        <f t="shared" si="138"/>
        <v>1</v>
      </c>
    </row>
    <row r="2402" spans="1:12" x14ac:dyDescent="0.35">
      <c r="A2402">
        <f t="shared" si="139"/>
        <v>2401</v>
      </c>
      <c r="B2402" t="s">
        <v>708</v>
      </c>
      <c r="C2402" s="109" t="str">
        <f>IF(ISBLANK(K2402),IFERROR(VLOOKUP(I2402,FS_input_data!$C$398:$N$457,Export!J2402,FALSE),""),K2402)</f>
        <v/>
      </c>
      <c r="D2402" s="6"/>
      <c r="E2402" t="s">
        <v>1758</v>
      </c>
      <c r="F2402" s="6" t="s">
        <v>2228</v>
      </c>
      <c r="G2402" s="6" t="b">
        <f t="shared" si="140"/>
        <v>0</v>
      </c>
      <c r="H2402" s="6" t="s">
        <v>2212</v>
      </c>
      <c r="I2402" t="s">
        <v>1561</v>
      </c>
      <c r="J2402" t="s">
        <v>1561</v>
      </c>
      <c r="L2402" s="26" t="e">
        <f t="shared" si="138"/>
        <v>#VALUE!</v>
      </c>
    </row>
    <row r="2403" spans="1:12" x14ac:dyDescent="0.35">
      <c r="A2403" s="9">
        <f t="shared" si="139"/>
        <v>2402</v>
      </c>
      <c r="B2403" t="s">
        <v>109</v>
      </c>
      <c r="C2403" s="109">
        <f>IF(ISBLANK(K2403),IFERROR(VLOOKUP(I2403,FS_input_data!$C$398:$N$457,Export!J2403,FALSE),""),K2403)</f>
        <v>47</v>
      </c>
      <c r="D2403" s="6" t="b">
        <v>1</v>
      </c>
      <c r="E2403" t="s">
        <v>1561</v>
      </c>
      <c r="F2403" s="6" t="s">
        <v>2228</v>
      </c>
      <c r="G2403" s="6" t="b">
        <f t="shared" si="140"/>
        <v>0</v>
      </c>
      <c r="H2403" s="6" t="s">
        <v>2212</v>
      </c>
      <c r="I2403" t="s">
        <v>1757</v>
      </c>
      <c r="J2403">
        <v>3</v>
      </c>
      <c r="L2403" s="9" t="e">
        <f t="shared" si="138"/>
        <v>#VALUE!</v>
      </c>
    </row>
    <row r="2404" spans="1:12" x14ac:dyDescent="0.35">
      <c r="A2404">
        <f t="shared" si="139"/>
        <v>2403</v>
      </c>
      <c r="B2404" t="s">
        <v>110</v>
      </c>
      <c r="C2404" s="109" t="str">
        <f>IF(ISBLANK(K2404),IFERROR(VLOOKUP(I2404,FS_input_data!$C$398:$N$457,Export!J2404,FALSE),""),K2404)</f>
        <v/>
      </c>
      <c r="D2404" s="6"/>
      <c r="F2404" s="6" t="s">
        <v>2228</v>
      </c>
      <c r="G2404" s="6" t="b">
        <f t="shared" si="140"/>
        <v>0</v>
      </c>
      <c r="H2404" s="6" t="s">
        <v>2212</v>
      </c>
      <c r="I2404" t="s">
        <v>1561</v>
      </c>
      <c r="J2404" t="s">
        <v>1561</v>
      </c>
      <c r="L2404">
        <f t="shared" si="138"/>
        <v>1</v>
      </c>
    </row>
    <row r="2405" spans="1:12" x14ac:dyDescent="0.35">
      <c r="A2405" s="9">
        <f t="shared" si="139"/>
        <v>2404</v>
      </c>
      <c r="B2405" t="s">
        <v>111</v>
      </c>
      <c r="C2405" s="109">
        <f>IF(ISBLANK(K2405),IFERROR(VLOOKUP(I2405,FS_input_data!$C$398:$N$457,Export!J2405,FALSE),""),K2405)</f>
        <v>147</v>
      </c>
      <c r="D2405" s="6" t="b">
        <v>1</v>
      </c>
      <c r="E2405" t="s">
        <v>1561</v>
      </c>
      <c r="F2405" s="6" t="s">
        <v>2228</v>
      </c>
      <c r="G2405" s="6" t="b">
        <f t="shared" si="140"/>
        <v>0</v>
      </c>
      <c r="H2405" s="6" t="s">
        <v>2212</v>
      </c>
      <c r="I2405" t="s">
        <v>1757</v>
      </c>
      <c r="J2405">
        <v>4</v>
      </c>
      <c r="L2405" s="9" t="e">
        <f t="shared" si="138"/>
        <v>#VALUE!</v>
      </c>
    </row>
    <row r="2406" spans="1:12" x14ac:dyDescent="0.35">
      <c r="A2406">
        <f t="shared" si="139"/>
        <v>2405</v>
      </c>
      <c r="B2406" t="s">
        <v>112</v>
      </c>
      <c r="C2406" s="109" t="str">
        <f>IF(ISBLANK(K2406),IFERROR(VLOOKUP(I2406,FS_input_data!$C$398:$N$457,Export!J2406,FALSE),""),K2406)</f>
        <v/>
      </c>
      <c r="D2406" s="6"/>
      <c r="E2406" t="s">
        <v>1561</v>
      </c>
      <c r="F2406" s="6" t="s">
        <v>2228</v>
      </c>
      <c r="G2406" s="6" t="b">
        <f t="shared" si="140"/>
        <v>0</v>
      </c>
      <c r="H2406" s="6" t="s">
        <v>2212</v>
      </c>
      <c r="I2406" t="s">
        <v>1561</v>
      </c>
      <c r="J2406" t="s">
        <v>1561</v>
      </c>
      <c r="L2406">
        <f t="shared" si="138"/>
        <v>1</v>
      </c>
    </row>
    <row r="2407" spans="1:12" x14ac:dyDescent="0.35">
      <c r="A2407">
        <f t="shared" si="139"/>
        <v>2406</v>
      </c>
      <c r="B2407" t="s">
        <v>709</v>
      </c>
      <c r="C2407" s="109" t="str">
        <f>IF(ISBLANK(K2407),IFERROR(VLOOKUP(I2407,FS_input_data!$C$398:$N$457,Export!J2407,FALSE),""),K2407)</f>
        <v/>
      </c>
      <c r="D2407" s="6"/>
      <c r="E2407" t="s">
        <v>1561</v>
      </c>
      <c r="F2407" s="6" t="s">
        <v>2228</v>
      </c>
      <c r="G2407" s="6" t="b">
        <f t="shared" si="140"/>
        <v>0</v>
      </c>
      <c r="H2407" s="6" t="s">
        <v>2212</v>
      </c>
      <c r="I2407" t="s">
        <v>1561</v>
      </c>
      <c r="J2407" t="s">
        <v>1561</v>
      </c>
      <c r="L2407">
        <f t="shared" si="138"/>
        <v>1</v>
      </c>
    </row>
    <row r="2408" spans="1:12" x14ac:dyDescent="0.35">
      <c r="A2408">
        <f t="shared" si="139"/>
        <v>2407</v>
      </c>
      <c r="B2408" t="s">
        <v>710</v>
      </c>
      <c r="C2408" s="109" t="str">
        <f>IF(ISBLANK(K2408),IFERROR(VLOOKUP(I2408,FS_input_data!$C$398:$N$457,Export!J2408,FALSE),""),K2408)</f>
        <v/>
      </c>
      <c r="D2408" s="6"/>
      <c r="E2408" t="s">
        <v>1760</v>
      </c>
      <c r="F2408" s="6" t="s">
        <v>2228</v>
      </c>
      <c r="G2408" s="6" t="b">
        <f t="shared" si="140"/>
        <v>0</v>
      </c>
      <c r="H2408" s="6" t="s">
        <v>2212</v>
      </c>
      <c r="I2408" t="s">
        <v>1561</v>
      </c>
      <c r="J2408" t="s">
        <v>1561</v>
      </c>
      <c r="L2408" s="26" t="e">
        <f t="shared" si="138"/>
        <v>#VALUE!</v>
      </c>
    </row>
    <row r="2409" spans="1:12" x14ac:dyDescent="0.35">
      <c r="A2409" s="9">
        <f t="shared" si="139"/>
        <v>2408</v>
      </c>
      <c r="B2409" t="s">
        <v>109</v>
      </c>
      <c r="C2409" s="109">
        <f>IF(ISBLANK(K2409),IFERROR(VLOOKUP(I2409,FS_input_data!$C$398:$N$457,Export!J2409,FALSE),""),K2409)</f>
        <v>48</v>
      </c>
      <c r="D2409" s="6" t="b">
        <v>1</v>
      </c>
      <c r="E2409" t="s">
        <v>1561</v>
      </c>
      <c r="F2409" s="6" t="s">
        <v>2228</v>
      </c>
      <c r="G2409" s="6" t="b">
        <f t="shared" si="140"/>
        <v>0</v>
      </c>
      <c r="H2409" s="6" t="s">
        <v>2212</v>
      </c>
      <c r="I2409" t="s">
        <v>1759</v>
      </c>
      <c r="J2409">
        <v>3</v>
      </c>
      <c r="L2409" s="9" t="e">
        <f t="shared" si="138"/>
        <v>#VALUE!</v>
      </c>
    </row>
    <row r="2410" spans="1:12" x14ac:dyDescent="0.35">
      <c r="A2410">
        <f t="shared" si="139"/>
        <v>2409</v>
      </c>
      <c r="B2410" t="s">
        <v>110</v>
      </c>
      <c r="C2410" s="109" t="str">
        <f>IF(ISBLANK(K2410),IFERROR(VLOOKUP(I2410,FS_input_data!$C$398:$N$457,Export!J2410,FALSE),""),K2410)</f>
        <v/>
      </c>
      <c r="D2410" s="6"/>
      <c r="F2410" s="6" t="s">
        <v>2228</v>
      </c>
      <c r="G2410" s="6" t="b">
        <f t="shared" si="140"/>
        <v>0</v>
      </c>
      <c r="H2410" s="6" t="s">
        <v>2212</v>
      </c>
      <c r="I2410" t="s">
        <v>1561</v>
      </c>
      <c r="J2410" t="s">
        <v>1561</v>
      </c>
      <c r="L2410">
        <f t="shared" si="138"/>
        <v>1</v>
      </c>
    </row>
    <row r="2411" spans="1:12" x14ac:dyDescent="0.35">
      <c r="A2411" s="9">
        <f t="shared" si="139"/>
        <v>2410</v>
      </c>
      <c r="B2411" t="s">
        <v>111</v>
      </c>
      <c r="C2411" s="109">
        <f>IF(ISBLANK(K2411),IFERROR(VLOOKUP(I2411,FS_input_data!$C$398:$N$457,Export!J2411,FALSE),""),K2411)</f>
        <v>148</v>
      </c>
      <c r="D2411" s="6" t="b">
        <v>1</v>
      </c>
      <c r="E2411" t="s">
        <v>1561</v>
      </c>
      <c r="F2411" s="6" t="s">
        <v>2228</v>
      </c>
      <c r="G2411" s="6" t="b">
        <f t="shared" si="140"/>
        <v>0</v>
      </c>
      <c r="H2411" s="6" t="s">
        <v>2212</v>
      </c>
      <c r="I2411" t="s">
        <v>1759</v>
      </c>
      <c r="J2411">
        <v>4</v>
      </c>
      <c r="L2411" s="9" t="e">
        <f t="shared" si="138"/>
        <v>#VALUE!</v>
      </c>
    </row>
    <row r="2412" spans="1:12" x14ac:dyDescent="0.35">
      <c r="A2412">
        <f t="shared" si="139"/>
        <v>2411</v>
      </c>
      <c r="B2412" t="s">
        <v>112</v>
      </c>
      <c r="C2412" s="109" t="str">
        <f>IF(ISBLANK(K2412),IFERROR(VLOOKUP(I2412,FS_input_data!$C$398:$N$457,Export!J2412,FALSE),""),K2412)</f>
        <v/>
      </c>
      <c r="D2412" s="6"/>
      <c r="E2412" t="s">
        <v>1561</v>
      </c>
      <c r="F2412" s="6" t="s">
        <v>2228</v>
      </c>
      <c r="G2412" s="6" t="b">
        <f t="shared" si="140"/>
        <v>0</v>
      </c>
      <c r="H2412" s="6" t="s">
        <v>2212</v>
      </c>
      <c r="I2412" t="s">
        <v>1561</v>
      </c>
      <c r="J2412" t="s">
        <v>1561</v>
      </c>
      <c r="L2412">
        <f t="shared" si="138"/>
        <v>1</v>
      </c>
    </row>
    <row r="2413" spans="1:12" x14ac:dyDescent="0.35">
      <c r="A2413">
        <f t="shared" si="139"/>
        <v>2412</v>
      </c>
      <c r="B2413" t="s">
        <v>711</v>
      </c>
      <c r="C2413" s="109" t="str">
        <f>IF(ISBLANK(K2413),IFERROR(VLOOKUP(I2413,FS_input_data!$C$398:$N$457,Export!J2413,FALSE),""),K2413)</f>
        <v/>
      </c>
      <c r="D2413" s="6"/>
      <c r="E2413" t="s">
        <v>1561</v>
      </c>
      <c r="F2413" s="6" t="s">
        <v>2228</v>
      </c>
      <c r="G2413" s="6" t="b">
        <f t="shared" si="140"/>
        <v>0</v>
      </c>
      <c r="H2413" s="6" t="s">
        <v>2212</v>
      </c>
      <c r="I2413" t="s">
        <v>1561</v>
      </c>
      <c r="J2413" t="s">
        <v>1561</v>
      </c>
      <c r="L2413">
        <f t="shared" si="138"/>
        <v>1</v>
      </c>
    </row>
    <row r="2414" spans="1:12" x14ac:dyDescent="0.35">
      <c r="A2414">
        <f t="shared" si="139"/>
        <v>2413</v>
      </c>
      <c r="B2414" t="s">
        <v>712</v>
      </c>
      <c r="C2414" s="109" t="str">
        <f>IF(ISBLANK(K2414),IFERROR(VLOOKUP(I2414,FS_input_data!$C$398:$N$457,Export!J2414,FALSE),""),K2414)</f>
        <v/>
      </c>
      <c r="D2414" s="6"/>
      <c r="E2414" t="s">
        <v>1762</v>
      </c>
      <c r="F2414" s="6" t="s">
        <v>2228</v>
      </c>
      <c r="G2414" s="6" t="b">
        <f t="shared" si="140"/>
        <v>0</v>
      </c>
      <c r="H2414" s="6" t="s">
        <v>2212</v>
      </c>
      <c r="I2414" t="s">
        <v>1561</v>
      </c>
      <c r="J2414" t="s">
        <v>1561</v>
      </c>
      <c r="L2414" s="26" t="e">
        <f t="shared" si="138"/>
        <v>#VALUE!</v>
      </c>
    </row>
    <row r="2415" spans="1:12" x14ac:dyDescent="0.35">
      <c r="A2415" s="9">
        <f t="shared" si="139"/>
        <v>2414</v>
      </c>
      <c r="B2415" t="s">
        <v>109</v>
      </c>
      <c r="C2415" s="109">
        <f>IF(ISBLANK(K2415),IFERROR(VLOOKUP(I2415,FS_input_data!$C$398:$N$457,Export!J2415,FALSE),""),K2415)</f>
        <v>49</v>
      </c>
      <c r="D2415" s="6" t="b">
        <v>1</v>
      </c>
      <c r="E2415" t="s">
        <v>1561</v>
      </c>
      <c r="F2415" s="6" t="s">
        <v>2228</v>
      </c>
      <c r="G2415" s="6" t="b">
        <f t="shared" si="140"/>
        <v>0</v>
      </c>
      <c r="H2415" s="6" t="s">
        <v>2212</v>
      </c>
      <c r="I2415" t="s">
        <v>1761</v>
      </c>
      <c r="J2415">
        <v>3</v>
      </c>
      <c r="L2415" s="9" t="e">
        <f t="shared" si="138"/>
        <v>#VALUE!</v>
      </c>
    </row>
    <row r="2416" spans="1:12" x14ac:dyDescent="0.35">
      <c r="A2416">
        <f t="shared" si="139"/>
        <v>2415</v>
      </c>
      <c r="B2416" t="s">
        <v>110</v>
      </c>
      <c r="C2416" s="109" t="str">
        <f>IF(ISBLANK(K2416),IFERROR(VLOOKUP(I2416,FS_input_data!$C$398:$N$457,Export!J2416,FALSE),""),K2416)</f>
        <v/>
      </c>
      <c r="D2416" s="6"/>
      <c r="F2416" s="6" t="s">
        <v>2228</v>
      </c>
      <c r="G2416" s="6" t="b">
        <f t="shared" si="140"/>
        <v>0</v>
      </c>
      <c r="H2416" s="6" t="s">
        <v>2212</v>
      </c>
      <c r="I2416" t="s">
        <v>1561</v>
      </c>
      <c r="J2416" t="s">
        <v>1561</v>
      </c>
      <c r="L2416">
        <f t="shared" si="138"/>
        <v>1</v>
      </c>
    </row>
    <row r="2417" spans="1:12" x14ac:dyDescent="0.35">
      <c r="A2417" s="9">
        <f t="shared" si="139"/>
        <v>2416</v>
      </c>
      <c r="B2417" t="s">
        <v>111</v>
      </c>
      <c r="C2417" s="109">
        <f>IF(ISBLANK(K2417),IFERROR(VLOOKUP(I2417,FS_input_data!$C$398:$N$457,Export!J2417,FALSE),""),K2417)</f>
        <v>149</v>
      </c>
      <c r="D2417" s="6" t="b">
        <v>1</v>
      </c>
      <c r="E2417" t="s">
        <v>1561</v>
      </c>
      <c r="F2417" s="6" t="s">
        <v>2228</v>
      </c>
      <c r="G2417" s="6" t="b">
        <f t="shared" si="140"/>
        <v>0</v>
      </c>
      <c r="H2417" s="6" t="s">
        <v>2212</v>
      </c>
      <c r="I2417" t="s">
        <v>1761</v>
      </c>
      <c r="J2417">
        <v>4</v>
      </c>
      <c r="L2417" s="9" t="e">
        <f t="shared" si="138"/>
        <v>#VALUE!</v>
      </c>
    </row>
    <row r="2418" spans="1:12" x14ac:dyDescent="0.35">
      <c r="A2418">
        <f t="shared" si="139"/>
        <v>2417</v>
      </c>
      <c r="B2418" t="s">
        <v>112</v>
      </c>
      <c r="C2418" s="109" t="str">
        <f>IF(ISBLANK(K2418),IFERROR(VLOOKUP(I2418,FS_input_data!$C$398:$N$457,Export!J2418,FALSE),""),K2418)</f>
        <v/>
      </c>
      <c r="D2418" s="6"/>
      <c r="E2418" t="s">
        <v>1561</v>
      </c>
      <c r="F2418" s="6" t="s">
        <v>2228</v>
      </c>
      <c r="G2418" s="6" t="b">
        <f t="shared" si="140"/>
        <v>0</v>
      </c>
      <c r="H2418" s="6" t="s">
        <v>2212</v>
      </c>
      <c r="I2418" t="s">
        <v>1561</v>
      </c>
      <c r="J2418" t="s">
        <v>1561</v>
      </c>
      <c r="L2418">
        <f t="shared" si="138"/>
        <v>1</v>
      </c>
    </row>
    <row r="2419" spans="1:12" x14ac:dyDescent="0.35">
      <c r="A2419">
        <f t="shared" si="139"/>
        <v>2418</v>
      </c>
      <c r="B2419" t="s">
        <v>713</v>
      </c>
      <c r="C2419" s="109" t="str">
        <f>IF(ISBLANK(K2419),IFERROR(VLOOKUP(I2419,FS_input_data!$C$398:$N$457,Export!J2419,FALSE),""),K2419)</f>
        <v/>
      </c>
      <c r="D2419" s="6"/>
      <c r="E2419" t="s">
        <v>1561</v>
      </c>
      <c r="F2419" s="6" t="s">
        <v>2228</v>
      </c>
      <c r="G2419" s="6" t="b">
        <f t="shared" si="140"/>
        <v>0</v>
      </c>
      <c r="H2419" s="6" t="s">
        <v>2212</v>
      </c>
      <c r="I2419" t="s">
        <v>1561</v>
      </c>
      <c r="J2419" t="s">
        <v>1561</v>
      </c>
      <c r="L2419">
        <f t="shared" si="138"/>
        <v>1</v>
      </c>
    </row>
    <row r="2420" spans="1:12" x14ac:dyDescent="0.35">
      <c r="A2420">
        <f t="shared" si="139"/>
        <v>2419</v>
      </c>
      <c r="B2420" t="s">
        <v>714</v>
      </c>
      <c r="C2420" s="109" t="str">
        <f>IF(ISBLANK(K2420),IFERROR(VLOOKUP(I2420,FS_input_data!$C$398:$N$457,Export!J2420,FALSE),""),K2420)</f>
        <v/>
      </c>
      <c r="D2420" s="6"/>
      <c r="E2420" t="s">
        <v>1764</v>
      </c>
      <c r="F2420" s="6" t="s">
        <v>2228</v>
      </c>
      <c r="G2420" s="6" t="b">
        <f t="shared" si="140"/>
        <v>0</v>
      </c>
      <c r="H2420" s="6" t="s">
        <v>2212</v>
      </c>
      <c r="I2420" t="s">
        <v>1561</v>
      </c>
      <c r="J2420" t="s">
        <v>1561</v>
      </c>
      <c r="L2420" s="26" t="e">
        <f t="shared" si="138"/>
        <v>#VALUE!</v>
      </c>
    </row>
    <row r="2421" spans="1:12" x14ac:dyDescent="0.35">
      <c r="A2421" s="9">
        <f t="shared" si="139"/>
        <v>2420</v>
      </c>
      <c r="B2421" t="s">
        <v>109</v>
      </c>
      <c r="C2421" s="109">
        <f>IF(ISBLANK(K2421),IFERROR(VLOOKUP(I2421,FS_input_data!$C$398:$N$457,Export!J2421,FALSE),""),K2421)</f>
        <v>50</v>
      </c>
      <c r="D2421" s="6" t="b">
        <v>1</v>
      </c>
      <c r="E2421" t="s">
        <v>1561</v>
      </c>
      <c r="F2421" s="6" t="s">
        <v>2228</v>
      </c>
      <c r="G2421" s="6" t="b">
        <f t="shared" si="140"/>
        <v>0</v>
      </c>
      <c r="H2421" s="6" t="s">
        <v>2212</v>
      </c>
      <c r="I2421" t="s">
        <v>1763</v>
      </c>
      <c r="J2421">
        <v>3</v>
      </c>
      <c r="L2421" s="9" t="e">
        <f t="shared" si="138"/>
        <v>#VALUE!</v>
      </c>
    </row>
    <row r="2422" spans="1:12" x14ac:dyDescent="0.35">
      <c r="A2422">
        <f t="shared" si="139"/>
        <v>2421</v>
      </c>
      <c r="B2422" t="s">
        <v>110</v>
      </c>
      <c r="C2422" s="109" t="str">
        <f>IF(ISBLANK(K2422),IFERROR(VLOOKUP(I2422,FS_input_data!$C$398:$N$457,Export!J2422,FALSE),""),K2422)</f>
        <v/>
      </c>
      <c r="D2422" s="6"/>
      <c r="F2422" s="6" t="s">
        <v>2228</v>
      </c>
      <c r="G2422" s="6" t="b">
        <f t="shared" si="140"/>
        <v>0</v>
      </c>
      <c r="H2422" s="6" t="s">
        <v>2212</v>
      </c>
      <c r="I2422" t="s">
        <v>1561</v>
      </c>
      <c r="J2422" t="s">
        <v>1561</v>
      </c>
      <c r="L2422">
        <f t="shared" si="138"/>
        <v>1</v>
      </c>
    </row>
    <row r="2423" spans="1:12" x14ac:dyDescent="0.35">
      <c r="A2423" s="9">
        <f t="shared" si="139"/>
        <v>2422</v>
      </c>
      <c r="B2423" t="s">
        <v>111</v>
      </c>
      <c r="C2423" s="109">
        <f>IF(ISBLANK(K2423),IFERROR(VLOOKUP(I2423,FS_input_data!$C$398:$N$457,Export!J2423,FALSE),""),K2423)</f>
        <v>150</v>
      </c>
      <c r="D2423" s="6" t="b">
        <v>1</v>
      </c>
      <c r="E2423" t="s">
        <v>1561</v>
      </c>
      <c r="F2423" s="6" t="s">
        <v>2228</v>
      </c>
      <c r="G2423" s="6" t="b">
        <f t="shared" si="140"/>
        <v>0</v>
      </c>
      <c r="H2423" s="6" t="s">
        <v>2212</v>
      </c>
      <c r="I2423" t="s">
        <v>1763</v>
      </c>
      <c r="J2423">
        <v>4</v>
      </c>
      <c r="L2423" s="9" t="e">
        <f t="shared" si="138"/>
        <v>#VALUE!</v>
      </c>
    </row>
    <row r="2424" spans="1:12" x14ac:dyDescent="0.35">
      <c r="A2424">
        <f t="shared" si="139"/>
        <v>2423</v>
      </c>
      <c r="B2424" t="s">
        <v>112</v>
      </c>
      <c r="C2424" s="109" t="str">
        <f>IF(ISBLANK(K2424),IFERROR(VLOOKUP(I2424,FS_input_data!$C$398:$N$457,Export!J2424,FALSE),""),K2424)</f>
        <v/>
      </c>
      <c r="D2424" s="6"/>
      <c r="E2424" t="s">
        <v>1561</v>
      </c>
      <c r="F2424" s="6" t="s">
        <v>2228</v>
      </c>
      <c r="G2424" s="6" t="b">
        <f t="shared" si="140"/>
        <v>0</v>
      </c>
      <c r="H2424" s="6" t="s">
        <v>2212</v>
      </c>
      <c r="I2424" t="s">
        <v>1561</v>
      </c>
      <c r="J2424" t="s">
        <v>1561</v>
      </c>
      <c r="L2424">
        <f t="shared" si="138"/>
        <v>1</v>
      </c>
    </row>
    <row r="2425" spans="1:12" x14ac:dyDescent="0.35">
      <c r="A2425">
        <f t="shared" si="139"/>
        <v>2424</v>
      </c>
      <c r="B2425" t="s">
        <v>715</v>
      </c>
      <c r="C2425" s="109" t="str">
        <f>IF(ISBLANK(K2425),IFERROR(VLOOKUP(I2425,FS_input_data!$C$398:$N$457,Export!J2425,FALSE),""),K2425)</f>
        <v/>
      </c>
      <c r="D2425" s="6"/>
      <c r="E2425" t="s">
        <v>1561</v>
      </c>
      <c r="F2425" s="6" t="s">
        <v>2228</v>
      </c>
      <c r="G2425" s="6" t="b">
        <f t="shared" si="140"/>
        <v>0</v>
      </c>
      <c r="H2425" s="6" t="s">
        <v>2212</v>
      </c>
      <c r="I2425" t="s">
        <v>1561</v>
      </c>
      <c r="J2425" t="s">
        <v>1561</v>
      </c>
      <c r="L2425">
        <f t="shared" si="138"/>
        <v>1</v>
      </c>
    </row>
    <row r="2426" spans="1:12" x14ac:dyDescent="0.35">
      <c r="A2426">
        <f t="shared" si="139"/>
        <v>2425</v>
      </c>
      <c r="B2426" t="s">
        <v>716</v>
      </c>
      <c r="C2426" s="109" t="str">
        <f>IF(ISBLANK(K2426),IFERROR(VLOOKUP(I2426,FS_input_data!$C$398:$N$457,Export!J2426,FALSE),""),K2426)</f>
        <v/>
      </c>
      <c r="D2426" s="6"/>
      <c r="E2426" t="s">
        <v>1766</v>
      </c>
      <c r="F2426" s="6" t="s">
        <v>2228</v>
      </c>
      <c r="G2426" s="6" t="b">
        <f t="shared" si="140"/>
        <v>0</v>
      </c>
      <c r="H2426" s="6" t="s">
        <v>2212</v>
      </c>
      <c r="I2426" t="s">
        <v>1561</v>
      </c>
      <c r="J2426" t="s">
        <v>1561</v>
      </c>
      <c r="L2426" s="26" t="e">
        <f t="shared" si="138"/>
        <v>#VALUE!</v>
      </c>
    </row>
    <row r="2427" spans="1:12" x14ac:dyDescent="0.35">
      <c r="A2427" s="9">
        <f t="shared" si="139"/>
        <v>2426</v>
      </c>
      <c r="B2427" t="s">
        <v>109</v>
      </c>
      <c r="C2427" s="109">
        <f>IF(ISBLANK(K2427),IFERROR(VLOOKUP(I2427,FS_input_data!$C$398:$N$457,Export!J2427,FALSE),""),K2427)</f>
        <v>51</v>
      </c>
      <c r="D2427" s="6" t="b">
        <v>1</v>
      </c>
      <c r="E2427" t="s">
        <v>1561</v>
      </c>
      <c r="F2427" s="6" t="s">
        <v>2228</v>
      </c>
      <c r="G2427" s="6" t="b">
        <f t="shared" si="140"/>
        <v>0</v>
      </c>
      <c r="H2427" s="6" t="s">
        <v>2212</v>
      </c>
      <c r="I2427" t="s">
        <v>1765</v>
      </c>
      <c r="J2427">
        <v>3</v>
      </c>
      <c r="L2427" s="9" t="e">
        <f t="shared" si="138"/>
        <v>#VALUE!</v>
      </c>
    </row>
    <row r="2428" spans="1:12" x14ac:dyDescent="0.35">
      <c r="A2428">
        <f t="shared" si="139"/>
        <v>2427</v>
      </c>
      <c r="B2428" t="s">
        <v>110</v>
      </c>
      <c r="C2428" s="109" t="str">
        <f>IF(ISBLANK(K2428),IFERROR(VLOOKUP(I2428,FS_input_data!$C$398:$N$457,Export!J2428,FALSE),""),K2428)</f>
        <v/>
      </c>
      <c r="D2428" s="6"/>
      <c r="F2428" s="6" t="s">
        <v>2228</v>
      </c>
      <c r="G2428" s="6" t="b">
        <f t="shared" si="140"/>
        <v>0</v>
      </c>
      <c r="H2428" s="6" t="s">
        <v>2212</v>
      </c>
      <c r="I2428" t="s">
        <v>1561</v>
      </c>
      <c r="J2428" t="s">
        <v>1561</v>
      </c>
      <c r="L2428">
        <f t="shared" si="138"/>
        <v>1</v>
      </c>
    </row>
    <row r="2429" spans="1:12" x14ac:dyDescent="0.35">
      <c r="A2429" s="9">
        <f t="shared" si="139"/>
        <v>2428</v>
      </c>
      <c r="B2429" t="s">
        <v>111</v>
      </c>
      <c r="C2429" s="109">
        <f>IF(ISBLANK(K2429),IFERROR(VLOOKUP(I2429,FS_input_data!$C$398:$N$457,Export!J2429,FALSE),""),K2429)</f>
        <v>151</v>
      </c>
      <c r="D2429" s="6" t="b">
        <v>1</v>
      </c>
      <c r="E2429" t="s">
        <v>1561</v>
      </c>
      <c r="F2429" s="6" t="s">
        <v>2228</v>
      </c>
      <c r="G2429" s="6" t="b">
        <f t="shared" si="140"/>
        <v>0</v>
      </c>
      <c r="H2429" s="6" t="s">
        <v>2212</v>
      </c>
      <c r="I2429" t="s">
        <v>1765</v>
      </c>
      <c r="J2429">
        <v>4</v>
      </c>
      <c r="L2429" s="9" t="e">
        <f t="shared" si="138"/>
        <v>#VALUE!</v>
      </c>
    </row>
    <row r="2430" spans="1:12" x14ac:dyDescent="0.35">
      <c r="A2430">
        <f t="shared" si="139"/>
        <v>2429</v>
      </c>
      <c r="B2430" t="s">
        <v>112</v>
      </c>
      <c r="C2430" s="109" t="str">
        <f>IF(ISBLANK(K2430),IFERROR(VLOOKUP(I2430,FS_input_data!$C$398:$N$457,Export!J2430,FALSE),""),K2430)</f>
        <v/>
      </c>
      <c r="D2430" s="6"/>
      <c r="E2430" t="s">
        <v>1561</v>
      </c>
      <c r="F2430" s="6" t="s">
        <v>2228</v>
      </c>
      <c r="G2430" s="6" t="b">
        <f t="shared" si="140"/>
        <v>0</v>
      </c>
      <c r="H2430" s="6" t="s">
        <v>2212</v>
      </c>
      <c r="I2430" t="s">
        <v>1561</v>
      </c>
      <c r="J2430" t="s">
        <v>1561</v>
      </c>
      <c r="L2430">
        <f t="shared" si="138"/>
        <v>1</v>
      </c>
    </row>
    <row r="2431" spans="1:12" x14ac:dyDescent="0.35">
      <c r="A2431">
        <f t="shared" si="139"/>
        <v>2430</v>
      </c>
      <c r="B2431" t="s">
        <v>717</v>
      </c>
      <c r="C2431" s="109" t="str">
        <f>IF(ISBLANK(K2431),IFERROR(VLOOKUP(I2431,FS_input_data!$C$398:$N$457,Export!J2431,FALSE),""),K2431)</f>
        <v/>
      </c>
      <c r="D2431" s="6"/>
      <c r="E2431" t="s">
        <v>1561</v>
      </c>
      <c r="F2431" s="6" t="s">
        <v>2228</v>
      </c>
      <c r="G2431" s="6" t="b">
        <f t="shared" si="140"/>
        <v>0</v>
      </c>
      <c r="H2431" s="6" t="s">
        <v>2212</v>
      </c>
      <c r="I2431" t="s">
        <v>1561</v>
      </c>
      <c r="J2431" t="s">
        <v>1561</v>
      </c>
      <c r="L2431">
        <f t="shared" si="138"/>
        <v>1</v>
      </c>
    </row>
    <row r="2432" spans="1:12" x14ac:dyDescent="0.35">
      <c r="A2432">
        <f t="shared" si="139"/>
        <v>2431</v>
      </c>
      <c r="B2432" t="s">
        <v>718</v>
      </c>
      <c r="C2432" s="109" t="str">
        <f>IF(ISBLANK(K2432),IFERROR(VLOOKUP(I2432,FS_input_data!$C$398:$N$457,Export!J2432,FALSE),""),K2432)</f>
        <v/>
      </c>
      <c r="D2432" s="6"/>
      <c r="E2432" t="s">
        <v>1768</v>
      </c>
      <c r="F2432" s="6" t="s">
        <v>2228</v>
      </c>
      <c r="G2432" s="6" t="b">
        <f t="shared" si="140"/>
        <v>0</v>
      </c>
      <c r="H2432" s="6" t="s">
        <v>2212</v>
      </c>
      <c r="I2432" t="s">
        <v>1561</v>
      </c>
      <c r="J2432" t="s">
        <v>1561</v>
      </c>
      <c r="L2432" s="26" t="e">
        <f t="shared" si="138"/>
        <v>#VALUE!</v>
      </c>
    </row>
    <row r="2433" spans="1:12" x14ac:dyDescent="0.35">
      <c r="A2433" s="9">
        <f t="shared" si="139"/>
        <v>2432</v>
      </c>
      <c r="B2433" t="s">
        <v>109</v>
      </c>
      <c r="C2433" s="109">
        <f>IF(ISBLANK(K2433),IFERROR(VLOOKUP(I2433,FS_input_data!$C$398:$N$457,Export!J2433,FALSE),""),K2433)</f>
        <v>52</v>
      </c>
      <c r="D2433" s="6" t="b">
        <v>1</v>
      </c>
      <c r="E2433" t="s">
        <v>1561</v>
      </c>
      <c r="F2433" s="6" t="s">
        <v>2228</v>
      </c>
      <c r="G2433" s="6" t="b">
        <f t="shared" si="140"/>
        <v>0</v>
      </c>
      <c r="H2433" s="6" t="s">
        <v>2212</v>
      </c>
      <c r="I2433" t="s">
        <v>1767</v>
      </c>
      <c r="J2433">
        <v>3</v>
      </c>
      <c r="L2433" s="9" t="e">
        <f t="shared" si="138"/>
        <v>#VALUE!</v>
      </c>
    </row>
    <row r="2434" spans="1:12" x14ac:dyDescent="0.35">
      <c r="A2434">
        <f t="shared" si="139"/>
        <v>2433</v>
      </c>
      <c r="B2434" t="s">
        <v>110</v>
      </c>
      <c r="C2434" s="109" t="str">
        <f>IF(ISBLANK(K2434),IFERROR(VLOOKUP(I2434,FS_input_data!$C$398:$N$457,Export!J2434,FALSE),""),K2434)</f>
        <v/>
      </c>
      <c r="D2434" s="6"/>
      <c r="F2434" s="6" t="s">
        <v>2228</v>
      </c>
      <c r="G2434" s="6" t="b">
        <f t="shared" si="140"/>
        <v>0</v>
      </c>
      <c r="H2434" s="6" t="s">
        <v>2212</v>
      </c>
      <c r="I2434" t="s">
        <v>1561</v>
      </c>
      <c r="J2434" t="s">
        <v>1561</v>
      </c>
      <c r="L2434">
        <f t="shared" ref="L2434:L2497" si="141">FIND("/",B2434)</f>
        <v>1</v>
      </c>
    </row>
    <row r="2435" spans="1:12" x14ac:dyDescent="0.35">
      <c r="A2435" s="9">
        <f t="shared" ref="A2435:A2498" si="142">A2434+1</f>
        <v>2434</v>
      </c>
      <c r="B2435" t="s">
        <v>111</v>
      </c>
      <c r="C2435" s="109">
        <f>IF(ISBLANK(K2435),IFERROR(VLOOKUP(I2435,FS_input_data!$C$398:$N$457,Export!J2435,FALSE),""),K2435)</f>
        <v>152</v>
      </c>
      <c r="D2435" s="6" t="b">
        <v>1</v>
      </c>
      <c r="E2435" t="s">
        <v>1561</v>
      </c>
      <c r="F2435" s="6" t="s">
        <v>2228</v>
      </c>
      <c r="G2435" s="6" t="b">
        <f t="shared" si="140"/>
        <v>0</v>
      </c>
      <c r="H2435" s="6" t="s">
        <v>2212</v>
      </c>
      <c r="I2435" t="s">
        <v>1767</v>
      </c>
      <c r="J2435">
        <v>4</v>
      </c>
      <c r="L2435" s="9" t="e">
        <f t="shared" si="141"/>
        <v>#VALUE!</v>
      </c>
    </row>
    <row r="2436" spans="1:12" x14ac:dyDescent="0.35">
      <c r="A2436">
        <f t="shared" si="142"/>
        <v>2435</v>
      </c>
      <c r="B2436" t="s">
        <v>112</v>
      </c>
      <c r="C2436" s="109" t="str">
        <f>IF(ISBLANK(K2436),IFERROR(VLOOKUP(I2436,FS_input_data!$C$398:$N$457,Export!J2436,FALSE),""),K2436)</f>
        <v/>
      </c>
      <c r="D2436" s="6"/>
      <c r="E2436" t="s">
        <v>1561</v>
      </c>
      <c r="F2436" s="6" t="s">
        <v>2228</v>
      </c>
      <c r="G2436" s="6" t="b">
        <f t="shared" si="140"/>
        <v>0</v>
      </c>
      <c r="H2436" s="6" t="s">
        <v>2212</v>
      </c>
      <c r="I2436" t="s">
        <v>1561</v>
      </c>
      <c r="J2436" t="s">
        <v>1561</v>
      </c>
      <c r="L2436">
        <f t="shared" si="141"/>
        <v>1</v>
      </c>
    </row>
    <row r="2437" spans="1:12" x14ac:dyDescent="0.35">
      <c r="A2437">
        <f t="shared" si="142"/>
        <v>2436</v>
      </c>
      <c r="B2437" t="s">
        <v>719</v>
      </c>
      <c r="C2437" s="109" t="str">
        <f>IF(ISBLANK(K2437),IFERROR(VLOOKUP(I2437,FS_input_data!$C$398:$N$457,Export!J2437,FALSE),""),K2437)</f>
        <v/>
      </c>
      <c r="D2437" s="6"/>
      <c r="E2437" t="s">
        <v>1561</v>
      </c>
      <c r="F2437" s="6" t="s">
        <v>2228</v>
      </c>
      <c r="G2437" s="6" t="b">
        <f t="shared" si="140"/>
        <v>0</v>
      </c>
      <c r="H2437" s="6" t="s">
        <v>2212</v>
      </c>
      <c r="I2437" t="s">
        <v>1561</v>
      </c>
      <c r="J2437" t="s">
        <v>1561</v>
      </c>
      <c r="L2437">
        <f t="shared" si="141"/>
        <v>1</v>
      </c>
    </row>
    <row r="2438" spans="1:12" x14ac:dyDescent="0.35">
      <c r="A2438">
        <f t="shared" si="142"/>
        <v>2437</v>
      </c>
      <c r="B2438" t="s">
        <v>720</v>
      </c>
      <c r="C2438" s="109" t="str">
        <f>IF(ISBLANK(K2438),IFERROR(VLOOKUP(I2438,FS_input_data!$C$398:$N$457,Export!J2438,FALSE),""),K2438)</f>
        <v/>
      </c>
      <c r="D2438" s="6"/>
      <c r="E2438" t="s">
        <v>1770</v>
      </c>
      <c r="F2438" s="6" t="s">
        <v>2228</v>
      </c>
      <c r="G2438" s="6" t="b">
        <f t="shared" si="140"/>
        <v>0</v>
      </c>
      <c r="H2438" s="6" t="s">
        <v>2212</v>
      </c>
      <c r="I2438" t="s">
        <v>1561</v>
      </c>
      <c r="J2438" t="s">
        <v>1561</v>
      </c>
      <c r="L2438" s="26" t="e">
        <f t="shared" si="141"/>
        <v>#VALUE!</v>
      </c>
    </row>
    <row r="2439" spans="1:12" x14ac:dyDescent="0.35">
      <c r="A2439" s="9">
        <f t="shared" si="142"/>
        <v>2438</v>
      </c>
      <c r="B2439" t="s">
        <v>109</v>
      </c>
      <c r="C2439" s="109">
        <f>IF(ISBLANK(K2439),IFERROR(VLOOKUP(I2439,FS_input_data!$C$398:$N$457,Export!J2439,FALSE),""),K2439)</f>
        <v>53</v>
      </c>
      <c r="D2439" s="6" t="b">
        <v>1</v>
      </c>
      <c r="E2439" t="s">
        <v>1561</v>
      </c>
      <c r="F2439" s="6" t="s">
        <v>2228</v>
      </c>
      <c r="G2439" s="6" t="b">
        <f t="shared" si="140"/>
        <v>0</v>
      </c>
      <c r="H2439" s="6" t="s">
        <v>2212</v>
      </c>
      <c r="I2439" t="s">
        <v>1769</v>
      </c>
      <c r="J2439">
        <v>3</v>
      </c>
      <c r="L2439" s="9" t="e">
        <f t="shared" si="141"/>
        <v>#VALUE!</v>
      </c>
    </row>
    <row r="2440" spans="1:12" x14ac:dyDescent="0.35">
      <c r="A2440">
        <f t="shared" si="142"/>
        <v>2439</v>
      </c>
      <c r="B2440" t="s">
        <v>110</v>
      </c>
      <c r="C2440" s="109" t="str">
        <f>IF(ISBLANK(K2440),IFERROR(VLOOKUP(I2440,FS_input_data!$C$398:$N$457,Export!J2440,FALSE),""),K2440)</f>
        <v/>
      </c>
      <c r="D2440" s="6"/>
      <c r="F2440" s="6" t="s">
        <v>2228</v>
      </c>
      <c r="G2440" s="6" t="b">
        <f t="shared" si="140"/>
        <v>0</v>
      </c>
      <c r="H2440" s="6" t="s">
        <v>2212</v>
      </c>
      <c r="I2440" t="s">
        <v>1561</v>
      </c>
      <c r="J2440" t="s">
        <v>1561</v>
      </c>
      <c r="L2440">
        <f t="shared" si="141"/>
        <v>1</v>
      </c>
    </row>
    <row r="2441" spans="1:12" x14ac:dyDescent="0.35">
      <c r="A2441" s="9">
        <f t="shared" si="142"/>
        <v>2440</v>
      </c>
      <c r="B2441" t="s">
        <v>111</v>
      </c>
      <c r="C2441" s="109">
        <f>IF(ISBLANK(K2441),IFERROR(VLOOKUP(I2441,FS_input_data!$C$398:$N$457,Export!J2441,FALSE),""),K2441)</f>
        <v>153</v>
      </c>
      <c r="D2441" s="6" t="b">
        <v>1</v>
      </c>
      <c r="E2441" t="s">
        <v>1561</v>
      </c>
      <c r="F2441" s="6" t="s">
        <v>2228</v>
      </c>
      <c r="G2441" s="6" t="b">
        <f t="shared" si="140"/>
        <v>0</v>
      </c>
      <c r="H2441" s="6" t="s">
        <v>2212</v>
      </c>
      <c r="I2441" t="s">
        <v>1769</v>
      </c>
      <c r="J2441">
        <v>4</v>
      </c>
      <c r="L2441" s="9" t="e">
        <f t="shared" si="141"/>
        <v>#VALUE!</v>
      </c>
    </row>
    <row r="2442" spans="1:12" x14ac:dyDescent="0.35">
      <c r="A2442">
        <f t="shared" si="142"/>
        <v>2441</v>
      </c>
      <c r="B2442" t="s">
        <v>112</v>
      </c>
      <c r="C2442" s="109" t="str">
        <f>IF(ISBLANK(K2442),IFERROR(VLOOKUP(I2442,FS_input_data!$C$398:$N$457,Export!J2442,FALSE),""),K2442)</f>
        <v/>
      </c>
      <c r="D2442" s="6"/>
      <c r="E2442" t="s">
        <v>1561</v>
      </c>
      <c r="F2442" s="6" t="s">
        <v>2228</v>
      </c>
      <c r="G2442" s="6" t="b">
        <f t="shared" si="140"/>
        <v>0</v>
      </c>
      <c r="H2442" s="6" t="s">
        <v>2212</v>
      </c>
      <c r="I2442" t="s">
        <v>1561</v>
      </c>
      <c r="J2442" t="s">
        <v>1561</v>
      </c>
      <c r="L2442">
        <f t="shared" si="141"/>
        <v>1</v>
      </c>
    </row>
    <row r="2443" spans="1:12" x14ac:dyDescent="0.35">
      <c r="A2443">
        <f t="shared" si="142"/>
        <v>2442</v>
      </c>
      <c r="B2443" t="s">
        <v>721</v>
      </c>
      <c r="C2443" s="109" t="str">
        <f>IF(ISBLANK(K2443),IFERROR(VLOOKUP(I2443,FS_input_data!$C$398:$N$457,Export!J2443,FALSE),""),K2443)</f>
        <v/>
      </c>
      <c r="D2443" s="6"/>
      <c r="E2443" t="s">
        <v>1561</v>
      </c>
      <c r="F2443" s="6" t="s">
        <v>2228</v>
      </c>
      <c r="G2443" s="6" t="b">
        <f t="shared" si="140"/>
        <v>0</v>
      </c>
      <c r="H2443" s="6" t="s">
        <v>2212</v>
      </c>
      <c r="I2443" t="s">
        <v>1561</v>
      </c>
      <c r="J2443" t="s">
        <v>1561</v>
      </c>
      <c r="L2443">
        <f t="shared" si="141"/>
        <v>1</v>
      </c>
    </row>
    <row r="2444" spans="1:12" x14ac:dyDescent="0.35">
      <c r="A2444">
        <f t="shared" si="142"/>
        <v>2443</v>
      </c>
      <c r="B2444" t="s">
        <v>722</v>
      </c>
      <c r="C2444" s="109" t="str">
        <f>IF(ISBLANK(K2444),IFERROR(VLOOKUP(I2444,FS_input_data!$C$398:$N$457,Export!J2444,FALSE),""),K2444)</f>
        <v/>
      </c>
      <c r="D2444" s="6"/>
      <c r="E2444" t="s">
        <v>1561</v>
      </c>
      <c r="F2444" s="6" t="s">
        <v>2228</v>
      </c>
      <c r="G2444" s="6" t="b">
        <f t="shared" si="140"/>
        <v>0</v>
      </c>
      <c r="H2444" s="6" t="s">
        <v>2212</v>
      </c>
      <c r="I2444" t="s">
        <v>1561</v>
      </c>
      <c r="J2444" t="s">
        <v>1561</v>
      </c>
      <c r="L2444">
        <f t="shared" si="141"/>
        <v>1</v>
      </c>
    </row>
    <row r="2445" spans="1:12" x14ac:dyDescent="0.35">
      <c r="A2445">
        <f t="shared" si="142"/>
        <v>2444</v>
      </c>
      <c r="B2445" t="s">
        <v>723</v>
      </c>
      <c r="C2445" s="109" t="str">
        <f>IF(ISBLANK(K2445),IFERROR(VLOOKUP(I2445,FS_input_data!$C$398:$N$457,Export!J2445,FALSE),""),K2445)</f>
        <v/>
      </c>
      <c r="D2445" s="6"/>
      <c r="E2445" t="s">
        <v>1772</v>
      </c>
      <c r="F2445" s="6" t="s">
        <v>2228</v>
      </c>
      <c r="G2445" s="6" t="b">
        <f t="shared" si="140"/>
        <v>0</v>
      </c>
      <c r="H2445" s="6" t="s">
        <v>2212</v>
      </c>
      <c r="I2445" t="s">
        <v>1561</v>
      </c>
      <c r="J2445" t="s">
        <v>1561</v>
      </c>
      <c r="L2445" s="26" t="e">
        <f t="shared" si="141"/>
        <v>#VALUE!</v>
      </c>
    </row>
    <row r="2446" spans="1:12" x14ac:dyDescent="0.35">
      <c r="A2446" s="9">
        <f t="shared" si="142"/>
        <v>2445</v>
      </c>
      <c r="B2446" t="s">
        <v>109</v>
      </c>
      <c r="C2446" s="109">
        <f>IF(ISBLANK(K2446),IFERROR(VLOOKUP(I2446,FS_input_data!$C$398:$N$457,Export!J2446,FALSE),""),K2446)</f>
        <v>-275</v>
      </c>
      <c r="D2446" s="6" t="b">
        <v>1</v>
      </c>
      <c r="E2446" t="s">
        <v>1561</v>
      </c>
      <c r="F2446" s="6" t="s">
        <v>2228</v>
      </c>
      <c r="G2446" s="6" t="b">
        <f t="shared" ref="G2446:G2489" si="143">NOT(CF_xml)</f>
        <v>0</v>
      </c>
      <c r="H2446" s="6" t="s">
        <v>2212</v>
      </c>
      <c r="I2446" t="s">
        <v>1771</v>
      </c>
      <c r="J2446">
        <v>3</v>
      </c>
      <c r="L2446" s="9" t="e">
        <f t="shared" si="141"/>
        <v>#VALUE!</v>
      </c>
    </row>
    <row r="2447" spans="1:12" x14ac:dyDescent="0.35">
      <c r="A2447">
        <f t="shared" si="142"/>
        <v>2446</v>
      </c>
      <c r="B2447" t="s">
        <v>110</v>
      </c>
      <c r="C2447" s="109" t="str">
        <f>IF(ISBLANK(K2447),IFERROR(VLOOKUP(I2447,FS_input_data!$C$398:$N$457,Export!J2447,FALSE),""),K2447)</f>
        <v/>
      </c>
      <c r="D2447" s="6"/>
      <c r="F2447" s="6" t="s">
        <v>2228</v>
      </c>
      <c r="G2447" s="6" t="b">
        <f t="shared" si="143"/>
        <v>0</v>
      </c>
      <c r="H2447" s="6" t="s">
        <v>2212</v>
      </c>
      <c r="I2447" t="s">
        <v>1561</v>
      </c>
      <c r="J2447" t="s">
        <v>1561</v>
      </c>
      <c r="L2447">
        <f t="shared" si="141"/>
        <v>1</v>
      </c>
    </row>
    <row r="2448" spans="1:12" x14ac:dyDescent="0.35">
      <c r="A2448" s="9">
        <f t="shared" si="142"/>
        <v>2447</v>
      </c>
      <c r="B2448" t="s">
        <v>111</v>
      </c>
      <c r="C2448" s="109">
        <f>IF(ISBLANK(K2448),IFERROR(VLOOKUP(I2448,FS_input_data!$C$398:$N$457,Export!J2448,FALSE),""),K2448)</f>
        <v>-775</v>
      </c>
      <c r="D2448" s="6" t="b">
        <v>1</v>
      </c>
      <c r="E2448" t="s">
        <v>1561</v>
      </c>
      <c r="F2448" s="6" t="s">
        <v>2228</v>
      </c>
      <c r="G2448" s="6" t="b">
        <f t="shared" si="143"/>
        <v>0</v>
      </c>
      <c r="H2448" s="6" t="s">
        <v>2212</v>
      </c>
      <c r="I2448" t="s">
        <v>1771</v>
      </c>
      <c r="J2448">
        <v>4</v>
      </c>
      <c r="L2448" s="9" t="e">
        <f t="shared" si="141"/>
        <v>#VALUE!</v>
      </c>
    </row>
    <row r="2449" spans="1:12" x14ac:dyDescent="0.35">
      <c r="A2449">
        <f t="shared" si="142"/>
        <v>2448</v>
      </c>
      <c r="B2449" t="s">
        <v>112</v>
      </c>
      <c r="C2449" s="109" t="str">
        <f>IF(ISBLANK(K2449),IFERROR(VLOOKUP(I2449,FS_input_data!$C$398:$N$457,Export!J2449,FALSE),""),K2449)</f>
        <v/>
      </c>
      <c r="D2449" s="6"/>
      <c r="E2449" t="s">
        <v>1561</v>
      </c>
      <c r="F2449" s="6" t="s">
        <v>2228</v>
      </c>
      <c r="G2449" s="6" t="b">
        <f t="shared" si="143"/>
        <v>0</v>
      </c>
      <c r="H2449" s="6" t="s">
        <v>2212</v>
      </c>
      <c r="I2449" t="s">
        <v>1561</v>
      </c>
      <c r="J2449" t="s">
        <v>1561</v>
      </c>
      <c r="L2449">
        <f t="shared" si="141"/>
        <v>1</v>
      </c>
    </row>
    <row r="2450" spans="1:12" x14ac:dyDescent="0.35">
      <c r="A2450">
        <f t="shared" si="142"/>
        <v>2449</v>
      </c>
      <c r="B2450" t="s">
        <v>724</v>
      </c>
      <c r="C2450" s="109" t="str">
        <f>IF(ISBLANK(K2450),IFERROR(VLOOKUP(I2450,FS_input_data!$C$398:$N$457,Export!J2450,FALSE),""),K2450)</f>
        <v/>
      </c>
      <c r="D2450" s="6"/>
      <c r="E2450" t="s">
        <v>1561</v>
      </c>
      <c r="F2450" s="6" t="s">
        <v>2228</v>
      </c>
      <c r="G2450" s="6" t="b">
        <f t="shared" si="143"/>
        <v>0</v>
      </c>
      <c r="H2450" s="6" t="s">
        <v>2212</v>
      </c>
      <c r="I2450" t="s">
        <v>1561</v>
      </c>
      <c r="J2450" t="s">
        <v>1561</v>
      </c>
      <c r="L2450">
        <f t="shared" si="141"/>
        <v>1</v>
      </c>
    </row>
    <row r="2451" spans="1:12" x14ac:dyDescent="0.35">
      <c r="A2451">
        <f t="shared" si="142"/>
        <v>2450</v>
      </c>
      <c r="B2451" t="s">
        <v>446</v>
      </c>
      <c r="C2451" s="109" t="str">
        <f>IF(ISBLANK(K2451),IFERROR(VLOOKUP(I2451,FS_input_data!$C$398:$N$457,Export!J2451,FALSE),""),K2451)</f>
        <v/>
      </c>
      <c r="D2451" s="6"/>
      <c r="E2451" t="s">
        <v>1561</v>
      </c>
      <c r="F2451" s="6" t="s">
        <v>2228</v>
      </c>
      <c r="G2451" s="6" t="b">
        <f t="shared" si="143"/>
        <v>0</v>
      </c>
      <c r="H2451" s="6" t="s">
        <v>2212</v>
      </c>
      <c r="I2451" t="s">
        <v>1561</v>
      </c>
      <c r="J2451" t="s">
        <v>1561</v>
      </c>
      <c r="L2451">
        <f t="shared" si="141"/>
        <v>1</v>
      </c>
    </row>
    <row r="2452" spans="1:12" x14ac:dyDescent="0.35">
      <c r="A2452">
        <f t="shared" si="142"/>
        <v>2451</v>
      </c>
      <c r="B2452" t="s">
        <v>447</v>
      </c>
      <c r="C2452" s="109" t="str">
        <f>IF(ISBLANK(K2452),IFERROR(VLOOKUP(I2452,FS_input_data!$C$398:$N$457,Export!J2452,FALSE),""),K2452)</f>
        <v/>
      </c>
      <c r="D2452" s="6"/>
      <c r="E2452" t="s">
        <v>1773</v>
      </c>
      <c r="F2452" s="6" t="s">
        <v>2228</v>
      </c>
      <c r="G2452" s="6" t="b">
        <f t="shared" si="143"/>
        <v>0</v>
      </c>
      <c r="H2452" s="6" t="s">
        <v>2212</v>
      </c>
      <c r="I2452" t="s">
        <v>1561</v>
      </c>
      <c r="J2452" t="s">
        <v>1561</v>
      </c>
      <c r="L2452" s="26" t="e">
        <f t="shared" si="141"/>
        <v>#VALUE!</v>
      </c>
    </row>
    <row r="2453" spans="1:12" x14ac:dyDescent="0.35">
      <c r="A2453" s="9">
        <f t="shared" si="142"/>
        <v>2452</v>
      </c>
      <c r="B2453" t="s">
        <v>109</v>
      </c>
      <c r="C2453" s="109">
        <f>IF(ISBLANK(K2453),IFERROR(VLOOKUP(I2453,FS_input_data!$C$398:$N$457,Export!J2453,FALSE),""),K2453)</f>
        <v>-182</v>
      </c>
      <c r="D2453" s="6" t="b">
        <v>1</v>
      </c>
      <c r="E2453" t="s">
        <v>1561</v>
      </c>
      <c r="F2453" s="6" t="s">
        <v>2228</v>
      </c>
      <c r="G2453" s="6" t="b">
        <f t="shared" si="143"/>
        <v>0</v>
      </c>
      <c r="H2453" s="6" t="s">
        <v>2212</v>
      </c>
      <c r="I2453" t="s">
        <v>1445</v>
      </c>
      <c r="J2453">
        <v>3</v>
      </c>
      <c r="L2453" s="9" t="e">
        <f t="shared" si="141"/>
        <v>#VALUE!</v>
      </c>
    </row>
    <row r="2454" spans="1:12" x14ac:dyDescent="0.35">
      <c r="A2454">
        <f t="shared" si="142"/>
        <v>2453</v>
      </c>
      <c r="B2454" t="s">
        <v>110</v>
      </c>
      <c r="C2454" s="109" t="str">
        <f>IF(ISBLANK(K2454),IFERROR(VLOOKUP(I2454,FS_input_data!$C$398:$N$457,Export!J2454,FALSE),""),K2454)</f>
        <v/>
      </c>
      <c r="D2454" s="6"/>
      <c r="F2454" s="6" t="s">
        <v>2228</v>
      </c>
      <c r="G2454" s="6" t="b">
        <f t="shared" si="143"/>
        <v>0</v>
      </c>
      <c r="H2454" s="6" t="s">
        <v>2212</v>
      </c>
      <c r="I2454" t="s">
        <v>1561</v>
      </c>
      <c r="J2454" t="s">
        <v>1561</v>
      </c>
      <c r="L2454">
        <f t="shared" si="141"/>
        <v>1</v>
      </c>
    </row>
    <row r="2455" spans="1:12" x14ac:dyDescent="0.35">
      <c r="A2455" s="9">
        <f t="shared" si="142"/>
        <v>2454</v>
      </c>
      <c r="B2455" t="s">
        <v>111</v>
      </c>
      <c r="C2455" s="109">
        <f>IF(ISBLANK(K2455),IFERROR(VLOOKUP(I2455,FS_input_data!$C$398:$N$457,Export!J2455,FALSE),""),K2455)</f>
        <v>718</v>
      </c>
      <c r="D2455" s="6" t="b">
        <v>1</v>
      </c>
      <c r="E2455" t="s">
        <v>1561</v>
      </c>
      <c r="F2455" s="6" t="s">
        <v>2228</v>
      </c>
      <c r="G2455" s="6" t="b">
        <f t="shared" si="143"/>
        <v>0</v>
      </c>
      <c r="H2455" s="6" t="s">
        <v>2212</v>
      </c>
      <c r="I2455" t="s">
        <v>1445</v>
      </c>
      <c r="J2455">
        <v>4</v>
      </c>
      <c r="L2455" s="9" t="e">
        <f t="shared" si="141"/>
        <v>#VALUE!</v>
      </c>
    </row>
    <row r="2456" spans="1:12" x14ac:dyDescent="0.35">
      <c r="A2456">
        <f t="shared" si="142"/>
        <v>2455</v>
      </c>
      <c r="B2456" t="s">
        <v>112</v>
      </c>
      <c r="C2456" s="109" t="str">
        <f>IF(ISBLANK(K2456),IFERROR(VLOOKUP(I2456,FS_input_data!$C$398:$N$457,Export!J2456,FALSE),""),K2456)</f>
        <v/>
      </c>
      <c r="D2456" s="6"/>
      <c r="E2456" t="s">
        <v>1561</v>
      </c>
      <c r="F2456" s="6" t="s">
        <v>2228</v>
      </c>
      <c r="G2456" s="6" t="b">
        <f t="shared" si="143"/>
        <v>0</v>
      </c>
      <c r="H2456" s="6" t="s">
        <v>2212</v>
      </c>
      <c r="I2456" t="s">
        <v>1561</v>
      </c>
      <c r="J2456" t="s">
        <v>1561</v>
      </c>
      <c r="L2456">
        <f t="shared" si="141"/>
        <v>1</v>
      </c>
    </row>
    <row r="2457" spans="1:12" x14ac:dyDescent="0.35">
      <c r="A2457">
        <f t="shared" si="142"/>
        <v>2456</v>
      </c>
      <c r="B2457" t="s">
        <v>456</v>
      </c>
      <c r="C2457" s="109" t="str">
        <f>IF(ISBLANK(K2457),IFERROR(VLOOKUP(I2457,FS_input_data!$C$398:$N$457,Export!J2457,FALSE),""),K2457)</f>
        <v/>
      </c>
      <c r="D2457" s="6"/>
      <c r="E2457" t="s">
        <v>1561</v>
      </c>
      <c r="F2457" s="6" t="s">
        <v>2228</v>
      </c>
      <c r="G2457" s="6" t="b">
        <f t="shared" si="143"/>
        <v>0</v>
      </c>
      <c r="H2457" s="6" t="s">
        <v>2212</v>
      </c>
      <c r="I2457" t="s">
        <v>1561</v>
      </c>
      <c r="J2457" t="s">
        <v>1561</v>
      </c>
      <c r="L2457">
        <f t="shared" si="141"/>
        <v>1</v>
      </c>
    </row>
    <row r="2458" spans="1:12" x14ac:dyDescent="0.35">
      <c r="A2458">
        <f t="shared" si="142"/>
        <v>2457</v>
      </c>
      <c r="B2458" t="s">
        <v>457</v>
      </c>
      <c r="C2458" s="109" t="str">
        <f>IF(ISBLANK(K2458),IFERROR(VLOOKUP(I2458,FS_input_data!$C$398:$N$457,Export!J2458,FALSE),""),K2458)</f>
        <v/>
      </c>
      <c r="D2458" s="6"/>
      <c r="E2458" t="s">
        <v>1774</v>
      </c>
      <c r="F2458" s="6" t="s">
        <v>2228</v>
      </c>
      <c r="G2458" s="6" t="b">
        <f t="shared" si="143"/>
        <v>0</v>
      </c>
      <c r="H2458" s="6" t="s">
        <v>2212</v>
      </c>
      <c r="I2458" t="s">
        <v>1561</v>
      </c>
      <c r="J2458" t="s">
        <v>1561</v>
      </c>
      <c r="L2458" s="26" t="e">
        <f t="shared" si="141"/>
        <v>#VALUE!</v>
      </c>
    </row>
    <row r="2459" spans="1:12" x14ac:dyDescent="0.35">
      <c r="A2459" s="9">
        <f t="shared" si="142"/>
        <v>2458</v>
      </c>
      <c r="B2459" t="s">
        <v>109</v>
      </c>
      <c r="C2459" s="109">
        <f>IF(ISBLANK(K2459),IFERROR(VLOOKUP(I2459,FS_input_data!$C$398:$N$457,Export!J2459,FALSE),""),K2459)</f>
        <v>1</v>
      </c>
      <c r="D2459" s="6" t="b">
        <v>1</v>
      </c>
      <c r="E2459" t="s">
        <v>1561</v>
      </c>
      <c r="F2459" s="6" t="s">
        <v>2228</v>
      </c>
      <c r="G2459" s="6" t="b">
        <f t="shared" si="143"/>
        <v>0</v>
      </c>
      <c r="H2459" s="6" t="s">
        <v>2212</v>
      </c>
      <c r="I2459" t="s">
        <v>1460</v>
      </c>
      <c r="J2459">
        <v>3</v>
      </c>
      <c r="L2459" s="9" t="e">
        <f t="shared" si="141"/>
        <v>#VALUE!</v>
      </c>
    </row>
    <row r="2460" spans="1:12" x14ac:dyDescent="0.35">
      <c r="A2460">
        <f t="shared" si="142"/>
        <v>2459</v>
      </c>
      <c r="B2460" t="s">
        <v>110</v>
      </c>
      <c r="C2460" s="109" t="str">
        <f>IF(ISBLANK(K2460),IFERROR(VLOOKUP(I2460,FS_input_data!$C$398:$N$457,Export!J2460,FALSE),""),K2460)</f>
        <v/>
      </c>
      <c r="D2460" s="6"/>
      <c r="F2460" s="6" t="s">
        <v>2228</v>
      </c>
      <c r="G2460" s="6" t="b">
        <f t="shared" si="143"/>
        <v>0</v>
      </c>
      <c r="H2460" s="6" t="s">
        <v>2212</v>
      </c>
      <c r="I2460" t="s">
        <v>1561</v>
      </c>
      <c r="J2460" t="s">
        <v>1561</v>
      </c>
      <c r="L2460">
        <f t="shared" si="141"/>
        <v>1</v>
      </c>
    </row>
    <row r="2461" spans="1:12" x14ac:dyDescent="0.35">
      <c r="A2461" s="9">
        <f t="shared" si="142"/>
        <v>2460</v>
      </c>
      <c r="B2461" t="s">
        <v>111</v>
      </c>
      <c r="C2461" s="109">
        <f>IF(ISBLANK(K2461),IFERROR(VLOOKUP(I2461,FS_input_data!$C$398:$N$457,Export!J2461,FALSE),""),K2461)</f>
        <v>1</v>
      </c>
      <c r="D2461" s="6" t="b">
        <v>1</v>
      </c>
      <c r="E2461" t="s">
        <v>1561</v>
      </c>
      <c r="F2461" s="6" t="s">
        <v>2228</v>
      </c>
      <c r="G2461" s="6" t="b">
        <f t="shared" si="143"/>
        <v>0</v>
      </c>
      <c r="H2461" s="6" t="s">
        <v>2212</v>
      </c>
      <c r="I2461" t="s">
        <v>1460</v>
      </c>
      <c r="J2461">
        <v>4</v>
      </c>
      <c r="L2461" s="9" t="e">
        <f t="shared" si="141"/>
        <v>#VALUE!</v>
      </c>
    </row>
    <row r="2462" spans="1:12" x14ac:dyDescent="0.35">
      <c r="A2462">
        <f t="shared" si="142"/>
        <v>2461</v>
      </c>
      <c r="B2462" t="s">
        <v>112</v>
      </c>
      <c r="C2462" s="109" t="str">
        <f>IF(ISBLANK(K2462),IFERROR(VLOOKUP(I2462,FS_input_data!$C$398:$N$457,Export!J2462,FALSE),""),K2462)</f>
        <v/>
      </c>
      <c r="D2462" s="6"/>
      <c r="E2462" t="s">
        <v>1561</v>
      </c>
      <c r="F2462" s="6" t="s">
        <v>2228</v>
      </c>
      <c r="G2462" s="6" t="b">
        <f t="shared" si="143"/>
        <v>0</v>
      </c>
      <c r="H2462" s="6" t="s">
        <v>2212</v>
      </c>
      <c r="I2462" t="s">
        <v>1561</v>
      </c>
      <c r="J2462" t="s">
        <v>1561</v>
      </c>
      <c r="L2462">
        <f t="shared" si="141"/>
        <v>1</v>
      </c>
    </row>
    <row r="2463" spans="1:12" x14ac:dyDescent="0.35">
      <c r="A2463">
        <f t="shared" si="142"/>
        <v>2462</v>
      </c>
      <c r="B2463" t="s">
        <v>725</v>
      </c>
      <c r="C2463" s="109" t="str">
        <f>IF(ISBLANK(K2463),IFERROR(VLOOKUP(I2463,FS_input_data!$C$398:$N$457,Export!J2463,FALSE),""),K2463)</f>
        <v/>
      </c>
      <c r="D2463" s="6"/>
      <c r="E2463" t="s">
        <v>1776</v>
      </c>
      <c r="F2463" s="6" t="s">
        <v>2228</v>
      </c>
      <c r="G2463" s="6" t="b">
        <f t="shared" si="143"/>
        <v>0</v>
      </c>
      <c r="H2463" s="6" t="s">
        <v>2212</v>
      </c>
      <c r="I2463" t="s">
        <v>1561</v>
      </c>
      <c r="J2463" t="s">
        <v>1561</v>
      </c>
      <c r="L2463" s="26" t="e">
        <f t="shared" si="141"/>
        <v>#VALUE!</v>
      </c>
    </row>
    <row r="2464" spans="1:12" x14ac:dyDescent="0.35">
      <c r="A2464" s="9">
        <f t="shared" si="142"/>
        <v>2463</v>
      </c>
      <c r="B2464" t="s">
        <v>109</v>
      </c>
      <c r="C2464" s="109">
        <f>IF(ISBLANK(K2464),IFERROR(VLOOKUP(I2464,FS_input_data!$C$398:$N$457,Export!J2464,FALSE),""),K2464)</f>
        <v>57</v>
      </c>
      <c r="D2464" s="6" t="b">
        <v>1</v>
      </c>
      <c r="E2464" t="s">
        <v>1561</v>
      </c>
      <c r="F2464" s="6" t="s">
        <v>2228</v>
      </c>
      <c r="G2464" s="6" t="b">
        <f t="shared" si="143"/>
        <v>0</v>
      </c>
      <c r="H2464" s="6" t="s">
        <v>2212</v>
      </c>
      <c r="I2464" t="s">
        <v>1775</v>
      </c>
      <c r="J2464">
        <v>3</v>
      </c>
      <c r="L2464" s="9" t="e">
        <f t="shared" si="141"/>
        <v>#VALUE!</v>
      </c>
    </row>
    <row r="2465" spans="1:12" x14ac:dyDescent="0.35">
      <c r="A2465">
        <f t="shared" si="142"/>
        <v>2464</v>
      </c>
      <c r="B2465" t="s">
        <v>110</v>
      </c>
      <c r="C2465" s="109" t="str">
        <f>IF(ISBLANK(K2465),IFERROR(VLOOKUP(I2465,FS_input_data!$C$398:$N$457,Export!J2465,FALSE),""),K2465)</f>
        <v/>
      </c>
      <c r="D2465" s="6"/>
      <c r="F2465" s="6" t="s">
        <v>2228</v>
      </c>
      <c r="G2465" s="6" t="b">
        <f t="shared" si="143"/>
        <v>0</v>
      </c>
      <c r="H2465" s="6" t="s">
        <v>2212</v>
      </c>
      <c r="I2465" t="s">
        <v>1561</v>
      </c>
      <c r="J2465" t="s">
        <v>1561</v>
      </c>
      <c r="L2465">
        <f t="shared" si="141"/>
        <v>1</v>
      </c>
    </row>
    <row r="2466" spans="1:12" x14ac:dyDescent="0.35">
      <c r="A2466" s="9">
        <f t="shared" si="142"/>
        <v>2465</v>
      </c>
      <c r="B2466" t="s">
        <v>111</v>
      </c>
      <c r="C2466" s="109">
        <f>IF(ISBLANK(K2466),IFERROR(VLOOKUP(I2466,FS_input_data!$C$398:$N$457,Export!J2466,FALSE),""),K2466)</f>
        <v>157</v>
      </c>
      <c r="D2466" s="6" t="b">
        <v>1</v>
      </c>
      <c r="E2466" t="s">
        <v>1561</v>
      </c>
      <c r="F2466" s="6" t="s">
        <v>2228</v>
      </c>
      <c r="G2466" s="6" t="b">
        <f t="shared" si="143"/>
        <v>0</v>
      </c>
      <c r="H2466" s="6" t="s">
        <v>2212</v>
      </c>
      <c r="I2466" t="s">
        <v>1775</v>
      </c>
      <c r="J2466">
        <v>4</v>
      </c>
      <c r="L2466" s="9" t="e">
        <f t="shared" si="141"/>
        <v>#VALUE!</v>
      </c>
    </row>
    <row r="2467" spans="1:12" x14ac:dyDescent="0.35">
      <c r="A2467">
        <f t="shared" si="142"/>
        <v>2466</v>
      </c>
      <c r="B2467" t="s">
        <v>112</v>
      </c>
      <c r="C2467" s="109" t="str">
        <f>IF(ISBLANK(K2467),IFERROR(VLOOKUP(I2467,FS_input_data!$C$398:$N$457,Export!J2467,FALSE),""),K2467)</f>
        <v/>
      </c>
      <c r="D2467" s="6"/>
      <c r="E2467" t="s">
        <v>1561</v>
      </c>
      <c r="F2467" s="6" t="s">
        <v>2228</v>
      </c>
      <c r="G2467" s="6" t="b">
        <f t="shared" si="143"/>
        <v>0</v>
      </c>
      <c r="H2467" s="6" t="s">
        <v>2212</v>
      </c>
      <c r="I2467" t="s">
        <v>1561</v>
      </c>
      <c r="J2467" t="s">
        <v>1561</v>
      </c>
      <c r="L2467">
        <f t="shared" si="141"/>
        <v>1</v>
      </c>
    </row>
    <row r="2468" spans="1:12" x14ac:dyDescent="0.35">
      <c r="A2468">
        <f t="shared" si="142"/>
        <v>2467</v>
      </c>
      <c r="B2468" t="s">
        <v>726</v>
      </c>
      <c r="C2468" s="109" t="str">
        <f>IF(ISBLANK(K2468),IFERROR(VLOOKUP(I2468,FS_input_data!$C$398:$N$457,Export!J2468,FALSE),""),K2468)</f>
        <v/>
      </c>
      <c r="D2468" s="6"/>
      <c r="E2468" t="s">
        <v>1561</v>
      </c>
      <c r="F2468" s="6" t="s">
        <v>2228</v>
      </c>
      <c r="G2468" s="6" t="b">
        <f t="shared" si="143"/>
        <v>0</v>
      </c>
      <c r="H2468" s="6" t="s">
        <v>2212</v>
      </c>
      <c r="I2468" t="s">
        <v>1561</v>
      </c>
      <c r="J2468" t="s">
        <v>1561</v>
      </c>
      <c r="L2468">
        <f t="shared" si="141"/>
        <v>1</v>
      </c>
    </row>
    <row r="2469" spans="1:12" x14ac:dyDescent="0.35">
      <c r="A2469">
        <f t="shared" si="142"/>
        <v>2468</v>
      </c>
      <c r="B2469" t="s">
        <v>464</v>
      </c>
      <c r="C2469" s="109" t="str">
        <f>IF(ISBLANK(K2469),IFERROR(VLOOKUP(I2469,FS_input_data!$C$398:$N$457,Export!J2469,FALSE),""),K2469)</f>
        <v/>
      </c>
      <c r="D2469" s="6"/>
      <c r="E2469" t="s">
        <v>1561</v>
      </c>
      <c r="F2469" s="6" t="s">
        <v>2228</v>
      </c>
      <c r="G2469" s="6" t="b">
        <f t="shared" si="143"/>
        <v>0</v>
      </c>
      <c r="H2469" s="6" t="s">
        <v>2212</v>
      </c>
      <c r="I2469" t="s">
        <v>1561</v>
      </c>
      <c r="J2469" t="s">
        <v>1561</v>
      </c>
      <c r="L2469">
        <f t="shared" si="141"/>
        <v>1</v>
      </c>
    </row>
    <row r="2470" spans="1:12" x14ac:dyDescent="0.35">
      <c r="A2470">
        <f t="shared" si="142"/>
        <v>2469</v>
      </c>
      <c r="B2470" t="s">
        <v>465</v>
      </c>
      <c r="C2470" s="109" t="str">
        <f>IF(ISBLANK(K2470),IFERROR(VLOOKUP(I2470,FS_input_data!$C$398:$N$457,Export!J2470,FALSE),""),K2470)</f>
        <v/>
      </c>
      <c r="D2470" s="6"/>
      <c r="E2470" t="s">
        <v>2220</v>
      </c>
      <c r="F2470" s="6" t="s">
        <v>2228</v>
      </c>
      <c r="G2470" s="6" t="b">
        <f t="shared" si="143"/>
        <v>0</v>
      </c>
      <c r="H2470" s="6" t="s">
        <v>2212</v>
      </c>
      <c r="I2470" t="s">
        <v>1561</v>
      </c>
      <c r="J2470" t="s">
        <v>1561</v>
      </c>
      <c r="L2470" s="26" t="e">
        <f t="shared" si="141"/>
        <v>#VALUE!</v>
      </c>
    </row>
    <row r="2471" spans="1:12" x14ac:dyDescent="0.35">
      <c r="A2471" s="9">
        <f t="shared" si="142"/>
        <v>2470</v>
      </c>
      <c r="B2471" t="s">
        <v>109</v>
      </c>
      <c r="C2471" s="109">
        <f>IF(ISBLANK(K2471),IFERROR(VLOOKUP(I2471,FS_input_data!$C$398:$N$457,Export!J2471,FALSE),""),K2471)</f>
        <v>58</v>
      </c>
      <c r="D2471" s="6" t="b">
        <v>1</v>
      </c>
      <c r="E2471" t="s">
        <v>1561</v>
      </c>
      <c r="F2471" s="6" t="s">
        <v>2228</v>
      </c>
      <c r="G2471" s="6" t="b">
        <f t="shared" si="143"/>
        <v>0</v>
      </c>
      <c r="H2471" s="6" t="s">
        <v>2212</v>
      </c>
      <c r="I2471" t="s">
        <v>1472</v>
      </c>
      <c r="J2471">
        <v>3</v>
      </c>
      <c r="L2471" s="9" t="e">
        <f t="shared" si="141"/>
        <v>#VALUE!</v>
      </c>
    </row>
    <row r="2472" spans="1:12" x14ac:dyDescent="0.35">
      <c r="A2472">
        <f t="shared" si="142"/>
        <v>2471</v>
      </c>
      <c r="B2472" t="s">
        <v>110</v>
      </c>
      <c r="C2472" s="109" t="str">
        <f>IF(ISBLANK(K2472),IFERROR(VLOOKUP(I2472,FS_input_data!$C$398:$N$457,Export!J2472,FALSE),""),K2472)</f>
        <v/>
      </c>
      <c r="D2472" s="6"/>
      <c r="F2472" s="6" t="s">
        <v>2228</v>
      </c>
      <c r="G2472" s="6" t="b">
        <f t="shared" si="143"/>
        <v>0</v>
      </c>
      <c r="H2472" s="6" t="s">
        <v>2212</v>
      </c>
      <c r="I2472" t="s">
        <v>1561</v>
      </c>
      <c r="J2472" t="s">
        <v>1561</v>
      </c>
      <c r="L2472">
        <f t="shared" si="141"/>
        <v>1</v>
      </c>
    </row>
    <row r="2473" spans="1:12" x14ac:dyDescent="0.35">
      <c r="A2473" s="9">
        <f t="shared" si="142"/>
        <v>2472</v>
      </c>
      <c r="B2473" t="s">
        <v>111</v>
      </c>
      <c r="C2473" s="109">
        <f>IF(ISBLANK(K2473),IFERROR(VLOOKUP(I2473,FS_input_data!$C$398:$N$457,Export!J2473,FALSE),""),K2473)</f>
        <v>158</v>
      </c>
      <c r="D2473" s="6" t="b">
        <v>1</v>
      </c>
      <c r="E2473" t="s">
        <v>1561</v>
      </c>
      <c r="F2473" s="6" t="s">
        <v>2228</v>
      </c>
      <c r="G2473" s="6" t="b">
        <f t="shared" si="143"/>
        <v>0</v>
      </c>
      <c r="H2473" s="6" t="s">
        <v>2212</v>
      </c>
      <c r="I2473" t="s">
        <v>1472</v>
      </c>
      <c r="J2473">
        <v>4</v>
      </c>
      <c r="L2473" s="9" t="e">
        <f t="shared" si="141"/>
        <v>#VALUE!</v>
      </c>
    </row>
    <row r="2474" spans="1:12" x14ac:dyDescent="0.35">
      <c r="A2474">
        <f t="shared" si="142"/>
        <v>2473</v>
      </c>
      <c r="B2474" t="s">
        <v>112</v>
      </c>
      <c r="C2474" s="109" t="str">
        <f>IF(ISBLANK(K2474),IFERROR(VLOOKUP(I2474,FS_input_data!$C$398:$N$457,Export!J2474,FALSE),""),K2474)</f>
        <v/>
      </c>
      <c r="D2474" s="6"/>
      <c r="E2474" t="s">
        <v>1561</v>
      </c>
      <c r="F2474" s="6" t="s">
        <v>2228</v>
      </c>
      <c r="G2474" s="6" t="b">
        <f t="shared" si="143"/>
        <v>0</v>
      </c>
      <c r="H2474" s="6" t="s">
        <v>2212</v>
      </c>
      <c r="I2474" t="s">
        <v>1561</v>
      </c>
      <c r="J2474" t="s">
        <v>1561</v>
      </c>
      <c r="L2474">
        <f t="shared" si="141"/>
        <v>1</v>
      </c>
    </row>
    <row r="2475" spans="1:12" x14ac:dyDescent="0.35">
      <c r="A2475">
        <f t="shared" si="142"/>
        <v>2474</v>
      </c>
      <c r="B2475" t="s">
        <v>466</v>
      </c>
      <c r="C2475" s="109" t="str">
        <f>IF(ISBLANK(K2475),IFERROR(VLOOKUP(I2475,FS_input_data!$C$398:$N$457,Export!J2475,FALSE),""),K2475)</f>
        <v/>
      </c>
      <c r="D2475" s="6"/>
      <c r="E2475" t="s">
        <v>1561</v>
      </c>
      <c r="F2475" s="6" t="s">
        <v>2228</v>
      </c>
      <c r="G2475" s="6" t="b">
        <f t="shared" si="143"/>
        <v>0</v>
      </c>
      <c r="H2475" s="6" t="s">
        <v>2212</v>
      </c>
      <c r="I2475" t="s">
        <v>1561</v>
      </c>
      <c r="J2475" t="s">
        <v>1561</v>
      </c>
      <c r="L2475">
        <f t="shared" si="141"/>
        <v>1</v>
      </c>
    </row>
    <row r="2476" spans="1:12" x14ac:dyDescent="0.35">
      <c r="A2476">
        <f t="shared" si="142"/>
        <v>2475</v>
      </c>
      <c r="B2476" t="s">
        <v>467</v>
      </c>
      <c r="C2476" s="109" t="str">
        <f>IF(ISBLANK(K2476),IFERROR(VLOOKUP(I2476,FS_input_data!$C$398:$N$457,Export!J2476,FALSE),""),K2476)</f>
        <v/>
      </c>
      <c r="D2476" s="6"/>
      <c r="E2476" t="s">
        <v>1778</v>
      </c>
      <c r="F2476" s="6" t="s">
        <v>2228</v>
      </c>
      <c r="G2476" s="6" t="b">
        <f t="shared" si="143"/>
        <v>0</v>
      </c>
      <c r="H2476" s="6" t="s">
        <v>2212</v>
      </c>
      <c r="I2476" t="s">
        <v>1561</v>
      </c>
      <c r="J2476" t="s">
        <v>1561</v>
      </c>
      <c r="L2476" s="26" t="e">
        <f t="shared" si="141"/>
        <v>#VALUE!</v>
      </c>
    </row>
    <row r="2477" spans="1:12" x14ac:dyDescent="0.35">
      <c r="A2477" s="9">
        <f t="shared" si="142"/>
        <v>2476</v>
      </c>
      <c r="B2477" t="s">
        <v>109</v>
      </c>
      <c r="C2477" s="109">
        <f>IF(ISBLANK(K2477),IFERROR(VLOOKUP(I2477,FS_input_data!$C$398:$N$457,Export!J2477,FALSE),""),K2477)</f>
        <v>59</v>
      </c>
      <c r="D2477" s="6" t="b">
        <v>1</v>
      </c>
      <c r="E2477" t="s">
        <v>1561</v>
      </c>
      <c r="F2477" s="6" t="s">
        <v>2228</v>
      </c>
      <c r="G2477" s="6" t="b">
        <f t="shared" si="143"/>
        <v>0</v>
      </c>
      <c r="H2477" s="6" t="s">
        <v>2212</v>
      </c>
      <c r="I2477" t="s">
        <v>1475</v>
      </c>
      <c r="J2477">
        <v>3</v>
      </c>
      <c r="L2477" s="9" t="e">
        <f t="shared" si="141"/>
        <v>#VALUE!</v>
      </c>
    </row>
    <row r="2478" spans="1:12" x14ac:dyDescent="0.35">
      <c r="A2478">
        <f t="shared" si="142"/>
        <v>2477</v>
      </c>
      <c r="B2478" t="s">
        <v>110</v>
      </c>
      <c r="C2478" s="109" t="str">
        <f>IF(ISBLANK(K2478),IFERROR(VLOOKUP(I2478,FS_input_data!$C$398:$N$457,Export!J2478,FALSE),""),K2478)</f>
        <v/>
      </c>
      <c r="D2478" s="6"/>
      <c r="F2478" s="6" t="s">
        <v>2228</v>
      </c>
      <c r="G2478" s="6" t="b">
        <f t="shared" si="143"/>
        <v>0</v>
      </c>
      <c r="H2478" s="6" t="s">
        <v>2212</v>
      </c>
      <c r="I2478" t="s">
        <v>1561</v>
      </c>
      <c r="J2478" t="s">
        <v>1561</v>
      </c>
      <c r="L2478">
        <f t="shared" si="141"/>
        <v>1</v>
      </c>
    </row>
    <row r="2479" spans="1:12" x14ac:dyDescent="0.35">
      <c r="A2479" s="9">
        <f t="shared" si="142"/>
        <v>2478</v>
      </c>
      <c r="B2479" t="s">
        <v>111</v>
      </c>
      <c r="C2479" s="109">
        <f>IF(ISBLANK(K2479),IFERROR(VLOOKUP(I2479,FS_input_data!$C$398:$N$457,Export!J2479,FALSE),""),K2479)</f>
        <v>159</v>
      </c>
      <c r="D2479" s="6" t="b">
        <v>1</v>
      </c>
      <c r="E2479" t="s">
        <v>1561</v>
      </c>
      <c r="F2479" s="6" t="s">
        <v>2228</v>
      </c>
      <c r="G2479" s="6" t="b">
        <f t="shared" si="143"/>
        <v>0</v>
      </c>
      <c r="H2479" s="6" t="s">
        <v>2212</v>
      </c>
      <c r="I2479" t="s">
        <v>1475</v>
      </c>
      <c r="J2479">
        <v>4</v>
      </c>
      <c r="L2479" s="9" t="e">
        <f t="shared" si="141"/>
        <v>#VALUE!</v>
      </c>
    </row>
    <row r="2480" spans="1:12" x14ac:dyDescent="0.35">
      <c r="A2480">
        <f t="shared" si="142"/>
        <v>2479</v>
      </c>
      <c r="B2480" t="s">
        <v>112</v>
      </c>
      <c r="C2480" s="109" t="str">
        <f>IF(ISBLANK(K2480),IFERROR(VLOOKUP(I2480,FS_input_data!$C$398:$N$457,Export!J2480,FALSE),""),K2480)</f>
        <v/>
      </c>
      <c r="D2480" s="6"/>
      <c r="E2480" t="s">
        <v>1561</v>
      </c>
      <c r="F2480" s="6" t="s">
        <v>2228</v>
      </c>
      <c r="G2480" s="6" t="b">
        <f t="shared" si="143"/>
        <v>0</v>
      </c>
      <c r="H2480" s="6" t="s">
        <v>2212</v>
      </c>
      <c r="I2480" t="s">
        <v>1561</v>
      </c>
      <c r="J2480" t="s">
        <v>1561</v>
      </c>
      <c r="L2480">
        <f t="shared" si="141"/>
        <v>1</v>
      </c>
    </row>
    <row r="2481" spans="1:12" x14ac:dyDescent="0.35">
      <c r="A2481">
        <f t="shared" si="142"/>
        <v>2480</v>
      </c>
      <c r="B2481" t="s">
        <v>727</v>
      </c>
      <c r="C2481" s="109" t="str">
        <f>IF(ISBLANK(K2481),IFERROR(VLOOKUP(I2481,FS_input_data!$C$398:$N$457,Export!J2481,FALSE),""),K2481)</f>
        <v/>
      </c>
      <c r="D2481" s="6"/>
      <c r="E2481" t="s">
        <v>1780</v>
      </c>
      <c r="F2481" s="6" t="s">
        <v>2228</v>
      </c>
      <c r="G2481" s="6" t="b">
        <f t="shared" si="143"/>
        <v>0</v>
      </c>
      <c r="H2481" s="6" t="s">
        <v>2212</v>
      </c>
      <c r="I2481" t="s">
        <v>1561</v>
      </c>
      <c r="J2481" t="s">
        <v>1561</v>
      </c>
      <c r="L2481" s="26" t="e">
        <f t="shared" si="141"/>
        <v>#VALUE!</v>
      </c>
    </row>
    <row r="2482" spans="1:12" x14ac:dyDescent="0.35">
      <c r="A2482" s="9">
        <f t="shared" si="142"/>
        <v>2481</v>
      </c>
      <c r="B2482" t="s">
        <v>109</v>
      </c>
      <c r="C2482" s="109">
        <f>IF(ISBLANK(K2482),IFERROR(VLOOKUP(I2482,FS_input_data!$C$398:$N$457,Export!J2482,FALSE),""),K2482)</f>
        <v>60</v>
      </c>
      <c r="D2482" s="6" t="b">
        <v>1</v>
      </c>
      <c r="E2482" t="s">
        <v>1561</v>
      </c>
      <c r="F2482" s="6" t="s">
        <v>2228</v>
      </c>
      <c r="G2482" s="6" t="b">
        <f t="shared" si="143"/>
        <v>0</v>
      </c>
      <c r="H2482" s="6" t="s">
        <v>2212</v>
      </c>
      <c r="I2482" t="s">
        <v>1779</v>
      </c>
      <c r="J2482">
        <v>3</v>
      </c>
      <c r="L2482" s="9" t="e">
        <f t="shared" si="141"/>
        <v>#VALUE!</v>
      </c>
    </row>
    <row r="2483" spans="1:12" x14ac:dyDescent="0.35">
      <c r="A2483">
        <f t="shared" si="142"/>
        <v>2482</v>
      </c>
      <c r="B2483" t="s">
        <v>110</v>
      </c>
      <c r="C2483" s="109" t="str">
        <f>IF(ISBLANK(K2483),IFERROR(VLOOKUP(I2483,FS_input_data!$C$398:$N$457,Export!J2483,FALSE),""),K2483)</f>
        <v/>
      </c>
      <c r="D2483" s="6"/>
      <c r="F2483" s="6" t="s">
        <v>2228</v>
      </c>
      <c r="G2483" s="6" t="b">
        <f t="shared" si="143"/>
        <v>0</v>
      </c>
      <c r="H2483" s="6" t="s">
        <v>2212</v>
      </c>
      <c r="I2483" t="s">
        <v>1561</v>
      </c>
      <c r="J2483" t="s">
        <v>1561</v>
      </c>
      <c r="L2483">
        <f t="shared" si="141"/>
        <v>1</v>
      </c>
    </row>
    <row r="2484" spans="1:12" x14ac:dyDescent="0.35">
      <c r="A2484" s="9">
        <f t="shared" si="142"/>
        <v>2483</v>
      </c>
      <c r="B2484" t="s">
        <v>111</v>
      </c>
      <c r="C2484" s="109">
        <f>IF(ISBLANK(K2484),IFERROR(VLOOKUP(I2484,FS_input_data!$C$398:$N$457,Export!J2484,FALSE),""),K2484)</f>
        <v>160</v>
      </c>
      <c r="D2484" s="6" t="b">
        <v>1</v>
      </c>
      <c r="F2484" s="6" t="s">
        <v>2228</v>
      </c>
      <c r="G2484" s="6" t="b">
        <f t="shared" si="143"/>
        <v>0</v>
      </c>
      <c r="H2484" s="6" t="s">
        <v>2212</v>
      </c>
      <c r="I2484" t="s">
        <v>1779</v>
      </c>
      <c r="J2484">
        <v>4</v>
      </c>
      <c r="L2484" s="9" t="e">
        <f t="shared" si="141"/>
        <v>#VALUE!</v>
      </c>
    </row>
    <row r="2485" spans="1:12" x14ac:dyDescent="0.35">
      <c r="A2485">
        <f t="shared" si="142"/>
        <v>2484</v>
      </c>
      <c r="B2485" t="s">
        <v>112</v>
      </c>
      <c r="C2485" s="109" t="str">
        <f>IF(ISBLANK(K2485),IFERROR(VLOOKUP(I2485,FS_input_data!$C$398:$N$457,Export!J2485,FALSE),""),K2485)</f>
        <v/>
      </c>
      <c r="D2485" s="6"/>
      <c r="E2485" t="s">
        <v>1561</v>
      </c>
      <c r="F2485" s="6" t="s">
        <v>2228</v>
      </c>
      <c r="G2485" s="6" t="b">
        <f t="shared" si="143"/>
        <v>0</v>
      </c>
      <c r="H2485" s="6" t="s">
        <v>2212</v>
      </c>
      <c r="I2485" t="s">
        <v>1561</v>
      </c>
      <c r="J2485" t="s">
        <v>1561</v>
      </c>
      <c r="L2485">
        <f t="shared" si="141"/>
        <v>1</v>
      </c>
    </row>
    <row r="2486" spans="1:12" x14ac:dyDescent="0.35">
      <c r="A2486">
        <f t="shared" si="142"/>
        <v>2485</v>
      </c>
      <c r="B2486" t="s">
        <v>728</v>
      </c>
      <c r="C2486" s="109" t="str">
        <f>IF(ISBLANK(K2486),IFERROR(VLOOKUP(I2486,FS_input_data!$C$398:$N$457,Export!J2486,FALSE),""),K2486)</f>
        <v/>
      </c>
      <c r="D2486" s="6"/>
      <c r="E2486" t="s">
        <v>1561</v>
      </c>
      <c r="F2486" s="6" t="s">
        <v>2228</v>
      </c>
      <c r="G2486" s="6" t="b">
        <f t="shared" si="143"/>
        <v>0</v>
      </c>
      <c r="H2486" s="6" t="s">
        <v>2212</v>
      </c>
      <c r="I2486" t="s">
        <v>1561</v>
      </c>
      <c r="J2486" t="s">
        <v>1561</v>
      </c>
      <c r="L2486">
        <f t="shared" si="141"/>
        <v>1</v>
      </c>
    </row>
    <row r="2487" spans="1:12" x14ac:dyDescent="0.35">
      <c r="A2487">
        <f t="shared" si="142"/>
        <v>2486</v>
      </c>
      <c r="B2487" t="s">
        <v>490</v>
      </c>
      <c r="C2487" s="109" t="str">
        <f>IF(ISBLANK(K2487),IFERROR(VLOOKUP(I2487,FS_input_data!$C$398:$N$457,Export!J2487,FALSE),""),K2487)</f>
        <v/>
      </c>
      <c r="D2487" s="6"/>
      <c r="E2487" t="s">
        <v>1561</v>
      </c>
      <c r="F2487" s="6" t="s">
        <v>2228</v>
      </c>
      <c r="G2487" s="6" t="b">
        <f t="shared" si="143"/>
        <v>0</v>
      </c>
      <c r="H2487" s="6" t="s">
        <v>2212</v>
      </c>
      <c r="I2487" t="s">
        <v>1561</v>
      </c>
      <c r="J2487" t="s">
        <v>1561</v>
      </c>
      <c r="L2487">
        <f t="shared" si="141"/>
        <v>1</v>
      </c>
    </row>
    <row r="2488" spans="1:12" x14ac:dyDescent="0.35">
      <c r="A2488">
        <f t="shared" si="142"/>
        <v>2487</v>
      </c>
      <c r="B2488" t="s">
        <v>729</v>
      </c>
      <c r="C2488" s="109" t="str">
        <f>IF(ISBLANK(K2488),IFERROR(VLOOKUP(I2488,FS_input_data!$C$398:$N$457,Export!J2488,FALSE),""),K2488)</f>
        <v/>
      </c>
      <c r="D2488" s="6"/>
      <c r="E2488" t="s">
        <v>1561</v>
      </c>
      <c r="F2488" s="6" t="s">
        <v>2228</v>
      </c>
      <c r="G2488" s="6" t="b">
        <f t="shared" si="143"/>
        <v>0</v>
      </c>
      <c r="H2488" s="6" t="s">
        <v>2212</v>
      </c>
      <c r="I2488" t="s">
        <v>1561</v>
      </c>
      <c r="J2488" t="s">
        <v>1561</v>
      </c>
      <c r="L2488">
        <f t="shared" si="141"/>
        <v>1</v>
      </c>
    </row>
    <row r="2489" spans="1:12" x14ac:dyDescent="0.35">
      <c r="A2489">
        <f t="shared" si="142"/>
        <v>2488</v>
      </c>
      <c r="B2489" t="s">
        <v>730</v>
      </c>
      <c r="C2489" s="109" t="str">
        <f>IF(ISBLANK(K2489),IFERROR(VLOOKUP(I2489,FS_input_data!$C$398:$N$457,Export!J2489,FALSE),""),K2489)</f>
        <v/>
      </c>
      <c r="D2489" s="6"/>
      <c r="E2489" t="s">
        <v>1561</v>
      </c>
      <c r="F2489" s="6" t="s">
        <v>2228</v>
      </c>
      <c r="G2489" s="6" t="b">
        <f t="shared" si="143"/>
        <v>0</v>
      </c>
      <c r="H2489" s="6" t="s">
        <v>2212</v>
      </c>
      <c r="I2489" t="s">
        <v>1561</v>
      </c>
      <c r="J2489" t="s">
        <v>1561</v>
      </c>
      <c r="L2489">
        <f t="shared" si="141"/>
        <v>1</v>
      </c>
    </row>
    <row r="2490" spans="1:12" x14ac:dyDescent="0.35">
      <c r="A2490">
        <f t="shared" si="142"/>
        <v>2489</v>
      </c>
      <c r="B2490" t="s">
        <v>731</v>
      </c>
      <c r="C2490" s="109" t="str">
        <f>IF(ISBLANK(K2490),IFERROR(VLOOKUP(I2490,FS_input_data!$C$458:$N$648,Export!J2490,FALSE),""),K2490)</f>
        <v/>
      </c>
      <c r="D2490" s="6"/>
      <c r="E2490" t="s">
        <v>1561</v>
      </c>
      <c r="F2490" s="6"/>
      <c r="G2490" s="117"/>
      <c r="H2490" s="6" t="s">
        <v>2189</v>
      </c>
      <c r="I2490" t="s">
        <v>1561</v>
      </c>
      <c r="J2490" t="s">
        <v>1561</v>
      </c>
      <c r="L2490" s="9" t="e">
        <f t="shared" si="141"/>
        <v>#VALUE!</v>
      </c>
    </row>
    <row r="2491" spans="1:12" x14ac:dyDescent="0.35">
      <c r="A2491">
        <f t="shared" si="142"/>
        <v>2490</v>
      </c>
      <c r="B2491" t="s">
        <v>732</v>
      </c>
      <c r="C2491" s="109" t="str">
        <f>IF(ISBLANK(K2491),IFERROR(VLOOKUP(I2491,FS_input_data!$C$458:$N$648,Export!J2491,FALSE),""),K2491)</f>
        <v/>
      </c>
      <c r="D2491" s="6"/>
      <c r="E2491" t="s">
        <v>1561</v>
      </c>
      <c r="F2491" s="6"/>
      <c r="G2491" s="117"/>
      <c r="H2491" s="6" t="s">
        <v>2189</v>
      </c>
      <c r="I2491" t="s">
        <v>1561</v>
      </c>
      <c r="J2491" t="s">
        <v>1561</v>
      </c>
      <c r="L2491" s="9" t="e">
        <f t="shared" si="141"/>
        <v>#VALUE!</v>
      </c>
    </row>
    <row r="2492" spans="1:12" x14ac:dyDescent="0.35">
      <c r="A2492" s="9">
        <f t="shared" si="142"/>
        <v>2491</v>
      </c>
      <c r="B2492" t="s">
        <v>103</v>
      </c>
      <c r="C2492" s="109" t="str">
        <f>IF(ISBLANK(K2492),IFERROR(VLOOKUP(I2492,FS_input_data!$C$458:$N$648,Export!J2492,FALSE),""),K2492)</f>
        <v/>
      </c>
      <c r="D2492" s="6"/>
      <c r="E2492" t="s">
        <v>1561</v>
      </c>
      <c r="F2492" s="6"/>
      <c r="G2492" s="117"/>
      <c r="H2492" s="6" t="s">
        <v>2189</v>
      </c>
      <c r="I2492">
        <v>0</v>
      </c>
      <c r="J2492">
        <v>0</v>
      </c>
      <c r="L2492" s="9" t="e">
        <f t="shared" si="141"/>
        <v>#VALUE!</v>
      </c>
    </row>
    <row r="2493" spans="1:12" x14ac:dyDescent="0.35">
      <c r="A2493">
        <f t="shared" si="142"/>
        <v>2492</v>
      </c>
      <c r="B2493" t="s">
        <v>104</v>
      </c>
      <c r="C2493" s="109" t="str">
        <f>IF(ISBLANK(K2493),IFERROR(VLOOKUP(I2493,FS_input_data!$C$458:$N$648,Export!J2493,FALSE),""),K2493)</f>
        <v/>
      </c>
      <c r="D2493" s="6"/>
      <c r="E2493" t="s">
        <v>1561</v>
      </c>
      <c r="F2493" s="6"/>
      <c r="G2493" s="117"/>
      <c r="H2493" s="6" t="s">
        <v>2189</v>
      </c>
      <c r="I2493" t="s">
        <v>1561</v>
      </c>
      <c r="J2493" t="s">
        <v>1561</v>
      </c>
      <c r="L2493">
        <f t="shared" si="141"/>
        <v>1</v>
      </c>
    </row>
    <row r="2494" spans="1:12" x14ac:dyDescent="0.35">
      <c r="A2494">
        <f t="shared" si="142"/>
        <v>2493</v>
      </c>
      <c r="B2494" t="s">
        <v>733</v>
      </c>
      <c r="C2494" s="109" t="str">
        <f>IF(ISBLANK(K2494),IFERROR(VLOOKUP(I2494,FS_input_data!$C$458:$N$648,Export!J2494,FALSE),""),K2494)</f>
        <v/>
      </c>
      <c r="D2494" s="6"/>
      <c r="E2494" t="s">
        <v>1561</v>
      </c>
      <c r="F2494" s="6"/>
      <c r="G2494" s="117"/>
      <c r="H2494" s="6" t="s">
        <v>2189</v>
      </c>
      <c r="I2494" t="s">
        <v>1561</v>
      </c>
      <c r="J2494" t="s">
        <v>1561</v>
      </c>
      <c r="L2494" s="9" t="e">
        <f t="shared" si="141"/>
        <v>#VALUE!</v>
      </c>
    </row>
    <row r="2495" spans="1:12" x14ac:dyDescent="0.35">
      <c r="A2495" s="9">
        <f t="shared" si="142"/>
        <v>2494</v>
      </c>
      <c r="B2495" t="s">
        <v>734</v>
      </c>
      <c r="C2495" s="109" t="str">
        <f>IF(ISBLANK(K2495),IFERROR(VLOOKUP(I2495,FS_input_data!$C$458:$N$648,Export!J2495,FALSE),""),K2495)</f>
        <v/>
      </c>
      <c r="D2495" s="6"/>
      <c r="E2495" t="s">
        <v>1561</v>
      </c>
      <c r="F2495" s="6"/>
      <c r="G2495" s="117"/>
      <c r="H2495" s="6" t="s">
        <v>2189</v>
      </c>
      <c r="I2495">
        <v>0</v>
      </c>
      <c r="J2495">
        <v>0</v>
      </c>
      <c r="L2495" s="9" t="e">
        <f t="shared" si="141"/>
        <v>#VALUE!</v>
      </c>
    </row>
    <row r="2496" spans="1:12" x14ac:dyDescent="0.35">
      <c r="A2496">
        <f t="shared" si="142"/>
        <v>2495</v>
      </c>
      <c r="B2496" t="s">
        <v>735</v>
      </c>
      <c r="C2496" s="109" t="str">
        <f>IF(ISBLANK(K2496),IFERROR(VLOOKUP(I2496,FS_input_data!$C$458:$N$648,Export!J2496,FALSE),""),K2496)</f>
        <v/>
      </c>
      <c r="D2496" s="6"/>
      <c r="E2496" t="s">
        <v>1561</v>
      </c>
      <c r="F2496" s="6"/>
      <c r="G2496" s="117"/>
      <c r="H2496" s="6" t="s">
        <v>2189</v>
      </c>
      <c r="I2496" t="s">
        <v>1561</v>
      </c>
      <c r="J2496" t="s">
        <v>1561</v>
      </c>
      <c r="L2496">
        <f t="shared" si="141"/>
        <v>1</v>
      </c>
    </row>
    <row r="2497" spans="1:12" x14ac:dyDescent="0.35">
      <c r="A2497" s="9">
        <f t="shared" si="142"/>
        <v>2496</v>
      </c>
      <c r="B2497" t="s">
        <v>736</v>
      </c>
      <c r="C2497" s="109" t="str">
        <f>IF(ISBLANK(K2497),IFERROR(VLOOKUP(I2497,FS_input_data!$C$458:$N$648,Export!J2497,FALSE),""),K2497)</f>
        <v/>
      </c>
      <c r="D2497" s="6"/>
      <c r="E2497" t="s">
        <v>1561</v>
      </c>
      <c r="F2497" s="6"/>
      <c r="G2497" s="117"/>
      <c r="H2497" s="6" t="s">
        <v>2189</v>
      </c>
      <c r="I2497">
        <v>0</v>
      </c>
      <c r="J2497">
        <v>0</v>
      </c>
      <c r="L2497" s="9" t="e">
        <f t="shared" si="141"/>
        <v>#VALUE!</v>
      </c>
    </row>
    <row r="2498" spans="1:12" x14ac:dyDescent="0.35">
      <c r="A2498">
        <f t="shared" si="142"/>
        <v>2497</v>
      </c>
      <c r="B2498" t="s">
        <v>737</v>
      </c>
      <c r="C2498" s="109" t="str">
        <f>IF(ISBLANK(K2498),IFERROR(VLOOKUP(I2498,FS_input_data!$C$458:$N$648,Export!J2498,FALSE),""),K2498)</f>
        <v/>
      </c>
      <c r="D2498" s="6"/>
      <c r="E2498" t="s">
        <v>1561</v>
      </c>
      <c r="F2498" s="6"/>
      <c r="G2498" s="117"/>
      <c r="H2498" s="6" t="s">
        <v>2189</v>
      </c>
      <c r="I2498" t="s">
        <v>1561</v>
      </c>
      <c r="J2498" t="s">
        <v>1561</v>
      </c>
      <c r="L2498">
        <f t="shared" ref="L2498:L2561" si="144">FIND("/",B2498)</f>
        <v>1</v>
      </c>
    </row>
    <row r="2499" spans="1:12" x14ac:dyDescent="0.35">
      <c r="A2499">
        <f t="shared" ref="A2499:A2562" si="145">A2498+1</f>
        <v>2498</v>
      </c>
      <c r="B2499" t="s">
        <v>738</v>
      </c>
      <c r="C2499" s="109" t="str">
        <f>IF(ISBLANK(K2499),IFERROR(VLOOKUP(I2499,FS_input_data!$C$458:$N$648,Export!J2499,FALSE),""),K2499)</f>
        <v/>
      </c>
      <c r="D2499" s="6"/>
      <c r="E2499" t="s">
        <v>1561</v>
      </c>
      <c r="F2499" s="6"/>
      <c r="G2499" s="117"/>
      <c r="H2499" s="6" t="s">
        <v>2189</v>
      </c>
      <c r="I2499" t="s">
        <v>1561</v>
      </c>
      <c r="J2499" t="s">
        <v>1561</v>
      </c>
      <c r="L2499">
        <f t="shared" si="144"/>
        <v>1</v>
      </c>
    </row>
    <row r="2500" spans="1:12" x14ac:dyDescent="0.35">
      <c r="A2500">
        <f t="shared" si="145"/>
        <v>2499</v>
      </c>
      <c r="B2500" t="s">
        <v>739</v>
      </c>
      <c r="C2500" s="109" t="str">
        <f>IF(ISBLANK(K2500),IFERROR(VLOOKUP(I2500,FS_input_data!$C$458:$N$648,Export!J2500,FALSE),""),K2500)</f>
        <v/>
      </c>
      <c r="D2500" s="6"/>
      <c r="E2500" t="s">
        <v>1561</v>
      </c>
      <c r="F2500" s="6"/>
      <c r="G2500" s="117"/>
      <c r="H2500" s="6" t="s">
        <v>2189</v>
      </c>
      <c r="I2500" t="s">
        <v>1561</v>
      </c>
      <c r="J2500" t="s">
        <v>1561</v>
      </c>
      <c r="L2500">
        <f t="shared" si="144"/>
        <v>1</v>
      </c>
    </row>
    <row r="2501" spans="1:12" x14ac:dyDescent="0.35">
      <c r="A2501">
        <f t="shared" si="145"/>
        <v>2500</v>
      </c>
      <c r="B2501" t="s">
        <v>740</v>
      </c>
      <c r="C2501" s="109" t="str">
        <f>IF(ISBLANK(K2501),IFERROR(VLOOKUP(I2501,FS_input_data!$C$458:$N$648,Export!J2501,FALSE),""),K2501)</f>
        <v/>
      </c>
      <c r="D2501" s="6"/>
      <c r="E2501" t="s">
        <v>1561</v>
      </c>
      <c r="F2501" s="6"/>
      <c r="G2501" s="117"/>
      <c r="H2501" s="6" t="s">
        <v>2189</v>
      </c>
      <c r="I2501" t="s">
        <v>1561</v>
      </c>
      <c r="J2501" t="s">
        <v>1561</v>
      </c>
      <c r="L2501" s="9" t="e">
        <f t="shared" si="144"/>
        <v>#VALUE!</v>
      </c>
    </row>
    <row r="2502" spans="1:12" x14ac:dyDescent="0.35">
      <c r="A2502">
        <f t="shared" si="145"/>
        <v>2501</v>
      </c>
      <c r="B2502" t="s">
        <v>741</v>
      </c>
      <c r="C2502" s="109" t="str">
        <f>IF(ISBLANK(K2502),IFERROR(VLOOKUP(I2502,FS_input_data!$C$458:$N$648,Export!J2502,FALSE),""),K2502)</f>
        <v/>
      </c>
      <c r="D2502" s="6"/>
      <c r="E2502" s="43" t="s">
        <v>2229</v>
      </c>
      <c r="F2502" s="6"/>
      <c r="G2502" s="117"/>
      <c r="H2502" s="6" t="s">
        <v>2189</v>
      </c>
      <c r="I2502" t="s">
        <v>1561</v>
      </c>
      <c r="J2502" t="s">
        <v>1561</v>
      </c>
      <c r="L2502" s="9" t="e">
        <f t="shared" si="144"/>
        <v>#VALUE!</v>
      </c>
    </row>
    <row r="2503" spans="1:12" x14ac:dyDescent="0.35">
      <c r="A2503" s="9">
        <f t="shared" si="145"/>
        <v>2502</v>
      </c>
      <c r="B2503" t="s">
        <v>742</v>
      </c>
      <c r="C2503" s="109">
        <f>IF(ISBLANK(K2503),IFERROR(VLOOKUP(I2503,FS_input_data!$C$458:$N$648,Export!J2503,FALSE),""),K2503)</f>
        <v>1</v>
      </c>
      <c r="D2503" s="6" t="b">
        <v>1</v>
      </c>
      <c r="E2503" t="s">
        <v>1561</v>
      </c>
      <c r="F2503" s="6"/>
      <c r="G2503" s="117"/>
      <c r="H2503" s="6" t="s">
        <v>2189</v>
      </c>
      <c r="I2503" t="s">
        <v>1793</v>
      </c>
      <c r="J2503">
        <v>7</v>
      </c>
      <c r="L2503" s="9" t="e">
        <f t="shared" si="144"/>
        <v>#VALUE!</v>
      </c>
    </row>
    <row r="2504" spans="1:12" x14ac:dyDescent="0.35">
      <c r="A2504">
        <f t="shared" si="145"/>
        <v>2503</v>
      </c>
      <c r="B2504" t="s">
        <v>743</v>
      </c>
      <c r="C2504" s="109" t="str">
        <f>IF(ISBLANK(K2504),IFERROR(VLOOKUP(I2504,FS_input_data!$C$458:$N$648,Export!J2504,FALSE),""),K2504)</f>
        <v/>
      </c>
      <c r="D2504" s="6"/>
      <c r="E2504" t="s">
        <v>1561</v>
      </c>
      <c r="F2504" s="6"/>
      <c r="G2504" s="117"/>
      <c r="H2504" s="6" t="s">
        <v>2189</v>
      </c>
      <c r="I2504" t="s">
        <v>1561</v>
      </c>
      <c r="J2504" t="s">
        <v>1561</v>
      </c>
      <c r="L2504">
        <f t="shared" si="144"/>
        <v>1</v>
      </c>
    </row>
    <row r="2505" spans="1:12" x14ac:dyDescent="0.35">
      <c r="A2505" s="9">
        <f t="shared" si="145"/>
        <v>2504</v>
      </c>
      <c r="B2505" t="s">
        <v>744</v>
      </c>
      <c r="C2505" s="109">
        <f>IF(ISBLANK(K2505),IFERROR(VLOOKUP(I2505,FS_input_data!$C$458:$N$648,Export!J2505,FALSE),""),K2505)</f>
        <v>2</v>
      </c>
      <c r="D2505" s="6" t="b">
        <v>0</v>
      </c>
      <c r="E2505" t="s">
        <v>1561</v>
      </c>
      <c r="F2505" s="6"/>
      <c r="G2505" s="117"/>
      <c r="H2505" s="6" t="s">
        <v>2189</v>
      </c>
      <c r="I2505" t="s">
        <v>1793</v>
      </c>
      <c r="J2505">
        <v>10</v>
      </c>
      <c r="L2505" s="9" t="e">
        <f t="shared" si="144"/>
        <v>#VALUE!</v>
      </c>
    </row>
    <row r="2506" spans="1:12" x14ac:dyDescent="0.35">
      <c r="A2506">
        <f t="shared" si="145"/>
        <v>2505</v>
      </c>
      <c r="B2506" t="s">
        <v>745</v>
      </c>
      <c r="C2506" s="109" t="str">
        <f>IF(ISBLANK(K2506),IFERROR(VLOOKUP(I2506,FS_input_data!$C$458:$N$648,Export!J2506,FALSE),""),K2506)</f>
        <v/>
      </c>
      <c r="D2506" s="6"/>
      <c r="E2506" t="s">
        <v>1561</v>
      </c>
      <c r="F2506" s="6"/>
      <c r="G2506" s="117"/>
      <c r="H2506" s="6" t="s">
        <v>2189</v>
      </c>
      <c r="I2506" t="s">
        <v>1561</v>
      </c>
      <c r="J2506" t="s">
        <v>1561</v>
      </c>
      <c r="L2506">
        <f t="shared" si="144"/>
        <v>1</v>
      </c>
    </row>
    <row r="2507" spans="1:12" x14ac:dyDescent="0.35">
      <c r="A2507">
        <f t="shared" si="145"/>
        <v>2506</v>
      </c>
      <c r="B2507" t="s">
        <v>746</v>
      </c>
      <c r="C2507" s="109" t="str">
        <f>IF(ISBLANK(K2507),IFERROR(VLOOKUP(I2507,FS_input_data!$C$458:$N$648,Export!J2507,FALSE),""),K2507)</f>
        <v/>
      </c>
      <c r="D2507" s="6"/>
      <c r="E2507" t="s">
        <v>1561</v>
      </c>
      <c r="F2507" s="6"/>
      <c r="G2507" s="117"/>
      <c r="H2507" s="6" t="s">
        <v>2189</v>
      </c>
      <c r="I2507" t="s">
        <v>1561</v>
      </c>
      <c r="J2507" t="s">
        <v>1561</v>
      </c>
      <c r="L2507">
        <f t="shared" si="144"/>
        <v>1</v>
      </c>
    </row>
    <row r="2508" spans="1:12" x14ac:dyDescent="0.35">
      <c r="A2508">
        <f t="shared" si="145"/>
        <v>2507</v>
      </c>
      <c r="B2508" t="s">
        <v>747</v>
      </c>
      <c r="C2508" s="109" t="str">
        <f>IF(ISBLANK(K2508),IFERROR(VLOOKUP(I2508,FS_input_data!$C$458:$N$648,Export!J2508,FALSE),""),K2508)</f>
        <v/>
      </c>
      <c r="D2508" s="6"/>
      <c r="E2508" s="43" t="s">
        <v>2230</v>
      </c>
      <c r="F2508" s="6"/>
      <c r="G2508" s="117"/>
      <c r="H2508" s="6" t="s">
        <v>2189</v>
      </c>
      <c r="I2508" t="s">
        <v>1561</v>
      </c>
      <c r="J2508" t="s">
        <v>1561</v>
      </c>
      <c r="L2508" s="9" t="e">
        <f t="shared" si="144"/>
        <v>#VALUE!</v>
      </c>
    </row>
    <row r="2509" spans="1:12" x14ac:dyDescent="0.35">
      <c r="A2509">
        <f t="shared" si="145"/>
        <v>2508</v>
      </c>
      <c r="B2509" t="s">
        <v>748</v>
      </c>
      <c r="C2509" s="109" t="str">
        <f>IF(ISBLANK(K2509),IFERROR(VLOOKUP(I2509,FS_input_data!$C$458:$N$648,Export!J2509,FALSE),""),K2509)</f>
        <v/>
      </c>
      <c r="D2509" s="6"/>
      <c r="E2509" t="s">
        <v>1561</v>
      </c>
      <c r="F2509" s="6"/>
      <c r="G2509" s="117"/>
      <c r="H2509" s="6" t="s">
        <v>2189</v>
      </c>
      <c r="I2509" t="s">
        <v>1561</v>
      </c>
      <c r="J2509" t="s">
        <v>1561</v>
      </c>
      <c r="L2509" s="9" t="e">
        <f t="shared" si="144"/>
        <v>#VALUE!</v>
      </c>
    </row>
    <row r="2510" spans="1:12" x14ac:dyDescent="0.35">
      <c r="A2510">
        <f t="shared" si="145"/>
        <v>2509</v>
      </c>
      <c r="B2510" t="s">
        <v>742</v>
      </c>
      <c r="C2510" s="109" t="str">
        <f>IF(ISBLANK(K2510),IFERROR(VLOOKUP(I2510,FS_input_data!$C$458:$N$648,Export!J2510,FALSE),""),K2510)</f>
        <v/>
      </c>
      <c r="D2510" s="6"/>
      <c r="E2510" t="s">
        <v>1561</v>
      </c>
      <c r="F2510" s="6"/>
      <c r="G2510" s="117"/>
      <c r="H2510" s="6" t="s">
        <v>2189</v>
      </c>
      <c r="I2510" t="s">
        <v>1561</v>
      </c>
      <c r="J2510" t="s">
        <v>1561</v>
      </c>
      <c r="L2510" s="9" t="e">
        <f t="shared" si="144"/>
        <v>#VALUE!</v>
      </c>
    </row>
    <row r="2511" spans="1:12" x14ac:dyDescent="0.35">
      <c r="A2511" s="9">
        <f t="shared" si="145"/>
        <v>2510</v>
      </c>
      <c r="B2511" t="s">
        <v>109</v>
      </c>
      <c r="C2511" s="109">
        <f>IF(ISBLANK(K2511),IFERROR(VLOOKUP(I2511,FS_input_data!$C$458:$N$648,Export!J2511,FALSE),""),K2511)</f>
        <v>22000</v>
      </c>
      <c r="D2511" s="6" t="b">
        <v>1</v>
      </c>
      <c r="E2511" t="s">
        <v>1561</v>
      </c>
      <c r="F2511" s="6"/>
      <c r="G2511" s="117"/>
      <c r="H2511" s="6" t="s">
        <v>2189</v>
      </c>
      <c r="I2511" t="s">
        <v>2193</v>
      </c>
      <c r="J2511">
        <v>7</v>
      </c>
      <c r="L2511" s="9" t="e">
        <f t="shared" si="144"/>
        <v>#VALUE!</v>
      </c>
    </row>
    <row r="2512" spans="1:12" x14ac:dyDescent="0.35">
      <c r="A2512">
        <f t="shared" si="145"/>
        <v>2511</v>
      </c>
      <c r="B2512" t="s">
        <v>110</v>
      </c>
      <c r="C2512" s="109" t="str">
        <f>IF(ISBLANK(K2512),IFERROR(VLOOKUP(I2512,FS_input_data!$C$458:$N$648,Export!J2512,FALSE),""),K2512)</f>
        <v/>
      </c>
      <c r="D2512" s="6"/>
      <c r="E2512" t="s">
        <v>1561</v>
      </c>
      <c r="F2512" s="6"/>
      <c r="G2512" s="117"/>
      <c r="H2512" s="6" t="s">
        <v>2189</v>
      </c>
      <c r="I2512" t="s">
        <v>1561</v>
      </c>
      <c r="J2512" t="s">
        <v>1561</v>
      </c>
      <c r="L2512">
        <f t="shared" si="144"/>
        <v>1</v>
      </c>
    </row>
    <row r="2513" spans="1:21" x14ac:dyDescent="0.35">
      <c r="A2513" s="9">
        <f t="shared" si="145"/>
        <v>2512</v>
      </c>
      <c r="B2513" t="s">
        <v>111</v>
      </c>
      <c r="C2513" s="109">
        <f>IF(ISBLANK(K2513),IFERROR(VLOOKUP(I2513,FS_input_data!$C$458:$N$648,Export!J2513,FALSE),""),K2513)</f>
        <v>11000</v>
      </c>
      <c r="D2513" s="6" t="b">
        <v>0</v>
      </c>
      <c r="E2513" t="s">
        <v>1561</v>
      </c>
      <c r="F2513" s="6"/>
      <c r="G2513" s="117"/>
      <c r="H2513" s="6" t="s">
        <v>2189</v>
      </c>
      <c r="I2513" t="s">
        <v>2193</v>
      </c>
      <c r="J2513">
        <v>8</v>
      </c>
      <c r="L2513" s="9" t="e">
        <f t="shared" si="144"/>
        <v>#VALUE!</v>
      </c>
    </row>
    <row r="2514" spans="1:21" x14ac:dyDescent="0.35">
      <c r="A2514">
        <f t="shared" si="145"/>
        <v>2513</v>
      </c>
      <c r="B2514" t="s">
        <v>112</v>
      </c>
      <c r="C2514" s="109" t="str">
        <f>IF(ISBLANK(K2514),IFERROR(VLOOKUP(I2514,FS_input_data!$C$458:$N$648,Export!J2514,FALSE),""),K2514)</f>
        <v/>
      </c>
      <c r="D2514" s="6"/>
      <c r="E2514" t="s">
        <v>1561</v>
      </c>
      <c r="F2514" s="6"/>
      <c r="G2514" s="117"/>
      <c r="H2514" s="6" t="s">
        <v>2189</v>
      </c>
      <c r="I2514" t="s">
        <v>1561</v>
      </c>
      <c r="J2514" t="s">
        <v>1561</v>
      </c>
      <c r="L2514">
        <f t="shared" si="144"/>
        <v>1</v>
      </c>
    </row>
    <row r="2515" spans="1:21" x14ac:dyDescent="0.35">
      <c r="A2515" s="9">
        <f t="shared" si="145"/>
        <v>2514</v>
      </c>
      <c r="B2515" t="s">
        <v>749</v>
      </c>
      <c r="C2515" s="109">
        <f>IF(ISBLANK(K2515),IFERROR(VLOOKUP(I2515,FS_input_data!$C$458:$N$648,Export!J2515,FALSE),""),K2515)</f>
        <v>11000</v>
      </c>
      <c r="D2515" s="6" t="b">
        <v>0</v>
      </c>
      <c r="E2515" t="s">
        <v>1561</v>
      </c>
      <c r="F2515" s="6"/>
      <c r="G2515" s="117"/>
      <c r="H2515" s="6" t="s">
        <v>2189</v>
      </c>
      <c r="I2515" t="s">
        <v>2193</v>
      </c>
      <c r="J2515">
        <v>9</v>
      </c>
      <c r="L2515" s="9" t="e">
        <f t="shared" si="144"/>
        <v>#VALUE!</v>
      </c>
    </row>
    <row r="2516" spans="1:21" x14ac:dyDescent="0.35">
      <c r="A2516">
        <f t="shared" si="145"/>
        <v>2515</v>
      </c>
      <c r="B2516" t="s">
        <v>750</v>
      </c>
      <c r="C2516" s="109" t="str">
        <f>IF(ISBLANK(K2516),IFERROR(VLOOKUP(I2516,FS_input_data!$C$458:$N$648,Export!J2516,FALSE),""),K2516)</f>
        <v/>
      </c>
      <c r="D2516" s="6"/>
      <c r="E2516" t="s">
        <v>1561</v>
      </c>
      <c r="F2516" s="6"/>
      <c r="G2516" s="117"/>
      <c r="H2516" s="6" t="s">
        <v>2189</v>
      </c>
      <c r="I2516" t="s">
        <v>1561</v>
      </c>
      <c r="J2516" t="s">
        <v>1561</v>
      </c>
      <c r="L2516">
        <f t="shared" si="144"/>
        <v>1</v>
      </c>
    </row>
    <row r="2517" spans="1:21" x14ac:dyDescent="0.35">
      <c r="A2517">
        <f t="shared" si="145"/>
        <v>2516</v>
      </c>
      <c r="B2517" t="s">
        <v>743</v>
      </c>
      <c r="C2517" s="109" t="str">
        <f>IF(ISBLANK(K2517),IFERROR(VLOOKUP(I2517,FS_input_data!$C$458:$N$648,Export!J2517,FALSE),""),K2517)</f>
        <v/>
      </c>
      <c r="D2517" s="6"/>
      <c r="E2517" t="s">
        <v>1561</v>
      </c>
      <c r="F2517" s="6"/>
      <c r="G2517" s="117"/>
      <c r="H2517" s="6" t="s">
        <v>2189</v>
      </c>
      <c r="I2517" t="s">
        <v>1561</v>
      </c>
      <c r="J2517" t="s">
        <v>1561</v>
      </c>
      <c r="L2517">
        <f t="shared" si="144"/>
        <v>1</v>
      </c>
    </row>
    <row r="2518" spans="1:21" x14ac:dyDescent="0.35">
      <c r="A2518">
        <f t="shared" si="145"/>
        <v>2517</v>
      </c>
      <c r="B2518" t="s">
        <v>744</v>
      </c>
      <c r="C2518" s="109" t="str">
        <f>IF(ISBLANK(K2518),IFERROR(VLOOKUP(I2518,FS_input_data!$C$458:$N$648,Export!J2518,FALSE),""),K2518)</f>
        <v/>
      </c>
      <c r="D2518" s="6"/>
      <c r="E2518" t="s">
        <v>1561</v>
      </c>
      <c r="F2518" s="6" t="s">
        <v>2227</v>
      </c>
      <c r="G2518" s="6" t="b">
        <f t="shared" ref="G2518:G2525" si="146">RP_tax</f>
        <v>1</v>
      </c>
      <c r="H2518" s="6" t="s">
        <v>2189</v>
      </c>
      <c r="I2518" t="s">
        <v>1561</v>
      </c>
      <c r="J2518" t="s">
        <v>1561</v>
      </c>
      <c r="L2518" s="9" t="e">
        <f t="shared" si="144"/>
        <v>#VALUE!</v>
      </c>
    </row>
    <row r="2519" spans="1:21" x14ac:dyDescent="0.35">
      <c r="A2519" s="9">
        <f t="shared" si="145"/>
        <v>2518</v>
      </c>
      <c r="B2519" t="s">
        <v>109</v>
      </c>
      <c r="C2519" s="109">
        <f>IF(ISBLANK(K2519),IFERROR(VLOOKUP(I2519,FS_input_data!$C$458:$N$648,Export!J2519,FALSE),""),K2519)</f>
        <v>22000</v>
      </c>
      <c r="D2519" s="6" t="b">
        <v>0</v>
      </c>
      <c r="E2519" t="s">
        <v>1561</v>
      </c>
      <c r="F2519" s="6" t="s">
        <v>2227</v>
      </c>
      <c r="G2519" s="6" t="b">
        <f t="shared" si="146"/>
        <v>1</v>
      </c>
      <c r="H2519" s="6" t="s">
        <v>2189</v>
      </c>
      <c r="I2519" t="s">
        <v>2193</v>
      </c>
      <c r="J2519">
        <v>10</v>
      </c>
      <c r="L2519" s="9" t="e">
        <f t="shared" si="144"/>
        <v>#VALUE!</v>
      </c>
    </row>
    <row r="2520" spans="1:21" x14ac:dyDescent="0.35">
      <c r="A2520">
        <f t="shared" si="145"/>
        <v>2519</v>
      </c>
      <c r="B2520" t="s">
        <v>110</v>
      </c>
      <c r="C2520" s="109" t="str">
        <f>IF(ISBLANK(K2520),IFERROR(VLOOKUP(I2520,FS_input_data!$C$458:$N$648,Export!J2520,FALSE),""),K2520)</f>
        <v/>
      </c>
      <c r="D2520" s="6"/>
      <c r="E2520" t="s">
        <v>1561</v>
      </c>
      <c r="F2520" s="6" t="s">
        <v>2227</v>
      </c>
      <c r="G2520" s="6" t="b">
        <f t="shared" si="146"/>
        <v>1</v>
      </c>
      <c r="H2520" s="6" t="s">
        <v>2189</v>
      </c>
      <c r="I2520" t="s">
        <v>1561</v>
      </c>
      <c r="J2520" t="s">
        <v>1561</v>
      </c>
      <c r="L2520">
        <f t="shared" si="144"/>
        <v>1</v>
      </c>
    </row>
    <row r="2521" spans="1:21" x14ac:dyDescent="0.35">
      <c r="A2521" s="9">
        <f t="shared" si="145"/>
        <v>2520</v>
      </c>
      <c r="B2521" t="s">
        <v>111</v>
      </c>
      <c r="C2521" s="109">
        <f>IF(ISBLANK(K2521),IFERROR(VLOOKUP(I2521,FS_input_data!$C$458:$N$648,Export!J2521,FALSE),""),K2521)</f>
        <v>11000</v>
      </c>
      <c r="D2521" s="6" t="b">
        <v>0</v>
      </c>
      <c r="E2521" t="s">
        <v>1561</v>
      </c>
      <c r="F2521" s="6" t="s">
        <v>2227</v>
      </c>
      <c r="G2521" s="6" t="b">
        <f t="shared" si="146"/>
        <v>1</v>
      </c>
      <c r="H2521" s="6" t="s">
        <v>2189</v>
      </c>
      <c r="I2521" t="s">
        <v>2193</v>
      </c>
      <c r="J2521">
        <v>11</v>
      </c>
      <c r="L2521" s="9" t="e">
        <f t="shared" si="144"/>
        <v>#VALUE!</v>
      </c>
    </row>
    <row r="2522" spans="1:21" x14ac:dyDescent="0.35">
      <c r="A2522">
        <f t="shared" si="145"/>
        <v>2521</v>
      </c>
      <c r="B2522" t="s">
        <v>112</v>
      </c>
      <c r="C2522" s="109" t="str">
        <f>IF(ISBLANK(K2522),IFERROR(VLOOKUP(I2522,FS_input_data!$C$458:$N$648,Export!J2522,FALSE),""),K2522)</f>
        <v/>
      </c>
      <c r="D2522" s="6"/>
      <c r="E2522" t="s">
        <v>1561</v>
      </c>
      <c r="F2522" s="6" t="s">
        <v>2227</v>
      </c>
      <c r="G2522" s="6" t="b">
        <f t="shared" si="146"/>
        <v>1</v>
      </c>
      <c r="H2522" s="6" t="s">
        <v>2189</v>
      </c>
      <c r="I2522" t="s">
        <v>1561</v>
      </c>
      <c r="J2522" t="s">
        <v>1561</v>
      </c>
      <c r="L2522">
        <f t="shared" si="144"/>
        <v>1</v>
      </c>
    </row>
    <row r="2523" spans="1:21" x14ac:dyDescent="0.35">
      <c r="A2523" s="9">
        <f t="shared" si="145"/>
        <v>2522</v>
      </c>
      <c r="B2523" t="s">
        <v>749</v>
      </c>
      <c r="C2523" s="109">
        <f>IF(ISBLANK(K2523),IFERROR(VLOOKUP(I2523,FS_input_data!$C$458:$N$648,Export!J2523,FALSE),""),K2523)</f>
        <v>11000</v>
      </c>
      <c r="D2523" s="6" t="b">
        <v>0</v>
      </c>
      <c r="E2523" t="s">
        <v>1561</v>
      </c>
      <c r="F2523" s="6" t="s">
        <v>2227</v>
      </c>
      <c r="G2523" s="6" t="b">
        <f t="shared" si="146"/>
        <v>1</v>
      </c>
      <c r="H2523" s="6" t="s">
        <v>2189</v>
      </c>
      <c r="I2523" t="s">
        <v>2193</v>
      </c>
      <c r="J2523">
        <v>12</v>
      </c>
      <c r="L2523" s="9" t="e">
        <f t="shared" si="144"/>
        <v>#VALUE!</v>
      </c>
    </row>
    <row r="2524" spans="1:21" x14ac:dyDescent="0.35">
      <c r="A2524">
        <f t="shared" si="145"/>
        <v>2523</v>
      </c>
      <c r="B2524" t="s">
        <v>750</v>
      </c>
      <c r="C2524" s="109" t="str">
        <f>IF(ISBLANK(K2524),IFERROR(VLOOKUP(I2524,FS_input_data!$C$458:$N$648,Export!J2524,FALSE),""),K2524)</f>
        <v/>
      </c>
      <c r="D2524" s="6"/>
      <c r="E2524" t="s">
        <v>1561</v>
      </c>
      <c r="F2524" s="6" t="s">
        <v>2227</v>
      </c>
      <c r="G2524" s="6" t="b">
        <f t="shared" si="146"/>
        <v>1</v>
      </c>
      <c r="H2524" s="6" t="s">
        <v>2189</v>
      </c>
      <c r="I2524" t="s">
        <v>1561</v>
      </c>
      <c r="J2524" t="s">
        <v>1561</v>
      </c>
      <c r="L2524">
        <f t="shared" si="144"/>
        <v>1</v>
      </c>
    </row>
    <row r="2525" spans="1:21" x14ac:dyDescent="0.35">
      <c r="A2525">
        <f t="shared" si="145"/>
        <v>2524</v>
      </c>
      <c r="B2525" t="s">
        <v>745</v>
      </c>
      <c r="C2525" s="109" t="str">
        <f>IF(ISBLANK(K2525),IFERROR(VLOOKUP(I2525,FS_input_data!$C$458:$N$648,Export!J2525,FALSE),""),K2525)</f>
        <v/>
      </c>
      <c r="D2525" s="6"/>
      <c r="E2525" t="s">
        <v>1561</v>
      </c>
      <c r="F2525" s="6" t="s">
        <v>2227</v>
      </c>
      <c r="G2525" s="6" t="b">
        <f t="shared" si="146"/>
        <v>1</v>
      </c>
      <c r="H2525" s="6" t="s">
        <v>2189</v>
      </c>
      <c r="I2525" t="s">
        <v>1561</v>
      </c>
      <c r="J2525" t="s">
        <v>1561</v>
      </c>
      <c r="L2525">
        <f t="shared" si="144"/>
        <v>1</v>
      </c>
    </row>
    <row r="2526" spans="1:21" x14ac:dyDescent="0.35">
      <c r="A2526">
        <f t="shared" si="145"/>
        <v>2525</v>
      </c>
      <c r="B2526" t="s">
        <v>751</v>
      </c>
      <c r="C2526" s="109" t="str">
        <f>IF(ISBLANK(K2526),IFERROR(VLOOKUP(I2526,FS_input_data!$C$458:$N$648,Export!J2526,FALSE),""),K2526)</f>
        <v/>
      </c>
      <c r="D2526" s="6"/>
      <c r="E2526" t="s">
        <v>1561</v>
      </c>
      <c r="F2526" s="6"/>
      <c r="G2526" s="6"/>
      <c r="H2526" s="6" t="s">
        <v>2189</v>
      </c>
      <c r="I2526" t="s">
        <v>1561</v>
      </c>
      <c r="J2526" t="s">
        <v>1561</v>
      </c>
      <c r="L2526">
        <f t="shared" si="144"/>
        <v>1</v>
      </c>
    </row>
    <row r="2527" spans="1:21" s="101" customFormat="1" x14ac:dyDescent="0.35">
      <c r="A2527" s="101">
        <f t="shared" si="145"/>
        <v>2526</v>
      </c>
      <c r="B2527" s="101" t="s">
        <v>752</v>
      </c>
      <c r="C2527" s="110" t="str">
        <f>IF(ISBLANK(K2527),IFERROR(VLOOKUP(I2527,FS_input_data!$C$458:$N$648,Export!J2527,FALSE),""),K2527)</f>
        <v/>
      </c>
      <c r="D2527" s="102"/>
      <c r="E2527" s="101" t="s">
        <v>1561</v>
      </c>
      <c r="F2527" s="101" t="s">
        <v>1794</v>
      </c>
      <c r="G2527" s="101" t="b">
        <f>VLOOKUP($I$2528,FS_input_data!$C$458:$N$648,Export!$J$2528,FALSE)=""</f>
        <v>0</v>
      </c>
      <c r="H2527" s="102" t="s">
        <v>2189</v>
      </c>
      <c r="I2527" s="101" t="s">
        <v>1561</v>
      </c>
      <c r="J2527" s="101" t="s">
        <v>1561</v>
      </c>
      <c r="L2527" s="101" t="e">
        <f t="shared" si="144"/>
        <v>#VALUE!</v>
      </c>
      <c r="M2527" s="103"/>
      <c r="N2527" s="103"/>
      <c r="O2527" s="104"/>
      <c r="P2527" s="104"/>
      <c r="Q2527" s="104"/>
      <c r="R2527" s="104"/>
      <c r="S2527" s="104"/>
      <c r="T2527" s="104"/>
      <c r="U2527" s="104"/>
    </row>
    <row r="2528" spans="1:21" s="101" customFormat="1" x14ac:dyDescent="0.35">
      <c r="A2528" s="101">
        <f t="shared" si="145"/>
        <v>2527</v>
      </c>
      <c r="B2528" s="101" t="s">
        <v>101</v>
      </c>
      <c r="C2528" s="110" t="str">
        <f>IF(ISBLANK(K2528),IFERROR(VLOOKUP(I2528,FS_input_data!$C$458:$N$648,Export!J2528,FALSE),""),K2528)</f>
        <v>OB1</v>
      </c>
      <c r="D2528" s="102" t="b">
        <v>1</v>
      </c>
      <c r="E2528" s="101" t="s">
        <v>1561</v>
      </c>
      <c r="F2528" s="101" t="s">
        <v>1794</v>
      </c>
      <c r="G2528" s="101" t="b">
        <f>VLOOKUP($I$2528,FS_input_data!$C$458:$N$648,Export!$J$2528,FALSE)=""</f>
        <v>0</v>
      </c>
      <c r="H2528" s="102" t="s">
        <v>2189</v>
      </c>
      <c r="I2528" s="101" t="s">
        <v>1794</v>
      </c>
      <c r="J2528" s="101">
        <v>6</v>
      </c>
      <c r="L2528" s="101" t="e">
        <f t="shared" si="144"/>
        <v>#VALUE!</v>
      </c>
      <c r="M2528" s="103"/>
      <c r="N2528" s="103"/>
      <c r="O2528" s="104"/>
      <c r="P2528" s="104"/>
      <c r="Q2528" s="104"/>
      <c r="R2528" s="104"/>
      <c r="S2528" s="104"/>
      <c r="T2528" s="104"/>
      <c r="U2528" s="104"/>
    </row>
    <row r="2529" spans="1:21" s="101" customFormat="1" x14ac:dyDescent="0.35">
      <c r="A2529" s="101">
        <f t="shared" si="145"/>
        <v>2528</v>
      </c>
      <c r="B2529" s="101" t="s">
        <v>102</v>
      </c>
      <c r="C2529" s="110" t="str">
        <f>IF(ISBLANK(K2529),IFERROR(VLOOKUP(I2529,FS_input_data!$C$458:$N$648,Export!J2529,FALSE),""),K2529)</f>
        <v/>
      </c>
      <c r="D2529" s="102"/>
      <c r="E2529" s="101" t="s">
        <v>1561</v>
      </c>
      <c r="F2529" s="101" t="s">
        <v>1794</v>
      </c>
      <c r="G2529" s="101" t="b">
        <f>VLOOKUP($I$2528,FS_input_data!$C$458:$N$648,Export!$J$2528,FALSE)=""</f>
        <v>0</v>
      </c>
      <c r="H2529" s="102" t="s">
        <v>2189</v>
      </c>
      <c r="I2529" s="101" t="s">
        <v>1561</v>
      </c>
      <c r="J2529" s="101" t="s">
        <v>1561</v>
      </c>
      <c r="L2529" s="101">
        <f t="shared" si="144"/>
        <v>1</v>
      </c>
      <c r="M2529" s="103"/>
      <c r="N2529" s="103"/>
      <c r="O2529" s="104"/>
      <c r="P2529" s="104"/>
      <c r="Q2529" s="104"/>
      <c r="R2529" s="104"/>
      <c r="S2529" s="104"/>
      <c r="T2529" s="104"/>
      <c r="U2529" s="104"/>
    </row>
    <row r="2530" spans="1:21" s="101" customFormat="1" x14ac:dyDescent="0.35">
      <c r="A2530" s="101">
        <f t="shared" si="145"/>
        <v>2529</v>
      </c>
      <c r="B2530" s="101" t="s">
        <v>753</v>
      </c>
      <c r="C2530" s="110" t="str">
        <f>IF(ISBLANK(K2530),IFERROR(VLOOKUP(I2530,FS_input_data!$C$458:$N$648,Export!J2530,FALSE),""),K2530)</f>
        <v/>
      </c>
      <c r="D2530" s="102"/>
      <c r="E2530" s="101" t="s">
        <v>1561</v>
      </c>
      <c r="F2530" s="101" t="s">
        <v>1794</v>
      </c>
      <c r="G2530" s="101" t="b">
        <f>VLOOKUP($I$2528,FS_input_data!$C$458:$N$648,Export!$J$2528,FALSE)=""</f>
        <v>0</v>
      </c>
      <c r="H2530" s="102" t="s">
        <v>2189</v>
      </c>
      <c r="I2530" s="101" t="s">
        <v>1561</v>
      </c>
      <c r="J2530" s="101" t="s">
        <v>1561</v>
      </c>
      <c r="L2530" s="101" t="e">
        <f t="shared" si="144"/>
        <v>#VALUE!</v>
      </c>
      <c r="M2530" s="103"/>
      <c r="N2530" s="103"/>
      <c r="O2530" s="104"/>
      <c r="P2530" s="104"/>
      <c r="Q2530" s="104"/>
      <c r="R2530" s="104"/>
      <c r="S2530" s="104"/>
      <c r="T2530" s="104"/>
      <c r="U2530" s="104"/>
    </row>
    <row r="2531" spans="1:21" s="101" customFormat="1" x14ac:dyDescent="0.35">
      <c r="A2531" s="101">
        <f t="shared" si="145"/>
        <v>2530</v>
      </c>
      <c r="B2531" s="101" t="s">
        <v>742</v>
      </c>
      <c r="C2531" s="110" t="str">
        <f>IF(ISBLANK(K2531),IFERROR(VLOOKUP(I2531,FS_input_data!$C$458:$N$648,Export!J2531,FALSE),""),K2531)</f>
        <v/>
      </c>
      <c r="D2531" s="102"/>
      <c r="E2531" s="101" t="s">
        <v>1561</v>
      </c>
      <c r="F2531" s="101" t="s">
        <v>1794</v>
      </c>
      <c r="G2531" s="101" t="b">
        <f>VLOOKUP($I$2528,FS_input_data!$C$458:$N$648,Export!$J$2528,FALSE)=""</f>
        <v>0</v>
      </c>
      <c r="H2531" s="102" t="s">
        <v>2189</v>
      </c>
      <c r="I2531" s="101" t="s">
        <v>1561</v>
      </c>
      <c r="J2531" s="101" t="s">
        <v>1561</v>
      </c>
      <c r="L2531" s="101" t="e">
        <f t="shared" si="144"/>
        <v>#VALUE!</v>
      </c>
      <c r="M2531" s="103"/>
      <c r="N2531" s="103"/>
      <c r="O2531" s="104"/>
      <c r="P2531" s="104"/>
      <c r="Q2531" s="104"/>
      <c r="R2531" s="104"/>
      <c r="S2531" s="104"/>
      <c r="T2531" s="104"/>
      <c r="U2531" s="104"/>
    </row>
    <row r="2532" spans="1:21" s="101" customFormat="1" x14ac:dyDescent="0.35">
      <c r="A2532" s="101">
        <f t="shared" si="145"/>
        <v>2531</v>
      </c>
      <c r="B2532" s="101" t="s">
        <v>748</v>
      </c>
      <c r="C2532" s="110" t="str">
        <f>IF(ISBLANK(K2532),IFERROR(VLOOKUP(I2532,FS_input_data!$C$458:$N$648,Export!J2532,FALSE),""),K2532)</f>
        <v/>
      </c>
      <c r="D2532" s="102"/>
      <c r="E2532" s="101" t="s">
        <v>1561</v>
      </c>
      <c r="F2532" s="101" t="s">
        <v>1794</v>
      </c>
      <c r="G2532" s="101" t="b">
        <f>VLOOKUP($I$2528,FS_input_data!$C$458:$N$648,Export!$J$2528,FALSE)=""</f>
        <v>0</v>
      </c>
      <c r="H2532" s="102" t="s">
        <v>2189</v>
      </c>
      <c r="I2532" s="101" t="s">
        <v>1561</v>
      </c>
      <c r="J2532" s="101" t="s">
        <v>1561</v>
      </c>
      <c r="L2532" s="101" t="e">
        <f t="shared" si="144"/>
        <v>#VALUE!</v>
      </c>
      <c r="M2532" s="103"/>
      <c r="N2532" s="103"/>
      <c r="O2532" s="104"/>
      <c r="P2532" s="104"/>
      <c r="Q2532" s="104"/>
      <c r="R2532" s="104"/>
      <c r="S2532" s="104"/>
      <c r="T2532" s="104"/>
      <c r="U2532" s="104"/>
    </row>
    <row r="2533" spans="1:21" s="101" customFormat="1" x14ac:dyDescent="0.35">
      <c r="A2533" s="101">
        <f t="shared" si="145"/>
        <v>2532</v>
      </c>
      <c r="B2533" s="101" t="s">
        <v>109</v>
      </c>
      <c r="C2533" s="110">
        <f>IF(ISBLANK(K2533),IFERROR(VLOOKUP(I2533,FS_input_data!$C$458:$N$648,Export!J2533,FALSE),""),K2533)</f>
        <v>-208000</v>
      </c>
      <c r="D2533" s="102" t="b">
        <v>1</v>
      </c>
      <c r="E2533" s="101" t="s">
        <v>1561</v>
      </c>
      <c r="F2533" s="101" t="s">
        <v>1794</v>
      </c>
      <c r="G2533" s="101" t="b">
        <f>VLOOKUP($I$2528,FS_input_data!$C$458:$N$648,Export!$J$2528,FALSE)=""</f>
        <v>0</v>
      </c>
      <c r="H2533" s="102" t="s">
        <v>2189</v>
      </c>
      <c r="I2533" s="101" t="s">
        <v>1794</v>
      </c>
      <c r="J2533" s="101">
        <v>7</v>
      </c>
      <c r="L2533" s="101" t="e">
        <f t="shared" si="144"/>
        <v>#VALUE!</v>
      </c>
      <c r="M2533" s="103"/>
      <c r="N2533" s="103"/>
      <c r="O2533" s="104"/>
      <c r="P2533" s="104"/>
      <c r="Q2533" s="104"/>
      <c r="R2533" s="104"/>
      <c r="S2533" s="104"/>
      <c r="T2533" s="104"/>
      <c r="U2533" s="104"/>
    </row>
    <row r="2534" spans="1:21" s="101" customFormat="1" x14ac:dyDescent="0.35">
      <c r="A2534" s="101">
        <f t="shared" si="145"/>
        <v>2533</v>
      </c>
      <c r="B2534" s="101" t="s">
        <v>110</v>
      </c>
      <c r="C2534" s="110" t="str">
        <f>IF(ISBLANK(K2534),IFERROR(VLOOKUP(I2534,FS_input_data!$C$458:$N$648,Export!J2534,FALSE),""),K2534)</f>
        <v/>
      </c>
      <c r="D2534" s="102"/>
      <c r="E2534" s="101" t="s">
        <v>1561</v>
      </c>
      <c r="F2534" s="101" t="s">
        <v>1794</v>
      </c>
      <c r="G2534" s="101" t="b">
        <f>VLOOKUP($I$2528,FS_input_data!$C$458:$N$648,Export!$J$2528,FALSE)=""</f>
        <v>0</v>
      </c>
      <c r="H2534" s="102" t="s">
        <v>2189</v>
      </c>
      <c r="I2534" s="101" t="s">
        <v>1561</v>
      </c>
      <c r="J2534" s="101" t="s">
        <v>1561</v>
      </c>
      <c r="L2534" s="101">
        <f t="shared" si="144"/>
        <v>1</v>
      </c>
      <c r="M2534" s="103"/>
      <c r="N2534" s="103"/>
      <c r="O2534" s="104"/>
      <c r="P2534" s="104"/>
      <c r="Q2534" s="104"/>
      <c r="R2534" s="104"/>
      <c r="S2534" s="104"/>
      <c r="T2534" s="104"/>
      <c r="U2534" s="104"/>
    </row>
    <row r="2535" spans="1:21" s="101" customFormat="1" x14ac:dyDescent="0.35">
      <c r="A2535" s="101">
        <f t="shared" si="145"/>
        <v>2534</v>
      </c>
      <c r="B2535" s="101" t="s">
        <v>111</v>
      </c>
      <c r="C2535" s="110">
        <f>IF(ISBLANK(K2535),IFERROR(VLOOKUP(I2535,FS_input_data!$C$458:$N$648,Export!J2535,FALSE),""),K2535)</f>
        <v>-104000</v>
      </c>
      <c r="D2535" s="102" t="b">
        <v>0</v>
      </c>
      <c r="E2535" s="101" t="s">
        <v>1561</v>
      </c>
      <c r="F2535" s="101" t="s">
        <v>1794</v>
      </c>
      <c r="G2535" s="101" t="b">
        <f>VLOOKUP($I$2528,FS_input_data!$C$458:$N$648,Export!$J$2528,FALSE)=""</f>
        <v>0</v>
      </c>
      <c r="H2535" s="102" t="s">
        <v>2189</v>
      </c>
      <c r="I2535" s="101" t="s">
        <v>1794</v>
      </c>
      <c r="J2535" s="101">
        <v>8</v>
      </c>
      <c r="L2535" s="101" t="e">
        <f t="shared" si="144"/>
        <v>#VALUE!</v>
      </c>
      <c r="M2535" s="103"/>
      <c r="N2535" s="103"/>
      <c r="O2535" s="104"/>
      <c r="P2535" s="104"/>
      <c r="Q2535" s="104"/>
      <c r="R2535" s="104"/>
      <c r="S2535" s="104"/>
      <c r="T2535" s="104"/>
      <c r="U2535" s="104"/>
    </row>
    <row r="2536" spans="1:21" s="101" customFormat="1" x14ac:dyDescent="0.35">
      <c r="A2536" s="101">
        <f t="shared" si="145"/>
        <v>2535</v>
      </c>
      <c r="B2536" s="101" t="s">
        <v>112</v>
      </c>
      <c r="C2536" s="110" t="str">
        <f>IF(ISBLANK(K2536),IFERROR(VLOOKUP(I2536,FS_input_data!$C$458:$N$648,Export!J2536,FALSE),""),K2536)</f>
        <v/>
      </c>
      <c r="D2536" s="102"/>
      <c r="E2536" s="101" t="s">
        <v>1561</v>
      </c>
      <c r="F2536" s="101" t="s">
        <v>1794</v>
      </c>
      <c r="G2536" s="101" t="b">
        <f>VLOOKUP($I$2528,FS_input_data!$C$458:$N$648,Export!$J$2528,FALSE)=""</f>
        <v>0</v>
      </c>
      <c r="H2536" s="102" t="s">
        <v>2189</v>
      </c>
      <c r="I2536" s="101" t="s">
        <v>1561</v>
      </c>
      <c r="J2536" s="101" t="s">
        <v>1561</v>
      </c>
      <c r="L2536" s="101">
        <f t="shared" si="144"/>
        <v>1</v>
      </c>
      <c r="M2536" s="103"/>
      <c r="N2536" s="103"/>
      <c r="O2536" s="104"/>
      <c r="P2536" s="104"/>
      <c r="Q2536" s="104"/>
      <c r="R2536" s="104"/>
      <c r="S2536" s="104"/>
      <c r="T2536" s="104"/>
      <c r="U2536" s="104"/>
    </row>
    <row r="2537" spans="1:21" s="101" customFormat="1" x14ac:dyDescent="0.35">
      <c r="A2537" s="101">
        <f t="shared" si="145"/>
        <v>2536</v>
      </c>
      <c r="B2537" s="101" t="s">
        <v>749</v>
      </c>
      <c r="C2537" s="110">
        <f>IF(ISBLANK(K2537),IFERROR(VLOOKUP(I2537,FS_input_data!$C$458:$N$648,Export!J2537,FALSE),""),K2537)</f>
        <v>-104000</v>
      </c>
      <c r="D2537" s="102" t="b">
        <v>0</v>
      </c>
      <c r="E2537" s="101" t="s">
        <v>1561</v>
      </c>
      <c r="F2537" s="101" t="s">
        <v>1794</v>
      </c>
      <c r="G2537" s="101" t="b">
        <f>VLOOKUP($I$2528,FS_input_data!$C$458:$N$648,Export!$J$2528,FALSE)=""</f>
        <v>0</v>
      </c>
      <c r="H2537" s="102" t="s">
        <v>2189</v>
      </c>
      <c r="I2537" s="101" t="s">
        <v>1794</v>
      </c>
      <c r="J2537" s="101">
        <v>9</v>
      </c>
      <c r="L2537" s="101" t="e">
        <f t="shared" si="144"/>
        <v>#VALUE!</v>
      </c>
      <c r="M2537" s="103"/>
      <c r="N2537" s="103"/>
      <c r="O2537" s="104"/>
      <c r="P2537" s="104"/>
      <c r="Q2537" s="104"/>
      <c r="R2537" s="104"/>
      <c r="S2537" s="104"/>
      <c r="T2537" s="104"/>
      <c r="U2537" s="104"/>
    </row>
    <row r="2538" spans="1:21" s="101" customFormat="1" x14ac:dyDescent="0.35">
      <c r="A2538" s="101">
        <f t="shared" si="145"/>
        <v>2537</v>
      </c>
      <c r="B2538" s="101" t="s">
        <v>750</v>
      </c>
      <c r="C2538" s="110" t="str">
        <f>IF(ISBLANK(K2538),IFERROR(VLOOKUP(I2538,FS_input_data!$C$458:$N$648,Export!J2538,FALSE),""),K2538)</f>
        <v/>
      </c>
      <c r="D2538" s="102"/>
      <c r="E2538" s="101" t="s">
        <v>1561</v>
      </c>
      <c r="F2538" s="101" t="s">
        <v>1794</v>
      </c>
      <c r="G2538" s="101" t="b">
        <f>VLOOKUP($I$2528,FS_input_data!$C$458:$N$648,Export!$J$2528,FALSE)=""</f>
        <v>0</v>
      </c>
      <c r="H2538" s="102" t="s">
        <v>2189</v>
      </c>
      <c r="I2538" s="101" t="s">
        <v>1561</v>
      </c>
      <c r="J2538" s="101" t="s">
        <v>1561</v>
      </c>
      <c r="L2538" s="101">
        <f t="shared" si="144"/>
        <v>1</v>
      </c>
      <c r="M2538" s="103"/>
      <c r="N2538" s="103"/>
      <c r="O2538" s="104"/>
      <c r="P2538" s="104"/>
      <c r="Q2538" s="104"/>
      <c r="R2538" s="104"/>
      <c r="S2538" s="104"/>
      <c r="T2538" s="104"/>
      <c r="U2538" s="104"/>
    </row>
    <row r="2539" spans="1:21" s="101" customFormat="1" x14ac:dyDescent="0.35">
      <c r="A2539" s="101">
        <f t="shared" si="145"/>
        <v>2538</v>
      </c>
      <c r="B2539" s="101" t="s">
        <v>751</v>
      </c>
      <c r="C2539" s="110" t="str">
        <f>IF(ISBLANK(K2539),IFERROR(VLOOKUP(I2539,FS_input_data!$C$458:$N$648,Export!J2539,FALSE),""),K2539)</f>
        <v/>
      </c>
      <c r="D2539" s="102"/>
      <c r="E2539" s="101" t="s">
        <v>1561</v>
      </c>
      <c r="F2539" s="101" t="s">
        <v>1794</v>
      </c>
      <c r="G2539" s="101" t="b">
        <f>VLOOKUP($I$2528,FS_input_data!$C$458:$N$648,Export!$J$2528,FALSE)=""</f>
        <v>0</v>
      </c>
      <c r="H2539" s="102" t="s">
        <v>2189</v>
      </c>
      <c r="I2539" s="101" t="s">
        <v>1561</v>
      </c>
      <c r="J2539" s="101" t="s">
        <v>1561</v>
      </c>
      <c r="L2539" s="101">
        <f t="shared" si="144"/>
        <v>1</v>
      </c>
      <c r="M2539" s="103"/>
      <c r="N2539" s="103"/>
      <c r="O2539" s="104"/>
      <c r="P2539" s="104"/>
      <c r="Q2539" s="104"/>
      <c r="R2539" s="104"/>
      <c r="S2539" s="104"/>
      <c r="T2539" s="104"/>
      <c r="U2539" s="104"/>
    </row>
    <row r="2540" spans="1:21" s="101" customFormat="1" x14ac:dyDescent="0.35">
      <c r="A2540" s="101">
        <f t="shared" si="145"/>
        <v>2539</v>
      </c>
      <c r="B2540" s="101" t="s">
        <v>754</v>
      </c>
      <c r="C2540" s="110" t="str">
        <f>IF(ISBLANK(K2540),IFERROR(VLOOKUP(I2540,FS_input_data!$C$458:$N$648,Export!J2540,FALSE),""),K2540)</f>
        <v/>
      </c>
      <c r="D2540" s="102"/>
      <c r="E2540" s="101" t="s">
        <v>1561</v>
      </c>
      <c r="F2540" s="101" t="s">
        <v>1794</v>
      </c>
      <c r="G2540" s="101" t="b">
        <f>VLOOKUP($I$2528,FS_input_data!$C$458:$N$648,Export!$J$2528,FALSE)=""</f>
        <v>0</v>
      </c>
      <c r="H2540" s="102" t="s">
        <v>2189</v>
      </c>
      <c r="I2540" s="101" t="s">
        <v>1561</v>
      </c>
      <c r="J2540" s="101" t="s">
        <v>1561</v>
      </c>
      <c r="L2540" s="101" t="e">
        <f t="shared" si="144"/>
        <v>#VALUE!</v>
      </c>
      <c r="M2540" s="103"/>
      <c r="N2540" s="103"/>
      <c r="O2540" s="104"/>
      <c r="P2540" s="104"/>
      <c r="Q2540" s="104"/>
      <c r="R2540" s="104"/>
      <c r="S2540" s="104"/>
      <c r="T2540" s="104"/>
      <c r="U2540" s="104"/>
    </row>
    <row r="2541" spans="1:21" s="101" customFormat="1" x14ac:dyDescent="0.35">
      <c r="A2541" s="101">
        <f t="shared" si="145"/>
        <v>2540</v>
      </c>
      <c r="B2541" s="101" t="s">
        <v>755</v>
      </c>
      <c r="C2541" s="110">
        <f>IF(ISBLANK(K2541),IFERROR(VLOOKUP(I2541,FS_input_data!$C$458:$N$648,Export!J2541,FALSE),""),K2541)</f>
        <v>1</v>
      </c>
      <c r="D2541" s="102" t="b">
        <v>1</v>
      </c>
      <c r="E2541" s="101" t="s">
        <v>1561</v>
      </c>
      <c r="F2541" s="101" t="s">
        <v>1794</v>
      </c>
      <c r="G2541" s="101" t="b">
        <f>VLOOKUP($I$2528,FS_input_data!$C$458:$N$648,Export!$J$2528,FALSE)=""</f>
        <v>0</v>
      </c>
      <c r="H2541" s="102" t="s">
        <v>2189</v>
      </c>
      <c r="I2541" s="101" t="s">
        <v>1794</v>
      </c>
      <c r="J2541" s="101">
        <v>2</v>
      </c>
      <c r="L2541" s="101" t="e">
        <f t="shared" si="144"/>
        <v>#VALUE!</v>
      </c>
      <c r="M2541" s="103"/>
      <c r="N2541" s="103"/>
      <c r="O2541" s="104"/>
      <c r="P2541" s="104"/>
      <c r="Q2541" s="104"/>
      <c r="R2541" s="104"/>
      <c r="S2541" s="104"/>
      <c r="T2541" s="104"/>
      <c r="U2541" s="104"/>
    </row>
    <row r="2542" spans="1:21" s="101" customFormat="1" x14ac:dyDescent="0.35">
      <c r="A2542" s="101">
        <f t="shared" si="145"/>
        <v>2541</v>
      </c>
      <c r="B2542" s="101" t="s">
        <v>756</v>
      </c>
      <c r="C2542" s="110" t="str">
        <f>IF(ISBLANK(K2542),IFERROR(VLOOKUP(I2542,FS_input_data!$C$458:$N$648,Export!J2542,FALSE),""),K2542)</f>
        <v/>
      </c>
      <c r="D2542" s="102"/>
      <c r="E2542" s="101" t="s">
        <v>1561</v>
      </c>
      <c r="F2542" s="101" t="s">
        <v>1794</v>
      </c>
      <c r="G2542" s="101" t="b">
        <f>VLOOKUP($I$2528,FS_input_data!$C$458:$N$648,Export!$J$2528,FALSE)=""</f>
        <v>0</v>
      </c>
      <c r="H2542" s="102" t="s">
        <v>2189</v>
      </c>
      <c r="I2542" s="101" t="s">
        <v>1561</v>
      </c>
      <c r="J2542" s="101" t="s">
        <v>1561</v>
      </c>
      <c r="L2542" s="101">
        <f t="shared" si="144"/>
        <v>1</v>
      </c>
      <c r="M2542" s="103"/>
      <c r="N2542" s="103"/>
      <c r="O2542" s="104"/>
      <c r="P2542" s="104"/>
      <c r="Q2542" s="104"/>
      <c r="R2542" s="104"/>
      <c r="S2542" s="104"/>
      <c r="T2542" s="104"/>
      <c r="U2542" s="104"/>
    </row>
    <row r="2543" spans="1:21" s="101" customFormat="1" x14ac:dyDescent="0.35">
      <c r="A2543" s="101">
        <f t="shared" si="145"/>
        <v>2542</v>
      </c>
      <c r="B2543" s="101" t="s">
        <v>757</v>
      </c>
      <c r="C2543" s="110">
        <f>IF(ISBLANK(K2543),IFERROR(VLOOKUP(I2543,FS_input_data!$C$458:$N$648,Export!J2543,FALSE),""),K2543)</f>
        <v>101</v>
      </c>
      <c r="D2543" s="102" t="b">
        <v>0</v>
      </c>
      <c r="E2543" s="101" t="s">
        <v>1561</v>
      </c>
      <c r="F2543" s="101" t="s">
        <v>1794</v>
      </c>
      <c r="G2543" s="101" t="b">
        <f>VLOOKUP($I$2528,FS_input_data!$C$458:$N$648,Export!$J$2528,FALSE)=""</f>
        <v>0</v>
      </c>
      <c r="H2543" s="102" t="s">
        <v>2189</v>
      </c>
      <c r="I2543" s="101" t="s">
        <v>1794</v>
      </c>
      <c r="J2543" s="101">
        <v>3</v>
      </c>
      <c r="L2543" s="101" t="e">
        <f t="shared" si="144"/>
        <v>#VALUE!</v>
      </c>
      <c r="M2543" s="103"/>
      <c r="N2543" s="103"/>
      <c r="O2543" s="104"/>
      <c r="P2543" s="104"/>
      <c r="Q2543" s="104"/>
      <c r="R2543" s="104"/>
      <c r="S2543" s="104"/>
      <c r="T2543" s="104"/>
      <c r="U2543" s="104"/>
    </row>
    <row r="2544" spans="1:21" s="101" customFormat="1" x14ac:dyDescent="0.35">
      <c r="A2544" s="101">
        <f t="shared" si="145"/>
        <v>2543</v>
      </c>
      <c r="B2544" s="101" t="s">
        <v>758</v>
      </c>
      <c r="C2544" s="110" t="str">
        <f>IF(ISBLANK(K2544),IFERROR(VLOOKUP(I2544,FS_input_data!$C$458:$N$648,Export!J2544,FALSE),""),K2544)</f>
        <v/>
      </c>
      <c r="D2544" s="102"/>
      <c r="E2544" s="101" t="s">
        <v>1561</v>
      </c>
      <c r="F2544" s="101" t="s">
        <v>1794</v>
      </c>
      <c r="G2544" s="101" t="b">
        <f>VLOOKUP($I$2528,FS_input_data!$C$458:$N$648,Export!$J$2528,FALSE)=""</f>
        <v>0</v>
      </c>
      <c r="H2544" s="102" t="s">
        <v>2189</v>
      </c>
      <c r="I2544" s="101" t="s">
        <v>1561</v>
      </c>
      <c r="J2544" s="101" t="s">
        <v>1561</v>
      </c>
      <c r="L2544" s="101">
        <f t="shared" si="144"/>
        <v>1</v>
      </c>
      <c r="M2544" s="103"/>
      <c r="N2544" s="103"/>
      <c r="O2544" s="104"/>
      <c r="P2544" s="104"/>
      <c r="Q2544" s="104"/>
      <c r="R2544" s="104"/>
      <c r="S2544" s="104"/>
      <c r="T2544" s="104"/>
      <c r="U2544" s="104"/>
    </row>
    <row r="2545" spans="1:21" s="101" customFormat="1" x14ac:dyDescent="0.35">
      <c r="A2545" s="101">
        <f t="shared" si="145"/>
        <v>2544</v>
      </c>
      <c r="B2545" s="101" t="s">
        <v>759</v>
      </c>
      <c r="C2545" s="110">
        <f>IF(ISBLANK(K2545),IFERROR(VLOOKUP(I2545,FS_input_data!$C$458:$N$648,Export!J2545,FALSE),""),K2545)</f>
        <v>201</v>
      </c>
      <c r="D2545" s="102" t="b">
        <v>0</v>
      </c>
      <c r="E2545" s="101" t="s">
        <v>1561</v>
      </c>
      <c r="F2545" s="101" t="s">
        <v>1794</v>
      </c>
      <c r="G2545" s="101" t="b">
        <f>VLOOKUP($I$2528,FS_input_data!$C$458:$N$648,Export!$J$2528,FALSE)=""</f>
        <v>0</v>
      </c>
      <c r="H2545" s="102" t="s">
        <v>2189</v>
      </c>
      <c r="I2545" s="101" t="s">
        <v>1794</v>
      </c>
      <c r="J2545" s="101">
        <v>4</v>
      </c>
      <c r="L2545" s="101" t="e">
        <f t="shared" si="144"/>
        <v>#VALUE!</v>
      </c>
      <c r="M2545" s="103"/>
      <c r="N2545" s="103"/>
      <c r="O2545" s="104"/>
      <c r="P2545" s="104"/>
      <c r="Q2545" s="104"/>
      <c r="R2545" s="104"/>
      <c r="S2545" s="104"/>
      <c r="T2545" s="104"/>
      <c r="U2545" s="104"/>
    </row>
    <row r="2546" spans="1:21" s="101" customFormat="1" x14ac:dyDescent="0.35">
      <c r="A2546" s="101">
        <f t="shared" si="145"/>
        <v>2545</v>
      </c>
      <c r="B2546" s="101" t="s">
        <v>760</v>
      </c>
      <c r="C2546" s="110" t="str">
        <f>IF(ISBLANK(K2546),IFERROR(VLOOKUP(I2546,FS_input_data!$C$458:$N$648,Export!J2546,FALSE),""),K2546)</f>
        <v/>
      </c>
      <c r="D2546" s="102"/>
      <c r="E2546" s="101" t="s">
        <v>1561</v>
      </c>
      <c r="F2546" s="101" t="s">
        <v>1794</v>
      </c>
      <c r="G2546" s="101" t="b">
        <f>VLOOKUP($I$2528,FS_input_data!$C$458:$N$648,Export!$J$2528,FALSE)=""</f>
        <v>0</v>
      </c>
      <c r="H2546" s="102" t="s">
        <v>2189</v>
      </c>
      <c r="I2546" s="101" t="s">
        <v>1561</v>
      </c>
      <c r="J2546" s="101" t="s">
        <v>1561</v>
      </c>
      <c r="L2546" s="101">
        <f t="shared" si="144"/>
        <v>1</v>
      </c>
      <c r="M2546" s="103"/>
      <c r="N2546" s="103"/>
      <c r="O2546" s="104"/>
      <c r="P2546" s="104"/>
      <c r="Q2546" s="104"/>
      <c r="R2546" s="104"/>
      <c r="S2546" s="104"/>
      <c r="T2546" s="104"/>
      <c r="U2546" s="104"/>
    </row>
    <row r="2547" spans="1:21" s="101" customFormat="1" x14ac:dyDescent="0.35">
      <c r="A2547" s="101">
        <f t="shared" si="145"/>
        <v>2546</v>
      </c>
      <c r="B2547" s="101" t="s">
        <v>761</v>
      </c>
      <c r="C2547" s="110" t="str">
        <f>IF(ISBLANK(K2547),IFERROR(VLOOKUP(I2547,FS_input_data!$C$458:$N$648,Export!J2547,FALSE),""),K2547)</f>
        <v>a</v>
      </c>
      <c r="D2547" s="102" t="b">
        <v>0</v>
      </c>
      <c r="E2547" s="101" t="s">
        <v>1561</v>
      </c>
      <c r="F2547" s="101" t="s">
        <v>1794</v>
      </c>
      <c r="G2547" s="101" t="b">
        <f>VLOOKUP($I$2528,FS_input_data!$C$458:$N$648,Export!$J$2528,FALSE)=""</f>
        <v>0</v>
      </c>
      <c r="H2547" s="102" t="s">
        <v>2189</v>
      </c>
      <c r="I2547" s="101" t="s">
        <v>1794</v>
      </c>
      <c r="J2547" s="101">
        <v>5</v>
      </c>
      <c r="L2547" s="101" t="e">
        <f t="shared" si="144"/>
        <v>#VALUE!</v>
      </c>
      <c r="M2547" s="103"/>
      <c r="N2547" s="103"/>
      <c r="O2547" s="104"/>
      <c r="P2547" s="104"/>
      <c r="Q2547" s="104"/>
      <c r="R2547" s="104"/>
      <c r="S2547" s="104"/>
      <c r="T2547" s="104"/>
      <c r="U2547" s="104"/>
    </row>
    <row r="2548" spans="1:21" s="101" customFormat="1" x14ac:dyDescent="0.35">
      <c r="A2548" s="101">
        <f t="shared" si="145"/>
        <v>2547</v>
      </c>
      <c r="B2548" s="101" t="s">
        <v>762</v>
      </c>
      <c r="C2548" s="110" t="str">
        <f>IF(ISBLANK(K2548),IFERROR(VLOOKUP(I2548,FS_input_data!$C$458:$N$648,Export!J2548,FALSE),""),K2548)</f>
        <v/>
      </c>
      <c r="D2548" s="102"/>
      <c r="E2548" s="101" t="s">
        <v>1561</v>
      </c>
      <c r="F2548" s="101" t="s">
        <v>1794</v>
      </c>
      <c r="G2548" s="101" t="b">
        <f>VLOOKUP($I$2528,FS_input_data!$C$458:$N$648,Export!$J$2528,FALSE)=""</f>
        <v>0</v>
      </c>
      <c r="H2548" s="102" t="s">
        <v>2189</v>
      </c>
      <c r="I2548" s="101" t="s">
        <v>1561</v>
      </c>
      <c r="J2548" s="101" t="s">
        <v>1561</v>
      </c>
      <c r="L2548" s="101">
        <f t="shared" si="144"/>
        <v>1</v>
      </c>
      <c r="M2548" s="103"/>
      <c r="N2548" s="103"/>
      <c r="O2548" s="104"/>
      <c r="P2548" s="104"/>
      <c r="Q2548" s="104"/>
      <c r="R2548" s="104"/>
      <c r="S2548" s="104"/>
      <c r="T2548" s="104"/>
      <c r="U2548" s="104"/>
    </row>
    <row r="2549" spans="1:21" s="101" customFormat="1" x14ac:dyDescent="0.35">
      <c r="A2549" s="101">
        <f t="shared" si="145"/>
        <v>2548</v>
      </c>
      <c r="B2549" s="101" t="s">
        <v>763</v>
      </c>
      <c r="C2549" s="110" t="str">
        <f>IF(ISBLANK(K2549),IFERROR(VLOOKUP(I2549,FS_input_data!$C$458:$N$648,Export!J2549,FALSE),""),K2549)</f>
        <v/>
      </c>
      <c r="D2549" s="102"/>
      <c r="E2549" s="101" t="s">
        <v>1561</v>
      </c>
      <c r="F2549" s="101" t="s">
        <v>1794</v>
      </c>
      <c r="G2549" s="101" t="b">
        <f>VLOOKUP($I$2528,FS_input_data!$C$458:$N$648,Export!$J$2528,FALSE)=""</f>
        <v>0</v>
      </c>
      <c r="H2549" s="102" t="s">
        <v>2189</v>
      </c>
      <c r="I2549" s="101" t="s">
        <v>1561</v>
      </c>
      <c r="J2549" s="101" t="s">
        <v>1561</v>
      </c>
      <c r="L2549" s="101">
        <f t="shared" si="144"/>
        <v>1</v>
      </c>
      <c r="M2549" s="103"/>
      <c r="N2549" s="103"/>
      <c r="O2549" s="104"/>
      <c r="P2549" s="104"/>
      <c r="Q2549" s="104"/>
      <c r="R2549" s="104"/>
      <c r="S2549" s="104"/>
      <c r="T2549" s="104"/>
      <c r="U2549" s="104"/>
    </row>
    <row r="2550" spans="1:21" s="101" customFormat="1" x14ac:dyDescent="0.35">
      <c r="A2550" s="101">
        <f t="shared" si="145"/>
        <v>2549</v>
      </c>
      <c r="B2550" s="101" t="s">
        <v>743</v>
      </c>
      <c r="C2550" s="110" t="str">
        <f>IF(ISBLANK(K2550),IFERROR(VLOOKUP(I2550,FS_input_data!$C$458:$N$648,Export!J2550,FALSE),""),K2550)</f>
        <v/>
      </c>
      <c r="D2550" s="102"/>
      <c r="E2550" s="101" t="s">
        <v>1561</v>
      </c>
      <c r="F2550" s="101" t="s">
        <v>1794</v>
      </c>
      <c r="G2550" s="101" t="b">
        <f>VLOOKUP($I$2528,FS_input_data!$C$458:$N$648,Export!$J$2528,FALSE)=""</f>
        <v>0</v>
      </c>
      <c r="H2550" s="102" t="s">
        <v>2189</v>
      </c>
      <c r="I2550" s="101" t="s">
        <v>1561</v>
      </c>
      <c r="J2550" s="101" t="s">
        <v>1561</v>
      </c>
      <c r="L2550" s="101">
        <f t="shared" si="144"/>
        <v>1</v>
      </c>
      <c r="M2550" s="103"/>
      <c r="N2550" s="103"/>
      <c r="O2550" s="104"/>
      <c r="P2550" s="104"/>
      <c r="Q2550" s="104"/>
      <c r="R2550" s="104"/>
      <c r="S2550" s="104"/>
      <c r="T2550" s="104"/>
      <c r="U2550" s="104"/>
    </row>
    <row r="2551" spans="1:21" s="101" customFormat="1" x14ac:dyDescent="0.35">
      <c r="A2551" s="101">
        <f t="shared" si="145"/>
        <v>2550</v>
      </c>
      <c r="B2551" s="101" t="s">
        <v>744</v>
      </c>
      <c r="C2551" s="110" t="str">
        <f>IF(ISBLANK(K2551),IFERROR(VLOOKUP(I2551,FS_input_data!$C$458:$N$648,Export!J2551,FALSE),""),K2551)</f>
        <v/>
      </c>
      <c r="D2551" s="102"/>
      <c r="E2551" s="101" t="s">
        <v>1561</v>
      </c>
      <c r="F2551" s="101" t="s">
        <v>1794</v>
      </c>
      <c r="G2551" s="101" t="b">
        <f>IF(RP_tax,TRUE,VLOOKUP($I$2528,FS_input_data!$C$458:$N$648,Export!$J$2528,FALSE)="")</f>
        <v>1</v>
      </c>
      <c r="H2551" s="102" t="s">
        <v>2189</v>
      </c>
      <c r="I2551" s="101" t="s">
        <v>1561</v>
      </c>
      <c r="J2551" s="101" t="s">
        <v>1561</v>
      </c>
      <c r="L2551" s="101" t="e">
        <f t="shared" si="144"/>
        <v>#VALUE!</v>
      </c>
      <c r="M2551" s="103"/>
      <c r="N2551" s="103"/>
      <c r="O2551" s="104"/>
      <c r="P2551" s="104"/>
      <c r="Q2551" s="104"/>
      <c r="R2551" s="104"/>
      <c r="S2551" s="104"/>
      <c r="T2551" s="104"/>
      <c r="U2551" s="104"/>
    </row>
    <row r="2552" spans="1:21" s="101" customFormat="1" x14ac:dyDescent="0.35">
      <c r="A2552" s="101">
        <f t="shared" si="145"/>
        <v>2551</v>
      </c>
      <c r="B2552" s="101" t="s">
        <v>109</v>
      </c>
      <c r="C2552" s="110">
        <f>IF(ISBLANK(K2552),IFERROR(VLOOKUP(I2552,FS_input_data!$C$458:$N$648,Export!J2552,FALSE),""),K2552)</f>
        <v>-208000</v>
      </c>
      <c r="D2552" s="102" t="b">
        <v>0</v>
      </c>
      <c r="E2552" s="101" t="s">
        <v>1561</v>
      </c>
      <c r="F2552" s="101" t="s">
        <v>1794</v>
      </c>
      <c r="G2552" s="101" t="b">
        <f>IF(RP_tax,TRUE,VLOOKUP($I$2528,FS_input_data!$C$458:$N$648,Export!$J$2528,FALSE)="")</f>
        <v>1</v>
      </c>
      <c r="H2552" s="102" t="s">
        <v>2189</v>
      </c>
      <c r="I2552" s="101" t="s">
        <v>1794</v>
      </c>
      <c r="J2552" s="101">
        <v>10</v>
      </c>
      <c r="L2552" s="101" t="e">
        <f t="shared" si="144"/>
        <v>#VALUE!</v>
      </c>
      <c r="M2552" s="103"/>
      <c r="N2552" s="103"/>
      <c r="O2552" s="104"/>
      <c r="P2552" s="104"/>
      <c r="Q2552" s="104"/>
      <c r="R2552" s="104"/>
      <c r="S2552" s="104"/>
      <c r="T2552" s="104"/>
      <c r="U2552" s="104"/>
    </row>
    <row r="2553" spans="1:21" s="101" customFormat="1" x14ac:dyDescent="0.35">
      <c r="A2553" s="101">
        <f t="shared" si="145"/>
        <v>2552</v>
      </c>
      <c r="B2553" s="101" t="s">
        <v>110</v>
      </c>
      <c r="C2553" s="110" t="str">
        <f>IF(ISBLANK(K2553),IFERROR(VLOOKUP(I2553,FS_input_data!$C$458:$N$648,Export!J2553,FALSE),""),K2553)</f>
        <v/>
      </c>
      <c r="D2553" s="102"/>
      <c r="E2553" s="101" t="s">
        <v>1561</v>
      </c>
      <c r="F2553" s="101" t="s">
        <v>1794</v>
      </c>
      <c r="G2553" s="101" t="b">
        <f>IF(RP_tax,TRUE,VLOOKUP($I$2528,FS_input_data!$C$458:$N$648,Export!$J$2528,FALSE)="")</f>
        <v>1</v>
      </c>
      <c r="H2553" s="102" t="s">
        <v>2189</v>
      </c>
      <c r="I2553" s="101" t="s">
        <v>1561</v>
      </c>
      <c r="J2553" s="101" t="s">
        <v>1561</v>
      </c>
      <c r="L2553" s="101">
        <f t="shared" si="144"/>
        <v>1</v>
      </c>
      <c r="M2553" s="103"/>
      <c r="N2553" s="103"/>
      <c r="O2553" s="104"/>
      <c r="P2553" s="104"/>
      <c r="Q2553" s="104"/>
      <c r="R2553" s="104"/>
      <c r="S2553" s="104"/>
      <c r="T2553" s="104"/>
      <c r="U2553" s="104"/>
    </row>
    <row r="2554" spans="1:21" s="101" customFormat="1" x14ac:dyDescent="0.35">
      <c r="A2554" s="101">
        <f t="shared" si="145"/>
        <v>2553</v>
      </c>
      <c r="B2554" s="101" t="s">
        <v>111</v>
      </c>
      <c r="C2554" s="110">
        <f>IF(ISBLANK(K2554),IFERROR(VLOOKUP(I2554,FS_input_data!$C$458:$N$648,Export!J2554,FALSE),""),K2554)</f>
        <v>-104000</v>
      </c>
      <c r="D2554" s="102" t="b">
        <v>0</v>
      </c>
      <c r="E2554" s="101" t="s">
        <v>1561</v>
      </c>
      <c r="F2554" s="101" t="s">
        <v>1794</v>
      </c>
      <c r="G2554" s="101" t="b">
        <f>IF(RP_tax,TRUE,VLOOKUP($I$2528,FS_input_data!$C$458:$N$648,Export!$J$2528,FALSE)="")</f>
        <v>1</v>
      </c>
      <c r="H2554" s="102" t="s">
        <v>2189</v>
      </c>
      <c r="I2554" s="101" t="s">
        <v>1794</v>
      </c>
      <c r="J2554" s="101">
        <v>11</v>
      </c>
      <c r="L2554" s="101" t="e">
        <f t="shared" si="144"/>
        <v>#VALUE!</v>
      </c>
      <c r="M2554" s="103"/>
      <c r="N2554" s="103"/>
      <c r="O2554" s="104"/>
      <c r="P2554" s="104"/>
      <c r="Q2554" s="104"/>
      <c r="R2554" s="104"/>
      <c r="S2554" s="104"/>
      <c r="T2554" s="104"/>
      <c r="U2554" s="104"/>
    </row>
    <row r="2555" spans="1:21" s="101" customFormat="1" x14ac:dyDescent="0.35">
      <c r="A2555" s="101">
        <f t="shared" si="145"/>
        <v>2554</v>
      </c>
      <c r="B2555" s="101" t="s">
        <v>112</v>
      </c>
      <c r="C2555" s="110" t="str">
        <f>IF(ISBLANK(K2555),IFERROR(VLOOKUP(I2555,FS_input_data!$C$458:$N$648,Export!J2555,FALSE),""),K2555)</f>
        <v/>
      </c>
      <c r="D2555" s="102"/>
      <c r="E2555" s="101" t="s">
        <v>1561</v>
      </c>
      <c r="F2555" s="101" t="s">
        <v>1794</v>
      </c>
      <c r="G2555" s="101" t="b">
        <f>IF(RP_tax,TRUE,VLOOKUP($I$2528,FS_input_data!$C$458:$N$648,Export!$J$2528,FALSE)="")</f>
        <v>1</v>
      </c>
      <c r="H2555" s="102" t="s">
        <v>2189</v>
      </c>
      <c r="I2555" s="101" t="s">
        <v>1561</v>
      </c>
      <c r="J2555" s="101" t="s">
        <v>1561</v>
      </c>
      <c r="L2555" s="101">
        <f t="shared" si="144"/>
        <v>1</v>
      </c>
      <c r="M2555" s="103"/>
      <c r="N2555" s="103"/>
      <c r="O2555" s="104"/>
      <c r="P2555" s="104"/>
      <c r="Q2555" s="104"/>
      <c r="R2555" s="104"/>
      <c r="S2555" s="104"/>
      <c r="T2555" s="104"/>
      <c r="U2555" s="104"/>
    </row>
    <row r="2556" spans="1:21" s="101" customFormat="1" x14ac:dyDescent="0.35">
      <c r="A2556" s="101">
        <f t="shared" si="145"/>
        <v>2555</v>
      </c>
      <c r="B2556" s="101" t="s">
        <v>749</v>
      </c>
      <c r="C2556" s="110">
        <f>IF(ISBLANK(K2556),IFERROR(VLOOKUP(I2556,FS_input_data!$C$458:$N$648,Export!J2556,FALSE),""),K2556)</f>
        <v>-104000</v>
      </c>
      <c r="D2556" s="102" t="b">
        <v>0</v>
      </c>
      <c r="E2556" s="101" t="s">
        <v>1561</v>
      </c>
      <c r="F2556" s="101" t="s">
        <v>1794</v>
      </c>
      <c r="G2556" s="101" t="b">
        <f>IF(RP_tax,TRUE,VLOOKUP($I$2528,FS_input_data!$C$458:$N$648,Export!$J$2528,FALSE)="")</f>
        <v>1</v>
      </c>
      <c r="H2556" s="102" t="s">
        <v>2189</v>
      </c>
      <c r="I2556" s="101" t="s">
        <v>1794</v>
      </c>
      <c r="J2556" s="101">
        <v>12</v>
      </c>
      <c r="L2556" s="101" t="e">
        <f t="shared" si="144"/>
        <v>#VALUE!</v>
      </c>
      <c r="M2556" s="103"/>
      <c r="N2556" s="103"/>
      <c r="O2556" s="104"/>
      <c r="P2556" s="104"/>
      <c r="Q2556" s="104"/>
      <c r="R2556" s="104"/>
      <c r="S2556" s="104"/>
      <c r="T2556" s="104"/>
      <c r="U2556" s="104"/>
    </row>
    <row r="2557" spans="1:21" s="101" customFormat="1" x14ac:dyDescent="0.35">
      <c r="A2557" s="101">
        <f t="shared" si="145"/>
        <v>2556</v>
      </c>
      <c r="B2557" s="101" t="s">
        <v>750</v>
      </c>
      <c r="C2557" s="110" t="str">
        <f>IF(ISBLANK(K2557),IFERROR(VLOOKUP(I2557,FS_input_data!$C$458:$N$648,Export!J2557,FALSE),""),K2557)</f>
        <v/>
      </c>
      <c r="D2557" s="102"/>
      <c r="E2557" s="101" t="s">
        <v>1561</v>
      </c>
      <c r="F2557" s="101" t="s">
        <v>1794</v>
      </c>
      <c r="G2557" s="101" t="b">
        <f>IF(RP_tax,TRUE,VLOOKUP($I$2528,FS_input_data!$C$458:$N$648,Export!$J$2528,FALSE)="")</f>
        <v>1</v>
      </c>
      <c r="H2557" s="102" t="s">
        <v>2189</v>
      </c>
      <c r="I2557" s="101" t="s">
        <v>1561</v>
      </c>
      <c r="J2557" s="101" t="s">
        <v>1561</v>
      </c>
      <c r="L2557" s="101">
        <f t="shared" si="144"/>
        <v>1</v>
      </c>
      <c r="M2557" s="103"/>
      <c r="N2557" s="103"/>
      <c r="O2557" s="104"/>
      <c r="P2557" s="104"/>
      <c r="Q2557" s="104"/>
      <c r="R2557" s="104"/>
      <c r="S2557" s="104"/>
      <c r="T2557" s="104"/>
      <c r="U2557" s="104"/>
    </row>
    <row r="2558" spans="1:21" s="101" customFormat="1" x14ac:dyDescent="0.35">
      <c r="A2558" s="101">
        <f t="shared" si="145"/>
        <v>2557</v>
      </c>
      <c r="B2558" s="101" t="s">
        <v>745</v>
      </c>
      <c r="C2558" s="110" t="str">
        <f>IF(ISBLANK(K2558),IFERROR(VLOOKUP(I2558,FS_input_data!$C$458:$N$648,Export!J2558,FALSE),""),K2558)</f>
        <v/>
      </c>
      <c r="D2558" s="102"/>
      <c r="E2558" s="101" t="s">
        <v>1561</v>
      </c>
      <c r="F2558" s="101" t="s">
        <v>1794</v>
      </c>
      <c r="G2558" s="101" t="b">
        <f>IF(RP_tax,TRUE,VLOOKUP($I$2528,FS_input_data!$C$458:$N$648,Export!$J$2528,FALSE)="")</f>
        <v>1</v>
      </c>
      <c r="H2558" s="102" t="s">
        <v>2189</v>
      </c>
      <c r="I2558" s="101" t="s">
        <v>1561</v>
      </c>
      <c r="J2558" s="101" t="s">
        <v>1561</v>
      </c>
      <c r="L2558" s="101">
        <f t="shared" si="144"/>
        <v>1</v>
      </c>
      <c r="M2558" s="103"/>
      <c r="N2558" s="103"/>
      <c r="O2558" s="104"/>
      <c r="P2558" s="104"/>
      <c r="Q2558" s="104"/>
      <c r="R2558" s="104"/>
      <c r="S2558" s="104"/>
      <c r="T2558" s="104"/>
      <c r="U2558" s="104"/>
    </row>
    <row r="2559" spans="1:21" s="101" customFormat="1" x14ac:dyDescent="0.35">
      <c r="A2559" s="101">
        <f t="shared" si="145"/>
        <v>2558</v>
      </c>
      <c r="B2559" s="101" t="s">
        <v>764</v>
      </c>
      <c r="C2559" s="110" t="str">
        <f>IF(ISBLANK(K2559),IFERROR(VLOOKUP(I2559,FS_input_data!$C$458:$N$648,Export!J2559,FALSE),""),K2559)</f>
        <v/>
      </c>
      <c r="D2559" s="102"/>
      <c r="E2559" s="101" t="s">
        <v>1561</v>
      </c>
      <c r="F2559" s="101" t="s">
        <v>1794</v>
      </c>
      <c r="G2559" s="101" t="b">
        <f>VLOOKUP($I$2528,FS_input_data!$C$458:$N$648,Export!$J$2528,FALSE)=""</f>
        <v>0</v>
      </c>
      <c r="H2559" s="102" t="s">
        <v>2189</v>
      </c>
      <c r="I2559" s="101" t="s">
        <v>1561</v>
      </c>
      <c r="J2559" s="101" t="s">
        <v>1561</v>
      </c>
      <c r="L2559" s="101">
        <f t="shared" si="144"/>
        <v>1</v>
      </c>
      <c r="M2559" s="103"/>
      <c r="N2559" s="103"/>
      <c r="O2559" s="104"/>
      <c r="P2559" s="104"/>
      <c r="Q2559" s="104"/>
      <c r="R2559" s="104"/>
      <c r="S2559" s="104"/>
      <c r="T2559" s="104"/>
      <c r="U2559" s="104"/>
    </row>
    <row r="2560" spans="1:21" s="101" customFormat="1" x14ac:dyDescent="0.35">
      <c r="A2560" s="101">
        <f t="shared" si="145"/>
        <v>2559</v>
      </c>
      <c r="B2560" s="101" t="s">
        <v>765</v>
      </c>
      <c r="C2560" s="110" t="str">
        <f>IF(ISBLANK(K2560),IFERROR(VLOOKUP(I2560,FS_input_data!$C$458:$N$648,Export!J2560,FALSE),""),K2560)</f>
        <v/>
      </c>
      <c r="D2560" s="102"/>
      <c r="E2560" s="101" t="s">
        <v>1561</v>
      </c>
      <c r="F2560" s="101" t="s">
        <v>1794</v>
      </c>
      <c r="G2560" s="101" t="b">
        <f>VLOOKUP($I$2528,FS_input_data!$C$458:$N$648,Export!$J$2528,FALSE)=""</f>
        <v>0</v>
      </c>
      <c r="H2560" s="102" t="s">
        <v>2189</v>
      </c>
      <c r="I2560" s="101" t="s">
        <v>1561</v>
      </c>
      <c r="J2560" s="101" t="s">
        <v>1561</v>
      </c>
      <c r="L2560" s="101">
        <f t="shared" si="144"/>
        <v>1</v>
      </c>
      <c r="M2560" s="103"/>
      <c r="N2560" s="103"/>
      <c r="O2560" s="104"/>
      <c r="P2560" s="104"/>
      <c r="Q2560" s="104"/>
      <c r="R2560" s="104"/>
      <c r="S2560" s="104"/>
      <c r="T2560" s="104"/>
      <c r="U2560" s="104"/>
    </row>
    <row r="2561" spans="1:12" x14ac:dyDescent="0.35">
      <c r="A2561">
        <f t="shared" si="145"/>
        <v>2560</v>
      </c>
      <c r="B2561" t="s">
        <v>752</v>
      </c>
      <c r="C2561" s="109" t="str">
        <f>IF(ISBLANK(K2561),IFERROR(VLOOKUP(I2561,FS_input_data!$C$458:$N$648,Export!J2561,FALSE),""),K2561)</f>
        <v/>
      </c>
      <c r="D2561" s="105"/>
      <c r="E2561" t="s">
        <v>1561</v>
      </c>
      <c r="F2561" s="26" t="s">
        <v>1797</v>
      </c>
      <c r="G2561" s="26" t="b">
        <f>VLOOKUP($I$2562,FS_input_data!$C$458:$N$648,Export!$J$2562,FALSE)=""</f>
        <v>0</v>
      </c>
      <c r="H2561" s="6" t="s">
        <v>2189</v>
      </c>
      <c r="I2561" t="s">
        <v>1561</v>
      </c>
      <c r="J2561" t="s">
        <v>1561</v>
      </c>
      <c r="L2561" s="9" t="e">
        <f t="shared" si="144"/>
        <v>#VALUE!</v>
      </c>
    </row>
    <row r="2562" spans="1:12" x14ac:dyDescent="0.35">
      <c r="A2562" s="9">
        <f t="shared" si="145"/>
        <v>2561</v>
      </c>
      <c r="B2562" t="s">
        <v>101</v>
      </c>
      <c r="C2562" s="109" t="str">
        <f>IF(ISBLANK(K2562),IFERROR(VLOOKUP(I2562,FS_input_data!$C$458:$N$648,Export!J2562,FALSE),""),K2562)</f>
        <v>OB2</v>
      </c>
      <c r="D2562" s="105" t="b">
        <v>1</v>
      </c>
      <c r="E2562" t="s">
        <v>1561</v>
      </c>
      <c r="F2562" s="26" t="s">
        <v>1797</v>
      </c>
      <c r="G2562" s="26" t="b">
        <f>VLOOKUP($I$2562,FS_input_data!$C$458:$N$648,Export!$J$2562,FALSE)=""</f>
        <v>0</v>
      </c>
      <c r="H2562" s="6" t="s">
        <v>2189</v>
      </c>
      <c r="I2562" t="s">
        <v>1797</v>
      </c>
      <c r="J2562">
        <v>6</v>
      </c>
      <c r="L2562" s="9" t="e">
        <f t="shared" ref="L2562:L2625" si="147">FIND("/",B2562)</f>
        <v>#VALUE!</v>
      </c>
    </row>
    <row r="2563" spans="1:12" x14ac:dyDescent="0.35">
      <c r="A2563">
        <f t="shared" ref="A2563:A2626" si="148">A2562+1</f>
        <v>2562</v>
      </c>
      <c r="B2563" t="s">
        <v>102</v>
      </c>
      <c r="C2563" s="109" t="str">
        <f>IF(ISBLANK(K2563),IFERROR(VLOOKUP(I2563,FS_input_data!$C$458:$N$648,Export!J2563,FALSE),""),K2563)</f>
        <v/>
      </c>
      <c r="D2563" s="105"/>
      <c r="E2563" t="s">
        <v>1561</v>
      </c>
      <c r="F2563" s="26" t="s">
        <v>1797</v>
      </c>
      <c r="G2563" s="26" t="b">
        <f>VLOOKUP($I$2562,FS_input_data!$C$458:$N$648,Export!$J$2562,FALSE)=""</f>
        <v>0</v>
      </c>
      <c r="H2563" s="6" t="s">
        <v>2189</v>
      </c>
      <c r="I2563" t="s">
        <v>1561</v>
      </c>
      <c r="J2563" t="s">
        <v>1561</v>
      </c>
      <c r="L2563">
        <f t="shared" si="147"/>
        <v>1</v>
      </c>
    </row>
    <row r="2564" spans="1:12" x14ac:dyDescent="0.35">
      <c r="A2564">
        <f t="shared" si="148"/>
        <v>2563</v>
      </c>
      <c r="B2564" t="s">
        <v>753</v>
      </c>
      <c r="C2564" s="109" t="str">
        <f>IF(ISBLANK(K2564),IFERROR(VLOOKUP(I2564,FS_input_data!$C$458:$N$648,Export!J2564,FALSE),""),K2564)</f>
        <v/>
      </c>
      <c r="D2564" s="105"/>
      <c r="E2564" t="s">
        <v>1561</v>
      </c>
      <c r="F2564" s="26" t="s">
        <v>1797</v>
      </c>
      <c r="G2564" s="26" t="b">
        <f>VLOOKUP($I$2562,FS_input_data!$C$458:$N$648,Export!$J$2562,FALSE)=""</f>
        <v>0</v>
      </c>
      <c r="H2564" s="6" t="s">
        <v>2189</v>
      </c>
      <c r="I2564" t="s">
        <v>1561</v>
      </c>
      <c r="J2564" t="s">
        <v>1561</v>
      </c>
      <c r="L2564" s="9" t="e">
        <f t="shared" si="147"/>
        <v>#VALUE!</v>
      </c>
    </row>
    <row r="2565" spans="1:12" x14ac:dyDescent="0.35">
      <c r="A2565">
        <f t="shared" si="148"/>
        <v>2564</v>
      </c>
      <c r="B2565" t="s">
        <v>742</v>
      </c>
      <c r="C2565" s="109" t="str">
        <f>IF(ISBLANK(K2565),IFERROR(VLOOKUP(I2565,FS_input_data!$C$458:$N$648,Export!J2565,FALSE),""),K2565)</f>
        <v/>
      </c>
      <c r="D2565" s="105"/>
      <c r="E2565" t="s">
        <v>1561</v>
      </c>
      <c r="F2565" s="26" t="s">
        <v>1797</v>
      </c>
      <c r="G2565" s="26" t="b">
        <f>VLOOKUP($I$2562,FS_input_data!$C$458:$N$648,Export!$J$2562,FALSE)=""</f>
        <v>0</v>
      </c>
      <c r="H2565" s="6" t="s">
        <v>2189</v>
      </c>
      <c r="I2565" t="s">
        <v>1561</v>
      </c>
      <c r="J2565" t="s">
        <v>1561</v>
      </c>
      <c r="L2565" s="9" t="e">
        <f t="shared" si="147"/>
        <v>#VALUE!</v>
      </c>
    </row>
    <row r="2566" spans="1:12" x14ac:dyDescent="0.35">
      <c r="A2566">
        <f t="shared" si="148"/>
        <v>2565</v>
      </c>
      <c r="B2566" t="s">
        <v>748</v>
      </c>
      <c r="C2566" s="109" t="str">
        <f>IF(ISBLANK(K2566),IFERROR(VLOOKUP(I2566,FS_input_data!$C$458:$N$648,Export!J2566,FALSE),""),K2566)</f>
        <v/>
      </c>
      <c r="D2566" s="105"/>
      <c r="E2566" t="s">
        <v>1561</v>
      </c>
      <c r="F2566" s="26" t="s">
        <v>1797</v>
      </c>
      <c r="G2566" s="26" t="b">
        <f>VLOOKUP($I$2562,FS_input_data!$C$458:$N$648,Export!$J$2562,FALSE)=""</f>
        <v>0</v>
      </c>
      <c r="H2566" s="6" t="s">
        <v>2189</v>
      </c>
      <c r="I2566" t="s">
        <v>1561</v>
      </c>
      <c r="J2566" t="s">
        <v>1561</v>
      </c>
      <c r="L2566" s="9" t="e">
        <f t="shared" si="147"/>
        <v>#VALUE!</v>
      </c>
    </row>
    <row r="2567" spans="1:12" x14ac:dyDescent="0.35">
      <c r="A2567" s="9">
        <f t="shared" si="148"/>
        <v>2566</v>
      </c>
      <c r="B2567" t="s">
        <v>109</v>
      </c>
      <c r="C2567" s="109">
        <f>IF(ISBLANK(K2567),IFERROR(VLOOKUP(I2567,FS_input_data!$C$458:$N$648,Export!J2567,FALSE),""),K2567)</f>
        <v>2000</v>
      </c>
      <c r="D2567" s="105" t="b">
        <v>1</v>
      </c>
      <c r="E2567" t="s">
        <v>1561</v>
      </c>
      <c r="F2567" s="26" t="s">
        <v>1797</v>
      </c>
      <c r="G2567" s="26" t="b">
        <f>VLOOKUP($I$2562,FS_input_data!$C$458:$N$648,Export!$J$2562,FALSE)=""</f>
        <v>0</v>
      </c>
      <c r="H2567" s="6" t="s">
        <v>2189</v>
      </c>
      <c r="I2567" t="s">
        <v>1797</v>
      </c>
      <c r="J2567">
        <v>7</v>
      </c>
      <c r="L2567" s="9" t="e">
        <f t="shared" si="147"/>
        <v>#VALUE!</v>
      </c>
    </row>
    <row r="2568" spans="1:12" x14ac:dyDescent="0.35">
      <c r="A2568">
        <f t="shared" si="148"/>
        <v>2567</v>
      </c>
      <c r="B2568" t="s">
        <v>110</v>
      </c>
      <c r="C2568" s="109" t="str">
        <f>IF(ISBLANK(K2568),IFERROR(VLOOKUP(I2568,FS_input_data!$C$458:$N$648,Export!J2568,FALSE),""),K2568)</f>
        <v/>
      </c>
      <c r="D2568" s="105"/>
      <c r="E2568" t="s">
        <v>1561</v>
      </c>
      <c r="F2568" s="26" t="s">
        <v>1797</v>
      </c>
      <c r="G2568" s="26" t="b">
        <f>VLOOKUP($I$2562,FS_input_data!$C$458:$N$648,Export!$J$2562,FALSE)=""</f>
        <v>0</v>
      </c>
      <c r="H2568" s="6" t="s">
        <v>2189</v>
      </c>
      <c r="I2568" t="s">
        <v>1561</v>
      </c>
      <c r="J2568" t="s">
        <v>1561</v>
      </c>
      <c r="L2568">
        <f t="shared" si="147"/>
        <v>1</v>
      </c>
    </row>
    <row r="2569" spans="1:12" x14ac:dyDescent="0.35">
      <c r="A2569" s="9">
        <f t="shared" si="148"/>
        <v>2568</v>
      </c>
      <c r="B2569" t="s">
        <v>111</v>
      </c>
      <c r="C2569" s="109">
        <f>IF(ISBLANK(K2569),IFERROR(VLOOKUP(I2569,FS_input_data!$C$458:$N$648,Export!J2569,FALSE),""),K2569)</f>
        <v>1000</v>
      </c>
      <c r="D2569" s="105" t="b">
        <v>0</v>
      </c>
      <c r="E2569" t="s">
        <v>1561</v>
      </c>
      <c r="F2569" s="26" t="s">
        <v>1797</v>
      </c>
      <c r="G2569" s="26" t="b">
        <f>VLOOKUP($I$2562,FS_input_data!$C$458:$N$648,Export!$J$2562,FALSE)=""</f>
        <v>0</v>
      </c>
      <c r="H2569" s="6" t="s">
        <v>2189</v>
      </c>
      <c r="I2569" t="s">
        <v>1797</v>
      </c>
      <c r="J2569">
        <v>8</v>
      </c>
      <c r="L2569" s="9" t="e">
        <f t="shared" si="147"/>
        <v>#VALUE!</v>
      </c>
    </row>
    <row r="2570" spans="1:12" x14ac:dyDescent="0.35">
      <c r="A2570">
        <f t="shared" si="148"/>
        <v>2569</v>
      </c>
      <c r="B2570" t="s">
        <v>112</v>
      </c>
      <c r="C2570" s="109" t="str">
        <f>IF(ISBLANK(K2570),IFERROR(VLOOKUP(I2570,FS_input_data!$C$458:$N$648,Export!J2570,FALSE),""),K2570)</f>
        <v/>
      </c>
      <c r="D2570" s="105"/>
      <c r="E2570" t="s">
        <v>1561</v>
      </c>
      <c r="F2570" s="26" t="s">
        <v>1797</v>
      </c>
      <c r="G2570" s="26" t="b">
        <f>VLOOKUP($I$2562,FS_input_data!$C$458:$N$648,Export!$J$2562,FALSE)=""</f>
        <v>0</v>
      </c>
      <c r="H2570" s="6" t="s">
        <v>2189</v>
      </c>
      <c r="I2570" t="s">
        <v>1561</v>
      </c>
      <c r="J2570" t="s">
        <v>1561</v>
      </c>
      <c r="L2570">
        <f t="shared" si="147"/>
        <v>1</v>
      </c>
    </row>
    <row r="2571" spans="1:12" x14ac:dyDescent="0.35">
      <c r="A2571" s="9">
        <f t="shared" si="148"/>
        <v>2570</v>
      </c>
      <c r="B2571" t="s">
        <v>749</v>
      </c>
      <c r="C2571" s="109">
        <f>IF(ISBLANK(K2571),IFERROR(VLOOKUP(I2571,FS_input_data!$C$458:$N$648,Export!J2571,FALSE),""),K2571)</f>
        <v>1000</v>
      </c>
      <c r="D2571" s="105" t="b">
        <v>0</v>
      </c>
      <c r="E2571" t="s">
        <v>1561</v>
      </c>
      <c r="F2571" s="26" t="s">
        <v>1797</v>
      </c>
      <c r="G2571" s="26" t="b">
        <f>VLOOKUP($I$2562,FS_input_data!$C$458:$N$648,Export!$J$2562,FALSE)=""</f>
        <v>0</v>
      </c>
      <c r="H2571" s="6" t="s">
        <v>2189</v>
      </c>
      <c r="I2571" t="s">
        <v>1797</v>
      </c>
      <c r="J2571">
        <v>9</v>
      </c>
      <c r="L2571" s="9" t="e">
        <f t="shared" si="147"/>
        <v>#VALUE!</v>
      </c>
    </row>
    <row r="2572" spans="1:12" x14ac:dyDescent="0.35">
      <c r="A2572">
        <f t="shared" si="148"/>
        <v>2571</v>
      </c>
      <c r="B2572" t="s">
        <v>750</v>
      </c>
      <c r="C2572" s="109" t="str">
        <f>IF(ISBLANK(K2572),IFERROR(VLOOKUP(I2572,FS_input_data!$C$458:$N$648,Export!J2572,FALSE),""),K2572)</f>
        <v/>
      </c>
      <c r="D2572" s="105"/>
      <c r="E2572" t="s">
        <v>1561</v>
      </c>
      <c r="F2572" s="26" t="s">
        <v>1797</v>
      </c>
      <c r="G2572" s="26" t="b">
        <f>VLOOKUP($I$2562,FS_input_data!$C$458:$N$648,Export!$J$2562,FALSE)=""</f>
        <v>0</v>
      </c>
      <c r="H2572" s="6" t="s">
        <v>2189</v>
      </c>
      <c r="I2572" t="s">
        <v>1561</v>
      </c>
      <c r="J2572" t="s">
        <v>1561</v>
      </c>
      <c r="L2572">
        <f t="shared" si="147"/>
        <v>1</v>
      </c>
    </row>
    <row r="2573" spans="1:12" x14ac:dyDescent="0.35">
      <c r="A2573">
        <f t="shared" si="148"/>
        <v>2572</v>
      </c>
      <c r="B2573" t="s">
        <v>751</v>
      </c>
      <c r="C2573" s="109" t="str">
        <f>IF(ISBLANK(K2573),IFERROR(VLOOKUP(I2573,FS_input_data!$C$458:$N$648,Export!J2573,FALSE),""),K2573)</f>
        <v/>
      </c>
      <c r="D2573" s="105"/>
      <c r="E2573" t="s">
        <v>1561</v>
      </c>
      <c r="F2573" s="26" t="s">
        <v>1797</v>
      </c>
      <c r="G2573" s="26" t="b">
        <f>VLOOKUP($I$2562,FS_input_data!$C$458:$N$648,Export!$J$2562,FALSE)=""</f>
        <v>0</v>
      </c>
      <c r="H2573" s="6" t="s">
        <v>2189</v>
      </c>
      <c r="I2573" t="s">
        <v>1561</v>
      </c>
      <c r="J2573" t="s">
        <v>1561</v>
      </c>
      <c r="L2573">
        <f t="shared" si="147"/>
        <v>1</v>
      </c>
    </row>
    <row r="2574" spans="1:12" x14ac:dyDescent="0.35">
      <c r="A2574">
        <f t="shared" si="148"/>
        <v>2573</v>
      </c>
      <c r="B2574" t="s">
        <v>754</v>
      </c>
      <c r="C2574" s="109" t="str">
        <f>IF(ISBLANK(K2574),IFERROR(VLOOKUP(I2574,FS_input_data!$C$458:$N$648,Export!J2574,FALSE),""),K2574)</f>
        <v/>
      </c>
      <c r="D2574" s="105"/>
      <c r="E2574" t="s">
        <v>1561</v>
      </c>
      <c r="F2574" s="26" t="s">
        <v>1797</v>
      </c>
      <c r="G2574" s="26" t="b">
        <f>VLOOKUP($I$2562,FS_input_data!$C$458:$N$648,Export!$J$2562,FALSE)=""</f>
        <v>0</v>
      </c>
      <c r="H2574" s="6" t="s">
        <v>2189</v>
      </c>
      <c r="I2574" t="s">
        <v>1561</v>
      </c>
      <c r="J2574" t="s">
        <v>1561</v>
      </c>
      <c r="L2574" s="9" t="e">
        <f t="shared" si="147"/>
        <v>#VALUE!</v>
      </c>
    </row>
    <row r="2575" spans="1:12" x14ac:dyDescent="0.35">
      <c r="A2575" s="9">
        <f t="shared" si="148"/>
        <v>2574</v>
      </c>
      <c r="B2575" t="s">
        <v>755</v>
      </c>
      <c r="C2575" s="109">
        <f>IF(ISBLANK(K2575),IFERROR(VLOOKUP(I2575,FS_input_data!$C$458:$N$648,Export!J2575,FALSE),""),K2575)</f>
        <v>2</v>
      </c>
      <c r="D2575" s="105" t="b">
        <v>1</v>
      </c>
      <c r="E2575" t="s">
        <v>1561</v>
      </c>
      <c r="F2575" s="26" t="s">
        <v>1797</v>
      </c>
      <c r="G2575" s="26" t="b">
        <f>VLOOKUP($I$2562,FS_input_data!$C$458:$N$648,Export!$J$2562,FALSE)=""</f>
        <v>0</v>
      </c>
      <c r="H2575" s="6" t="s">
        <v>2189</v>
      </c>
      <c r="I2575" t="s">
        <v>1797</v>
      </c>
      <c r="J2575">
        <v>2</v>
      </c>
      <c r="L2575" s="9" t="e">
        <f t="shared" si="147"/>
        <v>#VALUE!</v>
      </c>
    </row>
    <row r="2576" spans="1:12" x14ac:dyDescent="0.35">
      <c r="A2576">
        <f t="shared" si="148"/>
        <v>2575</v>
      </c>
      <c r="B2576" t="s">
        <v>756</v>
      </c>
      <c r="C2576" s="109" t="str">
        <f>IF(ISBLANK(K2576),IFERROR(VLOOKUP(I2576,FS_input_data!$C$458:$N$648,Export!J2576,FALSE),""),K2576)</f>
        <v/>
      </c>
      <c r="D2576" s="105"/>
      <c r="E2576" t="s">
        <v>1561</v>
      </c>
      <c r="F2576" s="26" t="s">
        <v>1797</v>
      </c>
      <c r="G2576" s="26" t="b">
        <f>VLOOKUP($I$2562,FS_input_data!$C$458:$N$648,Export!$J$2562,FALSE)=""</f>
        <v>0</v>
      </c>
      <c r="H2576" s="6" t="s">
        <v>2189</v>
      </c>
      <c r="I2576" t="s">
        <v>1561</v>
      </c>
      <c r="J2576" t="s">
        <v>1561</v>
      </c>
      <c r="L2576">
        <f t="shared" si="147"/>
        <v>1</v>
      </c>
    </row>
    <row r="2577" spans="1:12" x14ac:dyDescent="0.35">
      <c r="A2577" s="9">
        <f t="shared" si="148"/>
        <v>2576</v>
      </c>
      <c r="B2577" t="s">
        <v>757</v>
      </c>
      <c r="C2577" s="109">
        <f>IF(ISBLANK(K2577),IFERROR(VLOOKUP(I2577,FS_input_data!$C$458:$N$648,Export!J2577,FALSE),""),K2577)</f>
        <v>102</v>
      </c>
      <c r="D2577" s="105" t="b">
        <v>0</v>
      </c>
      <c r="E2577" t="s">
        <v>1561</v>
      </c>
      <c r="F2577" s="26" t="s">
        <v>1797</v>
      </c>
      <c r="G2577" s="26" t="b">
        <f>VLOOKUP($I$2562,FS_input_data!$C$458:$N$648,Export!$J$2562,FALSE)=""</f>
        <v>0</v>
      </c>
      <c r="H2577" s="6" t="s">
        <v>2189</v>
      </c>
      <c r="I2577" t="s">
        <v>1797</v>
      </c>
      <c r="J2577">
        <v>3</v>
      </c>
      <c r="L2577" s="9" t="e">
        <f t="shared" si="147"/>
        <v>#VALUE!</v>
      </c>
    </row>
    <row r="2578" spans="1:12" x14ac:dyDescent="0.35">
      <c r="A2578">
        <f t="shared" si="148"/>
        <v>2577</v>
      </c>
      <c r="B2578" t="s">
        <v>758</v>
      </c>
      <c r="C2578" s="109" t="str">
        <f>IF(ISBLANK(K2578),IFERROR(VLOOKUP(I2578,FS_input_data!$C$458:$N$648,Export!J2578,FALSE),""),K2578)</f>
        <v/>
      </c>
      <c r="D2578" s="105"/>
      <c r="E2578" t="s">
        <v>1561</v>
      </c>
      <c r="F2578" s="26" t="s">
        <v>1797</v>
      </c>
      <c r="G2578" s="26" t="b">
        <f>VLOOKUP($I$2562,FS_input_data!$C$458:$N$648,Export!$J$2562,FALSE)=""</f>
        <v>0</v>
      </c>
      <c r="H2578" s="6" t="s">
        <v>2189</v>
      </c>
      <c r="I2578" t="s">
        <v>1561</v>
      </c>
      <c r="J2578" t="s">
        <v>1561</v>
      </c>
      <c r="L2578">
        <f t="shared" si="147"/>
        <v>1</v>
      </c>
    </row>
    <row r="2579" spans="1:12" x14ac:dyDescent="0.35">
      <c r="A2579" s="9">
        <f t="shared" si="148"/>
        <v>2578</v>
      </c>
      <c r="B2579" t="s">
        <v>759</v>
      </c>
      <c r="C2579" s="109">
        <f>IF(ISBLANK(K2579),IFERROR(VLOOKUP(I2579,FS_input_data!$C$458:$N$648,Export!J2579,FALSE),""),K2579)</f>
        <v>202</v>
      </c>
      <c r="D2579" s="105" t="b">
        <v>0</v>
      </c>
      <c r="E2579" t="s">
        <v>1561</v>
      </c>
      <c r="F2579" s="26" t="s">
        <v>1797</v>
      </c>
      <c r="G2579" s="26" t="b">
        <f>VLOOKUP($I$2562,FS_input_data!$C$458:$N$648,Export!$J$2562,FALSE)=""</f>
        <v>0</v>
      </c>
      <c r="H2579" s="6" t="s">
        <v>2189</v>
      </c>
      <c r="I2579" t="s">
        <v>1797</v>
      </c>
      <c r="J2579">
        <v>4</v>
      </c>
      <c r="L2579" s="9" t="e">
        <f t="shared" si="147"/>
        <v>#VALUE!</v>
      </c>
    </row>
    <row r="2580" spans="1:12" x14ac:dyDescent="0.35">
      <c r="A2580">
        <f t="shared" si="148"/>
        <v>2579</v>
      </c>
      <c r="B2580" t="s">
        <v>760</v>
      </c>
      <c r="C2580" s="109" t="str">
        <f>IF(ISBLANK(K2580),IFERROR(VLOOKUP(I2580,FS_input_data!$C$458:$N$648,Export!J2580,FALSE),""),K2580)</f>
        <v/>
      </c>
      <c r="D2580" s="105"/>
      <c r="E2580" t="s">
        <v>1561</v>
      </c>
      <c r="F2580" s="26" t="s">
        <v>1797</v>
      </c>
      <c r="G2580" s="26" t="b">
        <f>VLOOKUP($I$2562,FS_input_data!$C$458:$N$648,Export!$J$2562,FALSE)=""</f>
        <v>0</v>
      </c>
      <c r="H2580" s="6" t="s">
        <v>2189</v>
      </c>
      <c r="I2580" t="s">
        <v>1561</v>
      </c>
      <c r="J2580" t="s">
        <v>1561</v>
      </c>
      <c r="L2580">
        <f t="shared" si="147"/>
        <v>1</v>
      </c>
    </row>
    <row r="2581" spans="1:12" x14ac:dyDescent="0.35">
      <c r="A2581" s="9">
        <f t="shared" si="148"/>
        <v>2580</v>
      </c>
      <c r="B2581" t="s">
        <v>761</v>
      </c>
      <c r="C2581" s="109" t="str">
        <f>IF(ISBLANK(K2581),IFERROR(VLOOKUP(I2581,FS_input_data!$C$458:$N$648,Export!J2581,FALSE),""),K2581)</f>
        <v>b</v>
      </c>
      <c r="D2581" s="105" t="b">
        <v>0</v>
      </c>
      <c r="E2581" t="s">
        <v>1561</v>
      </c>
      <c r="F2581" s="26" t="s">
        <v>1797</v>
      </c>
      <c r="G2581" s="26" t="b">
        <f>VLOOKUP($I$2562,FS_input_data!$C$458:$N$648,Export!$J$2562,FALSE)=""</f>
        <v>0</v>
      </c>
      <c r="H2581" s="6" t="s">
        <v>2189</v>
      </c>
      <c r="I2581" t="s">
        <v>1797</v>
      </c>
      <c r="J2581">
        <v>5</v>
      </c>
      <c r="L2581" s="9" t="e">
        <f t="shared" si="147"/>
        <v>#VALUE!</v>
      </c>
    </row>
    <row r="2582" spans="1:12" x14ac:dyDescent="0.35">
      <c r="A2582">
        <f t="shared" si="148"/>
        <v>2581</v>
      </c>
      <c r="B2582" t="s">
        <v>762</v>
      </c>
      <c r="C2582" s="109" t="str">
        <f>IF(ISBLANK(K2582),IFERROR(VLOOKUP(I2582,FS_input_data!$C$458:$N$648,Export!J2582,FALSE),""),K2582)</f>
        <v/>
      </c>
      <c r="D2582" s="105"/>
      <c r="E2582" t="s">
        <v>1561</v>
      </c>
      <c r="F2582" s="26" t="s">
        <v>1797</v>
      </c>
      <c r="G2582" s="26" t="b">
        <f>VLOOKUP($I$2562,FS_input_data!$C$458:$N$648,Export!$J$2562,FALSE)=""</f>
        <v>0</v>
      </c>
      <c r="H2582" s="6" t="s">
        <v>2189</v>
      </c>
      <c r="I2582" t="s">
        <v>1561</v>
      </c>
      <c r="J2582" t="s">
        <v>1561</v>
      </c>
      <c r="L2582">
        <f t="shared" si="147"/>
        <v>1</v>
      </c>
    </row>
    <row r="2583" spans="1:12" x14ac:dyDescent="0.35">
      <c r="A2583">
        <f t="shared" si="148"/>
        <v>2582</v>
      </c>
      <c r="B2583" t="s">
        <v>763</v>
      </c>
      <c r="C2583" s="109" t="str">
        <f>IF(ISBLANK(K2583),IFERROR(VLOOKUP(I2583,FS_input_data!$C$458:$N$648,Export!J2583,FALSE),""),K2583)</f>
        <v/>
      </c>
      <c r="D2583" s="105"/>
      <c r="E2583" t="s">
        <v>1561</v>
      </c>
      <c r="F2583" s="26" t="s">
        <v>1797</v>
      </c>
      <c r="G2583" s="26" t="b">
        <f>VLOOKUP($I$2562,FS_input_data!$C$458:$N$648,Export!$J$2562,FALSE)=""</f>
        <v>0</v>
      </c>
      <c r="H2583" s="6" t="s">
        <v>2189</v>
      </c>
      <c r="I2583" t="s">
        <v>1561</v>
      </c>
      <c r="J2583" t="s">
        <v>1561</v>
      </c>
      <c r="L2583">
        <f t="shared" si="147"/>
        <v>1</v>
      </c>
    </row>
    <row r="2584" spans="1:12" x14ac:dyDescent="0.35">
      <c r="A2584">
        <f t="shared" si="148"/>
        <v>2583</v>
      </c>
      <c r="B2584" t="s">
        <v>743</v>
      </c>
      <c r="C2584" s="109" t="str">
        <f>IF(ISBLANK(K2584),IFERROR(VLOOKUP(I2584,FS_input_data!$C$458:$N$648,Export!J2584,FALSE),""),K2584)</f>
        <v/>
      </c>
      <c r="D2584" s="105"/>
      <c r="E2584" t="s">
        <v>1561</v>
      </c>
      <c r="F2584" s="26" t="s">
        <v>1797</v>
      </c>
      <c r="G2584" s="26" t="b">
        <f>VLOOKUP($I$2562,FS_input_data!$C$458:$N$648,Export!$J$2562,FALSE)=""</f>
        <v>0</v>
      </c>
      <c r="H2584" s="6" t="s">
        <v>2189</v>
      </c>
      <c r="I2584" t="s">
        <v>1561</v>
      </c>
      <c r="J2584" t="s">
        <v>1561</v>
      </c>
      <c r="L2584">
        <f t="shared" si="147"/>
        <v>1</v>
      </c>
    </row>
    <row r="2585" spans="1:12" x14ac:dyDescent="0.35">
      <c r="A2585">
        <f t="shared" si="148"/>
        <v>2584</v>
      </c>
      <c r="B2585" t="s">
        <v>744</v>
      </c>
      <c r="C2585" s="109" t="str">
        <f>IF(ISBLANK(K2585),IFERROR(VLOOKUP(I2585,FS_input_data!$C$458:$N$648,Export!J2585,FALSE),""),K2585)</f>
        <v/>
      </c>
      <c r="D2585" s="105"/>
      <c r="E2585" t="s">
        <v>1561</v>
      </c>
      <c r="F2585" s="26" t="s">
        <v>1797</v>
      </c>
      <c r="G2585" s="26" t="b">
        <f>IF(RP_tax,TRUE,VLOOKUP($I$2562,FS_input_data!$C$458:$N$648,Export!$J$2562,FALSE)="")</f>
        <v>1</v>
      </c>
      <c r="H2585" s="6" t="s">
        <v>2189</v>
      </c>
      <c r="I2585" t="s">
        <v>1561</v>
      </c>
      <c r="J2585" t="s">
        <v>1561</v>
      </c>
      <c r="L2585" s="9" t="e">
        <f t="shared" si="147"/>
        <v>#VALUE!</v>
      </c>
    </row>
    <row r="2586" spans="1:12" x14ac:dyDescent="0.35">
      <c r="A2586" s="9">
        <f t="shared" si="148"/>
        <v>2585</v>
      </c>
      <c r="B2586" t="s">
        <v>109</v>
      </c>
      <c r="C2586" s="109">
        <f>IF(ISBLANK(K2586),IFERROR(VLOOKUP(I2586,FS_input_data!$C$458:$N$648,Export!J2586,FALSE),""),K2586)</f>
        <v>2000</v>
      </c>
      <c r="D2586" s="105" t="b">
        <v>0</v>
      </c>
      <c r="E2586" t="s">
        <v>1561</v>
      </c>
      <c r="F2586" s="26" t="s">
        <v>1797</v>
      </c>
      <c r="G2586" s="26" t="b">
        <f>IF(RP_tax,TRUE,VLOOKUP($I$2562,FS_input_data!$C$458:$N$648,Export!$J$2562,FALSE)="")</f>
        <v>1</v>
      </c>
      <c r="H2586" s="6" t="s">
        <v>2189</v>
      </c>
      <c r="I2586" t="s">
        <v>1797</v>
      </c>
      <c r="J2586">
        <v>10</v>
      </c>
      <c r="L2586" s="9" t="e">
        <f t="shared" si="147"/>
        <v>#VALUE!</v>
      </c>
    </row>
    <row r="2587" spans="1:12" x14ac:dyDescent="0.35">
      <c r="A2587">
        <f t="shared" si="148"/>
        <v>2586</v>
      </c>
      <c r="B2587" t="s">
        <v>110</v>
      </c>
      <c r="C2587" s="109" t="str">
        <f>IF(ISBLANK(K2587),IFERROR(VLOOKUP(I2587,FS_input_data!$C$458:$N$648,Export!J2587,FALSE),""),K2587)</f>
        <v/>
      </c>
      <c r="D2587" s="105"/>
      <c r="E2587" t="s">
        <v>1561</v>
      </c>
      <c r="F2587" s="26" t="s">
        <v>1797</v>
      </c>
      <c r="G2587" s="26" t="b">
        <f>IF(RP_tax,TRUE,VLOOKUP($I$2562,FS_input_data!$C$458:$N$648,Export!$J$2562,FALSE)="")</f>
        <v>1</v>
      </c>
      <c r="H2587" s="6" t="s">
        <v>2189</v>
      </c>
      <c r="I2587" t="s">
        <v>1561</v>
      </c>
      <c r="J2587" t="s">
        <v>1561</v>
      </c>
      <c r="L2587">
        <f t="shared" si="147"/>
        <v>1</v>
      </c>
    </row>
    <row r="2588" spans="1:12" x14ac:dyDescent="0.35">
      <c r="A2588" s="9">
        <f t="shared" si="148"/>
        <v>2587</v>
      </c>
      <c r="B2588" t="s">
        <v>111</v>
      </c>
      <c r="C2588" s="109">
        <f>IF(ISBLANK(K2588),IFERROR(VLOOKUP(I2588,FS_input_data!$C$458:$N$648,Export!J2588,FALSE),""),K2588)</f>
        <v>1000</v>
      </c>
      <c r="D2588" s="105" t="b">
        <v>0</v>
      </c>
      <c r="E2588" t="s">
        <v>1561</v>
      </c>
      <c r="F2588" s="26" t="s">
        <v>1797</v>
      </c>
      <c r="G2588" s="26" t="b">
        <f>IF(RP_tax,TRUE,VLOOKUP($I$2562,FS_input_data!$C$458:$N$648,Export!$J$2562,FALSE)="")</f>
        <v>1</v>
      </c>
      <c r="H2588" s="6" t="s">
        <v>2189</v>
      </c>
      <c r="I2588" t="s">
        <v>1797</v>
      </c>
      <c r="J2588">
        <v>11</v>
      </c>
      <c r="L2588" s="9" t="e">
        <f t="shared" si="147"/>
        <v>#VALUE!</v>
      </c>
    </row>
    <row r="2589" spans="1:12" x14ac:dyDescent="0.35">
      <c r="A2589">
        <f t="shared" si="148"/>
        <v>2588</v>
      </c>
      <c r="B2589" t="s">
        <v>112</v>
      </c>
      <c r="C2589" s="109" t="str">
        <f>IF(ISBLANK(K2589),IFERROR(VLOOKUP(I2589,FS_input_data!$C$458:$N$648,Export!J2589,FALSE),""),K2589)</f>
        <v/>
      </c>
      <c r="D2589" s="105"/>
      <c r="E2589" t="s">
        <v>1561</v>
      </c>
      <c r="F2589" s="26" t="s">
        <v>1797</v>
      </c>
      <c r="G2589" s="26" t="b">
        <f>IF(RP_tax,TRUE,VLOOKUP($I$2562,FS_input_data!$C$458:$N$648,Export!$J$2562,FALSE)="")</f>
        <v>1</v>
      </c>
      <c r="H2589" s="6" t="s">
        <v>2189</v>
      </c>
      <c r="I2589" t="s">
        <v>1561</v>
      </c>
      <c r="J2589" t="s">
        <v>1561</v>
      </c>
      <c r="L2589">
        <f t="shared" si="147"/>
        <v>1</v>
      </c>
    </row>
    <row r="2590" spans="1:12" x14ac:dyDescent="0.35">
      <c r="A2590" s="9">
        <f t="shared" si="148"/>
        <v>2589</v>
      </c>
      <c r="B2590" t="s">
        <v>749</v>
      </c>
      <c r="C2590" s="109">
        <f>IF(ISBLANK(K2590),IFERROR(VLOOKUP(I2590,FS_input_data!$C$458:$N$648,Export!J2590,FALSE),""),K2590)</f>
        <v>1000</v>
      </c>
      <c r="D2590" s="105" t="b">
        <v>0</v>
      </c>
      <c r="E2590" t="s">
        <v>1561</v>
      </c>
      <c r="F2590" s="26" t="s">
        <v>1797</v>
      </c>
      <c r="G2590" s="26" t="b">
        <f>IF(RP_tax,TRUE,VLOOKUP($I$2562,FS_input_data!$C$458:$N$648,Export!$J$2562,FALSE)="")</f>
        <v>1</v>
      </c>
      <c r="H2590" s="6" t="s">
        <v>2189</v>
      </c>
      <c r="I2590" t="s">
        <v>1797</v>
      </c>
      <c r="J2590">
        <v>12</v>
      </c>
      <c r="L2590" s="9" t="e">
        <f t="shared" si="147"/>
        <v>#VALUE!</v>
      </c>
    </row>
    <row r="2591" spans="1:12" x14ac:dyDescent="0.35">
      <c r="A2591">
        <f t="shared" si="148"/>
        <v>2590</v>
      </c>
      <c r="B2591" t="s">
        <v>750</v>
      </c>
      <c r="C2591" s="109" t="str">
        <f>IF(ISBLANK(K2591),IFERROR(VLOOKUP(I2591,FS_input_data!$C$458:$N$648,Export!J2591,FALSE),""),K2591)</f>
        <v/>
      </c>
      <c r="D2591" s="105"/>
      <c r="E2591" t="s">
        <v>1561</v>
      </c>
      <c r="F2591" s="26" t="s">
        <v>1797</v>
      </c>
      <c r="G2591" s="26" t="b">
        <f>IF(RP_tax,TRUE,VLOOKUP($I$2562,FS_input_data!$C$458:$N$648,Export!$J$2562,FALSE)="")</f>
        <v>1</v>
      </c>
      <c r="H2591" s="6" t="s">
        <v>2189</v>
      </c>
      <c r="I2591" t="s">
        <v>1561</v>
      </c>
      <c r="J2591" t="s">
        <v>1561</v>
      </c>
      <c r="L2591">
        <f t="shared" si="147"/>
        <v>1</v>
      </c>
    </row>
    <row r="2592" spans="1:12" x14ac:dyDescent="0.35">
      <c r="A2592">
        <f t="shared" si="148"/>
        <v>2591</v>
      </c>
      <c r="B2592" t="s">
        <v>745</v>
      </c>
      <c r="C2592" s="109" t="str">
        <f>IF(ISBLANK(K2592),IFERROR(VLOOKUP(I2592,FS_input_data!$C$458:$N$648,Export!J2592,FALSE),""),K2592)</f>
        <v/>
      </c>
      <c r="D2592" s="105"/>
      <c r="E2592" t="s">
        <v>1561</v>
      </c>
      <c r="F2592" s="26" t="s">
        <v>1797</v>
      </c>
      <c r="G2592" s="26" t="b">
        <f>IF(RP_tax,TRUE,VLOOKUP($I$2562,FS_input_data!$C$458:$N$648,Export!$J$2562,FALSE)="")</f>
        <v>1</v>
      </c>
      <c r="H2592" s="6" t="s">
        <v>2189</v>
      </c>
      <c r="I2592" t="s">
        <v>1561</v>
      </c>
      <c r="J2592" t="s">
        <v>1561</v>
      </c>
      <c r="L2592">
        <f t="shared" si="147"/>
        <v>1</v>
      </c>
    </row>
    <row r="2593" spans="1:12" x14ac:dyDescent="0.35">
      <c r="A2593">
        <f t="shared" si="148"/>
        <v>2592</v>
      </c>
      <c r="B2593" t="s">
        <v>764</v>
      </c>
      <c r="C2593" s="109" t="str">
        <f>IF(ISBLANK(K2593),IFERROR(VLOOKUP(I2593,FS_input_data!$C$458:$N$648,Export!J2593,FALSE),""),K2593)</f>
        <v/>
      </c>
      <c r="D2593" s="105"/>
      <c r="E2593" t="s">
        <v>1561</v>
      </c>
      <c r="F2593" s="26" t="s">
        <v>1797</v>
      </c>
      <c r="G2593" s="26" t="b">
        <f>VLOOKUP($I$2562,FS_input_data!$C$458:$N$648,Export!$J$2562,FALSE)=""</f>
        <v>0</v>
      </c>
      <c r="H2593" s="6" t="s">
        <v>2189</v>
      </c>
      <c r="I2593" t="s">
        <v>1561</v>
      </c>
      <c r="J2593" t="s">
        <v>1561</v>
      </c>
      <c r="L2593">
        <f t="shared" si="147"/>
        <v>1</v>
      </c>
    </row>
    <row r="2594" spans="1:12" x14ac:dyDescent="0.35">
      <c r="A2594">
        <f t="shared" si="148"/>
        <v>2593</v>
      </c>
      <c r="B2594" t="s">
        <v>765</v>
      </c>
      <c r="C2594" s="109" t="str">
        <f>IF(ISBLANK(K2594),IFERROR(VLOOKUP(I2594,FS_input_data!$C$458:$N$648,Export!J2594,FALSE),""),K2594)</f>
        <v/>
      </c>
      <c r="D2594" s="105"/>
      <c r="E2594" t="s">
        <v>1561</v>
      </c>
      <c r="F2594" s="26" t="s">
        <v>1797</v>
      </c>
      <c r="G2594" s="26" t="b">
        <f>VLOOKUP($I$2562,FS_input_data!$C$458:$N$648,Export!$J$2562,FALSE)=""</f>
        <v>0</v>
      </c>
      <c r="H2594" s="6" t="s">
        <v>2189</v>
      </c>
      <c r="I2594" t="s">
        <v>1561</v>
      </c>
      <c r="J2594" t="s">
        <v>1561</v>
      </c>
      <c r="L2594">
        <f t="shared" si="147"/>
        <v>1</v>
      </c>
    </row>
    <row r="2595" spans="1:12" x14ac:dyDescent="0.35">
      <c r="A2595">
        <f t="shared" si="148"/>
        <v>2594</v>
      </c>
      <c r="B2595" t="s">
        <v>752</v>
      </c>
      <c r="C2595" s="109" t="str">
        <f>IF(ISBLANK(K2595),IFERROR(VLOOKUP(I2595,FS_input_data!$C$458:$N$648,Export!J2595,FALSE),""),K2595)</f>
        <v/>
      </c>
      <c r="D2595" s="102"/>
      <c r="E2595" t="s">
        <v>1561</v>
      </c>
      <c r="F2595" s="102" t="s">
        <v>1800</v>
      </c>
      <c r="G2595" s="102" t="b">
        <f>VLOOKUP($I$2596,FS_input_data!$C$458:$N$648,Export!$J$2596,FALSE)=""</f>
        <v>0</v>
      </c>
      <c r="H2595" s="6" t="s">
        <v>2189</v>
      </c>
      <c r="I2595" t="s">
        <v>1561</v>
      </c>
      <c r="J2595" t="s">
        <v>1561</v>
      </c>
      <c r="L2595" s="9" t="e">
        <f t="shared" si="147"/>
        <v>#VALUE!</v>
      </c>
    </row>
    <row r="2596" spans="1:12" x14ac:dyDescent="0.35">
      <c r="A2596" s="9">
        <f t="shared" si="148"/>
        <v>2595</v>
      </c>
      <c r="B2596" t="s">
        <v>101</v>
      </c>
      <c r="C2596" s="109" t="str">
        <f>IF(ISBLANK(K2596),IFERROR(VLOOKUP(I2596,FS_input_data!$C$458:$N$648,Export!J2596,FALSE),""),K2596)</f>
        <v>OB3</v>
      </c>
      <c r="D2596" s="102" t="b">
        <v>1</v>
      </c>
      <c r="E2596" t="s">
        <v>1561</v>
      </c>
      <c r="F2596" s="102" t="s">
        <v>1800</v>
      </c>
      <c r="G2596" s="102" t="b">
        <f>VLOOKUP($I$2596,FS_input_data!$C$458:$N$648,Export!$J$2596,FALSE)=""</f>
        <v>0</v>
      </c>
      <c r="H2596" s="6" t="s">
        <v>2189</v>
      </c>
      <c r="I2596" t="s">
        <v>1800</v>
      </c>
      <c r="J2596">
        <v>6</v>
      </c>
      <c r="L2596" s="9" t="e">
        <f t="shared" si="147"/>
        <v>#VALUE!</v>
      </c>
    </row>
    <row r="2597" spans="1:12" x14ac:dyDescent="0.35">
      <c r="A2597">
        <f t="shared" si="148"/>
        <v>2596</v>
      </c>
      <c r="B2597" t="s">
        <v>102</v>
      </c>
      <c r="C2597" s="109" t="str">
        <f>IF(ISBLANK(K2597),IFERROR(VLOOKUP(I2597,FS_input_data!$C$458:$N$648,Export!J2597,FALSE),""),K2597)</f>
        <v/>
      </c>
      <c r="D2597" s="102"/>
      <c r="E2597" t="s">
        <v>1561</v>
      </c>
      <c r="F2597" s="102" t="s">
        <v>1800</v>
      </c>
      <c r="G2597" s="102" t="b">
        <f>VLOOKUP($I$2596,FS_input_data!$C$458:$N$648,Export!$J$2596,FALSE)=""</f>
        <v>0</v>
      </c>
      <c r="H2597" s="6" t="s">
        <v>2189</v>
      </c>
      <c r="I2597" t="s">
        <v>1561</v>
      </c>
      <c r="J2597" t="s">
        <v>1561</v>
      </c>
      <c r="L2597">
        <f t="shared" si="147"/>
        <v>1</v>
      </c>
    </row>
    <row r="2598" spans="1:12" x14ac:dyDescent="0.35">
      <c r="A2598">
        <f t="shared" si="148"/>
        <v>2597</v>
      </c>
      <c r="B2598" t="s">
        <v>753</v>
      </c>
      <c r="C2598" s="109" t="str">
        <f>IF(ISBLANK(K2598),IFERROR(VLOOKUP(I2598,FS_input_data!$C$458:$N$648,Export!J2598,FALSE),""),K2598)</f>
        <v/>
      </c>
      <c r="D2598" s="102"/>
      <c r="E2598" t="s">
        <v>1561</v>
      </c>
      <c r="F2598" s="102" t="s">
        <v>1800</v>
      </c>
      <c r="G2598" s="102" t="b">
        <f>VLOOKUP($I$2596,FS_input_data!$C$458:$N$648,Export!$J$2596,FALSE)=""</f>
        <v>0</v>
      </c>
      <c r="H2598" s="6" t="s">
        <v>2189</v>
      </c>
      <c r="I2598" t="s">
        <v>1561</v>
      </c>
      <c r="J2598" t="s">
        <v>1561</v>
      </c>
      <c r="L2598" s="9" t="e">
        <f t="shared" si="147"/>
        <v>#VALUE!</v>
      </c>
    </row>
    <row r="2599" spans="1:12" x14ac:dyDescent="0.35">
      <c r="A2599">
        <f t="shared" si="148"/>
        <v>2598</v>
      </c>
      <c r="B2599" t="s">
        <v>742</v>
      </c>
      <c r="C2599" s="109" t="str">
        <f>IF(ISBLANK(K2599),IFERROR(VLOOKUP(I2599,FS_input_data!$C$458:$N$648,Export!J2599,FALSE),""),K2599)</f>
        <v/>
      </c>
      <c r="D2599" s="102"/>
      <c r="E2599" t="s">
        <v>1561</v>
      </c>
      <c r="F2599" s="102" t="s">
        <v>1800</v>
      </c>
      <c r="G2599" s="102" t="b">
        <f>VLOOKUP($I$2596,FS_input_data!$C$458:$N$648,Export!$J$2596,FALSE)=""</f>
        <v>0</v>
      </c>
      <c r="H2599" s="6" t="s">
        <v>2189</v>
      </c>
      <c r="I2599" t="s">
        <v>1561</v>
      </c>
      <c r="J2599" t="s">
        <v>1561</v>
      </c>
      <c r="L2599" s="9" t="e">
        <f t="shared" si="147"/>
        <v>#VALUE!</v>
      </c>
    </row>
    <row r="2600" spans="1:12" x14ac:dyDescent="0.35">
      <c r="A2600">
        <f t="shared" si="148"/>
        <v>2599</v>
      </c>
      <c r="B2600" t="s">
        <v>748</v>
      </c>
      <c r="C2600" s="109" t="str">
        <f>IF(ISBLANK(K2600),IFERROR(VLOOKUP(I2600,FS_input_data!$C$458:$N$648,Export!J2600,FALSE),""),K2600)</f>
        <v/>
      </c>
      <c r="D2600" s="102"/>
      <c r="E2600" t="s">
        <v>1561</v>
      </c>
      <c r="F2600" s="102" t="s">
        <v>1800</v>
      </c>
      <c r="G2600" s="102" t="b">
        <f>VLOOKUP($I$2596,FS_input_data!$C$458:$N$648,Export!$J$2596,FALSE)=""</f>
        <v>0</v>
      </c>
      <c r="H2600" s="6" t="s">
        <v>2189</v>
      </c>
      <c r="I2600" t="s">
        <v>1561</v>
      </c>
      <c r="J2600" t="s">
        <v>1561</v>
      </c>
      <c r="L2600" s="9" t="e">
        <f t="shared" si="147"/>
        <v>#VALUE!</v>
      </c>
    </row>
    <row r="2601" spans="1:12" x14ac:dyDescent="0.35">
      <c r="A2601" s="9">
        <f t="shared" si="148"/>
        <v>2600</v>
      </c>
      <c r="B2601" t="s">
        <v>109</v>
      </c>
      <c r="C2601" s="109">
        <f>IF(ISBLANK(K2601),IFERROR(VLOOKUP(I2601,FS_input_data!$C$458:$N$648,Export!J2601,FALSE),""),K2601)</f>
        <v>3000</v>
      </c>
      <c r="D2601" s="102" t="b">
        <v>1</v>
      </c>
      <c r="E2601" t="s">
        <v>1561</v>
      </c>
      <c r="F2601" s="102" t="s">
        <v>1800</v>
      </c>
      <c r="G2601" s="102" t="b">
        <f>VLOOKUP($I$2596,FS_input_data!$C$458:$N$648,Export!$J$2596,FALSE)=""</f>
        <v>0</v>
      </c>
      <c r="H2601" s="6" t="s">
        <v>2189</v>
      </c>
      <c r="I2601" t="s">
        <v>1800</v>
      </c>
      <c r="J2601">
        <v>7</v>
      </c>
      <c r="L2601" s="9" t="e">
        <f t="shared" si="147"/>
        <v>#VALUE!</v>
      </c>
    </row>
    <row r="2602" spans="1:12" x14ac:dyDescent="0.35">
      <c r="A2602">
        <f t="shared" si="148"/>
        <v>2601</v>
      </c>
      <c r="B2602" t="s">
        <v>110</v>
      </c>
      <c r="C2602" s="109" t="str">
        <f>IF(ISBLANK(K2602),IFERROR(VLOOKUP(I2602,FS_input_data!$C$458:$N$648,Export!J2602,FALSE),""),K2602)</f>
        <v/>
      </c>
      <c r="D2602" s="102"/>
      <c r="E2602" t="s">
        <v>1561</v>
      </c>
      <c r="F2602" s="102" t="s">
        <v>1800</v>
      </c>
      <c r="G2602" s="102" t="b">
        <f>VLOOKUP($I$2596,FS_input_data!$C$458:$N$648,Export!$J$2596,FALSE)=""</f>
        <v>0</v>
      </c>
      <c r="H2602" s="6" t="s">
        <v>2189</v>
      </c>
      <c r="I2602" t="s">
        <v>1561</v>
      </c>
      <c r="J2602" t="s">
        <v>1561</v>
      </c>
      <c r="L2602">
        <f t="shared" si="147"/>
        <v>1</v>
      </c>
    </row>
    <row r="2603" spans="1:12" x14ac:dyDescent="0.35">
      <c r="A2603" s="9">
        <f t="shared" si="148"/>
        <v>2602</v>
      </c>
      <c r="B2603" t="s">
        <v>111</v>
      </c>
      <c r="C2603" s="109">
        <f>IF(ISBLANK(K2603),IFERROR(VLOOKUP(I2603,FS_input_data!$C$458:$N$648,Export!J2603,FALSE),""),K2603)</f>
        <v>1500</v>
      </c>
      <c r="D2603" s="102" t="b">
        <v>0</v>
      </c>
      <c r="E2603" t="s">
        <v>1561</v>
      </c>
      <c r="F2603" s="102" t="s">
        <v>1800</v>
      </c>
      <c r="G2603" s="102" t="b">
        <f>VLOOKUP($I$2596,FS_input_data!$C$458:$N$648,Export!$J$2596,FALSE)=""</f>
        <v>0</v>
      </c>
      <c r="H2603" s="6" t="s">
        <v>2189</v>
      </c>
      <c r="I2603" t="s">
        <v>1800</v>
      </c>
      <c r="J2603">
        <v>8</v>
      </c>
      <c r="L2603" s="9" t="e">
        <f t="shared" si="147"/>
        <v>#VALUE!</v>
      </c>
    </row>
    <row r="2604" spans="1:12" x14ac:dyDescent="0.35">
      <c r="A2604">
        <f t="shared" si="148"/>
        <v>2603</v>
      </c>
      <c r="B2604" t="s">
        <v>112</v>
      </c>
      <c r="C2604" s="109" t="str">
        <f>IF(ISBLANK(K2604),IFERROR(VLOOKUP(I2604,FS_input_data!$C$458:$N$648,Export!J2604,FALSE),""),K2604)</f>
        <v/>
      </c>
      <c r="D2604" s="102"/>
      <c r="E2604" t="s">
        <v>1561</v>
      </c>
      <c r="F2604" s="102" t="s">
        <v>1800</v>
      </c>
      <c r="G2604" s="102" t="b">
        <f>VLOOKUP($I$2596,FS_input_data!$C$458:$N$648,Export!$J$2596,FALSE)=""</f>
        <v>0</v>
      </c>
      <c r="H2604" s="6" t="s">
        <v>2189</v>
      </c>
      <c r="I2604" t="s">
        <v>1561</v>
      </c>
      <c r="J2604" t="s">
        <v>1561</v>
      </c>
      <c r="L2604">
        <f t="shared" si="147"/>
        <v>1</v>
      </c>
    </row>
    <row r="2605" spans="1:12" x14ac:dyDescent="0.35">
      <c r="A2605" s="9">
        <f t="shared" si="148"/>
        <v>2604</v>
      </c>
      <c r="B2605" t="s">
        <v>749</v>
      </c>
      <c r="C2605" s="109">
        <f>IF(ISBLANK(K2605),IFERROR(VLOOKUP(I2605,FS_input_data!$C$458:$N$648,Export!J2605,FALSE),""),K2605)</f>
        <v>1500</v>
      </c>
      <c r="D2605" s="102" t="b">
        <v>0</v>
      </c>
      <c r="E2605" t="s">
        <v>1561</v>
      </c>
      <c r="F2605" s="102" t="s">
        <v>1800</v>
      </c>
      <c r="G2605" s="102" t="b">
        <f>VLOOKUP($I$2596,FS_input_data!$C$458:$N$648,Export!$J$2596,FALSE)=""</f>
        <v>0</v>
      </c>
      <c r="H2605" s="6" t="s">
        <v>2189</v>
      </c>
      <c r="I2605" t="s">
        <v>1800</v>
      </c>
      <c r="J2605">
        <v>9</v>
      </c>
      <c r="L2605" s="9" t="e">
        <f t="shared" si="147"/>
        <v>#VALUE!</v>
      </c>
    </row>
    <row r="2606" spans="1:12" x14ac:dyDescent="0.35">
      <c r="A2606">
        <f t="shared" si="148"/>
        <v>2605</v>
      </c>
      <c r="B2606" t="s">
        <v>750</v>
      </c>
      <c r="C2606" s="109" t="str">
        <f>IF(ISBLANK(K2606),IFERROR(VLOOKUP(I2606,FS_input_data!$C$458:$N$648,Export!J2606,FALSE),""),K2606)</f>
        <v/>
      </c>
      <c r="D2606" s="102"/>
      <c r="E2606" t="s">
        <v>1561</v>
      </c>
      <c r="F2606" s="102" t="s">
        <v>1800</v>
      </c>
      <c r="G2606" s="102" t="b">
        <f>VLOOKUP($I$2596,FS_input_data!$C$458:$N$648,Export!$J$2596,FALSE)=""</f>
        <v>0</v>
      </c>
      <c r="H2606" s="6" t="s">
        <v>2189</v>
      </c>
      <c r="I2606" t="s">
        <v>1561</v>
      </c>
      <c r="J2606" t="s">
        <v>1561</v>
      </c>
      <c r="L2606">
        <f t="shared" si="147"/>
        <v>1</v>
      </c>
    </row>
    <row r="2607" spans="1:12" x14ac:dyDescent="0.35">
      <c r="A2607">
        <f t="shared" si="148"/>
        <v>2606</v>
      </c>
      <c r="B2607" t="s">
        <v>751</v>
      </c>
      <c r="C2607" s="109" t="str">
        <f>IF(ISBLANK(K2607),IFERROR(VLOOKUP(I2607,FS_input_data!$C$458:$N$648,Export!J2607,FALSE),""),K2607)</f>
        <v/>
      </c>
      <c r="D2607" s="102"/>
      <c r="E2607" t="s">
        <v>1561</v>
      </c>
      <c r="F2607" s="102" t="s">
        <v>1800</v>
      </c>
      <c r="G2607" s="102" t="b">
        <f>VLOOKUP($I$2596,FS_input_data!$C$458:$N$648,Export!$J$2596,FALSE)=""</f>
        <v>0</v>
      </c>
      <c r="H2607" s="6" t="s">
        <v>2189</v>
      </c>
      <c r="I2607" t="s">
        <v>1561</v>
      </c>
      <c r="J2607" t="s">
        <v>1561</v>
      </c>
      <c r="L2607">
        <f t="shared" si="147"/>
        <v>1</v>
      </c>
    </row>
    <row r="2608" spans="1:12" x14ac:dyDescent="0.35">
      <c r="A2608">
        <f t="shared" si="148"/>
        <v>2607</v>
      </c>
      <c r="B2608" t="s">
        <v>754</v>
      </c>
      <c r="C2608" s="109" t="str">
        <f>IF(ISBLANK(K2608),IFERROR(VLOOKUP(I2608,FS_input_data!$C$458:$N$648,Export!J2608,FALSE),""),K2608)</f>
        <v/>
      </c>
      <c r="D2608" s="102"/>
      <c r="E2608" t="s">
        <v>1561</v>
      </c>
      <c r="F2608" s="102" t="s">
        <v>1800</v>
      </c>
      <c r="G2608" s="102" t="b">
        <f>VLOOKUP($I$2596,FS_input_data!$C$458:$N$648,Export!$J$2596,FALSE)=""</f>
        <v>0</v>
      </c>
      <c r="H2608" s="6" t="s">
        <v>2189</v>
      </c>
      <c r="I2608" t="s">
        <v>1561</v>
      </c>
      <c r="J2608" t="s">
        <v>1561</v>
      </c>
      <c r="L2608" s="9" t="e">
        <f t="shared" si="147"/>
        <v>#VALUE!</v>
      </c>
    </row>
    <row r="2609" spans="1:12" x14ac:dyDescent="0.35">
      <c r="A2609" s="9">
        <f t="shared" si="148"/>
        <v>2608</v>
      </c>
      <c r="B2609" t="s">
        <v>755</v>
      </c>
      <c r="C2609" s="109">
        <f>IF(ISBLANK(K2609),IFERROR(VLOOKUP(I2609,FS_input_data!$C$458:$N$648,Export!J2609,FALSE),""),K2609)</f>
        <v>3</v>
      </c>
      <c r="D2609" s="102" t="b">
        <v>1</v>
      </c>
      <c r="E2609" t="s">
        <v>1561</v>
      </c>
      <c r="F2609" s="102" t="s">
        <v>1800</v>
      </c>
      <c r="G2609" s="102" t="b">
        <f>VLOOKUP($I$2596,FS_input_data!$C$458:$N$648,Export!$J$2596,FALSE)=""</f>
        <v>0</v>
      </c>
      <c r="H2609" s="6" t="s">
        <v>2189</v>
      </c>
      <c r="I2609" t="s">
        <v>1800</v>
      </c>
      <c r="J2609">
        <v>2</v>
      </c>
      <c r="L2609" s="9" t="e">
        <f t="shared" si="147"/>
        <v>#VALUE!</v>
      </c>
    </row>
    <row r="2610" spans="1:12" x14ac:dyDescent="0.35">
      <c r="A2610">
        <f t="shared" si="148"/>
        <v>2609</v>
      </c>
      <c r="B2610" t="s">
        <v>756</v>
      </c>
      <c r="C2610" s="109" t="str">
        <f>IF(ISBLANK(K2610),IFERROR(VLOOKUP(I2610,FS_input_data!$C$458:$N$648,Export!J2610,FALSE),""),K2610)</f>
        <v/>
      </c>
      <c r="D2610" s="102"/>
      <c r="E2610" t="s">
        <v>1561</v>
      </c>
      <c r="F2610" s="102" t="s">
        <v>1800</v>
      </c>
      <c r="G2610" s="102" t="b">
        <f>VLOOKUP($I$2596,FS_input_data!$C$458:$N$648,Export!$J$2596,FALSE)=""</f>
        <v>0</v>
      </c>
      <c r="H2610" s="6" t="s">
        <v>2189</v>
      </c>
      <c r="I2610" t="s">
        <v>1561</v>
      </c>
      <c r="J2610" t="s">
        <v>1561</v>
      </c>
      <c r="L2610">
        <f t="shared" si="147"/>
        <v>1</v>
      </c>
    </row>
    <row r="2611" spans="1:12" x14ac:dyDescent="0.35">
      <c r="A2611" s="9">
        <f t="shared" si="148"/>
        <v>2610</v>
      </c>
      <c r="B2611" t="s">
        <v>757</v>
      </c>
      <c r="C2611" s="109">
        <f>IF(ISBLANK(K2611),IFERROR(VLOOKUP(I2611,FS_input_data!$C$458:$N$648,Export!J2611,FALSE),""),K2611)</f>
        <v>103</v>
      </c>
      <c r="D2611" s="102" t="b">
        <v>0</v>
      </c>
      <c r="E2611" t="s">
        <v>1561</v>
      </c>
      <c r="F2611" s="102" t="s">
        <v>1800</v>
      </c>
      <c r="G2611" s="102" t="b">
        <f>VLOOKUP($I$2596,FS_input_data!$C$458:$N$648,Export!$J$2596,FALSE)=""</f>
        <v>0</v>
      </c>
      <c r="H2611" s="6" t="s">
        <v>2189</v>
      </c>
      <c r="I2611" t="s">
        <v>1800</v>
      </c>
      <c r="J2611">
        <v>3</v>
      </c>
      <c r="L2611" s="9" t="e">
        <f t="shared" si="147"/>
        <v>#VALUE!</v>
      </c>
    </row>
    <row r="2612" spans="1:12" x14ac:dyDescent="0.35">
      <c r="A2612">
        <f t="shared" si="148"/>
        <v>2611</v>
      </c>
      <c r="B2612" t="s">
        <v>758</v>
      </c>
      <c r="C2612" s="109" t="str">
        <f>IF(ISBLANK(K2612),IFERROR(VLOOKUP(I2612,FS_input_data!$C$458:$N$648,Export!J2612,FALSE),""),K2612)</f>
        <v/>
      </c>
      <c r="D2612" s="102"/>
      <c r="E2612" t="s">
        <v>1561</v>
      </c>
      <c r="F2612" s="102" t="s">
        <v>1800</v>
      </c>
      <c r="G2612" s="102" t="b">
        <f>VLOOKUP($I$2596,FS_input_data!$C$458:$N$648,Export!$J$2596,FALSE)=""</f>
        <v>0</v>
      </c>
      <c r="H2612" s="6" t="s">
        <v>2189</v>
      </c>
      <c r="I2612" t="s">
        <v>1561</v>
      </c>
      <c r="J2612" t="s">
        <v>1561</v>
      </c>
      <c r="L2612">
        <f t="shared" si="147"/>
        <v>1</v>
      </c>
    </row>
    <row r="2613" spans="1:12" x14ac:dyDescent="0.35">
      <c r="A2613" s="9">
        <f t="shared" si="148"/>
        <v>2612</v>
      </c>
      <c r="B2613" t="s">
        <v>759</v>
      </c>
      <c r="C2613" s="109">
        <f>IF(ISBLANK(K2613),IFERROR(VLOOKUP(I2613,FS_input_data!$C$458:$N$648,Export!J2613,FALSE),""),K2613)</f>
        <v>203</v>
      </c>
      <c r="D2613" s="102" t="b">
        <v>0</v>
      </c>
      <c r="E2613" t="s">
        <v>1561</v>
      </c>
      <c r="F2613" s="102" t="s">
        <v>1800</v>
      </c>
      <c r="G2613" s="102" t="b">
        <f>VLOOKUP($I$2596,FS_input_data!$C$458:$N$648,Export!$J$2596,FALSE)=""</f>
        <v>0</v>
      </c>
      <c r="H2613" s="6" t="s">
        <v>2189</v>
      </c>
      <c r="I2613" t="s">
        <v>1800</v>
      </c>
      <c r="J2613">
        <v>4</v>
      </c>
      <c r="L2613" s="9" t="e">
        <f t="shared" si="147"/>
        <v>#VALUE!</v>
      </c>
    </row>
    <row r="2614" spans="1:12" x14ac:dyDescent="0.35">
      <c r="A2614">
        <f t="shared" si="148"/>
        <v>2613</v>
      </c>
      <c r="B2614" t="s">
        <v>760</v>
      </c>
      <c r="C2614" s="109" t="str">
        <f>IF(ISBLANK(K2614),IFERROR(VLOOKUP(I2614,FS_input_data!$C$458:$N$648,Export!J2614,FALSE),""),K2614)</f>
        <v/>
      </c>
      <c r="D2614" s="102"/>
      <c r="E2614" t="s">
        <v>1561</v>
      </c>
      <c r="F2614" s="102" t="s">
        <v>1800</v>
      </c>
      <c r="G2614" s="102" t="b">
        <f>VLOOKUP($I$2596,FS_input_data!$C$458:$N$648,Export!$J$2596,FALSE)=""</f>
        <v>0</v>
      </c>
      <c r="H2614" s="6" t="s">
        <v>2189</v>
      </c>
      <c r="I2614" t="s">
        <v>1561</v>
      </c>
      <c r="J2614" t="s">
        <v>1561</v>
      </c>
      <c r="L2614">
        <f t="shared" si="147"/>
        <v>1</v>
      </c>
    </row>
    <row r="2615" spans="1:12" x14ac:dyDescent="0.35">
      <c r="A2615" s="9">
        <f t="shared" si="148"/>
        <v>2614</v>
      </c>
      <c r="B2615" t="s">
        <v>761</v>
      </c>
      <c r="C2615" s="109" t="str">
        <f>IF(ISBLANK(K2615),IFERROR(VLOOKUP(I2615,FS_input_data!$C$458:$N$648,Export!J2615,FALSE),""),K2615)</f>
        <v>c</v>
      </c>
      <c r="D2615" s="102" t="b">
        <v>0</v>
      </c>
      <c r="E2615" t="s">
        <v>1561</v>
      </c>
      <c r="F2615" s="102" t="s">
        <v>1800</v>
      </c>
      <c r="G2615" s="102" t="b">
        <f>VLOOKUP($I$2596,FS_input_data!$C$458:$N$648,Export!$J$2596,FALSE)=""</f>
        <v>0</v>
      </c>
      <c r="H2615" s="6" t="s">
        <v>2189</v>
      </c>
      <c r="I2615" t="s">
        <v>1800</v>
      </c>
      <c r="J2615">
        <v>5</v>
      </c>
      <c r="L2615" s="9" t="e">
        <f t="shared" si="147"/>
        <v>#VALUE!</v>
      </c>
    </row>
    <row r="2616" spans="1:12" x14ac:dyDescent="0.35">
      <c r="A2616">
        <f t="shared" si="148"/>
        <v>2615</v>
      </c>
      <c r="B2616" t="s">
        <v>762</v>
      </c>
      <c r="C2616" s="109" t="str">
        <f>IF(ISBLANK(K2616),IFERROR(VLOOKUP(I2616,FS_input_data!$C$458:$N$648,Export!J2616,FALSE),""),K2616)</f>
        <v/>
      </c>
      <c r="D2616" s="102"/>
      <c r="E2616" t="s">
        <v>1561</v>
      </c>
      <c r="F2616" s="102" t="s">
        <v>1800</v>
      </c>
      <c r="G2616" s="102" t="b">
        <f>VLOOKUP($I$2596,FS_input_data!$C$458:$N$648,Export!$J$2596,FALSE)=""</f>
        <v>0</v>
      </c>
      <c r="H2616" s="6" t="s">
        <v>2189</v>
      </c>
      <c r="I2616" t="s">
        <v>1561</v>
      </c>
      <c r="J2616" t="s">
        <v>1561</v>
      </c>
      <c r="L2616">
        <f t="shared" si="147"/>
        <v>1</v>
      </c>
    </row>
    <row r="2617" spans="1:12" x14ac:dyDescent="0.35">
      <c r="A2617">
        <f t="shared" si="148"/>
        <v>2616</v>
      </c>
      <c r="B2617" t="s">
        <v>763</v>
      </c>
      <c r="C2617" s="109" t="str">
        <f>IF(ISBLANK(K2617),IFERROR(VLOOKUP(I2617,FS_input_data!$C$458:$N$648,Export!J2617,FALSE),""),K2617)</f>
        <v/>
      </c>
      <c r="D2617" s="102"/>
      <c r="E2617" t="s">
        <v>1561</v>
      </c>
      <c r="F2617" s="102" t="s">
        <v>1800</v>
      </c>
      <c r="G2617" s="102" t="b">
        <f>VLOOKUP($I$2596,FS_input_data!$C$458:$N$648,Export!$J$2596,FALSE)=""</f>
        <v>0</v>
      </c>
      <c r="H2617" s="6" t="s">
        <v>2189</v>
      </c>
      <c r="I2617" t="s">
        <v>1561</v>
      </c>
      <c r="J2617" t="s">
        <v>1561</v>
      </c>
      <c r="L2617">
        <f t="shared" si="147"/>
        <v>1</v>
      </c>
    </row>
    <row r="2618" spans="1:12" x14ac:dyDescent="0.35">
      <c r="A2618">
        <f t="shared" si="148"/>
        <v>2617</v>
      </c>
      <c r="B2618" t="s">
        <v>743</v>
      </c>
      <c r="C2618" s="109" t="str">
        <f>IF(ISBLANK(K2618),IFERROR(VLOOKUP(I2618,FS_input_data!$C$458:$N$648,Export!J2618,FALSE),""),K2618)</f>
        <v/>
      </c>
      <c r="D2618" s="102"/>
      <c r="E2618" t="s">
        <v>1561</v>
      </c>
      <c r="F2618" s="102" t="s">
        <v>1800</v>
      </c>
      <c r="G2618" s="102" t="b">
        <f>VLOOKUP($I$2596,FS_input_data!$C$458:$N$648,Export!$J$2596,FALSE)=""</f>
        <v>0</v>
      </c>
      <c r="H2618" s="6" t="s">
        <v>2189</v>
      </c>
      <c r="I2618" t="s">
        <v>1561</v>
      </c>
      <c r="J2618" t="s">
        <v>1561</v>
      </c>
      <c r="L2618">
        <f t="shared" si="147"/>
        <v>1</v>
      </c>
    </row>
    <row r="2619" spans="1:12" x14ac:dyDescent="0.35">
      <c r="A2619">
        <f t="shared" si="148"/>
        <v>2618</v>
      </c>
      <c r="B2619" t="s">
        <v>744</v>
      </c>
      <c r="C2619" s="109" t="str">
        <f>IF(ISBLANK(K2619),IFERROR(VLOOKUP(I2619,FS_input_data!$C$458:$N$648,Export!J2619,FALSE),""),K2619)</f>
        <v/>
      </c>
      <c r="D2619" s="102"/>
      <c r="E2619" t="s">
        <v>1561</v>
      </c>
      <c r="F2619" s="102" t="s">
        <v>1800</v>
      </c>
      <c r="G2619" s="102" t="b">
        <f>IF(RP_tax,TRUE,VLOOKUP($I$2596,FS_input_data!$C$458:$N$648,Export!$J$2596,FALSE)="")</f>
        <v>1</v>
      </c>
      <c r="H2619" s="6" t="s">
        <v>2189</v>
      </c>
      <c r="I2619" t="s">
        <v>1561</v>
      </c>
      <c r="J2619" t="s">
        <v>1561</v>
      </c>
      <c r="L2619" s="9" t="e">
        <f t="shared" si="147"/>
        <v>#VALUE!</v>
      </c>
    </row>
    <row r="2620" spans="1:12" x14ac:dyDescent="0.35">
      <c r="A2620" s="9">
        <f t="shared" si="148"/>
        <v>2619</v>
      </c>
      <c r="B2620" t="s">
        <v>109</v>
      </c>
      <c r="C2620" s="109">
        <f>IF(ISBLANK(K2620),IFERROR(VLOOKUP(I2620,FS_input_data!$C$458:$N$648,Export!J2620,FALSE),""),K2620)</f>
        <v>3000</v>
      </c>
      <c r="D2620" s="102" t="b">
        <v>0</v>
      </c>
      <c r="E2620" t="s">
        <v>1561</v>
      </c>
      <c r="F2620" s="102" t="s">
        <v>1800</v>
      </c>
      <c r="G2620" s="102" t="b">
        <f>IF(RP_tax,TRUE,VLOOKUP($I$2596,FS_input_data!$C$458:$N$648,Export!$J$2596,FALSE)="")</f>
        <v>1</v>
      </c>
      <c r="H2620" s="6" t="s">
        <v>2189</v>
      </c>
      <c r="I2620" t="s">
        <v>1800</v>
      </c>
      <c r="J2620">
        <v>10</v>
      </c>
      <c r="L2620" s="9" t="e">
        <f t="shared" si="147"/>
        <v>#VALUE!</v>
      </c>
    </row>
    <row r="2621" spans="1:12" x14ac:dyDescent="0.35">
      <c r="A2621">
        <f t="shared" si="148"/>
        <v>2620</v>
      </c>
      <c r="B2621" t="s">
        <v>110</v>
      </c>
      <c r="C2621" s="109" t="str">
        <f>IF(ISBLANK(K2621),IFERROR(VLOOKUP(I2621,FS_input_data!$C$458:$N$648,Export!J2621,FALSE),""),K2621)</f>
        <v/>
      </c>
      <c r="D2621" s="102"/>
      <c r="E2621" t="s">
        <v>1561</v>
      </c>
      <c r="F2621" s="102" t="s">
        <v>1800</v>
      </c>
      <c r="G2621" s="102" t="b">
        <f>IF(RP_tax,TRUE,VLOOKUP($I$2596,FS_input_data!$C$458:$N$648,Export!$J$2596,FALSE)="")</f>
        <v>1</v>
      </c>
      <c r="H2621" s="6" t="s">
        <v>2189</v>
      </c>
      <c r="I2621" t="s">
        <v>1561</v>
      </c>
      <c r="J2621" t="s">
        <v>1561</v>
      </c>
      <c r="L2621">
        <f t="shared" si="147"/>
        <v>1</v>
      </c>
    </row>
    <row r="2622" spans="1:12" x14ac:dyDescent="0.35">
      <c r="A2622" s="9">
        <f t="shared" si="148"/>
        <v>2621</v>
      </c>
      <c r="B2622" t="s">
        <v>111</v>
      </c>
      <c r="C2622" s="109">
        <f>IF(ISBLANK(K2622),IFERROR(VLOOKUP(I2622,FS_input_data!$C$458:$N$648,Export!J2622,FALSE),""),K2622)</f>
        <v>1500</v>
      </c>
      <c r="D2622" s="102" t="b">
        <v>0</v>
      </c>
      <c r="E2622" t="s">
        <v>1561</v>
      </c>
      <c r="F2622" s="102" t="s">
        <v>1800</v>
      </c>
      <c r="G2622" s="102" t="b">
        <f>IF(RP_tax,TRUE,VLOOKUP($I$2596,FS_input_data!$C$458:$N$648,Export!$J$2596,FALSE)="")</f>
        <v>1</v>
      </c>
      <c r="H2622" s="6" t="s">
        <v>2189</v>
      </c>
      <c r="I2622" t="s">
        <v>1800</v>
      </c>
      <c r="J2622">
        <v>11</v>
      </c>
      <c r="L2622" s="9" t="e">
        <f t="shared" si="147"/>
        <v>#VALUE!</v>
      </c>
    </row>
    <row r="2623" spans="1:12" x14ac:dyDescent="0.35">
      <c r="A2623">
        <f t="shared" si="148"/>
        <v>2622</v>
      </c>
      <c r="B2623" t="s">
        <v>112</v>
      </c>
      <c r="C2623" s="109" t="str">
        <f>IF(ISBLANK(K2623),IFERROR(VLOOKUP(I2623,FS_input_data!$C$458:$N$648,Export!J2623,FALSE),""),K2623)</f>
        <v/>
      </c>
      <c r="D2623" s="102"/>
      <c r="E2623" t="s">
        <v>1561</v>
      </c>
      <c r="F2623" s="102" t="s">
        <v>1800</v>
      </c>
      <c r="G2623" s="102" t="b">
        <f>IF(RP_tax,TRUE,VLOOKUP($I$2596,FS_input_data!$C$458:$N$648,Export!$J$2596,FALSE)="")</f>
        <v>1</v>
      </c>
      <c r="H2623" s="6" t="s">
        <v>2189</v>
      </c>
      <c r="I2623" t="s">
        <v>1561</v>
      </c>
      <c r="J2623" t="s">
        <v>1561</v>
      </c>
      <c r="L2623">
        <f t="shared" si="147"/>
        <v>1</v>
      </c>
    </row>
    <row r="2624" spans="1:12" x14ac:dyDescent="0.35">
      <c r="A2624" s="9">
        <f t="shared" si="148"/>
        <v>2623</v>
      </c>
      <c r="B2624" t="s">
        <v>749</v>
      </c>
      <c r="C2624" s="109">
        <f>IF(ISBLANK(K2624),IFERROR(VLOOKUP(I2624,FS_input_data!$C$458:$N$648,Export!J2624,FALSE),""),K2624)</f>
        <v>1500</v>
      </c>
      <c r="D2624" s="102" t="b">
        <v>0</v>
      </c>
      <c r="E2624" t="s">
        <v>1561</v>
      </c>
      <c r="F2624" s="102" t="s">
        <v>1800</v>
      </c>
      <c r="G2624" s="102" t="b">
        <f>IF(RP_tax,TRUE,VLOOKUP($I$2596,FS_input_data!$C$458:$N$648,Export!$J$2596,FALSE)="")</f>
        <v>1</v>
      </c>
      <c r="H2624" s="6" t="s">
        <v>2189</v>
      </c>
      <c r="I2624" t="s">
        <v>1800</v>
      </c>
      <c r="J2624">
        <v>12</v>
      </c>
      <c r="L2624" s="9" t="e">
        <f t="shared" si="147"/>
        <v>#VALUE!</v>
      </c>
    </row>
    <row r="2625" spans="1:12" x14ac:dyDescent="0.35">
      <c r="A2625">
        <f t="shared" si="148"/>
        <v>2624</v>
      </c>
      <c r="B2625" t="s">
        <v>750</v>
      </c>
      <c r="C2625" s="109" t="str">
        <f>IF(ISBLANK(K2625),IFERROR(VLOOKUP(I2625,FS_input_data!$C$458:$N$648,Export!J2625,FALSE),""),K2625)</f>
        <v/>
      </c>
      <c r="D2625" s="102"/>
      <c r="E2625" t="s">
        <v>1561</v>
      </c>
      <c r="F2625" s="102" t="s">
        <v>1800</v>
      </c>
      <c r="G2625" s="102" t="b">
        <f>IF(RP_tax,TRUE,VLOOKUP($I$2596,FS_input_data!$C$458:$N$648,Export!$J$2596,FALSE)="")</f>
        <v>1</v>
      </c>
      <c r="H2625" s="6" t="s">
        <v>2189</v>
      </c>
      <c r="I2625" t="s">
        <v>1561</v>
      </c>
      <c r="J2625" t="s">
        <v>1561</v>
      </c>
      <c r="L2625">
        <f t="shared" si="147"/>
        <v>1</v>
      </c>
    </row>
    <row r="2626" spans="1:12" x14ac:dyDescent="0.35">
      <c r="A2626">
        <f t="shared" si="148"/>
        <v>2625</v>
      </c>
      <c r="B2626" t="s">
        <v>745</v>
      </c>
      <c r="C2626" s="109" t="str">
        <f>IF(ISBLANK(K2626),IFERROR(VLOOKUP(I2626,FS_input_data!$C$458:$N$648,Export!J2626,FALSE),""),K2626)</f>
        <v/>
      </c>
      <c r="D2626" s="102"/>
      <c r="E2626" t="s">
        <v>1561</v>
      </c>
      <c r="F2626" s="102" t="s">
        <v>1800</v>
      </c>
      <c r="G2626" s="102" t="b">
        <f>IF(RP_tax,TRUE,VLOOKUP($I$2596,FS_input_data!$C$458:$N$648,Export!$J$2596,FALSE)="")</f>
        <v>1</v>
      </c>
      <c r="H2626" s="6" t="s">
        <v>2189</v>
      </c>
      <c r="I2626" t="s">
        <v>1561</v>
      </c>
      <c r="J2626" t="s">
        <v>1561</v>
      </c>
      <c r="L2626">
        <f t="shared" ref="L2626:L2689" si="149">FIND("/",B2626)</f>
        <v>1</v>
      </c>
    </row>
    <row r="2627" spans="1:12" x14ac:dyDescent="0.35">
      <c r="A2627">
        <f t="shared" ref="A2627:A2690" si="150">A2626+1</f>
        <v>2626</v>
      </c>
      <c r="B2627" t="s">
        <v>764</v>
      </c>
      <c r="C2627" s="109" t="str">
        <f>IF(ISBLANK(K2627),IFERROR(VLOOKUP(I2627,FS_input_data!$C$458:$N$648,Export!J2627,FALSE),""),K2627)</f>
        <v/>
      </c>
      <c r="D2627" s="102"/>
      <c r="E2627" t="s">
        <v>1561</v>
      </c>
      <c r="F2627" s="102" t="s">
        <v>1800</v>
      </c>
      <c r="G2627" s="102" t="b">
        <f>VLOOKUP($I$2596,FS_input_data!$C$458:$N$648,Export!$J$2596,FALSE)=""</f>
        <v>0</v>
      </c>
      <c r="H2627" s="6" t="s">
        <v>2189</v>
      </c>
      <c r="I2627" t="s">
        <v>1561</v>
      </c>
      <c r="J2627" t="s">
        <v>1561</v>
      </c>
      <c r="L2627">
        <f t="shared" si="149"/>
        <v>1</v>
      </c>
    </row>
    <row r="2628" spans="1:12" x14ac:dyDescent="0.35">
      <c r="A2628">
        <f t="shared" si="150"/>
        <v>2627</v>
      </c>
      <c r="B2628" t="s">
        <v>765</v>
      </c>
      <c r="C2628" s="109" t="str">
        <f>IF(ISBLANK(K2628),IFERROR(VLOOKUP(I2628,FS_input_data!$C$458:$N$648,Export!J2628,FALSE),""),K2628)</f>
        <v/>
      </c>
      <c r="D2628" s="102"/>
      <c r="E2628" t="s">
        <v>1561</v>
      </c>
      <c r="F2628" s="102" t="s">
        <v>1800</v>
      </c>
      <c r="G2628" s="102" t="b">
        <f>VLOOKUP($I$2596,FS_input_data!$C$458:$N$648,Export!$J$2596,FALSE)=""</f>
        <v>0</v>
      </c>
      <c r="H2628" s="6" t="s">
        <v>2189</v>
      </c>
      <c r="I2628" t="s">
        <v>1561</v>
      </c>
      <c r="J2628" t="s">
        <v>1561</v>
      </c>
      <c r="L2628">
        <f t="shared" si="149"/>
        <v>1</v>
      </c>
    </row>
    <row r="2629" spans="1:12" x14ac:dyDescent="0.35">
      <c r="A2629">
        <f t="shared" si="150"/>
        <v>2628</v>
      </c>
      <c r="B2629" t="s">
        <v>752</v>
      </c>
      <c r="C2629" s="109" t="str">
        <f>IF(ISBLANK(K2629),IFERROR(VLOOKUP(I2629,FS_input_data!$C$458:$N$648,Export!J2629,FALSE),""),K2629)</f>
        <v/>
      </c>
      <c r="D2629" s="105"/>
      <c r="E2629" t="s">
        <v>1561</v>
      </c>
      <c r="F2629" s="105" t="s">
        <v>1803</v>
      </c>
      <c r="G2629" s="105" t="b">
        <f>VLOOKUP($I$2630,FS_input_data!$C$458:$N$648,Export!$J$2630,FALSE)=""</f>
        <v>0</v>
      </c>
      <c r="H2629" s="6" t="s">
        <v>2189</v>
      </c>
      <c r="I2629" t="s">
        <v>1561</v>
      </c>
      <c r="J2629" t="s">
        <v>1561</v>
      </c>
      <c r="L2629" s="9" t="e">
        <f t="shared" si="149"/>
        <v>#VALUE!</v>
      </c>
    </row>
    <row r="2630" spans="1:12" x14ac:dyDescent="0.35">
      <c r="A2630" s="9">
        <f t="shared" si="150"/>
        <v>2629</v>
      </c>
      <c r="B2630" t="s">
        <v>101</v>
      </c>
      <c r="C2630" s="109" t="str">
        <f>IF(ISBLANK(K2630),IFERROR(VLOOKUP(I2630,FS_input_data!$C$458:$N$648,Export!J2630,FALSE),""),K2630)</f>
        <v>OB4</v>
      </c>
      <c r="D2630" s="105" t="b">
        <v>1</v>
      </c>
      <c r="E2630" t="s">
        <v>1561</v>
      </c>
      <c r="F2630" s="105" t="s">
        <v>1803</v>
      </c>
      <c r="G2630" s="105" t="b">
        <f>VLOOKUP($I$2630,FS_input_data!$C$458:$N$648,Export!$J$2630,FALSE)=""</f>
        <v>0</v>
      </c>
      <c r="H2630" s="6" t="s">
        <v>2189</v>
      </c>
      <c r="I2630" t="s">
        <v>1803</v>
      </c>
      <c r="J2630">
        <v>6</v>
      </c>
      <c r="L2630" s="9" t="e">
        <f t="shared" si="149"/>
        <v>#VALUE!</v>
      </c>
    </row>
    <row r="2631" spans="1:12" x14ac:dyDescent="0.35">
      <c r="A2631">
        <f t="shared" si="150"/>
        <v>2630</v>
      </c>
      <c r="B2631" t="s">
        <v>102</v>
      </c>
      <c r="C2631" s="109" t="str">
        <f>IF(ISBLANK(K2631),IFERROR(VLOOKUP(I2631,FS_input_data!$C$458:$N$648,Export!J2631,FALSE),""),K2631)</f>
        <v/>
      </c>
      <c r="D2631" s="105"/>
      <c r="E2631" t="s">
        <v>1561</v>
      </c>
      <c r="F2631" s="105" t="s">
        <v>1803</v>
      </c>
      <c r="G2631" s="105" t="b">
        <f>VLOOKUP($I$2630,FS_input_data!$C$458:$N$648,Export!$J$2630,FALSE)=""</f>
        <v>0</v>
      </c>
      <c r="H2631" s="6" t="s">
        <v>2189</v>
      </c>
      <c r="I2631" t="s">
        <v>1561</v>
      </c>
      <c r="J2631" t="s">
        <v>1561</v>
      </c>
      <c r="L2631">
        <f t="shared" si="149"/>
        <v>1</v>
      </c>
    </row>
    <row r="2632" spans="1:12" x14ac:dyDescent="0.35">
      <c r="A2632">
        <f t="shared" si="150"/>
        <v>2631</v>
      </c>
      <c r="B2632" t="s">
        <v>753</v>
      </c>
      <c r="C2632" s="109" t="str">
        <f>IF(ISBLANK(K2632),IFERROR(VLOOKUP(I2632,FS_input_data!$C$458:$N$648,Export!J2632,FALSE),""),K2632)</f>
        <v/>
      </c>
      <c r="D2632" s="105"/>
      <c r="E2632" t="s">
        <v>1561</v>
      </c>
      <c r="F2632" s="105" t="s">
        <v>1803</v>
      </c>
      <c r="G2632" s="105" t="b">
        <f>VLOOKUP($I$2630,FS_input_data!$C$458:$N$648,Export!$J$2630,FALSE)=""</f>
        <v>0</v>
      </c>
      <c r="H2632" s="6" t="s">
        <v>2189</v>
      </c>
      <c r="I2632" t="s">
        <v>1561</v>
      </c>
      <c r="J2632" t="s">
        <v>1561</v>
      </c>
      <c r="L2632" s="9" t="e">
        <f t="shared" si="149"/>
        <v>#VALUE!</v>
      </c>
    </row>
    <row r="2633" spans="1:12" x14ac:dyDescent="0.35">
      <c r="A2633">
        <f t="shared" si="150"/>
        <v>2632</v>
      </c>
      <c r="B2633" t="s">
        <v>742</v>
      </c>
      <c r="C2633" s="109" t="str">
        <f>IF(ISBLANK(K2633),IFERROR(VLOOKUP(I2633,FS_input_data!$C$458:$N$648,Export!J2633,FALSE),""),K2633)</f>
        <v/>
      </c>
      <c r="D2633" s="105"/>
      <c r="E2633" t="s">
        <v>1561</v>
      </c>
      <c r="F2633" s="105" t="s">
        <v>1803</v>
      </c>
      <c r="G2633" s="105" t="b">
        <f>VLOOKUP($I$2630,FS_input_data!$C$458:$N$648,Export!$J$2630,FALSE)=""</f>
        <v>0</v>
      </c>
      <c r="H2633" s="6" t="s">
        <v>2189</v>
      </c>
      <c r="I2633" t="s">
        <v>1561</v>
      </c>
      <c r="J2633" t="s">
        <v>1561</v>
      </c>
      <c r="L2633" s="9" t="e">
        <f t="shared" si="149"/>
        <v>#VALUE!</v>
      </c>
    </row>
    <row r="2634" spans="1:12" x14ac:dyDescent="0.35">
      <c r="A2634">
        <f t="shared" si="150"/>
        <v>2633</v>
      </c>
      <c r="B2634" t="s">
        <v>748</v>
      </c>
      <c r="C2634" s="109" t="str">
        <f>IF(ISBLANK(K2634),IFERROR(VLOOKUP(I2634,FS_input_data!$C$458:$N$648,Export!J2634,FALSE),""),K2634)</f>
        <v/>
      </c>
      <c r="D2634" s="105"/>
      <c r="E2634" t="s">
        <v>1561</v>
      </c>
      <c r="F2634" s="105" t="s">
        <v>1803</v>
      </c>
      <c r="G2634" s="105" t="b">
        <f>VLOOKUP($I$2630,FS_input_data!$C$458:$N$648,Export!$J$2630,FALSE)=""</f>
        <v>0</v>
      </c>
      <c r="H2634" s="6" t="s">
        <v>2189</v>
      </c>
      <c r="I2634" t="s">
        <v>1561</v>
      </c>
      <c r="J2634" t="s">
        <v>1561</v>
      </c>
      <c r="L2634" s="9" t="e">
        <f t="shared" si="149"/>
        <v>#VALUE!</v>
      </c>
    </row>
    <row r="2635" spans="1:12" x14ac:dyDescent="0.35">
      <c r="A2635" s="9">
        <f t="shared" si="150"/>
        <v>2634</v>
      </c>
      <c r="B2635" t="s">
        <v>109</v>
      </c>
      <c r="C2635" s="109">
        <f>IF(ISBLANK(K2635),IFERROR(VLOOKUP(I2635,FS_input_data!$C$458:$N$648,Export!J2635,FALSE),""),K2635)</f>
        <v>4000</v>
      </c>
      <c r="D2635" s="105" t="b">
        <v>1</v>
      </c>
      <c r="E2635" t="s">
        <v>1561</v>
      </c>
      <c r="F2635" s="105" t="s">
        <v>1803</v>
      </c>
      <c r="G2635" s="105" t="b">
        <f>VLOOKUP($I$2630,FS_input_data!$C$458:$N$648,Export!$J$2630,FALSE)=""</f>
        <v>0</v>
      </c>
      <c r="H2635" s="6" t="s">
        <v>2189</v>
      </c>
      <c r="I2635" t="s">
        <v>1803</v>
      </c>
      <c r="J2635">
        <v>7</v>
      </c>
      <c r="L2635" s="9" t="e">
        <f t="shared" si="149"/>
        <v>#VALUE!</v>
      </c>
    </row>
    <row r="2636" spans="1:12" x14ac:dyDescent="0.35">
      <c r="A2636">
        <f t="shared" si="150"/>
        <v>2635</v>
      </c>
      <c r="B2636" t="s">
        <v>110</v>
      </c>
      <c r="C2636" s="109" t="str">
        <f>IF(ISBLANK(K2636),IFERROR(VLOOKUP(I2636,FS_input_data!$C$458:$N$648,Export!J2636,FALSE),""),K2636)</f>
        <v/>
      </c>
      <c r="D2636" s="105"/>
      <c r="E2636" t="s">
        <v>1561</v>
      </c>
      <c r="F2636" s="105" t="s">
        <v>1803</v>
      </c>
      <c r="G2636" s="105" t="b">
        <f>VLOOKUP($I$2630,FS_input_data!$C$458:$N$648,Export!$J$2630,FALSE)=""</f>
        <v>0</v>
      </c>
      <c r="H2636" s="6" t="s">
        <v>2189</v>
      </c>
      <c r="I2636" t="s">
        <v>1561</v>
      </c>
      <c r="J2636" t="s">
        <v>1561</v>
      </c>
      <c r="L2636">
        <f t="shared" si="149"/>
        <v>1</v>
      </c>
    </row>
    <row r="2637" spans="1:12" x14ac:dyDescent="0.35">
      <c r="A2637" s="9">
        <f t="shared" si="150"/>
        <v>2636</v>
      </c>
      <c r="B2637" t="s">
        <v>111</v>
      </c>
      <c r="C2637" s="109">
        <f>IF(ISBLANK(K2637),IFERROR(VLOOKUP(I2637,FS_input_data!$C$458:$N$648,Export!J2637,FALSE),""),K2637)</f>
        <v>2000</v>
      </c>
      <c r="D2637" s="105" t="b">
        <v>0</v>
      </c>
      <c r="E2637" t="s">
        <v>1561</v>
      </c>
      <c r="F2637" s="105" t="s">
        <v>1803</v>
      </c>
      <c r="G2637" s="105" t="b">
        <f>VLOOKUP($I$2630,FS_input_data!$C$458:$N$648,Export!$J$2630,FALSE)=""</f>
        <v>0</v>
      </c>
      <c r="H2637" s="6" t="s">
        <v>2189</v>
      </c>
      <c r="I2637" t="s">
        <v>1803</v>
      </c>
      <c r="J2637">
        <v>8</v>
      </c>
      <c r="L2637" s="9" t="e">
        <f t="shared" si="149"/>
        <v>#VALUE!</v>
      </c>
    </row>
    <row r="2638" spans="1:12" x14ac:dyDescent="0.35">
      <c r="A2638">
        <f t="shared" si="150"/>
        <v>2637</v>
      </c>
      <c r="B2638" t="s">
        <v>112</v>
      </c>
      <c r="C2638" s="109" t="str">
        <f>IF(ISBLANK(K2638),IFERROR(VLOOKUP(I2638,FS_input_data!$C$458:$N$648,Export!J2638,FALSE),""),K2638)</f>
        <v/>
      </c>
      <c r="D2638" s="105"/>
      <c r="E2638" t="s">
        <v>1561</v>
      </c>
      <c r="F2638" s="105" t="s">
        <v>1803</v>
      </c>
      <c r="G2638" s="105" t="b">
        <f>VLOOKUP($I$2630,FS_input_data!$C$458:$N$648,Export!$J$2630,FALSE)=""</f>
        <v>0</v>
      </c>
      <c r="H2638" s="6" t="s">
        <v>2189</v>
      </c>
      <c r="I2638" t="s">
        <v>1561</v>
      </c>
      <c r="J2638" t="s">
        <v>1561</v>
      </c>
      <c r="L2638">
        <f t="shared" si="149"/>
        <v>1</v>
      </c>
    </row>
    <row r="2639" spans="1:12" x14ac:dyDescent="0.35">
      <c r="A2639" s="9">
        <f t="shared" si="150"/>
        <v>2638</v>
      </c>
      <c r="B2639" t="s">
        <v>749</v>
      </c>
      <c r="C2639" s="109">
        <f>IF(ISBLANK(K2639),IFERROR(VLOOKUP(I2639,FS_input_data!$C$458:$N$648,Export!J2639,FALSE),""),K2639)</f>
        <v>2000</v>
      </c>
      <c r="D2639" s="105" t="b">
        <v>0</v>
      </c>
      <c r="E2639" t="s">
        <v>1561</v>
      </c>
      <c r="F2639" s="105" t="s">
        <v>1803</v>
      </c>
      <c r="G2639" s="105" t="b">
        <f>VLOOKUP($I$2630,FS_input_data!$C$458:$N$648,Export!$J$2630,FALSE)=""</f>
        <v>0</v>
      </c>
      <c r="H2639" s="6" t="s">
        <v>2189</v>
      </c>
      <c r="I2639" t="s">
        <v>1803</v>
      </c>
      <c r="J2639">
        <v>9</v>
      </c>
      <c r="L2639" s="9" t="e">
        <f t="shared" si="149"/>
        <v>#VALUE!</v>
      </c>
    </row>
    <row r="2640" spans="1:12" x14ac:dyDescent="0.35">
      <c r="A2640">
        <f t="shared" si="150"/>
        <v>2639</v>
      </c>
      <c r="B2640" t="s">
        <v>750</v>
      </c>
      <c r="C2640" s="109" t="str">
        <f>IF(ISBLANK(K2640),IFERROR(VLOOKUP(I2640,FS_input_data!$C$458:$N$648,Export!J2640,FALSE),""),K2640)</f>
        <v/>
      </c>
      <c r="D2640" s="105"/>
      <c r="E2640" t="s">
        <v>1561</v>
      </c>
      <c r="F2640" s="105" t="s">
        <v>1803</v>
      </c>
      <c r="G2640" s="105" t="b">
        <f>VLOOKUP($I$2630,FS_input_data!$C$458:$N$648,Export!$J$2630,FALSE)=""</f>
        <v>0</v>
      </c>
      <c r="H2640" s="6" t="s">
        <v>2189</v>
      </c>
      <c r="I2640" t="s">
        <v>1561</v>
      </c>
      <c r="J2640" t="s">
        <v>1561</v>
      </c>
      <c r="L2640">
        <f t="shared" si="149"/>
        <v>1</v>
      </c>
    </row>
    <row r="2641" spans="1:12" x14ac:dyDescent="0.35">
      <c r="A2641">
        <f t="shared" si="150"/>
        <v>2640</v>
      </c>
      <c r="B2641" t="s">
        <v>751</v>
      </c>
      <c r="C2641" s="109" t="str">
        <f>IF(ISBLANK(K2641),IFERROR(VLOOKUP(I2641,FS_input_data!$C$458:$N$648,Export!J2641,FALSE),""),K2641)</f>
        <v/>
      </c>
      <c r="D2641" s="105"/>
      <c r="E2641" t="s">
        <v>1561</v>
      </c>
      <c r="F2641" s="105" t="s">
        <v>1803</v>
      </c>
      <c r="G2641" s="105" t="b">
        <f>VLOOKUP($I$2630,FS_input_data!$C$458:$N$648,Export!$J$2630,FALSE)=""</f>
        <v>0</v>
      </c>
      <c r="H2641" s="6" t="s">
        <v>2189</v>
      </c>
      <c r="I2641" t="s">
        <v>1561</v>
      </c>
      <c r="J2641" t="s">
        <v>1561</v>
      </c>
      <c r="L2641">
        <f t="shared" si="149"/>
        <v>1</v>
      </c>
    </row>
    <row r="2642" spans="1:12" x14ac:dyDescent="0.35">
      <c r="A2642">
        <f t="shared" si="150"/>
        <v>2641</v>
      </c>
      <c r="B2642" t="s">
        <v>754</v>
      </c>
      <c r="C2642" s="109" t="str">
        <f>IF(ISBLANK(K2642),IFERROR(VLOOKUP(I2642,FS_input_data!$C$458:$N$648,Export!J2642,FALSE),""),K2642)</f>
        <v/>
      </c>
      <c r="D2642" s="105"/>
      <c r="E2642" t="s">
        <v>1561</v>
      </c>
      <c r="F2642" s="105" t="s">
        <v>1803</v>
      </c>
      <c r="G2642" s="105" t="b">
        <f>VLOOKUP($I$2630,FS_input_data!$C$458:$N$648,Export!$J$2630,FALSE)=""</f>
        <v>0</v>
      </c>
      <c r="H2642" s="6" t="s">
        <v>2189</v>
      </c>
      <c r="I2642" t="s">
        <v>1561</v>
      </c>
      <c r="J2642" t="s">
        <v>1561</v>
      </c>
      <c r="L2642" s="9" t="e">
        <f t="shared" si="149"/>
        <v>#VALUE!</v>
      </c>
    </row>
    <row r="2643" spans="1:12" x14ac:dyDescent="0.35">
      <c r="A2643" s="9">
        <f t="shared" si="150"/>
        <v>2642</v>
      </c>
      <c r="B2643" t="s">
        <v>755</v>
      </c>
      <c r="C2643" s="109">
        <f>IF(ISBLANK(K2643),IFERROR(VLOOKUP(I2643,FS_input_data!$C$458:$N$648,Export!J2643,FALSE),""),K2643)</f>
        <v>4</v>
      </c>
      <c r="D2643" s="105" t="b">
        <v>1</v>
      </c>
      <c r="E2643" t="s">
        <v>1561</v>
      </c>
      <c r="F2643" s="105" t="s">
        <v>1803</v>
      </c>
      <c r="G2643" s="105" t="b">
        <f>VLOOKUP($I$2630,FS_input_data!$C$458:$N$648,Export!$J$2630,FALSE)=""</f>
        <v>0</v>
      </c>
      <c r="H2643" s="6" t="s">
        <v>2189</v>
      </c>
      <c r="I2643" t="s">
        <v>1803</v>
      </c>
      <c r="J2643">
        <v>2</v>
      </c>
      <c r="L2643" s="9" t="e">
        <f t="shared" si="149"/>
        <v>#VALUE!</v>
      </c>
    </row>
    <row r="2644" spans="1:12" x14ac:dyDescent="0.35">
      <c r="A2644">
        <f t="shared" si="150"/>
        <v>2643</v>
      </c>
      <c r="B2644" t="s">
        <v>756</v>
      </c>
      <c r="C2644" s="109" t="str">
        <f>IF(ISBLANK(K2644),IFERROR(VLOOKUP(I2644,FS_input_data!$C$458:$N$648,Export!J2644,FALSE),""),K2644)</f>
        <v/>
      </c>
      <c r="D2644" s="105"/>
      <c r="E2644" t="s">
        <v>1561</v>
      </c>
      <c r="F2644" s="105" t="s">
        <v>1803</v>
      </c>
      <c r="G2644" s="105" t="b">
        <f>VLOOKUP($I$2630,FS_input_data!$C$458:$N$648,Export!$J$2630,FALSE)=""</f>
        <v>0</v>
      </c>
      <c r="H2644" s="6" t="s">
        <v>2189</v>
      </c>
      <c r="I2644" t="s">
        <v>1561</v>
      </c>
      <c r="J2644" t="s">
        <v>1561</v>
      </c>
      <c r="L2644">
        <f t="shared" si="149"/>
        <v>1</v>
      </c>
    </row>
    <row r="2645" spans="1:12" x14ac:dyDescent="0.35">
      <c r="A2645" s="9">
        <f t="shared" si="150"/>
        <v>2644</v>
      </c>
      <c r="B2645" t="s">
        <v>757</v>
      </c>
      <c r="C2645" s="109">
        <f>IF(ISBLANK(K2645),IFERROR(VLOOKUP(I2645,FS_input_data!$C$458:$N$648,Export!J2645,FALSE),""),K2645)</f>
        <v>104</v>
      </c>
      <c r="D2645" s="105" t="b">
        <v>0</v>
      </c>
      <c r="E2645" t="s">
        <v>1561</v>
      </c>
      <c r="F2645" s="105" t="s">
        <v>1803</v>
      </c>
      <c r="G2645" s="105" t="b">
        <f>VLOOKUP($I$2630,FS_input_data!$C$458:$N$648,Export!$J$2630,FALSE)=""</f>
        <v>0</v>
      </c>
      <c r="H2645" s="6" t="s">
        <v>2189</v>
      </c>
      <c r="I2645" t="s">
        <v>1803</v>
      </c>
      <c r="J2645">
        <v>3</v>
      </c>
      <c r="L2645" s="9" t="e">
        <f t="shared" si="149"/>
        <v>#VALUE!</v>
      </c>
    </row>
    <row r="2646" spans="1:12" x14ac:dyDescent="0.35">
      <c r="A2646">
        <f t="shared" si="150"/>
        <v>2645</v>
      </c>
      <c r="B2646" t="s">
        <v>758</v>
      </c>
      <c r="C2646" s="109" t="str">
        <f>IF(ISBLANK(K2646),IFERROR(VLOOKUP(I2646,FS_input_data!$C$458:$N$648,Export!J2646,FALSE),""),K2646)</f>
        <v/>
      </c>
      <c r="D2646" s="105"/>
      <c r="E2646" t="s">
        <v>1561</v>
      </c>
      <c r="F2646" s="105" t="s">
        <v>1803</v>
      </c>
      <c r="G2646" s="105" t="b">
        <f>VLOOKUP($I$2630,FS_input_data!$C$458:$N$648,Export!$J$2630,FALSE)=""</f>
        <v>0</v>
      </c>
      <c r="H2646" s="6" t="s">
        <v>2189</v>
      </c>
      <c r="I2646" t="s">
        <v>1561</v>
      </c>
      <c r="J2646" t="s">
        <v>1561</v>
      </c>
      <c r="L2646">
        <f t="shared" si="149"/>
        <v>1</v>
      </c>
    </row>
    <row r="2647" spans="1:12" x14ac:dyDescent="0.35">
      <c r="A2647" s="9">
        <f t="shared" si="150"/>
        <v>2646</v>
      </c>
      <c r="B2647" t="s">
        <v>759</v>
      </c>
      <c r="C2647" s="109">
        <f>IF(ISBLANK(K2647),IFERROR(VLOOKUP(I2647,FS_input_data!$C$458:$N$648,Export!J2647,FALSE),""),K2647)</f>
        <v>204</v>
      </c>
      <c r="D2647" s="105" t="b">
        <v>0</v>
      </c>
      <c r="E2647" t="s">
        <v>1561</v>
      </c>
      <c r="F2647" s="105" t="s">
        <v>1803</v>
      </c>
      <c r="G2647" s="105" t="b">
        <f>VLOOKUP($I$2630,FS_input_data!$C$458:$N$648,Export!$J$2630,FALSE)=""</f>
        <v>0</v>
      </c>
      <c r="H2647" s="6" t="s">
        <v>2189</v>
      </c>
      <c r="I2647" t="s">
        <v>1803</v>
      </c>
      <c r="J2647">
        <v>4</v>
      </c>
      <c r="L2647" s="9" t="e">
        <f t="shared" si="149"/>
        <v>#VALUE!</v>
      </c>
    </row>
    <row r="2648" spans="1:12" x14ac:dyDescent="0.35">
      <c r="A2648">
        <f t="shared" si="150"/>
        <v>2647</v>
      </c>
      <c r="B2648" t="s">
        <v>760</v>
      </c>
      <c r="C2648" s="109" t="str">
        <f>IF(ISBLANK(K2648),IFERROR(VLOOKUP(I2648,FS_input_data!$C$458:$N$648,Export!J2648,FALSE),""),K2648)</f>
        <v/>
      </c>
      <c r="D2648" s="105"/>
      <c r="E2648" t="s">
        <v>1561</v>
      </c>
      <c r="F2648" s="105" t="s">
        <v>1803</v>
      </c>
      <c r="G2648" s="105" t="b">
        <f>VLOOKUP($I$2630,FS_input_data!$C$458:$N$648,Export!$J$2630,FALSE)=""</f>
        <v>0</v>
      </c>
      <c r="H2648" s="6" t="s">
        <v>2189</v>
      </c>
      <c r="I2648" t="s">
        <v>1561</v>
      </c>
      <c r="J2648" t="s">
        <v>1561</v>
      </c>
      <c r="L2648">
        <f t="shared" si="149"/>
        <v>1</v>
      </c>
    </row>
    <row r="2649" spans="1:12" x14ac:dyDescent="0.35">
      <c r="A2649" s="9">
        <f t="shared" si="150"/>
        <v>2648</v>
      </c>
      <c r="B2649" t="s">
        <v>761</v>
      </c>
      <c r="C2649" s="109" t="str">
        <f>IF(ISBLANK(K2649),IFERROR(VLOOKUP(I2649,FS_input_data!$C$458:$N$648,Export!J2649,FALSE),""),K2649)</f>
        <v>d</v>
      </c>
      <c r="D2649" s="105" t="b">
        <v>0</v>
      </c>
      <c r="E2649" t="s">
        <v>1561</v>
      </c>
      <c r="F2649" s="105" t="s">
        <v>1803</v>
      </c>
      <c r="G2649" s="105" t="b">
        <f>VLOOKUP($I$2630,FS_input_data!$C$458:$N$648,Export!$J$2630,FALSE)=""</f>
        <v>0</v>
      </c>
      <c r="H2649" s="6" t="s">
        <v>2189</v>
      </c>
      <c r="I2649" t="s">
        <v>1803</v>
      </c>
      <c r="J2649">
        <v>5</v>
      </c>
      <c r="L2649" s="9" t="e">
        <f t="shared" si="149"/>
        <v>#VALUE!</v>
      </c>
    </row>
    <row r="2650" spans="1:12" x14ac:dyDescent="0.35">
      <c r="A2650">
        <f t="shared" si="150"/>
        <v>2649</v>
      </c>
      <c r="B2650" t="s">
        <v>762</v>
      </c>
      <c r="C2650" s="109" t="str">
        <f>IF(ISBLANK(K2650),IFERROR(VLOOKUP(I2650,FS_input_data!$C$458:$N$648,Export!J2650,FALSE),""),K2650)</f>
        <v/>
      </c>
      <c r="D2650" s="105"/>
      <c r="E2650" t="s">
        <v>1561</v>
      </c>
      <c r="F2650" s="105" t="s">
        <v>1803</v>
      </c>
      <c r="G2650" s="105" t="b">
        <f>VLOOKUP($I$2630,FS_input_data!$C$458:$N$648,Export!$J$2630,FALSE)=""</f>
        <v>0</v>
      </c>
      <c r="H2650" s="6" t="s">
        <v>2189</v>
      </c>
      <c r="I2650" t="s">
        <v>1561</v>
      </c>
      <c r="J2650" t="s">
        <v>1561</v>
      </c>
      <c r="L2650">
        <f t="shared" si="149"/>
        <v>1</v>
      </c>
    </row>
    <row r="2651" spans="1:12" x14ac:dyDescent="0.35">
      <c r="A2651">
        <f t="shared" si="150"/>
        <v>2650</v>
      </c>
      <c r="B2651" t="s">
        <v>763</v>
      </c>
      <c r="C2651" s="109" t="str">
        <f>IF(ISBLANK(K2651),IFERROR(VLOOKUP(I2651,FS_input_data!$C$458:$N$648,Export!J2651,FALSE),""),K2651)</f>
        <v/>
      </c>
      <c r="D2651" s="105"/>
      <c r="E2651" t="s">
        <v>1561</v>
      </c>
      <c r="F2651" s="105" t="s">
        <v>1803</v>
      </c>
      <c r="G2651" s="105" t="b">
        <f>VLOOKUP($I$2630,FS_input_data!$C$458:$N$648,Export!$J$2630,FALSE)=""</f>
        <v>0</v>
      </c>
      <c r="H2651" s="6" t="s">
        <v>2189</v>
      </c>
      <c r="I2651" t="s">
        <v>1561</v>
      </c>
      <c r="J2651" t="s">
        <v>1561</v>
      </c>
      <c r="L2651">
        <f t="shared" si="149"/>
        <v>1</v>
      </c>
    </row>
    <row r="2652" spans="1:12" x14ac:dyDescent="0.35">
      <c r="A2652">
        <f t="shared" si="150"/>
        <v>2651</v>
      </c>
      <c r="B2652" t="s">
        <v>743</v>
      </c>
      <c r="C2652" s="109" t="str">
        <f>IF(ISBLANK(K2652),IFERROR(VLOOKUP(I2652,FS_input_data!$C$458:$N$648,Export!J2652,FALSE),""),K2652)</f>
        <v/>
      </c>
      <c r="D2652" s="105"/>
      <c r="E2652" t="s">
        <v>1561</v>
      </c>
      <c r="F2652" s="105" t="s">
        <v>1803</v>
      </c>
      <c r="G2652" s="105" t="b">
        <f>VLOOKUP($I$2630,FS_input_data!$C$458:$N$648,Export!$J$2630,FALSE)=""</f>
        <v>0</v>
      </c>
      <c r="H2652" s="6" t="s">
        <v>2189</v>
      </c>
      <c r="I2652" t="s">
        <v>1561</v>
      </c>
      <c r="J2652" t="s">
        <v>1561</v>
      </c>
      <c r="L2652">
        <f t="shared" si="149"/>
        <v>1</v>
      </c>
    </row>
    <row r="2653" spans="1:12" x14ac:dyDescent="0.35">
      <c r="A2653">
        <f t="shared" si="150"/>
        <v>2652</v>
      </c>
      <c r="B2653" t="s">
        <v>744</v>
      </c>
      <c r="C2653" s="109" t="str">
        <f>IF(ISBLANK(K2653),IFERROR(VLOOKUP(I2653,FS_input_data!$C$458:$N$648,Export!J2653,FALSE),""),K2653)</f>
        <v/>
      </c>
      <c r="D2653" s="105"/>
      <c r="E2653" t="s">
        <v>1561</v>
      </c>
      <c r="F2653" s="105" t="s">
        <v>1803</v>
      </c>
      <c r="G2653" s="105" t="b">
        <f>IF(RP_tax,TRUE,VLOOKUP($I$2630,FS_input_data!$C$458:$N$648,Export!$J$2630,FALSE)="")</f>
        <v>1</v>
      </c>
      <c r="H2653" s="6" t="s">
        <v>2189</v>
      </c>
      <c r="I2653" t="s">
        <v>1561</v>
      </c>
      <c r="J2653" t="s">
        <v>1561</v>
      </c>
      <c r="L2653" s="9" t="e">
        <f t="shared" si="149"/>
        <v>#VALUE!</v>
      </c>
    </row>
    <row r="2654" spans="1:12" x14ac:dyDescent="0.35">
      <c r="A2654" s="9">
        <f t="shared" si="150"/>
        <v>2653</v>
      </c>
      <c r="B2654" t="s">
        <v>109</v>
      </c>
      <c r="C2654" s="109">
        <f>IF(ISBLANK(K2654),IFERROR(VLOOKUP(I2654,FS_input_data!$C$458:$N$648,Export!J2654,FALSE),""),K2654)</f>
        <v>4000</v>
      </c>
      <c r="D2654" s="105" t="b">
        <v>0</v>
      </c>
      <c r="E2654" t="s">
        <v>1561</v>
      </c>
      <c r="F2654" s="105" t="s">
        <v>1803</v>
      </c>
      <c r="G2654" s="105" t="b">
        <f>IF(RP_tax,TRUE,VLOOKUP($I$2630,FS_input_data!$C$458:$N$648,Export!$J$2630,FALSE)="")</f>
        <v>1</v>
      </c>
      <c r="H2654" s="6" t="s">
        <v>2189</v>
      </c>
      <c r="I2654" t="s">
        <v>1803</v>
      </c>
      <c r="J2654">
        <v>10</v>
      </c>
      <c r="L2654" s="9" t="e">
        <f t="shared" si="149"/>
        <v>#VALUE!</v>
      </c>
    </row>
    <row r="2655" spans="1:12" x14ac:dyDescent="0.35">
      <c r="A2655">
        <f t="shared" si="150"/>
        <v>2654</v>
      </c>
      <c r="B2655" t="s">
        <v>110</v>
      </c>
      <c r="C2655" s="109" t="str">
        <f>IF(ISBLANK(K2655),IFERROR(VLOOKUP(I2655,FS_input_data!$C$458:$N$648,Export!J2655,FALSE),""),K2655)</f>
        <v/>
      </c>
      <c r="D2655" s="105"/>
      <c r="E2655" t="s">
        <v>1561</v>
      </c>
      <c r="F2655" s="105" t="s">
        <v>1803</v>
      </c>
      <c r="G2655" s="105" t="b">
        <f>IF(RP_tax,TRUE,VLOOKUP($I$2630,FS_input_data!$C$458:$N$648,Export!$J$2630,FALSE)="")</f>
        <v>1</v>
      </c>
      <c r="H2655" s="6" t="s">
        <v>2189</v>
      </c>
      <c r="I2655" t="s">
        <v>1561</v>
      </c>
      <c r="J2655" t="s">
        <v>1561</v>
      </c>
      <c r="L2655">
        <f t="shared" si="149"/>
        <v>1</v>
      </c>
    </row>
    <row r="2656" spans="1:12" x14ac:dyDescent="0.35">
      <c r="A2656" s="9">
        <f t="shared" si="150"/>
        <v>2655</v>
      </c>
      <c r="B2656" t="s">
        <v>111</v>
      </c>
      <c r="C2656" s="109">
        <f>IF(ISBLANK(K2656),IFERROR(VLOOKUP(I2656,FS_input_data!$C$458:$N$648,Export!J2656,FALSE),""),K2656)</f>
        <v>2000</v>
      </c>
      <c r="D2656" s="105" t="b">
        <v>0</v>
      </c>
      <c r="E2656" t="s">
        <v>1561</v>
      </c>
      <c r="F2656" s="105" t="s">
        <v>1803</v>
      </c>
      <c r="G2656" s="105" t="b">
        <f>IF(RP_tax,TRUE,VLOOKUP($I$2630,FS_input_data!$C$458:$N$648,Export!$J$2630,FALSE)="")</f>
        <v>1</v>
      </c>
      <c r="H2656" s="6" t="s">
        <v>2189</v>
      </c>
      <c r="I2656" t="s">
        <v>1803</v>
      </c>
      <c r="J2656">
        <v>11</v>
      </c>
      <c r="L2656" s="9" t="e">
        <f t="shared" si="149"/>
        <v>#VALUE!</v>
      </c>
    </row>
    <row r="2657" spans="1:12" x14ac:dyDescent="0.35">
      <c r="A2657">
        <f t="shared" si="150"/>
        <v>2656</v>
      </c>
      <c r="B2657" t="s">
        <v>112</v>
      </c>
      <c r="C2657" s="109" t="str">
        <f>IF(ISBLANK(K2657),IFERROR(VLOOKUP(I2657,FS_input_data!$C$458:$N$648,Export!J2657,FALSE),""),K2657)</f>
        <v/>
      </c>
      <c r="D2657" s="105"/>
      <c r="E2657" t="s">
        <v>1561</v>
      </c>
      <c r="F2657" s="105" t="s">
        <v>1803</v>
      </c>
      <c r="G2657" s="105" t="b">
        <f>IF(RP_tax,TRUE,VLOOKUP($I$2630,FS_input_data!$C$458:$N$648,Export!$J$2630,FALSE)="")</f>
        <v>1</v>
      </c>
      <c r="H2657" s="6" t="s">
        <v>2189</v>
      </c>
      <c r="I2657" t="s">
        <v>1561</v>
      </c>
      <c r="J2657" t="s">
        <v>1561</v>
      </c>
      <c r="L2657">
        <f t="shared" si="149"/>
        <v>1</v>
      </c>
    </row>
    <row r="2658" spans="1:12" x14ac:dyDescent="0.35">
      <c r="A2658" s="9">
        <f t="shared" si="150"/>
        <v>2657</v>
      </c>
      <c r="B2658" t="s">
        <v>749</v>
      </c>
      <c r="C2658" s="109">
        <f>IF(ISBLANK(K2658),IFERROR(VLOOKUP(I2658,FS_input_data!$C$458:$N$648,Export!J2658,FALSE),""),K2658)</f>
        <v>2000</v>
      </c>
      <c r="D2658" s="105" t="b">
        <v>0</v>
      </c>
      <c r="E2658" t="s">
        <v>1561</v>
      </c>
      <c r="F2658" s="105" t="s">
        <v>1803</v>
      </c>
      <c r="G2658" s="105" t="b">
        <f>IF(RP_tax,TRUE,VLOOKUP($I$2630,FS_input_data!$C$458:$N$648,Export!$J$2630,FALSE)="")</f>
        <v>1</v>
      </c>
      <c r="H2658" s="6" t="s">
        <v>2189</v>
      </c>
      <c r="I2658" t="s">
        <v>1803</v>
      </c>
      <c r="J2658">
        <v>12</v>
      </c>
      <c r="L2658" s="9" t="e">
        <f t="shared" si="149"/>
        <v>#VALUE!</v>
      </c>
    </row>
    <row r="2659" spans="1:12" x14ac:dyDescent="0.35">
      <c r="A2659">
        <f t="shared" si="150"/>
        <v>2658</v>
      </c>
      <c r="B2659" t="s">
        <v>750</v>
      </c>
      <c r="C2659" s="109" t="str">
        <f>IF(ISBLANK(K2659),IFERROR(VLOOKUP(I2659,FS_input_data!$C$458:$N$648,Export!J2659,FALSE),""),K2659)</f>
        <v/>
      </c>
      <c r="D2659" s="105"/>
      <c r="E2659" t="s">
        <v>1561</v>
      </c>
      <c r="F2659" s="105" t="s">
        <v>1803</v>
      </c>
      <c r="G2659" s="105" t="b">
        <f>IF(RP_tax,TRUE,VLOOKUP($I$2630,FS_input_data!$C$458:$N$648,Export!$J$2630,FALSE)="")</f>
        <v>1</v>
      </c>
      <c r="H2659" s="6" t="s">
        <v>2189</v>
      </c>
      <c r="I2659" t="s">
        <v>1561</v>
      </c>
      <c r="J2659" t="s">
        <v>1561</v>
      </c>
      <c r="L2659">
        <f t="shared" si="149"/>
        <v>1</v>
      </c>
    </row>
    <row r="2660" spans="1:12" x14ac:dyDescent="0.35">
      <c r="A2660">
        <f t="shared" si="150"/>
        <v>2659</v>
      </c>
      <c r="B2660" t="s">
        <v>745</v>
      </c>
      <c r="C2660" s="109" t="str">
        <f>IF(ISBLANK(K2660),IFERROR(VLOOKUP(I2660,FS_input_data!$C$458:$N$648,Export!J2660,FALSE),""),K2660)</f>
        <v/>
      </c>
      <c r="D2660" s="105"/>
      <c r="E2660" t="s">
        <v>1561</v>
      </c>
      <c r="F2660" s="105" t="s">
        <v>1803</v>
      </c>
      <c r="G2660" s="105" t="b">
        <f>IF(RP_tax,TRUE,VLOOKUP($I$2630,FS_input_data!$C$458:$N$648,Export!$J$2630,FALSE)="")</f>
        <v>1</v>
      </c>
      <c r="H2660" s="6" t="s">
        <v>2189</v>
      </c>
      <c r="I2660" t="s">
        <v>1561</v>
      </c>
      <c r="J2660" t="s">
        <v>1561</v>
      </c>
      <c r="L2660">
        <f t="shared" si="149"/>
        <v>1</v>
      </c>
    </row>
    <row r="2661" spans="1:12" x14ac:dyDescent="0.35">
      <c r="A2661">
        <f t="shared" si="150"/>
        <v>2660</v>
      </c>
      <c r="B2661" t="s">
        <v>764</v>
      </c>
      <c r="C2661" s="109" t="str">
        <f>IF(ISBLANK(K2661),IFERROR(VLOOKUP(I2661,FS_input_data!$C$458:$N$648,Export!J2661,FALSE),""),K2661)</f>
        <v/>
      </c>
      <c r="D2661" s="105"/>
      <c r="E2661" t="s">
        <v>1561</v>
      </c>
      <c r="F2661" s="105" t="s">
        <v>1803</v>
      </c>
      <c r="G2661" s="105" t="b">
        <f>VLOOKUP($I$2630,FS_input_data!$C$458:$N$648,Export!$J$2630,FALSE)=""</f>
        <v>0</v>
      </c>
      <c r="H2661" s="6" t="s">
        <v>2189</v>
      </c>
      <c r="I2661" t="s">
        <v>1561</v>
      </c>
      <c r="J2661" t="s">
        <v>1561</v>
      </c>
      <c r="L2661">
        <f t="shared" si="149"/>
        <v>1</v>
      </c>
    </row>
    <row r="2662" spans="1:12" x14ac:dyDescent="0.35">
      <c r="A2662">
        <f t="shared" si="150"/>
        <v>2661</v>
      </c>
      <c r="B2662" t="s">
        <v>765</v>
      </c>
      <c r="C2662" s="109" t="str">
        <f>IF(ISBLANK(K2662),IFERROR(VLOOKUP(I2662,FS_input_data!$C$458:$N$648,Export!J2662,FALSE),""),K2662)</f>
        <v/>
      </c>
      <c r="D2662" s="105"/>
      <c r="E2662" t="s">
        <v>1561</v>
      </c>
      <c r="F2662" s="105" t="s">
        <v>1803</v>
      </c>
      <c r="G2662" s="105" t="b">
        <f>VLOOKUP($I$2630,FS_input_data!$C$458:$N$648,Export!$J$2630,FALSE)=""</f>
        <v>0</v>
      </c>
      <c r="H2662" s="6" t="s">
        <v>2189</v>
      </c>
      <c r="I2662" t="s">
        <v>1561</v>
      </c>
      <c r="J2662" t="s">
        <v>1561</v>
      </c>
      <c r="L2662">
        <f t="shared" si="149"/>
        <v>1</v>
      </c>
    </row>
    <row r="2663" spans="1:12" x14ac:dyDescent="0.35">
      <c r="A2663">
        <f t="shared" si="150"/>
        <v>2662</v>
      </c>
      <c r="B2663" t="s">
        <v>752</v>
      </c>
      <c r="C2663" s="109" t="str">
        <f>IF(ISBLANK(K2663),IFERROR(VLOOKUP(I2663,FS_input_data!$C$458:$N$648,Export!J2663,FALSE),""),K2663)</f>
        <v/>
      </c>
      <c r="D2663" s="102"/>
      <c r="E2663" t="s">
        <v>1561</v>
      </c>
      <c r="F2663" s="102" t="s">
        <v>1806</v>
      </c>
      <c r="G2663" s="102" t="b">
        <f>VLOOKUP($I$2664,FS_input_data!$C$458:$N$648,Export!$J$2664,FALSE)=""</f>
        <v>0</v>
      </c>
      <c r="H2663" s="6" t="s">
        <v>2189</v>
      </c>
      <c r="I2663" t="s">
        <v>1561</v>
      </c>
      <c r="J2663" t="s">
        <v>1561</v>
      </c>
      <c r="L2663" s="9" t="e">
        <f t="shared" si="149"/>
        <v>#VALUE!</v>
      </c>
    </row>
    <row r="2664" spans="1:12" x14ac:dyDescent="0.35">
      <c r="A2664" s="9">
        <f t="shared" si="150"/>
        <v>2663</v>
      </c>
      <c r="B2664" t="s">
        <v>101</v>
      </c>
      <c r="C2664" s="109" t="str">
        <f>IF(ISBLANK(K2664),IFERROR(VLOOKUP(I2664,FS_input_data!$C$458:$N$648,Export!J2664,FALSE),""),K2664)</f>
        <v>OB5</v>
      </c>
      <c r="D2664" s="102" t="b">
        <v>1</v>
      </c>
      <c r="E2664" t="s">
        <v>1561</v>
      </c>
      <c r="F2664" s="102" t="s">
        <v>1806</v>
      </c>
      <c r="G2664" s="102" t="b">
        <f>VLOOKUP($I$2664,FS_input_data!$C$458:$N$648,Export!$J$2664,FALSE)=""</f>
        <v>0</v>
      </c>
      <c r="H2664" s="6" t="s">
        <v>2189</v>
      </c>
      <c r="I2664" t="s">
        <v>1806</v>
      </c>
      <c r="J2664">
        <v>6</v>
      </c>
      <c r="L2664" s="9" t="e">
        <f t="shared" si="149"/>
        <v>#VALUE!</v>
      </c>
    </row>
    <row r="2665" spans="1:12" x14ac:dyDescent="0.35">
      <c r="A2665">
        <f t="shared" si="150"/>
        <v>2664</v>
      </c>
      <c r="B2665" t="s">
        <v>102</v>
      </c>
      <c r="C2665" s="109" t="str">
        <f>IF(ISBLANK(K2665),IFERROR(VLOOKUP(I2665,FS_input_data!$C$458:$N$648,Export!J2665,FALSE),""),K2665)</f>
        <v/>
      </c>
      <c r="D2665" s="102"/>
      <c r="E2665" t="s">
        <v>1561</v>
      </c>
      <c r="F2665" s="102" t="s">
        <v>1806</v>
      </c>
      <c r="G2665" s="102" t="b">
        <f>VLOOKUP($I$2664,FS_input_data!$C$458:$N$648,Export!$J$2664,FALSE)=""</f>
        <v>0</v>
      </c>
      <c r="H2665" s="6" t="s">
        <v>2189</v>
      </c>
      <c r="I2665" t="s">
        <v>1561</v>
      </c>
      <c r="J2665" t="s">
        <v>1561</v>
      </c>
      <c r="L2665">
        <f t="shared" si="149"/>
        <v>1</v>
      </c>
    </row>
    <row r="2666" spans="1:12" x14ac:dyDescent="0.35">
      <c r="A2666">
        <f t="shared" si="150"/>
        <v>2665</v>
      </c>
      <c r="B2666" t="s">
        <v>753</v>
      </c>
      <c r="C2666" s="109" t="str">
        <f>IF(ISBLANK(K2666),IFERROR(VLOOKUP(I2666,FS_input_data!$C$458:$N$648,Export!J2666,FALSE),""),K2666)</f>
        <v/>
      </c>
      <c r="D2666" s="102"/>
      <c r="E2666" t="s">
        <v>1561</v>
      </c>
      <c r="F2666" s="102" t="s">
        <v>1806</v>
      </c>
      <c r="G2666" s="102" t="b">
        <f>VLOOKUP($I$2664,FS_input_data!$C$458:$N$648,Export!$J$2664,FALSE)=""</f>
        <v>0</v>
      </c>
      <c r="H2666" s="6" t="s">
        <v>2189</v>
      </c>
      <c r="I2666" t="s">
        <v>1561</v>
      </c>
      <c r="J2666" t="s">
        <v>1561</v>
      </c>
      <c r="L2666" s="9" t="e">
        <f t="shared" si="149"/>
        <v>#VALUE!</v>
      </c>
    </row>
    <row r="2667" spans="1:12" x14ac:dyDescent="0.35">
      <c r="A2667">
        <f t="shared" si="150"/>
        <v>2666</v>
      </c>
      <c r="B2667" t="s">
        <v>742</v>
      </c>
      <c r="C2667" s="109" t="str">
        <f>IF(ISBLANK(K2667),IFERROR(VLOOKUP(I2667,FS_input_data!$C$458:$N$648,Export!J2667,FALSE),""),K2667)</f>
        <v/>
      </c>
      <c r="D2667" s="102"/>
      <c r="E2667" t="s">
        <v>1561</v>
      </c>
      <c r="F2667" s="102" t="s">
        <v>1806</v>
      </c>
      <c r="G2667" s="102" t="b">
        <f>VLOOKUP($I$2664,FS_input_data!$C$458:$N$648,Export!$J$2664,FALSE)=""</f>
        <v>0</v>
      </c>
      <c r="H2667" s="6" t="s">
        <v>2189</v>
      </c>
      <c r="I2667" t="s">
        <v>1561</v>
      </c>
      <c r="J2667" t="s">
        <v>1561</v>
      </c>
      <c r="L2667" s="9" t="e">
        <f t="shared" si="149"/>
        <v>#VALUE!</v>
      </c>
    </row>
    <row r="2668" spans="1:12" x14ac:dyDescent="0.35">
      <c r="A2668">
        <f t="shared" si="150"/>
        <v>2667</v>
      </c>
      <c r="B2668" t="s">
        <v>748</v>
      </c>
      <c r="C2668" s="109" t="str">
        <f>IF(ISBLANK(K2668),IFERROR(VLOOKUP(I2668,FS_input_data!$C$458:$N$648,Export!J2668,FALSE),""),K2668)</f>
        <v/>
      </c>
      <c r="D2668" s="102"/>
      <c r="E2668" t="s">
        <v>1561</v>
      </c>
      <c r="F2668" s="102" t="s">
        <v>1806</v>
      </c>
      <c r="G2668" s="102" t="b">
        <f>VLOOKUP($I$2664,FS_input_data!$C$458:$N$648,Export!$J$2664,FALSE)=""</f>
        <v>0</v>
      </c>
      <c r="H2668" s="6" t="s">
        <v>2189</v>
      </c>
      <c r="I2668" t="s">
        <v>1561</v>
      </c>
      <c r="J2668" t="s">
        <v>1561</v>
      </c>
      <c r="L2668" s="9" t="e">
        <f t="shared" si="149"/>
        <v>#VALUE!</v>
      </c>
    </row>
    <row r="2669" spans="1:12" x14ac:dyDescent="0.35">
      <c r="A2669" s="9">
        <f t="shared" si="150"/>
        <v>2668</v>
      </c>
      <c r="B2669" t="s">
        <v>109</v>
      </c>
      <c r="C2669" s="109">
        <f>IF(ISBLANK(K2669),IFERROR(VLOOKUP(I2669,FS_input_data!$C$458:$N$648,Export!J2669,FALSE),""),K2669)</f>
        <v>5000</v>
      </c>
      <c r="D2669" s="102" t="b">
        <v>1</v>
      </c>
      <c r="E2669" t="s">
        <v>1561</v>
      </c>
      <c r="F2669" s="102" t="s">
        <v>1806</v>
      </c>
      <c r="G2669" s="102" t="b">
        <f>VLOOKUP($I$2664,FS_input_data!$C$458:$N$648,Export!$J$2664,FALSE)=""</f>
        <v>0</v>
      </c>
      <c r="H2669" s="6" t="s">
        <v>2189</v>
      </c>
      <c r="I2669" t="s">
        <v>1806</v>
      </c>
      <c r="J2669">
        <v>7</v>
      </c>
      <c r="L2669" s="9" t="e">
        <f t="shared" si="149"/>
        <v>#VALUE!</v>
      </c>
    </row>
    <row r="2670" spans="1:12" x14ac:dyDescent="0.35">
      <c r="A2670">
        <f t="shared" si="150"/>
        <v>2669</v>
      </c>
      <c r="B2670" t="s">
        <v>110</v>
      </c>
      <c r="C2670" s="109" t="str">
        <f>IF(ISBLANK(K2670),IFERROR(VLOOKUP(I2670,FS_input_data!$C$458:$N$648,Export!J2670,FALSE),""),K2670)</f>
        <v/>
      </c>
      <c r="D2670" s="102"/>
      <c r="E2670" t="s">
        <v>1561</v>
      </c>
      <c r="F2670" s="102" t="s">
        <v>1806</v>
      </c>
      <c r="G2670" s="102" t="b">
        <f>VLOOKUP($I$2664,FS_input_data!$C$458:$N$648,Export!$J$2664,FALSE)=""</f>
        <v>0</v>
      </c>
      <c r="H2670" s="6" t="s">
        <v>2189</v>
      </c>
      <c r="I2670" t="s">
        <v>1561</v>
      </c>
      <c r="J2670" t="s">
        <v>1561</v>
      </c>
      <c r="L2670">
        <f t="shared" si="149"/>
        <v>1</v>
      </c>
    </row>
    <row r="2671" spans="1:12" x14ac:dyDescent="0.35">
      <c r="A2671" s="9">
        <f t="shared" si="150"/>
        <v>2670</v>
      </c>
      <c r="B2671" t="s">
        <v>111</v>
      </c>
      <c r="C2671" s="109">
        <f>IF(ISBLANK(K2671),IFERROR(VLOOKUP(I2671,FS_input_data!$C$458:$N$648,Export!J2671,FALSE),""),K2671)</f>
        <v>2500</v>
      </c>
      <c r="D2671" s="102" t="b">
        <v>0</v>
      </c>
      <c r="E2671" t="s">
        <v>1561</v>
      </c>
      <c r="F2671" s="102" t="s">
        <v>1806</v>
      </c>
      <c r="G2671" s="102" t="b">
        <f>VLOOKUP($I$2664,FS_input_data!$C$458:$N$648,Export!$J$2664,FALSE)=""</f>
        <v>0</v>
      </c>
      <c r="H2671" s="6" t="s">
        <v>2189</v>
      </c>
      <c r="I2671" t="s">
        <v>1806</v>
      </c>
      <c r="J2671">
        <v>8</v>
      </c>
      <c r="L2671" s="9" t="e">
        <f t="shared" si="149"/>
        <v>#VALUE!</v>
      </c>
    </row>
    <row r="2672" spans="1:12" x14ac:dyDescent="0.35">
      <c r="A2672">
        <f t="shared" si="150"/>
        <v>2671</v>
      </c>
      <c r="B2672" t="s">
        <v>112</v>
      </c>
      <c r="C2672" s="109" t="str">
        <f>IF(ISBLANK(K2672),IFERROR(VLOOKUP(I2672,FS_input_data!$C$458:$N$648,Export!J2672,FALSE),""),K2672)</f>
        <v/>
      </c>
      <c r="D2672" s="102"/>
      <c r="E2672" t="s">
        <v>1561</v>
      </c>
      <c r="F2672" s="102" t="s">
        <v>1806</v>
      </c>
      <c r="G2672" s="102" t="b">
        <f>VLOOKUP($I$2664,FS_input_data!$C$458:$N$648,Export!$J$2664,FALSE)=""</f>
        <v>0</v>
      </c>
      <c r="H2672" s="6" t="s">
        <v>2189</v>
      </c>
      <c r="I2672" t="s">
        <v>1561</v>
      </c>
      <c r="J2672" t="s">
        <v>1561</v>
      </c>
      <c r="L2672">
        <f t="shared" si="149"/>
        <v>1</v>
      </c>
    </row>
    <row r="2673" spans="1:12" x14ac:dyDescent="0.35">
      <c r="A2673" s="9">
        <f t="shared" si="150"/>
        <v>2672</v>
      </c>
      <c r="B2673" t="s">
        <v>749</v>
      </c>
      <c r="C2673" s="109">
        <f>IF(ISBLANK(K2673),IFERROR(VLOOKUP(I2673,FS_input_data!$C$458:$N$648,Export!J2673,FALSE),""),K2673)</f>
        <v>2500</v>
      </c>
      <c r="D2673" s="102" t="b">
        <v>0</v>
      </c>
      <c r="E2673" t="s">
        <v>1561</v>
      </c>
      <c r="F2673" s="102" t="s">
        <v>1806</v>
      </c>
      <c r="G2673" s="102" t="b">
        <f>VLOOKUP($I$2664,FS_input_data!$C$458:$N$648,Export!$J$2664,FALSE)=""</f>
        <v>0</v>
      </c>
      <c r="H2673" s="6" t="s">
        <v>2189</v>
      </c>
      <c r="I2673" t="s">
        <v>1806</v>
      </c>
      <c r="J2673">
        <v>9</v>
      </c>
      <c r="L2673" s="9" t="e">
        <f t="shared" si="149"/>
        <v>#VALUE!</v>
      </c>
    </row>
    <row r="2674" spans="1:12" x14ac:dyDescent="0.35">
      <c r="A2674">
        <f t="shared" si="150"/>
        <v>2673</v>
      </c>
      <c r="B2674" t="s">
        <v>750</v>
      </c>
      <c r="C2674" s="109" t="str">
        <f>IF(ISBLANK(K2674),IFERROR(VLOOKUP(I2674,FS_input_data!$C$458:$N$648,Export!J2674,FALSE),""),K2674)</f>
        <v/>
      </c>
      <c r="D2674" s="102"/>
      <c r="E2674" t="s">
        <v>1561</v>
      </c>
      <c r="F2674" s="102" t="s">
        <v>1806</v>
      </c>
      <c r="G2674" s="102" t="b">
        <f>VLOOKUP($I$2664,FS_input_data!$C$458:$N$648,Export!$J$2664,FALSE)=""</f>
        <v>0</v>
      </c>
      <c r="H2674" s="6" t="s">
        <v>2189</v>
      </c>
      <c r="I2674" t="s">
        <v>1561</v>
      </c>
      <c r="J2674" t="s">
        <v>1561</v>
      </c>
      <c r="L2674">
        <f t="shared" si="149"/>
        <v>1</v>
      </c>
    </row>
    <row r="2675" spans="1:12" x14ac:dyDescent="0.35">
      <c r="A2675">
        <f t="shared" si="150"/>
        <v>2674</v>
      </c>
      <c r="B2675" t="s">
        <v>751</v>
      </c>
      <c r="C2675" s="109" t="str">
        <f>IF(ISBLANK(K2675),IFERROR(VLOOKUP(I2675,FS_input_data!$C$458:$N$648,Export!J2675,FALSE),""),K2675)</f>
        <v/>
      </c>
      <c r="D2675" s="102"/>
      <c r="E2675" t="s">
        <v>1561</v>
      </c>
      <c r="F2675" s="102" t="s">
        <v>1806</v>
      </c>
      <c r="G2675" s="102" t="b">
        <f>VLOOKUP($I$2664,FS_input_data!$C$458:$N$648,Export!$J$2664,FALSE)=""</f>
        <v>0</v>
      </c>
      <c r="H2675" s="6" t="s">
        <v>2189</v>
      </c>
      <c r="I2675" t="s">
        <v>1561</v>
      </c>
      <c r="J2675" t="s">
        <v>1561</v>
      </c>
      <c r="L2675">
        <f t="shared" si="149"/>
        <v>1</v>
      </c>
    </row>
    <row r="2676" spans="1:12" x14ac:dyDescent="0.35">
      <c r="A2676">
        <f t="shared" si="150"/>
        <v>2675</v>
      </c>
      <c r="B2676" t="s">
        <v>754</v>
      </c>
      <c r="C2676" s="109" t="str">
        <f>IF(ISBLANK(K2676),IFERROR(VLOOKUP(I2676,FS_input_data!$C$458:$N$648,Export!J2676,FALSE),""),K2676)</f>
        <v/>
      </c>
      <c r="D2676" s="102"/>
      <c r="E2676" t="s">
        <v>1561</v>
      </c>
      <c r="F2676" s="102" t="s">
        <v>1806</v>
      </c>
      <c r="G2676" s="102" t="b">
        <f>VLOOKUP($I$2664,FS_input_data!$C$458:$N$648,Export!$J$2664,FALSE)=""</f>
        <v>0</v>
      </c>
      <c r="H2676" s="6" t="s">
        <v>2189</v>
      </c>
      <c r="I2676" t="s">
        <v>1561</v>
      </c>
      <c r="J2676" t="s">
        <v>1561</v>
      </c>
      <c r="L2676" s="9" t="e">
        <f t="shared" si="149"/>
        <v>#VALUE!</v>
      </c>
    </row>
    <row r="2677" spans="1:12" x14ac:dyDescent="0.35">
      <c r="A2677" s="9">
        <f t="shared" si="150"/>
        <v>2676</v>
      </c>
      <c r="B2677" t="s">
        <v>755</v>
      </c>
      <c r="C2677" s="109">
        <f>IF(ISBLANK(K2677),IFERROR(VLOOKUP(I2677,FS_input_data!$C$458:$N$648,Export!J2677,FALSE),""),K2677)</f>
        <v>5</v>
      </c>
      <c r="D2677" s="102" t="b">
        <v>1</v>
      </c>
      <c r="E2677" t="s">
        <v>1561</v>
      </c>
      <c r="F2677" s="102" t="s">
        <v>1806</v>
      </c>
      <c r="G2677" s="102" t="b">
        <f>VLOOKUP($I$2664,FS_input_data!$C$458:$N$648,Export!$J$2664,FALSE)=""</f>
        <v>0</v>
      </c>
      <c r="H2677" s="6" t="s">
        <v>2189</v>
      </c>
      <c r="I2677" t="s">
        <v>1806</v>
      </c>
      <c r="J2677">
        <v>2</v>
      </c>
      <c r="L2677" s="9" t="e">
        <f t="shared" si="149"/>
        <v>#VALUE!</v>
      </c>
    </row>
    <row r="2678" spans="1:12" x14ac:dyDescent="0.35">
      <c r="A2678">
        <f t="shared" si="150"/>
        <v>2677</v>
      </c>
      <c r="B2678" t="s">
        <v>756</v>
      </c>
      <c r="C2678" s="109" t="str">
        <f>IF(ISBLANK(K2678),IFERROR(VLOOKUP(I2678,FS_input_data!$C$458:$N$648,Export!J2678,FALSE),""),K2678)</f>
        <v/>
      </c>
      <c r="D2678" s="102"/>
      <c r="E2678" t="s">
        <v>1561</v>
      </c>
      <c r="F2678" s="102" t="s">
        <v>1806</v>
      </c>
      <c r="G2678" s="102" t="b">
        <f>VLOOKUP($I$2664,FS_input_data!$C$458:$N$648,Export!$J$2664,FALSE)=""</f>
        <v>0</v>
      </c>
      <c r="H2678" s="6" t="s">
        <v>2189</v>
      </c>
      <c r="I2678" t="s">
        <v>1561</v>
      </c>
      <c r="J2678" t="s">
        <v>1561</v>
      </c>
      <c r="L2678">
        <f t="shared" si="149"/>
        <v>1</v>
      </c>
    </row>
    <row r="2679" spans="1:12" x14ac:dyDescent="0.35">
      <c r="A2679" s="9">
        <f t="shared" si="150"/>
        <v>2678</v>
      </c>
      <c r="B2679" t="s">
        <v>757</v>
      </c>
      <c r="C2679" s="109">
        <f>IF(ISBLANK(K2679),IFERROR(VLOOKUP(I2679,FS_input_data!$C$458:$N$648,Export!J2679,FALSE),""),K2679)</f>
        <v>105</v>
      </c>
      <c r="D2679" s="102" t="b">
        <v>0</v>
      </c>
      <c r="E2679" t="s">
        <v>1561</v>
      </c>
      <c r="F2679" s="102" t="s">
        <v>1806</v>
      </c>
      <c r="G2679" s="102" t="b">
        <f>VLOOKUP($I$2664,FS_input_data!$C$458:$N$648,Export!$J$2664,FALSE)=""</f>
        <v>0</v>
      </c>
      <c r="H2679" s="6" t="s">
        <v>2189</v>
      </c>
      <c r="I2679" t="s">
        <v>1806</v>
      </c>
      <c r="J2679">
        <v>3</v>
      </c>
      <c r="L2679" s="9" t="e">
        <f t="shared" si="149"/>
        <v>#VALUE!</v>
      </c>
    </row>
    <row r="2680" spans="1:12" x14ac:dyDescent="0.35">
      <c r="A2680">
        <f t="shared" si="150"/>
        <v>2679</v>
      </c>
      <c r="B2680" t="s">
        <v>758</v>
      </c>
      <c r="C2680" s="109" t="str">
        <f>IF(ISBLANK(K2680),IFERROR(VLOOKUP(I2680,FS_input_data!$C$458:$N$648,Export!J2680,FALSE),""),K2680)</f>
        <v/>
      </c>
      <c r="D2680" s="102"/>
      <c r="E2680" t="s">
        <v>1561</v>
      </c>
      <c r="F2680" s="102" t="s">
        <v>1806</v>
      </c>
      <c r="G2680" s="102" t="b">
        <f>VLOOKUP($I$2664,FS_input_data!$C$458:$N$648,Export!$J$2664,FALSE)=""</f>
        <v>0</v>
      </c>
      <c r="H2680" s="6" t="s">
        <v>2189</v>
      </c>
      <c r="I2680" t="s">
        <v>1561</v>
      </c>
      <c r="J2680" t="s">
        <v>1561</v>
      </c>
      <c r="L2680">
        <f t="shared" si="149"/>
        <v>1</v>
      </c>
    </row>
    <row r="2681" spans="1:12" x14ac:dyDescent="0.35">
      <c r="A2681" s="9">
        <f t="shared" si="150"/>
        <v>2680</v>
      </c>
      <c r="B2681" t="s">
        <v>759</v>
      </c>
      <c r="C2681" s="109">
        <f>IF(ISBLANK(K2681),IFERROR(VLOOKUP(I2681,FS_input_data!$C$458:$N$648,Export!J2681,FALSE),""),K2681)</f>
        <v>205</v>
      </c>
      <c r="D2681" s="102" t="b">
        <v>0</v>
      </c>
      <c r="E2681" t="s">
        <v>1561</v>
      </c>
      <c r="F2681" s="102" t="s">
        <v>1806</v>
      </c>
      <c r="G2681" s="102" t="b">
        <f>VLOOKUP($I$2664,FS_input_data!$C$458:$N$648,Export!$J$2664,FALSE)=""</f>
        <v>0</v>
      </c>
      <c r="H2681" s="6" t="s">
        <v>2189</v>
      </c>
      <c r="I2681" t="s">
        <v>1806</v>
      </c>
      <c r="J2681">
        <v>4</v>
      </c>
      <c r="L2681" s="9" t="e">
        <f t="shared" si="149"/>
        <v>#VALUE!</v>
      </c>
    </row>
    <row r="2682" spans="1:12" x14ac:dyDescent="0.35">
      <c r="A2682">
        <f t="shared" si="150"/>
        <v>2681</v>
      </c>
      <c r="B2682" t="s">
        <v>760</v>
      </c>
      <c r="C2682" s="109" t="str">
        <f>IF(ISBLANK(K2682),IFERROR(VLOOKUP(I2682,FS_input_data!$C$458:$N$648,Export!J2682,FALSE),""),K2682)</f>
        <v/>
      </c>
      <c r="D2682" s="102"/>
      <c r="E2682" t="s">
        <v>1561</v>
      </c>
      <c r="F2682" s="102" t="s">
        <v>1806</v>
      </c>
      <c r="G2682" s="102" t="b">
        <f>VLOOKUP($I$2664,FS_input_data!$C$458:$N$648,Export!$J$2664,FALSE)=""</f>
        <v>0</v>
      </c>
      <c r="H2682" s="6" t="s">
        <v>2189</v>
      </c>
      <c r="I2682" t="s">
        <v>1561</v>
      </c>
      <c r="J2682" t="s">
        <v>1561</v>
      </c>
      <c r="L2682">
        <f t="shared" si="149"/>
        <v>1</v>
      </c>
    </row>
    <row r="2683" spans="1:12" x14ac:dyDescent="0.35">
      <c r="A2683" s="9">
        <f t="shared" si="150"/>
        <v>2682</v>
      </c>
      <c r="B2683" t="s">
        <v>761</v>
      </c>
      <c r="C2683" s="109" t="str">
        <f>IF(ISBLANK(K2683),IFERROR(VLOOKUP(I2683,FS_input_data!$C$458:$N$648,Export!J2683,FALSE),""),K2683)</f>
        <v>e</v>
      </c>
      <c r="D2683" s="102" t="b">
        <v>0</v>
      </c>
      <c r="E2683" t="s">
        <v>1561</v>
      </c>
      <c r="F2683" s="102" t="s">
        <v>1806</v>
      </c>
      <c r="G2683" s="102" t="b">
        <f>VLOOKUP($I$2664,FS_input_data!$C$458:$N$648,Export!$J$2664,FALSE)=""</f>
        <v>0</v>
      </c>
      <c r="H2683" s="6" t="s">
        <v>2189</v>
      </c>
      <c r="I2683" t="s">
        <v>1806</v>
      </c>
      <c r="J2683">
        <v>5</v>
      </c>
      <c r="L2683" s="9" t="e">
        <f t="shared" si="149"/>
        <v>#VALUE!</v>
      </c>
    </row>
    <row r="2684" spans="1:12" x14ac:dyDescent="0.35">
      <c r="A2684">
        <f t="shared" si="150"/>
        <v>2683</v>
      </c>
      <c r="B2684" t="s">
        <v>762</v>
      </c>
      <c r="C2684" s="109" t="str">
        <f>IF(ISBLANK(K2684),IFERROR(VLOOKUP(I2684,FS_input_data!$C$458:$N$648,Export!J2684,FALSE),""),K2684)</f>
        <v/>
      </c>
      <c r="D2684" s="102"/>
      <c r="E2684" t="s">
        <v>1561</v>
      </c>
      <c r="F2684" s="102" t="s">
        <v>1806</v>
      </c>
      <c r="G2684" s="102" t="b">
        <f>VLOOKUP($I$2664,FS_input_data!$C$458:$N$648,Export!$J$2664,FALSE)=""</f>
        <v>0</v>
      </c>
      <c r="H2684" s="6" t="s">
        <v>2189</v>
      </c>
      <c r="I2684" t="s">
        <v>1561</v>
      </c>
      <c r="J2684" t="s">
        <v>1561</v>
      </c>
      <c r="L2684">
        <f t="shared" si="149"/>
        <v>1</v>
      </c>
    </row>
    <row r="2685" spans="1:12" x14ac:dyDescent="0.35">
      <c r="A2685">
        <f t="shared" si="150"/>
        <v>2684</v>
      </c>
      <c r="B2685" t="s">
        <v>763</v>
      </c>
      <c r="C2685" s="109" t="str">
        <f>IF(ISBLANK(K2685),IFERROR(VLOOKUP(I2685,FS_input_data!$C$458:$N$648,Export!J2685,FALSE),""),K2685)</f>
        <v/>
      </c>
      <c r="D2685" s="102"/>
      <c r="E2685" t="s">
        <v>1561</v>
      </c>
      <c r="F2685" s="102" t="s">
        <v>1806</v>
      </c>
      <c r="G2685" s="102" t="b">
        <f>VLOOKUP($I$2664,FS_input_data!$C$458:$N$648,Export!$J$2664,FALSE)=""</f>
        <v>0</v>
      </c>
      <c r="H2685" s="6" t="s">
        <v>2189</v>
      </c>
      <c r="I2685" t="s">
        <v>1561</v>
      </c>
      <c r="J2685" t="s">
        <v>1561</v>
      </c>
      <c r="L2685">
        <f t="shared" si="149"/>
        <v>1</v>
      </c>
    </row>
    <row r="2686" spans="1:12" x14ac:dyDescent="0.35">
      <c r="A2686">
        <f t="shared" si="150"/>
        <v>2685</v>
      </c>
      <c r="B2686" t="s">
        <v>743</v>
      </c>
      <c r="C2686" s="109" t="str">
        <f>IF(ISBLANK(K2686),IFERROR(VLOOKUP(I2686,FS_input_data!$C$458:$N$648,Export!J2686,FALSE),""),K2686)</f>
        <v/>
      </c>
      <c r="D2686" s="102"/>
      <c r="E2686" t="s">
        <v>1561</v>
      </c>
      <c r="F2686" s="102" t="s">
        <v>1806</v>
      </c>
      <c r="G2686" s="102" t="b">
        <f>VLOOKUP($I$2664,FS_input_data!$C$458:$N$648,Export!$J$2664,FALSE)=""</f>
        <v>0</v>
      </c>
      <c r="H2686" s="6" t="s">
        <v>2189</v>
      </c>
      <c r="I2686" t="s">
        <v>1561</v>
      </c>
      <c r="J2686" t="s">
        <v>1561</v>
      </c>
      <c r="L2686">
        <f t="shared" si="149"/>
        <v>1</v>
      </c>
    </row>
    <row r="2687" spans="1:12" x14ac:dyDescent="0.35">
      <c r="A2687">
        <f t="shared" si="150"/>
        <v>2686</v>
      </c>
      <c r="B2687" t="s">
        <v>744</v>
      </c>
      <c r="C2687" s="109" t="str">
        <f>IF(ISBLANK(K2687),IFERROR(VLOOKUP(I2687,FS_input_data!$C$458:$N$648,Export!J2687,FALSE),""),K2687)</f>
        <v/>
      </c>
      <c r="D2687" s="102"/>
      <c r="E2687" t="s">
        <v>1561</v>
      </c>
      <c r="F2687" s="102" t="s">
        <v>1806</v>
      </c>
      <c r="G2687" s="102" t="b">
        <f>IF(RP_tax,TRUE,VLOOKUP($I$2664,FS_input_data!$C$458:$N$648,Export!$J$2664,FALSE)="")</f>
        <v>1</v>
      </c>
      <c r="H2687" s="6" t="s">
        <v>2189</v>
      </c>
      <c r="I2687" t="s">
        <v>1561</v>
      </c>
      <c r="J2687" t="s">
        <v>1561</v>
      </c>
      <c r="L2687" s="9" t="e">
        <f t="shared" si="149"/>
        <v>#VALUE!</v>
      </c>
    </row>
    <row r="2688" spans="1:12" x14ac:dyDescent="0.35">
      <c r="A2688" s="9">
        <f t="shared" si="150"/>
        <v>2687</v>
      </c>
      <c r="B2688" t="s">
        <v>109</v>
      </c>
      <c r="C2688" s="109">
        <f>IF(ISBLANK(K2688),IFERROR(VLOOKUP(I2688,FS_input_data!$C$458:$N$648,Export!J2688,FALSE),""),K2688)</f>
        <v>5000</v>
      </c>
      <c r="D2688" s="102" t="b">
        <v>0</v>
      </c>
      <c r="E2688" t="s">
        <v>1561</v>
      </c>
      <c r="F2688" s="102" t="s">
        <v>1806</v>
      </c>
      <c r="G2688" s="102" t="b">
        <f>IF(RP_tax,TRUE,VLOOKUP($I$2664,FS_input_data!$C$458:$N$648,Export!$J$2664,FALSE)="")</f>
        <v>1</v>
      </c>
      <c r="H2688" s="6" t="s">
        <v>2189</v>
      </c>
      <c r="I2688" t="s">
        <v>1806</v>
      </c>
      <c r="J2688">
        <v>10</v>
      </c>
      <c r="L2688" s="9" t="e">
        <f t="shared" si="149"/>
        <v>#VALUE!</v>
      </c>
    </row>
    <row r="2689" spans="1:12" x14ac:dyDescent="0.35">
      <c r="A2689">
        <f t="shared" si="150"/>
        <v>2688</v>
      </c>
      <c r="B2689" t="s">
        <v>110</v>
      </c>
      <c r="C2689" s="109" t="str">
        <f>IF(ISBLANK(K2689),IFERROR(VLOOKUP(I2689,FS_input_data!$C$458:$N$648,Export!J2689,FALSE),""),K2689)</f>
        <v/>
      </c>
      <c r="D2689" s="102"/>
      <c r="E2689" t="s">
        <v>1561</v>
      </c>
      <c r="F2689" s="102" t="s">
        <v>1806</v>
      </c>
      <c r="G2689" s="102" t="b">
        <f>IF(RP_tax,TRUE,VLOOKUP($I$2664,FS_input_data!$C$458:$N$648,Export!$J$2664,FALSE)="")</f>
        <v>1</v>
      </c>
      <c r="H2689" s="6" t="s">
        <v>2189</v>
      </c>
      <c r="I2689" t="s">
        <v>1561</v>
      </c>
      <c r="J2689" t="s">
        <v>1561</v>
      </c>
      <c r="L2689">
        <f t="shared" si="149"/>
        <v>1</v>
      </c>
    </row>
    <row r="2690" spans="1:12" x14ac:dyDescent="0.35">
      <c r="A2690" s="9">
        <f t="shared" si="150"/>
        <v>2689</v>
      </c>
      <c r="B2690" t="s">
        <v>111</v>
      </c>
      <c r="C2690" s="109">
        <f>IF(ISBLANK(K2690),IFERROR(VLOOKUP(I2690,FS_input_data!$C$458:$N$648,Export!J2690,FALSE),""),K2690)</f>
        <v>2500</v>
      </c>
      <c r="D2690" s="102" t="b">
        <v>0</v>
      </c>
      <c r="E2690" t="s">
        <v>1561</v>
      </c>
      <c r="F2690" s="102" t="s">
        <v>1806</v>
      </c>
      <c r="G2690" s="102" t="b">
        <f>IF(RP_tax,TRUE,VLOOKUP($I$2664,FS_input_data!$C$458:$N$648,Export!$J$2664,FALSE)="")</f>
        <v>1</v>
      </c>
      <c r="H2690" s="6" t="s">
        <v>2189</v>
      </c>
      <c r="I2690" t="s">
        <v>1806</v>
      </c>
      <c r="J2690">
        <v>11</v>
      </c>
      <c r="L2690" s="9" t="e">
        <f t="shared" ref="L2690:L2753" si="151">FIND("/",B2690)</f>
        <v>#VALUE!</v>
      </c>
    </row>
    <row r="2691" spans="1:12" x14ac:dyDescent="0.35">
      <c r="A2691">
        <f t="shared" ref="A2691:A2754" si="152">A2690+1</f>
        <v>2690</v>
      </c>
      <c r="B2691" t="s">
        <v>112</v>
      </c>
      <c r="C2691" s="109" t="str">
        <f>IF(ISBLANK(K2691),IFERROR(VLOOKUP(I2691,FS_input_data!$C$458:$N$648,Export!J2691,FALSE),""),K2691)</f>
        <v/>
      </c>
      <c r="D2691" s="102"/>
      <c r="E2691" t="s">
        <v>1561</v>
      </c>
      <c r="F2691" s="102" t="s">
        <v>1806</v>
      </c>
      <c r="G2691" s="102" t="b">
        <f>IF(RP_tax,TRUE,VLOOKUP($I$2664,FS_input_data!$C$458:$N$648,Export!$J$2664,FALSE)="")</f>
        <v>1</v>
      </c>
      <c r="H2691" s="6" t="s">
        <v>2189</v>
      </c>
      <c r="I2691" t="s">
        <v>1561</v>
      </c>
      <c r="J2691" t="s">
        <v>1561</v>
      </c>
      <c r="L2691">
        <f t="shared" si="151"/>
        <v>1</v>
      </c>
    </row>
    <row r="2692" spans="1:12" x14ac:dyDescent="0.35">
      <c r="A2692" s="9">
        <f t="shared" si="152"/>
        <v>2691</v>
      </c>
      <c r="B2692" t="s">
        <v>749</v>
      </c>
      <c r="C2692" s="109">
        <f>IF(ISBLANK(K2692),IFERROR(VLOOKUP(I2692,FS_input_data!$C$458:$N$648,Export!J2692,FALSE),""),K2692)</f>
        <v>2500</v>
      </c>
      <c r="D2692" s="102" t="b">
        <v>0</v>
      </c>
      <c r="E2692" t="s">
        <v>1561</v>
      </c>
      <c r="F2692" s="102" t="s">
        <v>1806</v>
      </c>
      <c r="G2692" s="102" t="b">
        <f>IF(RP_tax,TRUE,VLOOKUP($I$2664,FS_input_data!$C$458:$N$648,Export!$J$2664,FALSE)="")</f>
        <v>1</v>
      </c>
      <c r="H2692" s="6" t="s">
        <v>2189</v>
      </c>
      <c r="I2692" t="s">
        <v>1806</v>
      </c>
      <c r="J2692">
        <v>12</v>
      </c>
      <c r="L2692" s="9" t="e">
        <f t="shared" si="151"/>
        <v>#VALUE!</v>
      </c>
    </row>
    <row r="2693" spans="1:12" x14ac:dyDescent="0.35">
      <c r="A2693">
        <f t="shared" si="152"/>
        <v>2692</v>
      </c>
      <c r="B2693" t="s">
        <v>750</v>
      </c>
      <c r="C2693" s="109" t="str">
        <f>IF(ISBLANK(K2693),IFERROR(VLOOKUP(I2693,FS_input_data!$C$458:$N$648,Export!J2693,FALSE),""),K2693)</f>
        <v/>
      </c>
      <c r="D2693" s="102"/>
      <c r="E2693" t="s">
        <v>1561</v>
      </c>
      <c r="F2693" s="102" t="s">
        <v>1806</v>
      </c>
      <c r="G2693" s="102" t="b">
        <f>IF(RP_tax,TRUE,VLOOKUP($I$2664,FS_input_data!$C$458:$N$648,Export!$J$2664,FALSE)="")</f>
        <v>1</v>
      </c>
      <c r="H2693" s="6" t="s">
        <v>2189</v>
      </c>
      <c r="I2693" t="s">
        <v>1561</v>
      </c>
      <c r="J2693" t="s">
        <v>1561</v>
      </c>
      <c r="L2693">
        <f t="shared" si="151"/>
        <v>1</v>
      </c>
    </row>
    <row r="2694" spans="1:12" x14ac:dyDescent="0.35">
      <c r="A2694">
        <f t="shared" si="152"/>
        <v>2693</v>
      </c>
      <c r="B2694" t="s">
        <v>745</v>
      </c>
      <c r="C2694" s="109" t="str">
        <f>IF(ISBLANK(K2694),IFERROR(VLOOKUP(I2694,FS_input_data!$C$458:$N$648,Export!J2694,FALSE),""),K2694)</f>
        <v/>
      </c>
      <c r="D2694" s="102"/>
      <c r="E2694" t="s">
        <v>1561</v>
      </c>
      <c r="F2694" s="102" t="s">
        <v>1806</v>
      </c>
      <c r="G2694" s="102" t="b">
        <f>IF(RP_tax,TRUE,VLOOKUP($I$2664,FS_input_data!$C$458:$N$648,Export!$J$2664,FALSE)="")</f>
        <v>1</v>
      </c>
      <c r="H2694" s="6" t="s">
        <v>2189</v>
      </c>
      <c r="I2694" t="s">
        <v>1561</v>
      </c>
      <c r="J2694" t="s">
        <v>1561</v>
      </c>
      <c r="L2694">
        <f t="shared" si="151"/>
        <v>1</v>
      </c>
    </row>
    <row r="2695" spans="1:12" x14ac:dyDescent="0.35">
      <c r="A2695">
        <f t="shared" si="152"/>
        <v>2694</v>
      </c>
      <c r="B2695" t="s">
        <v>764</v>
      </c>
      <c r="C2695" s="109" t="str">
        <f>IF(ISBLANK(K2695),IFERROR(VLOOKUP(I2695,FS_input_data!$C$458:$N$648,Export!J2695,FALSE),""),K2695)</f>
        <v/>
      </c>
      <c r="D2695" s="102"/>
      <c r="E2695" t="s">
        <v>1561</v>
      </c>
      <c r="F2695" s="102" t="s">
        <v>1806</v>
      </c>
      <c r="G2695" s="102" t="b">
        <f>VLOOKUP($I$2664,FS_input_data!$C$458:$N$648,Export!$J$2664,FALSE)=""</f>
        <v>0</v>
      </c>
      <c r="H2695" s="6" t="s">
        <v>2189</v>
      </c>
      <c r="I2695" t="s">
        <v>1561</v>
      </c>
      <c r="J2695" t="s">
        <v>1561</v>
      </c>
      <c r="L2695">
        <f t="shared" si="151"/>
        <v>1</v>
      </c>
    </row>
    <row r="2696" spans="1:12" x14ac:dyDescent="0.35">
      <c r="A2696">
        <f t="shared" si="152"/>
        <v>2695</v>
      </c>
      <c r="B2696" t="s">
        <v>765</v>
      </c>
      <c r="C2696" s="109" t="str">
        <f>IF(ISBLANK(K2696),IFERROR(VLOOKUP(I2696,FS_input_data!$C$458:$N$648,Export!J2696,FALSE),""),K2696)</f>
        <v/>
      </c>
      <c r="D2696" s="102"/>
      <c r="E2696" t="s">
        <v>1561</v>
      </c>
      <c r="F2696" s="102" t="s">
        <v>1806</v>
      </c>
      <c r="G2696" s="102" t="b">
        <f>VLOOKUP($I$2664,FS_input_data!$C$458:$N$648,Export!$J$2664,FALSE)=""</f>
        <v>0</v>
      </c>
      <c r="H2696" s="6" t="s">
        <v>2189</v>
      </c>
      <c r="I2696" t="s">
        <v>1561</v>
      </c>
      <c r="J2696" t="s">
        <v>1561</v>
      </c>
      <c r="L2696">
        <f t="shared" si="151"/>
        <v>1</v>
      </c>
    </row>
    <row r="2697" spans="1:12" x14ac:dyDescent="0.35">
      <c r="A2697">
        <f t="shared" si="152"/>
        <v>2696</v>
      </c>
      <c r="B2697" t="s">
        <v>752</v>
      </c>
      <c r="C2697" s="109" t="str">
        <f>IF(ISBLANK(K2697),IFERROR(VLOOKUP(I2697,FS_input_data!$C$458:$N$648,Export!J2697,FALSE),""),K2697)</f>
        <v/>
      </c>
      <c r="D2697" s="105"/>
      <c r="E2697" t="s">
        <v>1561</v>
      </c>
      <c r="F2697" s="105" t="s">
        <v>1809</v>
      </c>
      <c r="G2697" s="105" t="b">
        <f>VLOOKUP($I$2698,FS_input_data!$C$458:$N$648,Export!$J$2698,FALSE)=""</f>
        <v>0</v>
      </c>
      <c r="H2697" s="6" t="s">
        <v>2189</v>
      </c>
      <c r="I2697" t="s">
        <v>1561</v>
      </c>
      <c r="J2697" t="s">
        <v>1561</v>
      </c>
      <c r="L2697" s="9" t="e">
        <f t="shared" si="151"/>
        <v>#VALUE!</v>
      </c>
    </row>
    <row r="2698" spans="1:12" x14ac:dyDescent="0.35">
      <c r="A2698" s="9">
        <f t="shared" si="152"/>
        <v>2697</v>
      </c>
      <c r="B2698" t="s">
        <v>101</v>
      </c>
      <c r="C2698" s="109" t="str">
        <f>IF(ISBLANK(K2698),IFERROR(VLOOKUP(I2698,FS_input_data!$C$458:$N$648,Export!J2698,FALSE),""),K2698)</f>
        <v>OB6</v>
      </c>
      <c r="D2698" s="105" t="b">
        <v>1</v>
      </c>
      <c r="E2698" t="s">
        <v>1561</v>
      </c>
      <c r="F2698" s="105" t="s">
        <v>1809</v>
      </c>
      <c r="G2698" s="105" t="b">
        <f>VLOOKUP($I$2698,FS_input_data!$C$458:$N$648,Export!$J$2698,FALSE)=""</f>
        <v>0</v>
      </c>
      <c r="H2698" s="6" t="s">
        <v>2189</v>
      </c>
      <c r="I2698" t="s">
        <v>1809</v>
      </c>
      <c r="J2698">
        <v>6</v>
      </c>
      <c r="L2698" s="9" t="e">
        <f t="shared" si="151"/>
        <v>#VALUE!</v>
      </c>
    </row>
    <row r="2699" spans="1:12" x14ac:dyDescent="0.35">
      <c r="A2699">
        <f t="shared" si="152"/>
        <v>2698</v>
      </c>
      <c r="B2699" t="s">
        <v>102</v>
      </c>
      <c r="C2699" s="109" t="str">
        <f>IF(ISBLANK(K2699),IFERROR(VLOOKUP(I2699,FS_input_data!$C$458:$N$648,Export!J2699,FALSE),""),K2699)</f>
        <v/>
      </c>
      <c r="D2699" s="105"/>
      <c r="E2699" t="s">
        <v>1561</v>
      </c>
      <c r="F2699" s="105" t="s">
        <v>1809</v>
      </c>
      <c r="G2699" s="105" t="b">
        <f>VLOOKUP($I$2698,FS_input_data!$C$458:$N$648,Export!$J$2698,FALSE)=""</f>
        <v>0</v>
      </c>
      <c r="H2699" s="6" t="s">
        <v>2189</v>
      </c>
      <c r="I2699" t="s">
        <v>1561</v>
      </c>
      <c r="J2699" t="s">
        <v>1561</v>
      </c>
      <c r="L2699">
        <f t="shared" si="151"/>
        <v>1</v>
      </c>
    </row>
    <row r="2700" spans="1:12" x14ac:dyDescent="0.35">
      <c r="A2700">
        <f t="shared" si="152"/>
        <v>2699</v>
      </c>
      <c r="B2700" t="s">
        <v>753</v>
      </c>
      <c r="C2700" s="109" t="str">
        <f>IF(ISBLANK(K2700),IFERROR(VLOOKUP(I2700,FS_input_data!$C$458:$N$648,Export!J2700,FALSE),""),K2700)</f>
        <v/>
      </c>
      <c r="D2700" s="105"/>
      <c r="E2700" t="s">
        <v>1561</v>
      </c>
      <c r="F2700" s="105" t="s">
        <v>1809</v>
      </c>
      <c r="G2700" s="105" t="b">
        <f>VLOOKUP($I$2698,FS_input_data!$C$458:$N$648,Export!$J$2698,FALSE)=""</f>
        <v>0</v>
      </c>
      <c r="H2700" s="6" t="s">
        <v>2189</v>
      </c>
      <c r="I2700" t="s">
        <v>1561</v>
      </c>
      <c r="J2700" t="s">
        <v>1561</v>
      </c>
      <c r="L2700" s="9" t="e">
        <f t="shared" si="151"/>
        <v>#VALUE!</v>
      </c>
    </row>
    <row r="2701" spans="1:12" x14ac:dyDescent="0.35">
      <c r="A2701">
        <f t="shared" si="152"/>
        <v>2700</v>
      </c>
      <c r="B2701" t="s">
        <v>742</v>
      </c>
      <c r="C2701" s="109" t="str">
        <f>IF(ISBLANK(K2701),IFERROR(VLOOKUP(I2701,FS_input_data!$C$458:$N$648,Export!J2701,FALSE),""),K2701)</f>
        <v/>
      </c>
      <c r="D2701" s="105"/>
      <c r="E2701" t="s">
        <v>1561</v>
      </c>
      <c r="F2701" s="105" t="s">
        <v>1809</v>
      </c>
      <c r="G2701" s="105" t="b">
        <f>VLOOKUP($I$2698,FS_input_data!$C$458:$N$648,Export!$J$2698,FALSE)=""</f>
        <v>0</v>
      </c>
      <c r="H2701" s="6" t="s">
        <v>2189</v>
      </c>
      <c r="I2701" t="s">
        <v>1561</v>
      </c>
      <c r="J2701" t="s">
        <v>1561</v>
      </c>
      <c r="L2701" s="9" t="e">
        <f t="shared" si="151"/>
        <v>#VALUE!</v>
      </c>
    </row>
    <row r="2702" spans="1:12" x14ac:dyDescent="0.35">
      <c r="A2702">
        <f t="shared" si="152"/>
        <v>2701</v>
      </c>
      <c r="B2702" t="s">
        <v>748</v>
      </c>
      <c r="C2702" s="109" t="str">
        <f>IF(ISBLANK(K2702),IFERROR(VLOOKUP(I2702,FS_input_data!$C$458:$N$648,Export!J2702,FALSE),""),K2702)</f>
        <v/>
      </c>
      <c r="D2702" s="105"/>
      <c r="E2702" t="s">
        <v>1561</v>
      </c>
      <c r="F2702" s="105" t="s">
        <v>1809</v>
      </c>
      <c r="G2702" s="105" t="b">
        <f>VLOOKUP($I$2698,FS_input_data!$C$458:$N$648,Export!$J$2698,FALSE)=""</f>
        <v>0</v>
      </c>
      <c r="H2702" s="6" t="s">
        <v>2189</v>
      </c>
      <c r="I2702" t="s">
        <v>1561</v>
      </c>
      <c r="J2702" t="s">
        <v>1561</v>
      </c>
      <c r="L2702" s="9" t="e">
        <f t="shared" si="151"/>
        <v>#VALUE!</v>
      </c>
    </row>
    <row r="2703" spans="1:12" x14ac:dyDescent="0.35">
      <c r="A2703" s="9">
        <f t="shared" si="152"/>
        <v>2702</v>
      </c>
      <c r="B2703" t="s">
        <v>109</v>
      </c>
      <c r="C2703" s="109">
        <f>IF(ISBLANK(K2703),IFERROR(VLOOKUP(I2703,FS_input_data!$C$458:$N$648,Export!J2703,FALSE),""),K2703)</f>
        <v>6000</v>
      </c>
      <c r="D2703" s="105" t="b">
        <v>1</v>
      </c>
      <c r="E2703" t="s">
        <v>1561</v>
      </c>
      <c r="F2703" s="105" t="s">
        <v>1809</v>
      </c>
      <c r="G2703" s="105" t="b">
        <f>VLOOKUP($I$2698,FS_input_data!$C$458:$N$648,Export!$J$2698,FALSE)=""</f>
        <v>0</v>
      </c>
      <c r="H2703" s="6" t="s">
        <v>2189</v>
      </c>
      <c r="I2703" t="s">
        <v>1809</v>
      </c>
      <c r="J2703">
        <v>7</v>
      </c>
      <c r="L2703" s="9" t="e">
        <f t="shared" si="151"/>
        <v>#VALUE!</v>
      </c>
    </row>
    <row r="2704" spans="1:12" x14ac:dyDescent="0.35">
      <c r="A2704">
        <f t="shared" si="152"/>
        <v>2703</v>
      </c>
      <c r="B2704" t="s">
        <v>110</v>
      </c>
      <c r="C2704" s="109" t="str">
        <f>IF(ISBLANK(K2704),IFERROR(VLOOKUP(I2704,FS_input_data!$C$458:$N$648,Export!J2704,FALSE),""),K2704)</f>
        <v/>
      </c>
      <c r="D2704" s="105"/>
      <c r="E2704" t="s">
        <v>1561</v>
      </c>
      <c r="F2704" s="105" t="s">
        <v>1809</v>
      </c>
      <c r="G2704" s="105" t="b">
        <f>VLOOKUP($I$2698,FS_input_data!$C$458:$N$648,Export!$J$2698,FALSE)=""</f>
        <v>0</v>
      </c>
      <c r="H2704" s="6" t="s">
        <v>2189</v>
      </c>
      <c r="I2704" t="s">
        <v>1561</v>
      </c>
      <c r="J2704" t="s">
        <v>1561</v>
      </c>
      <c r="L2704">
        <f t="shared" si="151"/>
        <v>1</v>
      </c>
    </row>
    <row r="2705" spans="1:12" x14ac:dyDescent="0.35">
      <c r="A2705" s="9">
        <f t="shared" si="152"/>
        <v>2704</v>
      </c>
      <c r="B2705" t="s">
        <v>111</v>
      </c>
      <c r="C2705" s="109">
        <f>IF(ISBLANK(K2705),IFERROR(VLOOKUP(I2705,FS_input_data!$C$458:$N$648,Export!J2705,FALSE),""),K2705)</f>
        <v>3000</v>
      </c>
      <c r="D2705" s="105" t="b">
        <v>0</v>
      </c>
      <c r="E2705" t="s">
        <v>1561</v>
      </c>
      <c r="F2705" s="105" t="s">
        <v>1809</v>
      </c>
      <c r="G2705" s="105" t="b">
        <f>VLOOKUP($I$2698,FS_input_data!$C$458:$N$648,Export!$J$2698,FALSE)=""</f>
        <v>0</v>
      </c>
      <c r="H2705" s="6" t="s">
        <v>2189</v>
      </c>
      <c r="I2705" t="s">
        <v>1809</v>
      </c>
      <c r="J2705">
        <v>8</v>
      </c>
      <c r="L2705" s="9" t="e">
        <f t="shared" si="151"/>
        <v>#VALUE!</v>
      </c>
    </row>
    <row r="2706" spans="1:12" x14ac:dyDescent="0.35">
      <c r="A2706">
        <f t="shared" si="152"/>
        <v>2705</v>
      </c>
      <c r="B2706" t="s">
        <v>112</v>
      </c>
      <c r="C2706" s="109" t="str">
        <f>IF(ISBLANK(K2706),IFERROR(VLOOKUP(I2706,FS_input_data!$C$458:$N$648,Export!J2706,FALSE),""),K2706)</f>
        <v/>
      </c>
      <c r="D2706" s="105"/>
      <c r="E2706" t="s">
        <v>1561</v>
      </c>
      <c r="F2706" s="105" t="s">
        <v>1809</v>
      </c>
      <c r="G2706" s="105" t="b">
        <f>VLOOKUP($I$2698,FS_input_data!$C$458:$N$648,Export!$J$2698,FALSE)=""</f>
        <v>0</v>
      </c>
      <c r="H2706" s="6" t="s">
        <v>2189</v>
      </c>
      <c r="I2706" t="s">
        <v>1561</v>
      </c>
      <c r="J2706" t="s">
        <v>1561</v>
      </c>
      <c r="L2706">
        <f t="shared" si="151"/>
        <v>1</v>
      </c>
    </row>
    <row r="2707" spans="1:12" x14ac:dyDescent="0.35">
      <c r="A2707" s="9">
        <f t="shared" si="152"/>
        <v>2706</v>
      </c>
      <c r="B2707" t="s">
        <v>749</v>
      </c>
      <c r="C2707" s="109">
        <f>IF(ISBLANK(K2707),IFERROR(VLOOKUP(I2707,FS_input_data!$C$458:$N$648,Export!J2707,FALSE),""),K2707)</f>
        <v>3000</v>
      </c>
      <c r="D2707" s="105" t="b">
        <v>0</v>
      </c>
      <c r="E2707" t="s">
        <v>1561</v>
      </c>
      <c r="F2707" s="105" t="s">
        <v>1809</v>
      </c>
      <c r="G2707" s="105" t="b">
        <f>VLOOKUP($I$2698,FS_input_data!$C$458:$N$648,Export!$J$2698,FALSE)=""</f>
        <v>0</v>
      </c>
      <c r="H2707" s="6" t="s">
        <v>2189</v>
      </c>
      <c r="I2707" t="s">
        <v>1809</v>
      </c>
      <c r="J2707">
        <v>9</v>
      </c>
      <c r="L2707" s="9" t="e">
        <f t="shared" si="151"/>
        <v>#VALUE!</v>
      </c>
    </row>
    <row r="2708" spans="1:12" x14ac:dyDescent="0.35">
      <c r="A2708">
        <f t="shared" si="152"/>
        <v>2707</v>
      </c>
      <c r="B2708" t="s">
        <v>750</v>
      </c>
      <c r="C2708" s="109" t="str">
        <f>IF(ISBLANK(K2708),IFERROR(VLOOKUP(I2708,FS_input_data!$C$458:$N$648,Export!J2708,FALSE),""),K2708)</f>
        <v/>
      </c>
      <c r="D2708" s="105"/>
      <c r="E2708" t="s">
        <v>1561</v>
      </c>
      <c r="F2708" s="105" t="s">
        <v>1809</v>
      </c>
      <c r="G2708" s="105" t="b">
        <f>VLOOKUP($I$2698,FS_input_data!$C$458:$N$648,Export!$J$2698,FALSE)=""</f>
        <v>0</v>
      </c>
      <c r="H2708" s="6" t="s">
        <v>2189</v>
      </c>
      <c r="I2708" t="s">
        <v>1561</v>
      </c>
      <c r="J2708" t="s">
        <v>1561</v>
      </c>
      <c r="L2708">
        <f t="shared" si="151"/>
        <v>1</v>
      </c>
    </row>
    <row r="2709" spans="1:12" x14ac:dyDescent="0.35">
      <c r="A2709">
        <f t="shared" si="152"/>
        <v>2708</v>
      </c>
      <c r="B2709" t="s">
        <v>751</v>
      </c>
      <c r="C2709" s="109" t="str">
        <f>IF(ISBLANK(K2709),IFERROR(VLOOKUP(I2709,FS_input_data!$C$458:$N$648,Export!J2709,FALSE),""),K2709)</f>
        <v/>
      </c>
      <c r="D2709" s="105"/>
      <c r="E2709" t="s">
        <v>1561</v>
      </c>
      <c r="F2709" s="105" t="s">
        <v>1809</v>
      </c>
      <c r="G2709" s="105" t="b">
        <f>VLOOKUP($I$2698,FS_input_data!$C$458:$N$648,Export!$J$2698,FALSE)=""</f>
        <v>0</v>
      </c>
      <c r="H2709" s="6" t="s">
        <v>2189</v>
      </c>
      <c r="I2709" t="s">
        <v>1561</v>
      </c>
      <c r="J2709" t="s">
        <v>1561</v>
      </c>
      <c r="L2709">
        <f t="shared" si="151"/>
        <v>1</v>
      </c>
    </row>
    <row r="2710" spans="1:12" x14ac:dyDescent="0.35">
      <c r="A2710">
        <f t="shared" si="152"/>
        <v>2709</v>
      </c>
      <c r="B2710" t="s">
        <v>754</v>
      </c>
      <c r="C2710" s="109" t="str">
        <f>IF(ISBLANK(K2710),IFERROR(VLOOKUP(I2710,FS_input_data!$C$458:$N$648,Export!J2710,FALSE),""),K2710)</f>
        <v/>
      </c>
      <c r="D2710" s="105"/>
      <c r="E2710" t="s">
        <v>1561</v>
      </c>
      <c r="F2710" s="105" t="s">
        <v>1809</v>
      </c>
      <c r="G2710" s="105" t="b">
        <f>VLOOKUP($I$2698,FS_input_data!$C$458:$N$648,Export!$J$2698,FALSE)=""</f>
        <v>0</v>
      </c>
      <c r="H2710" s="6" t="s">
        <v>2189</v>
      </c>
      <c r="I2710" t="s">
        <v>1561</v>
      </c>
      <c r="J2710" t="s">
        <v>1561</v>
      </c>
      <c r="L2710" s="9" t="e">
        <f t="shared" si="151"/>
        <v>#VALUE!</v>
      </c>
    </row>
    <row r="2711" spans="1:12" x14ac:dyDescent="0.35">
      <c r="A2711" s="9">
        <f t="shared" si="152"/>
        <v>2710</v>
      </c>
      <c r="B2711" t="s">
        <v>755</v>
      </c>
      <c r="C2711" s="109">
        <f>IF(ISBLANK(K2711),IFERROR(VLOOKUP(I2711,FS_input_data!$C$458:$N$648,Export!J2711,FALSE),""),K2711)</f>
        <v>6</v>
      </c>
      <c r="D2711" s="105" t="b">
        <v>1</v>
      </c>
      <c r="E2711" t="s">
        <v>1561</v>
      </c>
      <c r="F2711" s="105" t="s">
        <v>1809</v>
      </c>
      <c r="G2711" s="105" t="b">
        <f>VLOOKUP($I$2698,FS_input_data!$C$458:$N$648,Export!$J$2698,FALSE)=""</f>
        <v>0</v>
      </c>
      <c r="H2711" s="6" t="s">
        <v>2189</v>
      </c>
      <c r="I2711" t="s">
        <v>1809</v>
      </c>
      <c r="J2711">
        <v>2</v>
      </c>
      <c r="L2711" s="9" t="e">
        <f t="shared" si="151"/>
        <v>#VALUE!</v>
      </c>
    </row>
    <row r="2712" spans="1:12" x14ac:dyDescent="0.35">
      <c r="A2712">
        <f t="shared" si="152"/>
        <v>2711</v>
      </c>
      <c r="B2712" t="s">
        <v>756</v>
      </c>
      <c r="C2712" s="109" t="str">
        <f>IF(ISBLANK(K2712),IFERROR(VLOOKUP(I2712,FS_input_data!$C$458:$N$648,Export!J2712,FALSE),""),K2712)</f>
        <v/>
      </c>
      <c r="D2712" s="105"/>
      <c r="E2712" t="s">
        <v>1561</v>
      </c>
      <c r="F2712" s="105" t="s">
        <v>1809</v>
      </c>
      <c r="G2712" s="105" t="b">
        <f>VLOOKUP($I$2698,FS_input_data!$C$458:$N$648,Export!$J$2698,FALSE)=""</f>
        <v>0</v>
      </c>
      <c r="H2712" s="6" t="s">
        <v>2189</v>
      </c>
      <c r="I2712" t="s">
        <v>1561</v>
      </c>
      <c r="J2712" t="s">
        <v>1561</v>
      </c>
      <c r="L2712">
        <f t="shared" si="151"/>
        <v>1</v>
      </c>
    </row>
    <row r="2713" spans="1:12" x14ac:dyDescent="0.35">
      <c r="A2713" s="9">
        <f t="shared" si="152"/>
        <v>2712</v>
      </c>
      <c r="B2713" t="s">
        <v>757</v>
      </c>
      <c r="C2713" s="109">
        <f>IF(ISBLANK(K2713),IFERROR(VLOOKUP(I2713,FS_input_data!$C$458:$N$648,Export!J2713,FALSE),""),K2713)</f>
        <v>106</v>
      </c>
      <c r="D2713" s="105" t="b">
        <v>0</v>
      </c>
      <c r="E2713" t="s">
        <v>1561</v>
      </c>
      <c r="F2713" s="105" t="s">
        <v>1809</v>
      </c>
      <c r="G2713" s="105" t="b">
        <f>VLOOKUP($I$2698,FS_input_data!$C$458:$N$648,Export!$J$2698,FALSE)=""</f>
        <v>0</v>
      </c>
      <c r="H2713" s="6" t="s">
        <v>2189</v>
      </c>
      <c r="I2713" t="s">
        <v>1809</v>
      </c>
      <c r="J2713">
        <v>3</v>
      </c>
      <c r="L2713" s="9" t="e">
        <f t="shared" si="151"/>
        <v>#VALUE!</v>
      </c>
    </row>
    <row r="2714" spans="1:12" x14ac:dyDescent="0.35">
      <c r="A2714">
        <f t="shared" si="152"/>
        <v>2713</v>
      </c>
      <c r="B2714" t="s">
        <v>758</v>
      </c>
      <c r="C2714" s="109" t="str">
        <f>IF(ISBLANK(K2714),IFERROR(VLOOKUP(I2714,FS_input_data!$C$458:$N$648,Export!J2714,FALSE),""),K2714)</f>
        <v/>
      </c>
      <c r="D2714" s="105"/>
      <c r="E2714" t="s">
        <v>1561</v>
      </c>
      <c r="F2714" s="105" t="s">
        <v>1809</v>
      </c>
      <c r="G2714" s="105" t="b">
        <f>VLOOKUP($I$2698,FS_input_data!$C$458:$N$648,Export!$J$2698,FALSE)=""</f>
        <v>0</v>
      </c>
      <c r="H2714" s="6" t="s">
        <v>2189</v>
      </c>
      <c r="I2714" t="s">
        <v>1561</v>
      </c>
      <c r="J2714" t="s">
        <v>1561</v>
      </c>
      <c r="L2714">
        <f t="shared" si="151"/>
        <v>1</v>
      </c>
    </row>
    <row r="2715" spans="1:12" x14ac:dyDescent="0.35">
      <c r="A2715" s="9">
        <f t="shared" si="152"/>
        <v>2714</v>
      </c>
      <c r="B2715" t="s">
        <v>759</v>
      </c>
      <c r="C2715" s="109">
        <f>IF(ISBLANK(K2715),IFERROR(VLOOKUP(I2715,FS_input_data!$C$458:$N$648,Export!J2715,FALSE),""),K2715)</f>
        <v>206</v>
      </c>
      <c r="D2715" s="105" t="b">
        <v>0</v>
      </c>
      <c r="E2715" t="s">
        <v>1561</v>
      </c>
      <c r="F2715" s="105" t="s">
        <v>1809</v>
      </c>
      <c r="G2715" s="105" t="b">
        <f>VLOOKUP($I$2698,FS_input_data!$C$458:$N$648,Export!$J$2698,FALSE)=""</f>
        <v>0</v>
      </c>
      <c r="H2715" s="6" t="s">
        <v>2189</v>
      </c>
      <c r="I2715" t="s">
        <v>1809</v>
      </c>
      <c r="J2715">
        <v>4</v>
      </c>
      <c r="L2715" s="9" t="e">
        <f t="shared" si="151"/>
        <v>#VALUE!</v>
      </c>
    </row>
    <row r="2716" spans="1:12" x14ac:dyDescent="0.35">
      <c r="A2716">
        <f t="shared" si="152"/>
        <v>2715</v>
      </c>
      <c r="B2716" t="s">
        <v>760</v>
      </c>
      <c r="C2716" s="109" t="str">
        <f>IF(ISBLANK(K2716),IFERROR(VLOOKUP(I2716,FS_input_data!$C$458:$N$648,Export!J2716,FALSE),""),K2716)</f>
        <v/>
      </c>
      <c r="D2716" s="105"/>
      <c r="E2716" t="s">
        <v>1561</v>
      </c>
      <c r="F2716" s="105" t="s">
        <v>1809</v>
      </c>
      <c r="G2716" s="105" t="b">
        <f>VLOOKUP($I$2698,FS_input_data!$C$458:$N$648,Export!$J$2698,FALSE)=""</f>
        <v>0</v>
      </c>
      <c r="H2716" s="6" t="s">
        <v>2189</v>
      </c>
      <c r="I2716" t="s">
        <v>1561</v>
      </c>
      <c r="J2716" t="s">
        <v>1561</v>
      </c>
      <c r="L2716">
        <f t="shared" si="151"/>
        <v>1</v>
      </c>
    </row>
    <row r="2717" spans="1:12" x14ac:dyDescent="0.35">
      <c r="A2717" s="9">
        <f t="shared" si="152"/>
        <v>2716</v>
      </c>
      <c r="B2717" t="s">
        <v>761</v>
      </c>
      <c r="C2717" s="109" t="str">
        <f>IF(ISBLANK(K2717),IFERROR(VLOOKUP(I2717,FS_input_data!$C$458:$N$648,Export!J2717,FALSE),""),K2717)</f>
        <v>f</v>
      </c>
      <c r="D2717" s="105" t="b">
        <v>0</v>
      </c>
      <c r="E2717" t="s">
        <v>1561</v>
      </c>
      <c r="F2717" s="105" t="s">
        <v>1809</v>
      </c>
      <c r="G2717" s="105" t="b">
        <f>VLOOKUP($I$2698,FS_input_data!$C$458:$N$648,Export!$J$2698,FALSE)=""</f>
        <v>0</v>
      </c>
      <c r="H2717" s="6" t="s">
        <v>2189</v>
      </c>
      <c r="I2717" t="s">
        <v>1809</v>
      </c>
      <c r="J2717">
        <v>5</v>
      </c>
      <c r="L2717" s="9" t="e">
        <f t="shared" si="151"/>
        <v>#VALUE!</v>
      </c>
    </row>
    <row r="2718" spans="1:12" x14ac:dyDescent="0.35">
      <c r="A2718">
        <f t="shared" si="152"/>
        <v>2717</v>
      </c>
      <c r="B2718" t="s">
        <v>762</v>
      </c>
      <c r="C2718" s="109" t="str">
        <f>IF(ISBLANK(K2718),IFERROR(VLOOKUP(I2718,FS_input_data!$C$458:$N$648,Export!J2718,FALSE),""),K2718)</f>
        <v/>
      </c>
      <c r="D2718" s="105"/>
      <c r="E2718" t="s">
        <v>1561</v>
      </c>
      <c r="F2718" s="105" t="s">
        <v>1809</v>
      </c>
      <c r="G2718" s="105" t="b">
        <f>VLOOKUP($I$2698,FS_input_data!$C$458:$N$648,Export!$J$2698,FALSE)=""</f>
        <v>0</v>
      </c>
      <c r="H2718" s="6" t="s">
        <v>2189</v>
      </c>
      <c r="I2718" t="s">
        <v>1561</v>
      </c>
      <c r="J2718" t="s">
        <v>1561</v>
      </c>
      <c r="L2718">
        <f t="shared" si="151"/>
        <v>1</v>
      </c>
    </row>
    <row r="2719" spans="1:12" x14ac:dyDescent="0.35">
      <c r="A2719">
        <f t="shared" si="152"/>
        <v>2718</v>
      </c>
      <c r="B2719" t="s">
        <v>763</v>
      </c>
      <c r="C2719" s="109" t="str">
        <f>IF(ISBLANK(K2719),IFERROR(VLOOKUP(I2719,FS_input_data!$C$458:$N$648,Export!J2719,FALSE),""),K2719)</f>
        <v/>
      </c>
      <c r="D2719" s="105"/>
      <c r="E2719" t="s">
        <v>1561</v>
      </c>
      <c r="F2719" s="105" t="s">
        <v>1809</v>
      </c>
      <c r="G2719" s="105" t="b">
        <f>VLOOKUP($I$2698,FS_input_data!$C$458:$N$648,Export!$J$2698,FALSE)=""</f>
        <v>0</v>
      </c>
      <c r="H2719" s="6" t="s">
        <v>2189</v>
      </c>
      <c r="I2719" t="s">
        <v>1561</v>
      </c>
      <c r="J2719" t="s">
        <v>1561</v>
      </c>
      <c r="L2719">
        <f t="shared" si="151"/>
        <v>1</v>
      </c>
    </row>
    <row r="2720" spans="1:12" x14ac:dyDescent="0.35">
      <c r="A2720">
        <f t="shared" si="152"/>
        <v>2719</v>
      </c>
      <c r="B2720" t="s">
        <v>743</v>
      </c>
      <c r="C2720" s="109" t="str">
        <f>IF(ISBLANK(K2720),IFERROR(VLOOKUP(I2720,FS_input_data!$C$458:$N$648,Export!J2720,FALSE),""),K2720)</f>
        <v/>
      </c>
      <c r="D2720" s="105"/>
      <c r="E2720" t="s">
        <v>1561</v>
      </c>
      <c r="F2720" s="105" t="s">
        <v>1809</v>
      </c>
      <c r="G2720" s="105" t="b">
        <f>VLOOKUP($I$2698,FS_input_data!$C$458:$N$648,Export!$J$2698,FALSE)=""</f>
        <v>0</v>
      </c>
      <c r="H2720" s="6" t="s">
        <v>2189</v>
      </c>
      <c r="I2720" t="s">
        <v>1561</v>
      </c>
      <c r="J2720" t="s">
        <v>1561</v>
      </c>
      <c r="L2720">
        <f t="shared" si="151"/>
        <v>1</v>
      </c>
    </row>
    <row r="2721" spans="1:12" x14ac:dyDescent="0.35">
      <c r="A2721">
        <f t="shared" si="152"/>
        <v>2720</v>
      </c>
      <c r="B2721" t="s">
        <v>744</v>
      </c>
      <c r="C2721" s="109" t="str">
        <f>IF(ISBLANK(K2721),IFERROR(VLOOKUP(I2721,FS_input_data!$C$458:$N$648,Export!J2721,FALSE),""),K2721)</f>
        <v/>
      </c>
      <c r="D2721" s="105"/>
      <c r="E2721" t="s">
        <v>1561</v>
      </c>
      <c r="F2721" s="105" t="s">
        <v>1809</v>
      </c>
      <c r="G2721" s="105" t="b">
        <f>IF(RP_tax,TRUE,VLOOKUP($I$2698,FS_input_data!$C$458:$N$648,Export!$J$2698,FALSE)="")</f>
        <v>1</v>
      </c>
      <c r="H2721" s="6" t="s">
        <v>2189</v>
      </c>
      <c r="I2721" t="s">
        <v>1561</v>
      </c>
      <c r="J2721" t="s">
        <v>1561</v>
      </c>
      <c r="L2721" s="9" t="e">
        <f t="shared" si="151"/>
        <v>#VALUE!</v>
      </c>
    </row>
    <row r="2722" spans="1:12" x14ac:dyDescent="0.35">
      <c r="A2722" s="9">
        <f t="shared" si="152"/>
        <v>2721</v>
      </c>
      <c r="B2722" t="s">
        <v>109</v>
      </c>
      <c r="C2722" s="109">
        <f>IF(ISBLANK(K2722),IFERROR(VLOOKUP(I2722,FS_input_data!$C$458:$N$648,Export!J2722,FALSE),""),K2722)</f>
        <v>6000</v>
      </c>
      <c r="D2722" s="105" t="b">
        <v>0</v>
      </c>
      <c r="E2722" t="s">
        <v>1561</v>
      </c>
      <c r="F2722" s="105" t="s">
        <v>1809</v>
      </c>
      <c r="G2722" s="105" t="b">
        <f>IF(RP_tax,TRUE,VLOOKUP($I$2698,FS_input_data!$C$458:$N$648,Export!$J$2698,FALSE)="")</f>
        <v>1</v>
      </c>
      <c r="H2722" s="6" t="s">
        <v>2189</v>
      </c>
      <c r="I2722" t="s">
        <v>1809</v>
      </c>
      <c r="J2722">
        <v>10</v>
      </c>
      <c r="L2722" s="9" t="e">
        <f t="shared" si="151"/>
        <v>#VALUE!</v>
      </c>
    </row>
    <row r="2723" spans="1:12" x14ac:dyDescent="0.35">
      <c r="A2723">
        <f t="shared" si="152"/>
        <v>2722</v>
      </c>
      <c r="B2723" t="s">
        <v>110</v>
      </c>
      <c r="C2723" s="109" t="str">
        <f>IF(ISBLANK(K2723),IFERROR(VLOOKUP(I2723,FS_input_data!$C$458:$N$648,Export!J2723,FALSE),""),K2723)</f>
        <v/>
      </c>
      <c r="D2723" s="105"/>
      <c r="E2723" t="s">
        <v>1561</v>
      </c>
      <c r="F2723" s="105" t="s">
        <v>1809</v>
      </c>
      <c r="G2723" s="105" t="b">
        <f>IF(RP_tax,TRUE,VLOOKUP($I$2698,FS_input_data!$C$458:$N$648,Export!$J$2698,FALSE)="")</f>
        <v>1</v>
      </c>
      <c r="H2723" s="6" t="s">
        <v>2189</v>
      </c>
      <c r="I2723" t="s">
        <v>1561</v>
      </c>
      <c r="J2723" t="s">
        <v>1561</v>
      </c>
      <c r="L2723">
        <f t="shared" si="151"/>
        <v>1</v>
      </c>
    </row>
    <row r="2724" spans="1:12" x14ac:dyDescent="0.35">
      <c r="A2724" s="9">
        <f t="shared" si="152"/>
        <v>2723</v>
      </c>
      <c r="B2724" t="s">
        <v>111</v>
      </c>
      <c r="C2724" s="109">
        <f>IF(ISBLANK(K2724),IFERROR(VLOOKUP(I2724,FS_input_data!$C$458:$N$648,Export!J2724,FALSE),""),K2724)</f>
        <v>3000</v>
      </c>
      <c r="D2724" s="105" t="b">
        <v>0</v>
      </c>
      <c r="E2724" t="s">
        <v>1561</v>
      </c>
      <c r="F2724" s="105" t="s">
        <v>1809</v>
      </c>
      <c r="G2724" s="105" t="b">
        <f>IF(RP_tax,TRUE,VLOOKUP($I$2698,FS_input_data!$C$458:$N$648,Export!$J$2698,FALSE)="")</f>
        <v>1</v>
      </c>
      <c r="H2724" s="6" t="s">
        <v>2189</v>
      </c>
      <c r="I2724" t="s">
        <v>1809</v>
      </c>
      <c r="J2724">
        <v>11</v>
      </c>
      <c r="L2724" s="9" t="e">
        <f t="shared" si="151"/>
        <v>#VALUE!</v>
      </c>
    </row>
    <row r="2725" spans="1:12" x14ac:dyDescent="0.35">
      <c r="A2725">
        <f t="shared" si="152"/>
        <v>2724</v>
      </c>
      <c r="B2725" t="s">
        <v>112</v>
      </c>
      <c r="C2725" s="109" t="str">
        <f>IF(ISBLANK(K2725),IFERROR(VLOOKUP(I2725,FS_input_data!$C$458:$N$648,Export!J2725,FALSE),""),K2725)</f>
        <v/>
      </c>
      <c r="D2725" s="105"/>
      <c r="E2725" t="s">
        <v>1561</v>
      </c>
      <c r="F2725" s="105" t="s">
        <v>1809</v>
      </c>
      <c r="G2725" s="105" t="b">
        <f>IF(RP_tax,TRUE,VLOOKUP($I$2698,FS_input_data!$C$458:$N$648,Export!$J$2698,FALSE)="")</f>
        <v>1</v>
      </c>
      <c r="H2725" s="6" t="s">
        <v>2189</v>
      </c>
      <c r="I2725" t="s">
        <v>1561</v>
      </c>
      <c r="J2725" t="s">
        <v>1561</v>
      </c>
      <c r="L2725">
        <f t="shared" si="151"/>
        <v>1</v>
      </c>
    </row>
    <row r="2726" spans="1:12" x14ac:dyDescent="0.35">
      <c r="A2726" s="9">
        <f t="shared" si="152"/>
        <v>2725</v>
      </c>
      <c r="B2726" t="s">
        <v>749</v>
      </c>
      <c r="C2726" s="109">
        <f>IF(ISBLANK(K2726),IFERROR(VLOOKUP(I2726,FS_input_data!$C$458:$N$648,Export!J2726,FALSE),""),K2726)</f>
        <v>3000</v>
      </c>
      <c r="D2726" s="105" t="b">
        <v>0</v>
      </c>
      <c r="E2726" t="s">
        <v>1561</v>
      </c>
      <c r="F2726" s="105" t="s">
        <v>1809</v>
      </c>
      <c r="G2726" s="105" t="b">
        <f>IF(RP_tax,TRUE,VLOOKUP($I$2698,FS_input_data!$C$458:$N$648,Export!$J$2698,FALSE)="")</f>
        <v>1</v>
      </c>
      <c r="H2726" s="6" t="s">
        <v>2189</v>
      </c>
      <c r="I2726" t="s">
        <v>1809</v>
      </c>
      <c r="J2726">
        <v>12</v>
      </c>
      <c r="L2726" s="9" t="e">
        <f t="shared" si="151"/>
        <v>#VALUE!</v>
      </c>
    </row>
    <row r="2727" spans="1:12" x14ac:dyDescent="0.35">
      <c r="A2727">
        <f t="shared" si="152"/>
        <v>2726</v>
      </c>
      <c r="B2727" t="s">
        <v>750</v>
      </c>
      <c r="C2727" s="109" t="str">
        <f>IF(ISBLANK(K2727),IFERROR(VLOOKUP(I2727,FS_input_data!$C$458:$N$648,Export!J2727,FALSE),""),K2727)</f>
        <v/>
      </c>
      <c r="D2727" s="105"/>
      <c r="E2727" t="s">
        <v>1561</v>
      </c>
      <c r="F2727" s="105" t="s">
        <v>1809</v>
      </c>
      <c r="G2727" s="105" t="b">
        <f>IF(RP_tax,TRUE,VLOOKUP($I$2698,FS_input_data!$C$458:$N$648,Export!$J$2698,FALSE)="")</f>
        <v>1</v>
      </c>
      <c r="H2727" s="6" t="s">
        <v>2189</v>
      </c>
      <c r="I2727" t="s">
        <v>1561</v>
      </c>
      <c r="J2727" t="s">
        <v>1561</v>
      </c>
      <c r="L2727">
        <f t="shared" si="151"/>
        <v>1</v>
      </c>
    </row>
    <row r="2728" spans="1:12" x14ac:dyDescent="0.35">
      <c r="A2728">
        <f t="shared" si="152"/>
        <v>2727</v>
      </c>
      <c r="B2728" t="s">
        <v>745</v>
      </c>
      <c r="C2728" s="109" t="str">
        <f>IF(ISBLANK(K2728),IFERROR(VLOOKUP(I2728,FS_input_data!$C$458:$N$648,Export!J2728,FALSE),""),K2728)</f>
        <v/>
      </c>
      <c r="D2728" s="105"/>
      <c r="E2728" t="s">
        <v>1561</v>
      </c>
      <c r="F2728" s="105" t="s">
        <v>1809</v>
      </c>
      <c r="G2728" s="105" t="b">
        <f>IF(RP_tax,TRUE,VLOOKUP($I$2698,FS_input_data!$C$458:$N$648,Export!$J$2698,FALSE)="")</f>
        <v>1</v>
      </c>
      <c r="H2728" s="6" t="s">
        <v>2189</v>
      </c>
      <c r="I2728" t="s">
        <v>1561</v>
      </c>
      <c r="J2728" t="s">
        <v>1561</v>
      </c>
      <c r="L2728">
        <f t="shared" si="151"/>
        <v>1</v>
      </c>
    </row>
    <row r="2729" spans="1:12" x14ac:dyDescent="0.35">
      <c r="A2729">
        <f t="shared" si="152"/>
        <v>2728</v>
      </c>
      <c r="B2729" t="s">
        <v>764</v>
      </c>
      <c r="C2729" s="109" t="str">
        <f>IF(ISBLANK(K2729),IFERROR(VLOOKUP(I2729,FS_input_data!$C$458:$N$648,Export!J2729,FALSE),""),K2729)</f>
        <v/>
      </c>
      <c r="D2729" s="105"/>
      <c r="E2729" t="s">
        <v>1561</v>
      </c>
      <c r="F2729" s="105" t="s">
        <v>1809</v>
      </c>
      <c r="G2729" s="105" t="b">
        <f>VLOOKUP($I$2698,FS_input_data!$C$458:$N$648,Export!$J$2698,FALSE)=""</f>
        <v>0</v>
      </c>
      <c r="H2729" s="6" t="s">
        <v>2189</v>
      </c>
      <c r="I2729" t="s">
        <v>1561</v>
      </c>
      <c r="J2729" t="s">
        <v>1561</v>
      </c>
      <c r="L2729">
        <f t="shared" si="151"/>
        <v>1</v>
      </c>
    </row>
    <row r="2730" spans="1:12" x14ac:dyDescent="0.35">
      <c r="A2730">
        <f t="shared" si="152"/>
        <v>2729</v>
      </c>
      <c r="B2730" t="s">
        <v>765</v>
      </c>
      <c r="C2730" s="109" t="str">
        <f>IF(ISBLANK(K2730),IFERROR(VLOOKUP(I2730,FS_input_data!$C$458:$N$648,Export!J2730,FALSE),""),K2730)</f>
        <v/>
      </c>
      <c r="D2730" s="105"/>
      <c r="E2730" t="s">
        <v>1561</v>
      </c>
      <c r="F2730" s="105" t="s">
        <v>1809</v>
      </c>
      <c r="G2730" s="105" t="b">
        <f>VLOOKUP($I$2698,FS_input_data!$C$458:$N$648,Export!$J$2698,FALSE)=""</f>
        <v>0</v>
      </c>
      <c r="H2730" s="6" t="s">
        <v>2189</v>
      </c>
      <c r="I2730" t="s">
        <v>1561</v>
      </c>
      <c r="J2730" t="s">
        <v>1561</v>
      </c>
      <c r="L2730">
        <f t="shared" si="151"/>
        <v>1</v>
      </c>
    </row>
    <row r="2731" spans="1:12" x14ac:dyDescent="0.35">
      <c r="A2731">
        <f t="shared" si="152"/>
        <v>2730</v>
      </c>
      <c r="B2731" t="s">
        <v>752</v>
      </c>
      <c r="C2731" s="109" t="str">
        <f>IF(ISBLANK(K2731),IFERROR(VLOOKUP(I2731,FS_input_data!$C$458:$N$648,Export!J2731,FALSE),""),K2731)</f>
        <v/>
      </c>
      <c r="D2731" s="102"/>
      <c r="E2731" t="s">
        <v>1561</v>
      </c>
      <c r="F2731" s="102" t="s">
        <v>1812</v>
      </c>
      <c r="G2731" s="102" t="b">
        <f>VLOOKUP($I$2732,FS_input_data!$C$458:$N$648,Export!$J$2732,FALSE)=""</f>
        <v>0</v>
      </c>
      <c r="H2731" s="6" t="s">
        <v>2189</v>
      </c>
      <c r="I2731" t="s">
        <v>1561</v>
      </c>
      <c r="J2731" t="s">
        <v>1561</v>
      </c>
      <c r="L2731" s="9" t="e">
        <f>FIND("/",B2731)</f>
        <v>#VALUE!</v>
      </c>
    </row>
    <row r="2732" spans="1:12" x14ac:dyDescent="0.35">
      <c r="A2732" s="9">
        <f t="shared" si="152"/>
        <v>2731</v>
      </c>
      <c r="B2732" t="s">
        <v>101</v>
      </c>
      <c r="C2732" s="109" t="str">
        <f>IF(ISBLANK(K2732),IFERROR(VLOOKUP(I2732,FS_input_data!$C$458:$N$648,Export!J2732,FALSE),""),K2732)</f>
        <v>OB7</v>
      </c>
      <c r="D2732" s="102" t="b">
        <v>1</v>
      </c>
      <c r="E2732" t="s">
        <v>1561</v>
      </c>
      <c r="F2732" s="102" t="s">
        <v>1812</v>
      </c>
      <c r="G2732" s="102" t="b">
        <f>VLOOKUP($I$2732,FS_input_data!$C$458:$N$648,Export!$J$2732,FALSE)=""</f>
        <v>0</v>
      </c>
      <c r="H2732" s="6" t="s">
        <v>2189</v>
      </c>
      <c r="I2732" t="s">
        <v>1812</v>
      </c>
      <c r="J2732">
        <v>6</v>
      </c>
      <c r="L2732" s="9" t="e">
        <f t="shared" si="151"/>
        <v>#VALUE!</v>
      </c>
    </row>
    <row r="2733" spans="1:12" x14ac:dyDescent="0.35">
      <c r="A2733">
        <f t="shared" si="152"/>
        <v>2732</v>
      </c>
      <c r="B2733" t="s">
        <v>102</v>
      </c>
      <c r="C2733" s="109" t="str">
        <f>IF(ISBLANK(K2733),IFERROR(VLOOKUP(I2733,FS_input_data!$C$458:$N$648,Export!J2733,FALSE),""),K2733)</f>
        <v/>
      </c>
      <c r="D2733" s="102"/>
      <c r="E2733" t="s">
        <v>1561</v>
      </c>
      <c r="F2733" s="102" t="s">
        <v>1812</v>
      </c>
      <c r="G2733" s="102" t="b">
        <f>VLOOKUP($I$2732,FS_input_data!$C$458:$N$648,Export!$J$2732,FALSE)=""</f>
        <v>0</v>
      </c>
      <c r="H2733" s="6" t="s">
        <v>2189</v>
      </c>
      <c r="I2733" t="s">
        <v>1561</v>
      </c>
      <c r="J2733" t="s">
        <v>1561</v>
      </c>
      <c r="L2733">
        <f t="shared" si="151"/>
        <v>1</v>
      </c>
    </row>
    <row r="2734" spans="1:12" x14ac:dyDescent="0.35">
      <c r="A2734">
        <f t="shared" si="152"/>
        <v>2733</v>
      </c>
      <c r="B2734" t="s">
        <v>753</v>
      </c>
      <c r="C2734" s="109" t="str">
        <f>IF(ISBLANK(K2734),IFERROR(VLOOKUP(I2734,FS_input_data!$C$458:$N$648,Export!J2734,FALSE),""),K2734)</f>
        <v/>
      </c>
      <c r="D2734" s="102"/>
      <c r="E2734" t="s">
        <v>1561</v>
      </c>
      <c r="F2734" s="102" t="s">
        <v>1812</v>
      </c>
      <c r="G2734" s="102" t="b">
        <f>VLOOKUP($I$2732,FS_input_data!$C$458:$N$648,Export!$J$2732,FALSE)=""</f>
        <v>0</v>
      </c>
      <c r="H2734" s="6" t="s">
        <v>2189</v>
      </c>
      <c r="I2734" t="s">
        <v>1561</v>
      </c>
      <c r="J2734" t="s">
        <v>1561</v>
      </c>
      <c r="L2734" s="9" t="e">
        <f t="shared" si="151"/>
        <v>#VALUE!</v>
      </c>
    </row>
    <row r="2735" spans="1:12" x14ac:dyDescent="0.35">
      <c r="A2735">
        <f t="shared" si="152"/>
        <v>2734</v>
      </c>
      <c r="B2735" t="s">
        <v>742</v>
      </c>
      <c r="C2735" s="109" t="str">
        <f>IF(ISBLANK(K2735),IFERROR(VLOOKUP(I2735,FS_input_data!$C$458:$N$648,Export!J2735,FALSE),""),K2735)</f>
        <v/>
      </c>
      <c r="D2735" s="102"/>
      <c r="E2735" t="s">
        <v>1561</v>
      </c>
      <c r="F2735" s="102" t="s">
        <v>1812</v>
      </c>
      <c r="G2735" s="102" t="b">
        <f>VLOOKUP($I$2732,FS_input_data!$C$458:$N$648,Export!$J$2732,FALSE)=""</f>
        <v>0</v>
      </c>
      <c r="H2735" s="6" t="s">
        <v>2189</v>
      </c>
      <c r="I2735" t="s">
        <v>1561</v>
      </c>
      <c r="J2735" t="s">
        <v>1561</v>
      </c>
      <c r="L2735" s="9" t="e">
        <f t="shared" si="151"/>
        <v>#VALUE!</v>
      </c>
    </row>
    <row r="2736" spans="1:12" x14ac:dyDescent="0.35">
      <c r="A2736">
        <f t="shared" si="152"/>
        <v>2735</v>
      </c>
      <c r="B2736" t="s">
        <v>748</v>
      </c>
      <c r="C2736" s="109" t="str">
        <f>IF(ISBLANK(K2736),IFERROR(VLOOKUP(I2736,FS_input_data!$C$458:$N$648,Export!J2736,FALSE),""),K2736)</f>
        <v/>
      </c>
      <c r="D2736" s="102"/>
      <c r="E2736" t="s">
        <v>1561</v>
      </c>
      <c r="F2736" s="102" t="s">
        <v>1812</v>
      </c>
      <c r="G2736" s="102" t="b">
        <f>VLOOKUP($I$2732,FS_input_data!$C$458:$N$648,Export!$J$2732,FALSE)=""</f>
        <v>0</v>
      </c>
      <c r="H2736" s="6" t="s">
        <v>2189</v>
      </c>
      <c r="I2736" t="s">
        <v>1561</v>
      </c>
      <c r="J2736" t="s">
        <v>1561</v>
      </c>
      <c r="L2736" s="9" t="e">
        <f t="shared" si="151"/>
        <v>#VALUE!</v>
      </c>
    </row>
    <row r="2737" spans="1:12" x14ac:dyDescent="0.35">
      <c r="A2737" s="9">
        <f t="shared" si="152"/>
        <v>2736</v>
      </c>
      <c r="B2737" t="s">
        <v>109</v>
      </c>
      <c r="C2737" s="109">
        <f>IF(ISBLANK(K2737),IFERROR(VLOOKUP(I2737,FS_input_data!$C$458:$N$648,Export!J2737,FALSE),""),K2737)</f>
        <v>7000</v>
      </c>
      <c r="D2737" s="102" t="b">
        <v>1</v>
      </c>
      <c r="E2737" t="s">
        <v>1561</v>
      </c>
      <c r="F2737" s="102" t="s">
        <v>1812</v>
      </c>
      <c r="G2737" s="102" t="b">
        <f>VLOOKUP($I$2732,FS_input_data!$C$458:$N$648,Export!$J$2732,FALSE)=""</f>
        <v>0</v>
      </c>
      <c r="H2737" s="6" t="s">
        <v>2189</v>
      </c>
      <c r="I2737" t="s">
        <v>1812</v>
      </c>
      <c r="J2737">
        <v>7</v>
      </c>
      <c r="L2737" s="9" t="e">
        <f t="shared" si="151"/>
        <v>#VALUE!</v>
      </c>
    </row>
    <row r="2738" spans="1:12" x14ac:dyDescent="0.35">
      <c r="A2738">
        <f t="shared" si="152"/>
        <v>2737</v>
      </c>
      <c r="B2738" t="s">
        <v>110</v>
      </c>
      <c r="C2738" s="109" t="str">
        <f>IF(ISBLANK(K2738),IFERROR(VLOOKUP(I2738,FS_input_data!$C$458:$N$648,Export!J2738,FALSE),""),K2738)</f>
        <v/>
      </c>
      <c r="D2738" s="102"/>
      <c r="E2738" t="s">
        <v>1561</v>
      </c>
      <c r="F2738" s="102" t="s">
        <v>1812</v>
      </c>
      <c r="G2738" s="102" t="b">
        <f>VLOOKUP($I$2732,FS_input_data!$C$458:$N$648,Export!$J$2732,FALSE)=""</f>
        <v>0</v>
      </c>
      <c r="H2738" s="6" t="s">
        <v>2189</v>
      </c>
      <c r="I2738" t="s">
        <v>1561</v>
      </c>
      <c r="J2738" t="s">
        <v>1561</v>
      </c>
      <c r="L2738">
        <f t="shared" si="151"/>
        <v>1</v>
      </c>
    </row>
    <row r="2739" spans="1:12" x14ac:dyDescent="0.35">
      <c r="A2739" s="9">
        <f t="shared" si="152"/>
        <v>2738</v>
      </c>
      <c r="B2739" t="s">
        <v>111</v>
      </c>
      <c r="C2739" s="109">
        <f>IF(ISBLANK(K2739),IFERROR(VLOOKUP(I2739,FS_input_data!$C$458:$N$648,Export!J2739,FALSE),""),K2739)</f>
        <v>3500</v>
      </c>
      <c r="D2739" s="102" t="b">
        <v>0</v>
      </c>
      <c r="E2739" t="s">
        <v>1561</v>
      </c>
      <c r="F2739" s="102" t="s">
        <v>1812</v>
      </c>
      <c r="G2739" s="102" t="b">
        <f>VLOOKUP($I$2732,FS_input_data!$C$458:$N$648,Export!$J$2732,FALSE)=""</f>
        <v>0</v>
      </c>
      <c r="H2739" s="6" t="s">
        <v>2189</v>
      </c>
      <c r="I2739" t="s">
        <v>1812</v>
      </c>
      <c r="J2739">
        <v>8</v>
      </c>
      <c r="L2739" s="9" t="e">
        <f t="shared" si="151"/>
        <v>#VALUE!</v>
      </c>
    </row>
    <row r="2740" spans="1:12" x14ac:dyDescent="0.35">
      <c r="A2740">
        <f t="shared" si="152"/>
        <v>2739</v>
      </c>
      <c r="B2740" t="s">
        <v>112</v>
      </c>
      <c r="C2740" s="109" t="str">
        <f>IF(ISBLANK(K2740),IFERROR(VLOOKUP(I2740,FS_input_data!$C$458:$N$648,Export!J2740,FALSE),""),K2740)</f>
        <v/>
      </c>
      <c r="D2740" s="102"/>
      <c r="E2740" t="s">
        <v>1561</v>
      </c>
      <c r="F2740" s="102" t="s">
        <v>1812</v>
      </c>
      <c r="G2740" s="102" t="b">
        <f>VLOOKUP($I$2732,FS_input_data!$C$458:$N$648,Export!$J$2732,FALSE)=""</f>
        <v>0</v>
      </c>
      <c r="H2740" s="6" t="s">
        <v>2189</v>
      </c>
      <c r="I2740" t="s">
        <v>1561</v>
      </c>
      <c r="J2740" t="s">
        <v>1561</v>
      </c>
      <c r="L2740">
        <f t="shared" si="151"/>
        <v>1</v>
      </c>
    </row>
    <row r="2741" spans="1:12" x14ac:dyDescent="0.35">
      <c r="A2741" s="9">
        <f t="shared" si="152"/>
        <v>2740</v>
      </c>
      <c r="B2741" t="s">
        <v>749</v>
      </c>
      <c r="C2741" s="109">
        <f>IF(ISBLANK(K2741),IFERROR(VLOOKUP(I2741,FS_input_data!$C$458:$N$648,Export!J2741,FALSE),""),K2741)</f>
        <v>3500</v>
      </c>
      <c r="D2741" s="102" t="b">
        <v>0</v>
      </c>
      <c r="E2741" t="s">
        <v>1561</v>
      </c>
      <c r="F2741" s="102" t="s">
        <v>1812</v>
      </c>
      <c r="G2741" s="102" t="b">
        <f>VLOOKUP($I$2732,FS_input_data!$C$458:$N$648,Export!$J$2732,FALSE)=""</f>
        <v>0</v>
      </c>
      <c r="H2741" s="6" t="s">
        <v>2189</v>
      </c>
      <c r="I2741" t="s">
        <v>1812</v>
      </c>
      <c r="J2741">
        <v>9</v>
      </c>
      <c r="L2741" s="9" t="e">
        <f t="shared" si="151"/>
        <v>#VALUE!</v>
      </c>
    </row>
    <row r="2742" spans="1:12" x14ac:dyDescent="0.35">
      <c r="A2742">
        <f t="shared" si="152"/>
        <v>2741</v>
      </c>
      <c r="B2742" t="s">
        <v>750</v>
      </c>
      <c r="C2742" s="109" t="str">
        <f>IF(ISBLANK(K2742),IFERROR(VLOOKUP(I2742,FS_input_data!$C$458:$N$648,Export!J2742,FALSE),""),K2742)</f>
        <v/>
      </c>
      <c r="D2742" s="102"/>
      <c r="E2742" t="s">
        <v>1561</v>
      </c>
      <c r="F2742" s="102" t="s">
        <v>1812</v>
      </c>
      <c r="G2742" s="102" t="b">
        <f>VLOOKUP($I$2732,FS_input_data!$C$458:$N$648,Export!$J$2732,FALSE)=""</f>
        <v>0</v>
      </c>
      <c r="H2742" s="6" t="s">
        <v>2189</v>
      </c>
      <c r="I2742" t="s">
        <v>1561</v>
      </c>
      <c r="J2742" t="s">
        <v>1561</v>
      </c>
      <c r="L2742">
        <f t="shared" si="151"/>
        <v>1</v>
      </c>
    </row>
    <row r="2743" spans="1:12" x14ac:dyDescent="0.35">
      <c r="A2743">
        <f t="shared" si="152"/>
        <v>2742</v>
      </c>
      <c r="B2743" t="s">
        <v>751</v>
      </c>
      <c r="C2743" s="109" t="str">
        <f>IF(ISBLANK(K2743),IFERROR(VLOOKUP(I2743,FS_input_data!$C$458:$N$648,Export!J2743,FALSE),""),K2743)</f>
        <v/>
      </c>
      <c r="D2743" s="102"/>
      <c r="E2743" t="s">
        <v>1561</v>
      </c>
      <c r="F2743" s="102" t="s">
        <v>1812</v>
      </c>
      <c r="G2743" s="102" t="b">
        <f>VLOOKUP($I$2732,FS_input_data!$C$458:$N$648,Export!$J$2732,FALSE)=""</f>
        <v>0</v>
      </c>
      <c r="H2743" s="6" t="s">
        <v>2189</v>
      </c>
      <c r="I2743" t="s">
        <v>1561</v>
      </c>
      <c r="J2743" t="s">
        <v>1561</v>
      </c>
      <c r="L2743">
        <f t="shared" si="151"/>
        <v>1</v>
      </c>
    </row>
    <row r="2744" spans="1:12" x14ac:dyDescent="0.35">
      <c r="A2744">
        <f t="shared" si="152"/>
        <v>2743</v>
      </c>
      <c r="B2744" t="s">
        <v>754</v>
      </c>
      <c r="C2744" s="109" t="str">
        <f>IF(ISBLANK(K2744),IFERROR(VLOOKUP(I2744,FS_input_data!$C$458:$N$648,Export!J2744,FALSE),""),K2744)</f>
        <v/>
      </c>
      <c r="D2744" s="102"/>
      <c r="E2744" t="s">
        <v>1561</v>
      </c>
      <c r="F2744" s="102" t="s">
        <v>1812</v>
      </c>
      <c r="G2744" s="102" t="b">
        <f>VLOOKUP($I$2732,FS_input_data!$C$458:$N$648,Export!$J$2732,FALSE)=""</f>
        <v>0</v>
      </c>
      <c r="H2744" s="6" t="s">
        <v>2189</v>
      </c>
      <c r="I2744" t="s">
        <v>1561</v>
      </c>
      <c r="J2744" t="s">
        <v>1561</v>
      </c>
      <c r="L2744" s="9" t="e">
        <f t="shared" si="151"/>
        <v>#VALUE!</v>
      </c>
    </row>
    <row r="2745" spans="1:12" x14ac:dyDescent="0.35">
      <c r="A2745" s="9">
        <f t="shared" si="152"/>
        <v>2744</v>
      </c>
      <c r="B2745" t="s">
        <v>755</v>
      </c>
      <c r="C2745" s="109">
        <f>IF(ISBLANK(K2745),IFERROR(VLOOKUP(I2745,FS_input_data!$C$458:$N$648,Export!J2745,FALSE),""),K2745)</f>
        <v>7</v>
      </c>
      <c r="D2745" s="102" t="b">
        <v>1</v>
      </c>
      <c r="E2745" t="s">
        <v>1561</v>
      </c>
      <c r="F2745" s="102" t="s">
        <v>1812</v>
      </c>
      <c r="G2745" s="102" t="b">
        <f>VLOOKUP($I$2732,FS_input_data!$C$458:$N$648,Export!$J$2732,FALSE)=""</f>
        <v>0</v>
      </c>
      <c r="H2745" s="6" t="s">
        <v>2189</v>
      </c>
      <c r="I2745" t="s">
        <v>1812</v>
      </c>
      <c r="J2745">
        <v>2</v>
      </c>
      <c r="L2745" s="9" t="e">
        <f t="shared" si="151"/>
        <v>#VALUE!</v>
      </c>
    </row>
    <row r="2746" spans="1:12" x14ac:dyDescent="0.35">
      <c r="A2746">
        <f t="shared" si="152"/>
        <v>2745</v>
      </c>
      <c r="B2746" t="s">
        <v>756</v>
      </c>
      <c r="C2746" s="109" t="str">
        <f>IF(ISBLANK(K2746),IFERROR(VLOOKUP(I2746,FS_input_data!$C$458:$N$648,Export!J2746,FALSE),""),K2746)</f>
        <v/>
      </c>
      <c r="D2746" s="102"/>
      <c r="E2746" t="s">
        <v>1561</v>
      </c>
      <c r="F2746" s="102" t="s">
        <v>1812</v>
      </c>
      <c r="G2746" s="102" t="b">
        <f>VLOOKUP($I$2732,FS_input_data!$C$458:$N$648,Export!$J$2732,FALSE)=""</f>
        <v>0</v>
      </c>
      <c r="H2746" s="6" t="s">
        <v>2189</v>
      </c>
      <c r="I2746" t="s">
        <v>1561</v>
      </c>
      <c r="J2746" t="s">
        <v>1561</v>
      </c>
      <c r="L2746">
        <f t="shared" si="151"/>
        <v>1</v>
      </c>
    </row>
    <row r="2747" spans="1:12" x14ac:dyDescent="0.35">
      <c r="A2747" s="9">
        <f t="shared" si="152"/>
        <v>2746</v>
      </c>
      <c r="B2747" t="s">
        <v>757</v>
      </c>
      <c r="C2747" s="109">
        <f>IF(ISBLANK(K2747),IFERROR(VLOOKUP(I2747,FS_input_data!$C$458:$N$648,Export!J2747,FALSE),""),K2747)</f>
        <v>107</v>
      </c>
      <c r="D2747" s="102" t="b">
        <v>0</v>
      </c>
      <c r="E2747" t="s">
        <v>1561</v>
      </c>
      <c r="F2747" s="102" t="s">
        <v>1812</v>
      </c>
      <c r="G2747" s="102" t="b">
        <f>VLOOKUP($I$2732,FS_input_data!$C$458:$N$648,Export!$J$2732,FALSE)=""</f>
        <v>0</v>
      </c>
      <c r="H2747" s="6" t="s">
        <v>2189</v>
      </c>
      <c r="I2747" t="s">
        <v>1812</v>
      </c>
      <c r="J2747">
        <v>3</v>
      </c>
      <c r="L2747" s="9" t="e">
        <f t="shared" si="151"/>
        <v>#VALUE!</v>
      </c>
    </row>
    <row r="2748" spans="1:12" x14ac:dyDescent="0.35">
      <c r="A2748">
        <f t="shared" si="152"/>
        <v>2747</v>
      </c>
      <c r="B2748" t="s">
        <v>758</v>
      </c>
      <c r="C2748" s="109" t="str">
        <f>IF(ISBLANK(K2748),IFERROR(VLOOKUP(I2748,FS_input_data!$C$458:$N$648,Export!J2748,FALSE),""),K2748)</f>
        <v/>
      </c>
      <c r="D2748" s="102"/>
      <c r="E2748" t="s">
        <v>1561</v>
      </c>
      <c r="F2748" s="102" t="s">
        <v>1812</v>
      </c>
      <c r="G2748" s="102" t="b">
        <f>VLOOKUP($I$2732,FS_input_data!$C$458:$N$648,Export!$J$2732,FALSE)=""</f>
        <v>0</v>
      </c>
      <c r="H2748" s="6" t="s">
        <v>2189</v>
      </c>
      <c r="I2748" t="s">
        <v>1561</v>
      </c>
      <c r="J2748" t="s">
        <v>1561</v>
      </c>
      <c r="L2748">
        <f t="shared" si="151"/>
        <v>1</v>
      </c>
    </row>
    <row r="2749" spans="1:12" x14ac:dyDescent="0.35">
      <c r="A2749" s="9">
        <f t="shared" si="152"/>
        <v>2748</v>
      </c>
      <c r="B2749" t="s">
        <v>759</v>
      </c>
      <c r="C2749" s="109">
        <f>IF(ISBLANK(K2749),IFERROR(VLOOKUP(I2749,FS_input_data!$C$458:$N$648,Export!J2749,FALSE),""),K2749)</f>
        <v>207</v>
      </c>
      <c r="D2749" s="102" t="b">
        <v>0</v>
      </c>
      <c r="E2749" t="s">
        <v>1561</v>
      </c>
      <c r="F2749" s="102" t="s">
        <v>1812</v>
      </c>
      <c r="G2749" s="102" t="b">
        <f>VLOOKUP($I$2732,FS_input_data!$C$458:$N$648,Export!$J$2732,FALSE)=""</f>
        <v>0</v>
      </c>
      <c r="H2749" s="6" t="s">
        <v>2189</v>
      </c>
      <c r="I2749" t="s">
        <v>1812</v>
      </c>
      <c r="J2749">
        <v>4</v>
      </c>
      <c r="L2749" s="9" t="e">
        <f t="shared" si="151"/>
        <v>#VALUE!</v>
      </c>
    </row>
    <row r="2750" spans="1:12" x14ac:dyDescent="0.35">
      <c r="A2750">
        <f t="shared" si="152"/>
        <v>2749</v>
      </c>
      <c r="B2750" t="s">
        <v>760</v>
      </c>
      <c r="C2750" s="109" t="str">
        <f>IF(ISBLANK(K2750),IFERROR(VLOOKUP(I2750,FS_input_data!$C$458:$N$648,Export!J2750,FALSE),""),K2750)</f>
        <v/>
      </c>
      <c r="D2750" s="102"/>
      <c r="E2750" t="s">
        <v>1561</v>
      </c>
      <c r="F2750" s="102" t="s">
        <v>1812</v>
      </c>
      <c r="G2750" s="102" t="b">
        <f>VLOOKUP($I$2732,FS_input_data!$C$458:$N$648,Export!$J$2732,FALSE)=""</f>
        <v>0</v>
      </c>
      <c r="H2750" s="6" t="s">
        <v>2189</v>
      </c>
      <c r="I2750" t="s">
        <v>1561</v>
      </c>
      <c r="J2750" t="s">
        <v>1561</v>
      </c>
      <c r="L2750">
        <f t="shared" si="151"/>
        <v>1</v>
      </c>
    </row>
    <row r="2751" spans="1:12" x14ac:dyDescent="0.35">
      <c r="A2751" s="9">
        <f t="shared" si="152"/>
        <v>2750</v>
      </c>
      <c r="B2751" t="s">
        <v>761</v>
      </c>
      <c r="C2751" s="109" t="str">
        <f>IF(ISBLANK(K2751),IFERROR(VLOOKUP(I2751,FS_input_data!$C$458:$N$648,Export!J2751,FALSE),""),K2751)</f>
        <v>g</v>
      </c>
      <c r="D2751" s="102" t="b">
        <v>0</v>
      </c>
      <c r="E2751" t="s">
        <v>1561</v>
      </c>
      <c r="F2751" s="102" t="s">
        <v>1812</v>
      </c>
      <c r="G2751" s="102" t="b">
        <f>VLOOKUP($I$2732,FS_input_data!$C$458:$N$648,Export!$J$2732,FALSE)=""</f>
        <v>0</v>
      </c>
      <c r="H2751" s="6" t="s">
        <v>2189</v>
      </c>
      <c r="I2751" t="s">
        <v>1812</v>
      </c>
      <c r="J2751">
        <v>5</v>
      </c>
      <c r="L2751" s="9" t="e">
        <f t="shared" si="151"/>
        <v>#VALUE!</v>
      </c>
    </row>
    <row r="2752" spans="1:12" x14ac:dyDescent="0.35">
      <c r="A2752">
        <f t="shared" si="152"/>
        <v>2751</v>
      </c>
      <c r="B2752" t="s">
        <v>762</v>
      </c>
      <c r="C2752" s="109" t="str">
        <f>IF(ISBLANK(K2752),IFERROR(VLOOKUP(I2752,FS_input_data!$C$458:$N$648,Export!J2752,FALSE),""),K2752)</f>
        <v/>
      </c>
      <c r="D2752" s="102"/>
      <c r="E2752" t="s">
        <v>1561</v>
      </c>
      <c r="F2752" s="102" t="s">
        <v>1812</v>
      </c>
      <c r="G2752" s="102" t="b">
        <f>VLOOKUP($I$2732,FS_input_data!$C$458:$N$648,Export!$J$2732,FALSE)=""</f>
        <v>0</v>
      </c>
      <c r="H2752" s="6" t="s">
        <v>2189</v>
      </c>
      <c r="I2752" t="s">
        <v>1561</v>
      </c>
      <c r="J2752" t="s">
        <v>1561</v>
      </c>
      <c r="L2752">
        <f t="shared" si="151"/>
        <v>1</v>
      </c>
    </row>
    <row r="2753" spans="1:12" x14ac:dyDescent="0.35">
      <c r="A2753">
        <f t="shared" si="152"/>
        <v>2752</v>
      </c>
      <c r="B2753" t="s">
        <v>763</v>
      </c>
      <c r="C2753" s="109" t="str">
        <f>IF(ISBLANK(K2753),IFERROR(VLOOKUP(I2753,FS_input_data!$C$458:$N$648,Export!J2753,FALSE),""),K2753)</f>
        <v/>
      </c>
      <c r="D2753" s="102"/>
      <c r="E2753" t="s">
        <v>1561</v>
      </c>
      <c r="F2753" s="102" t="s">
        <v>1812</v>
      </c>
      <c r="G2753" s="102" t="b">
        <f>VLOOKUP($I$2732,FS_input_data!$C$458:$N$648,Export!$J$2732,FALSE)=""</f>
        <v>0</v>
      </c>
      <c r="H2753" s="6" t="s">
        <v>2189</v>
      </c>
      <c r="I2753" t="s">
        <v>1561</v>
      </c>
      <c r="J2753" t="s">
        <v>1561</v>
      </c>
      <c r="L2753">
        <f t="shared" si="151"/>
        <v>1</v>
      </c>
    </row>
    <row r="2754" spans="1:12" x14ac:dyDescent="0.35">
      <c r="A2754">
        <f t="shared" si="152"/>
        <v>2753</v>
      </c>
      <c r="B2754" t="s">
        <v>743</v>
      </c>
      <c r="C2754" s="109" t="str">
        <f>IF(ISBLANK(K2754),IFERROR(VLOOKUP(I2754,FS_input_data!$C$458:$N$648,Export!J2754,FALSE),""),K2754)</f>
        <v/>
      </c>
      <c r="D2754" s="102"/>
      <c r="E2754" t="s">
        <v>1561</v>
      </c>
      <c r="F2754" s="102" t="s">
        <v>1812</v>
      </c>
      <c r="G2754" s="102" t="b">
        <f>VLOOKUP($I$2732,FS_input_data!$C$458:$N$648,Export!$J$2732,FALSE)=""</f>
        <v>0</v>
      </c>
      <c r="H2754" s="6" t="s">
        <v>2189</v>
      </c>
      <c r="I2754" t="s">
        <v>1561</v>
      </c>
      <c r="J2754" t="s">
        <v>1561</v>
      </c>
      <c r="L2754">
        <f t="shared" ref="L2754:L2817" si="153">FIND("/",B2754)</f>
        <v>1</v>
      </c>
    </row>
    <row r="2755" spans="1:12" x14ac:dyDescent="0.35">
      <c r="A2755">
        <f t="shared" ref="A2755:A2818" si="154">A2754+1</f>
        <v>2754</v>
      </c>
      <c r="B2755" t="s">
        <v>744</v>
      </c>
      <c r="C2755" s="109" t="str">
        <f>IF(ISBLANK(K2755),IFERROR(VLOOKUP(I2755,FS_input_data!$C$458:$N$648,Export!J2755,FALSE),""),K2755)</f>
        <v/>
      </c>
      <c r="D2755" s="102"/>
      <c r="E2755" t="s">
        <v>1561</v>
      </c>
      <c r="F2755" s="102" t="s">
        <v>1812</v>
      </c>
      <c r="G2755" s="102" t="b">
        <f>IF(RP_tax,TRUE,VLOOKUP($I$2732,FS_input_data!$C$458:$N$648,Export!$J$2732,FALSE)="")</f>
        <v>1</v>
      </c>
      <c r="H2755" s="6" t="s">
        <v>2189</v>
      </c>
      <c r="I2755" t="s">
        <v>1561</v>
      </c>
      <c r="J2755" t="s">
        <v>1561</v>
      </c>
      <c r="L2755" s="9" t="e">
        <f t="shared" si="153"/>
        <v>#VALUE!</v>
      </c>
    </row>
    <row r="2756" spans="1:12" x14ac:dyDescent="0.35">
      <c r="A2756" s="9">
        <f t="shared" si="154"/>
        <v>2755</v>
      </c>
      <c r="B2756" t="s">
        <v>109</v>
      </c>
      <c r="C2756" s="109">
        <f>IF(ISBLANK(K2756),IFERROR(VLOOKUP(I2756,FS_input_data!$C$458:$N$648,Export!J2756,FALSE),""),K2756)</f>
        <v>7000</v>
      </c>
      <c r="D2756" s="102" t="b">
        <v>0</v>
      </c>
      <c r="E2756" t="s">
        <v>1561</v>
      </c>
      <c r="F2756" s="102" t="s">
        <v>1812</v>
      </c>
      <c r="G2756" s="102" t="b">
        <f>IF(RP_tax,TRUE,VLOOKUP($I$2732,FS_input_data!$C$458:$N$648,Export!$J$2732,FALSE)="")</f>
        <v>1</v>
      </c>
      <c r="H2756" s="6" t="s">
        <v>2189</v>
      </c>
      <c r="I2756" t="s">
        <v>1812</v>
      </c>
      <c r="J2756">
        <v>10</v>
      </c>
      <c r="L2756" s="9" t="e">
        <f t="shared" si="153"/>
        <v>#VALUE!</v>
      </c>
    </row>
    <row r="2757" spans="1:12" x14ac:dyDescent="0.35">
      <c r="A2757">
        <f t="shared" si="154"/>
        <v>2756</v>
      </c>
      <c r="B2757" t="s">
        <v>110</v>
      </c>
      <c r="C2757" s="109" t="str">
        <f>IF(ISBLANK(K2757),IFERROR(VLOOKUP(I2757,FS_input_data!$C$458:$N$648,Export!J2757,FALSE),""),K2757)</f>
        <v/>
      </c>
      <c r="D2757" s="102"/>
      <c r="E2757" t="s">
        <v>1561</v>
      </c>
      <c r="F2757" s="102" t="s">
        <v>1812</v>
      </c>
      <c r="G2757" s="102" t="b">
        <f>IF(RP_tax,TRUE,VLOOKUP($I$2732,FS_input_data!$C$458:$N$648,Export!$J$2732,FALSE)="")</f>
        <v>1</v>
      </c>
      <c r="H2757" s="6" t="s">
        <v>2189</v>
      </c>
      <c r="I2757" t="s">
        <v>1561</v>
      </c>
      <c r="J2757" t="s">
        <v>1561</v>
      </c>
      <c r="L2757">
        <f t="shared" si="153"/>
        <v>1</v>
      </c>
    </row>
    <row r="2758" spans="1:12" x14ac:dyDescent="0.35">
      <c r="A2758" s="9">
        <f t="shared" si="154"/>
        <v>2757</v>
      </c>
      <c r="B2758" t="s">
        <v>111</v>
      </c>
      <c r="C2758" s="109">
        <f>IF(ISBLANK(K2758),IFERROR(VLOOKUP(I2758,FS_input_data!$C$458:$N$648,Export!J2758,FALSE),""),K2758)</f>
        <v>3500</v>
      </c>
      <c r="D2758" s="102" t="b">
        <v>0</v>
      </c>
      <c r="E2758" t="s">
        <v>1561</v>
      </c>
      <c r="F2758" s="102" t="s">
        <v>1812</v>
      </c>
      <c r="G2758" s="102" t="b">
        <f>IF(RP_tax,TRUE,VLOOKUP($I$2732,FS_input_data!$C$458:$N$648,Export!$J$2732,FALSE)="")</f>
        <v>1</v>
      </c>
      <c r="H2758" s="6" t="s">
        <v>2189</v>
      </c>
      <c r="I2758" t="s">
        <v>1812</v>
      </c>
      <c r="J2758">
        <v>11</v>
      </c>
      <c r="L2758" s="9" t="e">
        <f t="shared" si="153"/>
        <v>#VALUE!</v>
      </c>
    </row>
    <row r="2759" spans="1:12" x14ac:dyDescent="0.35">
      <c r="A2759">
        <f t="shared" si="154"/>
        <v>2758</v>
      </c>
      <c r="B2759" t="s">
        <v>112</v>
      </c>
      <c r="C2759" s="109" t="str">
        <f>IF(ISBLANK(K2759),IFERROR(VLOOKUP(I2759,FS_input_data!$C$458:$N$648,Export!J2759,FALSE),""),K2759)</f>
        <v/>
      </c>
      <c r="D2759" s="102"/>
      <c r="E2759" t="s">
        <v>1561</v>
      </c>
      <c r="F2759" s="102" t="s">
        <v>1812</v>
      </c>
      <c r="G2759" s="102" t="b">
        <f>IF(RP_tax,TRUE,VLOOKUP($I$2732,FS_input_data!$C$458:$N$648,Export!$J$2732,FALSE)="")</f>
        <v>1</v>
      </c>
      <c r="H2759" s="6" t="s">
        <v>2189</v>
      </c>
      <c r="I2759" t="s">
        <v>1561</v>
      </c>
      <c r="J2759" t="s">
        <v>1561</v>
      </c>
      <c r="L2759">
        <f t="shared" si="153"/>
        <v>1</v>
      </c>
    </row>
    <row r="2760" spans="1:12" x14ac:dyDescent="0.35">
      <c r="A2760" s="9">
        <f t="shared" si="154"/>
        <v>2759</v>
      </c>
      <c r="B2760" t="s">
        <v>749</v>
      </c>
      <c r="C2760" s="109">
        <f>IF(ISBLANK(K2760),IFERROR(VLOOKUP(I2760,FS_input_data!$C$458:$N$648,Export!J2760,FALSE),""),K2760)</f>
        <v>3500</v>
      </c>
      <c r="D2760" s="102" t="b">
        <v>0</v>
      </c>
      <c r="E2760" t="s">
        <v>1561</v>
      </c>
      <c r="F2760" s="102" t="s">
        <v>1812</v>
      </c>
      <c r="G2760" s="102" t="b">
        <f>IF(RP_tax,TRUE,VLOOKUP($I$2732,FS_input_data!$C$458:$N$648,Export!$J$2732,FALSE)="")</f>
        <v>1</v>
      </c>
      <c r="H2760" s="6" t="s">
        <v>2189</v>
      </c>
      <c r="I2760" t="s">
        <v>1812</v>
      </c>
      <c r="J2760">
        <v>12</v>
      </c>
      <c r="L2760" s="9" t="e">
        <f t="shared" si="153"/>
        <v>#VALUE!</v>
      </c>
    </row>
    <row r="2761" spans="1:12" x14ac:dyDescent="0.35">
      <c r="A2761">
        <f t="shared" si="154"/>
        <v>2760</v>
      </c>
      <c r="B2761" t="s">
        <v>750</v>
      </c>
      <c r="C2761" s="109" t="str">
        <f>IF(ISBLANK(K2761),IFERROR(VLOOKUP(I2761,FS_input_data!$C$458:$N$648,Export!J2761,FALSE),""),K2761)</f>
        <v/>
      </c>
      <c r="D2761" s="102"/>
      <c r="E2761" t="s">
        <v>1561</v>
      </c>
      <c r="F2761" s="102" t="s">
        <v>1812</v>
      </c>
      <c r="G2761" s="102" t="b">
        <f>IF(RP_tax,TRUE,VLOOKUP($I$2732,FS_input_data!$C$458:$N$648,Export!$J$2732,FALSE)="")</f>
        <v>1</v>
      </c>
      <c r="H2761" s="6" t="s">
        <v>2189</v>
      </c>
      <c r="I2761" t="s">
        <v>1561</v>
      </c>
      <c r="J2761" t="s">
        <v>1561</v>
      </c>
      <c r="L2761">
        <f t="shared" si="153"/>
        <v>1</v>
      </c>
    </row>
    <row r="2762" spans="1:12" x14ac:dyDescent="0.35">
      <c r="A2762">
        <f t="shared" si="154"/>
        <v>2761</v>
      </c>
      <c r="B2762" t="s">
        <v>745</v>
      </c>
      <c r="C2762" s="109" t="str">
        <f>IF(ISBLANK(K2762),IFERROR(VLOOKUP(I2762,FS_input_data!$C$458:$N$648,Export!J2762,FALSE),""),K2762)</f>
        <v/>
      </c>
      <c r="D2762" s="102"/>
      <c r="E2762" t="s">
        <v>1561</v>
      </c>
      <c r="F2762" s="102" t="s">
        <v>1812</v>
      </c>
      <c r="G2762" s="102" t="b">
        <f>IF(RP_tax,TRUE,VLOOKUP($I$2732,FS_input_data!$C$458:$N$648,Export!$J$2732,FALSE)="")</f>
        <v>1</v>
      </c>
      <c r="H2762" s="6" t="s">
        <v>2189</v>
      </c>
      <c r="I2762" t="s">
        <v>1561</v>
      </c>
      <c r="J2762" t="s">
        <v>1561</v>
      </c>
      <c r="L2762">
        <f t="shared" si="153"/>
        <v>1</v>
      </c>
    </row>
    <row r="2763" spans="1:12" x14ac:dyDescent="0.35">
      <c r="A2763">
        <f t="shared" si="154"/>
        <v>2762</v>
      </c>
      <c r="B2763" t="s">
        <v>764</v>
      </c>
      <c r="C2763" s="109" t="str">
        <f>IF(ISBLANK(K2763),IFERROR(VLOOKUP(I2763,FS_input_data!$C$458:$N$648,Export!J2763,FALSE),""),K2763)</f>
        <v/>
      </c>
      <c r="D2763" s="102"/>
      <c r="E2763" t="s">
        <v>1561</v>
      </c>
      <c r="F2763" s="102" t="s">
        <v>1812</v>
      </c>
      <c r="G2763" s="102" t="b">
        <f>VLOOKUP($I$2732,FS_input_data!$C$458:$N$648,Export!$J$2732,FALSE)=""</f>
        <v>0</v>
      </c>
      <c r="H2763" s="6" t="s">
        <v>2189</v>
      </c>
      <c r="I2763" t="s">
        <v>1561</v>
      </c>
      <c r="J2763" t="s">
        <v>1561</v>
      </c>
      <c r="L2763">
        <f t="shared" si="153"/>
        <v>1</v>
      </c>
    </row>
    <row r="2764" spans="1:12" x14ac:dyDescent="0.35">
      <c r="A2764">
        <f t="shared" si="154"/>
        <v>2763</v>
      </c>
      <c r="B2764" t="s">
        <v>765</v>
      </c>
      <c r="C2764" s="109" t="str">
        <f>IF(ISBLANK(K2764),IFERROR(VLOOKUP(I2764,FS_input_data!$C$458:$N$648,Export!J2764,FALSE),""),K2764)</f>
        <v/>
      </c>
      <c r="D2764" s="102"/>
      <c r="E2764" t="s">
        <v>1561</v>
      </c>
      <c r="F2764" s="102" t="s">
        <v>1812</v>
      </c>
      <c r="G2764" s="102" t="b">
        <f>VLOOKUP($I$2732,FS_input_data!$C$458:$N$648,Export!$J$2732,FALSE)=""</f>
        <v>0</v>
      </c>
      <c r="H2764" s="6" t="s">
        <v>2189</v>
      </c>
      <c r="I2764" t="s">
        <v>1561</v>
      </c>
      <c r="J2764" t="s">
        <v>1561</v>
      </c>
      <c r="L2764">
        <f t="shared" si="153"/>
        <v>1</v>
      </c>
    </row>
    <row r="2765" spans="1:12" x14ac:dyDescent="0.35">
      <c r="A2765">
        <f t="shared" si="154"/>
        <v>2764</v>
      </c>
      <c r="B2765" t="s">
        <v>752</v>
      </c>
      <c r="C2765" s="109" t="str">
        <f>IF(ISBLANK(K2765),IFERROR(VLOOKUP(I2765,FS_input_data!$C$458:$N$648,Export!J2765,FALSE),""),K2765)</f>
        <v/>
      </c>
      <c r="D2765" s="105"/>
      <c r="E2765" t="s">
        <v>1561</v>
      </c>
      <c r="F2765" s="105" t="s">
        <v>1815</v>
      </c>
      <c r="G2765" s="105" t="b">
        <f>VLOOKUP($I$2766,FS_input_data!$C$458:$N$648,Export!$J$2766,FALSE)=""</f>
        <v>0</v>
      </c>
      <c r="H2765" s="6" t="s">
        <v>2189</v>
      </c>
      <c r="I2765" t="s">
        <v>1561</v>
      </c>
      <c r="J2765" t="s">
        <v>1561</v>
      </c>
      <c r="L2765" s="9" t="e">
        <f t="shared" si="153"/>
        <v>#VALUE!</v>
      </c>
    </row>
    <row r="2766" spans="1:12" x14ac:dyDescent="0.35">
      <c r="A2766" s="9">
        <f t="shared" si="154"/>
        <v>2765</v>
      </c>
      <c r="B2766" t="s">
        <v>101</v>
      </c>
      <c r="C2766" s="109" t="str">
        <f>IF(ISBLANK(K2766),IFERROR(VLOOKUP(I2766,FS_input_data!$C$458:$N$648,Export!J2766,FALSE),""),K2766)</f>
        <v>OB8</v>
      </c>
      <c r="D2766" s="105" t="b">
        <v>1</v>
      </c>
      <c r="E2766" t="s">
        <v>1561</v>
      </c>
      <c r="F2766" s="105" t="s">
        <v>1815</v>
      </c>
      <c r="G2766" s="105" t="b">
        <f>VLOOKUP($I$2766,FS_input_data!$C$458:$N$648,Export!$J$2766,FALSE)=""</f>
        <v>0</v>
      </c>
      <c r="H2766" s="6" t="s">
        <v>2189</v>
      </c>
      <c r="I2766" t="s">
        <v>1815</v>
      </c>
      <c r="J2766">
        <v>6</v>
      </c>
      <c r="L2766" s="9" t="e">
        <f t="shared" si="153"/>
        <v>#VALUE!</v>
      </c>
    </row>
    <row r="2767" spans="1:12" x14ac:dyDescent="0.35">
      <c r="A2767">
        <f t="shared" si="154"/>
        <v>2766</v>
      </c>
      <c r="B2767" t="s">
        <v>102</v>
      </c>
      <c r="C2767" s="109" t="str">
        <f>IF(ISBLANK(K2767),IFERROR(VLOOKUP(I2767,FS_input_data!$C$458:$N$648,Export!J2767,FALSE),""),K2767)</f>
        <v/>
      </c>
      <c r="D2767" s="105"/>
      <c r="E2767" t="s">
        <v>1561</v>
      </c>
      <c r="F2767" s="105" t="s">
        <v>1815</v>
      </c>
      <c r="G2767" s="105" t="b">
        <f>VLOOKUP($I$2766,FS_input_data!$C$458:$N$648,Export!$J$2766,FALSE)=""</f>
        <v>0</v>
      </c>
      <c r="H2767" s="6" t="s">
        <v>2189</v>
      </c>
      <c r="I2767" t="s">
        <v>1561</v>
      </c>
      <c r="J2767" t="s">
        <v>1561</v>
      </c>
      <c r="L2767">
        <f t="shared" si="153"/>
        <v>1</v>
      </c>
    </row>
    <row r="2768" spans="1:12" x14ac:dyDescent="0.35">
      <c r="A2768">
        <f t="shared" si="154"/>
        <v>2767</v>
      </c>
      <c r="B2768" t="s">
        <v>753</v>
      </c>
      <c r="C2768" s="109" t="str">
        <f>IF(ISBLANK(K2768),IFERROR(VLOOKUP(I2768,FS_input_data!$C$458:$N$648,Export!J2768,FALSE),""),K2768)</f>
        <v/>
      </c>
      <c r="D2768" s="105"/>
      <c r="E2768" t="s">
        <v>1561</v>
      </c>
      <c r="F2768" s="105" t="s">
        <v>1815</v>
      </c>
      <c r="G2768" s="105" t="b">
        <f>VLOOKUP($I$2766,FS_input_data!$C$458:$N$648,Export!$J$2766,FALSE)=""</f>
        <v>0</v>
      </c>
      <c r="H2768" s="6" t="s">
        <v>2189</v>
      </c>
      <c r="I2768" t="s">
        <v>1561</v>
      </c>
      <c r="J2768" t="s">
        <v>1561</v>
      </c>
      <c r="L2768" s="9" t="e">
        <f t="shared" si="153"/>
        <v>#VALUE!</v>
      </c>
    </row>
    <row r="2769" spans="1:12" x14ac:dyDescent="0.35">
      <c r="A2769">
        <f t="shared" si="154"/>
        <v>2768</v>
      </c>
      <c r="B2769" t="s">
        <v>742</v>
      </c>
      <c r="C2769" s="109" t="str">
        <f>IF(ISBLANK(K2769),IFERROR(VLOOKUP(I2769,FS_input_data!$C$458:$N$648,Export!J2769,FALSE),""),K2769)</f>
        <v/>
      </c>
      <c r="D2769" s="105"/>
      <c r="E2769" t="s">
        <v>1561</v>
      </c>
      <c r="F2769" s="105" t="s">
        <v>1815</v>
      </c>
      <c r="G2769" s="105" t="b">
        <f>VLOOKUP($I$2766,FS_input_data!$C$458:$N$648,Export!$J$2766,FALSE)=""</f>
        <v>0</v>
      </c>
      <c r="H2769" s="6" t="s">
        <v>2189</v>
      </c>
      <c r="I2769" t="s">
        <v>1561</v>
      </c>
      <c r="J2769" t="s">
        <v>1561</v>
      </c>
      <c r="L2769" s="9" t="e">
        <f t="shared" si="153"/>
        <v>#VALUE!</v>
      </c>
    </row>
    <row r="2770" spans="1:12" x14ac:dyDescent="0.35">
      <c r="A2770">
        <f t="shared" si="154"/>
        <v>2769</v>
      </c>
      <c r="B2770" t="s">
        <v>748</v>
      </c>
      <c r="C2770" s="109" t="str">
        <f>IF(ISBLANK(K2770),IFERROR(VLOOKUP(I2770,FS_input_data!$C$458:$N$648,Export!J2770,FALSE),""),K2770)</f>
        <v/>
      </c>
      <c r="D2770" s="105"/>
      <c r="E2770" t="s">
        <v>1561</v>
      </c>
      <c r="F2770" s="105" t="s">
        <v>1815</v>
      </c>
      <c r="G2770" s="105" t="b">
        <f>VLOOKUP($I$2766,FS_input_data!$C$458:$N$648,Export!$J$2766,FALSE)=""</f>
        <v>0</v>
      </c>
      <c r="H2770" s="6" t="s">
        <v>2189</v>
      </c>
      <c r="I2770" t="s">
        <v>1561</v>
      </c>
      <c r="J2770" t="s">
        <v>1561</v>
      </c>
      <c r="L2770" s="9" t="e">
        <f t="shared" si="153"/>
        <v>#VALUE!</v>
      </c>
    </row>
    <row r="2771" spans="1:12" x14ac:dyDescent="0.35">
      <c r="A2771" s="9">
        <f t="shared" si="154"/>
        <v>2770</v>
      </c>
      <c r="B2771" t="s">
        <v>109</v>
      </c>
      <c r="C2771" s="109">
        <f>IF(ISBLANK(K2771),IFERROR(VLOOKUP(I2771,FS_input_data!$C$458:$N$648,Export!J2771,FALSE),""),K2771)</f>
        <v>8000</v>
      </c>
      <c r="D2771" s="105" t="b">
        <v>1</v>
      </c>
      <c r="E2771" t="s">
        <v>1561</v>
      </c>
      <c r="F2771" s="105" t="s">
        <v>1815</v>
      </c>
      <c r="G2771" s="105" t="b">
        <f>VLOOKUP($I$2766,FS_input_data!$C$458:$N$648,Export!$J$2766,FALSE)=""</f>
        <v>0</v>
      </c>
      <c r="H2771" s="6" t="s">
        <v>2189</v>
      </c>
      <c r="I2771" t="s">
        <v>1815</v>
      </c>
      <c r="J2771">
        <v>7</v>
      </c>
      <c r="L2771" s="9" t="e">
        <f t="shared" si="153"/>
        <v>#VALUE!</v>
      </c>
    </row>
    <row r="2772" spans="1:12" x14ac:dyDescent="0.35">
      <c r="A2772">
        <f t="shared" si="154"/>
        <v>2771</v>
      </c>
      <c r="B2772" t="s">
        <v>110</v>
      </c>
      <c r="C2772" s="109" t="str">
        <f>IF(ISBLANK(K2772),IFERROR(VLOOKUP(I2772,FS_input_data!$C$458:$N$648,Export!J2772,FALSE),""),K2772)</f>
        <v/>
      </c>
      <c r="D2772" s="105"/>
      <c r="E2772" t="s">
        <v>1561</v>
      </c>
      <c r="F2772" s="105" t="s">
        <v>1815</v>
      </c>
      <c r="G2772" s="105" t="b">
        <f>VLOOKUP($I$2766,FS_input_data!$C$458:$N$648,Export!$J$2766,FALSE)=""</f>
        <v>0</v>
      </c>
      <c r="H2772" s="6" t="s">
        <v>2189</v>
      </c>
      <c r="I2772" t="s">
        <v>1561</v>
      </c>
      <c r="J2772" t="s">
        <v>1561</v>
      </c>
      <c r="L2772">
        <f t="shared" si="153"/>
        <v>1</v>
      </c>
    </row>
    <row r="2773" spans="1:12" x14ac:dyDescent="0.35">
      <c r="A2773" s="9">
        <f t="shared" si="154"/>
        <v>2772</v>
      </c>
      <c r="B2773" t="s">
        <v>111</v>
      </c>
      <c r="C2773" s="109">
        <f>IF(ISBLANK(K2773),IFERROR(VLOOKUP(I2773,FS_input_data!$C$458:$N$648,Export!J2773,FALSE),""),K2773)</f>
        <v>4000</v>
      </c>
      <c r="D2773" s="105" t="b">
        <v>0</v>
      </c>
      <c r="E2773" t="s">
        <v>1561</v>
      </c>
      <c r="F2773" s="105" t="s">
        <v>1815</v>
      </c>
      <c r="G2773" s="105" t="b">
        <f>VLOOKUP($I$2766,FS_input_data!$C$458:$N$648,Export!$J$2766,FALSE)=""</f>
        <v>0</v>
      </c>
      <c r="H2773" s="6" t="s">
        <v>2189</v>
      </c>
      <c r="I2773" t="s">
        <v>1815</v>
      </c>
      <c r="J2773">
        <v>8</v>
      </c>
      <c r="L2773" s="9" t="e">
        <f t="shared" si="153"/>
        <v>#VALUE!</v>
      </c>
    </row>
    <row r="2774" spans="1:12" x14ac:dyDescent="0.35">
      <c r="A2774">
        <f t="shared" si="154"/>
        <v>2773</v>
      </c>
      <c r="B2774" t="s">
        <v>112</v>
      </c>
      <c r="C2774" s="109" t="str">
        <f>IF(ISBLANK(K2774),IFERROR(VLOOKUP(I2774,FS_input_data!$C$458:$N$648,Export!J2774,FALSE),""),K2774)</f>
        <v/>
      </c>
      <c r="D2774" s="105"/>
      <c r="E2774" t="s">
        <v>1561</v>
      </c>
      <c r="F2774" s="105" t="s">
        <v>1815</v>
      </c>
      <c r="G2774" s="105" t="b">
        <f>VLOOKUP($I$2766,FS_input_data!$C$458:$N$648,Export!$J$2766,FALSE)=""</f>
        <v>0</v>
      </c>
      <c r="H2774" s="6" t="s">
        <v>2189</v>
      </c>
      <c r="I2774" t="s">
        <v>1561</v>
      </c>
      <c r="J2774" t="s">
        <v>1561</v>
      </c>
      <c r="L2774">
        <f t="shared" si="153"/>
        <v>1</v>
      </c>
    </row>
    <row r="2775" spans="1:12" x14ac:dyDescent="0.35">
      <c r="A2775" s="9">
        <f t="shared" si="154"/>
        <v>2774</v>
      </c>
      <c r="B2775" t="s">
        <v>749</v>
      </c>
      <c r="C2775" s="109">
        <f>IF(ISBLANK(K2775),IFERROR(VLOOKUP(I2775,FS_input_data!$C$458:$N$648,Export!J2775,FALSE),""),K2775)</f>
        <v>4000</v>
      </c>
      <c r="D2775" s="105" t="b">
        <v>0</v>
      </c>
      <c r="E2775" t="s">
        <v>1561</v>
      </c>
      <c r="F2775" s="105" t="s">
        <v>1815</v>
      </c>
      <c r="G2775" s="105" t="b">
        <f>VLOOKUP($I$2766,FS_input_data!$C$458:$N$648,Export!$J$2766,FALSE)=""</f>
        <v>0</v>
      </c>
      <c r="H2775" s="6" t="s">
        <v>2189</v>
      </c>
      <c r="I2775" t="s">
        <v>1815</v>
      </c>
      <c r="J2775">
        <v>9</v>
      </c>
      <c r="L2775" s="9" t="e">
        <f t="shared" si="153"/>
        <v>#VALUE!</v>
      </c>
    </row>
    <row r="2776" spans="1:12" x14ac:dyDescent="0.35">
      <c r="A2776">
        <f t="shared" si="154"/>
        <v>2775</v>
      </c>
      <c r="B2776" t="s">
        <v>750</v>
      </c>
      <c r="C2776" s="109" t="str">
        <f>IF(ISBLANK(K2776),IFERROR(VLOOKUP(I2776,FS_input_data!$C$458:$N$648,Export!J2776,FALSE),""),K2776)</f>
        <v/>
      </c>
      <c r="D2776" s="105"/>
      <c r="E2776" t="s">
        <v>1561</v>
      </c>
      <c r="F2776" s="105" t="s">
        <v>1815</v>
      </c>
      <c r="G2776" s="105" t="b">
        <f>VLOOKUP($I$2766,FS_input_data!$C$458:$N$648,Export!$J$2766,FALSE)=""</f>
        <v>0</v>
      </c>
      <c r="H2776" s="6" t="s">
        <v>2189</v>
      </c>
      <c r="I2776" t="s">
        <v>1561</v>
      </c>
      <c r="J2776" t="s">
        <v>1561</v>
      </c>
      <c r="L2776">
        <f t="shared" si="153"/>
        <v>1</v>
      </c>
    </row>
    <row r="2777" spans="1:12" x14ac:dyDescent="0.35">
      <c r="A2777">
        <f t="shared" si="154"/>
        <v>2776</v>
      </c>
      <c r="B2777" t="s">
        <v>751</v>
      </c>
      <c r="C2777" s="109" t="str">
        <f>IF(ISBLANK(K2777),IFERROR(VLOOKUP(I2777,FS_input_data!$C$458:$N$648,Export!J2777,FALSE),""),K2777)</f>
        <v/>
      </c>
      <c r="D2777" s="105"/>
      <c r="E2777" t="s">
        <v>1561</v>
      </c>
      <c r="F2777" s="105" t="s">
        <v>1815</v>
      </c>
      <c r="G2777" s="105" t="b">
        <f>VLOOKUP($I$2766,FS_input_data!$C$458:$N$648,Export!$J$2766,FALSE)=""</f>
        <v>0</v>
      </c>
      <c r="H2777" s="6" t="s">
        <v>2189</v>
      </c>
      <c r="I2777" t="s">
        <v>1561</v>
      </c>
      <c r="J2777" t="s">
        <v>1561</v>
      </c>
      <c r="L2777">
        <f t="shared" si="153"/>
        <v>1</v>
      </c>
    </row>
    <row r="2778" spans="1:12" x14ac:dyDescent="0.35">
      <c r="A2778">
        <f t="shared" si="154"/>
        <v>2777</v>
      </c>
      <c r="B2778" t="s">
        <v>754</v>
      </c>
      <c r="C2778" s="109" t="str">
        <f>IF(ISBLANK(K2778),IFERROR(VLOOKUP(I2778,FS_input_data!$C$458:$N$648,Export!J2778,FALSE),""),K2778)</f>
        <v/>
      </c>
      <c r="D2778" s="105"/>
      <c r="E2778" t="s">
        <v>1561</v>
      </c>
      <c r="F2778" s="105" t="s">
        <v>1815</v>
      </c>
      <c r="G2778" s="105" t="b">
        <f>VLOOKUP($I$2766,FS_input_data!$C$458:$N$648,Export!$J$2766,FALSE)=""</f>
        <v>0</v>
      </c>
      <c r="H2778" s="6" t="s">
        <v>2189</v>
      </c>
      <c r="I2778" t="s">
        <v>1561</v>
      </c>
      <c r="J2778" t="s">
        <v>1561</v>
      </c>
      <c r="L2778" s="9" t="e">
        <f t="shared" si="153"/>
        <v>#VALUE!</v>
      </c>
    </row>
    <row r="2779" spans="1:12" x14ac:dyDescent="0.35">
      <c r="A2779" s="9">
        <f t="shared" si="154"/>
        <v>2778</v>
      </c>
      <c r="B2779" t="s">
        <v>755</v>
      </c>
      <c r="C2779" s="109">
        <f>IF(ISBLANK(K2779),IFERROR(VLOOKUP(I2779,FS_input_data!$C$458:$N$648,Export!J2779,FALSE),""),K2779)</f>
        <v>8</v>
      </c>
      <c r="D2779" s="105" t="b">
        <v>1</v>
      </c>
      <c r="E2779" t="s">
        <v>1561</v>
      </c>
      <c r="F2779" s="105" t="s">
        <v>1815</v>
      </c>
      <c r="G2779" s="105" t="b">
        <f>VLOOKUP($I$2766,FS_input_data!$C$458:$N$648,Export!$J$2766,FALSE)=""</f>
        <v>0</v>
      </c>
      <c r="H2779" s="6" t="s">
        <v>2189</v>
      </c>
      <c r="I2779" t="s">
        <v>1815</v>
      </c>
      <c r="J2779">
        <v>2</v>
      </c>
      <c r="L2779" s="9" t="e">
        <f t="shared" si="153"/>
        <v>#VALUE!</v>
      </c>
    </row>
    <row r="2780" spans="1:12" x14ac:dyDescent="0.35">
      <c r="A2780">
        <f t="shared" si="154"/>
        <v>2779</v>
      </c>
      <c r="B2780" t="s">
        <v>756</v>
      </c>
      <c r="C2780" s="109" t="str">
        <f>IF(ISBLANK(K2780),IFERROR(VLOOKUP(I2780,FS_input_data!$C$458:$N$648,Export!J2780,FALSE),""),K2780)</f>
        <v/>
      </c>
      <c r="D2780" s="105"/>
      <c r="E2780" t="s">
        <v>1561</v>
      </c>
      <c r="F2780" s="105" t="s">
        <v>1815</v>
      </c>
      <c r="G2780" s="105" t="b">
        <f>VLOOKUP($I$2766,FS_input_data!$C$458:$N$648,Export!$J$2766,FALSE)=""</f>
        <v>0</v>
      </c>
      <c r="H2780" s="6" t="s">
        <v>2189</v>
      </c>
      <c r="I2780" t="s">
        <v>1561</v>
      </c>
      <c r="J2780" t="s">
        <v>1561</v>
      </c>
      <c r="L2780">
        <f t="shared" si="153"/>
        <v>1</v>
      </c>
    </row>
    <row r="2781" spans="1:12" x14ac:dyDescent="0.35">
      <c r="A2781" s="9">
        <f t="shared" si="154"/>
        <v>2780</v>
      </c>
      <c r="B2781" t="s">
        <v>757</v>
      </c>
      <c r="C2781" s="109">
        <f>IF(ISBLANK(K2781),IFERROR(VLOOKUP(I2781,FS_input_data!$C$458:$N$648,Export!J2781,FALSE),""),K2781)</f>
        <v>108</v>
      </c>
      <c r="D2781" s="105" t="b">
        <v>0</v>
      </c>
      <c r="E2781" t="s">
        <v>1561</v>
      </c>
      <c r="F2781" s="105" t="s">
        <v>1815</v>
      </c>
      <c r="G2781" s="105" t="b">
        <f>VLOOKUP($I$2766,FS_input_data!$C$458:$N$648,Export!$J$2766,FALSE)=""</f>
        <v>0</v>
      </c>
      <c r="H2781" s="6" t="s">
        <v>2189</v>
      </c>
      <c r="I2781" t="s">
        <v>1815</v>
      </c>
      <c r="J2781">
        <v>3</v>
      </c>
      <c r="L2781" s="9" t="e">
        <f t="shared" si="153"/>
        <v>#VALUE!</v>
      </c>
    </row>
    <row r="2782" spans="1:12" x14ac:dyDescent="0.35">
      <c r="A2782">
        <f t="shared" si="154"/>
        <v>2781</v>
      </c>
      <c r="B2782" t="s">
        <v>758</v>
      </c>
      <c r="C2782" s="109" t="str">
        <f>IF(ISBLANK(K2782),IFERROR(VLOOKUP(I2782,FS_input_data!$C$458:$N$648,Export!J2782,FALSE),""),K2782)</f>
        <v/>
      </c>
      <c r="D2782" s="105"/>
      <c r="E2782" t="s">
        <v>1561</v>
      </c>
      <c r="F2782" s="105" t="s">
        <v>1815</v>
      </c>
      <c r="G2782" s="105" t="b">
        <f>VLOOKUP($I$2766,FS_input_data!$C$458:$N$648,Export!$J$2766,FALSE)=""</f>
        <v>0</v>
      </c>
      <c r="H2782" s="6" t="s">
        <v>2189</v>
      </c>
      <c r="I2782" t="s">
        <v>1561</v>
      </c>
      <c r="J2782" t="s">
        <v>1561</v>
      </c>
      <c r="L2782">
        <f t="shared" si="153"/>
        <v>1</v>
      </c>
    </row>
    <row r="2783" spans="1:12" x14ac:dyDescent="0.35">
      <c r="A2783" s="9">
        <f t="shared" si="154"/>
        <v>2782</v>
      </c>
      <c r="B2783" t="s">
        <v>759</v>
      </c>
      <c r="C2783" s="109">
        <f>IF(ISBLANK(K2783),IFERROR(VLOOKUP(I2783,FS_input_data!$C$458:$N$648,Export!J2783,FALSE),""),K2783)</f>
        <v>208</v>
      </c>
      <c r="D2783" s="105" t="b">
        <v>0</v>
      </c>
      <c r="E2783" t="s">
        <v>1561</v>
      </c>
      <c r="F2783" s="105" t="s">
        <v>1815</v>
      </c>
      <c r="G2783" s="105" t="b">
        <f>VLOOKUP($I$2766,FS_input_data!$C$458:$N$648,Export!$J$2766,FALSE)=""</f>
        <v>0</v>
      </c>
      <c r="H2783" s="6" t="s">
        <v>2189</v>
      </c>
      <c r="I2783" t="s">
        <v>1815</v>
      </c>
      <c r="J2783">
        <v>4</v>
      </c>
      <c r="L2783" s="9" t="e">
        <f t="shared" si="153"/>
        <v>#VALUE!</v>
      </c>
    </row>
    <row r="2784" spans="1:12" x14ac:dyDescent="0.35">
      <c r="A2784">
        <f t="shared" si="154"/>
        <v>2783</v>
      </c>
      <c r="B2784" t="s">
        <v>760</v>
      </c>
      <c r="C2784" s="109" t="str">
        <f>IF(ISBLANK(K2784),IFERROR(VLOOKUP(I2784,FS_input_data!$C$458:$N$648,Export!J2784,FALSE),""),K2784)</f>
        <v/>
      </c>
      <c r="D2784" s="105"/>
      <c r="E2784" t="s">
        <v>1561</v>
      </c>
      <c r="F2784" s="105" t="s">
        <v>1815</v>
      </c>
      <c r="G2784" s="105" t="b">
        <f>VLOOKUP($I$2766,FS_input_data!$C$458:$N$648,Export!$J$2766,FALSE)=""</f>
        <v>0</v>
      </c>
      <c r="H2784" s="6" t="s">
        <v>2189</v>
      </c>
      <c r="I2784" t="s">
        <v>1561</v>
      </c>
      <c r="J2784" t="s">
        <v>1561</v>
      </c>
      <c r="L2784">
        <f t="shared" si="153"/>
        <v>1</v>
      </c>
    </row>
    <row r="2785" spans="1:12" x14ac:dyDescent="0.35">
      <c r="A2785" s="9">
        <f t="shared" si="154"/>
        <v>2784</v>
      </c>
      <c r="B2785" t="s">
        <v>761</v>
      </c>
      <c r="C2785" s="109" t="str">
        <f>IF(ISBLANK(K2785),IFERROR(VLOOKUP(I2785,FS_input_data!$C$458:$N$648,Export!J2785,FALSE),""),K2785)</f>
        <v>h</v>
      </c>
      <c r="D2785" s="105" t="b">
        <v>0</v>
      </c>
      <c r="E2785" t="s">
        <v>1561</v>
      </c>
      <c r="F2785" s="105" t="s">
        <v>1815</v>
      </c>
      <c r="G2785" s="105" t="b">
        <f>VLOOKUP($I$2766,FS_input_data!$C$458:$N$648,Export!$J$2766,FALSE)=""</f>
        <v>0</v>
      </c>
      <c r="H2785" s="6" t="s">
        <v>2189</v>
      </c>
      <c r="I2785" t="s">
        <v>1815</v>
      </c>
      <c r="J2785">
        <v>5</v>
      </c>
      <c r="L2785" s="9" t="e">
        <f t="shared" si="153"/>
        <v>#VALUE!</v>
      </c>
    </row>
    <row r="2786" spans="1:12" x14ac:dyDescent="0.35">
      <c r="A2786">
        <f t="shared" si="154"/>
        <v>2785</v>
      </c>
      <c r="B2786" t="s">
        <v>762</v>
      </c>
      <c r="C2786" s="109" t="str">
        <f>IF(ISBLANK(K2786),IFERROR(VLOOKUP(I2786,FS_input_data!$C$458:$N$648,Export!J2786,FALSE),""),K2786)</f>
        <v/>
      </c>
      <c r="D2786" s="105"/>
      <c r="E2786" t="s">
        <v>1561</v>
      </c>
      <c r="F2786" s="105" t="s">
        <v>1815</v>
      </c>
      <c r="G2786" s="105" t="b">
        <f>VLOOKUP($I$2766,FS_input_data!$C$458:$N$648,Export!$J$2766,FALSE)=""</f>
        <v>0</v>
      </c>
      <c r="H2786" s="6" t="s">
        <v>2189</v>
      </c>
      <c r="I2786" t="s">
        <v>1561</v>
      </c>
      <c r="J2786" t="s">
        <v>1561</v>
      </c>
      <c r="L2786">
        <f t="shared" si="153"/>
        <v>1</v>
      </c>
    </row>
    <row r="2787" spans="1:12" x14ac:dyDescent="0.35">
      <c r="A2787">
        <f t="shared" si="154"/>
        <v>2786</v>
      </c>
      <c r="B2787" t="s">
        <v>763</v>
      </c>
      <c r="C2787" s="109" t="str">
        <f>IF(ISBLANK(K2787),IFERROR(VLOOKUP(I2787,FS_input_data!$C$458:$N$648,Export!J2787,FALSE),""),K2787)</f>
        <v/>
      </c>
      <c r="D2787" s="105"/>
      <c r="E2787" t="s">
        <v>1561</v>
      </c>
      <c r="F2787" s="105" t="s">
        <v>1815</v>
      </c>
      <c r="G2787" s="105" t="b">
        <f>VLOOKUP($I$2766,FS_input_data!$C$458:$N$648,Export!$J$2766,FALSE)=""</f>
        <v>0</v>
      </c>
      <c r="H2787" s="6" t="s">
        <v>2189</v>
      </c>
      <c r="I2787" t="s">
        <v>1561</v>
      </c>
      <c r="J2787" t="s">
        <v>1561</v>
      </c>
      <c r="L2787">
        <f t="shared" si="153"/>
        <v>1</v>
      </c>
    </row>
    <row r="2788" spans="1:12" x14ac:dyDescent="0.35">
      <c r="A2788">
        <f t="shared" si="154"/>
        <v>2787</v>
      </c>
      <c r="B2788" t="s">
        <v>743</v>
      </c>
      <c r="C2788" s="109" t="str">
        <f>IF(ISBLANK(K2788),IFERROR(VLOOKUP(I2788,FS_input_data!$C$458:$N$648,Export!J2788,FALSE),""),K2788)</f>
        <v/>
      </c>
      <c r="D2788" s="105"/>
      <c r="E2788" t="s">
        <v>1561</v>
      </c>
      <c r="F2788" s="105" t="s">
        <v>1815</v>
      </c>
      <c r="G2788" s="105" t="b">
        <f>VLOOKUP($I$2766,FS_input_data!$C$458:$N$648,Export!$J$2766,FALSE)=""</f>
        <v>0</v>
      </c>
      <c r="H2788" s="6" t="s">
        <v>2189</v>
      </c>
      <c r="I2788" t="s">
        <v>1561</v>
      </c>
      <c r="J2788" t="s">
        <v>1561</v>
      </c>
      <c r="L2788">
        <f t="shared" si="153"/>
        <v>1</v>
      </c>
    </row>
    <row r="2789" spans="1:12" x14ac:dyDescent="0.35">
      <c r="A2789">
        <f t="shared" si="154"/>
        <v>2788</v>
      </c>
      <c r="B2789" t="s">
        <v>744</v>
      </c>
      <c r="C2789" s="109" t="str">
        <f>IF(ISBLANK(K2789),IFERROR(VLOOKUP(I2789,FS_input_data!$C$458:$N$648,Export!J2789,FALSE),""),K2789)</f>
        <v/>
      </c>
      <c r="D2789" s="105"/>
      <c r="E2789" t="s">
        <v>1561</v>
      </c>
      <c r="F2789" s="105" t="s">
        <v>1815</v>
      </c>
      <c r="G2789" s="105" t="b">
        <f>IF(RP_tax,TRUE,VLOOKUP($I$2766,FS_input_data!$C$458:$N$648,Export!$J$2766,FALSE)="")</f>
        <v>1</v>
      </c>
      <c r="H2789" s="6" t="s">
        <v>2189</v>
      </c>
      <c r="I2789" t="s">
        <v>1561</v>
      </c>
      <c r="J2789" t="s">
        <v>1561</v>
      </c>
      <c r="L2789" s="9" t="e">
        <f t="shared" si="153"/>
        <v>#VALUE!</v>
      </c>
    </row>
    <row r="2790" spans="1:12" x14ac:dyDescent="0.35">
      <c r="A2790" s="9">
        <f t="shared" si="154"/>
        <v>2789</v>
      </c>
      <c r="B2790" t="s">
        <v>109</v>
      </c>
      <c r="C2790" s="109">
        <f>IF(ISBLANK(K2790),IFERROR(VLOOKUP(I2790,FS_input_data!$C$458:$N$648,Export!J2790,FALSE),""),K2790)</f>
        <v>8000</v>
      </c>
      <c r="D2790" s="105" t="b">
        <v>0</v>
      </c>
      <c r="E2790" t="s">
        <v>1561</v>
      </c>
      <c r="F2790" s="105" t="s">
        <v>1815</v>
      </c>
      <c r="G2790" s="105" t="b">
        <f>IF(RP_tax,TRUE,VLOOKUP($I$2766,FS_input_data!$C$458:$N$648,Export!$J$2766,FALSE)="")</f>
        <v>1</v>
      </c>
      <c r="H2790" s="6" t="s">
        <v>2189</v>
      </c>
      <c r="I2790" t="s">
        <v>1815</v>
      </c>
      <c r="J2790">
        <v>10</v>
      </c>
      <c r="L2790" s="9" t="e">
        <f t="shared" si="153"/>
        <v>#VALUE!</v>
      </c>
    </row>
    <row r="2791" spans="1:12" x14ac:dyDescent="0.35">
      <c r="A2791">
        <f t="shared" si="154"/>
        <v>2790</v>
      </c>
      <c r="B2791" t="s">
        <v>110</v>
      </c>
      <c r="C2791" s="109" t="str">
        <f>IF(ISBLANK(K2791),IFERROR(VLOOKUP(I2791,FS_input_data!$C$458:$N$648,Export!J2791,FALSE),""),K2791)</f>
        <v/>
      </c>
      <c r="D2791" s="105"/>
      <c r="E2791" t="s">
        <v>1561</v>
      </c>
      <c r="F2791" s="105" t="s">
        <v>1815</v>
      </c>
      <c r="G2791" s="105" t="b">
        <f>IF(RP_tax,TRUE,VLOOKUP($I$2766,FS_input_data!$C$458:$N$648,Export!$J$2766,FALSE)="")</f>
        <v>1</v>
      </c>
      <c r="H2791" s="6" t="s">
        <v>2189</v>
      </c>
      <c r="I2791" t="s">
        <v>1561</v>
      </c>
      <c r="J2791" t="s">
        <v>1561</v>
      </c>
      <c r="L2791">
        <f t="shared" si="153"/>
        <v>1</v>
      </c>
    </row>
    <row r="2792" spans="1:12" x14ac:dyDescent="0.35">
      <c r="A2792" s="9">
        <f t="shared" si="154"/>
        <v>2791</v>
      </c>
      <c r="B2792" t="s">
        <v>111</v>
      </c>
      <c r="C2792" s="109">
        <f>IF(ISBLANK(K2792),IFERROR(VLOOKUP(I2792,FS_input_data!$C$458:$N$648,Export!J2792,FALSE),""),K2792)</f>
        <v>4000</v>
      </c>
      <c r="D2792" s="105" t="b">
        <v>0</v>
      </c>
      <c r="E2792" t="s">
        <v>1561</v>
      </c>
      <c r="F2792" s="105" t="s">
        <v>1815</v>
      </c>
      <c r="G2792" s="105" t="b">
        <f>IF(RP_tax,TRUE,VLOOKUP($I$2766,FS_input_data!$C$458:$N$648,Export!$J$2766,FALSE)="")</f>
        <v>1</v>
      </c>
      <c r="H2792" s="6" t="s">
        <v>2189</v>
      </c>
      <c r="I2792" t="s">
        <v>1815</v>
      </c>
      <c r="J2792">
        <v>11</v>
      </c>
      <c r="L2792" s="9" t="e">
        <f t="shared" si="153"/>
        <v>#VALUE!</v>
      </c>
    </row>
    <row r="2793" spans="1:12" x14ac:dyDescent="0.35">
      <c r="A2793">
        <f t="shared" si="154"/>
        <v>2792</v>
      </c>
      <c r="B2793" t="s">
        <v>112</v>
      </c>
      <c r="C2793" s="109" t="str">
        <f>IF(ISBLANK(K2793),IFERROR(VLOOKUP(I2793,FS_input_data!$C$458:$N$648,Export!J2793,FALSE),""),K2793)</f>
        <v/>
      </c>
      <c r="D2793" s="105"/>
      <c r="E2793" t="s">
        <v>1561</v>
      </c>
      <c r="F2793" s="105" t="s">
        <v>1815</v>
      </c>
      <c r="G2793" s="105" t="b">
        <f>IF(RP_tax,TRUE,VLOOKUP($I$2766,FS_input_data!$C$458:$N$648,Export!$J$2766,FALSE)="")</f>
        <v>1</v>
      </c>
      <c r="H2793" s="6" t="s">
        <v>2189</v>
      </c>
      <c r="I2793" t="s">
        <v>1561</v>
      </c>
      <c r="J2793" t="s">
        <v>1561</v>
      </c>
      <c r="L2793">
        <f t="shared" si="153"/>
        <v>1</v>
      </c>
    </row>
    <row r="2794" spans="1:12" x14ac:dyDescent="0.35">
      <c r="A2794" s="9">
        <f t="shared" si="154"/>
        <v>2793</v>
      </c>
      <c r="B2794" t="s">
        <v>749</v>
      </c>
      <c r="C2794" s="109">
        <f>IF(ISBLANK(K2794),IFERROR(VLOOKUP(I2794,FS_input_data!$C$458:$N$648,Export!J2794,FALSE),""),K2794)</f>
        <v>4000</v>
      </c>
      <c r="D2794" s="105" t="b">
        <v>0</v>
      </c>
      <c r="E2794" t="s">
        <v>1561</v>
      </c>
      <c r="F2794" s="105" t="s">
        <v>1815</v>
      </c>
      <c r="G2794" s="105" t="b">
        <f>IF(RP_tax,TRUE,VLOOKUP($I$2766,FS_input_data!$C$458:$N$648,Export!$J$2766,FALSE)="")</f>
        <v>1</v>
      </c>
      <c r="H2794" s="6" t="s">
        <v>2189</v>
      </c>
      <c r="I2794" t="s">
        <v>1815</v>
      </c>
      <c r="J2794">
        <v>12</v>
      </c>
      <c r="L2794" s="9" t="e">
        <f t="shared" si="153"/>
        <v>#VALUE!</v>
      </c>
    </row>
    <row r="2795" spans="1:12" x14ac:dyDescent="0.35">
      <c r="A2795">
        <f t="shared" si="154"/>
        <v>2794</v>
      </c>
      <c r="B2795" t="s">
        <v>750</v>
      </c>
      <c r="C2795" s="109" t="str">
        <f>IF(ISBLANK(K2795),IFERROR(VLOOKUP(I2795,FS_input_data!$C$458:$N$648,Export!J2795,FALSE),""),K2795)</f>
        <v/>
      </c>
      <c r="D2795" s="105"/>
      <c r="E2795" t="s">
        <v>1561</v>
      </c>
      <c r="F2795" s="105" t="s">
        <v>1815</v>
      </c>
      <c r="G2795" s="105" t="b">
        <f>IF(RP_tax,TRUE,VLOOKUP($I$2766,FS_input_data!$C$458:$N$648,Export!$J$2766,FALSE)="")</f>
        <v>1</v>
      </c>
      <c r="H2795" s="6" t="s">
        <v>2189</v>
      </c>
      <c r="I2795" t="s">
        <v>1561</v>
      </c>
      <c r="J2795" t="s">
        <v>1561</v>
      </c>
      <c r="L2795">
        <f t="shared" si="153"/>
        <v>1</v>
      </c>
    </row>
    <row r="2796" spans="1:12" x14ac:dyDescent="0.35">
      <c r="A2796">
        <f t="shared" si="154"/>
        <v>2795</v>
      </c>
      <c r="B2796" t="s">
        <v>745</v>
      </c>
      <c r="C2796" s="109" t="str">
        <f>IF(ISBLANK(K2796),IFERROR(VLOOKUP(I2796,FS_input_data!$C$458:$N$648,Export!J2796,FALSE),""),K2796)</f>
        <v/>
      </c>
      <c r="D2796" s="105"/>
      <c r="E2796" t="s">
        <v>1561</v>
      </c>
      <c r="F2796" s="105" t="s">
        <v>1815</v>
      </c>
      <c r="G2796" s="105" t="b">
        <f>IF(RP_tax,TRUE,VLOOKUP($I$2766,FS_input_data!$C$458:$N$648,Export!$J$2766,FALSE)="")</f>
        <v>1</v>
      </c>
      <c r="H2796" s="6" t="s">
        <v>2189</v>
      </c>
      <c r="I2796" t="s">
        <v>1561</v>
      </c>
      <c r="J2796" t="s">
        <v>1561</v>
      </c>
      <c r="L2796">
        <f t="shared" si="153"/>
        <v>1</v>
      </c>
    </row>
    <row r="2797" spans="1:12" x14ac:dyDescent="0.35">
      <c r="A2797">
        <f t="shared" si="154"/>
        <v>2796</v>
      </c>
      <c r="B2797" t="s">
        <v>764</v>
      </c>
      <c r="C2797" s="109" t="str">
        <f>IF(ISBLANK(K2797),IFERROR(VLOOKUP(I2797,FS_input_data!$C$458:$N$648,Export!J2797,FALSE),""),K2797)</f>
        <v/>
      </c>
      <c r="D2797" s="105"/>
      <c r="E2797" t="s">
        <v>1561</v>
      </c>
      <c r="F2797" s="105" t="s">
        <v>1815</v>
      </c>
      <c r="G2797" s="105" t="b">
        <f>VLOOKUP($I$2766,FS_input_data!$C$458:$N$648,Export!$J$2766,FALSE)=""</f>
        <v>0</v>
      </c>
      <c r="H2797" s="6" t="s">
        <v>2189</v>
      </c>
      <c r="I2797" t="s">
        <v>1561</v>
      </c>
      <c r="J2797" t="s">
        <v>1561</v>
      </c>
      <c r="L2797">
        <f t="shared" si="153"/>
        <v>1</v>
      </c>
    </row>
    <row r="2798" spans="1:12" x14ac:dyDescent="0.35">
      <c r="A2798">
        <f t="shared" si="154"/>
        <v>2797</v>
      </c>
      <c r="B2798" t="s">
        <v>765</v>
      </c>
      <c r="C2798" s="109" t="str">
        <f>IF(ISBLANK(K2798),IFERROR(VLOOKUP(I2798,FS_input_data!$C$458:$N$648,Export!J2798,FALSE),""),K2798)</f>
        <v/>
      </c>
      <c r="D2798" s="105"/>
      <c r="E2798" t="s">
        <v>1561</v>
      </c>
      <c r="F2798" s="105" t="s">
        <v>1815</v>
      </c>
      <c r="G2798" s="105" t="b">
        <f>VLOOKUP($I$2766,FS_input_data!$C$458:$N$648,Export!$J$2766,FALSE)=""</f>
        <v>0</v>
      </c>
      <c r="H2798" s="6" t="s">
        <v>2189</v>
      </c>
      <c r="I2798" t="s">
        <v>1561</v>
      </c>
      <c r="J2798" t="s">
        <v>1561</v>
      </c>
      <c r="L2798">
        <f t="shared" si="153"/>
        <v>1</v>
      </c>
    </row>
    <row r="2799" spans="1:12" x14ac:dyDescent="0.35">
      <c r="A2799">
        <f t="shared" si="154"/>
        <v>2798</v>
      </c>
      <c r="B2799" t="s">
        <v>752</v>
      </c>
      <c r="C2799" s="109" t="str">
        <f>IF(ISBLANK(K2799),IFERROR(VLOOKUP(I2799,FS_input_data!$C$458:$N$648,Export!J2799,FALSE),""),K2799)</f>
        <v/>
      </c>
      <c r="D2799" s="102"/>
      <c r="E2799" t="s">
        <v>1561</v>
      </c>
      <c r="F2799" s="102" t="s">
        <v>1818</v>
      </c>
      <c r="G2799" s="102" t="b">
        <f>VLOOKUP($I$2800,FS_input_data!$C$458:$N$648,Export!$J$2800,FALSE)=""</f>
        <v>0</v>
      </c>
      <c r="H2799" s="6" t="s">
        <v>2189</v>
      </c>
      <c r="I2799" t="s">
        <v>1561</v>
      </c>
      <c r="J2799" t="s">
        <v>1561</v>
      </c>
      <c r="L2799" s="9" t="e">
        <f t="shared" si="153"/>
        <v>#VALUE!</v>
      </c>
    </row>
    <row r="2800" spans="1:12" x14ac:dyDescent="0.35">
      <c r="A2800" s="9">
        <f t="shared" si="154"/>
        <v>2799</v>
      </c>
      <c r="B2800" t="s">
        <v>101</v>
      </c>
      <c r="C2800" s="109" t="str">
        <f>IF(ISBLANK(K2800),IFERROR(VLOOKUP(I2800,FS_input_data!$C$458:$N$648,Export!J2800,FALSE),""),K2800)</f>
        <v>OB9</v>
      </c>
      <c r="D2800" s="102" t="b">
        <v>1</v>
      </c>
      <c r="E2800" t="s">
        <v>1561</v>
      </c>
      <c r="F2800" s="102" t="s">
        <v>1818</v>
      </c>
      <c r="G2800" s="102" t="b">
        <f>VLOOKUP($I$2800,FS_input_data!$C$458:$N$648,Export!$J$2800,FALSE)=""</f>
        <v>0</v>
      </c>
      <c r="H2800" s="6" t="s">
        <v>2189</v>
      </c>
      <c r="I2800" t="s">
        <v>1818</v>
      </c>
      <c r="J2800">
        <v>6</v>
      </c>
      <c r="L2800" s="9" t="e">
        <f t="shared" si="153"/>
        <v>#VALUE!</v>
      </c>
    </row>
    <row r="2801" spans="1:12" x14ac:dyDescent="0.35">
      <c r="A2801">
        <f t="shared" si="154"/>
        <v>2800</v>
      </c>
      <c r="B2801" t="s">
        <v>102</v>
      </c>
      <c r="C2801" s="109" t="str">
        <f>IF(ISBLANK(K2801),IFERROR(VLOOKUP(I2801,FS_input_data!$C$458:$N$648,Export!J2801,FALSE),""),K2801)</f>
        <v/>
      </c>
      <c r="D2801" s="102"/>
      <c r="E2801" t="s">
        <v>1561</v>
      </c>
      <c r="F2801" s="102" t="s">
        <v>1818</v>
      </c>
      <c r="G2801" s="102" t="b">
        <f>VLOOKUP($I$2800,FS_input_data!$C$458:$N$648,Export!$J$2800,FALSE)=""</f>
        <v>0</v>
      </c>
      <c r="H2801" s="6" t="s">
        <v>2189</v>
      </c>
      <c r="I2801" t="s">
        <v>1561</v>
      </c>
      <c r="J2801" t="s">
        <v>1561</v>
      </c>
      <c r="L2801">
        <f t="shared" si="153"/>
        <v>1</v>
      </c>
    </row>
    <row r="2802" spans="1:12" x14ac:dyDescent="0.35">
      <c r="A2802">
        <f t="shared" si="154"/>
        <v>2801</v>
      </c>
      <c r="B2802" t="s">
        <v>753</v>
      </c>
      <c r="C2802" s="109" t="str">
        <f>IF(ISBLANK(K2802),IFERROR(VLOOKUP(I2802,FS_input_data!$C$458:$N$648,Export!J2802,FALSE),""),K2802)</f>
        <v/>
      </c>
      <c r="D2802" s="102"/>
      <c r="E2802" t="s">
        <v>1561</v>
      </c>
      <c r="F2802" s="102" t="s">
        <v>1818</v>
      </c>
      <c r="G2802" s="102" t="b">
        <f>VLOOKUP($I$2800,FS_input_data!$C$458:$N$648,Export!$J$2800,FALSE)=""</f>
        <v>0</v>
      </c>
      <c r="H2802" s="6" t="s">
        <v>2189</v>
      </c>
      <c r="I2802" t="s">
        <v>1561</v>
      </c>
      <c r="J2802" t="s">
        <v>1561</v>
      </c>
      <c r="L2802" s="9" t="e">
        <f t="shared" si="153"/>
        <v>#VALUE!</v>
      </c>
    </row>
    <row r="2803" spans="1:12" x14ac:dyDescent="0.35">
      <c r="A2803">
        <f t="shared" si="154"/>
        <v>2802</v>
      </c>
      <c r="B2803" t="s">
        <v>742</v>
      </c>
      <c r="C2803" s="109" t="str">
        <f>IF(ISBLANK(K2803),IFERROR(VLOOKUP(I2803,FS_input_data!$C$458:$N$648,Export!J2803,FALSE),""),K2803)</f>
        <v/>
      </c>
      <c r="D2803" s="102"/>
      <c r="E2803" t="s">
        <v>1561</v>
      </c>
      <c r="F2803" s="102" t="s">
        <v>1818</v>
      </c>
      <c r="G2803" s="102" t="b">
        <f>VLOOKUP($I$2800,FS_input_data!$C$458:$N$648,Export!$J$2800,FALSE)=""</f>
        <v>0</v>
      </c>
      <c r="H2803" s="6" t="s">
        <v>2189</v>
      </c>
      <c r="I2803" t="s">
        <v>1561</v>
      </c>
      <c r="J2803" t="s">
        <v>1561</v>
      </c>
      <c r="L2803" s="9" t="e">
        <f t="shared" si="153"/>
        <v>#VALUE!</v>
      </c>
    </row>
    <row r="2804" spans="1:12" x14ac:dyDescent="0.35">
      <c r="A2804">
        <f t="shared" si="154"/>
        <v>2803</v>
      </c>
      <c r="B2804" t="s">
        <v>748</v>
      </c>
      <c r="C2804" s="109" t="str">
        <f>IF(ISBLANK(K2804),IFERROR(VLOOKUP(I2804,FS_input_data!$C$458:$N$648,Export!J2804,FALSE),""),K2804)</f>
        <v/>
      </c>
      <c r="D2804" s="102"/>
      <c r="E2804" t="s">
        <v>1561</v>
      </c>
      <c r="F2804" s="102" t="s">
        <v>1818</v>
      </c>
      <c r="G2804" s="102" t="b">
        <f>VLOOKUP($I$2800,FS_input_data!$C$458:$N$648,Export!$J$2800,FALSE)=""</f>
        <v>0</v>
      </c>
      <c r="H2804" s="6" t="s">
        <v>2189</v>
      </c>
      <c r="I2804" t="s">
        <v>1561</v>
      </c>
      <c r="J2804" t="s">
        <v>1561</v>
      </c>
      <c r="L2804" s="9" t="e">
        <f t="shared" si="153"/>
        <v>#VALUE!</v>
      </c>
    </row>
    <row r="2805" spans="1:12" x14ac:dyDescent="0.35">
      <c r="A2805" s="9">
        <f t="shared" si="154"/>
        <v>2804</v>
      </c>
      <c r="B2805" t="s">
        <v>109</v>
      </c>
      <c r="C2805" s="109">
        <f>IF(ISBLANK(K2805),IFERROR(VLOOKUP(I2805,FS_input_data!$C$458:$N$648,Export!J2805,FALSE),""),K2805)</f>
        <v>9000</v>
      </c>
      <c r="D2805" s="102" t="b">
        <v>1</v>
      </c>
      <c r="E2805" t="s">
        <v>1561</v>
      </c>
      <c r="F2805" s="102" t="s">
        <v>1818</v>
      </c>
      <c r="G2805" s="102" t="b">
        <f>VLOOKUP($I$2800,FS_input_data!$C$458:$N$648,Export!$J$2800,FALSE)=""</f>
        <v>0</v>
      </c>
      <c r="H2805" s="6" t="s">
        <v>2189</v>
      </c>
      <c r="I2805" t="s">
        <v>1818</v>
      </c>
      <c r="J2805">
        <v>7</v>
      </c>
      <c r="L2805" s="9" t="e">
        <f t="shared" si="153"/>
        <v>#VALUE!</v>
      </c>
    </row>
    <row r="2806" spans="1:12" x14ac:dyDescent="0.35">
      <c r="A2806">
        <f t="shared" si="154"/>
        <v>2805</v>
      </c>
      <c r="B2806" t="s">
        <v>110</v>
      </c>
      <c r="C2806" s="109" t="str">
        <f>IF(ISBLANK(K2806),IFERROR(VLOOKUP(I2806,FS_input_data!$C$458:$N$648,Export!J2806,FALSE),""),K2806)</f>
        <v/>
      </c>
      <c r="D2806" s="102"/>
      <c r="E2806" t="s">
        <v>1561</v>
      </c>
      <c r="F2806" s="102" t="s">
        <v>1818</v>
      </c>
      <c r="G2806" s="102" t="b">
        <f>VLOOKUP($I$2800,FS_input_data!$C$458:$N$648,Export!$J$2800,FALSE)=""</f>
        <v>0</v>
      </c>
      <c r="H2806" s="6" t="s">
        <v>2189</v>
      </c>
      <c r="I2806" t="s">
        <v>1561</v>
      </c>
      <c r="J2806" t="s">
        <v>1561</v>
      </c>
      <c r="L2806">
        <f t="shared" si="153"/>
        <v>1</v>
      </c>
    </row>
    <row r="2807" spans="1:12" x14ac:dyDescent="0.35">
      <c r="A2807" s="9">
        <f t="shared" si="154"/>
        <v>2806</v>
      </c>
      <c r="B2807" t="s">
        <v>111</v>
      </c>
      <c r="C2807" s="109">
        <f>IF(ISBLANK(K2807),IFERROR(VLOOKUP(I2807,FS_input_data!$C$458:$N$648,Export!J2807,FALSE),""),K2807)</f>
        <v>4500</v>
      </c>
      <c r="D2807" s="102" t="b">
        <v>0</v>
      </c>
      <c r="E2807" t="s">
        <v>1561</v>
      </c>
      <c r="F2807" s="102" t="s">
        <v>1818</v>
      </c>
      <c r="G2807" s="102" t="b">
        <f>VLOOKUP($I$2800,FS_input_data!$C$458:$N$648,Export!$J$2800,FALSE)=""</f>
        <v>0</v>
      </c>
      <c r="H2807" s="6" t="s">
        <v>2189</v>
      </c>
      <c r="I2807" t="s">
        <v>1818</v>
      </c>
      <c r="J2807">
        <v>8</v>
      </c>
      <c r="L2807" s="9" t="e">
        <f t="shared" si="153"/>
        <v>#VALUE!</v>
      </c>
    </row>
    <row r="2808" spans="1:12" x14ac:dyDescent="0.35">
      <c r="A2808">
        <f t="shared" si="154"/>
        <v>2807</v>
      </c>
      <c r="B2808" t="s">
        <v>112</v>
      </c>
      <c r="C2808" s="109" t="str">
        <f>IF(ISBLANK(K2808),IFERROR(VLOOKUP(I2808,FS_input_data!$C$458:$N$648,Export!J2808,FALSE),""),K2808)</f>
        <v/>
      </c>
      <c r="D2808" s="102"/>
      <c r="E2808" t="s">
        <v>1561</v>
      </c>
      <c r="F2808" s="102" t="s">
        <v>1818</v>
      </c>
      <c r="G2808" s="102" t="b">
        <f>VLOOKUP($I$2800,FS_input_data!$C$458:$N$648,Export!$J$2800,FALSE)=""</f>
        <v>0</v>
      </c>
      <c r="H2808" s="6" t="s">
        <v>2189</v>
      </c>
      <c r="I2808" t="s">
        <v>1561</v>
      </c>
      <c r="J2808" t="s">
        <v>1561</v>
      </c>
      <c r="L2808">
        <f t="shared" si="153"/>
        <v>1</v>
      </c>
    </row>
    <row r="2809" spans="1:12" x14ac:dyDescent="0.35">
      <c r="A2809" s="9">
        <f t="shared" si="154"/>
        <v>2808</v>
      </c>
      <c r="B2809" t="s">
        <v>749</v>
      </c>
      <c r="C2809" s="109">
        <f>IF(ISBLANK(K2809),IFERROR(VLOOKUP(I2809,FS_input_data!$C$458:$N$648,Export!J2809,FALSE),""),K2809)</f>
        <v>4500</v>
      </c>
      <c r="D2809" s="102" t="b">
        <v>0</v>
      </c>
      <c r="E2809" t="s">
        <v>1561</v>
      </c>
      <c r="F2809" s="102" t="s">
        <v>1818</v>
      </c>
      <c r="G2809" s="102" t="b">
        <f>VLOOKUP($I$2800,FS_input_data!$C$458:$N$648,Export!$J$2800,FALSE)=""</f>
        <v>0</v>
      </c>
      <c r="H2809" s="6" t="s">
        <v>2189</v>
      </c>
      <c r="I2809" t="s">
        <v>1818</v>
      </c>
      <c r="J2809">
        <v>9</v>
      </c>
      <c r="L2809" s="9" t="e">
        <f t="shared" si="153"/>
        <v>#VALUE!</v>
      </c>
    </row>
    <row r="2810" spans="1:12" x14ac:dyDescent="0.35">
      <c r="A2810">
        <f t="shared" si="154"/>
        <v>2809</v>
      </c>
      <c r="B2810" t="s">
        <v>750</v>
      </c>
      <c r="C2810" s="109" t="str">
        <f>IF(ISBLANK(K2810),IFERROR(VLOOKUP(I2810,FS_input_data!$C$458:$N$648,Export!J2810,FALSE),""),K2810)</f>
        <v/>
      </c>
      <c r="D2810" s="102"/>
      <c r="E2810" t="s">
        <v>1561</v>
      </c>
      <c r="F2810" s="102" t="s">
        <v>1818</v>
      </c>
      <c r="G2810" s="102" t="b">
        <f>VLOOKUP($I$2800,FS_input_data!$C$458:$N$648,Export!$J$2800,FALSE)=""</f>
        <v>0</v>
      </c>
      <c r="H2810" s="6" t="s">
        <v>2189</v>
      </c>
      <c r="I2810" t="s">
        <v>1561</v>
      </c>
      <c r="J2810" t="s">
        <v>1561</v>
      </c>
      <c r="L2810">
        <f t="shared" si="153"/>
        <v>1</v>
      </c>
    </row>
    <row r="2811" spans="1:12" x14ac:dyDescent="0.35">
      <c r="A2811">
        <f t="shared" si="154"/>
        <v>2810</v>
      </c>
      <c r="B2811" t="s">
        <v>751</v>
      </c>
      <c r="C2811" s="109" t="str">
        <f>IF(ISBLANK(K2811),IFERROR(VLOOKUP(I2811,FS_input_data!$C$458:$N$648,Export!J2811,FALSE),""),K2811)</f>
        <v/>
      </c>
      <c r="D2811" s="102"/>
      <c r="E2811" t="s">
        <v>1561</v>
      </c>
      <c r="F2811" s="102" t="s">
        <v>1818</v>
      </c>
      <c r="G2811" s="102" t="b">
        <f>VLOOKUP($I$2800,FS_input_data!$C$458:$N$648,Export!$J$2800,FALSE)=""</f>
        <v>0</v>
      </c>
      <c r="H2811" s="6" t="s">
        <v>2189</v>
      </c>
      <c r="I2811" t="s">
        <v>1561</v>
      </c>
      <c r="J2811" t="s">
        <v>1561</v>
      </c>
      <c r="L2811">
        <f t="shared" si="153"/>
        <v>1</v>
      </c>
    </row>
    <row r="2812" spans="1:12" x14ac:dyDescent="0.35">
      <c r="A2812">
        <f t="shared" si="154"/>
        <v>2811</v>
      </c>
      <c r="B2812" t="s">
        <v>754</v>
      </c>
      <c r="C2812" s="109" t="str">
        <f>IF(ISBLANK(K2812),IFERROR(VLOOKUP(I2812,FS_input_data!$C$458:$N$648,Export!J2812,FALSE),""),K2812)</f>
        <v/>
      </c>
      <c r="D2812" s="102"/>
      <c r="E2812" t="s">
        <v>1561</v>
      </c>
      <c r="F2812" s="102" t="s">
        <v>1818</v>
      </c>
      <c r="G2812" s="102" t="b">
        <f>VLOOKUP($I$2800,FS_input_data!$C$458:$N$648,Export!$J$2800,FALSE)=""</f>
        <v>0</v>
      </c>
      <c r="H2812" s="6" t="s">
        <v>2189</v>
      </c>
      <c r="I2812" t="s">
        <v>1561</v>
      </c>
      <c r="J2812" t="s">
        <v>1561</v>
      </c>
      <c r="L2812" s="9" t="e">
        <f t="shared" si="153"/>
        <v>#VALUE!</v>
      </c>
    </row>
    <row r="2813" spans="1:12" x14ac:dyDescent="0.35">
      <c r="A2813" s="9">
        <f t="shared" si="154"/>
        <v>2812</v>
      </c>
      <c r="B2813" t="s">
        <v>755</v>
      </c>
      <c r="C2813" s="109">
        <f>IF(ISBLANK(K2813),IFERROR(VLOOKUP(I2813,FS_input_data!$C$458:$N$648,Export!J2813,FALSE),""),K2813)</f>
        <v>9</v>
      </c>
      <c r="D2813" s="102" t="b">
        <v>1</v>
      </c>
      <c r="E2813" t="s">
        <v>1561</v>
      </c>
      <c r="F2813" s="102" t="s">
        <v>1818</v>
      </c>
      <c r="G2813" s="102" t="b">
        <f>VLOOKUP($I$2800,FS_input_data!$C$458:$N$648,Export!$J$2800,FALSE)=""</f>
        <v>0</v>
      </c>
      <c r="H2813" s="6" t="s">
        <v>2189</v>
      </c>
      <c r="I2813" t="s">
        <v>1818</v>
      </c>
      <c r="J2813">
        <v>2</v>
      </c>
      <c r="L2813" s="9" t="e">
        <f t="shared" si="153"/>
        <v>#VALUE!</v>
      </c>
    </row>
    <row r="2814" spans="1:12" x14ac:dyDescent="0.35">
      <c r="A2814">
        <f t="shared" si="154"/>
        <v>2813</v>
      </c>
      <c r="B2814" t="s">
        <v>756</v>
      </c>
      <c r="C2814" s="109" t="str">
        <f>IF(ISBLANK(K2814),IFERROR(VLOOKUP(I2814,FS_input_data!$C$458:$N$648,Export!J2814,FALSE),""),K2814)</f>
        <v/>
      </c>
      <c r="D2814" s="102"/>
      <c r="E2814" t="s">
        <v>1561</v>
      </c>
      <c r="F2814" s="102" t="s">
        <v>1818</v>
      </c>
      <c r="G2814" s="102" t="b">
        <f>VLOOKUP($I$2800,FS_input_data!$C$458:$N$648,Export!$J$2800,FALSE)=""</f>
        <v>0</v>
      </c>
      <c r="H2814" s="6" t="s">
        <v>2189</v>
      </c>
      <c r="I2814" t="s">
        <v>1561</v>
      </c>
      <c r="J2814" t="s">
        <v>1561</v>
      </c>
      <c r="L2814">
        <f t="shared" si="153"/>
        <v>1</v>
      </c>
    </row>
    <row r="2815" spans="1:12" x14ac:dyDescent="0.35">
      <c r="A2815" s="9">
        <f t="shared" si="154"/>
        <v>2814</v>
      </c>
      <c r="B2815" t="s">
        <v>757</v>
      </c>
      <c r="C2815" s="109">
        <f>IF(ISBLANK(K2815),IFERROR(VLOOKUP(I2815,FS_input_data!$C$458:$N$648,Export!J2815,FALSE),""),K2815)</f>
        <v>109</v>
      </c>
      <c r="D2815" s="102" t="b">
        <v>0</v>
      </c>
      <c r="E2815" t="s">
        <v>1561</v>
      </c>
      <c r="F2815" s="102" t="s">
        <v>1818</v>
      </c>
      <c r="G2815" s="102" t="b">
        <f>VLOOKUP($I$2800,FS_input_data!$C$458:$N$648,Export!$J$2800,FALSE)=""</f>
        <v>0</v>
      </c>
      <c r="H2815" s="6" t="s">
        <v>2189</v>
      </c>
      <c r="I2815" t="s">
        <v>1818</v>
      </c>
      <c r="J2815">
        <v>3</v>
      </c>
      <c r="L2815" s="9" t="e">
        <f t="shared" si="153"/>
        <v>#VALUE!</v>
      </c>
    </row>
    <row r="2816" spans="1:12" x14ac:dyDescent="0.35">
      <c r="A2816">
        <f t="shared" si="154"/>
        <v>2815</v>
      </c>
      <c r="B2816" t="s">
        <v>758</v>
      </c>
      <c r="C2816" s="109" t="str">
        <f>IF(ISBLANK(K2816),IFERROR(VLOOKUP(I2816,FS_input_data!$C$458:$N$648,Export!J2816,FALSE),""),K2816)</f>
        <v/>
      </c>
      <c r="D2816" s="102"/>
      <c r="E2816" t="s">
        <v>1561</v>
      </c>
      <c r="F2816" s="102" t="s">
        <v>1818</v>
      </c>
      <c r="G2816" s="102" t="b">
        <f>VLOOKUP($I$2800,FS_input_data!$C$458:$N$648,Export!$J$2800,FALSE)=""</f>
        <v>0</v>
      </c>
      <c r="H2816" s="6" t="s">
        <v>2189</v>
      </c>
      <c r="I2816" t="s">
        <v>1561</v>
      </c>
      <c r="J2816" t="s">
        <v>1561</v>
      </c>
      <c r="L2816">
        <f t="shared" si="153"/>
        <v>1</v>
      </c>
    </row>
    <row r="2817" spans="1:12" x14ac:dyDescent="0.35">
      <c r="A2817" s="9">
        <f t="shared" si="154"/>
        <v>2816</v>
      </c>
      <c r="B2817" t="s">
        <v>759</v>
      </c>
      <c r="C2817" s="109">
        <f>IF(ISBLANK(K2817),IFERROR(VLOOKUP(I2817,FS_input_data!$C$458:$N$648,Export!J2817,FALSE),""),K2817)</f>
        <v>209</v>
      </c>
      <c r="D2817" s="102" t="b">
        <v>0</v>
      </c>
      <c r="E2817" t="s">
        <v>1561</v>
      </c>
      <c r="F2817" s="102" t="s">
        <v>1818</v>
      </c>
      <c r="G2817" s="102" t="b">
        <f>VLOOKUP($I$2800,FS_input_data!$C$458:$N$648,Export!$J$2800,FALSE)=""</f>
        <v>0</v>
      </c>
      <c r="H2817" s="6" t="s">
        <v>2189</v>
      </c>
      <c r="I2817" t="s">
        <v>1818</v>
      </c>
      <c r="J2817">
        <v>4</v>
      </c>
      <c r="L2817" s="9" t="e">
        <f t="shared" si="153"/>
        <v>#VALUE!</v>
      </c>
    </row>
    <row r="2818" spans="1:12" x14ac:dyDescent="0.35">
      <c r="A2818">
        <f t="shared" si="154"/>
        <v>2817</v>
      </c>
      <c r="B2818" t="s">
        <v>760</v>
      </c>
      <c r="C2818" s="109" t="str">
        <f>IF(ISBLANK(K2818),IFERROR(VLOOKUP(I2818,FS_input_data!$C$458:$N$648,Export!J2818,FALSE),""),K2818)</f>
        <v/>
      </c>
      <c r="D2818" s="102"/>
      <c r="E2818" t="s">
        <v>1561</v>
      </c>
      <c r="F2818" s="102" t="s">
        <v>1818</v>
      </c>
      <c r="G2818" s="102" t="b">
        <f>VLOOKUP($I$2800,FS_input_data!$C$458:$N$648,Export!$J$2800,FALSE)=""</f>
        <v>0</v>
      </c>
      <c r="H2818" s="6" t="s">
        <v>2189</v>
      </c>
      <c r="I2818" t="s">
        <v>1561</v>
      </c>
      <c r="J2818" t="s">
        <v>1561</v>
      </c>
      <c r="L2818">
        <f t="shared" ref="L2818:L2881" si="155">FIND("/",B2818)</f>
        <v>1</v>
      </c>
    </row>
    <row r="2819" spans="1:12" x14ac:dyDescent="0.35">
      <c r="A2819" s="9">
        <f t="shared" ref="A2819:A2882" si="156">A2818+1</f>
        <v>2818</v>
      </c>
      <c r="B2819" t="s">
        <v>761</v>
      </c>
      <c r="C2819" s="109" t="str">
        <f>IF(ISBLANK(K2819),IFERROR(VLOOKUP(I2819,FS_input_data!$C$458:$N$648,Export!J2819,FALSE),""),K2819)</f>
        <v>i</v>
      </c>
      <c r="D2819" s="102" t="b">
        <v>0</v>
      </c>
      <c r="E2819" t="s">
        <v>1561</v>
      </c>
      <c r="F2819" s="102" t="s">
        <v>1818</v>
      </c>
      <c r="G2819" s="102" t="b">
        <f>VLOOKUP($I$2800,FS_input_data!$C$458:$N$648,Export!$J$2800,FALSE)=""</f>
        <v>0</v>
      </c>
      <c r="H2819" s="6" t="s">
        <v>2189</v>
      </c>
      <c r="I2819" t="s">
        <v>1818</v>
      </c>
      <c r="J2819">
        <v>5</v>
      </c>
      <c r="L2819" s="9" t="e">
        <f t="shared" si="155"/>
        <v>#VALUE!</v>
      </c>
    </row>
    <row r="2820" spans="1:12" x14ac:dyDescent="0.35">
      <c r="A2820">
        <f t="shared" si="156"/>
        <v>2819</v>
      </c>
      <c r="B2820" t="s">
        <v>762</v>
      </c>
      <c r="C2820" s="109" t="str">
        <f>IF(ISBLANK(K2820),IFERROR(VLOOKUP(I2820,FS_input_data!$C$458:$N$648,Export!J2820,FALSE),""),K2820)</f>
        <v/>
      </c>
      <c r="D2820" s="102"/>
      <c r="E2820" t="s">
        <v>1561</v>
      </c>
      <c r="F2820" s="102" t="s">
        <v>1818</v>
      </c>
      <c r="G2820" s="102" t="b">
        <f>VLOOKUP($I$2800,FS_input_data!$C$458:$N$648,Export!$J$2800,FALSE)=""</f>
        <v>0</v>
      </c>
      <c r="H2820" s="6" t="s">
        <v>2189</v>
      </c>
      <c r="I2820" t="s">
        <v>1561</v>
      </c>
      <c r="J2820" t="s">
        <v>1561</v>
      </c>
      <c r="L2820">
        <f t="shared" si="155"/>
        <v>1</v>
      </c>
    </row>
    <row r="2821" spans="1:12" x14ac:dyDescent="0.35">
      <c r="A2821">
        <f t="shared" si="156"/>
        <v>2820</v>
      </c>
      <c r="B2821" t="s">
        <v>763</v>
      </c>
      <c r="C2821" s="109" t="str">
        <f>IF(ISBLANK(K2821),IFERROR(VLOOKUP(I2821,FS_input_data!$C$458:$N$648,Export!J2821,FALSE),""),K2821)</f>
        <v/>
      </c>
      <c r="D2821" s="102"/>
      <c r="E2821" t="s">
        <v>1561</v>
      </c>
      <c r="F2821" s="102" t="s">
        <v>1818</v>
      </c>
      <c r="G2821" s="102" t="b">
        <f>VLOOKUP($I$2800,FS_input_data!$C$458:$N$648,Export!$J$2800,FALSE)=""</f>
        <v>0</v>
      </c>
      <c r="H2821" s="6" t="s">
        <v>2189</v>
      </c>
      <c r="I2821" t="s">
        <v>1561</v>
      </c>
      <c r="J2821" t="s">
        <v>1561</v>
      </c>
      <c r="L2821">
        <f t="shared" si="155"/>
        <v>1</v>
      </c>
    </row>
    <row r="2822" spans="1:12" x14ac:dyDescent="0.35">
      <c r="A2822">
        <f t="shared" si="156"/>
        <v>2821</v>
      </c>
      <c r="B2822" t="s">
        <v>743</v>
      </c>
      <c r="C2822" s="109" t="str">
        <f>IF(ISBLANK(K2822),IFERROR(VLOOKUP(I2822,FS_input_data!$C$458:$N$648,Export!J2822,FALSE),""),K2822)</f>
        <v/>
      </c>
      <c r="D2822" s="102"/>
      <c r="E2822" t="s">
        <v>1561</v>
      </c>
      <c r="F2822" s="102" t="s">
        <v>1818</v>
      </c>
      <c r="G2822" s="102" t="b">
        <f>VLOOKUP($I$2800,FS_input_data!$C$458:$N$648,Export!$J$2800,FALSE)=""</f>
        <v>0</v>
      </c>
      <c r="H2822" s="6" t="s">
        <v>2189</v>
      </c>
      <c r="I2822" t="s">
        <v>1561</v>
      </c>
      <c r="J2822" t="s">
        <v>1561</v>
      </c>
      <c r="L2822">
        <f t="shared" si="155"/>
        <v>1</v>
      </c>
    </row>
    <row r="2823" spans="1:12" x14ac:dyDescent="0.35">
      <c r="A2823">
        <f t="shared" si="156"/>
        <v>2822</v>
      </c>
      <c r="B2823" t="s">
        <v>744</v>
      </c>
      <c r="C2823" s="109" t="str">
        <f>IF(ISBLANK(K2823),IFERROR(VLOOKUP(I2823,FS_input_data!$C$458:$N$648,Export!J2823,FALSE),""),K2823)</f>
        <v/>
      </c>
      <c r="D2823" s="102"/>
      <c r="E2823" t="s">
        <v>1561</v>
      </c>
      <c r="F2823" s="102" t="s">
        <v>1818</v>
      </c>
      <c r="G2823" s="102" t="b">
        <f>IF(RP_tax,TRUE,VLOOKUP($I$2800,FS_input_data!$C$458:$N$648,Export!$J$2800,FALSE)="")</f>
        <v>1</v>
      </c>
      <c r="H2823" s="6" t="s">
        <v>2189</v>
      </c>
      <c r="I2823" t="s">
        <v>1561</v>
      </c>
      <c r="J2823" t="s">
        <v>1561</v>
      </c>
      <c r="L2823" s="9" t="e">
        <f t="shared" si="155"/>
        <v>#VALUE!</v>
      </c>
    </row>
    <row r="2824" spans="1:12" x14ac:dyDescent="0.35">
      <c r="A2824" s="9">
        <f t="shared" si="156"/>
        <v>2823</v>
      </c>
      <c r="B2824" t="s">
        <v>109</v>
      </c>
      <c r="C2824" s="109">
        <f>IF(ISBLANK(K2824),IFERROR(VLOOKUP(I2824,FS_input_data!$C$458:$N$648,Export!J2824,FALSE),""),K2824)</f>
        <v>9000</v>
      </c>
      <c r="D2824" s="102" t="b">
        <v>0</v>
      </c>
      <c r="E2824" t="s">
        <v>1561</v>
      </c>
      <c r="F2824" s="102" t="s">
        <v>1818</v>
      </c>
      <c r="G2824" s="102" t="b">
        <f>IF(RP_tax,TRUE,VLOOKUP($I$2800,FS_input_data!$C$458:$N$648,Export!$J$2800,FALSE)="")</f>
        <v>1</v>
      </c>
      <c r="H2824" s="6" t="s">
        <v>2189</v>
      </c>
      <c r="I2824" t="s">
        <v>1818</v>
      </c>
      <c r="J2824">
        <v>10</v>
      </c>
      <c r="L2824" s="9" t="e">
        <f t="shared" si="155"/>
        <v>#VALUE!</v>
      </c>
    </row>
    <row r="2825" spans="1:12" x14ac:dyDescent="0.35">
      <c r="A2825">
        <f t="shared" si="156"/>
        <v>2824</v>
      </c>
      <c r="B2825" t="s">
        <v>110</v>
      </c>
      <c r="C2825" s="109" t="str">
        <f>IF(ISBLANK(K2825),IFERROR(VLOOKUP(I2825,FS_input_data!$C$458:$N$648,Export!J2825,FALSE),""),K2825)</f>
        <v/>
      </c>
      <c r="D2825" s="102"/>
      <c r="E2825" t="s">
        <v>1561</v>
      </c>
      <c r="F2825" s="102" t="s">
        <v>1818</v>
      </c>
      <c r="G2825" s="102" t="b">
        <f>IF(RP_tax,TRUE,VLOOKUP($I$2800,FS_input_data!$C$458:$N$648,Export!$J$2800,FALSE)="")</f>
        <v>1</v>
      </c>
      <c r="H2825" s="6" t="s">
        <v>2189</v>
      </c>
      <c r="I2825" t="s">
        <v>1561</v>
      </c>
      <c r="J2825" t="s">
        <v>1561</v>
      </c>
      <c r="L2825">
        <f t="shared" si="155"/>
        <v>1</v>
      </c>
    </row>
    <row r="2826" spans="1:12" x14ac:dyDescent="0.35">
      <c r="A2826" s="9">
        <f t="shared" si="156"/>
        <v>2825</v>
      </c>
      <c r="B2826" t="s">
        <v>111</v>
      </c>
      <c r="C2826" s="109">
        <f>IF(ISBLANK(K2826),IFERROR(VLOOKUP(I2826,FS_input_data!$C$458:$N$648,Export!J2826,FALSE),""),K2826)</f>
        <v>4500</v>
      </c>
      <c r="D2826" s="102" t="b">
        <v>0</v>
      </c>
      <c r="E2826" t="s">
        <v>1561</v>
      </c>
      <c r="F2826" s="102" t="s">
        <v>1818</v>
      </c>
      <c r="G2826" s="102" t="b">
        <f>IF(RP_tax,TRUE,VLOOKUP($I$2800,FS_input_data!$C$458:$N$648,Export!$J$2800,FALSE)="")</f>
        <v>1</v>
      </c>
      <c r="H2826" s="6" t="s">
        <v>2189</v>
      </c>
      <c r="I2826" t="s">
        <v>1818</v>
      </c>
      <c r="J2826">
        <v>11</v>
      </c>
      <c r="L2826" s="9" t="e">
        <f t="shared" si="155"/>
        <v>#VALUE!</v>
      </c>
    </row>
    <row r="2827" spans="1:12" x14ac:dyDescent="0.35">
      <c r="A2827">
        <f t="shared" si="156"/>
        <v>2826</v>
      </c>
      <c r="B2827" t="s">
        <v>112</v>
      </c>
      <c r="C2827" s="109" t="str">
        <f>IF(ISBLANK(K2827),IFERROR(VLOOKUP(I2827,FS_input_data!$C$458:$N$648,Export!J2827,FALSE),""),K2827)</f>
        <v/>
      </c>
      <c r="D2827" s="102"/>
      <c r="E2827" t="s">
        <v>1561</v>
      </c>
      <c r="F2827" s="102" t="s">
        <v>1818</v>
      </c>
      <c r="G2827" s="102" t="b">
        <f>IF(RP_tax,TRUE,VLOOKUP($I$2800,FS_input_data!$C$458:$N$648,Export!$J$2800,FALSE)="")</f>
        <v>1</v>
      </c>
      <c r="H2827" s="6" t="s">
        <v>2189</v>
      </c>
      <c r="I2827" t="s">
        <v>1561</v>
      </c>
      <c r="J2827" t="s">
        <v>1561</v>
      </c>
      <c r="L2827">
        <f t="shared" si="155"/>
        <v>1</v>
      </c>
    </row>
    <row r="2828" spans="1:12" x14ac:dyDescent="0.35">
      <c r="A2828" s="9">
        <f t="shared" si="156"/>
        <v>2827</v>
      </c>
      <c r="B2828" t="s">
        <v>749</v>
      </c>
      <c r="C2828" s="109">
        <f>IF(ISBLANK(K2828),IFERROR(VLOOKUP(I2828,FS_input_data!$C$458:$N$648,Export!J2828,FALSE),""),K2828)</f>
        <v>4500</v>
      </c>
      <c r="D2828" s="102" t="b">
        <v>0</v>
      </c>
      <c r="E2828" t="s">
        <v>1561</v>
      </c>
      <c r="F2828" s="102" t="s">
        <v>1818</v>
      </c>
      <c r="G2828" s="102" t="b">
        <f>IF(RP_tax,TRUE,VLOOKUP($I$2800,FS_input_data!$C$458:$N$648,Export!$J$2800,FALSE)="")</f>
        <v>1</v>
      </c>
      <c r="H2828" s="6" t="s">
        <v>2189</v>
      </c>
      <c r="I2828" t="s">
        <v>1818</v>
      </c>
      <c r="J2828">
        <v>12</v>
      </c>
      <c r="L2828" s="9" t="e">
        <f t="shared" si="155"/>
        <v>#VALUE!</v>
      </c>
    </row>
    <row r="2829" spans="1:12" x14ac:dyDescent="0.35">
      <c r="A2829">
        <f t="shared" si="156"/>
        <v>2828</v>
      </c>
      <c r="B2829" t="s">
        <v>750</v>
      </c>
      <c r="C2829" s="109" t="str">
        <f>IF(ISBLANK(K2829),IFERROR(VLOOKUP(I2829,FS_input_data!$C$458:$N$648,Export!J2829,FALSE),""),K2829)</f>
        <v/>
      </c>
      <c r="D2829" s="102"/>
      <c r="E2829" t="s">
        <v>1561</v>
      </c>
      <c r="F2829" s="102" t="s">
        <v>1818</v>
      </c>
      <c r="G2829" s="102" t="b">
        <f>IF(RP_tax,TRUE,VLOOKUP($I$2800,FS_input_data!$C$458:$N$648,Export!$J$2800,FALSE)="")</f>
        <v>1</v>
      </c>
      <c r="H2829" s="6" t="s">
        <v>2189</v>
      </c>
      <c r="I2829" t="s">
        <v>1561</v>
      </c>
      <c r="J2829" t="s">
        <v>1561</v>
      </c>
      <c r="L2829">
        <f t="shared" si="155"/>
        <v>1</v>
      </c>
    </row>
    <row r="2830" spans="1:12" x14ac:dyDescent="0.35">
      <c r="A2830">
        <f t="shared" si="156"/>
        <v>2829</v>
      </c>
      <c r="B2830" t="s">
        <v>745</v>
      </c>
      <c r="C2830" s="109" t="str">
        <f>IF(ISBLANK(K2830),IFERROR(VLOOKUP(I2830,FS_input_data!$C$458:$N$648,Export!J2830,FALSE),""),K2830)</f>
        <v/>
      </c>
      <c r="D2830" s="102"/>
      <c r="E2830" t="s">
        <v>1561</v>
      </c>
      <c r="F2830" s="102" t="s">
        <v>1818</v>
      </c>
      <c r="G2830" s="102" t="b">
        <f>IF(RP_tax,TRUE,VLOOKUP($I$2800,FS_input_data!$C$458:$N$648,Export!$J$2800,FALSE)="")</f>
        <v>1</v>
      </c>
      <c r="H2830" s="6" t="s">
        <v>2189</v>
      </c>
      <c r="I2830" t="s">
        <v>1561</v>
      </c>
      <c r="J2830" t="s">
        <v>1561</v>
      </c>
      <c r="L2830">
        <f t="shared" si="155"/>
        <v>1</v>
      </c>
    </row>
    <row r="2831" spans="1:12" x14ac:dyDescent="0.35">
      <c r="A2831">
        <f t="shared" si="156"/>
        <v>2830</v>
      </c>
      <c r="B2831" t="s">
        <v>764</v>
      </c>
      <c r="C2831" s="109" t="str">
        <f>IF(ISBLANK(K2831),IFERROR(VLOOKUP(I2831,FS_input_data!$C$458:$N$648,Export!J2831,FALSE),""),K2831)</f>
        <v/>
      </c>
      <c r="D2831" s="102"/>
      <c r="E2831" t="s">
        <v>1561</v>
      </c>
      <c r="F2831" s="102" t="s">
        <v>1818</v>
      </c>
      <c r="G2831" s="102" t="b">
        <f>VLOOKUP($I$2800,FS_input_data!$C$458:$N$648,Export!$J$2800,FALSE)=""</f>
        <v>0</v>
      </c>
      <c r="H2831" s="6" t="s">
        <v>2189</v>
      </c>
      <c r="I2831" t="s">
        <v>1561</v>
      </c>
      <c r="J2831" t="s">
        <v>1561</v>
      </c>
      <c r="L2831">
        <f t="shared" si="155"/>
        <v>1</v>
      </c>
    </row>
    <row r="2832" spans="1:12" x14ac:dyDescent="0.35">
      <c r="A2832">
        <f t="shared" si="156"/>
        <v>2831</v>
      </c>
      <c r="B2832" t="s">
        <v>765</v>
      </c>
      <c r="C2832" s="109" t="str">
        <f>IF(ISBLANK(K2832),IFERROR(VLOOKUP(I2832,FS_input_data!$C$458:$N$648,Export!J2832,FALSE),""),K2832)</f>
        <v/>
      </c>
      <c r="D2832" s="102"/>
      <c r="E2832" t="s">
        <v>1561</v>
      </c>
      <c r="F2832" s="102" t="s">
        <v>1818</v>
      </c>
      <c r="G2832" s="102" t="b">
        <f>VLOOKUP($I$2800,FS_input_data!$C$458:$N$648,Export!$J$2800,FALSE)=""</f>
        <v>0</v>
      </c>
      <c r="H2832" s="6" t="s">
        <v>2189</v>
      </c>
      <c r="I2832" t="s">
        <v>1561</v>
      </c>
      <c r="J2832" t="s">
        <v>1561</v>
      </c>
      <c r="L2832">
        <f t="shared" si="155"/>
        <v>1</v>
      </c>
    </row>
    <row r="2833" spans="1:12" x14ac:dyDescent="0.35">
      <c r="A2833">
        <f t="shared" si="156"/>
        <v>2832</v>
      </c>
      <c r="B2833" t="s">
        <v>752</v>
      </c>
      <c r="C2833" s="109" t="str">
        <f>IF(ISBLANK(K2833),IFERROR(VLOOKUP(I2833,FS_input_data!$C$458:$N$648,Export!J2833,FALSE),""),K2833)</f>
        <v/>
      </c>
      <c r="D2833" s="105"/>
      <c r="E2833" t="s">
        <v>1561</v>
      </c>
      <c r="F2833" s="105" t="s">
        <v>1821</v>
      </c>
      <c r="G2833" s="105" t="b">
        <f>VLOOKUP($I$2834,FS_input_data!$C$458:$N$648,Export!$J$2834,FALSE)=""</f>
        <v>0</v>
      </c>
      <c r="H2833" s="6" t="s">
        <v>2189</v>
      </c>
      <c r="I2833" t="s">
        <v>1561</v>
      </c>
      <c r="J2833" t="s">
        <v>1561</v>
      </c>
      <c r="L2833" s="9" t="e">
        <f t="shared" si="155"/>
        <v>#VALUE!</v>
      </c>
    </row>
    <row r="2834" spans="1:12" x14ac:dyDescent="0.35">
      <c r="A2834" s="9">
        <f t="shared" si="156"/>
        <v>2833</v>
      </c>
      <c r="B2834" t="s">
        <v>101</v>
      </c>
      <c r="C2834" s="109" t="str">
        <f>IF(ISBLANK(K2834),IFERROR(VLOOKUP(I2834,FS_input_data!$C$458:$N$648,Export!J2834,FALSE),""),K2834)</f>
        <v>OB10</v>
      </c>
      <c r="D2834" s="105" t="b">
        <v>1</v>
      </c>
      <c r="E2834" t="s">
        <v>1561</v>
      </c>
      <c r="F2834" s="105" t="s">
        <v>1821</v>
      </c>
      <c r="G2834" s="105" t="b">
        <f>VLOOKUP($I$2834,FS_input_data!$C$458:$N$648,Export!$J$2834,FALSE)=""</f>
        <v>0</v>
      </c>
      <c r="H2834" s="6" t="s">
        <v>2189</v>
      </c>
      <c r="I2834" t="s">
        <v>1821</v>
      </c>
      <c r="J2834">
        <v>6</v>
      </c>
      <c r="L2834" s="9" t="e">
        <f t="shared" si="155"/>
        <v>#VALUE!</v>
      </c>
    </row>
    <row r="2835" spans="1:12" x14ac:dyDescent="0.35">
      <c r="A2835">
        <f t="shared" si="156"/>
        <v>2834</v>
      </c>
      <c r="B2835" t="s">
        <v>102</v>
      </c>
      <c r="C2835" s="109" t="str">
        <f>IF(ISBLANK(K2835),IFERROR(VLOOKUP(I2835,FS_input_data!$C$458:$N$648,Export!J2835,FALSE),""),K2835)</f>
        <v/>
      </c>
      <c r="D2835" s="105"/>
      <c r="E2835" t="s">
        <v>1561</v>
      </c>
      <c r="F2835" s="105" t="s">
        <v>1821</v>
      </c>
      <c r="G2835" s="105" t="b">
        <f>VLOOKUP($I$2834,FS_input_data!$C$458:$N$648,Export!$J$2834,FALSE)=""</f>
        <v>0</v>
      </c>
      <c r="H2835" s="6" t="s">
        <v>2189</v>
      </c>
      <c r="I2835" t="s">
        <v>1561</v>
      </c>
      <c r="J2835" t="s">
        <v>1561</v>
      </c>
      <c r="L2835">
        <f t="shared" si="155"/>
        <v>1</v>
      </c>
    </row>
    <row r="2836" spans="1:12" x14ac:dyDescent="0.35">
      <c r="A2836">
        <f t="shared" si="156"/>
        <v>2835</v>
      </c>
      <c r="B2836" t="s">
        <v>753</v>
      </c>
      <c r="C2836" s="109" t="str">
        <f>IF(ISBLANK(K2836),IFERROR(VLOOKUP(I2836,FS_input_data!$C$458:$N$648,Export!J2836,FALSE),""),K2836)</f>
        <v/>
      </c>
      <c r="D2836" s="105"/>
      <c r="E2836" t="s">
        <v>1561</v>
      </c>
      <c r="F2836" s="105" t="s">
        <v>1821</v>
      </c>
      <c r="G2836" s="105" t="b">
        <f>VLOOKUP($I$2834,FS_input_data!$C$458:$N$648,Export!$J$2834,FALSE)=""</f>
        <v>0</v>
      </c>
      <c r="H2836" s="6" t="s">
        <v>2189</v>
      </c>
      <c r="I2836" t="s">
        <v>1561</v>
      </c>
      <c r="J2836" t="s">
        <v>1561</v>
      </c>
      <c r="L2836" s="9" t="e">
        <f t="shared" si="155"/>
        <v>#VALUE!</v>
      </c>
    </row>
    <row r="2837" spans="1:12" x14ac:dyDescent="0.35">
      <c r="A2837">
        <f t="shared" si="156"/>
        <v>2836</v>
      </c>
      <c r="B2837" t="s">
        <v>742</v>
      </c>
      <c r="C2837" s="109" t="str">
        <f>IF(ISBLANK(K2837),IFERROR(VLOOKUP(I2837,FS_input_data!$C$458:$N$648,Export!J2837,FALSE),""),K2837)</f>
        <v/>
      </c>
      <c r="D2837" s="105"/>
      <c r="E2837" t="s">
        <v>1561</v>
      </c>
      <c r="F2837" s="105" t="s">
        <v>1821</v>
      </c>
      <c r="G2837" s="105" t="b">
        <f>VLOOKUP($I$2834,FS_input_data!$C$458:$N$648,Export!$J$2834,FALSE)=""</f>
        <v>0</v>
      </c>
      <c r="H2837" s="6" t="s">
        <v>2189</v>
      </c>
      <c r="I2837" t="s">
        <v>1561</v>
      </c>
      <c r="J2837" t="s">
        <v>1561</v>
      </c>
      <c r="L2837" s="9" t="e">
        <f t="shared" si="155"/>
        <v>#VALUE!</v>
      </c>
    </row>
    <row r="2838" spans="1:12" x14ac:dyDescent="0.35">
      <c r="A2838">
        <f t="shared" si="156"/>
        <v>2837</v>
      </c>
      <c r="B2838" t="s">
        <v>748</v>
      </c>
      <c r="C2838" s="109" t="str">
        <f>IF(ISBLANK(K2838),IFERROR(VLOOKUP(I2838,FS_input_data!$C$458:$N$648,Export!J2838,FALSE),""),K2838)</f>
        <v/>
      </c>
      <c r="D2838" s="105"/>
      <c r="E2838" t="s">
        <v>1561</v>
      </c>
      <c r="F2838" s="105" t="s">
        <v>1821</v>
      </c>
      <c r="G2838" s="105" t="b">
        <f>VLOOKUP($I$2834,FS_input_data!$C$458:$N$648,Export!$J$2834,FALSE)=""</f>
        <v>0</v>
      </c>
      <c r="H2838" s="6" t="s">
        <v>2189</v>
      </c>
      <c r="I2838" t="s">
        <v>1561</v>
      </c>
      <c r="J2838" t="s">
        <v>1561</v>
      </c>
      <c r="L2838" s="9" t="e">
        <f t="shared" si="155"/>
        <v>#VALUE!</v>
      </c>
    </row>
    <row r="2839" spans="1:12" x14ac:dyDescent="0.35">
      <c r="A2839" s="9">
        <f t="shared" si="156"/>
        <v>2838</v>
      </c>
      <c r="B2839" t="s">
        <v>109</v>
      </c>
      <c r="C2839" s="109">
        <f>IF(ISBLANK(K2839),IFERROR(VLOOKUP(I2839,FS_input_data!$C$458:$N$648,Export!J2839,FALSE),""),K2839)</f>
        <v>10000</v>
      </c>
      <c r="D2839" s="105" t="b">
        <v>1</v>
      </c>
      <c r="E2839" t="s">
        <v>1561</v>
      </c>
      <c r="F2839" s="105" t="s">
        <v>1821</v>
      </c>
      <c r="G2839" s="105" t="b">
        <f>VLOOKUP($I$2834,FS_input_data!$C$458:$N$648,Export!$J$2834,FALSE)=""</f>
        <v>0</v>
      </c>
      <c r="H2839" s="6" t="s">
        <v>2189</v>
      </c>
      <c r="I2839" t="s">
        <v>1821</v>
      </c>
      <c r="J2839">
        <v>7</v>
      </c>
      <c r="L2839" s="9" t="e">
        <f t="shared" si="155"/>
        <v>#VALUE!</v>
      </c>
    </row>
    <row r="2840" spans="1:12" x14ac:dyDescent="0.35">
      <c r="A2840">
        <f t="shared" si="156"/>
        <v>2839</v>
      </c>
      <c r="B2840" t="s">
        <v>110</v>
      </c>
      <c r="C2840" s="109" t="str">
        <f>IF(ISBLANK(K2840),IFERROR(VLOOKUP(I2840,FS_input_data!$C$458:$N$648,Export!J2840,FALSE),""),K2840)</f>
        <v/>
      </c>
      <c r="D2840" s="105"/>
      <c r="E2840" t="s">
        <v>1561</v>
      </c>
      <c r="F2840" s="105" t="s">
        <v>1821</v>
      </c>
      <c r="G2840" s="105" t="b">
        <f>VLOOKUP($I$2834,FS_input_data!$C$458:$N$648,Export!$J$2834,FALSE)=""</f>
        <v>0</v>
      </c>
      <c r="H2840" s="6" t="s">
        <v>2189</v>
      </c>
      <c r="I2840" t="s">
        <v>1561</v>
      </c>
      <c r="J2840" t="s">
        <v>1561</v>
      </c>
      <c r="L2840">
        <f t="shared" si="155"/>
        <v>1</v>
      </c>
    </row>
    <row r="2841" spans="1:12" x14ac:dyDescent="0.35">
      <c r="A2841" s="9">
        <f t="shared" si="156"/>
        <v>2840</v>
      </c>
      <c r="B2841" t="s">
        <v>111</v>
      </c>
      <c r="C2841" s="109">
        <f>IF(ISBLANK(K2841),IFERROR(VLOOKUP(I2841,FS_input_data!$C$458:$N$648,Export!J2841,FALSE),""),K2841)</f>
        <v>5000</v>
      </c>
      <c r="D2841" s="105" t="b">
        <v>0</v>
      </c>
      <c r="E2841" t="s">
        <v>1561</v>
      </c>
      <c r="F2841" s="105" t="s">
        <v>1821</v>
      </c>
      <c r="G2841" s="105" t="b">
        <f>VLOOKUP($I$2834,FS_input_data!$C$458:$N$648,Export!$J$2834,FALSE)=""</f>
        <v>0</v>
      </c>
      <c r="H2841" s="6" t="s">
        <v>2189</v>
      </c>
      <c r="I2841" t="s">
        <v>1821</v>
      </c>
      <c r="J2841">
        <v>8</v>
      </c>
      <c r="L2841" s="9" t="e">
        <f t="shared" si="155"/>
        <v>#VALUE!</v>
      </c>
    </row>
    <row r="2842" spans="1:12" x14ac:dyDescent="0.35">
      <c r="A2842">
        <f t="shared" si="156"/>
        <v>2841</v>
      </c>
      <c r="B2842" t="s">
        <v>112</v>
      </c>
      <c r="C2842" s="109" t="str">
        <f>IF(ISBLANK(K2842),IFERROR(VLOOKUP(I2842,FS_input_data!$C$458:$N$648,Export!J2842,FALSE),""),K2842)</f>
        <v/>
      </c>
      <c r="D2842" s="105"/>
      <c r="E2842" t="s">
        <v>1561</v>
      </c>
      <c r="F2842" s="105" t="s">
        <v>1821</v>
      </c>
      <c r="G2842" s="105" t="b">
        <f>VLOOKUP($I$2834,FS_input_data!$C$458:$N$648,Export!$J$2834,FALSE)=""</f>
        <v>0</v>
      </c>
      <c r="H2842" s="6" t="s">
        <v>2189</v>
      </c>
      <c r="I2842" t="s">
        <v>1561</v>
      </c>
      <c r="J2842" t="s">
        <v>1561</v>
      </c>
      <c r="L2842">
        <f t="shared" si="155"/>
        <v>1</v>
      </c>
    </row>
    <row r="2843" spans="1:12" x14ac:dyDescent="0.35">
      <c r="A2843" s="9">
        <f t="shared" si="156"/>
        <v>2842</v>
      </c>
      <c r="B2843" t="s">
        <v>749</v>
      </c>
      <c r="C2843" s="109">
        <f>IF(ISBLANK(K2843),IFERROR(VLOOKUP(I2843,FS_input_data!$C$458:$N$648,Export!J2843,FALSE),""),K2843)</f>
        <v>5000</v>
      </c>
      <c r="D2843" s="105" t="b">
        <v>0</v>
      </c>
      <c r="E2843" t="s">
        <v>1561</v>
      </c>
      <c r="F2843" s="105" t="s">
        <v>1821</v>
      </c>
      <c r="G2843" s="105" t="b">
        <f>VLOOKUP($I$2834,FS_input_data!$C$458:$N$648,Export!$J$2834,FALSE)=""</f>
        <v>0</v>
      </c>
      <c r="H2843" s="6" t="s">
        <v>2189</v>
      </c>
      <c r="I2843" t="s">
        <v>1821</v>
      </c>
      <c r="J2843">
        <v>9</v>
      </c>
      <c r="L2843" s="9" t="e">
        <f t="shared" si="155"/>
        <v>#VALUE!</v>
      </c>
    </row>
    <row r="2844" spans="1:12" x14ac:dyDescent="0.35">
      <c r="A2844">
        <f t="shared" si="156"/>
        <v>2843</v>
      </c>
      <c r="B2844" t="s">
        <v>750</v>
      </c>
      <c r="C2844" s="109" t="str">
        <f>IF(ISBLANK(K2844),IFERROR(VLOOKUP(I2844,FS_input_data!$C$458:$N$648,Export!J2844,FALSE),""),K2844)</f>
        <v/>
      </c>
      <c r="D2844" s="105"/>
      <c r="E2844" t="s">
        <v>1561</v>
      </c>
      <c r="F2844" s="105" t="s">
        <v>1821</v>
      </c>
      <c r="G2844" s="105" t="b">
        <f>VLOOKUP($I$2834,FS_input_data!$C$458:$N$648,Export!$J$2834,FALSE)=""</f>
        <v>0</v>
      </c>
      <c r="H2844" s="6" t="s">
        <v>2189</v>
      </c>
      <c r="I2844" t="s">
        <v>1561</v>
      </c>
      <c r="J2844" t="s">
        <v>1561</v>
      </c>
      <c r="L2844">
        <f t="shared" si="155"/>
        <v>1</v>
      </c>
    </row>
    <row r="2845" spans="1:12" x14ac:dyDescent="0.35">
      <c r="A2845">
        <f t="shared" si="156"/>
        <v>2844</v>
      </c>
      <c r="B2845" t="s">
        <v>751</v>
      </c>
      <c r="C2845" s="109" t="str">
        <f>IF(ISBLANK(K2845),IFERROR(VLOOKUP(I2845,FS_input_data!$C$458:$N$648,Export!J2845,FALSE),""),K2845)</f>
        <v/>
      </c>
      <c r="D2845" s="105"/>
      <c r="E2845" t="s">
        <v>1561</v>
      </c>
      <c r="F2845" s="105" t="s">
        <v>1821</v>
      </c>
      <c r="G2845" s="105" t="b">
        <f>VLOOKUP($I$2834,FS_input_data!$C$458:$N$648,Export!$J$2834,FALSE)=""</f>
        <v>0</v>
      </c>
      <c r="H2845" s="6" t="s">
        <v>2189</v>
      </c>
      <c r="I2845" t="s">
        <v>1561</v>
      </c>
      <c r="J2845" t="s">
        <v>1561</v>
      </c>
      <c r="L2845">
        <f t="shared" si="155"/>
        <v>1</v>
      </c>
    </row>
    <row r="2846" spans="1:12" x14ac:dyDescent="0.35">
      <c r="A2846">
        <f t="shared" si="156"/>
        <v>2845</v>
      </c>
      <c r="B2846" t="s">
        <v>754</v>
      </c>
      <c r="C2846" s="109" t="str">
        <f>IF(ISBLANK(K2846),IFERROR(VLOOKUP(I2846,FS_input_data!$C$458:$N$648,Export!J2846,FALSE),""),K2846)</f>
        <v/>
      </c>
      <c r="D2846" s="105"/>
      <c r="E2846" t="s">
        <v>1561</v>
      </c>
      <c r="F2846" s="105" t="s">
        <v>1821</v>
      </c>
      <c r="G2846" s="105" t="b">
        <f>VLOOKUP($I$2834,FS_input_data!$C$458:$N$648,Export!$J$2834,FALSE)=""</f>
        <v>0</v>
      </c>
      <c r="H2846" s="6" t="s">
        <v>2189</v>
      </c>
      <c r="I2846" t="s">
        <v>1561</v>
      </c>
      <c r="J2846" t="s">
        <v>1561</v>
      </c>
      <c r="L2846" s="9" t="e">
        <f t="shared" si="155"/>
        <v>#VALUE!</v>
      </c>
    </row>
    <row r="2847" spans="1:12" x14ac:dyDescent="0.35">
      <c r="A2847" s="9">
        <f t="shared" si="156"/>
        <v>2846</v>
      </c>
      <c r="B2847" t="s">
        <v>755</v>
      </c>
      <c r="C2847" s="109">
        <f>IF(ISBLANK(K2847),IFERROR(VLOOKUP(I2847,FS_input_data!$C$458:$N$648,Export!J2847,FALSE),""),K2847)</f>
        <v>10</v>
      </c>
      <c r="D2847" s="105" t="b">
        <v>1</v>
      </c>
      <c r="E2847" t="s">
        <v>1561</v>
      </c>
      <c r="F2847" s="105" t="s">
        <v>1821</v>
      </c>
      <c r="G2847" s="105" t="b">
        <f>VLOOKUP($I$2834,FS_input_data!$C$458:$N$648,Export!$J$2834,FALSE)=""</f>
        <v>0</v>
      </c>
      <c r="H2847" s="6" t="s">
        <v>2189</v>
      </c>
      <c r="I2847" t="s">
        <v>1821</v>
      </c>
      <c r="J2847">
        <v>2</v>
      </c>
      <c r="L2847" s="9" t="e">
        <f t="shared" si="155"/>
        <v>#VALUE!</v>
      </c>
    </row>
    <row r="2848" spans="1:12" x14ac:dyDescent="0.35">
      <c r="A2848">
        <f t="shared" si="156"/>
        <v>2847</v>
      </c>
      <c r="B2848" t="s">
        <v>756</v>
      </c>
      <c r="C2848" s="109" t="str">
        <f>IF(ISBLANK(K2848),IFERROR(VLOOKUP(I2848,FS_input_data!$C$458:$N$648,Export!J2848,FALSE),""),K2848)</f>
        <v/>
      </c>
      <c r="D2848" s="105"/>
      <c r="E2848" t="s">
        <v>1561</v>
      </c>
      <c r="F2848" s="105" t="s">
        <v>1821</v>
      </c>
      <c r="G2848" s="105" t="b">
        <f>VLOOKUP($I$2834,FS_input_data!$C$458:$N$648,Export!$J$2834,FALSE)=""</f>
        <v>0</v>
      </c>
      <c r="H2848" s="6" t="s">
        <v>2189</v>
      </c>
      <c r="I2848" t="s">
        <v>1561</v>
      </c>
      <c r="J2848" t="s">
        <v>1561</v>
      </c>
      <c r="L2848">
        <f t="shared" si="155"/>
        <v>1</v>
      </c>
    </row>
    <row r="2849" spans="1:12" x14ac:dyDescent="0.35">
      <c r="A2849" s="9">
        <f t="shared" si="156"/>
        <v>2848</v>
      </c>
      <c r="B2849" t="s">
        <v>757</v>
      </c>
      <c r="C2849" s="109">
        <f>IF(ISBLANK(K2849),IFERROR(VLOOKUP(I2849,FS_input_data!$C$458:$N$648,Export!J2849,FALSE),""),K2849)</f>
        <v>110</v>
      </c>
      <c r="D2849" s="105" t="b">
        <v>0</v>
      </c>
      <c r="E2849" t="s">
        <v>1561</v>
      </c>
      <c r="F2849" s="105" t="s">
        <v>1821</v>
      </c>
      <c r="G2849" s="105" t="b">
        <f>VLOOKUP($I$2834,FS_input_data!$C$458:$N$648,Export!$J$2834,FALSE)=""</f>
        <v>0</v>
      </c>
      <c r="H2849" s="6" t="s">
        <v>2189</v>
      </c>
      <c r="I2849" t="s">
        <v>1821</v>
      </c>
      <c r="J2849">
        <v>3</v>
      </c>
      <c r="L2849" s="9" t="e">
        <f t="shared" si="155"/>
        <v>#VALUE!</v>
      </c>
    </row>
    <row r="2850" spans="1:12" x14ac:dyDescent="0.35">
      <c r="A2850">
        <f t="shared" si="156"/>
        <v>2849</v>
      </c>
      <c r="B2850" t="s">
        <v>758</v>
      </c>
      <c r="C2850" s="109" t="str">
        <f>IF(ISBLANK(K2850),IFERROR(VLOOKUP(I2850,FS_input_data!$C$458:$N$648,Export!J2850,FALSE),""),K2850)</f>
        <v/>
      </c>
      <c r="D2850" s="105"/>
      <c r="E2850" t="s">
        <v>1561</v>
      </c>
      <c r="F2850" s="105" t="s">
        <v>1821</v>
      </c>
      <c r="G2850" s="105" t="b">
        <f>VLOOKUP($I$2834,FS_input_data!$C$458:$N$648,Export!$J$2834,FALSE)=""</f>
        <v>0</v>
      </c>
      <c r="H2850" s="6" t="s">
        <v>2189</v>
      </c>
      <c r="I2850" t="s">
        <v>1561</v>
      </c>
      <c r="J2850" t="s">
        <v>1561</v>
      </c>
      <c r="L2850">
        <f t="shared" si="155"/>
        <v>1</v>
      </c>
    </row>
    <row r="2851" spans="1:12" x14ac:dyDescent="0.35">
      <c r="A2851" s="9">
        <f t="shared" si="156"/>
        <v>2850</v>
      </c>
      <c r="B2851" t="s">
        <v>759</v>
      </c>
      <c r="C2851" s="109">
        <f>IF(ISBLANK(K2851),IFERROR(VLOOKUP(I2851,FS_input_data!$C$458:$N$648,Export!J2851,FALSE),""),K2851)</f>
        <v>210</v>
      </c>
      <c r="D2851" s="105" t="b">
        <v>0</v>
      </c>
      <c r="E2851" t="s">
        <v>1561</v>
      </c>
      <c r="F2851" s="105" t="s">
        <v>1821</v>
      </c>
      <c r="G2851" s="105" t="b">
        <f>VLOOKUP($I$2834,FS_input_data!$C$458:$N$648,Export!$J$2834,FALSE)=""</f>
        <v>0</v>
      </c>
      <c r="H2851" s="6" t="s">
        <v>2189</v>
      </c>
      <c r="I2851" t="s">
        <v>1821</v>
      </c>
      <c r="J2851">
        <v>4</v>
      </c>
      <c r="L2851" s="9" t="e">
        <f t="shared" si="155"/>
        <v>#VALUE!</v>
      </c>
    </row>
    <row r="2852" spans="1:12" x14ac:dyDescent="0.35">
      <c r="A2852">
        <f t="shared" si="156"/>
        <v>2851</v>
      </c>
      <c r="B2852" t="s">
        <v>760</v>
      </c>
      <c r="C2852" s="109" t="str">
        <f>IF(ISBLANK(K2852),IFERROR(VLOOKUP(I2852,FS_input_data!$C$458:$N$648,Export!J2852,FALSE),""),K2852)</f>
        <v/>
      </c>
      <c r="D2852" s="105"/>
      <c r="E2852" t="s">
        <v>1561</v>
      </c>
      <c r="F2852" s="105" t="s">
        <v>1821</v>
      </c>
      <c r="G2852" s="105" t="b">
        <f>VLOOKUP($I$2834,FS_input_data!$C$458:$N$648,Export!$J$2834,FALSE)=""</f>
        <v>0</v>
      </c>
      <c r="H2852" s="6" t="s">
        <v>2189</v>
      </c>
      <c r="I2852" t="s">
        <v>1561</v>
      </c>
      <c r="J2852" t="s">
        <v>1561</v>
      </c>
      <c r="L2852">
        <f t="shared" si="155"/>
        <v>1</v>
      </c>
    </row>
    <row r="2853" spans="1:12" x14ac:dyDescent="0.35">
      <c r="A2853" s="9">
        <f t="shared" si="156"/>
        <v>2852</v>
      </c>
      <c r="B2853" t="s">
        <v>761</v>
      </c>
      <c r="C2853" s="109" t="str">
        <f>IF(ISBLANK(K2853),IFERROR(VLOOKUP(I2853,FS_input_data!$C$458:$N$648,Export!J2853,FALSE),""),K2853)</f>
        <v>j</v>
      </c>
      <c r="D2853" s="105" t="b">
        <v>0</v>
      </c>
      <c r="E2853" t="s">
        <v>1561</v>
      </c>
      <c r="F2853" s="105" t="s">
        <v>1821</v>
      </c>
      <c r="G2853" s="105" t="b">
        <f>VLOOKUP($I$2834,FS_input_data!$C$458:$N$648,Export!$J$2834,FALSE)=""</f>
        <v>0</v>
      </c>
      <c r="H2853" s="6" t="s">
        <v>2189</v>
      </c>
      <c r="I2853" t="s">
        <v>1821</v>
      </c>
      <c r="J2853">
        <v>5</v>
      </c>
      <c r="L2853" s="9" t="e">
        <f t="shared" si="155"/>
        <v>#VALUE!</v>
      </c>
    </row>
    <row r="2854" spans="1:12" x14ac:dyDescent="0.35">
      <c r="A2854">
        <f t="shared" si="156"/>
        <v>2853</v>
      </c>
      <c r="B2854" t="s">
        <v>762</v>
      </c>
      <c r="C2854" s="109" t="str">
        <f>IF(ISBLANK(K2854),IFERROR(VLOOKUP(I2854,FS_input_data!$C$458:$N$648,Export!J2854,FALSE),""),K2854)</f>
        <v/>
      </c>
      <c r="D2854" s="105"/>
      <c r="E2854" t="s">
        <v>1561</v>
      </c>
      <c r="F2854" s="105" t="s">
        <v>1821</v>
      </c>
      <c r="G2854" s="105" t="b">
        <f>VLOOKUP($I$2834,FS_input_data!$C$458:$N$648,Export!$J$2834,FALSE)=""</f>
        <v>0</v>
      </c>
      <c r="H2854" s="6" t="s">
        <v>2189</v>
      </c>
      <c r="I2854" t="s">
        <v>1561</v>
      </c>
      <c r="J2854" t="s">
        <v>1561</v>
      </c>
      <c r="L2854">
        <f t="shared" si="155"/>
        <v>1</v>
      </c>
    </row>
    <row r="2855" spans="1:12" x14ac:dyDescent="0.35">
      <c r="A2855">
        <f t="shared" si="156"/>
        <v>2854</v>
      </c>
      <c r="B2855" t="s">
        <v>763</v>
      </c>
      <c r="C2855" s="109" t="str">
        <f>IF(ISBLANK(K2855),IFERROR(VLOOKUP(I2855,FS_input_data!$C$458:$N$648,Export!J2855,FALSE),""),K2855)</f>
        <v/>
      </c>
      <c r="D2855" s="105"/>
      <c r="E2855" t="s">
        <v>1561</v>
      </c>
      <c r="F2855" s="105" t="s">
        <v>1821</v>
      </c>
      <c r="G2855" s="105" t="b">
        <f>VLOOKUP($I$2834,FS_input_data!$C$458:$N$648,Export!$J$2834,FALSE)=""</f>
        <v>0</v>
      </c>
      <c r="H2855" s="6" t="s">
        <v>2189</v>
      </c>
      <c r="I2855" t="s">
        <v>1561</v>
      </c>
      <c r="J2855" t="s">
        <v>1561</v>
      </c>
      <c r="L2855">
        <f t="shared" si="155"/>
        <v>1</v>
      </c>
    </row>
    <row r="2856" spans="1:12" x14ac:dyDescent="0.35">
      <c r="A2856">
        <f t="shared" si="156"/>
        <v>2855</v>
      </c>
      <c r="B2856" t="s">
        <v>743</v>
      </c>
      <c r="C2856" s="109" t="str">
        <f>IF(ISBLANK(K2856),IFERROR(VLOOKUP(I2856,FS_input_data!$C$458:$N$648,Export!J2856,FALSE),""),K2856)</f>
        <v/>
      </c>
      <c r="D2856" s="105"/>
      <c r="E2856" t="s">
        <v>1561</v>
      </c>
      <c r="F2856" s="105" t="s">
        <v>1821</v>
      </c>
      <c r="G2856" s="105" t="b">
        <f>VLOOKUP($I$2834,FS_input_data!$C$458:$N$648,Export!$J$2834,FALSE)=""</f>
        <v>0</v>
      </c>
      <c r="H2856" s="6" t="s">
        <v>2189</v>
      </c>
      <c r="I2856" t="s">
        <v>1561</v>
      </c>
      <c r="J2856" t="s">
        <v>1561</v>
      </c>
      <c r="L2856">
        <f t="shared" si="155"/>
        <v>1</v>
      </c>
    </row>
    <row r="2857" spans="1:12" x14ac:dyDescent="0.35">
      <c r="A2857">
        <f t="shared" si="156"/>
        <v>2856</v>
      </c>
      <c r="B2857" t="s">
        <v>744</v>
      </c>
      <c r="C2857" s="109" t="str">
        <f>IF(ISBLANK(K2857),IFERROR(VLOOKUP(I2857,FS_input_data!$C$458:$N$648,Export!J2857,FALSE),""),K2857)</f>
        <v/>
      </c>
      <c r="D2857" s="105"/>
      <c r="E2857" t="s">
        <v>1561</v>
      </c>
      <c r="F2857" s="105" t="s">
        <v>1821</v>
      </c>
      <c r="G2857" s="105" t="b">
        <f>IF(RP_tax,TRUE,VLOOKUP($I$2834,FS_input_data!$C$458:$N$648,Export!$J$2834,FALSE)="")</f>
        <v>1</v>
      </c>
      <c r="H2857" s="6" t="s">
        <v>2189</v>
      </c>
      <c r="I2857" t="s">
        <v>1561</v>
      </c>
      <c r="J2857" t="s">
        <v>1561</v>
      </c>
      <c r="L2857" s="9" t="e">
        <f t="shared" si="155"/>
        <v>#VALUE!</v>
      </c>
    </row>
    <row r="2858" spans="1:12" x14ac:dyDescent="0.35">
      <c r="A2858" s="9">
        <f t="shared" si="156"/>
        <v>2857</v>
      </c>
      <c r="B2858" t="s">
        <v>109</v>
      </c>
      <c r="C2858" s="109">
        <f>IF(ISBLANK(K2858),IFERROR(VLOOKUP(I2858,FS_input_data!$C$458:$N$648,Export!J2858,FALSE),""),K2858)</f>
        <v>10000</v>
      </c>
      <c r="D2858" s="105" t="b">
        <v>0</v>
      </c>
      <c r="E2858" t="s">
        <v>1561</v>
      </c>
      <c r="F2858" s="105" t="s">
        <v>1821</v>
      </c>
      <c r="G2858" s="105" t="b">
        <f>IF(RP_tax,TRUE,VLOOKUP($I$2834,FS_input_data!$C$458:$N$648,Export!$J$2834,FALSE)="")</f>
        <v>1</v>
      </c>
      <c r="H2858" s="6" t="s">
        <v>2189</v>
      </c>
      <c r="I2858" t="s">
        <v>1821</v>
      </c>
      <c r="J2858">
        <v>10</v>
      </c>
      <c r="L2858" s="9" t="e">
        <f t="shared" si="155"/>
        <v>#VALUE!</v>
      </c>
    </row>
    <row r="2859" spans="1:12" x14ac:dyDescent="0.35">
      <c r="A2859">
        <f t="shared" si="156"/>
        <v>2858</v>
      </c>
      <c r="B2859" t="s">
        <v>110</v>
      </c>
      <c r="C2859" s="109" t="str">
        <f>IF(ISBLANK(K2859),IFERROR(VLOOKUP(I2859,FS_input_data!$C$458:$N$648,Export!J2859,FALSE),""),K2859)</f>
        <v/>
      </c>
      <c r="D2859" s="105"/>
      <c r="E2859" t="s">
        <v>1561</v>
      </c>
      <c r="F2859" s="105" t="s">
        <v>1821</v>
      </c>
      <c r="G2859" s="105" t="b">
        <f>IF(RP_tax,TRUE,VLOOKUP($I$2834,FS_input_data!$C$458:$N$648,Export!$J$2834,FALSE)="")</f>
        <v>1</v>
      </c>
      <c r="H2859" s="6" t="s">
        <v>2189</v>
      </c>
      <c r="I2859" t="s">
        <v>1561</v>
      </c>
      <c r="J2859" t="s">
        <v>1561</v>
      </c>
      <c r="L2859">
        <f t="shared" si="155"/>
        <v>1</v>
      </c>
    </row>
    <row r="2860" spans="1:12" x14ac:dyDescent="0.35">
      <c r="A2860" s="9">
        <f t="shared" si="156"/>
        <v>2859</v>
      </c>
      <c r="B2860" t="s">
        <v>111</v>
      </c>
      <c r="C2860" s="109">
        <f>IF(ISBLANK(K2860),IFERROR(VLOOKUP(I2860,FS_input_data!$C$458:$N$648,Export!J2860,FALSE),""),K2860)</f>
        <v>5000</v>
      </c>
      <c r="D2860" s="105" t="b">
        <v>0</v>
      </c>
      <c r="E2860" t="s">
        <v>1561</v>
      </c>
      <c r="F2860" s="105" t="s">
        <v>1821</v>
      </c>
      <c r="G2860" s="105" t="b">
        <f>IF(RP_tax,TRUE,VLOOKUP($I$2834,FS_input_data!$C$458:$N$648,Export!$J$2834,FALSE)="")</f>
        <v>1</v>
      </c>
      <c r="H2860" s="6" t="s">
        <v>2189</v>
      </c>
      <c r="I2860" t="s">
        <v>1821</v>
      </c>
      <c r="J2860">
        <v>11</v>
      </c>
      <c r="L2860" s="9" t="e">
        <f t="shared" si="155"/>
        <v>#VALUE!</v>
      </c>
    </row>
    <row r="2861" spans="1:12" x14ac:dyDescent="0.35">
      <c r="A2861">
        <f t="shared" si="156"/>
        <v>2860</v>
      </c>
      <c r="B2861" t="s">
        <v>112</v>
      </c>
      <c r="C2861" s="109" t="str">
        <f>IF(ISBLANK(K2861),IFERROR(VLOOKUP(I2861,FS_input_data!$C$458:$N$648,Export!J2861,FALSE),""),K2861)</f>
        <v/>
      </c>
      <c r="D2861" s="105"/>
      <c r="E2861" t="s">
        <v>1561</v>
      </c>
      <c r="F2861" s="105" t="s">
        <v>1821</v>
      </c>
      <c r="G2861" s="105" t="b">
        <f>IF(RP_tax,TRUE,VLOOKUP($I$2834,FS_input_data!$C$458:$N$648,Export!$J$2834,FALSE)="")</f>
        <v>1</v>
      </c>
      <c r="H2861" s="6" t="s">
        <v>2189</v>
      </c>
      <c r="I2861" t="s">
        <v>1561</v>
      </c>
      <c r="J2861" t="s">
        <v>1561</v>
      </c>
      <c r="L2861">
        <f t="shared" si="155"/>
        <v>1</v>
      </c>
    </row>
    <row r="2862" spans="1:12" x14ac:dyDescent="0.35">
      <c r="A2862" s="9">
        <f t="shared" si="156"/>
        <v>2861</v>
      </c>
      <c r="B2862" t="s">
        <v>749</v>
      </c>
      <c r="C2862" s="109">
        <f>IF(ISBLANK(K2862),IFERROR(VLOOKUP(I2862,FS_input_data!$C$458:$N$648,Export!J2862,FALSE),""),K2862)</f>
        <v>5000</v>
      </c>
      <c r="D2862" s="105" t="b">
        <v>0</v>
      </c>
      <c r="E2862" t="s">
        <v>1561</v>
      </c>
      <c r="F2862" s="105" t="s">
        <v>1821</v>
      </c>
      <c r="G2862" s="105" t="b">
        <f>IF(RP_tax,TRUE,VLOOKUP($I$2834,FS_input_data!$C$458:$N$648,Export!$J$2834,FALSE)="")</f>
        <v>1</v>
      </c>
      <c r="H2862" s="6" t="s">
        <v>2189</v>
      </c>
      <c r="I2862" t="s">
        <v>1821</v>
      </c>
      <c r="J2862">
        <v>12</v>
      </c>
      <c r="L2862" s="9" t="e">
        <f t="shared" si="155"/>
        <v>#VALUE!</v>
      </c>
    </row>
    <row r="2863" spans="1:12" x14ac:dyDescent="0.35">
      <c r="A2863">
        <f t="shared" si="156"/>
        <v>2862</v>
      </c>
      <c r="B2863" t="s">
        <v>750</v>
      </c>
      <c r="C2863" s="109" t="str">
        <f>IF(ISBLANK(K2863),IFERROR(VLOOKUP(I2863,FS_input_data!$C$458:$N$648,Export!J2863,FALSE),""),K2863)</f>
        <v/>
      </c>
      <c r="D2863" s="105"/>
      <c r="E2863" t="s">
        <v>1561</v>
      </c>
      <c r="F2863" s="105" t="s">
        <v>1821</v>
      </c>
      <c r="G2863" s="105" t="b">
        <f>IF(RP_tax,TRUE,VLOOKUP($I$2834,FS_input_data!$C$458:$N$648,Export!$J$2834,FALSE)="")</f>
        <v>1</v>
      </c>
      <c r="H2863" s="6" t="s">
        <v>2189</v>
      </c>
      <c r="I2863" t="s">
        <v>1561</v>
      </c>
      <c r="J2863" t="s">
        <v>1561</v>
      </c>
      <c r="L2863">
        <f t="shared" si="155"/>
        <v>1</v>
      </c>
    </row>
    <row r="2864" spans="1:12" x14ac:dyDescent="0.35">
      <c r="A2864">
        <f t="shared" si="156"/>
        <v>2863</v>
      </c>
      <c r="B2864" t="s">
        <v>745</v>
      </c>
      <c r="C2864" s="109" t="str">
        <f>IF(ISBLANK(K2864),IFERROR(VLOOKUP(I2864,FS_input_data!$C$458:$N$648,Export!J2864,FALSE),""),K2864)</f>
        <v/>
      </c>
      <c r="D2864" s="105"/>
      <c r="E2864" t="s">
        <v>1561</v>
      </c>
      <c r="F2864" s="105" t="s">
        <v>1821</v>
      </c>
      <c r="G2864" s="105" t="b">
        <f>IF(RP_tax,TRUE,VLOOKUP($I$2834,FS_input_data!$C$458:$N$648,Export!$J$2834,FALSE)="")</f>
        <v>1</v>
      </c>
      <c r="H2864" s="6" t="s">
        <v>2189</v>
      </c>
      <c r="I2864" t="s">
        <v>1561</v>
      </c>
      <c r="J2864" t="s">
        <v>1561</v>
      </c>
      <c r="L2864">
        <f t="shared" si="155"/>
        <v>1</v>
      </c>
    </row>
    <row r="2865" spans="1:12" x14ac:dyDescent="0.35">
      <c r="A2865">
        <f t="shared" si="156"/>
        <v>2864</v>
      </c>
      <c r="B2865" t="s">
        <v>764</v>
      </c>
      <c r="C2865" s="109" t="str">
        <f>IF(ISBLANK(K2865),IFERROR(VLOOKUP(I2865,FS_input_data!$C$458:$N$648,Export!J2865,FALSE),""),K2865)</f>
        <v/>
      </c>
      <c r="D2865" s="105"/>
      <c r="E2865" t="s">
        <v>1561</v>
      </c>
      <c r="F2865" s="105" t="s">
        <v>1821</v>
      </c>
      <c r="G2865" s="105" t="b">
        <f>VLOOKUP($I$2834,FS_input_data!$C$458:$N$648,Export!$J$2834,FALSE)=""</f>
        <v>0</v>
      </c>
      <c r="H2865" s="6" t="s">
        <v>2189</v>
      </c>
      <c r="I2865" t="s">
        <v>1561</v>
      </c>
      <c r="J2865" t="s">
        <v>1561</v>
      </c>
      <c r="L2865">
        <f t="shared" si="155"/>
        <v>1</v>
      </c>
    </row>
    <row r="2866" spans="1:12" x14ac:dyDescent="0.35">
      <c r="A2866">
        <f t="shared" si="156"/>
        <v>2865</v>
      </c>
      <c r="B2866" t="s">
        <v>765</v>
      </c>
      <c r="C2866" s="109" t="str">
        <f>IF(ISBLANK(K2866),IFERROR(VLOOKUP(I2866,FS_input_data!$C$458:$N$648,Export!J2866,FALSE),""),K2866)</f>
        <v/>
      </c>
      <c r="D2866" s="105"/>
      <c r="E2866" t="s">
        <v>1561</v>
      </c>
      <c r="F2866" s="105" t="s">
        <v>1821</v>
      </c>
      <c r="G2866" s="105" t="b">
        <f>VLOOKUP($I$2834,FS_input_data!$C$458:$N$648,Export!$J$2834,FALSE)=""</f>
        <v>0</v>
      </c>
      <c r="H2866" s="6" t="s">
        <v>2189</v>
      </c>
      <c r="I2866" t="s">
        <v>1561</v>
      </c>
      <c r="J2866" t="s">
        <v>1561</v>
      </c>
      <c r="L2866">
        <f t="shared" si="155"/>
        <v>1</v>
      </c>
    </row>
    <row r="2867" spans="1:12" x14ac:dyDescent="0.35">
      <c r="A2867">
        <f t="shared" si="156"/>
        <v>2866</v>
      </c>
      <c r="B2867" t="s">
        <v>752</v>
      </c>
      <c r="C2867" s="109" t="str">
        <f>IF(ISBLANK(K2867),IFERROR(VLOOKUP(I2867,FS_input_data!$C$458:$N$648,Export!J2867,FALSE),""),K2867)</f>
        <v/>
      </c>
      <c r="D2867" s="102"/>
      <c r="E2867" t="s">
        <v>1561</v>
      </c>
      <c r="F2867" s="102" t="s">
        <v>1824</v>
      </c>
      <c r="G2867" s="102" t="b">
        <f>VLOOKUP($I$2868,FS_input_data!$C$458:$N$648,Export!$J$2868,FALSE)=""</f>
        <v>0</v>
      </c>
      <c r="H2867" s="6" t="s">
        <v>2189</v>
      </c>
      <c r="I2867" t="s">
        <v>1561</v>
      </c>
      <c r="J2867" t="s">
        <v>1561</v>
      </c>
      <c r="L2867" s="9" t="e">
        <f t="shared" si="155"/>
        <v>#VALUE!</v>
      </c>
    </row>
    <row r="2868" spans="1:12" x14ac:dyDescent="0.35">
      <c r="A2868" s="9">
        <f t="shared" si="156"/>
        <v>2867</v>
      </c>
      <c r="B2868" t="s">
        <v>101</v>
      </c>
      <c r="C2868" s="109" t="str">
        <f>IF(ISBLANK(K2868),IFERROR(VLOOKUP(I2868,FS_input_data!$C$458:$N$648,Export!J2868,FALSE),""),K2868)</f>
        <v>OB11</v>
      </c>
      <c r="D2868" s="102" t="b">
        <v>1</v>
      </c>
      <c r="E2868" t="s">
        <v>1561</v>
      </c>
      <c r="F2868" s="102" t="s">
        <v>1824</v>
      </c>
      <c r="G2868" s="102" t="b">
        <f>VLOOKUP($I$2868,FS_input_data!$C$458:$N$648,Export!$J$2868,FALSE)=""</f>
        <v>0</v>
      </c>
      <c r="H2868" s="6" t="s">
        <v>2189</v>
      </c>
      <c r="I2868" t="s">
        <v>1824</v>
      </c>
      <c r="J2868">
        <v>6</v>
      </c>
      <c r="L2868" s="9" t="e">
        <f t="shared" si="155"/>
        <v>#VALUE!</v>
      </c>
    </row>
    <row r="2869" spans="1:12" x14ac:dyDescent="0.35">
      <c r="A2869">
        <f t="shared" si="156"/>
        <v>2868</v>
      </c>
      <c r="B2869" t="s">
        <v>102</v>
      </c>
      <c r="C2869" s="109" t="str">
        <f>IF(ISBLANK(K2869),IFERROR(VLOOKUP(I2869,FS_input_data!$C$458:$N$648,Export!J2869,FALSE),""),K2869)</f>
        <v/>
      </c>
      <c r="D2869" s="102"/>
      <c r="E2869" t="s">
        <v>1561</v>
      </c>
      <c r="F2869" s="102" t="s">
        <v>1824</v>
      </c>
      <c r="G2869" s="102" t="b">
        <f>VLOOKUP($I$2868,FS_input_data!$C$458:$N$648,Export!$J$2868,FALSE)=""</f>
        <v>0</v>
      </c>
      <c r="H2869" s="6" t="s">
        <v>2189</v>
      </c>
      <c r="I2869" t="s">
        <v>1561</v>
      </c>
      <c r="J2869" t="s">
        <v>1561</v>
      </c>
      <c r="L2869">
        <f t="shared" si="155"/>
        <v>1</v>
      </c>
    </row>
    <row r="2870" spans="1:12" x14ac:dyDescent="0.35">
      <c r="A2870">
        <f t="shared" si="156"/>
        <v>2869</v>
      </c>
      <c r="B2870" t="s">
        <v>753</v>
      </c>
      <c r="C2870" s="109" t="str">
        <f>IF(ISBLANK(K2870),IFERROR(VLOOKUP(I2870,FS_input_data!$C$458:$N$648,Export!J2870,FALSE),""),K2870)</f>
        <v/>
      </c>
      <c r="D2870" s="102"/>
      <c r="E2870" t="s">
        <v>1561</v>
      </c>
      <c r="F2870" s="102" t="s">
        <v>1824</v>
      </c>
      <c r="G2870" s="102" t="b">
        <f>VLOOKUP($I$2868,FS_input_data!$C$458:$N$648,Export!$J$2868,FALSE)=""</f>
        <v>0</v>
      </c>
      <c r="H2870" s="6" t="s">
        <v>2189</v>
      </c>
      <c r="I2870" t="s">
        <v>1561</v>
      </c>
      <c r="J2870" t="s">
        <v>1561</v>
      </c>
      <c r="L2870" s="9" t="e">
        <f t="shared" si="155"/>
        <v>#VALUE!</v>
      </c>
    </row>
    <row r="2871" spans="1:12" x14ac:dyDescent="0.35">
      <c r="A2871">
        <f t="shared" si="156"/>
        <v>2870</v>
      </c>
      <c r="B2871" t="s">
        <v>742</v>
      </c>
      <c r="C2871" s="109" t="str">
        <f>IF(ISBLANK(K2871),IFERROR(VLOOKUP(I2871,FS_input_data!$C$458:$N$648,Export!J2871,FALSE),""),K2871)</f>
        <v/>
      </c>
      <c r="D2871" s="102"/>
      <c r="E2871" t="s">
        <v>1561</v>
      </c>
      <c r="F2871" s="102" t="s">
        <v>1824</v>
      </c>
      <c r="G2871" s="102" t="b">
        <f>VLOOKUP($I$2868,FS_input_data!$C$458:$N$648,Export!$J$2868,FALSE)=""</f>
        <v>0</v>
      </c>
      <c r="H2871" s="6" t="s">
        <v>2189</v>
      </c>
      <c r="I2871" t="s">
        <v>1561</v>
      </c>
      <c r="J2871" t="s">
        <v>1561</v>
      </c>
      <c r="L2871" s="9" t="e">
        <f t="shared" si="155"/>
        <v>#VALUE!</v>
      </c>
    </row>
    <row r="2872" spans="1:12" x14ac:dyDescent="0.35">
      <c r="A2872">
        <f t="shared" si="156"/>
        <v>2871</v>
      </c>
      <c r="B2872" t="s">
        <v>748</v>
      </c>
      <c r="C2872" s="109" t="str">
        <f>IF(ISBLANK(K2872),IFERROR(VLOOKUP(I2872,FS_input_data!$C$458:$N$648,Export!J2872,FALSE),""),K2872)</f>
        <v/>
      </c>
      <c r="D2872" s="102"/>
      <c r="E2872" t="s">
        <v>1561</v>
      </c>
      <c r="F2872" s="102" t="s">
        <v>1824</v>
      </c>
      <c r="G2872" s="102" t="b">
        <f>VLOOKUP($I$2868,FS_input_data!$C$458:$N$648,Export!$J$2868,FALSE)=""</f>
        <v>0</v>
      </c>
      <c r="H2872" s="6" t="s">
        <v>2189</v>
      </c>
      <c r="I2872" t="s">
        <v>1561</v>
      </c>
      <c r="J2872" t="s">
        <v>1561</v>
      </c>
      <c r="L2872" s="9" t="e">
        <f t="shared" si="155"/>
        <v>#VALUE!</v>
      </c>
    </row>
    <row r="2873" spans="1:12" x14ac:dyDescent="0.35">
      <c r="A2873" s="9">
        <f t="shared" si="156"/>
        <v>2872</v>
      </c>
      <c r="B2873" t="s">
        <v>109</v>
      </c>
      <c r="C2873" s="109">
        <f>IF(ISBLANK(K2873),IFERROR(VLOOKUP(I2873,FS_input_data!$C$458:$N$648,Export!J2873,FALSE),""),K2873)</f>
        <v>11000</v>
      </c>
      <c r="D2873" s="102" t="b">
        <v>1</v>
      </c>
      <c r="E2873" t="s">
        <v>1561</v>
      </c>
      <c r="F2873" s="102" t="s">
        <v>1824</v>
      </c>
      <c r="G2873" s="102" t="b">
        <f>VLOOKUP($I$2868,FS_input_data!$C$458:$N$648,Export!$J$2868,FALSE)=""</f>
        <v>0</v>
      </c>
      <c r="H2873" s="6" t="s">
        <v>2189</v>
      </c>
      <c r="I2873" t="s">
        <v>1824</v>
      </c>
      <c r="J2873">
        <v>7</v>
      </c>
      <c r="L2873" s="9" t="e">
        <f t="shared" si="155"/>
        <v>#VALUE!</v>
      </c>
    </row>
    <row r="2874" spans="1:12" x14ac:dyDescent="0.35">
      <c r="A2874">
        <f t="shared" si="156"/>
        <v>2873</v>
      </c>
      <c r="B2874" t="s">
        <v>110</v>
      </c>
      <c r="C2874" s="109" t="str">
        <f>IF(ISBLANK(K2874),IFERROR(VLOOKUP(I2874,FS_input_data!$C$458:$N$648,Export!J2874,FALSE),""),K2874)</f>
        <v/>
      </c>
      <c r="D2874" s="102"/>
      <c r="E2874" t="s">
        <v>1561</v>
      </c>
      <c r="F2874" s="102" t="s">
        <v>1824</v>
      </c>
      <c r="G2874" s="102" t="b">
        <f>VLOOKUP($I$2868,FS_input_data!$C$458:$N$648,Export!$J$2868,FALSE)=""</f>
        <v>0</v>
      </c>
      <c r="H2874" s="6" t="s">
        <v>2189</v>
      </c>
      <c r="I2874" t="s">
        <v>1561</v>
      </c>
      <c r="J2874" t="s">
        <v>1561</v>
      </c>
      <c r="L2874">
        <f t="shared" si="155"/>
        <v>1</v>
      </c>
    </row>
    <row r="2875" spans="1:12" x14ac:dyDescent="0.35">
      <c r="A2875" s="9">
        <f t="shared" si="156"/>
        <v>2874</v>
      </c>
      <c r="B2875" t="s">
        <v>111</v>
      </c>
      <c r="C2875" s="109">
        <f>IF(ISBLANK(K2875),IFERROR(VLOOKUP(I2875,FS_input_data!$C$458:$N$648,Export!J2875,FALSE),""),K2875)</f>
        <v>5500</v>
      </c>
      <c r="D2875" s="102" t="b">
        <v>0</v>
      </c>
      <c r="E2875" t="s">
        <v>1561</v>
      </c>
      <c r="F2875" s="102" t="s">
        <v>1824</v>
      </c>
      <c r="G2875" s="102" t="b">
        <f>VLOOKUP($I$2868,FS_input_data!$C$458:$N$648,Export!$J$2868,FALSE)=""</f>
        <v>0</v>
      </c>
      <c r="H2875" s="6" t="s">
        <v>2189</v>
      </c>
      <c r="I2875" t="s">
        <v>1824</v>
      </c>
      <c r="J2875">
        <v>8</v>
      </c>
      <c r="L2875" s="9" t="e">
        <f t="shared" si="155"/>
        <v>#VALUE!</v>
      </c>
    </row>
    <row r="2876" spans="1:12" x14ac:dyDescent="0.35">
      <c r="A2876">
        <f t="shared" si="156"/>
        <v>2875</v>
      </c>
      <c r="B2876" t="s">
        <v>112</v>
      </c>
      <c r="C2876" s="109" t="str">
        <f>IF(ISBLANK(K2876),IFERROR(VLOOKUP(I2876,FS_input_data!$C$458:$N$648,Export!J2876,FALSE),""),K2876)</f>
        <v/>
      </c>
      <c r="D2876" s="102"/>
      <c r="E2876" t="s">
        <v>1561</v>
      </c>
      <c r="F2876" s="102" t="s">
        <v>1824</v>
      </c>
      <c r="G2876" s="102" t="b">
        <f>VLOOKUP($I$2868,FS_input_data!$C$458:$N$648,Export!$J$2868,FALSE)=""</f>
        <v>0</v>
      </c>
      <c r="H2876" s="6" t="s">
        <v>2189</v>
      </c>
      <c r="I2876" t="s">
        <v>1561</v>
      </c>
      <c r="J2876" t="s">
        <v>1561</v>
      </c>
      <c r="L2876">
        <f t="shared" si="155"/>
        <v>1</v>
      </c>
    </row>
    <row r="2877" spans="1:12" x14ac:dyDescent="0.35">
      <c r="A2877" s="9">
        <f t="shared" si="156"/>
        <v>2876</v>
      </c>
      <c r="B2877" t="s">
        <v>749</v>
      </c>
      <c r="C2877" s="109">
        <f>IF(ISBLANK(K2877),IFERROR(VLOOKUP(I2877,FS_input_data!$C$458:$N$648,Export!J2877,FALSE),""),K2877)</f>
        <v>5500</v>
      </c>
      <c r="D2877" s="102" t="b">
        <v>0</v>
      </c>
      <c r="E2877" t="s">
        <v>1561</v>
      </c>
      <c r="F2877" s="102" t="s">
        <v>1824</v>
      </c>
      <c r="G2877" s="102" t="b">
        <f>VLOOKUP($I$2868,FS_input_data!$C$458:$N$648,Export!$J$2868,FALSE)=""</f>
        <v>0</v>
      </c>
      <c r="H2877" s="6" t="s">
        <v>2189</v>
      </c>
      <c r="I2877" t="s">
        <v>1824</v>
      </c>
      <c r="J2877">
        <v>9</v>
      </c>
      <c r="L2877" s="9" t="e">
        <f t="shared" si="155"/>
        <v>#VALUE!</v>
      </c>
    </row>
    <row r="2878" spans="1:12" x14ac:dyDescent="0.35">
      <c r="A2878">
        <f t="shared" si="156"/>
        <v>2877</v>
      </c>
      <c r="B2878" t="s">
        <v>750</v>
      </c>
      <c r="C2878" s="109" t="str">
        <f>IF(ISBLANK(K2878),IFERROR(VLOOKUP(I2878,FS_input_data!$C$458:$N$648,Export!J2878,FALSE),""),K2878)</f>
        <v/>
      </c>
      <c r="D2878" s="102"/>
      <c r="E2878" t="s">
        <v>1561</v>
      </c>
      <c r="F2878" s="102" t="s">
        <v>1824</v>
      </c>
      <c r="G2878" s="102" t="b">
        <f>VLOOKUP($I$2868,FS_input_data!$C$458:$N$648,Export!$J$2868,FALSE)=""</f>
        <v>0</v>
      </c>
      <c r="H2878" s="6" t="s">
        <v>2189</v>
      </c>
      <c r="I2878" t="s">
        <v>1561</v>
      </c>
      <c r="J2878" t="s">
        <v>1561</v>
      </c>
      <c r="L2878">
        <f t="shared" si="155"/>
        <v>1</v>
      </c>
    </row>
    <row r="2879" spans="1:12" x14ac:dyDescent="0.35">
      <c r="A2879">
        <f t="shared" si="156"/>
        <v>2878</v>
      </c>
      <c r="B2879" t="s">
        <v>751</v>
      </c>
      <c r="C2879" s="109" t="str">
        <f>IF(ISBLANK(K2879),IFERROR(VLOOKUP(I2879,FS_input_data!$C$458:$N$648,Export!J2879,FALSE),""),K2879)</f>
        <v/>
      </c>
      <c r="D2879" s="102"/>
      <c r="E2879" t="s">
        <v>1561</v>
      </c>
      <c r="F2879" s="102" t="s">
        <v>1824</v>
      </c>
      <c r="G2879" s="102" t="b">
        <f>VLOOKUP($I$2868,FS_input_data!$C$458:$N$648,Export!$J$2868,FALSE)=""</f>
        <v>0</v>
      </c>
      <c r="H2879" s="6" t="s">
        <v>2189</v>
      </c>
      <c r="I2879" t="s">
        <v>1561</v>
      </c>
      <c r="J2879" t="s">
        <v>1561</v>
      </c>
      <c r="L2879">
        <f t="shared" si="155"/>
        <v>1</v>
      </c>
    </row>
    <row r="2880" spans="1:12" x14ac:dyDescent="0.35">
      <c r="A2880">
        <f t="shared" si="156"/>
        <v>2879</v>
      </c>
      <c r="B2880" t="s">
        <v>754</v>
      </c>
      <c r="C2880" s="109" t="str">
        <f>IF(ISBLANK(K2880),IFERROR(VLOOKUP(I2880,FS_input_data!$C$458:$N$648,Export!J2880,FALSE),""),K2880)</f>
        <v/>
      </c>
      <c r="D2880" s="102"/>
      <c r="E2880" t="s">
        <v>1561</v>
      </c>
      <c r="F2880" s="102" t="s">
        <v>1824</v>
      </c>
      <c r="G2880" s="102" t="b">
        <f>VLOOKUP($I$2868,FS_input_data!$C$458:$N$648,Export!$J$2868,FALSE)=""</f>
        <v>0</v>
      </c>
      <c r="H2880" s="6" t="s">
        <v>2189</v>
      </c>
      <c r="I2880" t="s">
        <v>1561</v>
      </c>
      <c r="J2880" t="s">
        <v>1561</v>
      </c>
      <c r="L2880" s="9" t="e">
        <f t="shared" si="155"/>
        <v>#VALUE!</v>
      </c>
    </row>
    <row r="2881" spans="1:12" x14ac:dyDescent="0.35">
      <c r="A2881" s="9">
        <f t="shared" si="156"/>
        <v>2880</v>
      </c>
      <c r="B2881" t="s">
        <v>755</v>
      </c>
      <c r="C2881" s="109">
        <f>IF(ISBLANK(K2881),IFERROR(VLOOKUP(I2881,FS_input_data!$C$458:$N$648,Export!J2881,FALSE),""),K2881)</f>
        <v>11</v>
      </c>
      <c r="D2881" s="102" t="b">
        <v>1</v>
      </c>
      <c r="E2881" t="s">
        <v>1561</v>
      </c>
      <c r="F2881" s="102" t="s">
        <v>1824</v>
      </c>
      <c r="G2881" s="102" t="b">
        <f>VLOOKUP($I$2868,FS_input_data!$C$458:$N$648,Export!$J$2868,FALSE)=""</f>
        <v>0</v>
      </c>
      <c r="H2881" s="6" t="s">
        <v>2189</v>
      </c>
      <c r="I2881" t="s">
        <v>1824</v>
      </c>
      <c r="J2881">
        <v>2</v>
      </c>
      <c r="L2881" s="9" t="e">
        <f t="shared" si="155"/>
        <v>#VALUE!</v>
      </c>
    </row>
    <row r="2882" spans="1:12" x14ac:dyDescent="0.35">
      <c r="A2882">
        <f t="shared" si="156"/>
        <v>2881</v>
      </c>
      <c r="B2882" t="s">
        <v>756</v>
      </c>
      <c r="C2882" s="109" t="str">
        <f>IF(ISBLANK(K2882),IFERROR(VLOOKUP(I2882,FS_input_data!$C$458:$N$648,Export!J2882,FALSE),""),K2882)</f>
        <v/>
      </c>
      <c r="D2882" s="102"/>
      <c r="E2882" t="s">
        <v>1561</v>
      </c>
      <c r="F2882" s="102" t="s">
        <v>1824</v>
      </c>
      <c r="G2882" s="102" t="b">
        <f>VLOOKUP($I$2868,FS_input_data!$C$458:$N$648,Export!$J$2868,FALSE)=""</f>
        <v>0</v>
      </c>
      <c r="H2882" s="6" t="s">
        <v>2189</v>
      </c>
      <c r="I2882" t="s">
        <v>1561</v>
      </c>
      <c r="J2882" t="s">
        <v>1561</v>
      </c>
      <c r="L2882">
        <f t="shared" ref="L2882:L2945" si="157">FIND("/",B2882)</f>
        <v>1</v>
      </c>
    </row>
    <row r="2883" spans="1:12" x14ac:dyDescent="0.35">
      <c r="A2883" s="9">
        <f t="shared" ref="A2883:A2946" si="158">A2882+1</f>
        <v>2882</v>
      </c>
      <c r="B2883" t="s">
        <v>757</v>
      </c>
      <c r="C2883" s="109">
        <f>IF(ISBLANK(K2883),IFERROR(VLOOKUP(I2883,FS_input_data!$C$458:$N$648,Export!J2883,FALSE),""),K2883)</f>
        <v>111</v>
      </c>
      <c r="D2883" s="102" t="b">
        <v>0</v>
      </c>
      <c r="E2883" t="s">
        <v>1561</v>
      </c>
      <c r="F2883" s="102" t="s">
        <v>1824</v>
      </c>
      <c r="G2883" s="102" t="b">
        <f>VLOOKUP($I$2868,FS_input_data!$C$458:$N$648,Export!$J$2868,FALSE)=""</f>
        <v>0</v>
      </c>
      <c r="H2883" s="6" t="s">
        <v>2189</v>
      </c>
      <c r="I2883" t="s">
        <v>1824</v>
      </c>
      <c r="J2883">
        <v>3</v>
      </c>
      <c r="L2883" s="9" t="e">
        <f t="shared" si="157"/>
        <v>#VALUE!</v>
      </c>
    </row>
    <row r="2884" spans="1:12" x14ac:dyDescent="0.35">
      <c r="A2884">
        <f t="shared" si="158"/>
        <v>2883</v>
      </c>
      <c r="B2884" t="s">
        <v>758</v>
      </c>
      <c r="C2884" s="109" t="str">
        <f>IF(ISBLANK(K2884),IFERROR(VLOOKUP(I2884,FS_input_data!$C$458:$N$648,Export!J2884,FALSE),""),K2884)</f>
        <v/>
      </c>
      <c r="D2884" s="102"/>
      <c r="E2884" t="s">
        <v>1561</v>
      </c>
      <c r="F2884" s="102" t="s">
        <v>1824</v>
      </c>
      <c r="G2884" s="102" t="b">
        <f>VLOOKUP($I$2868,FS_input_data!$C$458:$N$648,Export!$J$2868,FALSE)=""</f>
        <v>0</v>
      </c>
      <c r="H2884" s="6" t="s">
        <v>2189</v>
      </c>
      <c r="I2884" t="s">
        <v>1561</v>
      </c>
      <c r="J2884" t="s">
        <v>1561</v>
      </c>
      <c r="L2884">
        <f t="shared" si="157"/>
        <v>1</v>
      </c>
    </row>
    <row r="2885" spans="1:12" x14ac:dyDescent="0.35">
      <c r="A2885" s="9">
        <f t="shared" si="158"/>
        <v>2884</v>
      </c>
      <c r="B2885" t="s">
        <v>759</v>
      </c>
      <c r="C2885" s="109">
        <f>IF(ISBLANK(K2885),IFERROR(VLOOKUP(I2885,FS_input_data!$C$458:$N$648,Export!J2885,FALSE),""),K2885)</f>
        <v>211</v>
      </c>
      <c r="D2885" s="102" t="b">
        <v>0</v>
      </c>
      <c r="E2885" t="s">
        <v>1561</v>
      </c>
      <c r="F2885" s="102" t="s">
        <v>1824</v>
      </c>
      <c r="G2885" s="102" t="b">
        <f>VLOOKUP($I$2868,FS_input_data!$C$458:$N$648,Export!$J$2868,FALSE)=""</f>
        <v>0</v>
      </c>
      <c r="H2885" s="6" t="s">
        <v>2189</v>
      </c>
      <c r="I2885" t="s">
        <v>1824</v>
      </c>
      <c r="J2885">
        <v>4</v>
      </c>
      <c r="L2885" s="9" t="e">
        <f t="shared" si="157"/>
        <v>#VALUE!</v>
      </c>
    </row>
    <row r="2886" spans="1:12" x14ac:dyDescent="0.35">
      <c r="A2886">
        <f t="shared" si="158"/>
        <v>2885</v>
      </c>
      <c r="B2886" t="s">
        <v>760</v>
      </c>
      <c r="C2886" s="109" t="str">
        <f>IF(ISBLANK(K2886),IFERROR(VLOOKUP(I2886,FS_input_data!$C$458:$N$648,Export!J2886,FALSE),""),K2886)</f>
        <v/>
      </c>
      <c r="D2886" s="102"/>
      <c r="E2886" t="s">
        <v>1561</v>
      </c>
      <c r="F2886" s="102" t="s">
        <v>1824</v>
      </c>
      <c r="G2886" s="102" t="b">
        <f>VLOOKUP($I$2868,FS_input_data!$C$458:$N$648,Export!$J$2868,FALSE)=""</f>
        <v>0</v>
      </c>
      <c r="H2886" s="6" t="s">
        <v>2189</v>
      </c>
      <c r="I2886" t="s">
        <v>1561</v>
      </c>
      <c r="J2886" t="s">
        <v>1561</v>
      </c>
      <c r="L2886">
        <f t="shared" si="157"/>
        <v>1</v>
      </c>
    </row>
    <row r="2887" spans="1:12" x14ac:dyDescent="0.35">
      <c r="A2887" s="9">
        <f t="shared" si="158"/>
        <v>2886</v>
      </c>
      <c r="B2887" t="s">
        <v>761</v>
      </c>
      <c r="C2887" s="109" t="str">
        <f>IF(ISBLANK(K2887),IFERROR(VLOOKUP(I2887,FS_input_data!$C$458:$N$648,Export!J2887,FALSE),""),K2887)</f>
        <v>k</v>
      </c>
      <c r="D2887" s="102" t="b">
        <v>0</v>
      </c>
      <c r="E2887" t="s">
        <v>1561</v>
      </c>
      <c r="F2887" s="102" t="s">
        <v>1824</v>
      </c>
      <c r="G2887" s="102" t="b">
        <f>VLOOKUP($I$2868,FS_input_data!$C$458:$N$648,Export!$J$2868,FALSE)=""</f>
        <v>0</v>
      </c>
      <c r="H2887" s="6" t="s">
        <v>2189</v>
      </c>
      <c r="I2887" t="s">
        <v>1824</v>
      </c>
      <c r="J2887">
        <v>5</v>
      </c>
      <c r="L2887" s="9" t="e">
        <f t="shared" si="157"/>
        <v>#VALUE!</v>
      </c>
    </row>
    <row r="2888" spans="1:12" x14ac:dyDescent="0.35">
      <c r="A2888">
        <f t="shared" si="158"/>
        <v>2887</v>
      </c>
      <c r="B2888" t="s">
        <v>762</v>
      </c>
      <c r="C2888" s="109" t="str">
        <f>IF(ISBLANK(K2888),IFERROR(VLOOKUP(I2888,FS_input_data!$C$458:$N$648,Export!J2888,FALSE),""),K2888)</f>
        <v/>
      </c>
      <c r="D2888" s="102"/>
      <c r="E2888" t="s">
        <v>1561</v>
      </c>
      <c r="F2888" s="102" t="s">
        <v>1824</v>
      </c>
      <c r="G2888" s="102" t="b">
        <f>VLOOKUP($I$2868,FS_input_data!$C$458:$N$648,Export!$J$2868,FALSE)=""</f>
        <v>0</v>
      </c>
      <c r="H2888" s="6" t="s">
        <v>2189</v>
      </c>
      <c r="I2888" t="s">
        <v>1561</v>
      </c>
      <c r="J2888" t="s">
        <v>1561</v>
      </c>
      <c r="L2888">
        <f t="shared" si="157"/>
        <v>1</v>
      </c>
    </row>
    <row r="2889" spans="1:12" x14ac:dyDescent="0.35">
      <c r="A2889">
        <f t="shared" si="158"/>
        <v>2888</v>
      </c>
      <c r="B2889" t="s">
        <v>763</v>
      </c>
      <c r="C2889" s="109" t="str">
        <f>IF(ISBLANK(K2889),IFERROR(VLOOKUP(I2889,FS_input_data!$C$458:$N$648,Export!J2889,FALSE),""),K2889)</f>
        <v/>
      </c>
      <c r="D2889" s="102"/>
      <c r="E2889" t="s">
        <v>1561</v>
      </c>
      <c r="F2889" s="102" t="s">
        <v>1824</v>
      </c>
      <c r="G2889" s="102" t="b">
        <f>VLOOKUP($I$2868,FS_input_data!$C$458:$N$648,Export!$J$2868,FALSE)=""</f>
        <v>0</v>
      </c>
      <c r="H2889" s="6" t="s">
        <v>2189</v>
      </c>
      <c r="I2889" t="s">
        <v>1561</v>
      </c>
      <c r="J2889" t="s">
        <v>1561</v>
      </c>
      <c r="L2889">
        <f t="shared" si="157"/>
        <v>1</v>
      </c>
    </row>
    <row r="2890" spans="1:12" x14ac:dyDescent="0.35">
      <c r="A2890">
        <f t="shared" si="158"/>
        <v>2889</v>
      </c>
      <c r="B2890" t="s">
        <v>743</v>
      </c>
      <c r="C2890" s="109" t="str">
        <f>IF(ISBLANK(K2890),IFERROR(VLOOKUP(I2890,FS_input_data!$C$458:$N$648,Export!J2890,FALSE),""),K2890)</f>
        <v/>
      </c>
      <c r="D2890" s="102"/>
      <c r="E2890" t="s">
        <v>1561</v>
      </c>
      <c r="F2890" s="102" t="s">
        <v>1824</v>
      </c>
      <c r="G2890" s="102" t="b">
        <f>VLOOKUP($I$2868,FS_input_data!$C$458:$N$648,Export!$J$2868,FALSE)=""</f>
        <v>0</v>
      </c>
      <c r="H2890" s="6" t="s">
        <v>2189</v>
      </c>
      <c r="I2890" t="s">
        <v>1561</v>
      </c>
      <c r="J2890" t="s">
        <v>1561</v>
      </c>
      <c r="L2890">
        <f t="shared" si="157"/>
        <v>1</v>
      </c>
    </row>
    <row r="2891" spans="1:12" x14ac:dyDescent="0.35">
      <c r="A2891">
        <f t="shared" si="158"/>
        <v>2890</v>
      </c>
      <c r="B2891" t="s">
        <v>744</v>
      </c>
      <c r="C2891" s="109" t="str">
        <f>IF(ISBLANK(K2891),IFERROR(VLOOKUP(I2891,FS_input_data!$C$458:$N$648,Export!J2891,FALSE),""),K2891)</f>
        <v/>
      </c>
      <c r="D2891" s="102"/>
      <c r="E2891" t="s">
        <v>1561</v>
      </c>
      <c r="F2891" s="102" t="s">
        <v>1824</v>
      </c>
      <c r="G2891" s="102" t="b">
        <f>IF(RP_tax,TRUE,VLOOKUP($I$2868,FS_input_data!$C$458:$N$648,Export!$J$2868,FALSE)="")</f>
        <v>1</v>
      </c>
      <c r="H2891" s="6" t="s">
        <v>2189</v>
      </c>
      <c r="I2891" t="s">
        <v>1561</v>
      </c>
      <c r="J2891" t="s">
        <v>1561</v>
      </c>
      <c r="L2891" s="9" t="e">
        <f t="shared" si="157"/>
        <v>#VALUE!</v>
      </c>
    </row>
    <row r="2892" spans="1:12" x14ac:dyDescent="0.35">
      <c r="A2892" s="9">
        <f t="shared" si="158"/>
        <v>2891</v>
      </c>
      <c r="B2892" t="s">
        <v>109</v>
      </c>
      <c r="C2892" s="109">
        <f>IF(ISBLANK(K2892),IFERROR(VLOOKUP(I2892,FS_input_data!$C$458:$N$648,Export!J2892,FALSE),""),K2892)</f>
        <v>11000</v>
      </c>
      <c r="D2892" s="102" t="b">
        <v>0</v>
      </c>
      <c r="E2892" t="s">
        <v>1561</v>
      </c>
      <c r="F2892" s="102" t="s">
        <v>1824</v>
      </c>
      <c r="G2892" s="102" t="b">
        <f>IF(RP_tax,TRUE,VLOOKUP($I$2868,FS_input_data!$C$458:$N$648,Export!$J$2868,FALSE)="")</f>
        <v>1</v>
      </c>
      <c r="H2892" s="6" t="s">
        <v>2189</v>
      </c>
      <c r="I2892" t="s">
        <v>1824</v>
      </c>
      <c r="J2892">
        <v>10</v>
      </c>
      <c r="L2892" s="9" t="e">
        <f t="shared" si="157"/>
        <v>#VALUE!</v>
      </c>
    </row>
    <row r="2893" spans="1:12" x14ac:dyDescent="0.35">
      <c r="A2893">
        <f t="shared" si="158"/>
        <v>2892</v>
      </c>
      <c r="B2893" t="s">
        <v>110</v>
      </c>
      <c r="C2893" s="109" t="str">
        <f>IF(ISBLANK(K2893),IFERROR(VLOOKUP(I2893,FS_input_data!$C$458:$N$648,Export!J2893,FALSE),""),K2893)</f>
        <v/>
      </c>
      <c r="D2893" s="102"/>
      <c r="E2893" t="s">
        <v>1561</v>
      </c>
      <c r="F2893" s="102" t="s">
        <v>1824</v>
      </c>
      <c r="G2893" s="102" t="b">
        <f>IF(RP_tax,TRUE,VLOOKUP($I$2868,FS_input_data!$C$458:$N$648,Export!$J$2868,FALSE)="")</f>
        <v>1</v>
      </c>
      <c r="H2893" s="6" t="s">
        <v>2189</v>
      </c>
      <c r="I2893" t="s">
        <v>1561</v>
      </c>
      <c r="J2893" t="s">
        <v>1561</v>
      </c>
      <c r="L2893">
        <f t="shared" si="157"/>
        <v>1</v>
      </c>
    </row>
    <row r="2894" spans="1:12" x14ac:dyDescent="0.35">
      <c r="A2894" s="9">
        <f t="shared" si="158"/>
        <v>2893</v>
      </c>
      <c r="B2894" t="s">
        <v>111</v>
      </c>
      <c r="C2894" s="109">
        <f>IF(ISBLANK(K2894),IFERROR(VLOOKUP(I2894,FS_input_data!$C$458:$N$648,Export!J2894,FALSE),""),K2894)</f>
        <v>5500</v>
      </c>
      <c r="D2894" s="102" t="b">
        <v>0</v>
      </c>
      <c r="E2894" t="s">
        <v>1561</v>
      </c>
      <c r="F2894" s="102" t="s">
        <v>1824</v>
      </c>
      <c r="G2894" s="102" t="b">
        <f>IF(RP_tax,TRUE,VLOOKUP($I$2868,FS_input_data!$C$458:$N$648,Export!$J$2868,FALSE)="")</f>
        <v>1</v>
      </c>
      <c r="H2894" s="6" t="s">
        <v>2189</v>
      </c>
      <c r="I2894" t="s">
        <v>1824</v>
      </c>
      <c r="J2894">
        <v>11</v>
      </c>
      <c r="L2894" s="9" t="e">
        <f t="shared" si="157"/>
        <v>#VALUE!</v>
      </c>
    </row>
    <row r="2895" spans="1:12" x14ac:dyDescent="0.35">
      <c r="A2895">
        <f t="shared" si="158"/>
        <v>2894</v>
      </c>
      <c r="B2895" t="s">
        <v>112</v>
      </c>
      <c r="C2895" s="109" t="str">
        <f>IF(ISBLANK(K2895),IFERROR(VLOOKUP(I2895,FS_input_data!$C$458:$N$648,Export!J2895,FALSE),""),K2895)</f>
        <v/>
      </c>
      <c r="D2895" s="102"/>
      <c r="E2895" t="s">
        <v>1561</v>
      </c>
      <c r="F2895" s="102" t="s">
        <v>1824</v>
      </c>
      <c r="G2895" s="102" t="b">
        <f>IF(RP_tax,TRUE,VLOOKUP($I$2868,FS_input_data!$C$458:$N$648,Export!$J$2868,FALSE)="")</f>
        <v>1</v>
      </c>
      <c r="H2895" s="6" t="s">
        <v>2189</v>
      </c>
      <c r="I2895" t="s">
        <v>1561</v>
      </c>
      <c r="J2895" t="s">
        <v>1561</v>
      </c>
      <c r="L2895">
        <f t="shared" si="157"/>
        <v>1</v>
      </c>
    </row>
    <row r="2896" spans="1:12" x14ac:dyDescent="0.35">
      <c r="A2896" s="9">
        <f t="shared" si="158"/>
        <v>2895</v>
      </c>
      <c r="B2896" t="s">
        <v>749</v>
      </c>
      <c r="C2896" s="109">
        <f>IF(ISBLANK(K2896),IFERROR(VLOOKUP(I2896,FS_input_data!$C$458:$N$648,Export!J2896,FALSE),""),K2896)</f>
        <v>5500</v>
      </c>
      <c r="D2896" s="102" t="b">
        <v>0</v>
      </c>
      <c r="E2896" t="s">
        <v>1561</v>
      </c>
      <c r="F2896" s="102" t="s">
        <v>1824</v>
      </c>
      <c r="G2896" s="102" t="b">
        <f>IF(RP_tax,TRUE,VLOOKUP($I$2868,FS_input_data!$C$458:$N$648,Export!$J$2868,FALSE)="")</f>
        <v>1</v>
      </c>
      <c r="H2896" s="6" t="s">
        <v>2189</v>
      </c>
      <c r="I2896" t="s">
        <v>1824</v>
      </c>
      <c r="J2896">
        <v>12</v>
      </c>
      <c r="L2896" s="9" t="e">
        <f t="shared" si="157"/>
        <v>#VALUE!</v>
      </c>
    </row>
    <row r="2897" spans="1:12" x14ac:dyDescent="0.35">
      <c r="A2897">
        <f t="shared" si="158"/>
        <v>2896</v>
      </c>
      <c r="B2897" t="s">
        <v>750</v>
      </c>
      <c r="C2897" s="109" t="str">
        <f>IF(ISBLANK(K2897),IFERROR(VLOOKUP(I2897,FS_input_data!$C$458:$N$648,Export!J2897,FALSE),""),K2897)</f>
        <v/>
      </c>
      <c r="D2897" s="102"/>
      <c r="E2897" t="s">
        <v>1561</v>
      </c>
      <c r="F2897" s="102" t="s">
        <v>1824</v>
      </c>
      <c r="G2897" s="102" t="b">
        <f>IF(RP_tax,TRUE,VLOOKUP($I$2868,FS_input_data!$C$458:$N$648,Export!$J$2868,FALSE)="")</f>
        <v>1</v>
      </c>
      <c r="H2897" s="6" t="s">
        <v>2189</v>
      </c>
      <c r="I2897" t="s">
        <v>1561</v>
      </c>
      <c r="J2897" t="s">
        <v>1561</v>
      </c>
      <c r="L2897">
        <f t="shared" si="157"/>
        <v>1</v>
      </c>
    </row>
    <row r="2898" spans="1:12" x14ac:dyDescent="0.35">
      <c r="A2898">
        <f t="shared" si="158"/>
        <v>2897</v>
      </c>
      <c r="B2898" t="s">
        <v>745</v>
      </c>
      <c r="C2898" s="109" t="str">
        <f>IF(ISBLANK(K2898),IFERROR(VLOOKUP(I2898,FS_input_data!$C$458:$N$648,Export!J2898,FALSE),""),K2898)</f>
        <v/>
      </c>
      <c r="D2898" s="102"/>
      <c r="E2898" t="s">
        <v>1561</v>
      </c>
      <c r="F2898" s="102" t="s">
        <v>1824</v>
      </c>
      <c r="G2898" s="102" t="b">
        <f>IF(RP_tax,TRUE,VLOOKUP($I$2868,FS_input_data!$C$458:$N$648,Export!$J$2868,FALSE)="")</f>
        <v>1</v>
      </c>
      <c r="H2898" s="6" t="s">
        <v>2189</v>
      </c>
      <c r="I2898" t="s">
        <v>1561</v>
      </c>
      <c r="J2898" t="s">
        <v>1561</v>
      </c>
      <c r="L2898">
        <f t="shared" si="157"/>
        <v>1</v>
      </c>
    </row>
    <row r="2899" spans="1:12" x14ac:dyDescent="0.35">
      <c r="A2899">
        <f t="shared" si="158"/>
        <v>2898</v>
      </c>
      <c r="B2899" t="s">
        <v>764</v>
      </c>
      <c r="C2899" s="109" t="str">
        <f>IF(ISBLANK(K2899),IFERROR(VLOOKUP(I2899,FS_input_data!$C$458:$N$648,Export!J2899,FALSE),""),K2899)</f>
        <v/>
      </c>
      <c r="D2899" s="102"/>
      <c r="E2899" t="s">
        <v>1561</v>
      </c>
      <c r="F2899" s="102" t="s">
        <v>1824</v>
      </c>
      <c r="G2899" s="102" t="b">
        <f>VLOOKUP($I$2868,FS_input_data!$C$458:$N$648,Export!$J$2868,FALSE)=""</f>
        <v>0</v>
      </c>
      <c r="H2899" s="6" t="s">
        <v>2189</v>
      </c>
      <c r="I2899" t="s">
        <v>1561</v>
      </c>
      <c r="J2899" t="s">
        <v>1561</v>
      </c>
      <c r="L2899">
        <f t="shared" si="157"/>
        <v>1</v>
      </c>
    </row>
    <row r="2900" spans="1:12" x14ac:dyDescent="0.35">
      <c r="A2900">
        <f t="shared" si="158"/>
        <v>2899</v>
      </c>
      <c r="B2900" t="s">
        <v>765</v>
      </c>
      <c r="C2900" s="109" t="str">
        <f>IF(ISBLANK(K2900),IFERROR(VLOOKUP(I2900,FS_input_data!$C$458:$N$648,Export!J2900,FALSE),""),K2900)</f>
        <v/>
      </c>
      <c r="D2900" s="102"/>
      <c r="E2900" t="s">
        <v>1561</v>
      </c>
      <c r="F2900" s="102" t="s">
        <v>1824</v>
      </c>
      <c r="G2900" s="102" t="b">
        <f>VLOOKUP($I$2868,FS_input_data!$C$458:$N$648,Export!$J$2868,FALSE)=""</f>
        <v>0</v>
      </c>
      <c r="H2900" s="6" t="s">
        <v>2189</v>
      </c>
      <c r="I2900" t="s">
        <v>1561</v>
      </c>
      <c r="J2900" t="s">
        <v>1561</v>
      </c>
      <c r="L2900">
        <f t="shared" si="157"/>
        <v>1</v>
      </c>
    </row>
    <row r="2901" spans="1:12" x14ac:dyDescent="0.35">
      <c r="A2901">
        <f t="shared" si="158"/>
        <v>2900</v>
      </c>
      <c r="B2901" t="s">
        <v>752</v>
      </c>
      <c r="C2901" s="109" t="str">
        <f>IF(ISBLANK(K2901),IFERROR(VLOOKUP(I2901,FS_input_data!$C$458:$N$648,Export!J2901,FALSE),""),K2901)</f>
        <v/>
      </c>
      <c r="D2901" s="105"/>
      <c r="E2901" t="s">
        <v>1561</v>
      </c>
      <c r="F2901" s="105" t="s">
        <v>1827</v>
      </c>
      <c r="G2901" s="105" t="b">
        <f>VLOOKUP($I$2902,FS_input_data!$C$458:$N$648,Export!$J$2902,FALSE)=""</f>
        <v>0</v>
      </c>
      <c r="H2901" s="6" t="s">
        <v>2189</v>
      </c>
      <c r="I2901" t="s">
        <v>1561</v>
      </c>
      <c r="J2901" t="s">
        <v>1561</v>
      </c>
      <c r="L2901" s="9" t="e">
        <f t="shared" si="157"/>
        <v>#VALUE!</v>
      </c>
    </row>
    <row r="2902" spans="1:12" x14ac:dyDescent="0.35">
      <c r="A2902" s="9">
        <f t="shared" si="158"/>
        <v>2901</v>
      </c>
      <c r="B2902" t="s">
        <v>101</v>
      </c>
      <c r="C2902" s="109" t="str">
        <f>IF(ISBLANK(K2902),IFERROR(VLOOKUP(I2902,FS_input_data!$C$458:$N$648,Export!J2902,FALSE),""),K2902)</f>
        <v>OB12</v>
      </c>
      <c r="D2902" s="105" t="b">
        <v>1</v>
      </c>
      <c r="E2902" t="s">
        <v>1561</v>
      </c>
      <c r="F2902" s="105" t="s">
        <v>1827</v>
      </c>
      <c r="G2902" s="105" t="b">
        <f>VLOOKUP($I$2902,FS_input_data!$C$458:$N$648,Export!$J$2902,FALSE)=""</f>
        <v>0</v>
      </c>
      <c r="H2902" s="6" t="s">
        <v>2189</v>
      </c>
      <c r="I2902" t="s">
        <v>1827</v>
      </c>
      <c r="J2902">
        <v>6</v>
      </c>
      <c r="L2902" s="9" t="e">
        <f t="shared" si="157"/>
        <v>#VALUE!</v>
      </c>
    </row>
    <row r="2903" spans="1:12" x14ac:dyDescent="0.35">
      <c r="A2903">
        <f t="shared" si="158"/>
        <v>2902</v>
      </c>
      <c r="B2903" t="s">
        <v>102</v>
      </c>
      <c r="C2903" s="109" t="str">
        <f>IF(ISBLANK(K2903),IFERROR(VLOOKUP(I2903,FS_input_data!$C$458:$N$648,Export!J2903,FALSE),""),K2903)</f>
        <v/>
      </c>
      <c r="D2903" s="105"/>
      <c r="E2903" t="s">
        <v>1561</v>
      </c>
      <c r="F2903" s="105" t="s">
        <v>1827</v>
      </c>
      <c r="G2903" s="105" t="b">
        <f>VLOOKUP($I$2902,FS_input_data!$C$458:$N$648,Export!$J$2902,FALSE)=""</f>
        <v>0</v>
      </c>
      <c r="H2903" s="6" t="s">
        <v>2189</v>
      </c>
      <c r="I2903" t="s">
        <v>1561</v>
      </c>
      <c r="J2903" t="s">
        <v>1561</v>
      </c>
      <c r="L2903">
        <f t="shared" si="157"/>
        <v>1</v>
      </c>
    </row>
    <row r="2904" spans="1:12" x14ac:dyDescent="0.35">
      <c r="A2904">
        <f t="shared" si="158"/>
        <v>2903</v>
      </c>
      <c r="B2904" t="s">
        <v>753</v>
      </c>
      <c r="C2904" s="109" t="str">
        <f>IF(ISBLANK(K2904),IFERROR(VLOOKUP(I2904,FS_input_data!$C$458:$N$648,Export!J2904,FALSE),""),K2904)</f>
        <v/>
      </c>
      <c r="D2904" s="105"/>
      <c r="E2904" t="s">
        <v>1561</v>
      </c>
      <c r="F2904" s="105" t="s">
        <v>1827</v>
      </c>
      <c r="G2904" s="105" t="b">
        <f>VLOOKUP($I$2902,FS_input_data!$C$458:$N$648,Export!$J$2902,FALSE)=""</f>
        <v>0</v>
      </c>
      <c r="H2904" s="6" t="s">
        <v>2189</v>
      </c>
      <c r="I2904" t="s">
        <v>1561</v>
      </c>
      <c r="J2904" t="s">
        <v>1561</v>
      </c>
      <c r="L2904" s="9" t="e">
        <f t="shared" si="157"/>
        <v>#VALUE!</v>
      </c>
    </row>
    <row r="2905" spans="1:12" x14ac:dyDescent="0.35">
      <c r="A2905">
        <f t="shared" si="158"/>
        <v>2904</v>
      </c>
      <c r="B2905" t="s">
        <v>742</v>
      </c>
      <c r="C2905" s="109" t="str">
        <f>IF(ISBLANK(K2905),IFERROR(VLOOKUP(I2905,FS_input_data!$C$458:$N$648,Export!J2905,FALSE),""),K2905)</f>
        <v/>
      </c>
      <c r="D2905" s="105"/>
      <c r="E2905" t="s">
        <v>1561</v>
      </c>
      <c r="F2905" s="105" t="s">
        <v>1827</v>
      </c>
      <c r="G2905" s="105" t="b">
        <f>VLOOKUP($I$2902,FS_input_data!$C$458:$N$648,Export!$J$2902,FALSE)=""</f>
        <v>0</v>
      </c>
      <c r="H2905" s="6" t="s">
        <v>2189</v>
      </c>
      <c r="I2905" t="s">
        <v>1561</v>
      </c>
      <c r="J2905" t="s">
        <v>1561</v>
      </c>
      <c r="L2905" s="9" t="e">
        <f t="shared" si="157"/>
        <v>#VALUE!</v>
      </c>
    </row>
    <row r="2906" spans="1:12" x14ac:dyDescent="0.35">
      <c r="A2906">
        <f t="shared" si="158"/>
        <v>2905</v>
      </c>
      <c r="B2906" t="s">
        <v>748</v>
      </c>
      <c r="C2906" s="109" t="str">
        <f>IF(ISBLANK(K2906),IFERROR(VLOOKUP(I2906,FS_input_data!$C$458:$N$648,Export!J2906,FALSE),""),K2906)</f>
        <v/>
      </c>
      <c r="D2906" s="105"/>
      <c r="E2906" t="s">
        <v>1561</v>
      </c>
      <c r="F2906" s="105" t="s">
        <v>1827</v>
      </c>
      <c r="G2906" s="105" t="b">
        <f>VLOOKUP($I$2902,FS_input_data!$C$458:$N$648,Export!$J$2902,FALSE)=""</f>
        <v>0</v>
      </c>
      <c r="H2906" s="6" t="s">
        <v>2189</v>
      </c>
      <c r="I2906" t="s">
        <v>1561</v>
      </c>
      <c r="J2906" t="s">
        <v>1561</v>
      </c>
      <c r="L2906" s="9" t="e">
        <f t="shared" si="157"/>
        <v>#VALUE!</v>
      </c>
    </row>
    <row r="2907" spans="1:12" x14ac:dyDescent="0.35">
      <c r="A2907" s="9">
        <f t="shared" si="158"/>
        <v>2906</v>
      </c>
      <c r="B2907" t="s">
        <v>109</v>
      </c>
      <c r="C2907" s="109">
        <f>IF(ISBLANK(K2907),IFERROR(VLOOKUP(I2907,FS_input_data!$C$458:$N$648,Export!J2907,FALSE),""),K2907)</f>
        <v>12000</v>
      </c>
      <c r="D2907" s="105" t="b">
        <v>1</v>
      </c>
      <c r="E2907" t="s">
        <v>1561</v>
      </c>
      <c r="F2907" s="105" t="s">
        <v>1827</v>
      </c>
      <c r="G2907" s="105" t="b">
        <f>VLOOKUP($I$2902,FS_input_data!$C$458:$N$648,Export!$J$2902,FALSE)=""</f>
        <v>0</v>
      </c>
      <c r="H2907" s="6" t="s">
        <v>2189</v>
      </c>
      <c r="I2907" t="s">
        <v>1827</v>
      </c>
      <c r="J2907">
        <v>7</v>
      </c>
      <c r="L2907" s="9" t="e">
        <f t="shared" si="157"/>
        <v>#VALUE!</v>
      </c>
    </row>
    <row r="2908" spans="1:12" x14ac:dyDescent="0.35">
      <c r="A2908">
        <f t="shared" si="158"/>
        <v>2907</v>
      </c>
      <c r="B2908" t="s">
        <v>110</v>
      </c>
      <c r="C2908" s="109" t="str">
        <f>IF(ISBLANK(K2908),IFERROR(VLOOKUP(I2908,FS_input_data!$C$458:$N$648,Export!J2908,FALSE),""),K2908)</f>
        <v/>
      </c>
      <c r="D2908" s="105"/>
      <c r="E2908" t="s">
        <v>1561</v>
      </c>
      <c r="F2908" s="105" t="s">
        <v>1827</v>
      </c>
      <c r="G2908" s="105" t="b">
        <f>VLOOKUP($I$2902,FS_input_data!$C$458:$N$648,Export!$J$2902,FALSE)=""</f>
        <v>0</v>
      </c>
      <c r="H2908" s="6" t="s">
        <v>2189</v>
      </c>
      <c r="I2908" t="s">
        <v>1561</v>
      </c>
      <c r="J2908" t="s">
        <v>1561</v>
      </c>
      <c r="L2908">
        <f t="shared" si="157"/>
        <v>1</v>
      </c>
    </row>
    <row r="2909" spans="1:12" x14ac:dyDescent="0.35">
      <c r="A2909" s="9">
        <f t="shared" si="158"/>
        <v>2908</v>
      </c>
      <c r="B2909" t="s">
        <v>111</v>
      </c>
      <c r="C2909" s="109">
        <f>IF(ISBLANK(K2909),IFERROR(VLOOKUP(I2909,FS_input_data!$C$458:$N$648,Export!J2909,FALSE),""),K2909)</f>
        <v>6000</v>
      </c>
      <c r="D2909" s="105" t="b">
        <v>0</v>
      </c>
      <c r="E2909" t="s">
        <v>1561</v>
      </c>
      <c r="F2909" s="105" t="s">
        <v>1827</v>
      </c>
      <c r="G2909" s="105" t="b">
        <f>VLOOKUP($I$2902,FS_input_data!$C$458:$N$648,Export!$J$2902,FALSE)=""</f>
        <v>0</v>
      </c>
      <c r="H2909" s="6" t="s">
        <v>2189</v>
      </c>
      <c r="I2909" t="s">
        <v>1827</v>
      </c>
      <c r="J2909">
        <v>8</v>
      </c>
      <c r="L2909" s="9" t="e">
        <f t="shared" si="157"/>
        <v>#VALUE!</v>
      </c>
    </row>
    <row r="2910" spans="1:12" x14ac:dyDescent="0.35">
      <c r="A2910">
        <f t="shared" si="158"/>
        <v>2909</v>
      </c>
      <c r="B2910" t="s">
        <v>112</v>
      </c>
      <c r="C2910" s="109" t="str">
        <f>IF(ISBLANK(K2910),IFERROR(VLOOKUP(I2910,FS_input_data!$C$458:$N$648,Export!J2910,FALSE),""),K2910)</f>
        <v/>
      </c>
      <c r="D2910" s="105"/>
      <c r="E2910" t="s">
        <v>1561</v>
      </c>
      <c r="F2910" s="105" t="s">
        <v>1827</v>
      </c>
      <c r="G2910" s="105" t="b">
        <f>VLOOKUP($I$2902,FS_input_data!$C$458:$N$648,Export!$J$2902,FALSE)=""</f>
        <v>0</v>
      </c>
      <c r="H2910" s="6" t="s">
        <v>2189</v>
      </c>
      <c r="I2910" t="s">
        <v>1561</v>
      </c>
      <c r="J2910" t="s">
        <v>1561</v>
      </c>
      <c r="L2910">
        <f t="shared" si="157"/>
        <v>1</v>
      </c>
    </row>
    <row r="2911" spans="1:12" x14ac:dyDescent="0.35">
      <c r="A2911" s="9">
        <f t="shared" si="158"/>
        <v>2910</v>
      </c>
      <c r="B2911" t="s">
        <v>749</v>
      </c>
      <c r="C2911" s="109">
        <f>IF(ISBLANK(K2911),IFERROR(VLOOKUP(I2911,FS_input_data!$C$458:$N$648,Export!J2911,FALSE),""),K2911)</f>
        <v>6000</v>
      </c>
      <c r="D2911" s="105" t="b">
        <v>0</v>
      </c>
      <c r="E2911" t="s">
        <v>1561</v>
      </c>
      <c r="F2911" s="105" t="s">
        <v>1827</v>
      </c>
      <c r="G2911" s="105" t="b">
        <f>VLOOKUP($I$2902,FS_input_data!$C$458:$N$648,Export!$J$2902,FALSE)=""</f>
        <v>0</v>
      </c>
      <c r="H2911" s="6" t="s">
        <v>2189</v>
      </c>
      <c r="I2911" t="s">
        <v>1827</v>
      </c>
      <c r="J2911">
        <v>9</v>
      </c>
      <c r="L2911" s="9" t="e">
        <f t="shared" si="157"/>
        <v>#VALUE!</v>
      </c>
    </row>
    <row r="2912" spans="1:12" x14ac:dyDescent="0.35">
      <c r="A2912">
        <f t="shared" si="158"/>
        <v>2911</v>
      </c>
      <c r="B2912" t="s">
        <v>750</v>
      </c>
      <c r="C2912" s="109" t="str">
        <f>IF(ISBLANK(K2912),IFERROR(VLOOKUP(I2912,FS_input_data!$C$458:$N$648,Export!J2912,FALSE),""),K2912)</f>
        <v/>
      </c>
      <c r="D2912" s="105"/>
      <c r="E2912" t="s">
        <v>1561</v>
      </c>
      <c r="F2912" s="105" t="s">
        <v>1827</v>
      </c>
      <c r="G2912" s="105" t="b">
        <f>VLOOKUP($I$2902,FS_input_data!$C$458:$N$648,Export!$J$2902,FALSE)=""</f>
        <v>0</v>
      </c>
      <c r="H2912" s="6" t="s">
        <v>2189</v>
      </c>
      <c r="I2912" t="s">
        <v>1561</v>
      </c>
      <c r="J2912" t="s">
        <v>1561</v>
      </c>
      <c r="L2912">
        <f t="shared" si="157"/>
        <v>1</v>
      </c>
    </row>
    <row r="2913" spans="1:12" x14ac:dyDescent="0.35">
      <c r="A2913">
        <f t="shared" si="158"/>
        <v>2912</v>
      </c>
      <c r="B2913" t="s">
        <v>751</v>
      </c>
      <c r="C2913" s="109" t="str">
        <f>IF(ISBLANK(K2913),IFERROR(VLOOKUP(I2913,FS_input_data!$C$458:$N$648,Export!J2913,FALSE),""),K2913)</f>
        <v/>
      </c>
      <c r="D2913" s="105"/>
      <c r="E2913" t="s">
        <v>1561</v>
      </c>
      <c r="F2913" s="105" t="s">
        <v>1827</v>
      </c>
      <c r="G2913" s="105" t="b">
        <f>VLOOKUP($I$2902,FS_input_data!$C$458:$N$648,Export!$J$2902,FALSE)=""</f>
        <v>0</v>
      </c>
      <c r="H2913" s="6" t="s">
        <v>2189</v>
      </c>
      <c r="I2913" t="s">
        <v>1561</v>
      </c>
      <c r="J2913" t="s">
        <v>1561</v>
      </c>
      <c r="L2913">
        <f t="shared" si="157"/>
        <v>1</v>
      </c>
    </row>
    <row r="2914" spans="1:12" x14ac:dyDescent="0.35">
      <c r="A2914">
        <f t="shared" si="158"/>
        <v>2913</v>
      </c>
      <c r="B2914" t="s">
        <v>754</v>
      </c>
      <c r="C2914" s="109" t="str">
        <f>IF(ISBLANK(K2914),IFERROR(VLOOKUP(I2914,FS_input_data!$C$458:$N$648,Export!J2914,FALSE),""),K2914)</f>
        <v/>
      </c>
      <c r="D2914" s="105"/>
      <c r="E2914" t="s">
        <v>1561</v>
      </c>
      <c r="F2914" s="105" t="s">
        <v>1827</v>
      </c>
      <c r="G2914" s="105" t="b">
        <f>VLOOKUP($I$2902,FS_input_data!$C$458:$N$648,Export!$J$2902,FALSE)=""</f>
        <v>0</v>
      </c>
      <c r="H2914" s="6" t="s">
        <v>2189</v>
      </c>
      <c r="I2914" t="s">
        <v>1561</v>
      </c>
      <c r="J2914" t="s">
        <v>1561</v>
      </c>
      <c r="L2914" s="9" t="e">
        <f t="shared" si="157"/>
        <v>#VALUE!</v>
      </c>
    </row>
    <row r="2915" spans="1:12" x14ac:dyDescent="0.35">
      <c r="A2915" s="9">
        <f t="shared" si="158"/>
        <v>2914</v>
      </c>
      <c r="B2915" t="s">
        <v>755</v>
      </c>
      <c r="C2915" s="109">
        <f>IF(ISBLANK(K2915),IFERROR(VLOOKUP(I2915,FS_input_data!$C$458:$N$648,Export!J2915,FALSE),""),K2915)</f>
        <v>12</v>
      </c>
      <c r="D2915" s="105" t="b">
        <v>1</v>
      </c>
      <c r="E2915" t="s">
        <v>1561</v>
      </c>
      <c r="F2915" s="105" t="s">
        <v>1827</v>
      </c>
      <c r="G2915" s="105" t="b">
        <f>VLOOKUP($I$2902,FS_input_data!$C$458:$N$648,Export!$J$2902,FALSE)=""</f>
        <v>0</v>
      </c>
      <c r="H2915" s="6" t="s">
        <v>2189</v>
      </c>
      <c r="I2915" t="s">
        <v>1827</v>
      </c>
      <c r="J2915">
        <v>2</v>
      </c>
      <c r="L2915" s="9" t="e">
        <f t="shared" si="157"/>
        <v>#VALUE!</v>
      </c>
    </row>
    <row r="2916" spans="1:12" x14ac:dyDescent="0.35">
      <c r="A2916">
        <f t="shared" si="158"/>
        <v>2915</v>
      </c>
      <c r="B2916" t="s">
        <v>756</v>
      </c>
      <c r="C2916" s="109" t="str">
        <f>IF(ISBLANK(K2916),IFERROR(VLOOKUP(I2916,FS_input_data!$C$458:$N$648,Export!J2916,FALSE),""),K2916)</f>
        <v/>
      </c>
      <c r="D2916" s="105"/>
      <c r="E2916" t="s">
        <v>1561</v>
      </c>
      <c r="F2916" s="105" t="s">
        <v>1827</v>
      </c>
      <c r="G2916" s="105" t="b">
        <f>VLOOKUP($I$2902,FS_input_data!$C$458:$N$648,Export!$J$2902,FALSE)=""</f>
        <v>0</v>
      </c>
      <c r="H2916" s="6" t="s">
        <v>2189</v>
      </c>
      <c r="I2916" t="s">
        <v>1561</v>
      </c>
      <c r="J2916" t="s">
        <v>1561</v>
      </c>
      <c r="L2916">
        <f t="shared" si="157"/>
        <v>1</v>
      </c>
    </row>
    <row r="2917" spans="1:12" x14ac:dyDescent="0.35">
      <c r="A2917" s="9">
        <f t="shared" si="158"/>
        <v>2916</v>
      </c>
      <c r="B2917" t="s">
        <v>757</v>
      </c>
      <c r="C2917" s="109">
        <f>IF(ISBLANK(K2917),IFERROR(VLOOKUP(I2917,FS_input_data!$C$458:$N$648,Export!J2917,FALSE),""),K2917)</f>
        <v>112</v>
      </c>
      <c r="D2917" s="105" t="b">
        <v>0</v>
      </c>
      <c r="E2917" t="s">
        <v>1561</v>
      </c>
      <c r="F2917" s="105" t="s">
        <v>1827</v>
      </c>
      <c r="G2917" s="105" t="b">
        <f>VLOOKUP($I$2902,FS_input_data!$C$458:$N$648,Export!$J$2902,FALSE)=""</f>
        <v>0</v>
      </c>
      <c r="H2917" s="6" t="s">
        <v>2189</v>
      </c>
      <c r="I2917" t="s">
        <v>1827</v>
      </c>
      <c r="J2917">
        <v>3</v>
      </c>
      <c r="L2917" s="9" t="e">
        <f t="shared" si="157"/>
        <v>#VALUE!</v>
      </c>
    </row>
    <row r="2918" spans="1:12" x14ac:dyDescent="0.35">
      <c r="A2918">
        <f t="shared" si="158"/>
        <v>2917</v>
      </c>
      <c r="B2918" t="s">
        <v>758</v>
      </c>
      <c r="C2918" s="109" t="str">
        <f>IF(ISBLANK(K2918),IFERROR(VLOOKUP(I2918,FS_input_data!$C$458:$N$648,Export!J2918,FALSE),""),K2918)</f>
        <v/>
      </c>
      <c r="D2918" s="105"/>
      <c r="E2918" t="s">
        <v>1561</v>
      </c>
      <c r="F2918" s="105" t="s">
        <v>1827</v>
      </c>
      <c r="G2918" s="105" t="b">
        <f>VLOOKUP($I$2902,FS_input_data!$C$458:$N$648,Export!$J$2902,FALSE)=""</f>
        <v>0</v>
      </c>
      <c r="H2918" s="6" t="s">
        <v>2189</v>
      </c>
      <c r="I2918" t="s">
        <v>1561</v>
      </c>
      <c r="J2918" t="s">
        <v>1561</v>
      </c>
      <c r="L2918">
        <f t="shared" si="157"/>
        <v>1</v>
      </c>
    </row>
    <row r="2919" spans="1:12" x14ac:dyDescent="0.35">
      <c r="A2919" s="9">
        <f t="shared" si="158"/>
        <v>2918</v>
      </c>
      <c r="B2919" t="s">
        <v>759</v>
      </c>
      <c r="C2919" s="109">
        <f>IF(ISBLANK(K2919),IFERROR(VLOOKUP(I2919,FS_input_data!$C$458:$N$648,Export!J2919,FALSE),""),K2919)</f>
        <v>212</v>
      </c>
      <c r="D2919" s="105" t="b">
        <v>0</v>
      </c>
      <c r="E2919" t="s">
        <v>1561</v>
      </c>
      <c r="F2919" s="105" t="s">
        <v>1827</v>
      </c>
      <c r="G2919" s="105" t="b">
        <f>VLOOKUP($I$2902,FS_input_data!$C$458:$N$648,Export!$J$2902,FALSE)=""</f>
        <v>0</v>
      </c>
      <c r="H2919" s="6" t="s">
        <v>2189</v>
      </c>
      <c r="I2919" t="s">
        <v>1827</v>
      </c>
      <c r="J2919">
        <v>4</v>
      </c>
      <c r="L2919" s="9" t="e">
        <f t="shared" si="157"/>
        <v>#VALUE!</v>
      </c>
    </row>
    <row r="2920" spans="1:12" x14ac:dyDescent="0.35">
      <c r="A2920">
        <f t="shared" si="158"/>
        <v>2919</v>
      </c>
      <c r="B2920" t="s">
        <v>760</v>
      </c>
      <c r="C2920" s="109" t="str">
        <f>IF(ISBLANK(K2920),IFERROR(VLOOKUP(I2920,FS_input_data!$C$458:$N$648,Export!J2920,FALSE),""),K2920)</f>
        <v/>
      </c>
      <c r="D2920" s="105"/>
      <c r="E2920" t="s">
        <v>1561</v>
      </c>
      <c r="F2920" s="105" t="s">
        <v>1827</v>
      </c>
      <c r="G2920" s="105" t="b">
        <f>VLOOKUP($I$2902,FS_input_data!$C$458:$N$648,Export!$J$2902,FALSE)=""</f>
        <v>0</v>
      </c>
      <c r="H2920" s="6" t="s">
        <v>2189</v>
      </c>
      <c r="I2920" t="s">
        <v>1561</v>
      </c>
      <c r="J2920" t="s">
        <v>1561</v>
      </c>
      <c r="L2920">
        <f t="shared" si="157"/>
        <v>1</v>
      </c>
    </row>
    <row r="2921" spans="1:12" x14ac:dyDescent="0.35">
      <c r="A2921" s="9">
        <f t="shared" si="158"/>
        <v>2920</v>
      </c>
      <c r="B2921" t="s">
        <v>761</v>
      </c>
      <c r="C2921" s="109" t="str">
        <f>IF(ISBLANK(K2921),IFERROR(VLOOKUP(I2921,FS_input_data!$C$458:$N$648,Export!J2921,FALSE),""),K2921)</f>
        <v>m</v>
      </c>
      <c r="D2921" s="105" t="b">
        <v>0</v>
      </c>
      <c r="E2921" t="s">
        <v>1561</v>
      </c>
      <c r="F2921" s="105" t="s">
        <v>1827</v>
      </c>
      <c r="G2921" s="105" t="b">
        <f>VLOOKUP($I$2902,FS_input_data!$C$458:$N$648,Export!$J$2902,FALSE)=""</f>
        <v>0</v>
      </c>
      <c r="H2921" s="6" t="s">
        <v>2189</v>
      </c>
      <c r="I2921" t="s">
        <v>1827</v>
      </c>
      <c r="J2921">
        <v>5</v>
      </c>
      <c r="L2921" s="9" t="e">
        <f t="shared" si="157"/>
        <v>#VALUE!</v>
      </c>
    </row>
    <row r="2922" spans="1:12" x14ac:dyDescent="0.35">
      <c r="A2922">
        <f t="shared" si="158"/>
        <v>2921</v>
      </c>
      <c r="B2922" t="s">
        <v>762</v>
      </c>
      <c r="C2922" s="109" t="str">
        <f>IF(ISBLANK(K2922),IFERROR(VLOOKUP(I2922,FS_input_data!$C$458:$N$648,Export!J2922,FALSE),""),K2922)</f>
        <v/>
      </c>
      <c r="D2922" s="105"/>
      <c r="E2922" t="s">
        <v>1561</v>
      </c>
      <c r="F2922" s="105" t="s">
        <v>1827</v>
      </c>
      <c r="G2922" s="105" t="b">
        <f>VLOOKUP($I$2902,FS_input_data!$C$458:$N$648,Export!$J$2902,FALSE)=""</f>
        <v>0</v>
      </c>
      <c r="H2922" s="6" t="s">
        <v>2189</v>
      </c>
      <c r="I2922" t="s">
        <v>1561</v>
      </c>
      <c r="J2922" t="s">
        <v>1561</v>
      </c>
      <c r="L2922">
        <f t="shared" si="157"/>
        <v>1</v>
      </c>
    </row>
    <row r="2923" spans="1:12" x14ac:dyDescent="0.35">
      <c r="A2923">
        <f t="shared" si="158"/>
        <v>2922</v>
      </c>
      <c r="B2923" t="s">
        <v>763</v>
      </c>
      <c r="C2923" s="109" t="str">
        <f>IF(ISBLANK(K2923),IFERROR(VLOOKUP(I2923,FS_input_data!$C$458:$N$648,Export!J2923,FALSE),""),K2923)</f>
        <v/>
      </c>
      <c r="D2923" s="105"/>
      <c r="E2923" t="s">
        <v>1561</v>
      </c>
      <c r="F2923" s="105" t="s">
        <v>1827</v>
      </c>
      <c r="G2923" s="105" t="b">
        <f>VLOOKUP($I$2902,FS_input_data!$C$458:$N$648,Export!$J$2902,FALSE)=""</f>
        <v>0</v>
      </c>
      <c r="H2923" s="6" t="s">
        <v>2189</v>
      </c>
      <c r="I2923" t="s">
        <v>1561</v>
      </c>
      <c r="J2923" t="s">
        <v>1561</v>
      </c>
      <c r="L2923">
        <f t="shared" si="157"/>
        <v>1</v>
      </c>
    </row>
    <row r="2924" spans="1:12" x14ac:dyDescent="0.35">
      <c r="A2924">
        <f t="shared" si="158"/>
        <v>2923</v>
      </c>
      <c r="B2924" t="s">
        <v>743</v>
      </c>
      <c r="C2924" s="109" t="str">
        <f>IF(ISBLANK(K2924),IFERROR(VLOOKUP(I2924,FS_input_data!$C$458:$N$648,Export!J2924,FALSE),""),K2924)</f>
        <v/>
      </c>
      <c r="D2924" s="105"/>
      <c r="E2924" t="s">
        <v>1561</v>
      </c>
      <c r="F2924" s="105" t="s">
        <v>1827</v>
      </c>
      <c r="G2924" s="105" t="b">
        <f>VLOOKUP($I$2902,FS_input_data!$C$458:$N$648,Export!$J$2902,FALSE)=""</f>
        <v>0</v>
      </c>
      <c r="H2924" s="6" t="s">
        <v>2189</v>
      </c>
      <c r="I2924" t="s">
        <v>1561</v>
      </c>
      <c r="J2924" t="s">
        <v>1561</v>
      </c>
      <c r="L2924">
        <f t="shared" si="157"/>
        <v>1</v>
      </c>
    </row>
    <row r="2925" spans="1:12" x14ac:dyDescent="0.35">
      <c r="A2925">
        <f t="shared" si="158"/>
        <v>2924</v>
      </c>
      <c r="B2925" t="s">
        <v>744</v>
      </c>
      <c r="C2925" s="109" t="str">
        <f>IF(ISBLANK(K2925),IFERROR(VLOOKUP(I2925,FS_input_data!$C$458:$N$648,Export!J2925,FALSE),""),K2925)</f>
        <v/>
      </c>
      <c r="D2925" s="105"/>
      <c r="E2925" t="s">
        <v>1561</v>
      </c>
      <c r="F2925" s="105" t="s">
        <v>1827</v>
      </c>
      <c r="G2925" s="105" t="b">
        <f>IF(RP_tax,TRUE,VLOOKUP($I$2902,FS_input_data!$C$458:$N$648,Export!$J$2902,FALSE)="")</f>
        <v>1</v>
      </c>
      <c r="H2925" s="6" t="s">
        <v>2189</v>
      </c>
      <c r="I2925" t="s">
        <v>1561</v>
      </c>
      <c r="J2925" t="s">
        <v>1561</v>
      </c>
      <c r="L2925" s="9" t="e">
        <f t="shared" si="157"/>
        <v>#VALUE!</v>
      </c>
    </row>
    <row r="2926" spans="1:12" x14ac:dyDescent="0.35">
      <c r="A2926" s="9">
        <f t="shared" si="158"/>
        <v>2925</v>
      </c>
      <c r="B2926" t="s">
        <v>109</v>
      </c>
      <c r="C2926" s="109">
        <f>IF(ISBLANK(K2926),IFERROR(VLOOKUP(I2926,FS_input_data!$C$458:$N$648,Export!J2926,FALSE),""),K2926)</f>
        <v>12000</v>
      </c>
      <c r="D2926" s="105" t="b">
        <v>0</v>
      </c>
      <c r="E2926" t="s">
        <v>1561</v>
      </c>
      <c r="F2926" s="105" t="s">
        <v>1827</v>
      </c>
      <c r="G2926" s="105" t="b">
        <f>IF(RP_tax,TRUE,VLOOKUP($I$2902,FS_input_data!$C$458:$N$648,Export!$J$2902,FALSE)="")</f>
        <v>1</v>
      </c>
      <c r="H2926" s="6" t="s">
        <v>2189</v>
      </c>
      <c r="I2926" t="s">
        <v>1827</v>
      </c>
      <c r="J2926">
        <v>10</v>
      </c>
      <c r="L2926" s="9" t="e">
        <f t="shared" si="157"/>
        <v>#VALUE!</v>
      </c>
    </row>
    <row r="2927" spans="1:12" x14ac:dyDescent="0.35">
      <c r="A2927">
        <f t="shared" si="158"/>
        <v>2926</v>
      </c>
      <c r="B2927" t="s">
        <v>110</v>
      </c>
      <c r="C2927" s="109" t="str">
        <f>IF(ISBLANK(K2927),IFERROR(VLOOKUP(I2927,FS_input_data!$C$458:$N$648,Export!J2927,FALSE),""),K2927)</f>
        <v/>
      </c>
      <c r="D2927" s="105"/>
      <c r="E2927" t="s">
        <v>1561</v>
      </c>
      <c r="F2927" s="105" t="s">
        <v>1827</v>
      </c>
      <c r="G2927" s="105" t="b">
        <f>IF(RP_tax,TRUE,VLOOKUP($I$2902,FS_input_data!$C$458:$N$648,Export!$J$2902,FALSE)="")</f>
        <v>1</v>
      </c>
      <c r="H2927" s="6" t="s">
        <v>2189</v>
      </c>
      <c r="I2927" t="s">
        <v>1561</v>
      </c>
      <c r="J2927" t="s">
        <v>1561</v>
      </c>
      <c r="L2927">
        <f t="shared" si="157"/>
        <v>1</v>
      </c>
    </row>
    <row r="2928" spans="1:12" x14ac:dyDescent="0.35">
      <c r="A2928" s="9">
        <f t="shared" si="158"/>
        <v>2927</v>
      </c>
      <c r="B2928" t="s">
        <v>111</v>
      </c>
      <c r="C2928" s="109">
        <f>IF(ISBLANK(K2928),IFERROR(VLOOKUP(I2928,FS_input_data!$C$458:$N$648,Export!J2928,FALSE),""),K2928)</f>
        <v>6000</v>
      </c>
      <c r="D2928" s="105" t="b">
        <v>0</v>
      </c>
      <c r="E2928" t="s">
        <v>1561</v>
      </c>
      <c r="F2928" s="105" t="s">
        <v>1827</v>
      </c>
      <c r="G2928" s="105" t="b">
        <f>IF(RP_tax,TRUE,VLOOKUP($I$2902,FS_input_data!$C$458:$N$648,Export!$J$2902,FALSE)="")</f>
        <v>1</v>
      </c>
      <c r="H2928" s="6" t="s">
        <v>2189</v>
      </c>
      <c r="I2928" t="s">
        <v>1827</v>
      </c>
      <c r="J2928">
        <v>11</v>
      </c>
      <c r="L2928" s="9" t="e">
        <f t="shared" si="157"/>
        <v>#VALUE!</v>
      </c>
    </row>
    <row r="2929" spans="1:12" x14ac:dyDescent="0.35">
      <c r="A2929">
        <f t="shared" si="158"/>
        <v>2928</v>
      </c>
      <c r="B2929" t="s">
        <v>112</v>
      </c>
      <c r="C2929" s="109" t="str">
        <f>IF(ISBLANK(K2929),IFERROR(VLOOKUP(I2929,FS_input_data!$C$458:$N$648,Export!J2929,FALSE),""),K2929)</f>
        <v/>
      </c>
      <c r="D2929" s="105"/>
      <c r="E2929" t="s">
        <v>1561</v>
      </c>
      <c r="F2929" s="105" t="s">
        <v>1827</v>
      </c>
      <c r="G2929" s="105" t="b">
        <f>IF(RP_tax,TRUE,VLOOKUP($I$2902,FS_input_data!$C$458:$N$648,Export!$J$2902,FALSE)="")</f>
        <v>1</v>
      </c>
      <c r="H2929" s="6" t="s">
        <v>2189</v>
      </c>
      <c r="I2929" t="s">
        <v>1561</v>
      </c>
      <c r="J2929" t="s">
        <v>1561</v>
      </c>
      <c r="L2929">
        <f t="shared" si="157"/>
        <v>1</v>
      </c>
    </row>
    <row r="2930" spans="1:12" x14ac:dyDescent="0.35">
      <c r="A2930" s="9">
        <f t="shared" si="158"/>
        <v>2929</v>
      </c>
      <c r="B2930" t="s">
        <v>749</v>
      </c>
      <c r="C2930" s="109">
        <f>IF(ISBLANK(K2930),IFERROR(VLOOKUP(I2930,FS_input_data!$C$458:$N$648,Export!J2930,FALSE),""),K2930)</f>
        <v>6000</v>
      </c>
      <c r="D2930" s="105" t="b">
        <v>0</v>
      </c>
      <c r="E2930" t="s">
        <v>1561</v>
      </c>
      <c r="F2930" s="105" t="s">
        <v>1827</v>
      </c>
      <c r="G2930" s="105" t="b">
        <f>IF(RP_tax,TRUE,VLOOKUP($I$2902,FS_input_data!$C$458:$N$648,Export!$J$2902,FALSE)="")</f>
        <v>1</v>
      </c>
      <c r="H2930" s="6" t="s">
        <v>2189</v>
      </c>
      <c r="I2930" t="s">
        <v>1827</v>
      </c>
      <c r="J2930">
        <v>12</v>
      </c>
      <c r="L2930" s="9" t="e">
        <f t="shared" si="157"/>
        <v>#VALUE!</v>
      </c>
    </row>
    <row r="2931" spans="1:12" x14ac:dyDescent="0.35">
      <c r="A2931">
        <f t="shared" si="158"/>
        <v>2930</v>
      </c>
      <c r="B2931" t="s">
        <v>750</v>
      </c>
      <c r="C2931" s="109" t="str">
        <f>IF(ISBLANK(K2931),IFERROR(VLOOKUP(I2931,FS_input_data!$C$458:$N$648,Export!J2931,FALSE),""),K2931)</f>
        <v/>
      </c>
      <c r="D2931" s="105"/>
      <c r="E2931" t="s">
        <v>1561</v>
      </c>
      <c r="F2931" s="105" t="s">
        <v>1827</v>
      </c>
      <c r="G2931" s="105" t="b">
        <f>IF(RP_tax,TRUE,VLOOKUP($I$2902,FS_input_data!$C$458:$N$648,Export!$J$2902,FALSE)="")</f>
        <v>1</v>
      </c>
      <c r="H2931" s="6" t="s">
        <v>2189</v>
      </c>
      <c r="I2931" t="s">
        <v>1561</v>
      </c>
      <c r="J2931" t="s">
        <v>1561</v>
      </c>
      <c r="L2931">
        <f t="shared" si="157"/>
        <v>1</v>
      </c>
    </row>
    <row r="2932" spans="1:12" x14ac:dyDescent="0.35">
      <c r="A2932">
        <f t="shared" si="158"/>
        <v>2931</v>
      </c>
      <c r="B2932" t="s">
        <v>745</v>
      </c>
      <c r="C2932" s="109" t="str">
        <f>IF(ISBLANK(K2932),IFERROR(VLOOKUP(I2932,FS_input_data!$C$458:$N$648,Export!J2932,FALSE),""),K2932)</f>
        <v/>
      </c>
      <c r="D2932" s="105"/>
      <c r="E2932" t="s">
        <v>1561</v>
      </c>
      <c r="F2932" s="105" t="s">
        <v>1827</v>
      </c>
      <c r="G2932" s="105" t="b">
        <f>IF(RP_tax,TRUE,VLOOKUP($I$2902,FS_input_data!$C$458:$N$648,Export!$J$2902,FALSE)="")</f>
        <v>1</v>
      </c>
      <c r="H2932" s="6" t="s">
        <v>2189</v>
      </c>
      <c r="I2932" t="s">
        <v>1561</v>
      </c>
      <c r="J2932" t="s">
        <v>1561</v>
      </c>
      <c r="L2932">
        <f t="shared" si="157"/>
        <v>1</v>
      </c>
    </row>
    <row r="2933" spans="1:12" x14ac:dyDescent="0.35">
      <c r="A2933">
        <f t="shared" si="158"/>
        <v>2932</v>
      </c>
      <c r="B2933" t="s">
        <v>764</v>
      </c>
      <c r="C2933" s="109" t="str">
        <f>IF(ISBLANK(K2933),IFERROR(VLOOKUP(I2933,FS_input_data!$C$458:$N$648,Export!J2933,FALSE),""),K2933)</f>
        <v/>
      </c>
      <c r="D2933" s="105"/>
      <c r="E2933" t="s">
        <v>1561</v>
      </c>
      <c r="F2933" s="105" t="s">
        <v>1827</v>
      </c>
      <c r="G2933" s="105" t="b">
        <f>VLOOKUP($I$2902,FS_input_data!$C$458:$N$648,Export!$J$2902,FALSE)=""</f>
        <v>0</v>
      </c>
      <c r="H2933" s="6" t="s">
        <v>2189</v>
      </c>
      <c r="I2933" t="s">
        <v>1561</v>
      </c>
      <c r="J2933" t="s">
        <v>1561</v>
      </c>
      <c r="L2933">
        <f t="shared" si="157"/>
        <v>1</v>
      </c>
    </row>
    <row r="2934" spans="1:12" x14ac:dyDescent="0.35">
      <c r="A2934">
        <f t="shared" si="158"/>
        <v>2933</v>
      </c>
      <c r="B2934" t="s">
        <v>765</v>
      </c>
      <c r="C2934" s="109" t="str">
        <f>IF(ISBLANK(K2934),IFERROR(VLOOKUP(I2934,FS_input_data!$C$458:$N$648,Export!J2934,FALSE),""),K2934)</f>
        <v/>
      </c>
      <c r="D2934" s="105"/>
      <c r="E2934" t="s">
        <v>1561</v>
      </c>
      <c r="F2934" s="105" t="s">
        <v>1827</v>
      </c>
      <c r="G2934" s="105" t="b">
        <f>VLOOKUP($I$2902,FS_input_data!$C$458:$N$648,Export!$J$2902,FALSE)=""</f>
        <v>0</v>
      </c>
      <c r="H2934" s="6" t="s">
        <v>2189</v>
      </c>
      <c r="I2934" t="s">
        <v>1561</v>
      </c>
      <c r="J2934" t="s">
        <v>1561</v>
      </c>
      <c r="L2934">
        <f t="shared" si="157"/>
        <v>1</v>
      </c>
    </row>
    <row r="2935" spans="1:12" x14ac:dyDescent="0.35">
      <c r="A2935">
        <f t="shared" si="158"/>
        <v>2934</v>
      </c>
      <c r="B2935" t="s">
        <v>752</v>
      </c>
      <c r="C2935" s="109" t="str">
        <f>IF(ISBLANK(K2935),IFERROR(VLOOKUP(I2935,FS_input_data!$C$458:$N$648,Export!J2935,FALSE),""),K2935)</f>
        <v/>
      </c>
      <c r="D2935" s="102"/>
      <c r="E2935" t="s">
        <v>1561</v>
      </c>
      <c r="F2935" s="102" t="s">
        <v>1830</v>
      </c>
      <c r="G2935" s="102" t="b">
        <f>VLOOKUP($I$2936,FS_input_data!$C$458:$N$648,Export!$J$2936,FALSE)=""</f>
        <v>0</v>
      </c>
      <c r="H2935" s="6" t="s">
        <v>2189</v>
      </c>
      <c r="I2935" t="s">
        <v>1561</v>
      </c>
      <c r="J2935" t="s">
        <v>1561</v>
      </c>
      <c r="L2935" s="9" t="e">
        <f t="shared" si="157"/>
        <v>#VALUE!</v>
      </c>
    </row>
    <row r="2936" spans="1:12" x14ac:dyDescent="0.35">
      <c r="A2936" s="9">
        <f t="shared" si="158"/>
        <v>2935</v>
      </c>
      <c r="B2936" t="s">
        <v>101</v>
      </c>
      <c r="C2936" s="109" t="str">
        <f>IF(ISBLANK(K2936),IFERROR(VLOOKUP(I2936,FS_input_data!$C$458:$N$648,Export!J2936,FALSE),""),K2936)</f>
        <v>OB13</v>
      </c>
      <c r="D2936" s="102" t="b">
        <v>1</v>
      </c>
      <c r="E2936" t="s">
        <v>1561</v>
      </c>
      <c r="F2936" s="102" t="s">
        <v>1830</v>
      </c>
      <c r="G2936" s="102" t="b">
        <f>VLOOKUP($I$2936,FS_input_data!$C$458:$N$648,Export!$J$2936,FALSE)=""</f>
        <v>0</v>
      </c>
      <c r="H2936" s="6" t="s">
        <v>2189</v>
      </c>
      <c r="I2936" t="s">
        <v>1830</v>
      </c>
      <c r="J2936">
        <v>6</v>
      </c>
      <c r="L2936" s="9" t="e">
        <f t="shared" si="157"/>
        <v>#VALUE!</v>
      </c>
    </row>
    <row r="2937" spans="1:12" x14ac:dyDescent="0.35">
      <c r="A2937">
        <f t="shared" si="158"/>
        <v>2936</v>
      </c>
      <c r="B2937" t="s">
        <v>102</v>
      </c>
      <c r="C2937" s="109" t="str">
        <f>IF(ISBLANK(K2937),IFERROR(VLOOKUP(I2937,FS_input_data!$C$458:$N$648,Export!J2937,FALSE),""),K2937)</f>
        <v/>
      </c>
      <c r="D2937" s="102"/>
      <c r="E2937" t="s">
        <v>1561</v>
      </c>
      <c r="F2937" s="102" t="s">
        <v>1830</v>
      </c>
      <c r="G2937" s="102" t="b">
        <f>VLOOKUP($I$2936,FS_input_data!$C$458:$N$648,Export!$J$2936,FALSE)=""</f>
        <v>0</v>
      </c>
      <c r="H2937" s="6" t="s">
        <v>2189</v>
      </c>
      <c r="I2937" t="s">
        <v>1561</v>
      </c>
      <c r="J2937" t="s">
        <v>1561</v>
      </c>
      <c r="L2937">
        <f t="shared" si="157"/>
        <v>1</v>
      </c>
    </row>
    <row r="2938" spans="1:12" x14ac:dyDescent="0.35">
      <c r="A2938">
        <f t="shared" si="158"/>
        <v>2937</v>
      </c>
      <c r="B2938" t="s">
        <v>753</v>
      </c>
      <c r="C2938" s="109" t="str">
        <f>IF(ISBLANK(K2938),IFERROR(VLOOKUP(I2938,FS_input_data!$C$458:$N$648,Export!J2938,FALSE),""),K2938)</f>
        <v/>
      </c>
      <c r="D2938" s="102"/>
      <c r="E2938" t="s">
        <v>1561</v>
      </c>
      <c r="F2938" s="102" t="s">
        <v>1830</v>
      </c>
      <c r="G2938" s="102" t="b">
        <f>VLOOKUP($I$2936,FS_input_data!$C$458:$N$648,Export!$J$2936,FALSE)=""</f>
        <v>0</v>
      </c>
      <c r="H2938" s="6" t="s">
        <v>2189</v>
      </c>
      <c r="I2938" t="s">
        <v>1561</v>
      </c>
      <c r="J2938" t="s">
        <v>1561</v>
      </c>
      <c r="L2938" s="9" t="e">
        <f t="shared" si="157"/>
        <v>#VALUE!</v>
      </c>
    </row>
    <row r="2939" spans="1:12" x14ac:dyDescent="0.35">
      <c r="A2939">
        <f t="shared" si="158"/>
        <v>2938</v>
      </c>
      <c r="B2939" t="s">
        <v>742</v>
      </c>
      <c r="C2939" s="109" t="str">
        <f>IF(ISBLANK(K2939),IFERROR(VLOOKUP(I2939,FS_input_data!$C$458:$N$648,Export!J2939,FALSE),""),K2939)</f>
        <v/>
      </c>
      <c r="D2939" s="102"/>
      <c r="E2939" t="s">
        <v>1561</v>
      </c>
      <c r="F2939" s="102" t="s">
        <v>1830</v>
      </c>
      <c r="G2939" s="102" t="b">
        <f>VLOOKUP($I$2936,FS_input_data!$C$458:$N$648,Export!$J$2936,FALSE)=""</f>
        <v>0</v>
      </c>
      <c r="H2939" s="6" t="s">
        <v>2189</v>
      </c>
      <c r="I2939" t="s">
        <v>1561</v>
      </c>
      <c r="J2939" t="s">
        <v>1561</v>
      </c>
      <c r="L2939" s="9" t="e">
        <f t="shared" si="157"/>
        <v>#VALUE!</v>
      </c>
    </row>
    <row r="2940" spans="1:12" x14ac:dyDescent="0.35">
      <c r="A2940">
        <f t="shared" si="158"/>
        <v>2939</v>
      </c>
      <c r="B2940" t="s">
        <v>748</v>
      </c>
      <c r="C2940" s="109" t="str">
        <f>IF(ISBLANK(K2940),IFERROR(VLOOKUP(I2940,FS_input_data!$C$458:$N$648,Export!J2940,FALSE),""),K2940)</f>
        <v/>
      </c>
      <c r="D2940" s="102"/>
      <c r="E2940" t="s">
        <v>1561</v>
      </c>
      <c r="F2940" s="102" t="s">
        <v>1830</v>
      </c>
      <c r="G2940" s="102" t="b">
        <f>VLOOKUP($I$2936,FS_input_data!$C$458:$N$648,Export!$J$2936,FALSE)=""</f>
        <v>0</v>
      </c>
      <c r="H2940" s="6" t="s">
        <v>2189</v>
      </c>
      <c r="I2940" t="s">
        <v>1561</v>
      </c>
      <c r="J2940" t="s">
        <v>1561</v>
      </c>
      <c r="L2940" s="9" t="e">
        <f t="shared" si="157"/>
        <v>#VALUE!</v>
      </c>
    </row>
    <row r="2941" spans="1:12" x14ac:dyDescent="0.35">
      <c r="A2941" s="9">
        <f t="shared" si="158"/>
        <v>2940</v>
      </c>
      <c r="B2941" t="s">
        <v>109</v>
      </c>
      <c r="C2941" s="109">
        <f>IF(ISBLANK(K2941),IFERROR(VLOOKUP(I2941,FS_input_data!$C$458:$N$648,Export!J2941,FALSE),""),K2941)</f>
        <v>13000</v>
      </c>
      <c r="D2941" s="102" t="b">
        <v>1</v>
      </c>
      <c r="E2941" t="s">
        <v>1561</v>
      </c>
      <c r="F2941" s="102" t="s">
        <v>1830</v>
      </c>
      <c r="G2941" s="102" t="b">
        <f>VLOOKUP($I$2936,FS_input_data!$C$458:$N$648,Export!$J$2936,FALSE)=""</f>
        <v>0</v>
      </c>
      <c r="H2941" s="6" t="s">
        <v>2189</v>
      </c>
      <c r="I2941" t="s">
        <v>1830</v>
      </c>
      <c r="J2941">
        <v>7</v>
      </c>
      <c r="L2941" s="9" t="e">
        <f t="shared" si="157"/>
        <v>#VALUE!</v>
      </c>
    </row>
    <row r="2942" spans="1:12" x14ac:dyDescent="0.35">
      <c r="A2942">
        <f t="shared" si="158"/>
        <v>2941</v>
      </c>
      <c r="B2942" t="s">
        <v>110</v>
      </c>
      <c r="C2942" s="109" t="str">
        <f>IF(ISBLANK(K2942),IFERROR(VLOOKUP(I2942,FS_input_data!$C$458:$N$648,Export!J2942,FALSE),""),K2942)</f>
        <v/>
      </c>
      <c r="D2942" s="102"/>
      <c r="E2942" t="s">
        <v>1561</v>
      </c>
      <c r="F2942" s="102" t="s">
        <v>1830</v>
      </c>
      <c r="G2942" s="102" t="b">
        <f>VLOOKUP($I$2936,FS_input_data!$C$458:$N$648,Export!$J$2936,FALSE)=""</f>
        <v>0</v>
      </c>
      <c r="H2942" s="6" t="s">
        <v>2189</v>
      </c>
      <c r="I2942" t="s">
        <v>1561</v>
      </c>
      <c r="J2942" t="s">
        <v>1561</v>
      </c>
      <c r="L2942">
        <f t="shared" si="157"/>
        <v>1</v>
      </c>
    </row>
    <row r="2943" spans="1:12" x14ac:dyDescent="0.35">
      <c r="A2943" s="9">
        <f t="shared" si="158"/>
        <v>2942</v>
      </c>
      <c r="B2943" t="s">
        <v>111</v>
      </c>
      <c r="C2943" s="109">
        <f>IF(ISBLANK(K2943),IFERROR(VLOOKUP(I2943,FS_input_data!$C$458:$N$648,Export!J2943,FALSE),""),K2943)</f>
        <v>6500</v>
      </c>
      <c r="D2943" s="102" t="b">
        <v>0</v>
      </c>
      <c r="E2943" t="s">
        <v>1561</v>
      </c>
      <c r="F2943" s="102" t="s">
        <v>1830</v>
      </c>
      <c r="G2943" s="102" t="b">
        <f>VLOOKUP($I$2936,FS_input_data!$C$458:$N$648,Export!$J$2936,FALSE)=""</f>
        <v>0</v>
      </c>
      <c r="H2943" s="6" t="s">
        <v>2189</v>
      </c>
      <c r="I2943" t="s">
        <v>1830</v>
      </c>
      <c r="J2943">
        <v>8</v>
      </c>
      <c r="L2943" s="9" t="e">
        <f t="shared" si="157"/>
        <v>#VALUE!</v>
      </c>
    </row>
    <row r="2944" spans="1:12" x14ac:dyDescent="0.35">
      <c r="A2944">
        <f t="shared" si="158"/>
        <v>2943</v>
      </c>
      <c r="B2944" t="s">
        <v>112</v>
      </c>
      <c r="C2944" s="109" t="str">
        <f>IF(ISBLANK(K2944),IFERROR(VLOOKUP(I2944,FS_input_data!$C$458:$N$648,Export!J2944,FALSE),""),K2944)</f>
        <v/>
      </c>
      <c r="D2944" s="102"/>
      <c r="E2944" t="s">
        <v>1561</v>
      </c>
      <c r="F2944" s="102" t="s">
        <v>1830</v>
      </c>
      <c r="G2944" s="102" t="b">
        <f>VLOOKUP($I$2936,FS_input_data!$C$458:$N$648,Export!$J$2936,FALSE)=""</f>
        <v>0</v>
      </c>
      <c r="H2944" s="6" t="s">
        <v>2189</v>
      </c>
      <c r="I2944" t="s">
        <v>1561</v>
      </c>
      <c r="J2944" t="s">
        <v>1561</v>
      </c>
      <c r="L2944">
        <f t="shared" si="157"/>
        <v>1</v>
      </c>
    </row>
    <row r="2945" spans="1:12" x14ac:dyDescent="0.35">
      <c r="A2945" s="9">
        <f t="shared" si="158"/>
        <v>2944</v>
      </c>
      <c r="B2945" t="s">
        <v>749</v>
      </c>
      <c r="C2945" s="109">
        <f>IF(ISBLANK(K2945),IFERROR(VLOOKUP(I2945,FS_input_data!$C$458:$N$648,Export!J2945,FALSE),""),K2945)</f>
        <v>6500</v>
      </c>
      <c r="D2945" s="102" t="b">
        <v>0</v>
      </c>
      <c r="E2945" t="s">
        <v>1561</v>
      </c>
      <c r="F2945" s="102" t="s">
        <v>1830</v>
      </c>
      <c r="G2945" s="102" t="b">
        <f>VLOOKUP($I$2936,FS_input_data!$C$458:$N$648,Export!$J$2936,FALSE)=""</f>
        <v>0</v>
      </c>
      <c r="H2945" s="6" t="s">
        <v>2189</v>
      </c>
      <c r="I2945" t="s">
        <v>1830</v>
      </c>
      <c r="J2945">
        <v>9</v>
      </c>
      <c r="L2945" s="9" t="e">
        <f t="shared" si="157"/>
        <v>#VALUE!</v>
      </c>
    </row>
    <row r="2946" spans="1:12" x14ac:dyDescent="0.35">
      <c r="A2946">
        <f t="shared" si="158"/>
        <v>2945</v>
      </c>
      <c r="B2946" t="s">
        <v>750</v>
      </c>
      <c r="C2946" s="109" t="str">
        <f>IF(ISBLANK(K2946),IFERROR(VLOOKUP(I2946,FS_input_data!$C$458:$N$648,Export!J2946,FALSE),""),K2946)</f>
        <v/>
      </c>
      <c r="D2946" s="102"/>
      <c r="E2946" t="s">
        <v>1561</v>
      </c>
      <c r="F2946" s="102" t="s">
        <v>1830</v>
      </c>
      <c r="G2946" s="102" t="b">
        <f>VLOOKUP($I$2936,FS_input_data!$C$458:$N$648,Export!$J$2936,FALSE)=""</f>
        <v>0</v>
      </c>
      <c r="H2946" s="6" t="s">
        <v>2189</v>
      </c>
      <c r="I2946" t="s">
        <v>1561</v>
      </c>
      <c r="J2946" t="s">
        <v>1561</v>
      </c>
      <c r="L2946">
        <f t="shared" ref="L2946:L3009" si="159">FIND("/",B2946)</f>
        <v>1</v>
      </c>
    </row>
    <row r="2947" spans="1:12" x14ac:dyDescent="0.35">
      <c r="A2947">
        <f t="shared" ref="A2947:A3010" si="160">A2946+1</f>
        <v>2946</v>
      </c>
      <c r="B2947" t="s">
        <v>751</v>
      </c>
      <c r="C2947" s="109" t="str">
        <f>IF(ISBLANK(K2947),IFERROR(VLOOKUP(I2947,FS_input_data!$C$458:$N$648,Export!J2947,FALSE),""),K2947)</f>
        <v/>
      </c>
      <c r="D2947" s="102"/>
      <c r="E2947" t="s">
        <v>1561</v>
      </c>
      <c r="F2947" s="102" t="s">
        <v>1830</v>
      </c>
      <c r="G2947" s="102" t="b">
        <f>VLOOKUP($I$2936,FS_input_data!$C$458:$N$648,Export!$J$2936,FALSE)=""</f>
        <v>0</v>
      </c>
      <c r="H2947" s="6" t="s">
        <v>2189</v>
      </c>
      <c r="I2947" t="s">
        <v>1561</v>
      </c>
      <c r="J2947" t="s">
        <v>1561</v>
      </c>
      <c r="L2947">
        <f t="shared" si="159"/>
        <v>1</v>
      </c>
    </row>
    <row r="2948" spans="1:12" x14ac:dyDescent="0.35">
      <c r="A2948">
        <f t="shared" si="160"/>
        <v>2947</v>
      </c>
      <c r="B2948" t="s">
        <v>754</v>
      </c>
      <c r="C2948" s="109" t="str">
        <f>IF(ISBLANK(K2948),IFERROR(VLOOKUP(I2948,FS_input_data!$C$458:$N$648,Export!J2948,FALSE),""),K2948)</f>
        <v/>
      </c>
      <c r="D2948" s="102"/>
      <c r="E2948" t="s">
        <v>1561</v>
      </c>
      <c r="F2948" s="102" t="s">
        <v>1830</v>
      </c>
      <c r="G2948" s="102" t="b">
        <f>VLOOKUP($I$2936,FS_input_data!$C$458:$N$648,Export!$J$2936,FALSE)=""</f>
        <v>0</v>
      </c>
      <c r="H2948" s="6" t="s">
        <v>2189</v>
      </c>
      <c r="I2948" t="s">
        <v>1561</v>
      </c>
      <c r="J2948" t="s">
        <v>1561</v>
      </c>
      <c r="L2948" s="9" t="e">
        <f t="shared" si="159"/>
        <v>#VALUE!</v>
      </c>
    </row>
    <row r="2949" spans="1:12" x14ac:dyDescent="0.35">
      <c r="A2949" s="9">
        <f t="shared" si="160"/>
        <v>2948</v>
      </c>
      <c r="B2949" t="s">
        <v>755</v>
      </c>
      <c r="C2949" s="109">
        <f>IF(ISBLANK(K2949),IFERROR(VLOOKUP(I2949,FS_input_data!$C$458:$N$648,Export!J2949,FALSE),""),K2949)</f>
        <v>13</v>
      </c>
      <c r="D2949" s="102" t="b">
        <v>1</v>
      </c>
      <c r="E2949" t="s">
        <v>1561</v>
      </c>
      <c r="F2949" s="102" t="s">
        <v>1830</v>
      </c>
      <c r="G2949" s="102" t="b">
        <f>VLOOKUP($I$2936,FS_input_data!$C$458:$N$648,Export!$J$2936,FALSE)=""</f>
        <v>0</v>
      </c>
      <c r="H2949" s="6" t="s">
        <v>2189</v>
      </c>
      <c r="I2949" t="s">
        <v>1830</v>
      </c>
      <c r="J2949">
        <v>2</v>
      </c>
      <c r="L2949" s="9" t="e">
        <f t="shared" si="159"/>
        <v>#VALUE!</v>
      </c>
    </row>
    <row r="2950" spans="1:12" x14ac:dyDescent="0.35">
      <c r="A2950">
        <f t="shared" si="160"/>
        <v>2949</v>
      </c>
      <c r="B2950" t="s">
        <v>756</v>
      </c>
      <c r="C2950" s="109" t="str">
        <f>IF(ISBLANK(K2950),IFERROR(VLOOKUP(I2950,FS_input_data!$C$458:$N$648,Export!J2950,FALSE),""),K2950)</f>
        <v/>
      </c>
      <c r="D2950" s="102"/>
      <c r="E2950" t="s">
        <v>1561</v>
      </c>
      <c r="F2950" s="102" t="s">
        <v>1830</v>
      </c>
      <c r="G2950" s="102" t="b">
        <f>VLOOKUP($I$2936,FS_input_data!$C$458:$N$648,Export!$J$2936,FALSE)=""</f>
        <v>0</v>
      </c>
      <c r="H2950" s="6" t="s">
        <v>2189</v>
      </c>
      <c r="I2950" t="s">
        <v>1561</v>
      </c>
      <c r="J2950" t="s">
        <v>1561</v>
      </c>
      <c r="L2950">
        <f t="shared" si="159"/>
        <v>1</v>
      </c>
    </row>
    <row r="2951" spans="1:12" x14ac:dyDescent="0.35">
      <c r="A2951" s="9">
        <f t="shared" si="160"/>
        <v>2950</v>
      </c>
      <c r="B2951" t="s">
        <v>757</v>
      </c>
      <c r="C2951" s="109">
        <f>IF(ISBLANK(K2951),IFERROR(VLOOKUP(I2951,FS_input_data!$C$458:$N$648,Export!J2951,FALSE),""),K2951)</f>
        <v>113</v>
      </c>
      <c r="D2951" s="102" t="b">
        <v>0</v>
      </c>
      <c r="E2951" t="s">
        <v>1561</v>
      </c>
      <c r="F2951" s="102" t="s">
        <v>1830</v>
      </c>
      <c r="G2951" s="102" t="b">
        <f>VLOOKUP($I$2936,FS_input_data!$C$458:$N$648,Export!$J$2936,FALSE)=""</f>
        <v>0</v>
      </c>
      <c r="H2951" s="6" t="s">
        <v>2189</v>
      </c>
      <c r="I2951" t="s">
        <v>1830</v>
      </c>
      <c r="J2951">
        <v>3</v>
      </c>
      <c r="L2951" s="9" t="e">
        <f t="shared" si="159"/>
        <v>#VALUE!</v>
      </c>
    </row>
    <row r="2952" spans="1:12" x14ac:dyDescent="0.35">
      <c r="A2952">
        <f t="shared" si="160"/>
        <v>2951</v>
      </c>
      <c r="B2952" t="s">
        <v>758</v>
      </c>
      <c r="C2952" s="109" t="str">
        <f>IF(ISBLANK(K2952),IFERROR(VLOOKUP(I2952,FS_input_data!$C$458:$N$648,Export!J2952,FALSE),""),K2952)</f>
        <v/>
      </c>
      <c r="D2952" s="102"/>
      <c r="E2952" t="s">
        <v>1561</v>
      </c>
      <c r="F2952" s="102" t="s">
        <v>1830</v>
      </c>
      <c r="G2952" s="102" t="b">
        <f>VLOOKUP($I$2936,FS_input_data!$C$458:$N$648,Export!$J$2936,FALSE)=""</f>
        <v>0</v>
      </c>
      <c r="H2952" s="6" t="s">
        <v>2189</v>
      </c>
      <c r="I2952" t="s">
        <v>1561</v>
      </c>
      <c r="J2952" t="s">
        <v>1561</v>
      </c>
      <c r="L2952">
        <f t="shared" si="159"/>
        <v>1</v>
      </c>
    </row>
    <row r="2953" spans="1:12" x14ac:dyDescent="0.35">
      <c r="A2953" s="9">
        <f t="shared" si="160"/>
        <v>2952</v>
      </c>
      <c r="B2953" t="s">
        <v>759</v>
      </c>
      <c r="C2953" s="109">
        <f>IF(ISBLANK(K2953),IFERROR(VLOOKUP(I2953,FS_input_data!$C$458:$N$648,Export!J2953,FALSE),""),K2953)</f>
        <v>213</v>
      </c>
      <c r="D2953" s="102" t="b">
        <v>0</v>
      </c>
      <c r="E2953" t="s">
        <v>1561</v>
      </c>
      <c r="F2953" s="102" t="s">
        <v>1830</v>
      </c>
      <c r="G2953" s="102" t="b">
        <f>VLOOKUP($I$2936,FS_input_data!$C$458:$N$648,Export!$J$2936,FALSE)=""</f>
        <v>0</v>
      </c>
      <c r="H2953" s="6" t="s">
        <v>2189</v>
      </c>
      <c r="I2953" t="s">
        <v>1830</v>
      </c>
      <c r="J2953">
        <v>4</v>
      </c>
      <c r="L2953" s="9" t="e">
        <f t="shared" si="159"/>
        <v>#VALUE!</v>
      </c>
    </row>
    <row r="2954" spans="1:12" x14ac:dyDescent="0.35">
      <c r="A2954">
        <f t="shared" si="160"/>
        <v>2953</v>
      </c>
      <c r="B2954" t="s">
        <v>760</v>
      </c>
      <c r="C2954" s="109" t="str">
        <f>IF(ISBLANK(K2954),IFERROR(VLOOKUP(I2954,FS_input_data!$C$458:$N$648,Export!J2954,FALSE),""),K2954)</f>
        <v/>
      </c>
      <c r="D2954" s="102"/>
      <c r="E2954" t="s">
        <v>1561</v>
      </c>
      <c r="F2954" s="102" t="s">
        <v>1830</v>
      </c>
      <c r="G2954" s="102" t="b">
        <f>VLOOKUP($I$2936,FS_input_data!$C$458:$N$648,Export!$J$2936,FALSE)=""</f>
        <v>0</v>
      </c>
      <c r="H2954" s="6" t="s">
        <v>2189</v>
      </c>
      <c r="I2954" t="s">
        <v>1561</v>
      </c>
      <c r="J2954" t="s">
        <v>1561</v>
      </c>
      <c r="L2954">
        <f t="shared" si="159"/>
        <v>1</v>
      </c>
    </row>
    <row r="2955" spans="1:12" x14ac:dyDescent="0.35">
      <c r="A2955" s="9">
        <f t="shared" si="160"/>
        <v>2954</v>
      </c>
      <c r="B2955" t="s">
        <v>761</v>
      </c>
      <c r="C2955" s="109" t="str">
        <f>IF(ISBLANK(K2955),IFERROR(VLOOKUP(I2955,FS_input_data!$C$458:$N$648,Export!J2955,FALSE),""),K2955)</f>
        <v>n</v>
      </c>
      <c r="D2955" s="102" t="b">
        <v>0</v>
      </c>
      <c r="E2955" t="s">
        <v>1561</v>
      </c>
      <c r="F2955" s="102" t="s">
        <v>1830</v>
      </c>
      <c r="G2955" s="102" t="b">
        <f>VLOOKUP($I$2936,FS_input_data!$C$458:$N$648,Export!$J$2936,FALSE)=""</f>
        <v>0</v>
      </c>
      <c r="H2955" s="6" t="s">
        <v>2189</v>
      </c>
      <c r="I2955" t="s">
        <v>1830</v>
      </c>
      <c r="J2955">
        <v>5</v>
      </c>
      <c r="L2955" s="9" t="e">
        <f t="shared" si="159"/>
        <v>#VALUE!</v>
      </c>
    </row>
    <row r="2956" spans="1:12" x14ac:dyDescent="0.35">
      <c r="A2956">
        <f t="shared" si="160"/>
        <v>2955</v>
      </c>
      <c r="B2956" t="s">
        <v>762</v>
      </c>
      <c r="C2956" s="109" t="str">
        <f>IF(ISBLANK(K2956),IFERROR(VLOOKUP(I2956,FS_input_data!$C$458:$N$648,Export!J2956,FALSE),""),K2956)</f>
        <v/>
      </c>
      <c r="D2956" s="102"/>
      <c r="E2956" t="s">
        <v>1561</v>
      </c>
      <c r="F2956" s="102" t="s">
        <v>1830</v>
      </c>
      <c r="G2956" s="102" t="b">
        <f>VLOOKUP($I$2936,FS_input_data!$C$458:$N$648,Export!$J$2936,FALSE)=""</f>
        <v>0</v>
      </c>
      <c r="H2956" s="6" t="s">
        <v>2189</v>
      </c>
      <c r="I2956" t="s">
        <v>1561</v>
      </c>
      <c r="J2956" t="s">
        <v>1561</v>
      </c>
      <c r="L2956">
        <f t="shared" si="159"/>
        <v>1</v>
      </c>
    </row>
    <row r="2957" spans="1:12" x14ac:dyDescent="0.35">
      <c r="A2957">
        <f t="shared" si="160"/>
        <v>2956</v>
      </c>
      <c r="B2957" t="s">
        <v>763</v>
      </c>
      <c r="C2957" s="109" t="str">
        <f>IF(ISBLANK(K2957),IFERROR(VLOOKUP(I2957,FS_input_data!$C$458:$N$648,Export!J2957,FALSE),""),K2957)</f>
        <v/>
      </c>
      <c r="D2957" s="102"/>
      <c r="E2957" t="s">
        <v>1561</v>
      </c>
      <c r="F2957" s="102" t="s">
        <v>1830</v>
      </c>
      <c r="G2957" s="102" t="b">
        <f>VLOOKUP($I$2936,FS_input_data!$C$458:$N$648,Export!$J$2936,FALSE)=""</f>
        <v>0</v>
      </c>
      <c r="H2957" s="6" t="s">
        <v>2189</v>
      </c>
      <c r="I2957" t="s">
        <v>1561</v>
      </c>
      <c r="J2957" t="s">
        <v>1561</v>
      </c>
      <c r="L2957">
        <f t="shared" si="159"/>
        <v>1</v>
      </c>
    </row>
    <row r="2958" spans="1:12" x14ac:dyDescent="0.35">
      <c r="A2958">
        <f t="shared" si="160"/>
        <v>2957</v>
      </c>
      <c r="B2958" t="s">
        <v>743</v>
      </c>
      <c r="C2958" s="109" t="str">
        <f>IF(ISBLANK(K2958),IFERROR(VLOOKUP(I2958,FS_input_data!$C$458:$N$648,Export!J2958,FALSE),""),K2958)</f>
        <v/>
      </c>
      <c r="D2958" s="102"/>
      <c r="E2958" t="s">
        <v>1561</v>
      </c>
      <c r="F2958" s="102" t="s">
        <v>1830</v>
      </c>
      <c r="G2958" s="102" t="b">
        <f>VLOOKUP($I$2936,FS_input_data!$C$458:$N$648,Export!$J$2936,FALSE)=""</f>
        <v>0</v>
      </c>
      <c r="H2958" s="6" t="s">
        <v>2189</v>
      </c>
      <c r="I2958" t="s">
        <v>1561</v>
      </c>
      <c r="J2958" t="s">
        <v>1561</v>
      </c>
      <c r="L2958">
        <f t="shared" si="159"/>
        <v>1</v>
      </c>
    </row>
    <row r="2959" spans="1:12" x14ac:dyDescent="0.35">
      <c r="A2959">
        <f t="shared" si="160"/>
        <v>2958</v>
      </c>
      <c r="B2959" t="s">
        <v>744</v>
      </c>
      <c r="C2959" s="109" t="str">
        <f>IF(ISBLANK(K2959),IFERROR(VLOOKUP(I2959,FS_input_data!$C$458:$N$648,Export!J2959,FALSE),""),K2959)</f>
        <v/>
      </c>
      <c r="D2959" s="102"/>
      <c r="E2959" t="s">
        <v>1561</v>
      </c>
      <c r="F2959" s="102" t="s">
        <v>1830</v>
      </c>
      <c r="G2959" s="102" t="b">
        <f>IF(RP_tax,TRUE,VLOOKUP($I$2936,FS_input_data!$C$458:$N$648,Export!$J$2936,FALSE)="")</f>
        <v>1</v>
      </c>
      <c r="H2959" s="6" t="s">
        <v>2189</v>
      </c>
      <c r="I2959" t="s">
        <v>1561</v>
      </c>
      <c r="J2959" t="s">
        <v>1561</v>
      </c>
      <c r="L2959" s="9" t="e">
        <f t="shared" si="159"/>
        <v>#VALUE!</v>
      </c>
    </row>
    <row r="2960" spans="1:12" x14ac:dyDescent="0.35">
      <c r="A2960" s="9">
        <f t="shared" si="160"/>
        <v>2959</v>
      </c>
      <c r="B2960" t="s">
        <v>109</v>
      </c>
      <c r="C2960" s="109">
        <f>IF(ISBLANK(K2960),IFERROR(VLOOKUP(I2960,FS_input_data!$C$458:$N$648,Export!J2960,FALSE),""),K2960)</f>
        <v>13000</v>
      </c>
      <c r="D2960" s="102" t="b">
        <v>0</v>
      </c>
      <c r="E2960" t="s">
        <v>1561</v>
      </c>
      <c r="F2960" s="102" t="s">
        <v>1830</v>
      </c>
      <c r="G2960" s="102" t="b">
        <f>IF(RP_tax,TRUE,VLOOKUP($I$2936,FS_input_data!$C$458:$N$648,Export!$J$2936,FALSE)="")</f>
        <v>1</v>
      </c>
      <c r="H2960" s="6" t="s">
        <v>2189</v>
      </c>
      <c r="I2960" t="s">
        <v>1830</v>
      </c>
      <c r="J2960">
        <v>10</v>
      </c>
      <c r="L2960" s="9" t="e">
        <f t="shared" si="159"/>
        <v>#VALUE!</v>
      </c>
    </row>
    <row r="2961" spans="1:12" x14ac:dyDescent="0.35">
      <c r="A2961">
        <f t="shared" si="160"/>
        <v>2960</v>
      </c>
      <c r="B2961" t="s">
        <v>110</v>
      </c>
      <c r="C2961" s="109" t="str">
        <f>IF(ISBLANK(K2961),IFERROR(VLOOKUP(I2961,FS_input_data!$C$458:$N$648,Export!J2961,FALSE),""),K2961)</f>
        <v/>
      </c>
      <c r="D2961" s="102"/>
      <c r="E2961" t="s">
        <v>1561</v>
      </c>
      <c r="F2961" s="102" t="s">
        <v>1830</v>
      </c>
      <c r="G2961" s="102" t="b">
        <f>IF(RP_tax,TRUE,VLOOKUP($I$2936,FS_input_data!$C$458:$N$648,Export!$J$2936,FALSE)="")</f>
        <v>1</v>
      </c>
      <c r="H2961" s="6" t="s">
        <v>2189</v>
      </c>
      <c r="I2961" t="s">
        <v>1561</v>
      </c>
      <c r="J2961" t="s">
        <v>1561</v>
      </c>
      <c r="L2961">
        <f t="shared" si="159"/>
        <v>1</v>
      </c>
    </row>
    <row r="2962" spans="1:12" x14ac:dyDescent="0.35">
      <c r="A2962" s="9">
        <f t="shared" si="160"/>
        <v>2961</v>
      </c>
      <c r="B2962" t="s">
        <v>111</v>
      </c>
      <c r="C2962" s="109">
        <f>IF(ISBLANK(K2962),IFERROR(VLOOKUP(I2962,FS_input_data!$C$458:$N$648,Export!J2962,FALSE),""),K2962)</f>
        <v>6500</v>
      </c>
      <c r="D2962" s="102" t="b">
        <v>0</v>
      </c>
      <c r="E2962" t="s">
        <v>1561</v>
      </c>
      <c r="F2962" s="102" t="s">
        <v>1830</v>
      </c>
      <c r="G2962" s="102" t="b">
        <f>IF(RP_tax,TRUE,VLOOKUP($I$2936,FS_input_data!$C$458:$N$648,Export!$J$2936,FALSE)="")</f>
        <v>1</v>
      </c>
      <c r="H2962" s="6" t="s">
        <v>2189</v>
      </c>
      <c r="I2962" t="s">
        <v>1830</v>
      </c>
      <c r="J2962">
        <v>11</v>
      </c>
      <c r="L2962" s="9" t="e">
        <f t="shared" si="159"/>
        <v>#VALUE!</v>
      </c>
    </row>
    <row r="2963" spans="1:12" x14ac:dyDescent="0.35">
      <c r="A2963">
        <f t="shared" si="160"/>
        <v>2962</v>
      </c>
      <c r="B2963" t="s">
        <v>112</v>
      </c>
      <c r="C2963" s="109" t="str">
        <f>IF(ISBLANK(K2963),IFERROR(VLOOKUP(I2963,FS_input_data!$C$458:$N$648,Export!J2963,FALSE),""),K2963)</f>
        <v/>
      </c>
      <c r="D2963" s="102"/>
      <c r="E2963" t="s">
        <v>1561</v>
      </c>
      <c r="F2963" s="102" t="s">
        <v>1830</v>
      </c>
      <c r="G2963" s="102" t="b">
        <f>IF(RP_tax,TRUE,VLOOKUP($I$2936,FS_input_data!$C$458:$N$648,Export!$J$2936,FALSE)="")</f>
        <v>1</v>
      </c>
      <c r="H2963" s="6" t="s">
        <v>2189</v>
      </c>
      <c r="I2963" t="s">
        <v>1561</v>
      </c>
      <c r="J2963" t="s">
        <v>1561</v>
      </c>
      <c r="L2963">
        <f t="shared" si="159"/>
        <v>1</v>
      </c>
    </row>
    <row r="2964" spans="1:12" x14ac:dyDescent="0.35">
      <c r="A2964" s="9">
        <f t="shared" si="160"/>
        <v>2963</v>
      </c>
      <c r="B2964" t="s">
        <v>749</v>
      </c>
      <c r="C2964" s="109">
        <f>IF(ISBLANK(K2964),IFERROR(VLOOKUP(I2964,FS_input_data!$C$458:$N$648,Export!J2964,FALSE),""),K2964)</f>
        <v>6500</v>
      </c>
      <c r="D2964" s="102" t="b">
        <v>0</v>
      </c>
      <c r="E2964" t="s">
        <v>1561</v>
      </c>
      <c r="F2964" s="102" t="s">
        <v>1830</v>
      </c>
      <c r="G2964" s="102" t="b">
        <f>IF(RP_tax,TRUE,VLOOKUP($I$2936,FS_input_data!$C$458:$N$648,Export!$J$2936,FALSE)="")</f>
        <v>1</v>
      </c>
      <c r="H2964" s="6" t="s">
        <v>2189</v>
      </c>
      <c r="I2964" t="s">
        <v>1830</v>
      </c>
      <c r="J2964">
        <v>12</v>
      </c>
      <c r="L2964" s="9" t="e">
        <f t="shared" si="159"/>
        <v>#VALUE!</v>
      </c>
    </row>
    <row r="2965" spans="1:12" x14ac:dyDescent="0.35">
      <c r="A2965">
        <f t="shared" si="160"/>
        <v>2964</v>
      </c>
      <c r="B2965" t="s">
        <v>750</v>
      </c>
      <c r="C2965" s="109" t="str">
        <f>IF(ISBLANK(K2965),IFERROR(VLOOKUP(I2965,FS_input_data!$C$458:$N$648,Export!J2965,FALSE),""),K2965)</f>
        <v/>
      </c>
      <c r="D2965" s="102"/>
      <c r="E2965" t="s">
        <v>1561</v>
      </c>
      <c r="F2965" s="102" t="s">
        <v>1830</v>
      </c>
      <c r="G2965" s="102" t="b">
        <f>IF(RP_tax,TRUE,VLOOKUP($I$2936,FS_input_data!$C$458:$N$648,Export!$J$2936,FALSE)="")</f>
        <v>1</v>
      </c>
      <c r="H2965" s="6" t="s">
        <v>2189</v>
      </c>
      <c r="I2965" t="s">
        <v>1561</v>
      </c>
      <c r="J2965" t="s">
        <v>1561</v>
      </c>
      <c r="L2965">
        <f t="shared" si="159"/>
        <v>1</v>
      </c>
    </row>
    <row r="2966" spans="1:12" x14ac:dyDescent="0.35">
      <c r="A2966">
        <f t="shared" si="160"/>
        <v>2965</v>
      </c>
      <c r="B2966" t="s">
        <v>745</v>
      </c>
      <c r="C2966" s="109" t="str">
        <f>IF(ISBLANK(K2966),IFERROR(VLOOKUP(I2966,FS_input_data!$C$458:$N$648,Export!J2966,FALSE),""),K2966)</f>
        <v/>
      </c>
      <c r="D2966" s="102"/>
      <c r="E2966" t="s">
        <v>1561</v>
      </c>
      <c r="F2966" s="102" t="s">
        <v>1830</v>
      </c>
      <c r="G2966" s="102" t="b">
        <f>IF(RP_tax,TRUE,VLOOKUP($I$2936,FS_input_data!$C$458:$N$648,Export!$J$2936,FALSE)="")</f>
        <v>1</v>
      </c>
      <c r="H2966" s="6" t="s">
        <v>2189</v>
      </c>
      <c r="I2966" t="s">
        <v>1561</v>
      </c>
      <c r="J2966" t="s">
        <v>1561</v>
      </c>
      <c r="L2966">
        <f t="shared" si="159"/>
        <v>1</v>
      </c>
    </row>
    <row r="2967" spans="1:12" x14ac:dyDescent="0.35">
      <c r="A2967">
        <f t="shared" si="160"/>
        <v>2966</v>
      </c>
      <c r="B2967" t="s">
        <v>764</v>
      </c>
      <c r="C2967" s="109" t="str">
        <f>IF(ISBLANK(K2967),IFERROR(VLOOKUP(I2967,FS_input_data!$C$458:$N$648,Export!J2967,FALSE),""),K2967)</f>
        <v/>
      </c>
      <c r="D2967" s="102"/>
      <c r="E2967" t="s">
        <v>1561</v>
      </c>
      <c r="F2967" s="102" t="s">
        <v>1830</v>
      </c>
      <c r="G2967" s="102" t="b">
        <f>VLOOKUP($I$2936,FS_input_data!$C$458:$N$648,Export!$J$2936,FALSE)=""</f>
        <v>0</v>
      </c>
      <c r="H2967" s="6" t="s">
        <v>2189</v>
      </c>
      <c r="I2967" t="s">
        <v>1561</v>
      </c>
      <c r="J2967" t="s">
        <v>1561</v>
      </c>
      <c r="L2967">
        <f t="shared" si="159"/>
        <v>1</v>
      </c>
    </row>
    <row r="2968" spans="1:12" x14ac:dyDescent="0.35">
      <c r="A2968">
        <f t="shared" si="160"/>
        <v>2967</v>
      </c>
      <c r="B2968" t="s">
        <v>765</v>
      </c>
      <c r="C2968" s="109" t="str">
        <f>IF(ISBLANK(K2968),IFERROR(VLOOKUP(I2968,FS_input_data!$C$458:$N$648,Export!J2968,FALSE),""),K2968)</f>
        <v/>
      </c>
      <c r="D2968" s="102"/>
      <c r="E2968" t="s">
        <v>1561</v>
      </c>
      <c r="F2968" s="102" t="s">
        <v>1830</v>
      </c>
      <c r="G2968" s="102" t="b">
        <f>VLOOKUP($I$2936,FS_input_data!$C$458:$N$648,Export!$J$2936,FALSE)=""</f>
        <v>0</v>
      </c>
      <c r="H2968" s="6" t="s">
        <v>2189</v>
      </c>
      <c r="I2968" t="s">
        <v>1561</v>
      </c>
      <c r="J2968" t="s">
        <v>1561</v>
      </c>
      <c r="L2968">
        <f t="shared" si="159"/>
        <v>1</v>
      </c>
    </row>
    <row r="2969" spans="1:12" x14ac:dyDescent="0.35">
      <c r="A2969">
        <f t="shared" si="160"/>
        <v>2968</v>
      </c>
      <c r="B2969" t="s">
        <v>752</v>
      </c>
      <c r="C2969" s="109" t="str">
        <f>IF(ISBLANK(K2969),IFERROR(VLOOKUP(I2969,FS_input_data!$C$458:$N$648,Export!J2969,FALSE),""),K2969)</f>
        <v/>
      </c>
      <c r="D2969" s="105"/>
      <c r="E2969" t="s">
        <v>1561</v>
      </c>
      <c r="F2969" s="105" t="s">
        <v>1833</v>
      </c>
      <c r="G2969" s="105" t="b">
        <f>VLOOKUP($I$2970,FS_input_data!$C$458:$N$648,Export!$J$2970,FALSE)=""</f>
        <v>0</v>
      </c>
      <c r="H2969" s="6" t="s">
        <v>2189</v>
      </c>
      <c r="I2969" t="s">
        <v>1561</v>
      </c>
      <c r="J2969" t="s">
        <v>1561</v>
      </c>
      <c r="L2969" s="9" t="e">
        <f t="shared" si="159"/>
        <v>#VALUE!</v>
      </c>
    </row>
    <row r="2970" spans="1:12" x14ac:dyDescent="0.35">
      <c r="A2970" s="9">
        <f t="shared" si="160"/>
        <v>2969</v>
      </c>
      <c r="B2970" t="s">
        <v>101</v>
      </c>
      <c r="C2970" s="109" t="str">
        <f>IF(ISBLANK(K2970),IFERROR(VLOOKUP(I2970,FS_input_data!$C$458:$N$648,Export!J2970,FALSE),""),K2970)</f>
        <v>OB14</v>
      </c>
      <c r="D2970" s="105" t="b">
        <v>1</v>
      </c>
      <c r="E2970" t="s">
        <v>1561</v>
      </c>
      <c r="F2970" s="105" t="s">
        <v>1833</v>
      </c>
      <c r="G2970" s="105" t="b">
        <f>VLOOKUP($I$2970,FS_input_data!$C$458:$N$648,Export!$J$2970,FALSE)=""</f>
        <v>0</v>
      </c>
      <c r="H2970" s="6" t="s">
        <v>2189</v>
      </c>
      <c r="I2970" t="s">
        <v>1833</v>
      </c>
      <c r="J2970">
        <v>6</v>
      </c>
      <c r="L2970" s="9" t="e">
        <f t="shared" si="159"/>
        <v>#VALUE!</v>
      </c>
    </row>
    <row r="2971" spans="1:12" x14ac:dyDescent="0.35">
      <c r="A2971">
        <f t="shared" si="160"/>
        <v>2970</v>
      </c>
      <c r="B2971" t="s">
        <v>102</v>
      </c>
      <c r="C2971" s="109" t="str">
        <f>IF(ISBLANK(K2971),IFERROR(VLOOKUP(I2971,FS_input_data!$C$458:$N$648,Export!J2971,FALSE),""),K2971)</f>
        <v/>
      </c>
      <c r="D2971" s="105"/>
      <c r="E2971" t="s">
        <v>1561</v>
      </c>
      <c r="F2971" s="105" t="s">
        <v>1833</v>
      </c>
      <c r="G2971" s="105" t="b">
        <f>VLOOKUP($I$2970,FS_input_data!$C$458:$N$648,Export!$J$2970,FALSE)=""</f>
        <v>0</v>
      </c>
      <c r="H2971" s="6" t="s">
        <v>2189</v>
      </c>
      <c r="I2971" t="s">
        <v>1561</v>
      </c>
      <c r="J2971" t="s">
        <v>1561</v>
      </c>
      <c r="L2971">
        <f t="shared" si="159"/>
        <v>1</v>
      </c>
    </row>
    <row r="2972" spans="1:12" x14ac:dyDescent="0.35">
      <c r="A2972">
        <f t="shared" si="160"/>
        <v>2971</v>
      </c>
      <c r="B2972" t="s">
        <v>753</v>
      </c>
      <c r="C2972" s="109" t="str">
        <f>IF(ISBLANK(K2972),IFERROR(VLOOKUP(I2972,FS_input_data!$C$458:$N$648,Export!J2972,FALSE),""),K2972)</f>
        <v/>
      </c>
      <c r="D2972" s="105"/>
      <c r="E2972" t="s">
        <v>1561</v>
      </c>
      <c r="F2972" s="105" t="s">
        <v>1833</v>
      </c>
      <c r="G2972" s="105" t="b">
        <f>VLOOKUP($I$2970,FS_input_data!$C$458:$N$648,Export!$J$2970,FALSE)=""</f>
        <v>0</v>
      </c>
      <c r="H2972" s="6" t="s">
        <v>2189</v>
      </c>
      <c r="I2972" t="s">
        <v>1561</v>
      </c>
      <c r="J2972" t="s">
        <v>1561</v>
      </c>
      <c r="L2972" s="9" t="e">
        <f t="shared" si="159"/>
        <v>#VALUE!</v>
      </c>
    </row>
    <row r="2973" spans="1:12" x14ac:dyDescent="0.35">
      <c r="A2973">
        <f t="shared" si="160"/>
        <v>2972</v>
      </c>
      <c r="B2973" t="s">
        <v>742</v>
      </c>
      <c r="C2973" s="109" t="str">
        <f>IF(ISBLANK(K2973),IFERROR(VLOOKUP(I2973,FS_input_data!$C$458:$N$648,Export!J2973,FALSE),""),K2973)</f>
        <v/>
      </c>
      <c r="D2973" s="105"/>
      <c r="E2973" t="s">
        <v>1561</v>
      </c>
      <c r="F2973" s="105" t="s">
        <v>1833</v>
      </c>
      <c r="G2973" s="105" t="b">
        <f>VLOOKUP($I$2970,FS_input_data!$C$458:$N$648,Export!$J$2970,FALSE)=""</f>
        <v>0</v>
      </c>
      <c r="H2973" s="6" t="s">
        <v>2189</v>
      </c>
      <c r="I2973" t="s">
        <v>1561</v>
      </c>
      <c r="J2973" t="s">
        <v>1561</v>
      </c>
      <c r="L2973" s="9" t="e">
        <f t="shared" si="159"/>
        <v>#VALUE!</v>
      </c>
    </row>
    <row r="2974" spans="1:12" x14ac:dyDescent="0.35">
      <c r="A2974">
        <f t="shared" si="160"/>
        <v>2973</v>
      </c>
      <c r="B2974" t="s">
        <v>748</v>
      </c>
      <c r="C2974" s="109" t="str">
        <f>IF(ISBLANK(K2974),IFERROR(VLOOKUP(I2974,FS_input_data!$C$458:$N$648,Export!J2974,FALSE),""),K2974)</f>
        <v/>
      </c>
      <c r="D2974" s="105"/>
      <c r="E2974" t="s">
        <v>1561</v>
      </c>
      <c r="F2974" s="105" t="s">
        <v>1833</v>
      </c>
      <c r="G2974" s="105" t="b">
        <f>VLOOKUP($I$2970,FS_input_data!$C$458:$N$648,Export!$J$2970,FALSE)=""</f>
        <v>0</v>
      </c>
      <c r="H2974" s="6" t="s">
        <v>2189</v>
      </c>
      <c r="I2974" t="s">
        <v>1561</v>
      </c>
      <c r="J2974" t="s">
        <v>1561</v>
      </c>
      <c r="L2974" s="9" t="e">
        <f t="shared" si="159"/>
        <v>#VALUE!</v>
      </c>
    </row>
    <row r="2975" spans="1:12" x14ac:dyDescent="0.35">
      <c r="A2975" s="9">
        <f t="shared" si="160"/>
        <v>2974</v>
      </c>
      <c r="B2975" t="s">
        <v>109</v>
      </c>
      <c r="C2975" s="109">
        <f>IF(ISBLANK(K2975),IFERROR(VLOOKUP(I2975,FS_input_data!$C$458:$N$648,Export!J2975,FALSE),""),K2975)</f>
        <v>14000</v>
      </c>
      <c r="D2975" s="105" t="b">
        <v>1</v>
      </c>
      <c r="E2975" t="s">
        <v>1561</v>
      </c>
      <c r="F2975" s="105" t="s">
        <v>1833</v>
      </c>
      <c r="G2975" s="105" t="b">
        <f>VLOOKUP($I$2970,FS_input_data!$C$458:$N$648,Export!$J$2970,FALSE)=""</f>
        <v>0</v>
      </c>
      <c r="H2975" s="6" t="s">
        <v>2189</v>
      </c>
      <c r="I2975" t="s">
        <v>1833</v>
      </c>
      <c r="J2975">
        <v>7</v>
      </c>
      <c r="L2975" s="9" t="e">
        <f t="shared" si="159"/>
        <v>#VALUE!</v>
      </c>
    </row>
    <row r="2976" spans="1:12" x14ac:dyDescent="0.35">
      <c r="A2976">
        <f t="shared" si="160"/>
        <v>2975</v>
      </c>
      <c r="B2976" t="s">
        <v>110</v>
      </c>
      <c r="C2976" s="109" t="str">
        <f>IF(ISBLANK(K2976),IFERROR(VLOOKUP(I2976,FS_input_data!$C$458:$N$648,Export!J2976,FALSE),""),K2976)</f>
        <v/>
      </c>
      <c r="D2976" s="105"/>
      <c r="E2976" t="s">
        <v>1561</v>
      </c>
      <c r="F2976" s="105" t="s">
        <v>1833</v>
      </c>
      <c r="G2976" s="105" t="b">
        <f>VLOOKUP($I$2970,FS_input_data!$C$458:$N$648,Export!$J$2970,FALSE)=""</f>
        <v>0</v>
      </c>
      <c r="H2976" s="6" t="s">
        <v>2189</v>
      </c>
      <c r="I2976" t="s">
        <v>1561</v>
      </c>
      <c r="J2976" t="s">
        <v>1561</v>
      </c>
      <c r="L2976">
        <f t="shared" si="159"/>
        <v>1</v>
      </c>
    </row>
    <row r="2977" spans="1:12" x14ac:dyDescent="0.35">
      <c r="A2977" s="9">
        <f t="shared" si="160"/>
        <v>2976</v>
      </c>
      <c r="B2977" t="s">
        <v>111</v>
      </c>
      <c r="C2977" s="109">
        <f>IF(ISBLANK(K2977),IFERROR(VLOOKUP(I2977,FS_input_data!$C$458:$N$648,Export!J2977,FALSE),""),K2977)</f>
        <v>7000</v>
      </c>
      <c r="D2977" s="105" t="b">
        <v>0</v>
      </c>
      <c r="E2977" t="s">
        <v>1561</v>
      </c>
      <c r="F2977" s="105" t="s">
        <v>1833</v>
      </c>
      <c r="G2977" s="105" t="b">
        <f>VLOOKUP($I$2970,FS_input_data!$C$458:$N$648,Export!$J$2970,FALSE)=""</f>
        <v>0</v>
      </c>
      <c r="H2977" s="6" t="s">
        <v>2189</v>
      </c>
      <c r="I2977" t="s">
        <v>1833</v>
      </c>
      <c r="J2977">
        <v>8</v>
      </c>
      <c r="L2977" s="9" t="e">
        <f t="shared" si="159"/>
        <v>#VALUE!</v>
      </c>
    </row>
    <row r="2978" spans="1:12" x14ac:dyDescent="0.35">
      <c r="A2978">
        <f t="shared" si="160"/>
        <v>2977</v>
      </c>
      <c r="B2978" t="s">
        <v>112</v>
      </c>
      <c r="C2978" s="109" t="str">
        <f>IF(ISBLANK(K2978),IFERROR(VLOOKUP(I2978,FS_input_data!$C$458:$N$648,Export!J2978,FALSE),""),K2978)</f>
        <v/>
      </c>
      <c r="D2978" s="105"/>
      <c r="E2978" t="s">
        <v>1561</v>
      </c>
      <c r="F2978" s="105" t="s">
        <v>1833</v>
      </c>
      <c r="G2978" s="105" t="b">
        <f>VLOOKUP($I$2970,FS_input_data!$C$458:$N$648,Export!$J$2970,FALSE)=""</f>
        <v>0</v>
      </c>
      <c r="H2978" s="6" t="s">
        <v>2189</v>
      </c>
      <c r="I2978" t="s">
        <v>1561</v>
      </c>
      <c r="J2978" t="s">
        <v>1561</v>
      </c>
      <c r="L2978">
        <f t="shared" si="159"/>
        <v>1</v>
      </c>
    </row>
    <row r="2979" spans="1:12" x14ac:dyDescent="0.35">
      <c r="A2979" s="9">
        <f t="shared" si="160"/>
        <v>2978</v>
      </c>
      <c r="B2979" t="s">
        <v>749</v>
      </c>
      <c r="C2979" s="109">
        <f>IF(ISBLANK(K2979),IFERROR(VLOOKUP(I2979,FS_input_data!$C$458:$N$648,Export!J2979,FALSE),""),K2979)</f>
        <v>7000</v>
      </c>
      <c r="D2979" s="105" t="b">
        <v>0</v>
      </c>
      <c r="E2979" t="s">
        <v>1561</v>
      </c>
      <c r="F2979" s="105" t="s">
        <v>1833</v>
      </c>
      <c r="G2979" s="105" t="b">
        <f>VLOOKUP($I$2970,FS_input_data!$C$458:$N$648,Export!$J$2970,FALSE)=""</f>
        <v>0</v>
      </c>
      <c r="H2979" s="6" t="s">
        <v>2189</v>
      </c>
      <c r="I2979" t="s">
        <v>1833</v>
      </c>
      <c r="J2979">
        <v>9</v>
      </c>
      <c r="L2979" s="9" t="e">
        <f t="shared" si="159"/>
        <v>#VALUE!</v>
      </c>
    </row>
    <row r="2980" spans="1:12" x14ac:dyDescent="0.35">
      <c r="A2980">
        <f t="shared" si="160"/>
        <v>2979</v>
      </c>
      <c r="B2980" t="s">
        <v>750</v>
      </c>
      <c r="C2980" s="109" t="str">
        <f>IF(ISBLANK(K2980),IFERROR(VLOOKUP(I2980,FS_input_data!$C$458:$N$648,Export!J2980,FALSE),""),K2980)</f>
        <v/>
      </c>
      <c r="D2980" s="105"/>
      <c r="E2980" t="s">
        <v>1561</v>
      </c>
      <c r="F2980" s="105" t="s">
        <v>1833</v>
      </c>
      <c r="G2980" s="105" t="b">
        <f>VLOOKUP($I$2970,FS_input_data!$C$458:$N$648,Export!$J$2970,FALSE)=""</f>
        <v>0</v>
      </c>
      <c r="H2980" s="6" t="s">
        <v>2189</v>
      </c>
      <c r="I2980" t="s">
        <v>1561</v>
      </c>
      <c r="J2980" t="s">
        <v>1561</v>
      </c>
      <c r="L2980">
        <f t="shared" si="159"/>
        <v>1</v>
      </c>
    </row>
    <row r="2981" spans="1:12" x14ac:dyDescent="0.35">
      <c r="A2981">
        <f t="shared" si="160"/>
        <v>2980</v>
      </c>
      <c r="B2981" t="s">
        <v>751</v>
      </c>
      <c r="C2981" s="109" t="str">
        <f>IF(ISBLANK(K2981),IFERROR(VLOOKUP(I2981,FS_input_data!$C$458:$N$648,Export!J2981,FALSE),""),K2981)</f>
        <v/>
      </c>
      <c r="D2981" s="105"/>
      <c r="E2981" t="s">
        <v>1561</v>
      </c>
      <c r="F2981" s="105" t="s">
        <v>1833</v>
      </c>
      <c r="G2981" s="105" t="b">
        <f>VLOOKUP($I$2970,FS_input_data!$C$458:$N$648,Export!$J$2970,FALSE)=""</f>
        <v>0</v>
      </c>
      <c r="H2981" s="6" t="s">
        <v>2189</v>
      </c>
      <c r="I2981" t="s">
        <v>1561</v>
      </c>
      <c r="J2981" t="s">
        <v>1561</v>
      </c>
      <c r="L2981">
        <f t="shared" si="159"/>
        <v>1</v>
      </c>
    </row>
    <row r="2982" spans="1:12" x14ac:dyDescent="0.35">
      <c r="A2982">
        <f t="shared" si="160"/>
        <v>2981</v>
      </c>
      <c r="B2982" t="s">
        <v>754</v>
      </c>
      <c r="C2982" s="109" t="str">
        <f>IF(ISBLANK(K2982),IFERROR(VLOOKUP(I2982,FS_input_data!$C$458:$N$648,Export!J2982,FALSE),""),K2982)</f>
        <v/>
      </c>
      <c r="D2982" s="105"/>
      <c r="E2982" t="s">
        <v>1561</v>
      </c>
      <c r="F2982" s="105" t="s">
        <v>1833</v>
      </c>
      <c r="G2982" s="105" t="b">
        <f>VLOOKUP($I$2970,FS_input_data!$C$458:$N$648,Export!$J$2970,FALSE)=""</f>
        <v>0</v>
      </c>
      <c r="H2982" s="6" t="s">
        <v>2189</v>
      </c>
      <c r="I2982" t="s">
        <v>1561</v>
      </c>
      <c r="J2982" t="s">
        <v>1561</v>
      </c>
      <c r="L2982" s="9" t="e">
        <f t="shared" si="159"/>
        <v>#VALUE!</v>
      </c>
    </row>
    <row r="2983" spans="1:12" x14ac:dyDescent="0.35">
      <c r="A2983" s="9">
        <f t="shared" si="160"/>
        <v>2982</v>
      </c>
      <c r="B2983" t="s">
        <v>755</v>
      </c>
      <c r="C2983" s="109">
        <f>IF(ISBLANK(K2983),IFERROR(VLOOKUP(I2983,FS_input_data!$C$458:$N$648,Export!J2983,FALSE),""),K2983)</f>
        <v>14</v>
      </c>
      <c r="D2983" s="105" t="b">
        <v>1</v>
      </c>
      <c r="E2983" t="s">
        <v>1561</v>
      </c>
      <c r="F2983" s="105" t="s">
        <v>1833</v>
      </c>
      <c r="G2983" s="105" t="b">
        <f>VLOOKUP($I$2970,FS_input_data!$C$458:$N$648,Export!$J$2970,FALSE)=""</f>
        <v>0</v>
      </c>
      <c r="H2983" s="6" t="s">
        <v>2189</v>
      </c>
      <c r="I2983" t="s">
        <v>1833</v>
      </c>
      <c r="J2983">
        <v>2</v>
      </c>
      <c r="L2983" s="9" t="e">
        <f t="shared" si="159"/>
        <v>#VALUE!</v>
      </c>
    </row>
    <row r="2984" spans="1:12" x14ac:dyDescent="0.35">
      <c r="A2984">
        <f t="shared" si="160"/>
        <v>2983</v>
      </c>
      <c r="B2984" t="s">
        <v>756</v>
      </c>
      <c r="C2984" s="109" t="str">
        <f>IF(ISBLANK(K2984),IFERROR(VLOOKUP(I2984,FS_input_data!$C$458:$N$648,Export!J2984,FALSE),""),K2984)</f>
        <v/>
      </c>
      <c r="D2984" s="105"/>
      <c r="E2984" t="s">
        <v>1561</v>
      </c>
      <c r="F2984" s="105" t="s">
        <v>1833</v>
      </c>
      <c r="G2984" s="105" t="b">
        <f>VLOOKUP($I$2970,FS_input_data!$C$458:$N$648,Export!$J$2970,FALSE)=""</f>
        <v>0</v>
      </c>
      <c r="H2984" s="6" t="s">
        <v>2189</v>
      </c>
      <c r="I2984" t="s">
        <v>1561</v>
      </c>
      <c r="J2984" t="s">
        <v>1561</v>
      </c>
      <c r="L2984">
        <f t="shared" si="159"/>
        <v>1</v>
      </c>
    </row>
    <row r="2985" spans="1:12" x14ac:dyDescent="0.35">
      <c r="A2985" s="9">
        <f t="shared" si="160"/>
        <v>2984</v>
      </c>
      <c r="B2985" t="s">
        <v>757</v>
      </c>
      <c r="C2985" s="109">
        <f>IF(ISBLANK(K2985),IFERROR(VLOOKUP(I2985,FS_input_data!$C$458:$N$648,Export!J2985,FALSE),""),K2985)</f>
        <v>114</v>
      </c>
      <c r="D2985" s="105" t="b">
        <v>0</v>
      </c>
      <c r="E2985" t="s">
        <v>1561</v>
      </c>
      <c r="F2985" s="105" t="s">
        <v>1833</v>
      </c>
      <c r="G2985" s="105" t="b">
        <f>VLOOKUP($I$2970,FS_input_data!$C$458:$N$648,Export!$J$2970,FALSE)=""</f>
        <v>0</v>
      </c>
      <c r="H2985" s="6" t="s">
        <v>2189</v>
      </c>
      <c r="I2985" t="s">
        <v>1833</v>
      </c>
      <c r="J2985">
        <v>3</v>
      </c>
      <c r="L2985" s="9" t="e">
        <f t="shared" si="159"/>
        <v>#VALUE!</v>
      </c>
    </row>
    <row r="2986" spans="1:12" x14ac:dyDescent="0.35">
      <c r="A2986">
        <f t="shared" si="160"/>
        <v>2985</v>
      </c>
      <c r="B2986" t="s">
        <v>758</v>
      </c>
      <c r="C2986" s="109" t="str">
        <f>IF(ISBLANK(K2986),IFERROR(VLOOKUP(I2986,FS_input_data!$C$458:$N$648,Export!J2986,FALSE),""),K2986)</f>
        <v/>
      </c>
      <c r="D2986" s="105"/>
      <c r="E2986" t="s">
        <v>1561</v>
      </c>
      <c r="F2986" s="105" t="s">
        <v>1833</v>
      </c>
      <c r="G2986" s="105" t="b">
        <f>VLOOKUP($I$2970,FS_input_data!$C$458:$N$648,Export!$J$2970,FALSE)=""</f>
        <v>0</v>
      </c>
      <c r="H2986" s="6" t="s">
        <v>2189</v>
      </c>
      <c r="I2986" t="s">
        <v>1561</v>
      </c>
      <c r="J2986" t="s">
        <v>1561</v>
      </c>
      <c r="L2986">
        <f t="shared" si="159"/>
        <v>1</v>
      </c>
    </row>
    <row r="2987" spans="1:12" x14ac:dyDescent="0.35">
      <c r="A2987" s="9">
        <f t="shared" si="160"/>
        <v>2986</v>
      </c>
      <c r="B2987" t="s">
        <v>759</v>
      </c>
      <c r="C2987" s="109">
        <f>IF(ISBLANK(K2987),IFERROR(VLOOKUP(I2987,FS_input_data!$C$458:$N$648,Export!J2987,FALSE),""),K2987)</f>
        <v>214</v>
      </c>
      <c r="D2987" s="105" t="b">
        <v>0</v>
      </c>
      <c r="E2987" t="s">
        <v>1561</v>
      </c>
      <c r="F2987" s="105" t="s">
        <v>1833</v>
      </c>
      <c r="G2987" s="105" t="b">
        <f>VLOOKUP($I$2970,FS_input_data!$C$458:$N$648,Export!$J$2970,FALSE)=""</f>
        <v>0</v>
      </c>
      <c r="H2987" s="6" t="s">
        <v>2189</v>
      </c>
      <c r="I2987" t="s">
        <v>1833</v>
      </c>
      <c r="J2987">
        <v>4</v>
      </c>
      <c r="L2987" s="9" t="e">
        <f t="shared" si="159"/>
        <v>#VALUE!</v>
      </c>
    </row>
    <row r="2988" spans="1:12" x14ac:dyDescent="0.35">
      <c r="A2988">
        <f t="shared" si="160"/>
        <v>2987</v>
      </c>
      <c r="B2988" t="s">
        <v>760</v>
      </c>
      <c r="C2988" s="109" t="str">
        <f>IF(ISBLANK(K2988),IFERROR(VLOOKUP(I2988,FS_input_data!$C$458:$N$648,Export!J2988,FALSE),""),K2988)</f>
        <v/>
      </c>
      <c r="D2988" s="105"/>
      <c r="E2988" t="s">
        <v>1561</v>
      </c>
      <c r="F2988" s="105" t="s">
        <v>1833</v>
      </c>
      <c r="G2988" s="105" t="b">
        <f>VLOOKUP($I$2970,FS_input_data!$C$458:$N$648,Export!$J$2970,FALSE)=""</f>
        <v>0</v>
      </c>
      <c r="H2988" s="6" t="s">
        <v>2189</v>
      </c>
      <c r="I2988" t="s">
        <v>1561</v>
      </c>
      <c r="J2988" t="s">
        <v>1561</v>
      </c>
      <c r="L2988">
        <f t="shared" si="159"/>
        <v>1</v>
      </c>
    </row>
    <row r="2989" spans="1:12" x14ac:dyDescent="0.35">
      <c r="A2989" s="9">
        <f t="shared" si="160"/>
        <v>2988</v>
      </c>
      <c r="B2989" t="s">
        <v>761</v>
      </c>
      <c r="C2989" s="109" t="str">
        <f>IF(ISBLANK(K2989),IFERROR(VLOOKUP(I2989,FS_input_data!$C$458:$N$648,Export!J2989,FALSE),""),K2989)</f>
        <v>o</v>
      </c>
      <c r="D2989" s="105" t="b">
        <v>0</v>
      </c>
      <c r="E2989" t="s">
        <v>1561</v>
      </c>
      <c r="F2989" s="105" t="s">
        <v>1833</v>
      </c>
      <c r="G2989" s="105" t="b">
        <f>VLOOKUP($I$2970,FS_input_data!$C$458:$N$648,Export!$J$2970,FALSE)=""</f>
        <v>0</v>
      </c>
      <c r="H2989" s="6" t="s">
        <v>2189</v>
      </c>
      <c r="I2989" t="s">
        <v>1833</v>
      </c>
      <c r="J2989">
        <v>5</v>
      </c>
      <c r="L2989" s="9" t="e">
        <f t="shared" si="159"/>
        <v>#VALUE!</v>
      </c>
    </row>
    <row r="2990" spans="1:12" x14ac:dyDescent="0.35">
      <c r="A2990">
        <f t="shared" si="160"/>
        <v>2989</v>
      </c>
      <c r="B2990" t="s">
        <v>762</v>
      </c>
      <c r="C2990" s="109" t="str">
        <f>IF(ISBLANK(K2990),IFERROR(VLOOKUP(I2990,FS_input_data!$C$458:$N$648,Export!J2990,FALSE),""),K2990)</f>
        <v/>
      </c>
      <c r="D2990" s="105"/>
      <c r="E2990" t="s">
        <v>1561</v>
      </c>
      <c r="F2990" s="105" t="s">
        <v>1833</v>
      </c>
      <c r="G2990" s="105" t="b">
        <f>VLOOKUP($I$2970,FS_input_data!$C$458:$N$648,Export!$J$2970,FALSE)=""</f>
        <v>0</v>
      </c>
      <c r="H2990" s="6" t="s">
        <v>2189</v>
      </c>
      <c r="I2990" t="s">
        <v>1561</v>
      </c>
      <c r="J2990" t="s">
        <v>1561</v>
      </c>
      <c r="L2990">
        <f t="shared" si="159"/>
        <v>1</v>
      </c>
    </row>
    <row r="2991" spans="1:12" x14ac:dyDescent="0.35">
      <c r="A2991">
        <f t="shared" si="160"/>
        <v>2990</v>
      </c>
      <c r="B2991" t="s">
        <v>763</v>
      </c>
      <c r="C2991" s="109" t="str">
        <f>IF(ISBLANK(K2991),IFERROR(VLOOKUP(I2991,FS_input_data!$C$458:$N$648,Export!J2991,FALSE),""),K2991)</f>
        <v/>
      </c>
      <c r="D2991" s="105"/>
      <c r="E2991" t="s">
        <v>1561</v>
      </c>
      <c r="F2991" s="105" t="s">
        <v>1833</v>
      </c>
      <c r="G2991" s="105" t="b">
        <f>VLOOKUP($I$2970,FS_input_data!$C$458:$N$648,Export!$J$2970,FALSE)=""</f>
        <v>0</v>
      </c>
      <c r="H2991" s="6" t="s">
        <v>2189</v>
      </c>
      <c r="I2991" t="s">
        <v>1561</v>
      </c>
      <c r="J2991" t="s">
        <v>1561</v>
      </c>
      <c r="L2991">
        <f t="shared" si="159"/>
        <v>1</v>
      </c>
    </row>
    <row r="2992" spans="1:12" x14ac:dyDescent="0.35">
      <c r="A2992">
        <f t="shared" si="160"/>
        <v>2991</v>
      </c>
      <c r="B2992" t="s">
        <v>743</v>
      </c>
      <c r="C2992" s="109" t="str">
        <f>IF(ISBLANK(K2992),IFERROR(VLOOKUP(I2992,FS_input_data!$C$458:$N$648,Export!J2992,FALSE),""),K2992)</f>
        <v/>
      </c>
      <c r="D2992" s="105"/>
      <c r="E2992" t="s">
        <v>1561</v>
      </c>
      <c r="F2992" s="105" t="s">
        <v>1833</v>
      </c>
      <c r="G2992" s="105" t="b">
        <f>VLOOKUP($I$2970,FS_input_data!$C$458:$N$648,Export!$J$2970,FALSE)=""</f>
        <v>0</v>
      </c>
      <c r="H2992" s="6" t="s">
        <v>2189</v>
      </c>
      <c r="I2992" t="s">
        <v>1561</v>
      </c>
      <c r="J2992" t="s">
        <v>1561</v>
      </c>
      <c r="L2992">
        <f t="shared" si="159"/>
        <v>1</v>
      </c>
    </row>
    <row r="2993" spans="1:12" x14ac:dyDescent="0.35">
      <c r="A2993">
        <f t="shared" si="160"/>
        <v>2992</v>
      </c>
      <c r="B2993" t="s">
        <v>744</v>
      </c>
      <c r="C2993" s="109" t="str">
        <f>IF(ISBLANK(K2993),IFERROR(VLOOKUP(I2993,FS_input_data!$C$458:$N$648,Export!J2993,FALSE),""),K2993)</f>
        <v/>
      </c>
      <c r="D2993" s="105"/>
      <c r="E2993" t="s">
        <v>1561</v>
      </c>
      <c r="F2993" s="105" t="s">
        <v>1833</v>
      </c>
      <c r="G2993" s="105" t="b">
        <f>IF(RP_tax,TRUE,VLOOKUP($I$2970,FS_input_data!$C$458:$N$648,Export!$J$2970,FALSE)="")</f>
        <v>1</v>
      </c>
      <c r="H2993" s="6" t="s">
        <v>2189</v>
      </c>
      <c r="I2993" t="s">
        <v>1561</v>
      </c>
      <c r="J2993" t="s">
        <v>1561</v>
      </c>
      <c r="L2993" s="9" t="e">
        <f t="shared" si="159"/>
        <v>#VALUE!</v>
      </c>
    </row>
    <row r="2994" spans="1:12" x14ac:dyDescent="0.35">
      <c r="A2994" s="9">
        <f t="shared" si="160"/>
        <v>2993</v>
      </c>
      <c r="B2994" t="s">
        <v>109</v>
      </c>
      <c r="C2994" s="109">
        <f>IF(ISBLANK(K2994),IFERROR(VLOOKUP(I2994,FS_input_data!$C$458:$N$648,Export!J2994,FALSE),""),K2994)</f>
        <v>14000</v>
      </c>
      <c r="D2994" s="105" t="b">
        <v>0</v>
      </c>
      <c r="E2994" t="s">
        <v>1561</v>
      </c>
      <c r="F2994" s="105" t="s">
        <v>1833</v>
      </c>
      <c r="G2994" s="105" t="b">
        <f>IF(RP_tax,TRUE,VLOOKUP($I$2970,FS_input_data!$C$458:$N$648,Export!$J$2970,FALSE)="")</f>
        <v>1</v>
      </c>
      <c r="H2994" s="6" t="s">
        <v>2189</v>
      </c>
      <c r="I2994" t="s">
        <v>1833</v>
      </c>
      <c r="J2994">
        <v>10</v>
      </c>
      <c r="L2994" s="9" t="e">
        <f t="shared" si="159"/>
        <v>#VALUE!</v>
      </c>
    </row>
    <row r="2995" spans="1:12" x14ac:dyDescent="0.35">
      <c r="A2995">
        <f t="shared" si="160"/>
        <v>2994</v>
      </c>
      <c r="B2995" t="s">
        <v>110</v>
      </c>
      <c r="C2995" s="109" t="str">
        <f>IF(ISBLANK(K2995),IFERROR(VLOOKUP(I2995,FS_input_data!$C$458:$N$648,Export!J2995,FALSE),""),K2995)</f>
        <v/>
      </c>
      <c r="D2995" s="105"/>
      <c r="E2995" t="s">
        <v>1561</v>
      </c>
      <c r="F2995" s="105" t="s">
        <v>1833</v>
      </c>
      <c r="G2995" s="105" t="b">
        <f>IF(RP_tax,TRUE,VLOOKUP($I$2970,FS_input_data!$C$458:$N$648,Export!$J$2970,FALSE)="")</f>
        <v>1</v>
      </c>
      <c r="H2995" s="6" t="s">
        <v>2189</v>
      </c>
      <c r="I2995" t="s">
        <v>1561</v>
      </c>
      <c r="J2995" t="s">
        <v>1561</v>
      </c>
      <c r="L2995">
        <f t="shared" si="159"/>
        <v>1</v>
      </c>
    </row>
    <row r="2996" spans="1:12" x14ac:dyDescent="0.35">
      <c r="A2996" s="9">
        <f t="shared" si="160"/>
        <v>2995</v>
      </c>
      <c r="B2996" t="s">
        <v>111</v>
      </c>
      <c r="C2996" s="109">
        <f>IF(ISBLANK(K2996),IFERROR(VLOOKUP(I2996,FS_input_data!$C$458:$N$648,Export!J2996,FALSE),""),K2996)</f>
        <v>7000</v>
      </c>
      <c r="D2996" s="105" t="b">
        <v>0</v>
      </c>
      <c r="E2996" t="s">
        <v>1561</v>
      </c>
      <c r="F2996" s="105" t="s">
        <v>1833</v>
      </c>
      <c r="G2996" s="105" t="b">
        <f>IF(RP_tax,TRUE,VLOOKUP($I$2970,FS_input_data!$C$458:$N$648,Export!$J$2970,FALSE)="")</f>
        <v>1</v>
      </c>
      <c r="H2996" s="6" t="s">
        <v>2189</v>
      </c>
      <c r="I2996" t="s">
        <v>1833</v>
      </c>
      <c r="J2996">
        <v>11</v>
      </c>
      <c r="L2996" s="9" t="e">
        <f t="shared" si="159"/>
        <v>#VALUE!</v>
      </c>
    </row>
    <row r="2997" spans="1:12" x14ac:dyDescent="0.35">
      <c r="A2997">
        <f t="shared" si="160"/>
        <v>2996</v>
      </c>
      <c r="B2997" t="s">
        <v>112</v>
      </c>
      <c r="C2997" s="109" t="str">
        <f>IF(ISBLANK(K2997),IFERROR(VLOOKUP(I2997,FS_input_data!$C$458:$N$648,Export!J2997,FALSE),""),K2997)</f>
        <v/>
      </c>
      <c r="D2997" s="105"/>
      <c r="E2997" t="s">
        <v>1561</v>
      </c>
      <c r="F2997" s="105" t="s">
        <v>1833</v>
      </c>
      <c r="G2997" s="105" t="b">
        <f>IF(RP_tax,TRUE,VLOOKUP($I$2970,FS_input_data!$C$458:$N$648,Export!$J$2970,FALSE)="")</f>
        <v>1</v>
      </c>
      <c r="H2997" s="6" t="s">
        <v>2189</v>
      </c>
      <c r="I2997" t="s">
        <v>1561</v>
      </c>
      <c r="J2997" t="s">
        <v>1561</v>
      </c>
      <c r="L2997">
        <f t="shared" si="159"/>
        <v>1</v>
      </c>
    </row>
    <row r="2998" spans="1:12" x14ac:dyDescent="0.35">
      <c r="A2998" s="9">
        <f t="shared" si="160"/>
        <v>2997</v>
      </c>
      <c r="B2998" t="s">
        <v>749</v>
      </c>
      <c r="C2998" s="109">
        <f>IF(ISBLANK(K2998),IFERROR(VLOOKUP(I2998,FS_input_data!$C$458:$N$648,Export!J2998,FALSE),""),K2998)</f>
        <v>7000</v>
      </c>
      <c r="D2998" s="105" t="b">
        <v>0</v>
      </c>
      <c r="E2998" t="s">
        <v>1561</v>
      </c>
      <c r="F2998" s="105" t="s">
        <v>1833</v>
      </c>
      <c r="G2998" s="105" t="b">
        <f>IF(RP_tax,TRUE,VLOOKUP($I$2970,FS_input_data!$C$458:$N$648,Export!$J$2970,FALSE)="")</f>
        <v>1</v>
      </c>
      <c r="H2998" s="6" t="s">
        <v>2189</v>
      </c>
      <c r="I2998" t="s">
        <v>1833</v>
      </c>
      <c r="J2998">
        <v>12</v>
      </c>
      <c r="L2998" s="9" t="e">
        <f t="shared" si="159"/>
        <v>#VALUE!</v>
      </c>
    </row>
    <row r="2999" spans="1:12" x14ac:dyDescent="0.35">
      <c r="A2999">
        <f t="shared" si="160"/>
        <v>2998</v>
      </c>
      <c r="B2999" t="s">
        <v>750</v>
      </c>
      <c r="C2999" s="109" t="str">
        <f>IF(ISBLANK(K2999),IFERROR(VLOOKUP(I2999,FS_input_data!$C$458:$N$648,Export!J2999,FALSE),""),K2999)</f>
        <v/>
      </c>
      <c r="D2999" s="105"/>
      <c r="E2999" t="s">
        <v>1561</v>
      </c>
      <c r="F2999" s="105" t="s">
        <v>1833</v>
      </c>
      <c r="G2999" s="105" t="b">
        <f>IF(RP_tax,TRUE,VLOOKUP($I$2970,FS_input_data!$C$458:$N$648,Export!$J$2970,FALSE)="")</f>
        <v>1</v>
      </c>
      <c r="H2999" s="6" t="s">
        <v>2189</v>
      </c>
      <c r="I2999" t="s">
        <v>1561</v>
      </c>
      <c r="J2999" t="s">
        <v>1561</v>
      </c>
      <c r="L2999">
        <f t="shared" si="159"/>
        <v>1</v>
      </c>
    </row>
    <row r="3000" spans="1:12" x14ac:dyDescent="0.35">
      <c r="A3000">
        <f t="shared" si="160"/>
        <v>2999</v>
      </c>
      <c r="B3000" t="s">
        <v>745</v>
      </c>
      <c r="C3000" s="109" t="str">
        <f>IF(ISBLANK(K3000),IFERROR(VLOOKUP(I3000,FS_input_data!$C$458:$N$648,Export!J3000,FALSE),""),K3000)</f>
        <v/>
      </c>
      <c r="D3000" s="105"/>
      <c r="E3000" t="s">
        <v>1561</v>
      </c>
      <c r="F3000" s="105" t="s">
        <v>1833</v>
      </c>
      <c r="G3000" s="105" t="b">
        <f>IF(RP_tax,TRUE,VLOOKUP($I$2970,FS_input_data!$C$458:$N$648,Export!$J$2970,FALSE)="")</f>
        <v>1</v>
      </c>
      <c r="H3000" s="6" t="s">
        <v>2189</v>
      </c>
      <c r="I3000" t="s">
        <v>1561</v>
      </c>
      <c r="J3000" t="s">
        <v>1561</v>
      </c>
      <c r="L3000">
        <f t="shared" si="159"/>
        <v>1</v>
      </c>
    </row>
    <row r="3001" spans="1:12" x14ac:dyDescent="0.35">
      <c r="A3001">
        <f t="shared" si="160"/>
        <v>3000</v>
      </c>
      <c r="B3001" t="s">
        <v>764</v>
      </c>
      <c r="C3001" s="109" t="str">
        <f>IF(ISBLANK(K3001),IFERROR(VLOOKUP(I3001,FS_input_data!$C$458:$N$648,Export!J3001,FALSE),""),K3001)</f>
        <v/>
      </c>
      <c r="D3001" s="105"/>
      <c r="E3001" t="s">
        <v>1561</v>
      </c>
      <c r="F3001" s="105" t="s">
        <v>1833</v>
      </c>
      <c r="G3001" s="105" t="b">
        <f>VLOOKUP($I$2970,FS_input_data!$C$458:$N$648,Export!$J$2970,FALSE)=""</f>
        <v>0</v>
      </c>
      <c r="H3001" s="6" t="s">
        <v>2189</v>
      </c>
      <c r="I3001" t="s">
        <v>1561</v>
      </c>
      <c r="J3001" t="s">
        <v>1561</v>
      </c>
      <c r="L3001">
        <f t="shared" si="159"/>
        <v>1</v>
      </c>
    </row>
    <row r="3002" spans="1:12" x14ac:dyDescent="0.35">
      <c r="A3002">
        <f t="shared" si="160"/>
        <v>3001</v>
      </c>
      <c r="B3002" t="s">
        <v>765</v>
      </c>
      <c r="C3002" s="109" t="str">
        <f>IF(ISBLANK(K3002),IFERROR(VLOOKUP(I3002,FS_input_data!$C$458:$N$648,Export!J3002,FALSE),""),K3002)</f>
        <v/>
      </c>
      <c r="D3002" s="105"/>
      <c r="E3002" t="s">
        <v>1561</v>
      </c>
      <c r="F3002" s="105" t="s">
        <v>1833</v>
      </c>
      <c r="G3002" s="105" t="b">
        <f>VLOOKUP($I$2970,FS_input_data!$C$458:$N$648,Export!$J$2970,FALSE)=""</f>
        <v>0</v>
      </c>
      <c r="H3002" s="6" t="s">
        <v>2189</v>
      </c>
      <c r="I3002" t="s">
        <v>1561</v>
      </c>
      <c r="J3002" t="s">
        <v>1561</v>
      </c>
      <c r="L3002">
        <f t="shared" si="159"/>
        <v>1</v>
      </c>
    </row>
    <row r="3003" spans="1:12" x14ac:dyDescent="0.35">
      <c r="A3003">
        <f t="shared" si="160"/>
        <v>3002</v>
      </c>
      <c r="B3003" t="s">
        <v>752</v>
      </c>
      <c r="C3003" s="109" t="str">
        <f>IF(ISBLANK(K3003),IFERROR(VLOOKUP(I3003,FS_input_data!$C$458:$N$648,Export!J3003,FALSE),""),K3003)</f>
        <v/>
      </c>
      <c r="D3003" s="102"/>
      <c r="E3003" t="s">
        <v>1561</v>
      </c>
      <c r="F3003" s="102" t="s">
        <v>1836</v>
      </c>
      <c r="G3003" s="102" t="b">
        <f>VLOOKUP($I$3004,FS_input_data!$C$458:$N$648,Export!$J$3004,FALSE)=""</f>
        <v>0</v>
      </c>
      <c r="H3003" s="6" t="s">
        <v>2189</v>
      </c>
      <c r="I3003" t="s">
        <v>1561</v>
      </c>
      <c r="J3003" t="s">
        <v>1561</v>
      </c>
      <c r="L3003" s="9" t="e">
        <f t="shared" si="159"/>
        <v>#VALUE!</v>
      </c>
    </row>
    <row r="3004" spans="1:12" x14ac:dyDescent="0.35">
      <c r="A3004" s="9">
        <f t="shared" si="160"/>
        <v>3003</v>
      </c>
      <c r="B3004" t="s">
        <v>101</v>
      </c>
      <c r="C3004" s="109" t="str">
        <f>IF(ISBLANK(K3004),IFERROR(VLOOKUP(I3004,FS_input_data!$C$458:$N$648,Export!J3004,FALSE),""),K3004)</f>
        <v>OB15</v>
      </c>
      <c r="D3004" s="102" t="b">
        <v>1</v>
      </c>
      <c r="E3004" t="s">
        <v>1561</v>
      </c>
      <c r="F3004" s="102" t="s">
        <v>1836</v>
      </c>
      <c r="G3004" s="102" t="b">
        <f>VLOOKUP($I$3004,FS_input_data!$C$458:$N$648,Export!$J$3004,FALSE)=""</f>
        <v>0</v>
      </c>
      <c r="H3004" s="6" t="s">
        <v>2189</v>
      </c>
      <c r="I3004" t="s">
        <v>1836</v>
      </c>
      <c r="J3004">
        <v>6</v>
      </c>
      <c r="L3004" s="9" t="e">
        <f t="shared" si="159"/>
        <v>#VALUE!</v>
      </c>
    </row>
    <row r="3005" spans="1:12" x14ac:dyDescent="0.35">
      <c r="A3005">
        <f t="shared" si="160"/>
        <v>3004</v>
      </c>
      <c r="B3005" t="s">
        <v>102</v>
      </c>
      <c r="C3005" s="109" t="str">
        <f>IF(ISBLANK(K3005),IFERROR(VLOOKUP(I3005,FS_input_data!$C$458:$N$648,Export!J3005,FALSE),""),K3005)</f>
        <v/>
      </c>
      <c r="D3005" s="102"/>
      <c r="E3005" t="s">
        <v>1561</v>
      </c>
      <c r="F3005" s="102" t="s">
        <v>1836</v>
      </c>
      <c r="G3005" s="102" t="b">
        <f>VLOOKUP($I$3004,FS_input_data!$C$458:$N$648,Export!$J$3004,FALSE)=""</f>
        <v>0</v>
      </c>
      <c r="H3005" s="6" t="s">
        <v>2189</v>
      </c>
      <c r="I3005" t="s">
        <v>1561</v>
      </c>
      <c r="J3005" t="s">
        <v>1561</v>
      </c>
      <c r="L3005">
        <f t="shared" si="159"/>
        <v>1</v>
      </c>
    </row>
    <row r="3006" spans="1:12" x14ac:dyDescent="0.35">
      <c r="A3006">
        <f t="shared" si="160"/>
        <v>3005</v>
      </c>
      <c r="B3006" t="s">
        <v>753</v>
      </c>
      <c r="C3006" s="109" t="str">
        <f>IF(ISBLANK(K3006),IFERROR(VLOOKUP(I3006,FS_input_data!$C$458:$N$648,Export!J3006,FALSE),""),K3006)</f>
        <v/>
      </c>
      <c r="D3006" s="102"/>
      <c r="E3006" t="s">
        <v>1561</v>
      </c>
      <c r="F3006" s="102" t="s">
        <v>1836</v>
      </c>
      <c r="G3006" s="102" t="b">
        <f>VLOOKUP($I$3004,FS_input_data!$C$458:$N$648,Export!$J$3004,FALSE)=""</f>
        <v>0</v>
      </c>
      <c r="H3006" s="6" t="s">
        <v>2189</v>
      </c>
      <c r="I3006" t="s">
        <v>1561</v>
      </c>
      <c r="J3006" t="s">
        <v>1561</v>
      </c>
      <c r="L3006" s="9" t="e">
        <f t="shared" si="159"/>
        <v>#VALUE!</v>
      </c>
    </row>
    <row r="3007" spans="1:12" x14ac:dyDescent="0.35">
      <c r="A3007">
        <f t="shared" si="160"/>
        <v>3006</v>
      </c>
      <c r="B3007" t="s">
        <v>742</v>
      </c>
      <c r="C3007" s="109" t="str">
        <f>IF(ISBLANK(K3007),IFERROR(VLOOKUP(I3007,FS_input_data!$C$458:$N$648,Export!J3007,FALSE),""),K3007)</f>
        <v/>
      </c>
      <c r="D3007" s="102"/>
      <c r="E3007" t="s">
        <v>1561</v>
      </c>
      <c r="F3007" s="102" t="s">
        <v>1836</v>
      </c>
      <c r="G3007" s="102" t="b">
        <f>VLOOKUP($I$3004,FS_input_data!$C$458:$N$648,Export!$J$3004,FALSE)=""</f>
        <v>0</v>
      </c>
      <c r="H3007" s="6" t="s">
        <v>2189</v>
      </c>
      <c r="I3007" t="s">
        <v>1561</v>
      </c>
      <c r="J3007" t="s">
        <v>1561</v>
      </c>
      <c r="L3007" s="9" t="e">
        <f t="shared" si="159"/>
        <v>#VALUE!</v>
      </c>
    </row>
    <row r="3008" spans="1:12" x14ac:dyDescent="0.35">
      <c r="A3008">
        <f t="shared" si="160"/>
        <v>3007</v>
      </c>
      <c r="B3008" t="s">
        <v>748</v>
      </c>
      <c r="C3008" s="109" t="str">
        <f>IF(ISBLANK(K3008),IFERROR(VLOOKUP(I3008,FS_input_data!$C$458:$N$648,Export!J3008,FALSE),""),K3008)</f>
        <v/>
      </c>
      <c r="D3008" s="102"/>
      <c r="E3008" t="s">
        <v>1561</v>
      </c>
      <c r="F3008" s="102" t="s">
        <v>1836</v>
      </c>
      <c r="G3008" s="102" t="b">
        <f>VLOOKUP($I$3004,FS_input_data!$C$458:$N$648,Export!$J$3004,FALSE)=""</f>
        <v>0</v>
      </c>
      <c r="H3008" s="6" t="s">
        <v>2189</v>
      </c>
      <c r="I3008" t="s">
        <v>1561</v>
      </c>
      <c r="J3008" t="s">
        <v>1561</v>
      </c>
      <c r="L3008" s="9" t="e">
        <f t="shared" si="159"/>
        <v>#VALUE!</v>
      </c>
    </row>
    <row r="3009" spans="1:12" x14ac:dyDescent="0.35">
      <c r="A3009" s="9">
        <f t="shared" si="160"/>
        <v>3008</v>
      </c>
      <c r="B3009" t="s">
        <v>109</v>
      </c>
      <c r="C3009" s="109">
        <f>IF(ISBLANK(K3009),IFERROR(VLOOKUP(I3009,FS_input_data!$C$458:$N$648,Export!J3009,FALSE),""),K3009)</f>
        <v>15000</v>
      </c>
      <c r="D3009" s="102" t="b">
        <v>1</v>
      </c>
      <c r="E3009" t="s">
        <v>1561</v>
      </c>
      <c r="F3009" s="102" t="s">
        <v>1836</v>
      </c>
      <c r="G3009" s="102" t="b">
        <f>VLOOKUP($I$3004,FS_input_data!$C$458:$N$648,Export!$J$3004,FALSE)=""</f>
        <v>0</v>
      </c>
      <c r="H3009" s="6" t="s">
        <v>2189</v>
      </c>
      <c r="I3009" t="s">
        <v>1836</v>
      </c>
      <c r="J3009">
        <v>7</v>
      </c>
      <c r="L3009" s="9" t="e">
        <f t="shared" si="159"/>
        <v>#VALUE!</v>
      </c>
    </row>
    <row r="3010" spans="1:12" x14ac:dyDescent="0.35">
      <c r="A3010">
        <f t="shared" si="160"/>
        <v>3009</v>
      </c>
      <c r="B3010" t="s">
        <v>110</v>
      </c>
      <c r="C3010" s="109" t="str">
        <f>IF(ISBLANK(K3010),IFERROR(VLOOKUP(I3010,FS_input_data!$C$458:$N$648,Export!J3010,FALSE),""),K3010)</f>
        <v/>
      </c>
      <c r="D3010" s="102"/>
      <c r="E3010" t="s">
        <v>1561</v>
      </c>
      <c r="F3010" s="102" t="s">
        <v>1836</v>
      </c>
      <c r="G3010" s="102" t="b">
        <f>VLOOKUP($I$3004,FS_input_data!$C$458:$N$648,Export!$J$3004,FALSE)=""</f>
        <v>0</v>
      </c>
      <c r="H3010" s="6" t="s">
        <v>2189</v>
      </c>
      <c r="I3010" t="s">
        <v>1561</v>
      </c>
      <c r="J3010" t="s">
        <v>1561</v>
      </c>
      <c r="L3010">
        <f t="shared" ref="L3010:L3073" si="161">FIND("/",B3010)</f>
        <v>1</v>
      </c>
    </row>
    <row r="3011" spans="1:12" x14ac:dyDescent="0.35">
      <c r="A3011" s="9">
        <f t="shared" ref="A3011:A3074" si="162">A3010+1</f>
        <v>3010</v>
      </c>
      <c r="B3011" t="s">
        <v>111</v>
      </c>
      <c r="C3011" s="109">
        <f>IF(ISBLANK(K3011),IFERROR(VLOOKUP(I3011,FS_input_data!$C$458:$N$648,Export!J3011,FALSE),""),K3011)</f>
        <v>7500</v>
      </c>
      <c r="D3011" s="102" t="b">
        <v>0</v>
      </c>
      <c r="E3011" t="s">
        <v>1561</v>
      </c>
      <c r="F3011" s="102" t="s">
        <v>1836</v>
      </c>
      <c r="G3011" s="102" t="b">
        <f>VLOOKUP($I$3004,FS_input_data!$C$458:$N$648,Export!$J$3004,FALSE)=""</f>
        <v>0</v>
      </c>
      <c r="H3011" s="6" t="s">
        <v>2189</v>
      </c>
      <c r="I3011" t="s">
        <v>1836</v>
      </c>
      <c r="J3011">
        <v>8</v>
      </c>
      <c r="L3011" s="9" t="e">
        <f t="shared" si="161"/>
        <v>#VALUE!</v>
      </c>
    </row>
    <row r="3012" spans="1:12" x14ac:dyDescent="0.35">
      <c r="A3012">
        <f t="shared" si="162"/>
        <v>3011</v>
      </c>
      <c r="B3012" t="s">
        <v>112</v>
      </c>
      <c r="C3012" s="109" t="str">
        <f>IF(ISBLANK(K3012),IFERROR(VLOOKUP(I3012,FS_input_data!$C$458:$N$648,Export!J3012,FALSE),""),K3012)</f>
        <v/>
      </c>
      <c r="D3012" s="102"/>
      <c r="E3012" t="s">
        <v>1561</v>
      </c>
      <c r="F3012" s="102" t="s">
        <v>1836</v>
      </c>
      <c r="G3012" s="102" t="b">
        <f>VLOOKUP($I$3004,FS_input_data!$C$458:$N$648,Export!$J$3004,FALSE)=""</f>
        <v>0</v>
      </c>
      <c r="H3012" s="6" t="s">
        <v>2189</v>
      </c>
      <c r="I3012" t="s">
        <v>1561</v>
      </c>
      <c r="J3012" t="s">
        <v>1561</v>
      </c>
      <c r="L3012">
        <f t="shared" si="161"/>
        <v>1</v>
      </c>
    </row>
    <row r="3013" spans="1:12" x14ac:dyDescent="0.35">
      <c r="A3013" s="9">
        <f t="shared" si="162"/>
        <v>3012</v>
      </c>
      <c r="B3013" t="s">
        <v>749</v>
      </c>
      <c r="C3013" s="109">
        <f>IF(ISBLANK(K3013),IFERROR(VLOOKUP(I3013,FS_input_data!$C$458:$N$648,Export!J3013,FALSE),""),K3013)</f>
        <v>7500</v>
      </c>
      <c r="D3013" s="102" t="b">
        <v>0</v>
      </c>
      <c r="E3013" t="s">
        <v>1561</v>
      </c>
      <c r="F3013" s="102" t="s">
        <v>1836</v>
      </c>
      <c r="G3013" s="102" t="b">
        <f>VLOOKUP($I$3004,FS_input_data!$C$458:$N$648,Export!$J$3004,FALSE)=""</f>
        <v>0</v>
      </c>
      <c r="H3013" s="6" t="s">
        <v>2189</v>
      </c>
      <c r="I3013" t="s">
        <v>1836</v>
      </c>
      <c r="J3013">
        <v>9</v>
      </c>
      <c r="L3013" s="9" t="e">
        <f t="shared" si="161"/>
        <v>#VALUE!</v>
      </c>
    </row>
    <row r="3014" spans="1:12" x14ac:dyDescent="0.35">
      <c r="A3014">
        <f t="shared" si="162"/>
        <v>3013</v>
      </c>
      <c r="B3014" t="s">
        <v>750</v>
      </c>
      <c r="C3014" s="109" t="str">
        <f>IF(ISBLANK(K3014),IFERROR(VLOOKUP(I3014,FS_input_data!$C$458:$N$648,Export!J3014,FALSE),""),K3014)</f>
        <v/>
      </c>
      <c r="D3014" s="102"/>
      <c r="E3014" t="s">
        <v>1561</v>
      </c>
      <c r="F3014" s="102" t="s">
        <v>1836</v>
      </c>
      <c r="G3014" s="102" t="b">
        <f>VLOOKUP($I$3004,FS_input_data!$C$458:$N$648,Export!$J$3004,FALSE)=""</f>
        <v>0</v>
      </c>
      <c r="H3014" s="6" t="s">
        <v>2189</v>
      </c>
      <c r="I3014" t="s">
        <v>1561</v>
      </c>
      <c r="J3014" t="s">
        <v>1561</v>
      </c>
      <c r="L3014">
        <f t="shared" si="161"/>
        <v>1</v>
      </c>
    </row>
    <row r="3015" spans="1:12" x14ac:dyDescent="0.35">
      <c r="A3015">
        <f t="shared" si="162"/>
        <v>3014</v>
      </c>
      <c r="B3015" t="s">
        <v>751</v>
      </c>
      <c r="C3015" s="109" t="str">
        <f>IF(ISBLANK(K3015),IFERROR(VLOOKUP(I3015,FS_input_data!$C$458:$N$648,Export!J3015,FALSE),""),K3015)</f>
        <v/>
      </c>
      <c r="D3015" s="102"/>
      <c r="E3015" t="s">
        <v>1561</v>
      </c>
      <c r="F3015" s="102" t="s">
        <v>1836</v>
      </c>
      <c r="G3015" s="102" t="b">
        <f>VLOOKUP($I$3004,FS_input_data!$C$458:$N$648,Export!$J$3004,FALSE)=""</f>
        <v>0</v>
      </c>
      <c r="H3015" s="6" t="s">
        <v>2189</v>
      </c>
      <c r="I3015" t="s">
        <v>1561</v>
      </c>
      <c r="J3015" t="s">
        <v>1561</v>
      </c>
      <c r="L3015">
        <f t="shared" si="161"/>
        <v>1</v>
      </c>
    </row>
    <row r="3016" spans="1:12" x14ac:dyDescent="0.35">
      <c r="A3016">
        <f t="shared" si="162"/>
        <v>3015</v>
      </c>
      <c r="B3016" t="s">
        <v>754</v>
      </c>
      <c r="C3016" s="109" t="str">
        <f>IF(ISBLANK(K3016),IFERROR(VLOOKUP(I3016,FS_input_data!$C$458:$N$648,Export!J3016,FALSE),""),K3016)</f>
        <v/>
      </c>
      <c r="D3016" s="102"/>
      <c r="E3016" t="s">
        <v>1561</v>
      </c>
      <c r="F3016" s="102" t="s">
        <v>1836</v>
      </c>
      <c r="G3016" s="102" t="b">
        <f>VLOOKUP($I$3004,FS_input_data!$C$458:$N$648,Export!$J$3004,FALSE)=""</f>
        <v>0</v>
      </c>
      <c r="H3016" s="6" t="s">
        <v>2189</v>
      </c>
      <c r="I3016" t="s">
        <v>1561</v>
      </c>
      <c r="J3016" t="s">
        <v>1561</v>
      </c>
      <c r="L3016" s="9" t="e">
        <f t="shared" si="161"/>
        <v>#VALUE!</v>
      </c>
    </row>
    <row r="3017" spans="1:12" x14ac:dyDescent="0.35">
      <c r="A3017" s="9">
        <f t="shared" si="162"/>
        <v>3016</v>
      </c>
      <c r="B3017" t="s">
        <v>755</v>
      </c>
      <c r="C3017" s="109">
        <f>IF(ISBLANK(K3017),IFERROR(VLOOKUP(I3017,FS_input_data!$C$458:$N$648,Export!J3017,FALSE),""),K3017)</f>
        <v>15</v>
      </c>
      <c r="D3017" s="102" t="b">
        <v>1</v>
      </c>
      <c r="E3017" t="s">
        <v>1561</v>
      </c>
      <c r="F3017" s="102" t="s">
        <v>1836</v>
      </c>
      <c r="G3017" s="102" t="b">
        <f>VLOOKUP($I$3004,FS_input_data!$C$458:$N$648,Export!$J$3004,FALSE)=""</f>
        <v>0</v>
      </c>
      <c r="H3017" s="6" t="s">
        <v>2189</v>
      </c>
      <c r="I3017" t="s">
        <v>1836</v>
      </c>
      <c r="J3017">
        <v>2</v>
      </c>
      <c r="L3017" s="9" t="e">
        <f t="shared" si="161"/>
        <v>#VALUE!</v>
      </c>
    </row>
    <row r="3018" spans="1:12" x14ac:dyDescent="0.35">
      <c r="A3018">
        <f t="shared" si="162"/>
        <v>3017</v>
      </c>
      <c r="B3018" t="s">
        <v>756</v>
      </c>
      <c r="C3018" s="109" t="str">
        <f>IF(ISBLANK(K3018),IFERROR(VLOOKUP(I3018,FS_input_data!$C$458:$N$648,Export!J3018,FALSE),""),K3018)</f>
        <v/>
      </c>
      <c r="D3018" s="102"/>
      <c r="E3018" t="s">
        <v>1561</v>
      </c>
      <c r="F3018" s="102" t="s">
        <v>1836</v>
      </c>
      <c r="G3018" s="102" t="b">
        <f>VLOOKUP($I$3004,FS_input_data!$C$458:$N$648,Export!$J$3004,FALSE)=""</f>
        <v>0</v>
      </c>
      <c r="H3018" s="6" t="s">
        <v>2189</v>
      </c>
      <c r="I3018" t="s">
        <v>1561</v>
      </c>
      <c r="J3018" t="s">
        <v>1561</v>
      </c>
      <c r="L3018">
        <f t="shared" si="161"/>
        <v>1</v>
      </c>
    </row>
    <row r="3019" spans="1:12" x14ac:dyDescent="0.35">
      <c r="A3019" s="9">
        <f t="shared" si="162"/>
        <v>3018</v>
      </c>
      <c r="B3019" t="s">
        <v>757</v>
      </c>
      <c r="C3019" s="109">
        <f>IF(ISBLANK(K3019),IFERROR(VLOOKUP(I3019,FS_input_data!$C$458:$N$648,Export!J3019,FALSE),""),K3019)</f>
        <v>115</v>
      </c>
      <c r="D3019" s="102" t="b">
        <v>0</v>
      </c>
      <c r="E3019" t="s">
        <v>1561</v>
      </c>
      <c r="F3019" s="102" t="s">
        <v>1836</v>
      </c>
      <c r="G3019" s="102" t="b">
        <f>VLOOKUP($I$3004,FS_input_data!$C$458:$N$648,Export!$J$3004,FALSE)=""</f>
        <v>0</v>
      </c>
      <c r="H3019" s="6" t="s">
        <v>2189</v>
      </c>
      <c r="I3019" t="s">
        <v>1836</v>
      </c>
      <c r="J3019">
        <v>3</v>
      </c>
      <c r="L3019" s="9" t="e">
        <f t="shared" si="161"/>
        <v>#VALUE!</v>
      </c>
    </row>
    <row r="3020" spans="1:12" x14ac:dyDescent="0.35">
      <c r="A3020">
        <f t="shared" si="162"/>
        <v>3019</v>
      </c>
      <c r="B3020" t="s">
        <v>758</v>
      </c>
      <c r="C3020" s="109" t="str">
        <f>IF(ISBLANK(K3020),IFERROR(VLOOKUP(I3020,FS_input_data!$C$458:$N$648,Export!J3020,FALSE),""),K3020)</f>
        <v/>
      </c>
      <c r="D3020" s="102"/>
      <c r="E3020" t="s">
        <v>1561</v>
      </c>
      <c r="F3020" s="102" t="s">
        <v>1836</v>
      </c>
      <c r="G3020" s="102" t="b">
        <f>VLOOKUP($I$3004,FS_input_data!$C$458:$N$648,Export!$J$3004,FALSE)=""</f>
        <v>0</v>
      </c>
      <c r="H3020" s="6" t="s">
        <v>2189</v>
      </c>
      <c r="I3020" t="s">
        <v>1561</v>
      </c>
      <c r="J3020" t="s">
        <v>1561</v>
      </c>
      <c r="L3020">
        <f t="shared" si="161"/>
        <v>1</v>
      </c>
    </row>
    <row r="3021" spans="1:12" x14ac:dyDescent="0.35">
      <c r="A3021" s="9">
        <f t="shared" si="162"/>
        <v>3020</v>
      </c>
      <c r="B3021" t="s">
        <v>759</v>
      </c>
      <c r="C3021" s="109">
        <f>IF(ISBLANK(K3021),IFERROR(VLOOKUP(I3021,FS_input_data!$C$458:$N$648,Export!J3021,FALSE),""),K3021)</f>
        <v>215</v>
      </c>
      <c r="D3021" s="102" t="b">
        <v>0</v>
      </c>
      <c r="E3021" t="s">
        <v>1561</v>
      </c>
      <c r="F3021" s="102" t="s">
        <v>1836</v>
      </c>
      <c r="G3021" s="102" t="b">
        <f>VLOOKUP($I$3004,FS_input_data!$C$458:$N$648,Export!$J$3004,FALSE)=""</f>
        <v>0</v>
      </c>
      <c r="H3021" s="6" t="s">
        <v>2189</v>
      </c>
      <c r="I3021" t="s">
        <v>1836</v>
      </c>
      <c r="J3021">
        <v>4</v>
      </c>
      <c r="L3021" s="9" t="e">
        <f t="shared" si="161"/>
        <v>#VALUE!</v>
      </c>
    </row>
    <row r="3022" spans="1:12" x14ac:dyDescent="0.35">
      <c r="A3022">
        <f t="shared" si="162"/>
        <v>3021</v>
      </c>
      <c r="B3022" t="s">
        <v>760</v>
      </c>
      <c r="C3022" s="109" t="str">
        <f>IF(ISBLANK(K3022),IFERROR(VLOOKUP(I3022,FS_input_data!$C$458:$N$648,Export!J3022,FALSE),""),K3022)</f>
        <v/>
      </c>
      <c r="D3022" s="102"/>
      <c r="E3022" t="s">
        <v>1561</v>
      </c>
      <c r="F3022" s="102" t="s">
        <v>1836</v>
      </c>
      <c r="G3022" s="102" t="b">
        <f>VLOOKUP($I$3004,FS_input_data!$C$458:$N$648,Export!$J$3004,FALSE)=""</f>
        <v>0</v>
      </c>
      <c r="H3022" s="6" t="s">
        <v>2189</v>
      </c>
      <c r="I3022" t="s">
        <v>1561</v>
      </c>
      <c r="J3022" t="s">
        <v>1561</v>
      </c>
      <c r="L3022">
        <f t="shared" si="161"/>
        <v>1</v>
      </c>
    </row>
    <row r="3023" spans="1:12" x14ac:dyDescent="0.35">
      <c r="A3023" s="9">
        <f t="shared" si="162"/>
        <v>3022</v>
      </c>
      <c r="B3023" t="s">
        <v>761</v>
      </c>
      <c r="C3023" s="109" t="str">
        <f>IF(ISBLANK(K3023),IFERROR(VLOOKUP(I3023,FS_input_data!$C$458:$N$648,Export!J3023,FALSE),""),K3023)</f>
        <v>p</v>
      </c>
      <c r="D3023" s="102" t="b">
        <v>0</v>
      </c>
      <c r="E3023" t="s">
        <v>1561</v>
      </c>
      <c r="F3023" s="102" t="s">
        <v>1836</v>
      </c>
      <c r="G3023" s="102" t="b">
        <f>VLOOKUP($I$3004,FS_input_data!$C$458:$N$648,Export!$J$3004,FALSE)=""</f>
        <v>0</v>
      </c>
      <c r="H3023" s="6" t="s">
        <v>2189</v>
      </c>
      <c r="I3023" t="s">
        <v>1836</v>
      </c>
      <c r="J3023">
        <v>5</v>
      </c>
      <c r="L3023" s="9" t="e">
        <f t="shared" si="161"/>
        <v>#VALUE!</v>
      </c>
    </row>
    <row r="3024" spans="1:12" x14ac:dyDescent="0.35">
      <c r="A3024">
        <f t="shared" si="162"/>
        <v>3023</v>
      </c>
      <c r="B3024" t="s">
        <v>762</v>
      </c>
      <c r="C3024" s="109" t="str">
        <f>IF(ISBLANK(K3024),IFERROR(VLOOKUP(I3024,FS_input_data!$C$458:$N$648,Export!J3024,FALSE),""),K3024)</f>
        <v/>
      </c>
      <c r="D3024" s="102"/>
      <c r="E3024" t="s">
        <v>1561</v>
      </c>
      <c r="F3024" s="102" t="s">
        <v>1836</v>
      </c>
      <c r="G3024" s="102" t="b">
        <f>VLOOKUP($I$3004,FS_input_data!$C$458:$N$648,Export!$J$3004,FALSE)=""</f>
        <v>0</v>
      </c>
      <c r="H3024" s="6" t="s">
        <v>2189</v>
      </c>
      <c r="I3024" t="s">
        <v>1561</v>
      </c>
      <c r="J3024" t="s">
        <v>1561</v>
      </c>
      <c r="L3024">
        <f t="shared" si="161"/>
        <v>1</v>
      </c>
    </row>
    <row r="3025" spans="1:12" x14ac:dyDescent="0.35">
      <c r="A3025">
        <f t="shared" si="162"/>
        <v>3024</v>
      </c>
      <c r="B3025" t="s">
        <v>763</v>
      </c>
      <c r="C3025" s="109" t="str">
        <f>IF(ISBLANK(K3025),IFERROR(VLOOKUP(I3025,FS_input_data!$C$458:$N$648,Export!J3025,FALSE),""),K3025)</f>
        <v/>
      </c>
      <c r="D3025" s="102"/>
      <c r="E3025" t="s">
        <v>1561</v>
      </c>
      <c r="F3025" s="102" t="s">
        <v>1836</v>
      </c>
      <c r="G3025" s="102" t="b">
        <f>VLOOKUP($I$3004,FS_input_data!$C$458:$N$648,Export!$J$3004,FALSE)=""</f>
        <v>0</v>
      </c>
      <c r="H3025" s="6" t="s">
        <v>2189</v>
      </c>
      <c r="I3025" t="s">
        <v>1561</v>
      </c>
      <c r="J3025" t="s">
        <v>1561</v>
      </c>
      <c r="L3025">
        <f t="shared" si="161"/>
        <v>1</v>
      </c>
    </row>
    <row r="3026" spans="1:12" x14ac:dyDescent="0.35">
      <c r="A3026">
        <f t="shared" si="162"/>
        <v>3025</v>
      </c>
      <c r="B3026" t="s">
        <v>743</v>
      </c>
      <c r="C3026" s="109" t="str">
        <f>IF(ISBLANK(K3026),IFERROR(VLOOKUP(I3026,FS_input_data!$C$458:$N$648,Export!J3026,FALSE),""),K3026)</f>
        <v/>
      </c>
      <c r="D3026" s="102"/>
      <c r="E3026" t="s">
        <v>1561</v>
      </c>
      <c r="F3026" s="102" t="s">
        <v>1836</v>
      </c>
      <c r="G3026" s="102" t="b">
        <f>VLOOKUP($I$3004,FS_input_data!$C$458:$N$648,Export!$J$3004,FALSE)=""</f>
        <v>0</v>
      </c>
      <c r="H3026" s="6" t="s">
        <v>2189</v>
      </c>
      <c r="I3026" t="s">
        <v>1561</v>
      </c>
      <c r="J3026" t="s">
        <v>1561</v>
      </c>
      <c r="L3026">
        <f t="shared" si="161"/>
        <v>1</v>
      </c>
    </row>
    <row r="3027" spans="1:12" x14ac:dyDescent="0.35">
      <c r="A3027">
        <f t="shared" si="162"/>
        <v>3026</v>
      </c>
      <c r="B3027" t="s">
        <v>744</v>
      </c>
      <c r="C3027" s="109" t="str">
        <f>IF(ISBLANK(K3027),IFERROR(VLOOKUP(I3027,FS_input_data!$C$458:$N$648,Export!J3027,FALSE),""),K3027)</f>
        <v/>
      </c>
      <c r="D3027" s="102"/>
      <c r="E3027" t="s">
        <v>1561</v>
      </c>
      <c r="F3027" s="102" t="s">
        <v>1836</v>
      </c>
      <c r="G3027" s="102" t="b">
        <f>IF(RP_tax,TRUE,VLOOKUP($I$3004,FS_input_data!$C$458:$N$648,Export!$J$3004,FALSE)="")</f>
        <v>1</v>
      </c>
      <c r="H3027" s="6" t="s">
        <v>2189</v>
      </c>
      <c r="I3027" t="s">
        <v>1561</v>
      </c>
      <c r="J3027" t="s">
        <v>1561</v>
      </c>
      <c r="L3027" s="9" t="e">
        <f t="shared" si="161"/>
        <v>#VALUE!</v>
      </c>
    </row>
    <row r="3028" spans="1:12" x14ac:dyDescent="0.35">
      <c r="A3028" s="9">
        <f t="shared" si="162"/>
        <v>3027</v>
      </c>
      <c r="B3028" t="s">
        <v>109</v>
      </c>
      <c r="C3028" s="109">
        <f>IF(ISBLANK(K3028),IFERROR(VLOOKUP(I3028,FS_input_data!$C$458:$N$648,Export!J3028,FALSE),""),K3028)</f>
        <v>15000</v>
      </c>
      <c r="D3028" s="102" t="b">
        <v>0</v>
      </c>
      <c r="E3028" t="s">
        <v>1561</v>
      </c>
      <c r="F3028" s="102" t="s">
        <v>1836</v>
      </c>
      <c r="G3028" s="102" t="b">
        <f>IF(RP_tax,TRUE,VLOOKUP($I$3004,FS_input_data!$C$458:$N$648,Export!$J$3004,FALSE)="")</f>
        <v>1</v>
      </c>
      <c r="H3028" s="6" t="s">
        <v>2189</v>
      </c>
      <c r="I3028" t="s">
        <v>1836</v>
      </c>
      <c r="J3028">
        <v>10</v>
      </c>
      <c r="L3028" s="9" t="e">
        <f t="shared" si="161"/>
        <v>#VALUE!</v>
      </c>
    </row>
    <row r="3029" spans="1:12" x14ac:dyDescent="0.35">
      <c r="A3029">
        <f t="shared" si="162"/>
        <v>3028</v>
      </c>
      <c r="B3029" t="s">
        <v>110</v>
      </c>
      <c r="C3029" s="109" t="str">
        <f>IF(ISBLANK(K3029),IFERROR(VLOOKUP(I3029,FS_input_data!$C$458:$N$648,Export!J3029,FALSE),""),K3029)</f>
        <v/>
      </c>
      <c r="D3029" s="102"/>
      <c r="E3029" t="s">
        <v>1561</v>
      </c>
      <c r="F3029" s="102" t="s">
        <v>1836</v>
      </c>
      <c r="G3029" s="102" t="b">
        <f>IF(RP_tax,TRUE,VLOOKUP($I$3004,FS_input_data!$C$458:$N$648,Export!$J$3004,FALSE)="")</f>
        <v>1</v>
      </c>
      <c r="H3029" s="6" t="s">
        <v>2189</v>
      </c>
      <c r="I3029" t="s">
        <v>1561</v>
      </c>
      <c r="J3029" t="s">
        <v>1561</v>
      </c>
      <c r="L3029">
        <f t="shared" si="161"/>
        <v>1</v>
      </c>
    </row>
    <row r="3030" spans="1:12" x14ac:dyDescent="0.35">
      <c r="A3030" s="9">
        <f t="shared" si="162"/>
        <v>3029</v>
      </c>
      <c r="B3030" t="s">
        <v>111</v>
      </c>
      <c r="C3030" s="109">
        <f>IF(ISBLANK(K3030),IFERROR(VLOOKUP(I3030,FS_input_data!$C$458:$N$648,Export!J3030,FALSE),""),K3030)</f>
        <v>7500</v>
      </c>
      <c r="D3030" s="102" t="b">
        <v>0</v>
      </c>
      <c r="E3030" t="s">
        <v>1561</v>
      </c>
      <c r="F3030" s="102" t="s">
        <v>1836</v>
      </c>
      <c r="G3030" s="102" t="b">
        <f>IF(RP_tax,TRUE,VLOOKUP($I$3004,FS_input_data!$C$458:$N$648,Export!$J$3004,FALSE)="")</f>
        <v>1</v>
      </c>
      <c r="H3030" s="6" t="s">
        <v>2189</v>
      </c>
      <c r="I3030" t="s">
        <v>1836</v>
      </c>
      <c r="J3030">
        <v>11</v>
      </c>
      <c r="L3030" s="9" t="e">
        <f t="shared" si="161"/>
        <v>#VALUE!</v>
      </c>
    </row>
    <row r="3031" spans="1:12" x14ac:dyDescent="0.35">
      <c r="A3031">
        <f t="shared" si="162"/>
        <v>3030</v>
      </c>
      <c r="B3031" t="s">
        <v>112</v>
      </c>
      <c r="C3031" s="109" t="str">
        <f>IF(ISBLANK(K3031),IFERROR(VLOOKUP(I3031,FS_input_data!$C$458:$N$648,Export!J3031,FALSE),""),K3031)</f>
        <v/>
      </c>
      <c r="D3031" s="102"/>
      <c r="E3031" t="s">
        <v>1561</v>
      </c>
      <c r="F3031" s="102" t="s">
        <v>1836</v>
      </c>
      <c r="G3031" s="102" t="b">
        <f>IF(RP_tax,TRUE,VLOOKUP($I$3004,FS_input_data!$C$458:$N$648,Export!$J$3004,FALSE)="")</f>
        <v>1</v>
      </c>
      <c r="H3031" s="6" t="s">
        <v>2189</v>
      </c>
      <c r="I3031" t="s">
        <v>1561</v>
      </c>
      <c r="J3031" t="s">
        <v>1561</v>
      </c>
      <c r="L3031">
        <f t="shared" si="161"/>
        <v>1</v>
      </c>
    </row>
    <row r="3032" spans="1:12" x14ac:dyDescent="0.35">
      <c r="A3032" s="9">
        <f t="shared" si="162"/>
        <v>3031</v>
      </c>
      <c r="B3032" t="s">
        <v>749</v>
      </c>
      <c r="C3032" s="109">
        <f>IF(ISBLANK(K3032),IFERROR(VLOOKUP(I3032,FS_input_data!$C$458:$N$648,Export!J3032,FALSE),""),K3032)</f>
        <v>7500</v>
      </c>
      <c r="D3032" s="102" t="b">
        <v>0</v>
      </c>
      <c r="E3032" t="s">
        <v>1561</v>
      </c>
      <c r="F3032" s="102" t="s">
        <v>1836</v>
      </c>
      <c r="G3032" s="102" t="b">
        <f>IF(RP_tax,TRUE,VLOOKUP($I$3004,FS_input_data!$C$458:$N$648,Export!$J$3004,FALSE)="")</f>
        <v>1</v>
      </c>
      <c r="H3032" s="6" t="s">
        <v>2189</v>
      </c>
      <c r="I3032" t="s">
        <v>1836</v>
      </c>
      <c r="J3032">
        <v>12</v>
      </c>
      <c r="L3032" s="9" t="e">
        <f t="shared" si="161"/>
        <v>#VALUE!</v>
      </c>
    </row>
    <row r="3033" spans="1:12" x14ac:dyDescent="0.35">
      <c r="A3033">
        <f t="shared" si="162"/>
        <v>3032</v>
      </c>
      <c r="B3033" t="s">
        <v>750</v>
      </c>
      <c r="C3033" s="109" t="str">
        <f>IF(ISBLANK(K3033),IFERROR(VLOOKUP(I3033,FS_input_data!$C$458:$N$648,Export!J3033,FALSE),""),K3033)</f>
        <v/>
      </c>
      <c r="D3033" s="102"/>
      <c r="E3033" t="s">
        <v>1561</v>
      </c>
      <c r="F3033" s="102" t="s">
        <v>1836</v>
      </c>
      <c r="G3033" s="102" t="b">
        <f>IF(RP_tax,TRUE,VLOOKUP($I$3004,FS_input_data!$C$458:$N$648,Export!$J$3004,FALSE)="")</f>
        <v>1</v>
      </c>
      <c r="H3033" s="6" t="s">
        <v>2189</v>
      </c>
      <c r="I3033" t="s">
        <v>1561</v>
      </c>
      <c r="J3033" t="s">
        <v>1561</v>
      </c>
      <c r="L3033">
        <f t="shared" si="161"/>
        <v>1</v>
      </c>
    </row>
    <row r="3034" spans="1:12" x14ac:dyDescent="0.35">
      <c r="A3034">
        <f t="shared" si="162"/>
        <v>3033</v>
      </c>
      <c r="B3034" t="s">
        <v>745</v>
      </c>
      <c r="C3034" s="109" t="str">
        <f>IF(ISBLANK(K3034),IFERROR(VLOOKUP(I3034,FS_input_data!$C$458:$N$648,Export!J3034,FALSE),""),K3034)</f>
        <v/>
      </c>
      <c r="D3034" s="102"/>
      <c r="E3034" t="s">
        <v>1561</v>
      </c>
      <c r="F3034" s="102" t="s">
        <v>1836</v>
      </c>
      <c r="G3034" s="102" t="b">
        <f>IF(RP_tax,TRUE,VLOOKUP($I$3004,FS_input_data!$C$458:$N$648,Export!$J$3004,FALSE)="")</f>
        <v>1</v>
      </c>
      <c r="H3034" s="6" t="s">
        <v>2189</v>
      </c>
      <c r="I3034" t="s">
        <v>1561</v>
      </c>
      <c r="J3034" t="s">
        <v>1561</v>
      </c>
      <c r="L3034">
        <f t="shared" si="161"/>
        <v>1</v>
      </c>
    </row>
    <row r="3035" spans="1:12" x14ac:dyDescent="0.35">
      <c r="A3035">
        <f t="shared" si="162"/>
        <v>3034</v>
      </c>
      <c r="B3035" t="s">
        <v>764</v>
      </c>
      <c r="C3035" s="109" t="str">
        <f>IF(ISBLANK(K3035),IFERROR(VLOOKUP(I3035,FS_input_data!$C$458:$N$648,Export!J3035,FALSE),""),K3035)</f>
        <v/>
      </c>
      <c r="D3035" s="102"/>
      <c r="E3035" t="s">
        <v>1561</v>
      </c>
      <c r="F3035" s="102" t="s">
        <v>1836</v>
      </c>
      <c r="G3035" s="102" t="b">
        <f>VLOOKUP($I$3004,FS_input_data!$C$458:$N$648,Export!$J$3004,FALSE)=""</f>
        <v>0</v>
      </c>
      <c r="H3035" s="6" t="s">
        <v>2189</v>
      </c>
      <c r="I3035" t="s">
        <v>1561</v>
      </c>
      <c r="J3035" t="s">
        <v>1561</v>
      </c>
      <c r="L3035">
        <f t="shared" si="161"/>
        <v>1</v>
      </c>
    </row>
    <row r="3036" spans="1:12" x14ac:dyDescent="0.35">
      <c r="A3036">
        <f t="shared" si="162"/>
        <v>3035</v>
      </c>
      <c r="B3036" t="s">
        <v>765</v>
      </c>
      <c r="C3036" s="109" t="str">
        <f>IF(ISBLANK(K3036),IFERROR(VLOOKUP(I3036,FS_input_data!$C$458:$N$648,Export!J3036,FALSE),""),K3036)</f>
        <v/>
      </c>
      <c r="D3036" s="102"/>
      <c r="E3036" t="s">
        <v>1561</v>
      </c>
      <c r="F3036" s="102" t="s">
        <v>1836</v>
      </c>
      <c r="G3036" s="102" t="b">
        <f>VLOOKUP($I$3004,FS_input_data!$C$458:$N$648,Export!$J$3004,FALSE)=""</f>
        <v>0</v>
      </c>
      <c r="H3036" s="6" t="s">
        <v>2189</v>
      </c>
      <c r="I3036" t="s">
        <v>1561</v>
      </c>
      <c r="J3036" t="s">
        <v>1561</v>
      </c>
      <c r="L3036">
        <f t="shared" si="161"/>
        <v>1</v>
      </c>
    </row>
    <row r="3037" spans="1:12" x14ac:dyDescent="0.35">
      <c r="A3037">
        <f t="shared" si="162"/>
        <v>3036</v>
      </c>
      <c r="B3037" t="s">
        <v>752</v>
      </c>
      <c r="C3037" s="109" t="str">
        <f>IF(ISBLANK(K3037),IFERROR(VLOOKUP(I3037,FS_input_data!$C$458:$N$648,Export!J3037,FALSE),""),K3037)</f>
        <v/>
      </c>
      <c r="D3037" s="105"/>
      <c r="E3037" t="s">
        <v>1561</v>
      </c>
      <c r="F3037" s="105" t="s">
        <v>1839</v>
      </c>
      <c r="G3037" s="105" t="b">
        <f>VLOOKUP($I$3038,FS_input_data!$C$458:$N$648,Export!$J$3038,FALSE)=""</f>
        <v>0</v>
      </c>
      <c r="H3037" s="6" t="s">
        <v>2189</v>
      </c>
      <c r="I3037" t="s">
        <v>1561</v>
      </c>
      <c r="J3037" t="s">
        <v>1561</v>
      </c>
      <c r="L3037" s="9" t="e">
        <f t="shared" si="161"/>
        <v>#VALUE!</v>
      </c>
    </row>
    <row r="3038" spans="1:12" x14ac:dyDescent="0.35">
      <c r="A3038" s="9">
        <f t="shared" si="162"/>
        <v>3037</v>
      </c>
      <c r="B3038" t="s">
        <v>101</v>
      </c>
      <c r="C3038" s="109" t="str">
        <f>IF(ISBLANK(K3038),IFERROR(VLOOKUP(I3038,FS_input_data!$C$458:$N$648,Export!J3038,FALSE),""),K3038)</f>
        <v>OB16</v>
      </c>
      <c r="D3038" s="105" t="b">
        <v>1</v>
      </c>
      <c r="E3038" t="s">
        <v>1561</v>
      </c>
      <c r="F3038" s="105" t="s">
        <v>1839</v>
      </c>
      <c r="G3038" s="105" t="b">
        <f>VLOOKUP($I$3038,FS_input_data!$C$458:$N$648,Export!$J$3038,FALSE)=""</f>
        <v>0</v>
      </c>
      <c r="H3038" s="6" t="s">
        <v>2189</v>
      </c>
      <c r="I3038" t="s">
        <v>1839</v>
      </c>
      <c r="J3038">
        <v>6</v>
      </c>
      <c r="L3038" s="9" t="e">
        <f t="shared" si="161"/>
        <v>#VALUE!</v>
      </c>
    </row>
    <row r="3039" spans="1:12" x14ac:dyDescent="0.35">
      <c r="A3039">
        <f t="shared" si="162"/>
        <v>3038</v>
      </c>
      <c r="B3039" t="s">
        <v>102</v>
      </c>
      <c r="C3039" s="109" t="str">
        <f>IF(ISBLANK(K3039),IFERROR(VLOOKUP(I3039,FS_input_data!$C$458:$N$648,Export!J3039,FALSE),""),K3039)</f>
        <v/>
      </c>
      <c r="D3039" s="105"/>
      <c r="E3039" t="s">
        <v>1561</v>
      </c>
      <c r="F3039" s="105" t="s">
        <v>1839</v>
      </c>
      <c r="G3039" s="105" t="b">
        <f>VLOOKUP($I$3038,FS_input_data!$C$458:$N$648,Export!$J$3038,FALSE)=""</f>
        <v>0</v>
      </c>
      <c r="H3039" s="6" t="s">
        <v>2189</v>
      </c>
      <c r="I3039" t="s">
        <v>1561</v>
      </c>
      <c r="J3039" t="s">
        <v>1561</v>
      </c>
      <c r="L3039">
        <f t="shared" si="161"/>
        <v>1</v>
      </c>
    </row>
    <row r="3040" spans="1:12" x14ac:dyDescent="0.35">
      <c r="A3040">
        <f t="shared" si="162"/>
        <v>3039</v>
      </c>
      <c r="B3040" t="s">
        <v>753</v>
      </c>
      <c r="C3040" s="109" t="str">
        <f>IF(ISBLANK(K3040),IFERROR(VLOOKUP(I3040,FS_input_data!$C$458:$N$648,Export!J3040,FALSE),""),K3040)</f>
        <v/>
      </c>
      <c r="D3040" s="105"/>
      <c r="E3040" t="s">
        <v>1561</v>
      </c>
      <c r="F3040" s="105" t="s">
        <v>1839</v>
      </c>
      <c r="G3040" s="105" t="b">
        <f>VLOOKUP($I$3038,FS_input_data!$C$458:$N$648,Export!$J$3038,FALSE)=""</f>
        <v>0</v>
      </c>
      <c r="H3040" s="6" t="s">
        <v>2189</v>
      </c>
      <c r="I3040" t="s">
        <v>1561</v>
      </c>
      <c r="J3040" t="s">
        <v>1561</v>
      </c>
      <c r="L3040" s="9" t="e">
        <f t="shared" si="161"/>
        <v>#VALUE!</v>
      </c>
    </row>
    <row r="3041" spans="1:12" x14ac:dyDescent="0.35">
      <c r="A3041">
        <f t="shared" si="162"/>
        <v>3040</v>
      </c>
      <c r="B3041" t="s">
        <v>742</v>
      </c>
      <c r="C3041" s="109" t="str">
        <f>IF(ISBLANK(K3041),IFERROR(VLOOKUP(I3041,FS_input_data!$C$458:$N$648,Export!J3041,FALSE),""),K3041)</f>
        <v/>
      </c>
      <c r="D3041" s="105"/>
      <c r="E3041" t="s">
        <v>1561</v>
      </c>
      <c r="F3041" s="105" t="s">
        <v>1839</v>
      </c>
      <c r="G3041" s="105" t="b">
        <f>VLOOKUP($I$3038,FS_input_data!$C$458:$N$648,Export!$J$3038,FALSE)=""</f>
        <v>0</v>
      </c>
      <c r="H3041" s="6" t="s">
        <v>2189</v>
      </c>
      <c r="I3041" t="s">
        <v>1561</v>
      </c>
      <c r="J3041" t="s">
        <v>1561</v>
      </c>
      <c r="L3041" s="9" t="e">
        <f t="shared" si="161"/>
        <v>#VALUE!</v>
      </c>
    </row>
    <row r="3042" spans="1:12" x14ac:dyDescent="0.35">
      <c r="A3042">
        <f t="shared" si="162"/>
        <v>3041</v>
      </c>
      <c r="B3042" t="s">
        <v>748</v>
      </c>
      <c r="C3042" s="109" t="str">
        <f>IF(ISBLANK(K3042),IFERROR(VLOOKUP(I3042,FS_input_data!$C$458:$N$648,Export!J3042,FALSE),""),K3042)</f>
        <v/>
      </c>
      <c r="D3042" s="105"/>
      <c r="E3042" t="s">
        <v>1561</v>
      </c>
      <c r="F3042" s="105" t="s">
        <v>1839</v>
      </c>
      <c r="G3042" s="105" t="b">
        <f>VLOOKUP($I$3038,FS_input_data!$C$458:$N$648,Export!$J$3038,FALSE)=""</f>
        <v>0</v>
      </c>
      <c r="H3042" s="6" t="s">
        <v>2189</v>
      </c>
      <c r="I3042" t="s">
        <v>1561</v>
      </c>
      <c r="J3042" t="s">
        <v>1561</v>
      </c>
      <c r="L3042" s="9" t="e">
        <f t="shared" si="161"/>
        <v>#VALUE!</v>
      </c>
    </row>
    <row r="3043" spans="1:12" x14ac:dyDescent="0.35">
      <c r="A3043" s="9">
        <f t="shared" si="162"/>
        <v>3042</v>
      </c>
      <c r="B3043" t="s">
        <v>109</v>
      </c>
      <c r="C3043" s="109">
        <f>IF(ISBLANK(K3043),IFERROR(VLOOKUP(I3043,FS_input_data!$C$458:$N$648,Export!J3043,FALSE),""),K3043)</f>
        <v>16000</v>
      </c>
      <c r="D3043" s="105" t="b">
        <v>1</v>
      </c>
      <c r="E3043" t="s">
        <v>1561</v>
      </c>
      <c r="F3043" s="105" t="s">
        <v>1839</v>
      </c>
      <c r="G3043" s="105" t="b">
        <f>VLOOKUP($I$3038,FS_input_data!$C$458:$N$648,Export!$J$3038,FALSE)=""</f>
        <v>0</v>
      </c>
      <c r="H3043" s="6" t="s">
        <v>2189</v>
      </c>
      <c r="I3043" t="s">
        <v>1839</v>
      </c>
      <c r="J3043">
        <v>7</v>
      </c>
      <c r="L3043" s="9" t="e">
        <f t="shared" si="161"/>
        <v>#VALUE!</v>
      </c>
    </row>
    <row r="3044" spans="1:12" x14ac:dyDescent="0.35">
      <c r="A3044">
        <f t="shared" si="162"/>
        <v>3043</v>
      </c>
      <c r="B3044" t="s">
        <v>110</v>
      </c>
      <c r="C3044" s="109" t="str">
        <f>IF(ISBLANK(K3044),IFERROR(VLOOKUP(I3044,FS_input_data!$C$458:$N$648,Export!J3044,FALSE),""),K3044)</f>
        <v/>
      </c>
      <c r="D3044" s="105"/>
      <c r="E3044" t="s">
        <v>1561</v>
      </c>
      <c r="F3044" s="105" t="s">
        <v>1839</v>
      </c>
      <c r="G3044" s="105" t="b">
        <f>VLOOKUP($I$3038,FS_input_data!$C$458:$N$648,Export!$J$3038,FALSE)=""</f>
        <v>0</v>
      </c>
      <c r="H3044" s="6" t="s">
        <v>2189</v>
      </c>
      <c r="I3044" t="s">
        <v>1561</v>
      </c>
      <c r="J3044" t="s">
        <v>1561</v>
      </c>
      <c r="L3044">
        <f t="shared" si="161"/>
        <v>1</v>
      </c>
    </row>
    <row r="3045" spans="1:12" x14ac:dyDescent="0.35">
      <c r="A3045" s="9">
        <f t="shared" si="162"/>
        <v>3044</v>
      </c>
      <c r="B3045" t="s">
        <v>111</v>
      </c>
      <c r="C3045" s="109">
        <f>IF(ISBLANK(K3045),IFERROR(VLOOKUP(I3045,FS_input_data!$C$458:$N$648,Export!J3045,FALSE),""),K3045)</f>
        <v>8000</v>
      </c>
      <c r="D3045" s="105" t="b">
        <v>0</v>
      </c>
      <c r="E3045" t="s">
        <v>1561</v>
      </c>
      <c r="F3045" s="105" t="s">
        <v>1839</v>
      </c>
      <c r="G3045" s="105" t="b">
        <f>VLOOKUP($I$3038,FS_input_data!$C$458:$N$648,Export!$J$3038,FALSE)=""</f>
        <v>0</v>
      </c>
      <c r="H3045" s="6" t="s">
        <v>2189</v>
      </c>
      <c r="I3045" t="s">
        <v>1839</v>
      </c>
      <c r="J3045">
        <v>8</v>
      </c>
      <c r="L3045" s="9" t="e">
        <f t="shared" si="161"/>
        <v>#VALUE!</v>
      </c>
    </row>
    <row r="3046" spans="1:12" x14ac:dyDescent="0.35">
      <c r="A3046">
        <f t="shared" si="162"/>
        <v>3045</v>
      </c>
      <c r="B3046" t="s">
        <v>112</v>
      </c>
      <c r="C3046" s="109" t="str">
        <f>IF(ISBLANK(K3046),IFERROR(VLOOKUP(I3046,FS_input_data!$C$458:$N$648,Export!J3046,FALSE),""),K3046)</f>
        <v/>
      </c>
      <c r="D3046" s="105"/>
      <c r="E3046" t="s">
        <v>1561</v>
      </c>
      <c r="F3046" s="105" t="s">
        <v>1839</v>
      </c>
      <c r="G3046" s="105" t="b">
        <f>VLOOKUP($I$3038,FS_input_data!$C$458:$N$648,Export!$J$3038,FALSE)=""</f>
        <v>0</v>
      </c>
      <c r="H3046" s="6" t="s">
        <v>2189</v>
      </c>
      <c r="I3046" t="s">
        <v>1561</v>
      </c>
      <c r="J3046" t="s">
        <v>1561</v>
      </c>
      <c r="L3046">
        <f t="shared" si="161"/>
        <v>1</v>
      </c>
    </row>
    <row r="3047" spans="1:12" x14ac:dyDescent="0.35">
      <c r="A3047" s="9">
        <f t="shared" si="162"/>
        <v>3046</v>
      </c>
      <c r="B3047" t="s">
        <v>749</v>
      </c>
      <c r="C3047" s="109">
        <f>IF(ISBLANK(K3047),IFERROR(VLOOKUP(I3047,FS_input_data!$C$458:$N$648,Export!J3047,FALSE),""),K3047)</f>
        <v>8000</v>
      </c>
      <c r="D3047" s="105" t="b">
        <v>0</v>
      </c>
      <c r="E3047" t="s">
        <v>1561</v>
      </c>
      <c r="F3047" s="105" t="s">
        <v>1839</v>
      </c>
      <c r="G3047" s="105" t="b">
        <f>VLOOKUP($I$3038,FS_input_data!$C$458:$N$648,Export!$J$3038,FALSE)=""</f>
        <v>0</v>
      </c>
      <c r="H3047" s="6" t="s">
        <v>2189</v>
      </c>
      <c r="I3047" t="s">
        <v>1839</v>
      </c>
      <c r="J3047">
        <v>9</v>
      </c>
      <c r="L3047" s="9" t="e">
        <f t="shared" si="161"/>
        <v>#VALUE!</v>
      </c>
    </row>
    <row r="3048" spans="1:12" x14ac:dyDescent="0.35">
      <c r="A3048">
        <f t="shared" si="162"/>
        <v>3047</v>
      </c>
      <c r="B3048" t="s">
        <v>750</v>
      </c>
      <c r="C3048" s="109" t="str">
        <f>IF(ISBLANK(K3048),IFERROR(VLOOKUP(I3048,FS_input_data!$C$458:$N$648,Export!J3048,FALSE),""),K3048)</f>
        <v/>
      </c>
      <c r="D3048" s="105"/>
      <c r="E3048" t="s">
        <v>1561</v>
      </c>
      <c r="F3048" s="105" t="s">
        <v>1839</v>
      </c>
      <c r="G3048" s="105" t="b">
        <f>VLOOKUP($I$3038,FS_input_data!$C$458:$N$648,Export!$J$3038,FALSE)=""</f>
        <v>0</v>
      </c>
      <c r="H3048" s="6" t="s">
        <v>2189</v>
      </c>
      <c r="I3048" t="s">
        <v>1561</v>
      </c>
      <c r="J3048" t="s">
        <v>1561</v>
      </c>
      <c r="L3048">
        <f t="shared" si="161"/>
        <v>1</v>
      </c>
    </row>
    <row r="3049" spans="1:12" x14ac:dyDescent="0.35">
      <c r="A3049">
        <f t="shared" si="162"/>
        <v>3048</v>
      </c>
      <c r="B3049" t="s">
        <v>751</v>
      </c>
      <c r="C3049" s="109" t="str">
        <f>IF(ISBLANK(K3049),IFERROR(VLOOKUP(I3049,FS_input_data!$C$458:$N$648,Export!J3049,FALSE),""),K3049)</f>
        <v/>
      </c>
      <c r="D3049" s="105"/>
      <c r="E3049" t="s">
        <v>1561</v>
      </c>
      <c r="F3049" s="105" t="s">
        <v>1839</v>
      </c>
      <c r="G3049" s="105" t="b">
        <f>VLOOKUP($I$3038,FS_input_data!$C$458:$N$648,Export!$J$3038,FALSE)=""</f>
        <v>0</v>
      </c>
      <c r="H3049" s="6" t="s">
        <v>2189</v>
      </c>
      <c r="I3049" t="s">
        <v>1561</v>
      </c>
      <c r="J3049" t="s">
        <v>1561</v>
      </c>
      <c r="L3049">
        <f t="shared" si="161"/>
        <v>1</v>
      </c>
    </row>
    <row r="3050" spans="1:12" x14ac:dyDescent="0.35">
      <c r="A3050">
        <f t="shared" si="162"/>
        <v>3049</v>
      </c>
      <c r="B3050" t="s">
        <v>754</v>
      </c>
      <c r="C3050" s="109" t="str">
        <f>IF(ISBLANK(K3050),IFERROR(VLOOKUP(I3050,FS_input_data!$C$458:$N$648,Export!J3050,FALSE),""),K3050)</f>
        <v/>
      </c>
      <c r="D3050" s="105"/>
      <c r="E3050" t="s">
        <v>1561</v>
      </c>
      <c r="F3050" s="105" t="s">
        <v>1839</v>
      </c>
      <c r="G3050" s="105" t="b">
        <f>VLOOKUP($I$3038,FS_input_data!$C$458:$N$648,Export!$J$3038,FALSE)=""</f>
        <v>0</v>
      </c>
      <c r="H3050" s="6" t="s">
        <v>2189</v>
      </c>
      <c r="I3050" t="s">
        <v>1561</v>
      </c>
      <c r="J3050" t="s">
        <v>1561</v>
      </c>
      <c r="L3050" s="9" t="e">
        <f t="shared" si="161"/>
        <v>#VALUE!</v>
      </c>
    </row>
    <row r="3051" spans="1:12" x14ac:dyDescent="0.35">
      <c r="A3051" s="9">
        <f t="shared" si="162"/>
        <v>3050</v>
      </c>
      <c r="B3051" t="s">
        <v>755</v>
      </c>
      <c r="C3051" s="109">
        <f>IF(ISBLANK(K3051),IFERROR(VLOOKUP(I3051,FS_input_data!$C$458:$N$648,Export!J3051,FALSE),""),K3051)</f>
        <v>16</v>
      </c>
      <c r="D3051" s="105" t="b">
        <v>1</v>
      </c>
      <c r="E3051" t="s">
        <v>1561</v>
      </c>
      <c r="F3051" s="105" t="s">
        <v>1839</v>
      </c>
      <c r="G3051" s="105" t="b">
        <f>VLOOKUP($I$3038,FS_input_data!$C$458:$N$648,Export!$J$3038,FALSE)=""</f>
        <v>0</v>
      </c>
      <c r="H3051" s="6" t="s">
        <v>2189</v>
      </c>
      <c r="I3051" t="s">
        <v>1839</v>
      </c>
      <c r="J3051">
        <v>2</v>
      </c>
      <c r="L3051" s="9" t="e">
        <f t="shared" si="161"/>
        <v>#VALUE!</v>
      </c>
    </row>
    <row r="3052" spans="1:12" x14ac:dyDescent="0.35">
      <c r="A3052">
        <f t="shared" si="162"/>
        <v>3051</v>
      </c>
      <c r="B3052" t="s">
        <v>756</v>
      </c>
      <c r="C3052" s="109" t="str">
        <f>IF(ISBLANK(K3052),IFERROR(VLOOKUP(I3052,FS_input_data!$C$458:$N$648,Export!J3052,FALSE),""),K3052)</f>
        <v/>
      </c>
      <c r="D3052" s="105"/>
      <c r="E3052" t="s">
        <v>1561</v>
      </c>
      <c r="F3052" s="105" t="s">
        <v>1839</v>
      </c>
      <c r="G3052" s="105" t="b">
        <f>VLOOKUP($I$3038,FS_input_data!$C$458:$N$648,Export!$J$3038,FALSE)=""</f>
        <v>0</v>
      </c>
      <c r="H3052" s="6" t="s">
        <v>2189</v>
      </c>
      <c r="I3052" t="s">
        <v>1561</v>
      </c>
      <c r="J3052" t="s">
        <v>1561</v>
      </c>
      <c r="L3052">
        <f t="shared" si="161"/>
        <v>1</v>
      </c>
    </row>
    <row r="3053" spans="1:12" x14ac:dyDescent="0.35">
      <c r="A3053" s="9">
        <f t="shared" si="162"/>
        <v>3052</v>
      </c>
      <c r="B3053" t="s">
        <v>757</v>
      </c>
      <c r="C3053" s="109">
        <f>IF(ISBLANK(K3053),IFERROR(VLOOKUP(I3053,FS_input_data!$C$458:$N$648,Export!J3053,FALSE),""),K3053)</f>
        <v>116</v>
      </c>
      <c r="D3053" s="105" t="b">
        <v>0</v>
      </c>
      <c r="E3053" t="s">
        <v>1561</v>
      </c>
      <c r="F3053" s="105" t="s">
        <v>1839</v>
      </c>
      <c r="G3053" s="105" t="b">
        <f>VLOOKUP($I$3038,FS_input_data!$C$458:$N$648,Export!$J$3038,FALSE)=""</f>
        <v>0</v>
      </c>
      <c r="H3053" s="6" t="s">
        <v>2189</v>
      </c>
      <c r="I3053" t="s">
        <v>1839</v>
      </c>
      <c r="J3053">
        <v>3</v>
      </c>
      <c r="L3053" s="9" t="e">
        <f t="shared" si="161"/>
        <v>#VALUE!</v>
      </c>
    </row>
    <row r="3054" spans="1:12" x14ac:dyDescent="0.35">
      <c r="A3054">
        <f t="shared" si="162"/>
        <v>3053</v>
      </c>
      <c r="B3054" t="s">
        <v>758</v>
      </c>
      <c r="C3054" s="109" t="str">
        <f>IF(ISBLANK(K3054),IFERROR(VLOOKUP(I3054,FS_input_data!$C$458:$N$648,Export!J3054,FALSE),""),K3054)</f>
        <v/>
      </c>
      <c r="D3054" s="105"/>
      <c r="E3054" t="s">
        <v>1561</v>
      </c>
      <c r="F3054" s="105" t="s">
        <v>1839</v>
      </c>
      <c r="G3054" s="105" t="b">
        <f>VLOOKUP($I$3038,FS_input_data!$C$458:$N$648,Export!$J$3038,FALSE)=""</f>
        <v>0</v>
      </c>
      <c r="H3054" s="6" t="s">
        <v>2189</v>
      </c>
      <c r="I3054" t="s">
        <v>1561</v>
      </c>
      <c r="J3054" t="s">
        <v>1561</v>
      </c>
      <c r="L3054">
        <f t="shared" si="161"/>
        <v>1</v>
      </c>
    </row>
    <row r="3055" spans="1:12" x14ac:dyDescent="0.35">
      <c r="A3055" s="9">
        <f t="shared" si="162"/>
        <v>3054</v>
      </c>
      <c r="B3055" t="s">
        <v>759</v>
      </c>
      <c r="C3055" s="109">
        <f>IF(ISBLANK(K3055),IFERROR(VLOOKUP(I3055,FS_input_data!$C$458:$N$648,Export!J3055,FALSE),""),K3055)</f>
        <v>216</v>
      </c>
      <c r="D3055" s="105" t="b">
        <v>0</v>
      </c>
      <c r="E3055" t="s">
        <v>1561</v>
      </c>
      <c r="F3055" s="105" t="s">
        <v>1839</v>
      </c>
      <c r="G3055" s="105" t="b">
        <f>VLOOKUP($I$3038,FS_input_data!$C$458:$N$648,Export!$J$3038,FALSE)=""</f>
        <v>0</v>
      </c>
      <c r="H3055" s="6" t="s">
        <v>2189</v>
      </c>
      <c r="I3055" t="s">
        <v>1839</v>
      </c>
      <c r="J3055">
        <v>4</v>
      </c>
      <c r="L3055" s="9" t="e">
        <f t="shared" si="161"/>
        <v>#VALUE!</v>
      </c>
    </row>
    <row r="3056" spans="1:12" x14ac:dyDescent="0.35">
      <c r="A3056">
        <f t="shared" si="162"/>
        <v>3055</v>
      </c>
      <c r="B3056" t="s">
        <v>760</v>
      </c>
      <c r="C3056" s="109" t="str">
        <f>IF(ISBLANK(K3056),IFERROR(VLOOKUP(I3056,FS_input_data!$C$458:$N$648,Export!J3056,FALSE),""),K3056)</f>
        <v/>
      </c>
      <c r="D3056" s="105"/>
      <c r="E3056" t="s">
        <v>1561</v>
      </c>
      <c r="F3056" s="105" t="s">
        <v>1839</v>
      </c>
      <c r="G3056" s="105" t="b">
        <f>VLOOKUP($I$3038,FS_input_data!$C$458:$N$648,Export!$J$3038,FALSE)=""</f>
        <v>0</v>
      </c>
      <c r="H3056" s="6" t="s">
        <v>2189</v>
      </c>
      <c r="I3056" t="s">
        <v>1561</v>
      </c>
      <c r="J3056" t="s">
        <v>1561</v>
      </c>
      <c r="L3056">
        <f t="shared" si="161"/>
        <v>1</v>
      </c>
    </row>
    <row r="3057" spans="1:12" x14ac:dyDescent="0.35">
      <c r="A3057" s="9">
        <f t="shared" si="162"/>
        <v>3056</v>
      </c>
      <c r="B3057" t="s">
        <v>761</v>
      </c>
      <c r="C3057" s="109" t="str">
        <f>IF(ISBLANK(K3057),IFERROR(VLOOKUP(I3057,FS_input_data!$C$458:$N$648,Export!J3057,FALSE),""),K3057)</f>
        <v>q</v>
      </c>
      <c r="D3057" s="105" t="b">
        <v>0</v>
      </c>
      <c r="E3057" t="s">
        <v>1561</v>
      </c>
      <c r="F3057" s="105" t="s">
        <v>1839</v>
      </c>
      <c r="G3057" s="105" t="b">
        <f>VLOOKUP($I$3038,FS_input_data!$C$458:$N$648,Export!$J$3038,FALSE)=""</f>
        <v>0</v>
      </c>
      <c r="H3057" s="6" t="s">
        <v>2189</v>
      </c>
      <c r="I3057" t="s">
        <v>1839</v>
      </c>
      <c r="J3057">
        <v>5</v>
      </c>
      <c r="L3057" s="9" t="e">
        <f t="shared" si="161"/>
        <v>#VALUE!</v>
      </c>
    </row>
    <row r="3058" spans="1:12" x14ac:dyDescent="0.35">
      <c r="A3058">
        <f t="shared" si="162"/>
        <v>3057</v>
      </c>
      <c r="B3058" t="s">
        <v>762</v>
      </c>
      <c r="C3058" s="109" t="str">
        <f>IF(ISBLANK(K3058),IFERROR(VLOOKUP(I3058,FS_input_data!$C$458:$N$648,Export!J3058,FALSE),""),K3058)</f>
        <v/>
      </c>
      <c r="D3058" s="105"/>
      <c r="E3058" t="s">
        <v>1561</v>
      </c>
      <c r="F3058" s="105" t="s">
        <v>1839</v>
      </c>
      <c r="G3058" s="105" t="b">
        <f>VLOOKUP($I$3038,FS_input_data!$C$458:$N$648,Export!$J$3038,FALSE)=""</f>
        <v>0</v>
      </c>
      <c r="H3058" s="6" t="s">
        <v>2189</v>
      </c>
      <c r="I3058" t="s">
        <v>1561</v>
      </c>
      <c r="J3058" t="s">
        <v>1561</v>
      </c>
      <c r="L3058">
        <f t="shared" si="161"/>
        <v>1</v>
      </c>
    </row>
    <row r="3059" spans="1:12" x14ac:dyDescent="0.35">
      <c r="A3059">
        <f t="shared" si="162"/>
        <v>3058</v>
      </c>
      <c r="B3059" t="s">
        <v>763</v>
      </c>
      <c r="C3059" s="109" t="str">
        <f>IF(ISBLANK(K3059),IFERROR(VLOOKUP(I3059,FS_input_data!$C$458:$N$648,Export!J3059,FALSE),""),K3059)</f>
        <v/>
      </c>
      <c r="D3059" s="105"/>
      <c r="E3059" t="s">
        <v>1561</v>
      </c>
      <c r="F3059" s="105" t="s">
        <v>1839</v>
      </c>
      <c r="G3059" s="105" t="b">
        <f>VLOOKUP($I$3038,FS_input_data!$C$458:$N$648,Export!$J$3038,FALSE)=""</f>
        <v>0</v>
      </c>
      <c r="H3059" s="6" t="s">
        <v>2189</v>
      </c>
      <c r="I3059" t="s">
        <v>1561</v>
      </c>
      <c r="J3059" t="s">
        <v>1561</v>
      </c>
      <c r="L3059">
        <f t="shared" si="161"/>
        <v>1</v>
      </c>
    </row>
    <row r="3060" spans="1:12" x14ac:dyDescent="0.35">
      <c r="A3060">
        <f t="shared" si="162"/>
        <v>3059</v>
      </c>
      <c r="B3060" t="s">
        <v>743</v>
      </c>
      <c r="C3060" s="109" t="str">
        <f>IF(ISBLANK(K3060),IFERROR(VLOOKUP(I3060,FS_input_data!$C$458:$N$648,Export!J3060,FALSE),""),K3060)</f>
        <v/>
      </c>
      <c r="D3060" s="105"/>
      <c r="E3060" t="s">
        <v>1561</v>
      </c>
      <c r="F3060" s="105" t="s">
        <v>1839</v>
      </c>
      <c r="G3060" s="105" t="b">
        <f>VLOOKUP($I$3038,FS_input_data!$C$458:$N$648,Export!$J$3038,FALSE)=""</f>
        <v>0</v>
      </c>
      <c r="H3060" s="6" t="s">
        <v>2189</v>
      </c>
      <c r="I3060" t="s">
        <v>1561</v>
      </c>
      <c r="J3060" t="s">
        <v>1561</v>
      </c>
      <c r="L3060">
        <f t="shared" si="161"/>
        <v>1</v>
      </c>
    </row>
    <row r="3061" spans="1:12" x14ac:dyDescent="0.35">
      <c r="A3061">
        <f t="shared" si="162"/>
        <v>3060</v>
      </c>
      <c r="B3061" t="s">
        <v>744</v>
      </c>
      <c r="C3061" s="109" t="str">
        <f>IF(ISBLANK(K3061),IFERROR(VLOOKUP(I3061,FS_input_data!$C$458:$N$648,Export!J3061,FALSE),""),K3061)</f>
        <v/>
      </c>
      <c r="D3061" s="105"/>
      <c r="E3061" t="s">
        <v>1561</v>
      </c>
      <c r="F3061" s="105" t="s">
        <v>1839</v>
      </c>
      <c r="G3061" s="105" t="b">
        <f>IF(RP_tax,TRUE,VLOOKUP($I$3038,FS_input_data!$C$458:$N$648,Export!$J$3038,FALSE)="")</f>
        <v>1</v>
      </c>
      <c r="H3061" s="6" t="s">
        <v>2189</v>
      </c>
      <c r="I3061" t="s">
        <v>1561</v>
      </c>
      <c r="J3061" t="s">
        <v>1561</v>
      </c>
      <c r="L3061" s="9" t="e">
        <f t="shared" si="161"/>
        <v>#VALUE!</v>
      </c>
    </row>
    <row r="3062" spans="1:12" x14ac:dyDescent="0.35">
      <c r="A3062" s="9">
        <f t="shared" si="162"/>
        <v>3061</v>
      </c>
      <c r="B3062" t="s">
        <v>109</v>
      </c>
      <c r="C3062" s="109">
        <f>IF(ISBLANK(K3062),IFERROR(VLOOKUP(I3062,FS_input_data!$C$458:$N$648,Export!J3062,FALSE),""),K3062)</f>
        <v>16000</v>
      </c>
      <c r="D3062" s="105" t="b">
        <v>0</v>
      </c>
      <c r="E3062" t="s">
        <v>1561</v>
      </c>
      <c r="F3062" s="105" t="s">
        <v>1839</v>
      </c>
      <c r="G3062" s="105" t="b">
        <f>IF(RP_tax,TRUE,VLOOKUP($I$3038,FS_input_data!$C$458:$N$648,Export!$J$3038,FALSE)="")</f>
        <v>1</v>
      </c>
      <c r="H3062" s="6" t="s">
        <v>2189</v>
      </c>
      <c r="I3062" t="s">
        <v>1839</v>
      </c>
      <c r="J3062">
        <v>10</v>
      </c>
      <c r="L3062" s="9" t="e">
        <f t="shared" si="161"/>
        <v>#VALUE!</v>
      </c>
    </row>
    <row r="3063" spans="1:12" x14ac:dyDescent="0.35">
      <c r="A3063">
        <f t="shared" si="162"/>
        <v>3062</v>
      </c>
      <c r="B3063" t="s">
        <v>110</v>
      </c>
      <c r="C3063" s="109" t="str">
        <f>IF(ISBLANK(K3063),IFERROR(VLOOKUP(I3063,FS_input_data!$C$458:$N$648,Export!J3063,FALSE),""),K3063)</f>
        <v/>
      </c>
      <c r="D3063" s="105"/>
      <c r="E3063" t="s">
        <v>1561</v>
      </c>
      <c r="F3063" s="105" t="s">
        <v>1839</v>
      </c>
      <c r="G3063" s="105" t="b">
        <f>IF(RP_tax,TRUE,VLOOKUP($I$3038,FS_input_data!$C$458:$N$648,Export!$J$3038,FALSE)="")</f>
        <v>1</v>
      </c>
      <c r="H3063" s="6" t="s">
        <v>2189</v>
      </c>
      <c r="I3063" t="s">
        <v>1561</v>
      </c>
      <c r="J3063" t="s">
        <v>1561</v>
      </c>
      <c r="L3063">
        <f t="shared" si="161"/>
        <v>1</v>
      </c>
    </row>
    <row r="3064" spans="1:12" x14ac:dyDescent="0.35">
      <c r="A3064" s="9">
        <f t="shared" si="162"/>
        <v>3063</v>
      </c>
      <c r="B3064" t="s">
        <v>111</v>
      </c>
      <c r="C3064" s="109">
        <f>IF(ISBLANK(K3064),IFERROR(VLOOKUP(I3064,FS_input_data!$C$458:$N$648,Export!J3064,FALSE),""),K3064)</f>
        <v>8000</v>
      </c>
      <c r="D3064" s="105" t="b">
        <v>0</v>
      </c>
      <c r="E3064" t="s">
        <v>1561</v>
      </c>
      <c r="F3064" s="105" t="s">
        <v>1839</v>
      </c>
      <c r="G3064" s="105" t="b">
        <f>IF(RP_tax,TRUE,VLOOKUP($I$3038,FS_input_data!$C$458:$N$648,Export!$J$3038,FALSE)="")</f>
        <v>1</v>
      </c>
      <c r="H3064" s="6" t="s">
        <v>2189</v>
      </c>
      <c r="I3064" t="s">
        <v>1839</v>
      </c>
      <c r="J3064">
        <v>11</v>
      </c>
      <c r="L3064" s="9" t="e">
        <f t="shared" si="161"/>
        <v>#VALUE!</v>
      </c>
    </row>
    <row r="3065" spans="1:12" x14ac:dyDescent="0.35">
      <c r="A3065">
        <f t="shared" si="162"/>
        <v>3064</v>
      </c>
      <c r="B3065" t="s">
        <v>112</v>
      </c>
      <c r="C3065" s="109" t="str">
        <f>IF(ISBLANK(K3065),IFERROR(VLOOKUP(I3065,FS_input_data!$C$458:$N$648,Export!J3065,FALSE),""),K3065)</f>
        <v/>
      </c>
      <c r="D3065" s="105"/>
      <c r="E3065" t="s">
        <v>1561</v>
      </c>
      <c r="F3065" s="105" t="s">
        <v>1839</v>
      </c>
      <c r="G3065" s="105" t="b">
        <f>IF(RP_tax,TRUE,VLOOKUP($I$3038,FS_input_data!$C$458:$N$648,Export!$J$3038,FALSE)="")</f>
        <v>1</v>
      </c>
      <c r="H3065" s="6" t="s">
        <v>2189</v>
      </c>
      <c r="I3065" t="s">
        <v>1561</v>
      </c>
      <c r="J3065" t="s">
        <v>1561</v>
      </c>
      <c r="L3065">
        <f t="shared" si="161"/>
        <v>1</v>
      </c>
    </row>
    <row r="3066" spans="1:12" x14ac:dyDescent="0.35">
      <c r="A3066" s="9">
        <f t="shared" si="162"/>
        <v>3065</v>
      </c>
      <c r="B3066" t="s">
        <v>749</v>
      </c>
      <c r="C3066" s="109">
        <f>IF(ISBLANK(K3066),IFERROR(VLOOKUP(I3066,FS_input_data!$C$458:$N$648,Export!J3066,FALSE),""),K3066)</f>
        <v>8000</v>
      </c>
      <c r="D3066" s="105" t="b">
        <v>0</v>
      </c>
      <c r="E3066" t="s">
        <v>1561</v>
      </c>
      <c r="F3066" s="105" t="s">
        <v>1839</v>
      </c>
      <c r="G3066" s="105" t="b">
        <f>IF(RP_tax,TRUE,VLOOKUP($I$3038,FS_input_data!$C$458:$N$648,Export!$J$3038,FALSE)="")</f>
        <v>1</v>
      </c>
      <c r="H3066" s="6" t="s">
        <v>2189</v>
      </c>
      <c r="I3066" t="s">
        <v>1839</v>
      </c>
      <c r="J3066">
        <v>12</v>
      </c>
      <c r="L3066" s="9" t="e">
        <f t="shared" si="161"/>
        <v>#VALUE!</v>
      </c>
    </row>
    <row r="3067" spans="1:12" x14ac:dyDescent="0.35">
      <c r="A3067">
        <f t="shared" si="162"/>
        <v>3066</v>
      </c>
      <c r="B3067" t="s">
        <v>750</v>
      </c>
      <c r="C3067" s="109" t="str">
        <f>IF(ISBLANK(K3067),IFERROR(VLOOKUP(I3067,FS_input_data!$C$458:$N$648,Export!J3067,FALSE),""),K3067)</f>
        <v/>
      </c>
      <c r="D3067" s="105"/>
      <c r="E3067" t="s">
        <v>1561</v>
      </c>
      <c r="F3067" s="105" t="s">
        <v>1839</v>
      </c>
      <c r="G3067" s="105" t="b">
        <f>IF(RP_tax,TRUE,VLOOKUP($I$3038,FS_input_data!$C$458:$N$648,Export!$J$3038,FALSE)="")</f>
        <v>1</v>
      </c>
      <c r="H3067" s="6" t="s">
        <v>2189</v>
      </c>
      <c r="I3067" t="s">
        <v>1561</v>
      </c>
      <c r="J3067" t="s">
        <v>1561</v>
      </c>
      <c r="L3067">
        <f t="shared" si="161"/>
        <v>1</v>
      </c>
    </row>
    <row r="3068" spans="1:12" x14ac:dyDescent="0.35">
      <c r="A3068">
        <f t="shared" si="162"/>
        <v>3067</v>
      </c>
      <c r="B3068" t="s">
        <v>745</v>
      </c>
      <c r="C3068" s="109" t="str">
        <f>IF(ISBLANK(K3068),IFERROR(VLOOKUP(I3068,FS_input_data!$C$458:$N$648,Export!J3068,FALSE),""),K3068)</f>
        <v/>
      </c>
      <c r="D3068" s="105"/>
      <c r="E3068" t="s">
        <v>1561</v>
      </c>
      <c r="F3068" s="105" t="s">
        <v>1839</v>
      </c>
      <c r="G3068" s="105" t="b">
        <f>IF(RP_tax,TRUE,VLOOKUP($I$3038,FS_input_data!$C$458:$N$648,Export!$J$3038,FALSE)="")</f>
        <v>1</v>
      </c>
      <c r="H3068" s="6" t="s">
        <v>2189</v>
      </c>
      <c r="I3068" t="s">
        <v>1561</v>
      </c>
      <c r="J3068" t="s">
        <v>1561</v>
      </c>
      <c r="L3068">
        <f t="shared" si="161"/>
        <v>1</v>
      </c>
    </row>
    <row r="3069" spans="1:12" x14ac:dyDescent="0.35">
      <c r="A3069">
        <f t="shared" si="162"/>
        <v>3068</v>
      </c>
      <c r="B3069" t="s">
        <v>764</v>
      </c>
      <c r="C3069" s="109" t="str">
        <f>IF(ISBLANK(K3069),IFERROR(VLOOKUP(I3069,FS_input_data!$C$458:$N$648,Export!J3069,FALSE),""),K3069)</f>
        <v/>
      </c>
      <c r="D3069" s="105"/>
      <c r="E3069" t="s">
        <v>1561</v>
      </c>
      <c r="F3069" s="105" t="s">
        <v>1839</v>
      </c>
      <c r="G3069" s="105" t="b">
        <f>VLOOKUP($I$3038,FS_input_data!$C$458:$N$648,Export!$J$3038,FALSE)=""</f>
        <v>0</v>
      </c>
      <c r="H3069" s="6" t="s">
        <v>2189</v>
      </c>
      <c r="I3069" t="s">
        <v>1561</v>
      </c>
      <c r="J3069" t="s">
        <v>1561</v>
      </c>
      <c r="L3069">
        <f t="shared" si="161"/>
        <v>1</v>
      </c>
    </row>
    <row r="3070" spans="1:12" x14ac:dyDescent="0.35">
      <c r="A3070">
        <f t="shared" si="162"/>
        <v>3069</v>
      </c>
      <c r="B3070" t="s">
        <v>765</v>
      </c>
      <c r="C3070" s="109" t="str">
        <f>IF(ISBLANK(K3070),IFERROR(VLOOKUP(I3070,FS_input_data!$C$458:$N$648,Export!J3070,FALSE),""),K3070)</f>
        <v/>
      </c>
      <c r="D3070" s="105"/>
      <c r="E3070" t="s">
        <v>1561</v>
      </c>
      <c r="F3070" s="105" t="s">
        <v>1839</v>
      </c>
      <c r="G3070" s="105" t="b">
        <f>VLOOKUP($I$3038,FS_input_data!$C$458:$N$648,Export!$J$3038,FALSE)=""</f>
        <v>0</v>
      </c>
      <c r="H3070" s="6" t="s">
        <v>2189</v>
      </c>
      <c r="I3070" t="s">
        <v>1561</v>
      </c>
      <c r="J3070" t="s">
        <v>1561</v>
      </c>
      <c r="L3070">
        <f t="shared" si="161"/>
        <v>1</v>
      </c>
    </row>
    <row r="3071" spans="1:12" x14ac:dyDescent="0.35">
      <c r="A3071">
        <f t="shared" si="162"/>
        <v>3070</v>
      </c>
      <c r="B3071" t="s">
        <v>752</v>
      </c>
      <c r="C3071" s="109" t="str">
        <f>IF(ISBLANK(K3071),IFERROR(VLOOKUP(I3071,FS_input_data!$C$458:$N$648,Export!J3071,FALSE),""),K3071)</f>
        <v/>
      </c>
      <c r="D3071" s="102"/>
      <c r="E3071" t="s">
        <v>1561</v>
      </c>
      <c r="F3071" s="102" t="s">
        <v>1842</v>
      </c>
      <c r="G3071" s="102" t="b">
        <f>VLOOKUP($I$3072,FS_input_data!$C$458:$N$648,Export!$J$3072,FALSE)=""</f>
        <v>0</v>
      </c>
      <c r="H3071" s="6" t="s">
        <v>2189</v>
      </c>
      <c r="I3071" t="s">
        <v>1561</v>
      </c>
      <c r="J3071" t="s">
        <v>1561</v>
      </c>
      <c r="L3071" s="9" t="e">
        <f t="shared" si="161"/>
        <v>#VALUE!</v>
      </c>
    </row>
    <row r="3072" spans="1:12" x14ac:dyDescent="0.35">
      <c r="A3072" s="9">
        <f t="shared" si="162"/>
        <v>3071</v>
      </c>
      <c r="B3072" t="s">
        <v>101</v>
      </c>
      <c r="C3072" s="109" t="str">
        <f>IF(ISBLANK(K3072),IFERROR(VLOOKUP(I3072,FS_input_data!$C$458:$N$648,Export!J3072,FALSE),""),K3072)</f>
        <v>OB17</v>
      </c>
      <c r="D3072" s="102" t="b">
        <v>1</v>
      </c>
      <c r="E3072" t="s">
        <v>1561</v>
      </c>
      <c r="F3072" s="102" t="s">
        <v>1842</v>
      </c>
      <c r="G3072" s="102" t="b">
        <f>VLOOKUP($I$3072,FS_input_data!$C$458:$N$648,Export!$J$3072,FALSE)=""</f>
        <v>0</v>
      </c>
      <c r="H3072" s="6" t="s">
        <v>2189</v>
      </c>
      <c r="I3072" t="s">
        <v>1842</v>
      </c>
      <c r="J3072">
        <v>6</v>
      </c>
      <c r="L3072" s="9" t="e">
        <f t="shared" si="161"/>
        <v>#VALUE!</v>
      </c>
    </row>
    <row r="3073" spans="1:12" x14ac:dyDescent="0.35">
      <c r="A3073">
        <f t="shared" si="162"/>
        <v>3072</v>
      </c>
      <c r="B3073" t="s">
        <v>102</v>
      </c>
      <c r="C3073" s="109" t="str">
        <f>IF(ISBLANK(K3073),IFERROR(VLOOKUP(I3073,FS_input_data!$C$458:$N$648,Export!J3073,FALSE),""),K3073)</f>
        <v/>
      </c>
      <c r="D3073" s="102"/>
      <c r="E3073" t="s">
        <v>1561</v>
      </c>
      <c r="F3073" s="102" t="s">
        <v>1842</v>
      </c>
      <c r="G3073" s="102" t="b">
        <f>VLOOKUP($I$3072,FS_input_data!$C$458:$N$648,Export!$J$3072,FALSE)=""</f>
        <v>0</v>
      </c>
      <c r="H3073" s="6" t="s">
        <v>2189</v>
      </c>
      <c r="I3073" t="s">
        <v>1561</v>
      </c>
      <c r="J3073" t="s">
        <v>1561</v>
      </c>
      <c r="L3073">
        <f t="shared" si="161"/>
        <v>1</v>
      </c>
    </row>
    <row r="3074" spans="1:12" x14ac:dyDescent="0.35">
      <c r="A3074">
        <f t="shared" si="162"/>
        <v>3073</v>
      </c>
      <c r="B3074" t="s">
        <v>753</v>
      </c>
      <c r="C3074" s="109" t="str">
        <f>IF(ISBLANK(K3074),IFERROR(VLOOKUP(I3074,FS_input_data!$C$458:$N$648,Export!J3074,FALSE),""),K3074)</f>
        <v/>
      </c>
      <c r="D3074" s="102"/>
      <c r="E3074" t="s">
        <v>1561</v>
      </c>
      <c r="F3074" s="102" t="s">
        <v>1842</v>
      </c>
      <c r="G3074" s="102" t="b">
        <f>VLOOKUP($I$3072,FS_input_data!$C$458:$N$648,Export!$J$3072,FALSE)=""</f>
        <v>0</v>
      </c>
      <c r="H3074" s="6" t="s">
        <v>2189</v>
      </c>
      <c r="I3074" t="s">
        <v>1561</v>
      </c>
      <c r="J3074" t="s">
        <v>1561</v>
      </c>
      <c r="L3074" s="9" t="e">
        <f t="shared" ref="L3074:L3137" si="163">FIND("/",B3074)</f>
        <v>#VALUE!</v>
      </c>
    </row>
    <row r="3075" spans="1:12" x14ac:dyDescent="0.35">
      <c r="A3075">
        <f t="shared" ref="A3075:A3138" si="164">A3074+1</f>
        <v>3074</v>
      </c>
      <c r="B3075" t="s">
        <v>742</v>
      </c>
      <c r="C3075" s="109" t="str">
        <f>IF(ISBLANK(K3075),IFERROR(VLOOKUP(I3075,FS_input_data!$C$458:$N$648,Export!J3075,FALSE),""),K3075)</f>
        <v/>
      </c>
      <c r="D3075" s="102"/>
      <c r="E3075" t="s">
        <v>1561</v>
      </c>
      <c r="F3075" s="102" t="s">
        <v>1842</v>
      </c>
      <c r="G3075" s="102" t="b">
        <f>VLOOKUP($I$3072,FS_input_data!$C$458:$N$648,Export!$J$3072,FALSE)=""</f>
        <v>0</v>
      </c>
      <c r="H3075" s="6" t="s">
        <v>2189</v>
      </c>
      <c r="I3075" t="s">
        <v>1561</v>
      </c>
      <c r="J3075" t="s">
        <v>1561</v>
      </c>
      <c r="L3075" s="9" t="e">
        <f t="shared" si="163"/>
        <v>#VALUE!</v>
      </c>
    </row>
    <row r="3076" spans="1:12" x14ac:dyDescent="0.35">
      <c r="A3076">
        <f t="shared" si="164"/>
        <v>3075</v>
      </c>
      <c r="B3076" t="s">
        <v>748</v>
      </c>
      <c r="C3076" s="109" t="str">
        <f>IF(ISBLANK(K3076),IFERROR(VLOOKUP(I3076,FS_input_data!$C$458:$N$648,Export!J3076,FALSE),""),K3076)</f>
        <v/>
      </c>
      <c r="D3076" s="102"/>
      <c r="E3076" t="s">
        <v>1561</v>
      </c>
      <c r="F3076" s="102" t="s">
        <v>1842</v>
      </c>
      <c r="G3076" s="102" t="b">
        <f>VLOOKUP($I$3072,FS_input_data!$C$458:$N$648,Export!$J$3072,FALSE)=""</f>
        <v>0</v>
      </c>
      <c r="H3076" s="6" t="s">
        <v>2189</v>
      </c>
      <c r="I3076" t="s">
        <v>1561</v>
      </c>
      <c r="J3076" t="s">
        <v>1561</v>
      </c>
      <c r="L3076" s="9" t="e">
        <f t="shared" si="163"/>
        <v>#VALUE!</v>
      </c>
    </row>
    <row r="3077" spans="1:12" x14ac:dyDescent="0.35">
      <c r="A3077" s="9">
        <f t="shared" si="164"/>
        <v>3076</v>
      </c>
      <c r="B3077" t="s">
        <v>109</v>
      </c>
      <c r="C3077" s="109">
        <f>IF(ISBLANK(K3077),IFERROR(VLOOKUP(I3077,FS_input_data!$C$458:$N$648,Export!J3077,FALSE),""),K3077)</f>
        <v>17000</v>
      </c>
      <c r="D3077" s="102" t="b">
        <v>1</v>
      </c>
      <c r="E3077" t="s">
        <v>1561</v>
      </c>
      <c r="F3077" s="102" t="s">
        <v>1842</v>
      </c>
      <c r="G3077" s="102" t="b">
        <f>VLOOKUP($I$3072,FS_input_data!$C$458:$N$648,Export!$J$3072,FALSE)=""</f>
        <v>0</v>
      </c>
      <c r="H3077" s="6" t="s">
        <v>2189</v>
      </c>
      <c r="I3077" t="s">
        <v>1842</v>
      </c>
      <c r="J3077">
        <v>7</v>
      </c>
      <c r="L3077" s="9" t="e">
        <f t="shared" si="163"/>
        <v>#VALUE!</v>
      </c>
    </row>
    <row r="3078" spans="1:12" x14ac:dyDescent="0.35">
      <c r="A3078">
        <f t="shared" si="164"/>
        <v>3077</v>
      </c>
      <c r="B3078" t="s">
        <v>110</v>
      </c>
      <c r="C3078" s="109" t="str">
        <f>IF(ISBLANK(K3078),IFERROR(VLOOKUP(I3078,FS_input_data!$C$458:$N$648,Export!J3078,FALSE),""),K3078)</f>
        <v/>
      </c>
      <c r="D3078" s="102"/>
      <c r="E3078" t="s">
        <v>1561</v>
      </c>
      <c r="F3078" s="102" t="s">
        <v>1842</v>
      </c>
      <c r="G3078" s="102" t="b">
        <f>VLOOKUP($I$3072,FS_input_data!$C$458:$N$648,Export!$J$3072,FALSE)=""</f>
        <v>0</v>
      </c>
      <c r="H3078" s="6" t="s">
        <v>2189</v>
      </c>
      <c r="I3078" t="s">
        <v>1561</v>
      </c>
      <c r="J3078" t="s">
        <v>1561</v>
      </c>
      <c r="L3078">
        <f t="shared" si="163"/>
        <v>1</v>
      </c>
    </row>
    <row r="3079" spans="1:12" x14ac:dyDescent="0.35">
      <c r="A3079" s="9">
        <f t="shared" si="164"/>
        <v>3078</v>
      </c>
      <c r="B3079" t="s">
        <v>111</v>
      </c>
      <c r="C3079" s="109">
        <f>IF(ISBLANK(K3079),IFERROR(VLOOKUP(I3079,FS_input_data!$C$458:$N$648,Export!J3079,FALSE),""),K3079)</f>
        <v>8500</v>
      </c>
      <c r="D3079" s="102" t="b">
        <v>0</v>
      </c>
      <c r="E3079" t="s">
        <v>1561</v>
      </c>
      <c r="F3079" s="102" t="s">
        <v>1842</v>
      </c>
      <c r="G3079" s="102" t="b">
        <f>VLOOKUP($I$3072,FS_input_data!$C$458:$N$648,Export!$J$3072,FALSE)=""</f>
        <v>0</v>
      </c>
      <c r="H3079" s="6" t="s">
        <v>2189</v>
      </c>
      <c r="I3079" t="s">
        <v>1842</v>
      </c>
      <c r="J3079">
        <v>8</v>
      </c>
      <c r="L3079" s="9" t="e">
        <f t="shared" si="163"/>
        <v>#VALUE!</v>
      </c>
    </row>
    <row r="3080" spans="1:12" x14ac:dyDescent="0.35">
      <c r="A3080">
        <f t="shared" si="164"/>
        <v>3079</v>
      </c>
      <c r="B3080" t="s">
        <v>112</v>
      </c>
      <c r="C3080" s="109" t="str">
        <f>IF(ISBLANK(K3080),IFERROR(VLOOKUP(I3080,FS_input_data!$C$458:$N$648,Export!J3080,FALSE),""),K3080)</f>
        <v/>
      </c>
      <c r="D3080" s="102"/>
      <c r="E3080" t="s">
        <v>1561</v>
      </c>
      <c r="F3080" s="102" t="s">
        <v>1842</v>
      </c>
      <c r="G3080" s="102" t="b">
        <f>VLOOKUP($I$3072,FS_input_data!$C$458:$N$648,Export!$J$3072,FALSE)=""</f>
        <v>0</v>
      </c>
      <c r="H3080" s="6" t="s">
        <v>2189</v>
      </c>
      <c r="I3080" t="s">
        <v>1561</v>
      </c>
      <c r="J3080" t="s">
        <v>1561</v>
      </c>
      <c r="L3080">
        <f t="shared" si="163"/>
        <v>1</v>
      </c>
    </row>
    <row r="3081" spans="1:12" x14ac:dyDescent="0.35">
      <c r="A3081" s="9">
        <f t="shared" si="164"/>
        <v>3080</v>
      </c>
      <c r="B3081" t="s">
        <v>749</v>
      </c>
      <c r="C3081" s="109">
        <f>IF(ISBLANK(K3081),IFERROR(VLOOKUP(I3081,FS_input_data!$C$458:$N$648,Export!J3081,FALSE),""),K3081)</f>
        <v>8500</v>
      </c>
      <c r="D3081" s="102" t="b">
        <v>0</v>
      </c>
      <c r="E3081" t="s">
        <v>1561</v>
      </c>
      <c r="F3081" s="102" t="s">
        <v>1842</v>
      </c>
      <c r="G3081" s="102" t="b">
        <f>VLOOKUP($I$3072,FS_input_data!$C$458:$N$648,Export!$J$3072,FALSE)=""</f>
        <v>0</v>
      </c>
      <c r="H3081" s="6" t="s">
        <v>2189</v>
      </c>
      <c r="I3081" t="s">
        <v>1842</v>
      </c>
      <c r="J3081">
        <v>9</v>
      </c>
      <c r="L3081" s="9" t="e">
        <f t="shared" si="163"/>
        <v>#VALUE!</v>
      </c>
    </row>
    <row r="3082" spans="1:12" x14ac:dyDescent="0.35">
      <c r="A3082">
        <f t="shared" si="164"/>
        <v>3081</v>
      </c>
      <c r="B3082" t="s">
        <v>750</v>
      </c>
      <c r="C3082" s="109" t="str">
        <f>IF(ISBLANK(K3082),IFERROR(VLOOKUP(I3082,FS_input_data!$C$458:$N$648,Export!J3082,FALSE),""),K3082)</f>
        <v/>
      </c>
      <c r="D3082" s="102"/>
      <c r="E3082" t="s">
        <v>1561</v>
      </c>
      <c r="F3082" s="102" t="s">
        <v>1842</v>
      </c>
      <c r="G3082" s="102" t="b">
        <f>VLOOKUP($I$3072,FS_input_data!$C$458:$N$648,Export!$J$3072,FALSE)=""</f>
        <v>0</v>
      </c>
      <c r="H3082" s="6" t="s">
        <v>2189</v>
      </c>
      <c r="I3082" t="s">
        <v>1561</v>
      </c>
      <c r="J3082" t="s">
        <v>1561</v>
      </c>
      <c r="L3082">
        <f t="shared" si="163"/>
        <v>1</v>
      </c>
    </row>
    <row r="3083" spans="1:12" x14ac:dyDescent="0.35">
      <c r="A3083">
        <f t="shared" si="164"/>
        <v>3082</v>
      </c>
      <c r="B3083" t="s">
        <v>751</v>
      </c>
      <c r="C3083" s="109" t="str">
        <f>IF(ISBLANK(K3083),IFERROR(VLOOKUP(I3083,FS_input_data!$C$458:$N$648,Export!J3083,FALSE),""),K3083)</f>
        <v/>
      </c>
      <c r="D3083" s="102"/>
      <c r="E3083" t="s">
        <v>1561</v>
      </c>
      <c r="F3083" s="102" t="s">
        <v>1842</v>
      </c>
      <c r="G3083" s="102" t="b">
        <f>VLOOKUP($I$3072,FS_input_data!$C$458:$N$648,Export!$J$3072,FALSE)=""</f>
        <v>0</v>
      </c>
      <c r="H3083" s="6" t="s">
        <v>2189</v>
      </c>
      <c r="I3083" t="s">
        <v>1561</v>
      </c>
      <c r="J3083" t="s">
        <v>1561</v>
      </c>
      <c r="L3083">
        <f t="shared" si="163"/>
        <v>1</v>
      </c>
    </row>
    <row r="3084" spans="1:12" x14ac:dyDescent="0.35">
      <c r="A3084">
        <f t="shared" si="164"/>
        <v>3083</v>
      </c>
      <c r="B3084" t="s">
        <v>754</v>
      </c>
      <c r="C3084" s="109" t="str">
        <f>IF(ISBLANK(K3084),IFERROR(VLOOKUP(I3084,FS_input_data!$C$458:$N$648,Export!J3084,FALSE),""),K3084)</f>
        <v/>
      </c>
      <c r="D3084" s="102"/>
      <c r="E3084" t="s">
        <v>1561</v>
      </c>
      <c r="F3084" s="102" t="s">
        <v>1842</v>
      </c>
      <c r="G3084" s="102" t="b">
        <f>VLOOKUP($I$3072,FS_input_data!$C$458:$N$648,Export!$J$3072,FALSE)=""</f>
        <v>0</v>
      </c>
      <c r="H3084" s="6" t="s">
        <v>2189</v>
      </c>
      <c r="I3084" t="s">
        <v>1561</v>
      </c>
      <c r="J3084" t="s">
        <v>1561</v>
      </c>
      <c r="L3084" s="9" t="e">
        <f t="shared" si="163"/>
        <v>#VALUE!</v>
      </c>
    </row>
    <row r="3085" spans="1:12" x14ac:dyDescent="0.35">
      <c r="A3085" s="9">
        <f t="shared" si="164"/>
        <v>3084</v>
      </c>
      <c r="B3085" t="s">
        <v>755</v>
      </c>
      <c r="C3085" s="109">
        <f>IF(ISBLANK(K3085),IFERROR(VLOOKUP(I3085,FS_input_data!$C$458:$N$648,Export!J3085,FALSE),""),K3085)</f>
        <v>17</v>
      </c>
      <c r="D3085" s="102" t="b">
        <v>1</v>
      </c>
      <c r="E3085" t="s">
        <v>1561</v>
      </c>
      <c r="F3085" s="102" t="s">
        <v>1842</v>
      </c>
      <c r="G3085" s="102" t="b">
        <f>VLOOKUP($I$3072,FS_input_data!$C$458:$N$648,Export!$J$3072,FALSE)=""</f>
        <v>0</v>
      </c>
      <c r="H3085" s="6" t="s">
        <v>2189</v>
      </c>
      <c r="I3085" t="s">
        <v>1842</v>
      </c>
      <c r="J3085">
        <v>2</v>
      </c>
      <c r="L3085" s="9" t="e">
        <f t="shared" si="163"/>
        <v>#VALUE!</v>
      </c>
    </row>
    <row r="3086" spans="1:12" x14ac:dyDescent="0.35">
      <c r="A3086">
        <f t="shared" si="164"/>
        <v>3085</v>
      </c>
      <c r="B3086" t="s">
        <v>756</v>
      </c>
      <c r="C3086" s="109" t="str">
        <f>IF(ISBLANK(K3086),IFERROR(VLOOKUP(I3086,FS_input_data!$C$458:$N$648,Export!J3086,FALSE),""),K3086)</f>
        <v/>
      </c>
      <c r="D3086" s="102"/>
      <c r="E3086" t="s">
        <v>1561</v>
      </c>
      <c r="F3086" s="102" t="s">
        <v>1842</v>
      </c>
      <c r="G3086" s="102" t="b">
        <f>VLOOKUP($I$3072,FS_input_data!$C$458:$N$648,Export!$J$3072,FALSE)=""</f>
        <v>0</v>
      </c>
      <c r="H3086" s="6" t="s">
        <v>2189</v>
      </c>
      <c r="I3086" t="s">
        <v>1561</v>
      </c>
      <c r="J3086" t="s">
        <v>1561</v>
      </c>
      <c r="L3086">
        <f t="shared" si="163"/>
        <v>1</v>
      </c>
    </row>
    <row r="3087" spans="1:12" x14ac:dyDescent="0.35">
      <c r="A3087" s="9">
        <f t="shared" si="164"/>
        <v>3086</v>
      </c>
      <c r="B3087" t="s">
        <v>757</v>
      </c>
      <c r="C3087" s="109">
        <f>IF(ISBLANK(K3087),IFERROR(VLOOKUP(I3087,FS_input_data!$C$458:$N$648,Export!J3087,FALSE),""),K3087)</f>
        <v>117</v>
      </c>
      <c r="D3087" s="102" t="b">
        <v>0</v>
      </c>
      <c r="E3087" t="s">
        <v>1561</v>
      </c>
      <c r="F3087" s="102" t="s">
        <v>1842</v>
      </c>
      <c r="G3087" s="102" t="b">
        <f>VLOOKUP($I$3072,FS_input_data!$C$458:$N$648,Export!$J$3072,FALSE)=""</f>
        <v>0</v>
      </c>
      <c r="H3087" s="6" t="s">
        <v>2189</v>
      </c>
      <c r="I3087" t="s">
        <v>1842</v>
      </c>
      <c r="J3087">
        <v>3</v>
      </c>
      <c r="L3087" s="9" t="e">
        <f t="shared" si="163"/>
        <v>#VALUE!</v>
      </c>
    </row>
    <row r="3088" spans="1:12" x14ac:dyDescent="0.35">
      <c r="A3088">
        <f t="shared" si="164"/>
        <v>3087</v>
      </c>
      <c r="B3088" t="s">
        <v>758</v>
      </c>
      <c r="C3088" s="109" t="str">
        <f>IF(ISBLANK(K3088),IFERROR(VLOOKUP(I3088,FS_input_data!$C$458:$N$648,Export!J3088,FALSE),""),K3088)</f>
        <v/>
      </c>
      <c r="D3088" s="102"/>
      <c r="E3088" t="s">
        <v>1561</v>
      </c>
      <c r="F3088" s="102" t="s">
        <v>1842</v>
      </c>
      <c r="G3088" s="102" t="b">
        <f>VLOOKUP($I$3072,FS_input_data!$C$458:$N$648,Export!$J$3072,FALSE)=""</f>
        <v>0</v>
      </c>
      <c r="H3088" s="6" t="s">
        <v>2189</v>
      </c>
      <c r="I3088" t="s">
        <v>1561</v>
      </c>
      <c r="J3088" t="s">
        <v>1561</v>
      </c>
      <c r="L3088">
        <f t="shared" si="163"/>
        <v>1</v>
      </c>
    </row>
    <row r="3089" spans="1:12" x14ac:dyDescent="0.35">
      <c r="A3089" s="9">
        <f t="shared" si="164"/>
        <v>3088</v>
      </c>
      <c r="B3089" t="s">
        <v>759</v>
      </c>
      <c r="C3089" s="109">
        <f>IF(ISBLANK(K3089),IFERROR(VLOOKUP(I3089,FS_input_data!$C$458:$N$648,Export!J3089,FALSE),""),K3089)</f>
        <v>217</v>
      </c>
      <c r="D3089" s="102" t="b">
        <v>0</v>
      </c>
      <c r="E3089" t="s">
        <v>1561</v>
      </c>
      <c r="F3089" s="102" t="s">
        <v>1842</v>
      </c>
      <c r="G3089" s="102" t="b">
        <f>VLOOKUP($I$3072,FS_input_data!$C$458:$N$648,Export!$J$3072,FALSE)=""</f>
        <v>0</v>
      </c>
      <c r="H3089" s="6" t="s">
        <v>2189</v>
      </c>
      <c r="I3089" t="s">
        <v>1842</v>
      </c>
      <c r="J3089">
        <v>4</v>
      </c>
      <c r="L3089" s="9" t="e">
        <f t="shared" si="163"/>
        <v>#VALUE!</v>
      </c>
    </row>
    <row r="3090" spans="1:12" x14ac:dyDescent="0.35">
      <c r="A3090">
        <f t="shared" si="164"/>
        <v>3089</v>
      </c>
      <c r="B3090" t="s">
        <v>760</v>
      </c>
      <c r="C3090" s="109" t="str">
        <f>IF(ISBLANK(K3090),IFERROR(VLOOKUP(I3090,FS_input_data!$C$458:$N$648,Export!J3090,FALSE),""),K3090)</f>
        <v/>
      </c>
      <c r="D3090" s="102"/>
      <c r="E3090" t="s">
        <v>1561</v>
      </c>
      <c r="F3090" s="102" t="s">
        <v>1842</v>
      </c>
      <c r="G3090" s="102" t="b">
        <f>VLOOKUP($I$3072,FS_input_data!$C$458:$N$648,Export!$J$3072,FALSE)=""</f>
        <v>0</v>
      </c>
      <c r="H3090" s="6" t="s">
        <v>2189</v>
      </c>
      <c r="I3090" t="s">
        <v>1561</v>
      </c>
      <c r="J3090" t="s">
        <v>1561</v>
      </c>
      <c r="L3090">
        <f t="shared" si="163"/>
        <v>1</v>
      </c>
    </row>
    <row r="3091" spans="1:12" x14ac:dyDescent="0.35">
      <c r="A3091" s="9">
        <f t="shared" si="164"/>
        <v>3090</v>
      </c>
      <c r="B3091" t="s">
        <v>761</v>
      </c>
      <c r="C3091" s="109" t="str">
        <f>IF(ISBLANK(K3091),IFERROR(VLOOKUP(I3091,FS_input_data!$C$458:$N$648,Export!J3091,FALSE),""),K3091)</f>
        <v>r</v>
      </c>
      <c r="D3091" s="102" t="b">
        <v>0</v>
      </c>
      <c r="E3091" t="s">
        <v>1561</v>
      </c>
      <c r="F3091" s="102" t="s">
        <v>1842</v>
      </c>
      <c r="G3091" s="102" t="b">
        <f>VLOOKUP($I$3072,FS_input_data!$C$458:$N$648,Export!$J$3072,FALSE)=""</f>
        <v>0</v>
      </c>
      <c r="H3091" s="6" t="s">
        <v>2189</v>
      </c>
      <c r="I3091" t="s">
        <v>1842</v>
      </c>
      <c r="J3091">
        <v>5</v>
      </c>
      <c r="L3091" s="9" t="e">
        <f t="shared" si="163"/>
        <v>#VALUE!</v>
      </c>
    </row>
    <row r="3092" spans="1:12" x14ac:dyDescent="0.35">
      <c r="A3092">
        <f t="shared" si="164"/>
        <v>3091</v>
      </c>
      <c r="B3092" t="s">
        <v>762</v>
      </c>
      <c r="C3092" s="109" t="str">
        <f>IF(ISBLANK(K3092),IFERROR(VLOOKUP(I3092,FS_input_data!$C$458:$N$648,Export!J3092,FALSE),""),K3092)</f>
        <v/>
      </c>
      <c r="D3092" s="102"/>
      <c r="E3092" t="s">
        <v>1561</v>
      </c>
      <c r="F3092" s="102" t="s">
        <v>1842</v>
      </c>
      <c r="G3092" s="102" t="b">
        <f>VLOOKUP($I$3072,FS_input_data!$C$458:$N$648,Export!$J$3072,FALSE)=""</f>
        <v>0</v>
      </c>
      <c r="H3092" s="6" t="s">
        <v>2189</v>
      </c>
      <c r="I3092" t="s">
        <v>1561</v>
      </c>
      <c r="J3092" t="s">
        <v>1561</v>
      </c>
      <c r="L3092">
        <f t="shared" si="163"/>
        <v>1</v>
      </c>
    </row>
    <row r="3093" spans="1:12" x14ac:dyDescent="0.35">
      <c r="A3093">
        <f t="shared" si="164"/>
        <v>3092</v>
      </c>
      <c r="B3093" t="s">
        <v>763</v>
      </c>
      <c r="C3093" s="109" t="str">
        <f>IF(ISBLANK(K3093),IFERROR(VLOOKUP(I3093,FS_input_data!$C$458:$N$648,Export!J3093,FALSE),""),K3093)</f>
        <v/>
      </c>
      <c r="D3093" s="102"/>
      <c r="E3093" t="s">
        <v>1561</v>
      </c>
      <c r="F3093" s="102" t="s">
        <v>1842</v>
      </c>
      <c r="G3093" s="102" t="b">
        <f>VLOOKUP($I$3072,FS_input_data!$C$458:$N$648,Export!$J$3072,FALSE)=""</f>
        <v>0</v>
      </c>
      <c r="H3093" s="6" t="s">
        <v>2189</v>
      </c>
      <c r="I3093" t="s">
        <v>1561</v>
      </c>
      <c r="J3093" t="s">
        <v>1561</v>
      </c>
      <c r="L3093">
        <f t="shared" si="163"/>
        <v>1</v>
      </c>
    </row>
    <row r="3094" spans="1:12" x14ac:dyDescent="0.35">
      <c r="A3094">
        <f t="shared" si="164"/>
        <v>3093</v>
      </c>
      <c r="B3094" t="s">
        <v>743</v>
      </c>
      <c r="C3094" s="109" t="str">
        <f>IF(ISBLANK(K3094),IFERROR(VLOOKUP(I3094,FS_input_data!$C$458:$N$648,Export!J3094,FALSE),""),K3094)</f>
        <v/>
      </c>
      <c r="D3094" s="102"/>
      <c r="E3094" t="s">
        <v>1561</v>
      </c>
      <c r="F3094" s="102" t="s">
        <v>1842</v>
      </c>
      <c r="G3094" s="102" t="b">
        <f>VLOOKUP($I$3072,FS_input_data!$C$458:$N$648,Export!$J$3072,FALSE)=""</f>
        <v>0</v>
      </c>
      <c r="H3094" s="6" t="s">
        <v>2189</v>
      </c>
      <c r="I3094" t="s">
        <v>1561</v>
      </c>
      <c r="J3094" t="s">
        <v>1561</v>
      </c>
      <c r="L3094">
        <f t="shared" si="163"/>
        <v>1</v>
      </c>
    </row>
    <row r="3095" spans="1:12" x14ac:dyDescent="0.35">
      <c r="A3095">
        <f t="shared" si="164"/>
        <v>3094</v>
      </c>
      <c r="B3095" t="s">
        <v>744</v>
      </c>
      <c r="C3095" s="109" t="str">
        <f>IF(ISBLANK(K3095),IFERROR(VLOOKUP(I3095,FS_input_data!$C$458:$N$648,Export!J3095,FALSE),""),K3095)</f>
        <v/>
      </c>
      <c r="D3095" s="102"/>
      <c r="E3095" t="s">
        <v>1561</v>
      </c>
      <c r="F3095" s="102" t="s">
        <v>1842</v>
      </c>
      <c r="G3095" s="102" t="b">
        <f>IF(RP_tax,TRUE,VLOOKUP($I$3072,FS_input_data!$C$458:$N$648,Export!$J$3072,FALSE)="")</f>
        <v>1</v>
      </c>
      <c r="H3095" s="6" t="s">
        <v>2189</v>
      </c>
      <c r="I3095" t="s">
        <v>1561</v>
      </c>
      <c r="J3095" t="s">
        <v>1561</v>
      </c>
      <c r="L3095" s="9" t="e">
        <f t="shared" si="163"/>
        <v>#VALUE!</v>
      </c>
    </row>
    <row r="3096" spans="1:12" x14ac:dyDescent="0.35">
      <c r="A3096" s="9">
        <f t="shared" si="164"/>
        <v>3095</v>
      </c>
      <c r="B3096" t="s">
        <v>109</v>
      </c>
      <c r="C3096" s="109">
        <f>IF(ISBLANK(K3096),IFERROR(VLOOKUP(I3096,FS_input_data!$C$458:$N$648,Export!J3096,FALSE),""),K3096)</f>
        <v>17000</v>
      </c>
      <c r="D3096" s="102" t="b">
        <v>0</v>
      </c>
      <c r="E3096" t="s">
        <v>1561</v>
      </c>
      <c r="F3096" s="102" t="s">
        <v>1842</v>
      </c>
      <c r="G3096" s="102" t="b">
        <f>IF(RP_tax,TRUE,VLOOKUP($I$3072,FS_input_data!$C$458:$N$648,Export!$J$3072,FALSE)="")</f>
        <v>1</v>
      </c>
      <c r="H3096" s="6" t="s">
        <v>2189</v>
      </c>
      <c r="I3096" t="s">
        <v>1842</v>
      </c>
      <c r="J3096">
        <v>10</v>
      </c>
      <c r="L3096" s="9" t="e">
        <f t="shared" si="163"/>
        <v>#VALUE!</v>
      </c>
    </row>
    <row r="3097" spans="1:12" x14ac:dyDescent="0.35">
      <c r="A3097">
        <f t="shared" si="164"/>
        <v>3096</v>
      </c>
      <c r="B3097" t="s">
        <v>110</v>
      </c>
      <c r="C3097" s="109" t="str">
        <f>IF(ISBLANK(K3097),IFERROR(VLOOKUP(I3097,FS_input_data!$C$458:$N$648,Export!J3097,FALSE),""),K3097)</f>
        <v/>
      </c>
      <c r="D3097" s="102"/>
      <c r="E3097" t="s">
        <v>1561</v>
      </c>
      <c r="F3097" s="102" t="s">
        <v>1842</v>
      </c>
      <c r="G3097" s="102" t="b">
        <f>IF(RP_tax,TRUE,VLOOKUP($I$3072,FS_input_data!$C$458:$N$648,Export!$J$3072,FALSE)="")</f>
        <v>1</v>
      </c>
      <c r="H3097" s="6" t="s">
        <v>2189</v>
      </c>
      <c r="I3097" t="s">
        <v>1561</v>
      </c>
      <c r="J3097" t="s">
        <v>1561</v>
      </c>
      <c r="L3097">
        <f t="shared" si="163"/>
        <v>1</v>
      </c>
    </row>
    <row r="3098" spans="1:12" x14ac:dyDescent="0.35">
      <c r="A3098" s="9">
        <f t="shared" si="164"/>
        <v>3097</v>
      </c>
      <c r="B3098" t="s">
        <v>111</v>
      </c>
      <c r="C3098" s="109">
        <f>IF(ISBLANK(K3098),IFERROR(VLOOKUP(I3098,FS_input_data!$C$458:$N$648,Export!J3098,FALSE),""),K3098)</f>
        <v>8500</v>
      </c>
      <c r="D3098" s="102" t="b">
        <v>0</v>
      </c>
      <c r="E3098" t="s">
        <v>1561</v>
      </c>
      <c r="F3098" s="102" t="s">
        <v>1842</v>
      </c>
      <c r="G3098" s="102" t="b">
        <f>IF(RP_tax,TRUE,VLOOKUP($I$3072,FS_input_data!$C$458:$N$648,Export!$J$3072,FALSE)="")</f>
        <v>1</v>
      </c>
      <c r="H3098" s="6" t="s">
        <v>2189</v>
      </c>
      <c r="I3098" t="s">
        <v>1842</v>
      </c>
      <c r="J3098">
        <v>11</v>
      </c>
      <c r="L3098" s="9" t="e">
        <f t="shared" si="163"/>
        <v>#VALUE!</v>
      </c>
    </row>
    <row r="3099" spans="1:12" x14ac:dyDescent="0.35">
      <c r="A3099">
        <f t="shared" si="164"/>
        <v>3098</v>
      </c>
      <c r="B3099" t="s">
        <v>112</v>
      </c>
      <c r="C3099" s="109" t="str">
        <f>IF(ISBLANK(K3099),IFERROR(VLOOKUP(I3099,FS_input_data!$C$458:$N$648,Export!J3099,FALSE),""),K3099)</f>
        <v/>
      </c>
      <c r="D3099" s="102"/>
      <c r="E3099" t="s">
        <v>1561</v>
      </c>
      <c r="F3099" s="102" t="s">
        <v>1842</v>
      </c>
      <c r="G3099" s="102" t="b">
        <f>IF(RP_tax,TRUE,VLOOKUP($I$3072,FS_input_data!$C$458:$N$648,Export!$J$3072,FALSE)="")</f>
        <v>1</v>
      </c>
      <c r="H3099" s="6" t="s">
        <v>2189</v>
      </c>
      <c r="I3099" t="s">
        <v>1561</v>
      </c>
      <c r="J3099" t="s">
        <v>1561</v>
      </c>
      <c r="L3099">
        <f t="shared" si="163"/>
        <v>1</v>
      </c>
    </row>
    <row r="3100" spans="1:12" x14ac:dyDescent="0.35">
      <c r="A3100" s="9">
        <f t="shared" si="164"/>
        <v>3099</v>
      </c>
      <c r="B3100" t="s">
        <v>749</v>
      </c>
      <c r="C3100" s="109">
        <f>IF(ISBLANK(K3100),IFERROR(VLOOKUP(I3100,FS_input_data!$C$458:$N$648,Export!J3100,FALSE),""),K3100)</f>
        <v>8500</v>
      </c>
      <c r="D3100" s="102" t="b">
        <v>0</v>
      </c>
      <c r="E3100" t="s">
        <v>1561</v>
      </c>
      <c r="F3100" s="102" t="s">
        <v>1842</v>
      </c>
      <c r="G3100" s="102" t="b">
        <f>IF(RP_tax,TRUE,VLOOKUP($I$3072,FS_input_data!$C$458:$N$648,Export!$J$3072,FALSE)="")</f>
        <v>1</v>
      </c>
      <c r="H3100" s="6" t="s">
        <v>2189</v>
      </c>
      <c r="I3100" t="s">
        <v>1842</v>
      </c>
      <c r="J3100">
        <v>12</v>
      </c>
      <c r="L3100" s="9" t="e">
        <f t="shared" si="163"/>
        <v>#VALUE!</v>
      </c>
    </row>
    <row r="3101" spans="1:12" x14ac:dyDescent="0.35">
      <c r="A3101">
        <f t="shared" si="164"/>
        <v>3100</v>
      </c>
      <c r="B3101" t="s">
        <v>750</v>
      </c>
      <c r="C3101" s="109" t="str">
        <f>IF(ISBLANK(K3101),IFERROR(VLOOKUP(I3101,FS_input_data!$C$458:$N$648,Export!J3101,FALSE),""),K3101)</f>
        <v/>
      </c>
      <c r="D3101" s="102"/>
      <c r="E3101" t="s">
        <v>1561</v>
      </c>
      <c r="F3101" s="102" t="s">
        <v>1842</v>
      </c>
      <c r="G3101" s="102" t="b">
        <f>IF(RP_tax,TRUE,VLOOKUP($I$3072,FS_input_data!$C$458:$N$648,Export!$J$3072,FALSE)="")</f>
        <v>1</v>
      </c>
      <c r="H3101" s="6" t="s">
        <v>2189</v>
      </c>
      <c r="I3101" t="s">
        <v>1561</v>
      </c>
      <c r="J3101" t="s">
        <v>1561</v>
      </c>
      <c r="L3101">
        <f t="shared" si="163"/>
        <v>1</v>
      </c>
    </row>
    <row r="3102" spans="1:12" x14ac:dyDescent="0.35">
      <c r="A3102">
        <f t="shared" si="164"/>
        <v>3101</v>
      </c>
      <c r="B3102" t="s">
        <v>745</v>
      </c>
      <c r="C3102" s="109" t="str">
        <f>IF(ISBLANK(K3102),IFERROR(VLOOKUP(I3102,FS_input_data!$C$458:$N$648,Export!J3102,FALSE),""),K3102)</f>
        <v/>
      </c>
      <c r="D3102" s="102"/>
      <c r="E3102" t="s">
        <v>1561</v>
      </c>
      <c r="F3102" s="102" t="s">
        <v>1842</v>
      </c>
      <c r="G3102" s="102" t="b">
        <f>IF(RP_tax,TRUE,VLOOKUP($I$3072,FS_input_data!$C$458:$N$648,Export!$J$3072,FALSE)="")</f>
        <v>1</v>
      </c>
      <c r="H3102" s="6" t="s">
        <v>2189</v>
      </c>
      <c r="I3102" t="s">
        <v>1561</v>
      </c>
      <c r="J3102" t="s">
        <v>1561</v>
      </c>
      <c r="L3102">
        <f t="shared" si="163"/>
        <v>1</v>
      </c>
    </row>
    <row r="3103" spans="1:12" x14ac:dyDescent="0.35">
      <c r="A3103">
        <f t="shared" si="164"/>
        <v>3102</v>
      </c>
      <c r="B3103" t="s">
        <v>764</v>
      </c>
      <c r="C3103" s="109" t="str">
        <f>IF(ISBLANK(K3103),IFERROR(VLOOKUP(I3103,FS_input_data!$C$458:$N$648,Export!J3103,FALSE),""),K3103)</f>
        <v/>
      </c>
      <c r="D3103" s="102"/>
      <c r="E3103" t="s">
        <v>1561</v>
      </c>
      <c r="F3103" s="102" t="s">
        <v>1842</v>
      </c>
      <c r="G3103" s="102" t="b">
        <f>VLOOKUP($I$3072,FS_input_data!$C$458:$N$648,Export!$J$3072,FALSE)=""</f>
        <v>0</v>
      </c>
      <c r="H3103" s="6" t="s">
        <v>2189</v>
      </c>
      <c r="I3103" t="s">
        <v>1561</v>
      </c>
      <c r="J3103" t="s">
        <v>1561</v>
      </c>
      <c r="L3103">
        <f t="shared" si="163"/>
        <v>1</v>
      </c>
    </row>
    <row r="3104" spans="1:12" x14ac:dyDescent="0.35">
      <c r="A3104">
        <f t="shared" si="164"/>
        <v>3103</v>
      </c>
      <c r="B3104" t="s">
        <v>765</v>
      </c>
      <c r="C3104" s="109" t="str">
        <f>IF(ISBLANK(K3104),IFERROR(VLOOKUP(I3104,FS_input_data!$C$458:$N$648,Export!J3104,FALSE),""),K3104)</f>
        <v/>
      </c>
      <c r="D3104" s="102"/>
      <c r="E3104" t="s">
        <v>1561</v>
      </c>
      <c r="F3104" s="102" t="s">
        <v>1842</v>
      </c>
      <c r="G3104" s="102" t="b">
        <f>VLOOKUP($I$3072,FS_input_data!$C$458:$N$648,Export!$J$3072,FALSE)=""</f>
        <v>0</v>
      </c>
      <c r="H3104" s="6" t="s">
        <v>2189</v>
      </c>
      <c r="I3104" t="s">
        <v>1561</v>
      </c>
      <c r="J3104" t="s">
        <v>1561</v>
      </c>
      <c r="L3104">
        <f t="shared" si="163"/>
        <v>1</v>
      </c>
    </row>
    <row r="3105" spans="1:12" x14ac:dyDescent="0.35">
      <c r="A3105">
        <f t="shared" si="164"/>
        <v>3104</v>
      </c>
      <c r="B3105" t="s">
        <v>752</v>
      </c>
      <c r="C3105" s="109" t="str">
        <f>IF(ISBLANK(K3105),IFERROR(VLOOKUP(I3105,FS_input_data!$C$458:$N$648,Export!J3105,FALSE),""),K3105)</f>
        <v/>
      </c>
      <c r="D3105" s="105"/>
      <c r="E3105" t="s">
        <v>1561</v>
      </c>
      <c r="F3105" s="105" t="s">
        <v>1845</v>
      </c>
      <c r="G3105" s="105" t="b">
        <f>VLOOKUP($I$3106,FS_input_data!$C$458:$N$648,Export!$J$3106,FALSE)=""</f>
        <v>0</v>
      </c>
      <c r="H3105" s="6" t="s">
        <v>2189</v>
      </c>
      <c r="I3105" t="s">
        <v>1561</v>
      </c>
      <c r="J3105" t="s">
        <v>1561</v>
      </c>
      <c r="L3105" s="9" t="e">
        <f t="shared" si="163"/>
        <v>#VALUE!</v>
      </c>
    </row>
    <row r="3106" spans="1:12" x14ac:dyDescent="0.35">
      <c r="A3106" s="9">
        <f t="shared" si="164"/>
        <v>3105</v>
      </c>
      <c r="B3106" t="s">
        <v>101</v>
      </c>
      <c r="C3106" s="109" t="str">
        <f>IF(ISBLANK(K3106),IFERROR(VLOOKUP(I3106,FS_input_data!$C$458:$N$648,Export!J3106,FALSE),""),K3106)</f>
        <v>OB18</v>
      </c>
      <c r="D3106" s="105" t="b">
        <v>1</v>
      </c>
      <c r="E3106" t="s">
        <v>1561</v>
      </c>
      <c r="F3106" s="105" t="s">
        <v>1845</v>
      </c>
      <c r="G3106" s="105" t="b">
        <f>VLOOKUP($I$3106,FS_input_data!$C$458:$N$648,Export!$J$3106,FALSE)=""</f>
        <v>0</v>
      </c>
      <c r="H3106" s="6" t="s">
        <v>2189</v>
      </c>
      <c r="I3106" t="s">
        <v>1845</v>
      </c>
      <c r="J3106">
        <v>6</v>
      </c>
      <c r="L3106" s="9" t="e">
        <f t="shared" si="163"/>
        <v>#VALUE!</v>
      </c>
    </row>
    <row r="3107" spans="1:12" x14ac:dyDescent="0.35">
      <c r="A3107">
        <f t="shared" si="164"/>
        <v>3106</v>
      </c>
      <c r="B3107" t="s">
        <v>102</v>
      </c>
      <c r="C3107" s="109" t="str">
        <f>IF(ISBLANK(K3107),IFERROR(VLOOKUP(I3107,FS_input_data!$C$458:$N$648,Export!J3107,FALSE),""),K3107)</f>
        <v/>
      </c>
      <c r="D3107" s="105"/>
      <c r="E3107" t="s">
        <v>1561</v>
      </c>
      <c r="F3107" s="105" t="s">
        <v>1845</v>
      </c>
      <c r="G3107" s="105" t="b">
        <f>VLOOKUP($I$3106,FS_input_data!$C$458:$N$648,Export!$J$3106,FALSE)=""</f>
        <v>0</v>
      </c>
      <c r="H3107" s="6" t="s">
        <v>2189</v>
      </c>
      <c r="I3107" t="s">
        <v>1561</v>
      </c>
      <c r="J3107" t="s">
        <v>1561</v>
      </c>
      <c r="L3107">
        <f t="shared" si="163"/>
        <v>1</v>
      </c>
    </row>
    <row r="3108" spans="1:12" x14ac:dyDescent="0.35">
      <c r="A3108">
        <f t="shared" si="164"/>
        <v>3107</v>
      </c>
      <c r="B3108" t="s">
        <v>753</v>
      </c>
      <c r="C3108" s="109" t="str">
        <f>IF(ISBLANK(K3108),IFERROR(VLOOKUP(I3108,FS_input_data!$C$458:$N$648,Export!J3108,FALSE),""),K3108)</f>
        <v/>
      </c>
      <c r="D3108" s="105"/>
      <c r="E3108" t="s">
        <v>1561</v>
      </c>
      <c r="F3108" s="105" t="s">
        <v>1845</v>
      </c>
      <c r="G3108" s="105" t="b">
        <f>VLOOKUP($I$3106,FS_input_data!$C$458:$N$648,Export!$J$3106,FALSE)=""</f>
        <v>0</v>
      </c>
      <c r="H3108" s="6" t="s">
        <v>2189</v>
      </c>
      <c r="I3108" t="s">
        <v>1561</v>
      </c>
      <c r="J3108" t="s">
        <v>1561</v>
      </c>
      <c r="L3108" s="9" t="e">
        <f t="shared" si="163"/>
        <v>#VALUE!</v>
      </c>
    </row>
    <row r="3109" spans="1:12" x14ac:dyDescent="0.35">
      <c r="A3109">
        <f t="shared" si="164"/>
        <v>3108</v>
      </c>
      <c r="B3109" t="s">
        <v>742</v>
      </c>
      <c r="C3109" s="109" t="str">
        <f>IF(ISBLANK(K3109),IFERROR(VLOOKUP(I3109,FS_input_data!$C$458:$N$648,Export!J3109,FALSE),""),K3109)</f>
        <v/>
      </c>
      <c r="D3109" s="105"/>
      <c r="E3109" t="s">
        <v>1561</v>
      </c>
      <c r="F3109" s="105" t="s">
        <v>1845</v>
      </c>
      <c r="G3109" s="105" t="b">
        <f>VLOOKUP($I$3106,FS_input_data!$C$458:$N$648,Export!$J$3106,FALSE)=""</f>
        <v>0</v>
      </c>
      <c r="H3109" s="6" t="s">
        <v>2189</v>
      </c>
      <c r="I3109" t="s">
        <v>1561</v>
      </c>
      <c r="J3109" t="s">
        <v>1561</v>
      </c>
      <c r="L3109" s="9" t="e">
        <f t="shared" si="163"/>
        <v>#VALUE!</v>
      </c>
    </row>
    <row r="3110" spans="1:12" x14ac:dyDescent="0.35">
      <c r="A3110">
        <f t="shared" si="164"/>
        <v>3109</v>
      </c>
      <c r="B3110" t="s">
        <v>748</v>
      </c>
      <c r="C3110" s="109" t="str">
        <f>IF(ISBLANK(K3110),IFERROR(VLOOKUP(I3110,FS_input_data!$C$458:$N$648,Export!J3110,FALSE),""),K3110)</f>
        <v/>
      </c>
      <c r="D3110" s="105"/>
      <c r="E3110" t="s">
        <v>1561</v>
      </c>
      <c r="F3110" s="105" t="s">
        <v>1845</v>
      </c>
      <c r="G3110" s="105" t="b">
        <f>VLOOKUP($I$3106,FS_input_data!$C$458:$N$648,Export!$J$3106,FALSE)=""</f>
        <v>0</v>
      </c>
      <c r="H3110" s="6" t="s">
        <v>2189</v>
      </c>
      <c r="I3110" t="s">
        <v>1561</v>
      </c>
      <c r="J3110" t="s">
        <v>1561</v>
      </c>
      <c r="L3110" s="9" t="e">
        <f t="shared" si="163"/>
        <v>#VALUE!</v>
      </c>
    </row>
    <row r="3111" spans="1:12" x14ac:dyDescent="0.35">
      <c r="A3111" s="9">
        <f t="shared" si="164"/>
        <v>3110</v>
      </c>
      <c r="B3111" t="s">
        <v>109</v>
      </c>
      <c r="C3111" s="109">
        <f>IF(ISBLANK(K3111),IFERROR(VLOOKUP(I3111,FS_input_data!$C$458:$N$648,Export!J3111,FALSE),""),K3111)</f>
        <v>18000</v>
      </c>
      <c r="D3111" s="105" t="b">
        <v>1</v>
      </c>
      <c r="E3111" t="s">
        <v>1561</v>
      </c>
      <c r="F3111" s="105" t="s">
        <v>1845</v>
      </c>
      <c r="G3111" s="105" t="b">
        <f>VLOOKUP($I$3106,FS_input_data!$C$458:$N$648,Export!$J$3106,FALSE)=""</f>
        <v>0</v>
      </c>
      <c r="H3111" s="6" t="s">
        <v>2189</v>
      </c>
      <c r="I3111" t="s">
        <v>1845</v>
      </c>
      <c r="J3111">
        <v>7</v>
      </c>
      <c r="L3111" s="9" t="e">
        <f t="shared" si="163"/>
        <v>#VALUE!</v>
      </c>
    </row>
    <row r="3112" spans="1:12" x14ac:dyDescent="0.35">
      <c r="A3112">
        <f t="shared" si="164"/>
        <v>3111</v>
      </c>
      <c r="B3112" t="s">
        <v>110</v>
      </c>
      <c r="C3112" s="109" t="str">
        <f>IF(ISBLANK(K3112),IFERROR(VLOOKUP(I3112,FS_input_data!$C$458:$N$648,Export!J3112,FALSE),""),K3112)</f>
        <v/>
      </c>
      <c r="D3112" s="105"/>
      <c r="E3112" t="s">
        <v>1561</v>
      </c>
      <c r="F3112" s="105" t="s">
        <v>1845</v>
      </c>
      <c r="G3112" s="105" t="b">
        <f>VLOOKUP($I$3106,FS_input_data!$C$458:$N$648,Export!$J$3106,FALSE)=""</f>
        <v>0</v>
      </c>
      <c r="H3112" s="6" t="s">
        <v>2189</v>
      </c>
      <c r="I3112" t="s">
        <v>1561</v>
      </c>
      <c r="J3112" t="s">
        <v>1561</v>
      </c>
      <c r="L3112">
        <f t="shared" si="163"/>
        <v>1</v>
      </c>
    </row>
    <row r="3113" spans="1:12" x14ac:dyDescent="0.35">
      <c r="A3113" s="9">
        <f t="shared" si="164"/>
        <v>3112</v>
      </c>
      <c r="B3113" t="s">
        <v>111</v>
      </c>
      <c r="C3113" s="109">
        <f>IF(ISBLANK(K3113),IFERROR(VLOOKUP(I3113,FS_input_data!$C$458:$N$648,Export!J3113,FALSE),""),K3113)</f>
        <v>9000</v>
      </c>
      <c r="D3113" s="105" t="b">
        <v>0</v>
      </c>
      <c r="E3113" t="s">
        <v>1561</v>
      </c>
      <c r="F3113" s="105" t="s">
        <v>1845</v>
      </c>
      <c r="G3113" s="105" t="b">
        <f>VLOOKUP($I$3106,FS_input_data!$C$458:$N$648,Export!$J$3106,FALSE)=""</f>
        <v>0</v>
      </c>
      <c r="H3113" s="6" t="s">
        <v>2189</v>
      </c>
      <c r="I3113" t="s">
        <v>1845</v>
      </c>
      <c r="J3113">
        <v>8</v>
      </c>
      <c r="L3113" s="9" t="e">
        <f t="shared" si="163"/>
        <v>#VALUE!</v>
      </c>
    </row>
    <row r="3114" spans="1:12" x14ac:dyDescent="0.35">
      <c r="A3114">
        <f t="shared" si="164"/>
        <v>3113</v>
      </c>
      <c r="B3114" t="s">
        <v>112</v>
      </c>
      <c r="C3114" s="109" t="str">
        <f>IF(ISBLANK(K3114),IFERROR(VLOOKUP(I3114,FS_input_data!$C$458:$N$648,Export!J3114,FALSE),""),K3114)</f>
        <v/>
      </c>
      <c r="D3114" s="105"/>
      <c r="E3114" t="s">
        <v>1561</v>
      </c>
      <c r="F3114" s="105" t="s">
        <v>1845</v>
      </c>
      <c r="G3114" s="105" t="b">
        <f>VLOOKUP($I$3106,FS_input_data!$C$458:$N$648,Export!$J$3106,FALSE)=""</f>
        <v>0</v>
      </c>
      <c r="H3114" s="6" t="s">
        <v>2189</v>
      </c>
      <c r="I3114" t="s">
        <v>1561</v>
      </c>
      <c r="J3114" t="s">
        <v>1561</v>
      </c>
      <c r="L3114">
        <f t="shared" si="163"/>
        <v>1</v>
      </c>
    </row>
    <row r="3115" spans="1:12" x14ac:dyDescent="0.35">
      <c r="A3115" s="9">
        <f t="shared" si="164"/>
        <v>3114</v>
      </c>
      <c r="B3115" t="s">
        <v>749</v>
      </c>
      <c r="C3115" s="109">
        <f>IF(ISBLANK(K3115),IFERROR(VLOOKUP(I3115,FS_input_data!$C$458:$N$648,Export!J3115,FALSE),""),K3115)</f>
        <v>9000</v>
      </c>
      <c r="D3115" s="105" t="b">
        <v>0</v>
      </c>
      <c r="E3115" t="s">
        <v>1561</v>
      </c>
      <c r="F3115" s="105" t="s">
        <v>1845</v>
      </c>
      <c r="G3115" s="105" t="b">
        <f>VLOOKUP($I$3106,FS_input_data!$C$458:$N$648,Export!$J$3106,FALSE)=""</f>
        <v>0</v>
      </c>
      <c r="H3115" s="6" t="s">
        <v>2189</v>
      </c>
      <c r="I3115" t="s">
        <v>1845</v>
      </c>
      <c r="J3115">
        <v>9</v>
      </c>
      <c r="L3115" s="9" t="e">
        <f t="shared" si="163"/>
        <v>#VALUE!</v>
      </c>
    </row>
    <row r="3116" spans="1:12" x14ac:dyDescent="0.35">
      <c r="A3116">
        <f t="shared" si="164"/>
        <v>3115</v>
      </c>
      <c r="B3116" t="s">
        <v>750</v>
      </c>
      <c r="C3116" s="109" t="str">
        <f>IF(ISBLANK(K3116),IFERROR(VLOOKUP(I3116,FS_input_data!$C$458:$N$648,Export!J3116,FALSE),""),K3116)</f>
        <v/>
      </c>
      <c r="D3116" s="105"/>
      <c r="E3116" t="s">
        <v>1561</v>
      </c>
      <c r="F3116" s="105" t="s">
        <v>1845</v>
      </c>
      <c r="G3116" s="105" t="b">
        <f>VLOOKUP($I$3106,FS_input_data!$C$458:$N$648,Export!$J$3106,FALSE)=""</f>
        <v>0</v>
      </c>
      <c r="H3116" s="6" t="s">
        <v>2189</v>
      </c>
      <c r="I3116" t="s">
        <v>1561</v>
      </c>
      <c r="J3116" t="s">
        <v>1561</v>
      </c>
      <c r="L3116">
        <f t="shared" si="163"/>
        <v>1</v>
      </c>
    </row>
    <row r="3117" spans="1:12" x14ac:dyDescent="0.35">
      <c r="A3117">
        <f t="shared" si="164"/>
        <v>3116</v>
      </c>
      <c r="B3117" t="s">
        <v>751</v>
      </c>
      <c r="C3117" s="109" t="str">
        <f>IF(ISBLANK(K3117),IFERROR(VLOOKUP(I3117,FS_input_data!$C$458:$N$648,Export!J3117,FALSE),""),K3117)</f>
        <v/>
      </c>
      <c r="D3117" s="105"/>
      <c r="E3117" t="s">
        <v>1561</v>
      </c>
      <c r="F3117" s="105" t="s">
        <v>1845</v>
      </c>
      <c r="G3117" s="105" t="b">
        <f>VLOOKUP($I$3106,FS_input_data!$C$458:$N$648,Export!$J$3106,FALSE)=""</f>
        <v>0</v>
      </c>
      <c r="H3117" s="6" t="s">
        <v>2189</v>
      </c>
      <c r="I3117" t="s">
        <v>1561</v>
      </c>
      <c r="J3117" t="s">
        <v>1561</v>
      </c>
      <c r="L3117">
        <f t="shared" si="163"/>
        <v>1</v>
      </c>
    </row>
    <row r="3118" spans="1:12" x14ac:dyDescent="0.35">
      <c r="A3118">
        <f t="shared" si="164"/>
        <v>3117</v>
      </c>
      <c r="B3118" t="s">
        <v>754</v>
      </c>
      <c r="C3118" s="109" t="str">
        <f>IF(ISBLANK(K3118),IFERROR(VLOOKUP(I3118,FS_input_data!$C$458:$N$648,Export!J3118,FALSE),""),K3118)</f>
        <v/>
      </c>
      <c r="D3118" s="105"/>
      <c r="E3118" t="s">
        <v>1561</v>
      </c>
      <c r="F3118" s="105" t="s">
        <v>1845</v>
      </c>
      <c r="G3118" s="105" t="b">
        <f>VLOOKUP($I$3106,FS_input_data!$C$458:$N$648,Export!$J$3106,FALSE)=""</f>
        <v>0</v>
      </c>
      <c r="H3118" s="6" t="s">
        <v>2189</v>
      </c>
      <c r="I3118" t="s">
        <v>1561</v>
      </c>
      <c r="J3118" t="s">
        <v>1561</v>
      </c>
      <c r="L3118" s="9" t="e">
        <f t="shared" si="163"/>
        <v>#VALUE!</v>
      </c>
    </row>
    <row r="3119" spans="1:12" x14ac:dyDescent="0.35">
      <c r="A3119" s="9">
        <f t="shared" si="164"/>
        <v>3118</v>
      </c>
      <c r="B3119" t="s">
        <v>755</v>
      </c>
      <c r="C3119" s="109">
        <f>IF(ISBLANK(K3119),IFERROR(VLOOKUP(I3119,FS_input_data!$C$458:$N$648,Export!J3119,FALSE),""),K3119)</f>
        <v>18</v>
      </c>
      <c r="D3119" s="105" t="b">
        <v>1</v>
      </c>
      <c r="E3119" t="s">
        <v>1561</v>
      </c>
      <c r="F3119" s="105" t="s">
        <v>1845</v>
      </c>
      <c r="G3119" s="105" t="b">
        <f>VLOOKUP($I$3106,FS_input_data!$C$458:$N$648,Export!$J$3106,FALSE)=""</f>
        <v>0</v>
      </c>
      <c r="H3119" s="6" t="s">
        <v>2189</v>
      </c>
      <c r="I3119" t="s">
        <v>1845</v>
      </c>
      <c r="J3119">
        <v>2</v>
      </c>
      <c r="L3119" s="9" t="e">
        <f t="shared" si="163"/>
        <v>#VALUE!</v>
      </c>
    </row>
    <row r="3120" spans="1:12" x14ac:dyDescent="0.35">
      <c r="A3120">
        <f t="shared" si="164"/>
        <v>3119</v>
      </c>
      <c r="B3120" t="s">
        <v>756</v>
      </c>
      <c r="C3120" s="109" t="str">
        <f>IF(ISBLANK(K3120),IFERROR(VLOOKUP(I3120,FS_input_data!$C$458:$N$648,Export!J3120,FALSE),""),K3120)</f>
        <v/>
      </c>
      <c r="D3120" s="105"/>
      <c r="E3120" t="s">
        <v>1561</v>
      </c>
      <c r="F3120" s="105" t="s">
        <v>1845</v>
      </c>
      <c r="G3120" s="105" t="b">
        <f>VLOOKUP($I$3106,FS_input_data!$C$458:$N$648,Export!$J$3106,FALSE)=""</f>
        <v>0</v>
      </c>
      <c r="H3120" s="6" t="s">
        <v>2189</v>
      </c>
      <c r="I3120" t="s">
        <v>1561</v>
      </c>
      <c r="J3120" t="s">
        <v>1561</v>
      </c>
      <c r="L3120">
        <f t="shared" si="163"/>
        <v>1</v>
      </c>
    </row>
    <row r="3121" spans="1:12" x14ac:dyDescent="0.35">
      <c r="A3121" s="9">
        <f t="shared" si="164"/>
        <v>3120</v>
      </c>
      <c r="B3121" t="s">
        <v>757</v>
      </c>
      <c r="C3121" s="109">
        <f>IF(ISBLANK(K3121),IFERROR(VLOOKUP(I3121,FS_input_data!$C$458:$N$648,Export!J3121,FALSE),""),K3121)</f>
        <v>118</v>
      </c>
      <c r="D3121" s="105" t="b">
        <v>0</v>
      </c>
      <c r="E3121" t="s">
        <v>1561</v>
      </c>
      <c r="F3121" s="105" t="s">
        <v>1845</v>
      </c>
      <c r="G3121" s="105" t="b">
        <f>VLOOKUP($I$3106,FS_input_data!$C$458:$N$648,Export!$J$3106,FALSE)=""</f>
        <v>0</v>
      </c>
      <c r="H3121" s="6" t="s">
        <v>2189</v>
      </c>
      <c r="I3121" t="s">
        <v>1845</v>
      </c>
      <c r="J3121">
        <v>3</v>
      </c>
      <c r="L3121" s="9" t="e">
        <f t="shared" si="163"/>
        <v>#VALUE!</v>
      </c>
    </row>
    <row r="3122" spans="1:12" x14ac:dyDescent="0.35">
      <c r="A3122">
        <f t="shared" si="164"/>
        <v>3121</v>
      </c>
      <c r="B3122" t="s">
        <v>758</v>
      </c>
      <c r="C3122" s="109" t="str">
        <f>IF(ISBLANK(K3122),IFERROR(VLOOKUP(I3122,FS_input_data!$C$458:$N$648,Export!J3122,FALSE),""),K3122)</f>
        <v/>
      </c>
      <c r="D3122" s="105"/>
      <c r="E3122" t="s">
        <v>1561</v>
      </c>
      <c r="F3122" s="105" t="s">
        <v>1845</v>
      </c>
      <c r="G3122" s="105" t="b">
        <f>VLOOKUP($I$3106,FS_input_data!$C$458:$N$648,Export!$J$3106,FALSE)=""</f>
        <v>0</v>
      </c>
      <c r="H3122" s="6" t="s">
        <v>2189</v>
      </c>
      <c r="I3122" t="s">
        <v>1561</v>
      </c>
      <c r="J3122" t="s">
        <v>1561</v>
      </c>
      <c r="L3122">
        <f t="shared" si="163"/>
        <v>1</v>
      </c>
    </row>
    <row r="3123" spans="1:12" x14ac:dyDescent="0.35">
      <c r="A3123" s="9">
        <f t="shared" si="164"/>
        <v>3122</v>
      </c>
      <c r="B3123" t="s">
        <v>759</v>
      </c>
      <c r="C3123" s="109">
        <f>IF(ISBLANK(K3123),IFERROR(VLOOKUP(I3123,FS_input_data!$C$458:$N$648,Export!J3123,FALSE),""),K3123)</f>
        <v>218</v>
      </c>
      <c r="D3123" s="105" t="b">
        <v>0</v>
      </c>
      <c r="E3123" t="s">
        <v>1561</v>
      </c>
      <c r="F3123" s="105" t="s">
        <v>1845</v>
      </c>
      <c r="G3123" s="105" t="b">
        <f>VLOOKUP($I$3106,FS_input_data!$C$458:$N$648,Export!$J$3106,FALSE)=""</f>
        <v>0</v>
      </c>
      <c r="H3123" s="6" t="s">
        <v>2189</v>
      </c>
      <c r="I3123" t="s">
        <v>1845</v>
      </c>
      <c r="J3123">
        <v>4</v>
      </c>
      <c r="L3123" s="9" t="e">
        <f t="shared" si="163"/>
        <v>#VALUE!</v>
      </c>
    </row>
    <row r="3124" spans="1:12" x14ac:dyDescent="0.35">
      <c r="A3124">
        <f t="shared" si="164"/>
        <v>3123</v>
      </c>
      <c r="B3124" t="s">
        <v>760</v>
      </c>
      <c r="C3124" s="109" t="str">
        <f>IF(ISBLANK(K3124),IFERROR(VLOOKUP(I3124,FS_input_data!$C$458:$N$648,Export!J3124,FALSE),""),K3124)</f>
        <v/>
      </c>
      <c r="D3124" s="105"/>
      <c r="E3124" t="s">
        <v>1561</v>
      </c>
      <c r="F3124" s="105" t="s">
        <v>1845</v>
      </c>
      <c r="G3124" s="105" t="b">
        <f>VLOOKUP($I$3106,FS_input_data!$C$458:$N$648,Export!$J$3106,FALSE)=""</f>
        <v>0</v>
      </c>
      <c r="H3124" s="6" t="s">
        <v>2189</v>
      </c>
      <c r="I3124" t="s">
        <v>1561</v>
      </c>
      <c r="J3124" t="s">
        <v>1561</v>
      </c>
      <c r="L3124">
        <f t="shared" si="163"/>
        <v>1</v>
      </c>
    </row>
    <row r="3125" spans="1:12" x14ac:dyDescent="0.35">
      <c r="A3125" s="9">
        <f t="shared" si="164"/>
        <v>3124</v>
      </c>
      <c r="B3125" t="s">
        <v>761</v>
      </c>
      <c r="C3125" s="109" t="str">
        <f>IF(ISBLANK(K3125),IFERROR(VLOOKUP(I3125,FS_input_data!$C$458:$N$648,Export!J3125,FALSE),""),K3125)</f>
        <v>s</v>
      </c>
      <c r="D3125" s="105" t="b">
        <v>0</v>
      </c>
      <c r="E3125" t="s">
        <v>1561</v>
      </c>
      <c r="F3125" s="105" t="s">
        <v>1845</v>
      </c>
      <c r="G3125" s="105" t="b">
        <f>VLOOKUP($I$3106,FS_input_data!$C$458:$N$648,Export!$J$3106,FALSE)=""</f>
        <v>0</v>
      </c>
      <c r="H3125" s="6" t="s">
        <v>2189</v>
      </c>
      <c r="I3125" t="s">
        <v>1845</v>
      </c>
      <c r="J3125">
        <v>5</v>
      </c>
      <c r="L3125" s="9" t="e">
        <f t="shared" si="163"/>
        <v>#VALUE!</v>
      </c>
    </row>
    <row r="3126" spans="1:12" x14ac:dyDescent="0.35">
      <c r="A3126">
        <f t="shared" si="164"/>
        <v>3125</v>
      </c>
      <c r="B3126" t="s">
        <v>762</v>
      </c>
      <c r="C3126" s="109" t="str">
        <f>IF(ISBLANK(K3126),IFERROR(VLOOKUP(I3126,FS_input_data!$C$458:$N$648,Export!J3126,FALSE),""),K3126)</f>
        <v/>
      </c>
      <c r="D3126" s="105"/>
      <c r="E3126" t="s">
        <v>1561</v>
      </c>
      <c r="F3126" s="105" t="s">
        <v>1845</v>
      </c>
      <c r="G3126" s="105" t="b">
        <f>VLOOKUP($I$3106,FS_input_data!$C$458:$N$648,Export!$J$3106,FALSE)=""</f>
        <v>0</v>
      </c>
      <c r="H3126" s="6" t="s">
        <v>2189</v>
      </c>
      <c r="I3126" t="s">
        <v>1561</v>
      </c>
      <c r="J3126" t="s">
        <v>1561</v>
      </c>
      <c r="L3126">
        <f t="shared" si="163"/>
        <v>1</v>
      </c>
    </row>
    <row r="3127" spans="1:12" x14ac:dyDescent="0.35">
      <c r="A3127">
        <f t="shared" si="164"/>
        <v>3126</v>
      </c>
      <c r="B3127" t="s">
        <v>763</v>
      </c>
      <c r="C3127" s="109" t="str">
        <f>IF(ISBLANK(K3127),IFERROR(VLOOKUP(I3127,FS_input_data!$C$458:$N$648,Export!J3127,FALSE),""),K3127)</f>
        <v/>
      </c>
      <c r="D3127" s="105"/>
      <c r="E3127" t="s">
        <v>1561</v>
      </c>
      <c r="F3127" s="105" t="s">
        <v>1845</v>
      </c>
      <c r="G3127" s="105" t="b">
        <f>VLOOKUP($I$3106,FS_input_data!$C$458:$N$648,Export!$J$3106,FALSE)=""</f>
        <v>0</v>
      </c>
      <c r="H3127" s="6" t="s">
        <v>2189</v>
      </c>
      <c r="I3127" t="s">
        <v>1561</v>
      </c>
      <c r="J3127" t="s">
        <v>1561</v>
      </c>
      <c r="L3127">
        <f t="shared" si="163"/>
        <v>1</v>
      </c>
    </row>
    <row r="3128" spans="1:12" x14ac:dyDescent="0.35">
      <c r="A3128">
        <f t="shared" si="164"/>
        <v>3127</v>
      </c>
      <c r="B3128" t="s">
        <v>743</v>
      </c>
      <c r="C3128" s="109" t="str">
        <f>IF(ISBLANK(K3128),IFERROR(VLOOKUP(I3128,FS_input_data!$C$458:$N$648,Export!J3128,FALSE),""),K3128)</f>
        <v/>
      </c>
      <c r="D3128" s="105"/>
      <c r="E3128" t="s">
        <v>1561</v>
      </c>
      <c r="F3128" s="105" t="s">
        <v>1845</v>
      </c>
      <c r="G3128" s="105" t="b">
        <f>VLOOKUP($I$3106,FS_input_data!$C$458:$N$648,Export!$J$3106,FALSE)=""</f>
        <v>0</v>
      </c>
      <c r="H3128" s="6" t="s">
        <v>2189</v>
      </c>
      <c r="I3128" t="s">
        <v>1561</v>
      </c>
      <c r="J3128" t="s">
        <v>1561</v>
      </c>
      <c r="L3128">
        <f t="shared" si="163"/>
        <v>1</v>
      </c>
    </row>
    <row r="3129" spans="1:12" x14ac:dyDescent="0.35">
      <c r="A3129">
        <f t="shared" si="164"/>
        <v>3128</v>
      </c>
      <c r="B3129" t="s">
        <v>744</v>
      </c>
      <c r="C3129" s="109" t="str">
        <f>IF(ISBLANK(K3129),IFERROR(VLOOKUP(I3129,FS_input_data!$C$458:$N$648,Export!J3129,FALSE),""),K3129)</f>
        <v/>
      </c>
      <c r="D3129" s="105"/>
      <c r="E3129" t="s">
        <v>1561</v>
      </c>
      <c r="F3129" s="105" t="s">
        <v>1845</v>
      </c>
      <c r="G3129" s="105" t="b">
        <f>IF(RP_tax,TRUE,VLOOKUP($I$3106,FS_input_data!$C$458:$N$648,Export!$J$3106,FALSE)="")</f>
        <v>1</v>
      </c>
      <c r="H3129" s="6" t="s">
        <v>2189</v>
      </c>
      <c r="I3129" t="s">
        <v>1561</v>
      </c>
      <c r="J3129" t="s">
        <v>1561</v>
      </c>
      <c r="L3129" s="9" t="e">
        <f t="shared" si="163"/>
        <v>#VALUE!</v>
      </c>
    </row>
    <row r="3130" spans="1:12" x14ac:dyDescent="0.35">
      <c r="A3130" s="9">
        <f t="shared" si="164"/>
        <v>3129</v>
      </c>
      <c r="B3130" t="s">
        <v>109</v>
      </c>
      <c r="C3130" s="109">
        <f>IF(ISBLANK(K3130),IFERROR(VLOOKUP(I3130,FS_input_data!$C$458:$N$648,Export!J3130,FALSE),""),K3130)</f>
        <v>18000</v>
      </c>
      <c r="D3130" s="105" t="b">
        <v>0</v>
      </c>
      <c r="E3130" t="s">
        <v>1561</v>
      </c>
      <c r="F3130" s="105" t="s">
        <v>1845</v>
      </c>
      <c r="G3130" s="105" t="b">
        <f>IF(RP_tax,TRUE,VLOOKUP($I$3106,FS_input_data!$C$458:$N$648,Export!$J$3106,FALSE)="")</f>
        <v>1</v>
      </c>
      <c r="H3130" s="6" t="s">
        <v>2189</v>
      </c>
      <c r="I3130" t="s">
        <v>1845</v>
      </c>
      <c r="J3130">
        <v>10</v>
      </c>
      <c r="L3130" s="9" t="e">
        <f t="shared" si="163"/>
        <v>#VALUE!</v>
      </c>
    </row>
    <row r="3131" spans="1:12" x14ac:dyDescent="0.35">
      <c r="A3131">
        <f t="shared" si="164"/>
        <v>3130</v>
      </c>
      <c r="B3131" t="s">
        <v>110</v>
      </c>
      <c r="C3131" s="109" t="str">
        <f>IF(ISBLANK(K3131),IFERROR(VLOOKUP(I3131,FS_input_data!$C$458:$N$648,Export!J3131,FALSE),""),K3131)</f>
        <v/>
      </c>
      <c r="D3131" s="105"/>
      <c r="E3131" t="s">
        <v>1561</v>
      </c>
      <c r="F3131" s="105" t="s">
        <v>1845</v>
      </c>
      <c r="G3131" s="105" t="b">
        <f>IF(RP_tax,TRUE,VLOOKUP($I$3106,FS_input_data!$C$458:$N$648,Export!$J$3106,FALSE)="")</f>
        <v>1</v>
      </c>
      <c r="H3131" s="6" t="s">
        <v>2189</v>
      </c>
      <c r="I3131" t="s">
        <v>1561</v>
      </c>
      <c r="J3131" t="s">
        <v>1561</v>
      </c>
      <c r="L3131">
        <f t="shared" si="163"/>
        <v>1</v>
      </c>
    </row>
    <row r="3132" spans="1:12" x14ac:dyDescent="0.35">
      <c r="A3132" s="9">
        <f t="shared" si="164"/>
        <v>3131</v>
      </c>
      <c r="B3132" t="s">
        <v>111</v>
      </c>
      <c r="C3132" s="109">
        <f>IF(ISBLANK(K3132),IFERROR(VLOOKUP(I3132,FS_input_data!$C$458:$N$648,Export!J3132,FALSE),""),K3132)</f>
        <v>9000</v>
      </c>
      <c r="D3132" s="105" t="b">
        <v>0</v>
      </c>
      <c r="E3132" t="s">
        <v>1561</v>
      </c>
      <c r="F3132" s="105" t="s">
        <v>1845</v>
      </c>
      <c r="G3132" s="105" t="b">
        <f>IF(RP_tax,TRUE,VLOOKUP($I$3106,FS_input_data!$C$458:$N$648,Export!$J$3106,FALSE)="")</f>
        <v>1</v>
      </c>
      <c r="H3132" s="6" t="s">
        <v>2189</v>
      </c>
      <c r="I3132" t="s">
        <v>1845</v>
      </c>
      <c r="J3132">
        <v>11</v>
      </c>
      <c r="L3132" s="9" t="e">
        <f t="shared" si="163"/>
        <v>#VALUE!</v>
      </c>
    </row>
    <row r="3133" spans="1:12" x14ac:dyDescent="0.35">
      <c r="A3133">
        <f t="shared" si="164"/>
        <v>3132</v>
      </c>
      <c r="B3133" t="s">
        <v>112</v>
      </c>
      <c r="C3133" s="109" t="str">
        <f>IF(ISBLANK(K3133),IFERROR(VLOOKUP(I3133,FS_input_data!$C$458:$N$648,Export!J3133,FALSE),""),K3133)</f>
        <v/>
      </c>
      <c r="D3133" s="105"/>
      <c r="E3133" t="s">
        <v>1561</v>
      </c>
      <c r="F3133" s="105" t="s">
        <v>1845</v>
      </c>
      <c r="G3133" s="105" t="b">
        <f>IF(RP_tax,TRUE,VLOOKUP($I$3106,FS_input_data!$C$458:$N$648,Export!$J$3106,FALSE)="")</f>
        <v>1</v>
      </c>
      <c r="H3133" s="6" t="s">
        <v>2189</v>
      </c>
      <c r="I3133" t="s">
        <v>1561</v>
      </c>
      <c r="J3133" t="s">
        <v>1561</v>
      </c>
      <c r="L3133">
        <f t="shared" si="163"/>
        <v>1</v>
      </c>
    </row>
    <row r="3134" spans="1:12" x14ac:dyDescent="0.35">
      <c r="A3134" s="9">
        <f t="shared" si="164"/>
        <v>3133</v>
      </c>
      <c r="B3134" t="s">
        <v>749</v>
      </c>
      <c r="C3134" s="109">
        <f>IF(ISBLANK(K3134),IFERROR(VLOOKUP(I3134,FS_input_data!$C$458:$N$648,Export!J3134,FALSE),""),K3134)</f>
        <v>9000</v>
      </c>
      <c r="D3134" s="105" t="b">
        <v>0</v>
      </c>
      <c r="E3134" t="s">
        <v>1561</v>
      </c>
      <c r="F3134" s="105" t="s">
        <v>1845</v>
      </c>
      <c r="G3134" s="105" t="b">
        <f>IF(RP_tax,TRUE,VLOOKUP($I$3106,FS_input_data!$C$458:$N$648,Export!$J$3106,FALSE)="")</f>
        <v>1</v>
      </c>
      <c r="H3134" s="6" t="s">
        <v>2189</v>
      </c>
      <c r="I3134" t="s">
        <v>1845</v>
      </c>
      <c r="J3134">
        <v>12</v>
      </c>
      <c r="L3134" s="9" t="e">
        <f t="shared" si="163"/>
        <v>#VALUE!</v>
      </c>
    </row>
    <row r="3135" spans="1:12" x14ac:dyDescent="0.35">
      <c r="A3135">
        <f t="shared" si="164"/>
        <v>3134</v>
      </c>
      <c r="B3135" t="s">
        <v>750</v>
      </c>
      <c r="C3135" s="109" t="str">
        <f>IF(ISBLANK(K3135),IFERROR(VLOOKUP(I3135,FS_input_data!$C$458:$N$648,Export!J3135,FALSE),""),K3135)</f>
        <v/>
      </c>
      <c r="D3135" s="105"/>
      <c r="E3135" t="s">
        <v>1561</v>
      </c>
      <c r="F3135" s="105" t="s">
        <v>1845</v>
      </c>
      <c r="G3135" s="105" t="b">
        <f>IF(RP_tax,TRUE,VLOOKUP($I$3106,FS_input_data!$C$458:$N$648,Export!$J$3106,FALSE)="")</f>
        <v>1</v>
      </c>
      <c r="H3135" s="6" t="s">
        <v>2189</v>
      </c>
      <c r="I3135" t="s">
        <v>1561</v>
      </c>
      <c r="J3135" t="s">
        <v>1561</v>
      </c>
      <c r="L3135">
        <f t="shared" si="163"/>
        <v>1</v>
      </c>
    </row>
    <row r="3136" spans="1:12" x14ac:dyDescent="0.35">
      <c r="A3136">
        <f t="shared" si="164"/>
        <v>3135</v>
      </c>
      <c r="B3136" t="s">
        <v>745</v>
      </c>
      <c r="C3136" s="109" t="str">
        <f>IF(ISBLANK(K3136),IFERROR(VLOOKUP(I3136,FS_input_data!$C$458:$N$648,Export!J3136,FALSE),""),K3136)</f>
        <v/>
      </c>
      <c r="D3136" s="105"/>
      <c r="E3136" t="s">
        <v>1561</v>
      </c>
      <c r="F3136" s="105" t="s">
        <v>1845</v>
      </c>
      <c r="G3136" s="105" t="b">
        <f>IF(RP_tax,TRUE,VLOOKUP($I$3106,FS_input_data!$C$458:$N$648,Export!$J$3106,FALSE)="")</f>
        <v>1</v>
      </c>
      <c r="H3136" s="6" t="s">
        <v>2189</v>
      </c>
      <c r="I3136" t="s">
        <v>1561</v>
      </c>
      <c r="J3136" t="s">
        <v>1561</v>
      </c>
      <c r="L3136">
        <f t="shared" si="163"/>
        <v>1</v>
      </c>
    </row>
    <row r="3137" spans="1:12" x14ac:dyDescent="0.35">
      <c r="A3137">
        <f t="shared" si="164"/>
        <v>3136</v>
      </c>
      <c r="B3137" t="s">
        <v>764</v>
      </c>
      <c r="C3137" s="109" t="str">
        <f>IF(ISBLANK(K3137),IFERROR(VLOOKUP(I3137,FS_input_data!$C$458:$N$648,Export!J3137,FALSE),""),K3137)</f>
        <v/>
      </c>
      <c r="D3137" s="105"/>
      <c r="E3137" t="s">
        <v>1561</v>
      </c>
      <c r="F3137" s="105" t="s">
        <v>1845</v>
      </c>
      <c r="G3137" s="105" t="b">
        <f>VLOOKUP($I$3106,FS_input_data!$C$458:$N$648,Export!$J$3106,FALSE)=""</f>
        <v>0</v>
      </c>
      <c r="H3137" s="6" t="s">
        <v>2189</v>
      </c>
      <c r="I3137" t="s">
        <v>1561</v>
      </c>
      <c r="J3137" t="s">
        <v>1561</v>
      </c>
      <c r="L3137">
        <f t="shared" si="163"/>
        <v>1</v>
      </c>
    </row>
    <row r="3138" spans="1:12" x14ac:dyDescent="0.35">
      <c r="A3138">
        <f t="shared" si="164"/>
        <v>3137</v>
      </c>
      <c r="B3138" t="s">
        <v>765</v>
      </c>
      <c r="C3138" s="109" t="str">
        <f>IF(ISBLANK(K3138),IFERROR(VLOOKUP(I3138,FS_input_data!$C$458:$N$648,Export!J3138,FALSE),""),K3138)</f>
        <v/>
      </c>
      <c r="D3138" s="105"/>
      <c r="E3138" t="s">
        <v>1561</v>
      </c>
      <c r="F3138" s="105" t="s">
        <v>1845</v>
      </c>
      <c r="G3138" s="105" t="b">
        <f>VLOOKUP($I$3106,FS_input_data!$C$458:$N$648,Export!$J$3106,FALSE)=""</f>
        <v>0</v>
      </c>
      <c r="H3138" s="6" t="s">
        <v>2189</v>
      </c>
      <c r="I3138" t="s">
        <v>1561</v>
      </c>
      <c r="J3138" t="s">
        <v>1561</v>
      </c>
      <c r="L3138">
        <f t="shared" ref="L3138:L3201" si="165">FIND("/",B3138)</f>
        <v>1</v>
      </c>
    </row>
    <row r="3139" spans="1:12" x14ac:dyDescent="0.35">
      <c r="A3139">
        <f t="shared" ref="A3139:A3202" si="166">A3138+1</f>
        <v>3138</v>
      </c>
      <c r="B3139" t="s">
        <v>752</v>
      </c>
      <c r="C3139" s="109" t="str">
        <f>IF(ISBLANK(K3139),IFERROR(VLOOKUP(I3139,FS_input_data!$C$458:$N$648,Export!J3139,FALSE),""),K3139)</f>
        <v/>
      </c>
      <c r="D3139" s="102"/>
      <c r="E3139" t="s">
        <v>1561</v>
      </c>
      <c r="F3139" s="102" t="s">
        <v>1848</v>
      </c>
      <c r="G3139" s="102" t="b">
        <f>VLOOKUP($I$3140,FS_input_data!$C$458:$N$648,Export!$J$3140,FALSE)=""</f>
        <v>0</v>
      </c>
      <c r="H3139" s="6" t="s">
        <v>2189</v>
      </c>
      <c r="I3139" t="s">
        <v>1561</v>
      </c>
      <c r="J3139" t="s">
        <v>1561</v>
      </c>
      <c r="L3139" s="9" t="e">
        <f t="shared" si="165"/>
        <v>#VALUE!</v>
      </c>
    </row>
    <row r="3140" spans="1:12" x14ac:dyDescent="0.35">
      <c r="A3140" s="9">
        <f t="shared" si="166"/>
        <v>3139</v>
      </c>
      <c r="B3140" t="s">
        <v>101</v>
      </c>
      <c r="C3140" s="109" t="str">
        <f>IF(ISBLANK(K3140),IFERROR(VLOOKUP(I3140,FS_input_data!$C$458:$N$648,Export!J3140,FALSE),""),K3140)</f>
        <v>OB19</v>
      </c>
      <c r="D3140" s="102" t="b">
        <v>1</v>
      </c>
      <c r="E3140" t="s">
        <v>1561</v>
      </c>
      <c r="F3140" s="102" t="s">
        <v>1848</v>
      </c>
      <c r="G3140" s="102" t="b">
        <f>VLOOKUP($I$3140,FS_input_data!$C$458:$N$648,Export!$J$3140,FALSE)=""</f>
        <v>0</v>
      </c>
      <c r="H3140" s="6" t="s">
        <v>2189</v>
      </c>
      <c r="I3140" t="s">
        <v>1848</v>
      </c>
      <c r="J3140">
        <v>6</v>
      </c>
      <c r="L3140" s="9" t="e">
        <f t="shared" si="165"/>
        <v>#VALUE!</v>
      </c>
    </row>
    <row r="3141" spans="1:12" x14ac:dyDescent="0.35">
      <c r="A3141">
        <f t="shared" si="166"/>
        <v>3140</v>
      </c>
      <c r="B3141" t="s">
        <v>102</v>
      </c>
      <c r="C3141" s="109" t="str">
        <f>IF(ISBLANK(K3141),IFERROR(VLOOKUP(I3141,FS_input_data!$C$458:$N$648,Export!J3141,FALSE),""),K3141)</f>
        <v/>
      </c>
      <c r="D3141" s="102"/>
      <c r="E3141" t="s">
        <v>1561</v>
      </c>
      <c r="F3141" s="102" t="s">
        <v>1848</v>
      </c>
      <c r="G3141" s="102" t="b">
        <f>VLOOKUP($I$3140,FS_input_data!$C$458:$N$648,Export!$J$3140,FALSE)=""</f>
        <v>0</v>
      </c>
      <c r="H3141" s="6" t="s">
        <v>2189</v>
      </c>
      <c r="I3141" t="s">
        <v>1561</v>
      </c>
      <c r="J3141" t="s">
        <v>1561</v>
      </c>
      <c r="L3141">
        <f t="shared" si="165"/>
        <v>1</v>
      </c>
    </row>
    <row r="3142" spans="1:12" x14ac:dyDescent="0.35">
      <c r="A3142">
        <f t="shared" si="166"/>
        <v>3141</v>
      </c>
      <c r="B3142" t="s">
        <v>753</v>
      </c>
      <c r="C3142" s="109" t="str">
        <f>IF(ISBLANK(K3142),IFERROR(VLOOKUP(I3142,FS_input_data!$C$458:$N$648,Export!J3142,FALSE),""),K3142)</f>
        <v/>
      </c>
      <c r="D3142" s="102"/>
      <c r="E3142" t="s">
        <v>1561</v>
      </c>
      <c r="F3142" s="102" t="s">
        <v>1848</v>
      </c>
      <c r="G3142" s="102" t="b">
        <f>VLOOKUP($I$3140,FS_input_data!$C$458:$N$648,Export!$J$3140,FALSE)=""</f>
        <v>0</v>
      </c>
      <c r="H3142" s="6" t="s">
        <v>2189</v>
      </c>
      <c r="I3142" t="s">
        <v>1561</v>
      </c>
      <c r="J3142" t="s">
        <v>1561</v>
      </c>
      <c r="L3142" s="9" t="e">
        <f t="shared" si="165"/>
        <v>#VALUE!</v>
      </c>
    </row>
    <row r="3143" spans="1:12" x14ac:dyDescent="0.35">
      <c r="A3143">
        <f t="shared" si="166"/>
        <v>3142</v>
      </c>
      <c r="B3143" t="s">
        <v>742</v>
      </c>
      <c r="C3143" s="109" t="str">
        <f>IF(ISBLANK(K3143),IFERROR(VLOOKUP(I3143,FS_input_data!$C$458:$N$648,Export!J3143,FALSE),""),K3143)</f>
        <v/>
      </c>
      <c r="D3143" s="102"/>
      <c r="E3143" t="s">
        <v>1561</v>
      </c>
      <c r="F3143" s="102" t="s">
        <v>1848</v>
      </c>
      <c r="G3143" s="102" t="b">
        <f>VLOOKUP($I$3140,FS_input_data!$C$458:$N$648,Export!$J$3140,FALSE)=""</f>
        <v>0</v>
      </c>
      <c r="H3143" s="6" t="s">
        <v>2189</v>
      </c>
      <c r="I3143" t="s">
        <v>1561</v>
      </c>
      <c r="J3143" t="s">
        <v>1561</v>
      </c>
      <c r="L3143" s="9" t="e">
        <f t="shared" si="165"/>
        <v>#VALUE!</v>
      </c>
    </row>
    <row r="3144" spans="1:12" x14ac:dyDescent="0.35">
      <c r="A3144">
        <f t="shared" si="166"/>
        <v>3143</v>
      </c>
      <c r="B3144" t="s">
        <v>748</v>
      </c>
      <c r="C3144" s="109" t="str">
        <f>IF(ISBLANK(K3144),IFERROR(VLOOKUP(I3144,FS_input_data!$C$458:$N$648,Export!J3144,FALSE),""),K3144)</f>
        <v/>
      </c>
      <c r="D3144" s="102"/>
      <c r="F3144" s="102" t="s">
        <v>1848</v>
      </c>
      <c r="G3144" s="102" t="b">
        <f>VLOOKUP($I$3140,FS_input_data!$C$458:$N$648,Export!$J$3140,FALSE)=""</f>
        <v>0</v>
      </c>
      <c r="H3144" s="6" t="s">
        <v>2189</v>
      </c>
      <c r="I3144" t="s">
        <v>1561</v>
      </c>
      <c r="J3144" t="s">
        <v>1561</v>
      </c>
      <c r="L3144" s="9" t="e">
        <f t="shared" si="165"/>
        <v>#VALUE!</v>
      </c>
    </row>
    <row r="3145" spans="1:12" x14ac:dyDescent="0.35">
      <c r="A3145" s="9">
        <f t="shared" si="166"/>
        <v>3144</v>
      </c>
      <c r="B3145" t="s">
        <v>109</v>
      </c>
      <c r="C3145" s="109">
        <f>IF(ISBLANK(K3145),IFERROR(VLOOKUP(I3145,FS_input_data!$C$458:$N$648,Export!J3145,FALSE),""),K3145)</f>
        <v>19000</v>
      </c>
      <c r="D3145" s="102" t="b">
        <v>1</v>
      </c>
      <c r="E3145" t="s">
        <v>1561</v>
      </c>
      <c r="F3145" s="102" t="s">
        <v>1848</v>
      </c>
      <c r="G3145" s="102" t="b">
        <f>VLOOKUP($I$3140,FS_input_data!$C$458:$N$648,Export!$J$3140,FALSE)=""</f>
        <v>0</v>
      </c>
      <c r="H3145" s="6" t="s">
        <v>2189</v>
      </c>
      <c r="I3145" t="s">
        <v>1848</v>
      </c>
      <c r="J3145">
        <v>7</v>
      </c>
      <c r="L3145" s="9" t="e">
        <f t="shared" si="165"/>
        <v>#VALUE!</v>
      </c>
    </row>
    <row r="3146" spans="1:12" x14ac:dyDescent="0.35">
      <c r="A3146">
        <f t="shared" si="166"/>
        <v>3145</v>
      </c>
      <c r="B3146" t="s">
        <v>110</v>
      </c>
      <c r="C3146" s="109" t="str">
        <f>IF(ISBLANK(K3146),IFERROR(VLOOKUP(I3146,FS_input_data!$C$458:$N$648,Export!J3146,FALSE),""),K3146)</f>
        <v/>
      </c>
      <c r="D3146" s="102"/>
      <c r="E3146" t="s">
        <v>1561</v>
      </c>
      <c r="F3146" s="102" t="s">
        <v>1848</v>
      </c>
      <c r="G3146" s="102" t="b">
        <f>VLOOKUP($I$3140,FS_input_data!$C$458:$N$648,Export!$J$3140,FALSE)=""</f>
        <v>0</v>
      </c>
      <c r="H3146" s="6" t="s">
        <v>2189</v>
      </c>
      <c r="I3146" t="s">
        <v>1561</v>
      </c>
      <c r="J3146" t="s">
        <v>1561</v>
      </c>
      <c r="L3146">
        <f t="shared" si="165"/>
        <v>1</v>
      </c>
    </row>
    <row r="3147" spans="1:12" x14ac:dyDescent="0.35">
      <c r="A3147" s="9">
        <f t="shared" si="166"/>
        <v>3146</v>
      </c>
      <c r="B3147" t="s">
        <v>111</v>
      </c>
      <c r="C3147" s="109">
        <f>IF(ISBLANK(K3147),IFERROR(VLOOKUP(I3147,FS_input_data!$C$458:$N$648,Export!J3147,FALSE),""),K3147)</f>
        <v>9500</v>
      </c>
      <c r="D3147" s="102" t="b">
        <v>0</v>
      </c>
      <c r="E3147" t="s">
        <v>1561</v>
      </c>
      <c r="F3147" s="102" t="s">
        <v>1848</v>
      </c>
      <c r="G3147" s="102" t="b">
        <f>VLOOKUP($I$3140,FS_input_data!$C$458:$N$648,Export!$J$3140,FALSE)=""</f>
        <v>0</v>
      </c>
      <c r="H3147" s="6" t="s">
        <v>2189</v>
      </c>
      <c r="I3147" t="s">
        <v>1848</v>
      </c>
      <c r="J3147">
        <v>8</v>
      </c>
      <c r="L3147" s="9" t="e">
        <f t="shared" si="165"/>
        <v>#VALUE!</v>
      </c>
    </row>
    <row r="3148" spans="1:12" x14ac:dyDescent="0.35">
      <c r="A3148">
        <f t="shared" si="166"/>
        <v>3147</v>
      </c>
      <c r="B3148" t="s">
        <v>112</v>
      </c>
      <c r="C3148" s="109" t="str">
        <f>IF(ISBLANK(K3148),IFERROR(VLOOKUP(I3148,FS_input_data!$C$458:$N$648,Export!J3148,FALSE),""),K3148)</f>
        <v/>
      </c>
      <c r="D3148" s="102"/>
      <c r="E3148" t="s">
        <v>1561</v>
      </c>
      <c r="F3148" s="102" t="s">
        <v>1848</v>
      </c>
      <c r="G3148" s="102" t="b">
        <f>VLOOKUP($I$3140,FS_input_data!$C$458:$N$648,Export!$J$3140,FALSE)=""</f>
        <v>0</v>
      </c>
      <c r="H3148" s="6" t="s">
        <v>2189</v>
      </c>
      <c r="I3148" t="s">
        <v>1561</v>
      </c>
      <c r="J3148" t="s">
        <v>1561</v>
      </c>
      <c r="L3148">
        <f t="shared" si="165"/>
        <v>1</v>
      </c>
    </row>
    <row r="3149" spans="1:12" x14ac:dyDescent="0.35">
      <c r="A3149" s="9">
        <f t="shared" si="166"/>
        <v>3148</v>
      </c>
      <c r="B3149" t="s">
        <v>749</v>
      </c>
      <c r="C3149" s="109">
        <f>IF(ISBLANK(K3149),IFERROR(VLOOKUP(I3149,FS_input_data!$C$458:$N$648,Export!J3149,FALSE),""),K3149)</f>
        <v>9500</v>
      </c>
      <c r="D3149" s="102" t="b">
        <v>0</v>
      </c>
      <c r="E3149" t="s">
        <v>1561</v>
      </c>
      <c r="F3149" s="102" t="s">
        <v>1848</v>
      </c>
      <c r="G3149" s="102" t="b">
        <f>VLOOKUP($I$3140,FS_input_data!$C$458:$N$648,Export!$J$3140,FALSE)=""</f>
        <v>0</v>
      </c>
      <c r="H3149" s="6" t="s">
        <v>2189</v>
      </c>
      <c r="I3149" t="s">
        <v>1848</v>
      </c>
      <c r="J3149">
        <v>9</v>
      </c>
      <c r="L3149" s="9" t="e">
        <f t="shared" si="165"/>
        <v>#VALUE!</v>
      </c>
    </row>
    <row r="3150" spans="1:12" x14ac:dyDescent="0.35">
      <c r="A3150">
        <f t="shared" si="166"/>
        <v>3149</v>
      </c>
      <c r="B3150" t="s">
        <v>750</v>
      </c>
      <c r="C3150" s="109" t="str">
        <f>IF(ISBLANK(K3150),IFERROR(VLOOKUP(I3150,FS_input_data!$C$458:$N$648,Export!J3150,FALSE),""),K3150)</f>
        <v/>
      </c>
      <c r="D3150" s="102"/>
      <c r="E3150" t="s">
        <v>1561</v>
      </c>
      <c r="F3150" s="102" t="s">
        <v>1848</v>
      </c>
      <c r="G3150" s="102" t="b">
        <f>VLOOKUP($I$3140,FS_input_data!$C$458:$N$648,Export!$J$3140,FALSE)=""</f>
        <v>0</v>
      </c>
      <c r="H3150" s="6" t="s">
        <v>2189</v>
      </c>
      <c r="I3150" t="s">
        <v>1561</v>
      </c>
      <c r="J3150" t="s">
        <v>1561</v>
      </c>
      <c r="L3150">
        <f t="shared" si="165"/>
        <v>1</v>
      </c>
    </row>
    <row r="3151" spans="1:12" x14ac:dyDescent="0.35">
      <c r="A3151">
        <f t="shared" si="166"/>
        <v>3150</v>
      </c>
      <c r="B3151" t="s">
        <v>751</v>
      </c>
      <c r="C3151" s="109" t="str">
        <f>IF(ISBLANK(K3151),IFERROR(VLOOKUP(I3151,FS_input_data!$C$458:$N$648,Export!J3151,FALSE),""),K3151)</f>
        <v/>
      </c>
      <c r="D3151" s="102"/>
      <c r="E3151" t="s">
        <v>1561</v>
      </c>
      <c r="F3151" s="102" t="s">
        <v>1848</v>
      </c>
      <c r="G3151" s="102" t="b">
        <f>VLOOKUP($I$3140,FS_input_data!$C$458:$N$648,Export!$J$3140,FALSE)=""</f>
        <v>0</v>
      </c>
      <c r="H3151" s="6" t="s">
        <v>2189</v>
      </c>
      <c r="I3151" t="s">
        <v>1561</v>
      </c>
      <c r="J3151" t="s">
        <v>1561</v>
      </c>
      <c r="L3151">
        <f t="shared" si="165"/>
        <v>1</v>
      </c>
    </row>
    <row r="3152" spans="1:12" x14ac:dyDescent="0.35">
      <c r="A3152">
        <f t="shared" si="166"/>
        <v>3151</v>
      </c>
      <c r="B3152" t="s">
        <v>754</v>
      </c>
      <c r="C3152" s="109" t="str">
        <f>IF(ISBLANK(K3152),IFERROR(VLOOKUP(I3152,FS_input_data!$C$458:$N$648,Export!J3152,FALSE),""),K3152)</f>
        <v/>
      </c>
      <c r="D3152" s="102"/>
      <c r="E3152" t="s">
        <v>1561</v>
      </c>
      <c r="F3152" s="102" t="s">
        <v>1848</v>
      </c>
      <c r="G3152" s="102" t="b">
        <f>VLOOKUP($I$3140,FS_input_data!$C$458:$N$648,Export!$J$3140,FALSE)=""</f>
        <v>0</v>
      </c>
      <c r="H3152" s="6" t="s">
        <v>2189</v>
      </c>
      <c r="I3152" t="s">
        <v>1561</v>
      </c>
      <c r="J3152" t="s">
        <v>1561</v>
      </c>
      <c r="L3152" s="9" t="e">
        <f t="shared" si="165"/>
        <v>#VALUE!</v>
      </c>
    </row>
    <row r="3153" spans="1:12" x14ac:dyDescent="0.35">
      <c r="A3153" s="9">
        <f t="shared" si="166"/>
        <v>3152</v>
      </c>
      <c r="B3153" t="s">
        <v>755</v>
      </c>
      <c r="C3153" s="109">
        <f>IF(ISBLANK(K3153),IFERROR(VLOOKUP(I3153,FS_input_data!$C$458:$N$648,Export!J3153,FALSE),""),K3153)</f>
        <v>19</v>
      </c>
      <c r="D3153" s="102" t="b">
        <v>1</v>
      </c>
      <c r="E3153" t="s">
        <v>1561</v>
      </c>
      <c r="F3153" s="102" t="s">
        <v>1848</v>
      </c>
      <c r="G3153" s="102" t="b">
        <f>VLOOKUP($I$3140,FS_input_data!$C$458:$N$648,Export!$J$3140,FALSE)=""</f>
        <v>0</v>
      </c>
      <c r="H3153" s="6" t="s">
        <v>2189</v>
      </c>
      <c r="I3153" t="s">
        <v>1848</v>
      </c>
      <c r="J3153">
        <v>2</v>
      </c>
      <c r="L3153" s="9" t="e">
        <f t="shared" si="165"/>
        <v>#VALUE!</v>
      </c>
    </row>
    <row r="3154" spans="1:12" x14ac:dyDescent="0.35">
      <c r="A3154">
        <f t="shared" si="166"/>
        <v>3153</v>
      </c>
      <c r="B3154" t="s">
        <v>756</v>
      </c>
      <c r="C3154" s="109" t="str">
        <f>IF(ISBLANK(K3154),IFERROR(VLOOKUP(I3154,FS_input_data!$C$458:$N$648,Export!J3154,FALSE),""),K3154)</f>
        <v/>
      </c>
      <c r="D3154" s="102"/>
      <c r="E3154" t="s">
        <v>1561</v>
      </c>
      <c r="F3154" s="102" t="s">
        <v>1848</v>
      </c>
      <c r="G3154" s="102" t="b">
        <f>VLOOKUP($I$3140,FS_input_data!$C$458:$N$648,Export!$J$3140,FALSE)=""</f>
        <v>0</v>
      </c>
      <c r="H3154" s="6" t="s">
        <v>2189</v>
      </c>
      <c r="I3154" t="s">
        <v>1561</v>
      </c>
      <c r="J3154" t="s">
        <v>1561</v>
      </c>
      <c r="L3154">
        <f t="shared" si="165"/>
        <v>1</v>
      </c>
    </row>
    <row r="3155" spans="1:12" x14ac:dyDescent="0.35">
      <c r="A3155" s="9">
        <f t="shared" si="166"/>
        <v>3154</v>
      </c>
      <c r="B3155" t="s">
        <v>757</v>
      </c>
      <c r="C3155" s="109">
        <f>IF(ISBLANK(K3155),IFERROR(VLOOKUP(I3155,FS_input_data!$C$458:$N$648,Export!J3155,FALSE),""),K3155)</f>
        <v>119</v>
      </c>
      <c r="D3155" s="102" t="b">
        <v>0</v>
      </c>
      <c r="E3155" t="s">
        <v>1561</v>
      </c>
      <c r="F3155" s="102" t="s">
        <v>1848</v>
      </c>
      <c r="G3155" s="102" t="b">
        <f>VLOOKUP($I$3140,FS_input_data!$C$458:$N$648,Export!$J$3140,FALSE)=""</f>
        <v>0</v>
      </c>
      <c r="H3155" s="6" t="s">
        <v>2189</v>
      </c>
      <c r="I3155" t="s">
        <v>1848</v>
      </c>
      <c r="J3155">
        <v>3</v>
      </c>
      <c r="L3155" s="9" t="e">
        <f t="shared" si="165"/>
        <v>#VALUE!</v>
      </c>
    </row>
    <row r="3156" spans="1:12" x14ac:dyDescent="0.35">
      <c r="A3156">
        <f t="shared" si="166"/>
        <v>3155</v>
      </c>
      <c r="B3156" t="s">
        <v>758</v>
      </c>
      <c r="C3156" s="109" t="str">
        <f>IF(ISBLANK(K3156),IFERROR(VLOOKUP(I3156,FS_input_data!$C$458:$N$648,Export!J3156,FALSE),""),K3156)</f>
        <v/>
      </c>
      <c r="D3156" s="102"/>
      <c r="E3156" t="s">
        <v>1561</v>
      </c>
      <c r="F3156" s="102" t="s">
        <v>1848</v>
      </c>
      <c r="G3156" s="102" t="b">
        <f>VLOOKUP($I$3140,FS_input_data!$C$458:$N$648,Export!$J$3140,FALSE)=""</f>
        <v>0</v>
      </c>
      <c r="H3156" s="6" t="s">
        <v>2189</v>
      </c>
      <c r="I3156" t="s">
        <v>1561</v>
      </c>
      <c r="J3156" t="s">
        <v>1561</v>
      </c>
      <c r="L3156">
        <f t="shared" si="165"/>
        <v>1</v>
      </c>
    </row>
    <row r="3157" spans="1:12" x14ac:dyDescent="0.35">
      <c r="A3157" s="9">
        <f t="shared" si="166"/>
        <v>3156</v>
      </c>
      <c r="B3157" t="s">
        <v>759</v>
      </c>
      <c r="C3157" s="109">
        <f>IF(ISBLANK(K3157),IFERROR(VLOOKUP(I3157,FS_input_data!$C$458:$N$648,Export!J3157,FALSE),""),K3157)</f>
        <v>219</v>
      </c>
      <c r="D3157" s="102" t="b">
        <v>0</v>
      </c>
      <c r="E3157" t="s">
        <v>1561</v>
      </c>
      <c r="F3157" s="102" t="s">
        <v>1848</v>
      </c>
      <c r="G3157" s="102" t="b">
        <f>VLOOKUP($I$3140,FS_input_data!$C$458:$N$648,Export!$J$3140,FALSE)=""</f>
        <v>0</v>
      </c>
      <c r="H3157" s="6" t="s">
        <v>2189</v>
      </c>
      <c r="I3157" t="s">
        <v>1848</v>
      </c>
      <c r="J3157">
        <v>4</v>
      </c>
      <c r="L3157" s="9" t="e">
        <f t="shared" si="165"/>
        <v>#VALUE!</v>
      </c>
    </row>
    <row r="3158" spans="1:12" x14ac:dyDescent="0.35">
      <c r="A3158">
        <f t="shared" si="166"/>
        <v>3157</v>
      </c>
      <c r="B3158" t="s">
        <v>760</v>
      </c>
      <c r="C3158" s="109" t="str">
        <f>IF(ISBLANK(K3158),IFERROR(VLOOKUP(I3158,FS_input_data!$C$458:$N$648,Export!J3158,FALSE),""),K3158)</f>
        <v/>
      </c>
      <c r="D3158" s="102"/>
      <c r="E3158" t="s">
        <v>1561</v>
      </c>
      <c r="F3158" s="102" t="s">
        <v>1848</v>
      </c>
      <c r="G3158" s="102" t="b">
        <f>VLOOKUP($I$3140,FS_input_data!$C$458:$N$648,Export!$J$3140,FALSE)=""</f>
        <v>0</v>
      </c>
      <c r="H3158" s="6" t="s">
        <v>2189</v>
      </c>
      <c r="I3158" t="s">
        <v>1561</v>
      </c>
      <c r="J3158" t="s">
        <v>1561</v>
      </c>
      <c r="L3158">
        <f t="shared" si="165"/>
        <v>1</v>
      </c>
    </row>
    <row r="3159" spans="1:12" x14ac:dyDescent="0.35">
      <c r="A3159" s="9">
        <f t="shared" si="166"/>
        <v>3158</v>
      </c>
      <c r="B3159" t="s">
        <v>761</v>
      </c>
      <c r="C3159" s="109" t="str">
        <f>IF(ISBLANK(K3159),IFERROR(VLOOKUP(I3159,FS_input_data!$C$458:$N$648,Export!J3159,FALSE),""),K3159)</f>
        <v>t</v>
      </c>
      <c r="D3159" s="102" t="b">
        <v>0</v>
      </c>
      <c r="E3159" t="s">
        <v>1561</v>
      </c>
      <c r="F3159" s="102" t="s">
        <v>1848</v>
      </c>
      <c r="G3159" s="102" t="b">
        <f>VLOOKUP($I$3140,FS_input_data!$C$458:$N$648,Export!$J$3140,FALSE)=""</f>
        <v>0</v>
      </c>
      <c r="H3159" s="6" t="s">
        <v>2189</v>
      </c>
      <c r="I3159" t="s">
        <v>1848</v>
      </c>
      <c r="J3159">
        <v>5</v>
      </c>
      <c r="L3159" s="9" t="e">
        <f t="shared" si="165"/>
        <v>#VALUE!</v>
      </c>
    </row>
    <row r="3160" spans="1:12" x14ac:dyDescent="0.35">
      <c r="A3160">
        <f t="shared" si="166"/>
        <v>3159</v>
      </c>
      <c r="B3160" t="s">
        <v>762</v>
      </c>
      <c r="C3160" s="109" t="str">
        <f>IF(ISBLANK(K3160),IFERROR(VLOOKUP(I3160,FS_input_data!$C$458:$N$648,Export!J3160,FALSE),""),K3160)</f>
        <v/>
      </c>
      <c r="D3160" s="102"/>
      <c r="E3160" t="s">
        <v>1561</v>
      </c>
      <c r="F3160" s="102" t="s">
        <v>1848</v>
      </c>
      <c r="G3160" s="102" t="b">
        <f>VLOOKUP($I$3140,FS_input_data!$C$458:$N$648,Export!$J$3140,FALSE)=""</f>
        <v>0</v>
      </c>
      <c r="H3160" s="6" t="s">
        <v>2189</v>
      </c>
      <c r="I3160" t="s">
        <v>1561</v>
      </c>
      <c r="J3160" t="s">
        <v>1561</v>
      </c>
      <c r="L3160">
        <f t="shared" si="165"/>
        <v>1</v>
      </c>
    </row>
    <row r="3161" spans="1:12" x14ac:dyDescent="0.35">
      <c r="A3161">
        <f t="shared" si="166"/>
        <v>3160</v>
      </c>
      <c r="B3161" t="s">
        <v>763</v>
      </c>
      <c r="C3161" s="109" t="str">
        <f>IF(ISBLANK(K3161),IFERROR(VLOOKUP(I3161,FS_input_data!$C$458:$N$648,Export!J3161,FALSE),""),K3161)</f>
        <v/>
      </c>
      <c r="D3161" s="102"/>
      <c r="E3161" t="s">
        <v>1561</v>
      </c>
      <c r="F3161" s="102" t="s">
        <v>1848</v>
      </c>
      <c r="G3161" s="102" t="b">
        <f>VLOOKUP($I$3140,FS_input_data!$C$458:$N$648,Export!$J$3140,FALSE)=""</f>
        <v>0</v>
      </c>
      <c r="H3161" s="6" t="s">
        <v>2189</v>
      </c>
      <c r="I3161" t="s">
        <v>1561</v>
      </c>
      <c r="J3161" t="s">
        <v>1561</v>
      </c>
      <c r="L3161">
        <f t="shared" si="165"/>
        <v>1</v>
      </c>
    </row>
    <row r="3162" spans="1:12" x14ac:dyDescent="0.35">
      <c r="A3162">
        <f t="shared" si="166"/>
        <v>3161</v>
      </c>
      <c r="B3162" t="s">
        <v>743</v>
      </c>
      <c r="C3162" s="109" t="str">
        <f>IF(ISBLANK(K3162),IFERROR(VLOOKUP(I3162,FS_input_data!$C$458:$N$648,Export!J3162,FALSE),""),K3162)</f>
        <v/>
      </c>
      <c r="D3162" s="102"/>
      <c r="E3162" t="s">
        <v>1561</v>
      </c>
      <c r="F3162" s="102" t="s">
        <v>1848</v>
      </c>
      <c r="G3162" s="102" t="b">
        <f>VLOOKUP($I$3140,FS_input_data!$C$458:$N$648,Export!$J$3140,FALSE)=""</f>
        <v>0</v>
      </c>
      <c r="H3162" s="6" t="s">
        <v>2189</v>
      </c>
      <c r="I3162" t="s">
        <v>1561</v>
      </c>
      <c r="J3162" t="s">
        <v>1561</v>
      </c>
      <c r="L3162">
        <f t="shared" si="165"/>
        <v>1</v>
      </c>
    </row>
    <row r="3163" spans="1:12" x14ac:dyDescent="0.35">
      <c r="A3163">
        <f t="shared" si="166"/>
        <v>3162</v>
      </c>
      <c r="B3163" t="s">
        <v>744</v>
      </c>
      <c r="C3163" s="109" t="str">
        <f>IF(ISBLANK(K3163),IFERROR(VLOOKUP(I3163,FS_input_data!$C$458:$N$648,Export!J3163,FALSE),""),K3163)</f>
        <v/>
      </c>
      <c r="D3163" s="102"/>
      <c r="E3163" t="s">
        <v>1561</v>
      </c>
      <c r="F3163" s="102" t="s">
        <v>1848</v>
      </c>
      <c r="G3163" s="102" t="b">
        <f>IF(RP_tax,TRUE,VLOOKUP($I$3140,FS_input_data!$C$458:$N$648,Export!$J$3140,FALSE)="")</f>
        <v>1</v>
      </c>
      <c r="H3163" s="6" t="s">
        <v>2189</v>
      </c>
      <c r="I3163" t="s">
        <v>1561</v>
      </c>
      <c r="J3163" t="s">
        <v>1561</v>
      </c>
      <c r="L3163" s="9" t="e">
        <f t="shared" si="165"/>
        <v>#VALUE!</v>
      </c>
    </row>
    <row r="3164" spans="1:12" x14ac:dyDescent="0.35">
      <c r="A3164" s="9">
        <f t="shared" si="166"/>
        <v>3163</v>
      </c>
      <c r="B3164" t="s">
        <v>109</v>
      </c>
      <c r="C3164" s="109">
        <f>IF(ISBLANK(K3164),IFERROR(VLOOKUP(I3164,FS_input_data!$C$458:$N$648,Export!J3164,FALSE),""),K3164)</f>
        <v>19000</v>
      </c>
      <c r="D3164" s="102" t="b">
        <v>0</v>
      </c>
      <c r="E3164" t="s">
        <v>1561</v>
      </c>
      <c r="F3164" s="102" t="s">
        <v>1848</v>
      </c>
      <c r="G3164" s="102" t="b">
        <f>IF(RP_tax,TRUE,VLOOKUP($I$3140,FS_input_data!$C$458:$N$648,Export!$J$3140,FALSE)="")</f>
        <v>1</v>
      </c>
      <c r="H3164" s="6" t="s">
        <v>2189</v>
      </c>
      <c r="I3164" t="s">
        <v>1848</v>
      </c>
      <c r="J3164">
        <v>10</v>
      </c>
      <c r="L3164" s="9" t="e">
        <f t="shared" si="165"/>
        <v>#VALUE!</v>
      </c>
    </row>
    <row r="3165" spans="1:12" x14ac:dyDescent="0.35">
      <c r="A3165">
        <f t="shared" si="166"/>
        <v>3164</v>
      </c>
      <c r="B3165" t="s">
        <v>110</v>
      </c>
      <c r="C3165" s="109" t="str">
        <f>IF(ISBLANK(K3165),IFERROR(VLOOKUP(I3165,FS_input_data!$C$458:$N$648,Export!J3165,FALSE),""),K3165)</f>
        <v/>
      </c>
      <c r="D3165" s="102"/>
      <c r="E3165" t="s">
        <v>1561</v>
      </c>
      <c r="F3165" s="102" t="s">
        <v>1848</v>
      </c>
      <c r="G3165" s="102" t="b">
        <f>IF(RP_tax,TRUE,VLOOKUP($I$3140,FS_input_data!$C$458:$N$648,Export!$J$3140,FALSE)="")</f>
        <v>1</v>
      </c>
      <c r="H3165" s="6" t="s">
        <v>2189</v>
      </c>
      <c r="I3165" t="s">
        <v>1561</v>
      </c>
      <c r="J3165" t="s">
        <v>1561</v>
      </c>
      <c r="L3165">
        <f t="shared" si="165"/>
        <v>1</v>
      </c>
    </row>
    <row r="3166" spans="1:12" x14ac:dyDescent="0.35">
      <c r="A3166" s="9">
        <f t="shared" si="166"/>
        <v>3165</v>
      </c>
      <c r="B3166" t="s">
        <v>111</v>
      </c>
      <c r="C3166" s="109">
        <f>IF(ISBLANK(K3166),IFERROR(VLOOKUP(I3166,FS_input_data!$C$458:$N$648,Export!J3166,FALSE),""),K3166)</f>
        <v>9500</v>
      </c>
      <c r="D3166" s="102" t="b">
        <v>0</v>
      </c>
      <c r="E3166" t="s">
        <v>1561</v>
      </c>
      <c r="F3166" s="102" t="s">
        <v>1848</v>
      </c>
      <c r="G3166" s="102" t="b">
        <f>IF(RP_tax,TRUE,VLOOKUP($I$3140,FS_input_data!$C$458:$N$648,Export!$J$3140,FALSE)="")</f>
        <v>1</v>
      </c>
      <c r="H3166" s="6" t="s">
        <v>2189</v>
      </c>
      <c r="I3166" t="s">
        <v>1848</v>
      </c>
      <c r="J3166">
        <v>11</v>
      </c>
      <c r="L3166" s="9" t="e">
        <f t="shared" si="165"/>
        <v>#VALUE!</v>
      </c>
    </row>
    <row r="3167" spans="1:12" x14ac:dyDescent="0.35">
      <c r="A3167">
        <f t="shared" si="166"/>
        <v>3166</v>
      </c>
      <c r="B3167" t="s">
        <v>112</v>
      </c>
      <c r="C3167" s="109" t="str">
        <f>IF(ISBLANK(K3167),IFERROR(VLOOKUP(I3167,FS_input_data!$C$458:$N$648,Export!J3167,FALSE),""),K3167)</f>
        <v/>
      </c>
      <c r="D3167" s="102"/>
      <c r="E3167" t="s">
        <v>1561</v>
      </c>
      <c r="F3167" s="102" t="s">
        <v>1848</v>
      </c>
      <c r="G3167" s="102" t="b">
        <f>IF(RP_tax,TRUE,VLOOKUP($I$3140,FS_input_data!$C$458:$N$648,Export!$J$3140,FALSE)="")</f>
        <v>1</v>
      </c>
      <c r="H3167" s="6" t="s">
        <v>2189</v>
      </c>
      <c r="I3167" t="s">
        <v>1561</v>
      </c>
      <c r="J3167" t="s">
        <v>1561</v>
      </c>
      <c r="L3167">
        <f t="shared" si="165"/>
        <v>1</v>
      </c>
    </row>
    <row r="3168" spans="1:12" x14ac:dyDescent="0.35">
      <c r="A3168" s="9">
        <f t="shared" si="166"/>
        <v>3167</v>
      </c>
      <c r="B3168" t="s">
        <v>749</v>
      </c>
      <c r="C3168" s="109">
        <f>IF(ISBLANK(K3168),IFERROR(VLOOKUP(I3168,FS_input_data!$C$458:$N$648,Export!J3168,FALSE),""),K3168)</f>
        <v>9500</v>
      </c>
      <c r="D3168" s="102" t="b">
        <v>0</v>
      </c>
      <c r="E3168" t="s">
        <v>1561</v>
      </c>
      <c r="F3168" s="102" t="s">
        <v>1848</v>
      </c>
      <c r="G3168" s="102" t="b">
        <f>IF(RP_tax,TRUE,VLOOKUP($I$3140,FS_input_data!$C$458:$N$648,Export!$J$3140,FALSE)="")</f>
        <v>1</v>
      </c>
      <c r="H3168" s="6" t="s">
        <v>2189</v>
      </c>
      <c r="I3168" t="s">
        <v>1848</v>
      </c>
      <c r="J3168">
        <v>12</v>
      </c>
      <c r="L3168" s="9" t="e">
        <f t="shared" si="165"/>
        <v>#VALUE!</v>
      </c>
    </row>
    <row r="3169" spans="1:12" x14ac:dyDescent="0.35">
      <c r="A3169">
        <f t="shared" si="166"/>
        <v>3168</v>
      </c>
      <c r="B3169" t="s">
        <v>750</v>
      </c>
      <c r="C3169" s="109" t="str">
        <f>IF(ISBLANK(K3169),IFERROR(VLOOKUP(I3169,FS_input_data!$C$458:$N$648,Export!J3169,FALSE),""),K3169)</f>
        <v/>
      </c>
      <c r="D3169" s="102"/>
      <c r="E3169" t="s">
        <v>1561</v>
      </c>
      <c r="F3169" s="102" t="s">
        <v>1848</v>
      </c>
      <c r="G3169" s="102" t="b">
        <f>IF(RP_tax,TRUE,VLOOKUP($I$3140,FS_input_data!$C$458:$N$648,Export!$J$3140,FALSE)="")</f>
        <v>1</v>
      </c>
      <c r="H3169" s="6" t="s">
        <v>2189</v>
      </c>
      <c r="I3169" t="s">
        <v>1561</v>
      </c>
      <c r="J3169" t="s">
        <v>1561</v>
      </c>
      <c r="L3169">
        <f t="shared" si="165"/>
        <v>1</v>
      </c>
    </row>
    <row r="3170" spans="1:12" x14ac:dyDescent="0.35">
      <c r="A3170">
        <f t="shared" si="166"/>
        <v>3169</v>
      </c>
      <c r="B3170" t="s">
        <v>745</v>
      </c>
      <c r="C3170" s="109" t="str">
        <f>IF(ISBLANK(K3170),IFERROR(VLOOKUP(I3170,FS_input_data!$C$458:$N$648,Export!J3170,FALSE),""),K3170)</f>
        <v/>
      </c>
      <c r="D3170" s="102"/>
      <c r="E3170" t="s">
        <v>1561</v>
      </c>
      <c r="F3170" s="102" t="s">
        <v>1848</v>
      </c>
      <c r="G3170" s="102" t="b">
        <f>IF(RP_tax,TRUE,VLOOKUP($I$3140,FS_input_data!$C$458:$N$648,Export!$J$3140,FALSE)="")</f>
        <v>1</v>
      </c>
      <c r="H3170" s="6" t="s">
        <v>2189</v>
      </c>
      <c r="I3170" t="s">
        <v>1561</v>
      </c>
      <c r="J3170" t="s">
        <v>1561</v>
      </c>
      <c r="L3170">
        <f t="shared" si="165"/>
        <v>1</v>
      </c>
    </row>
    <row r="3171" spans="1:12" x14ac:dyDescent="0.35">
      <c r="A3171">
        <f t="shared" si="166"/>
        <v>3170</v>
      </c>
      <c r="B3171" t="s">
        <v>764</v>
      </c>
      <c r="C3171" s="109" t="str">
        <f>IF(ISBLANK(K3171),IFERROR(VLOOKUP(I3171,FS_input_data!$C$458:$N$648,Export!J3171,FALSE),""),K3171)</f>
        <v/>
      </c>
      <c r="D3171" s="102"/>
      <c r="E3171" t="s">
        <v>1561</v>
      </c>
      <c r="F3171" s="102" t="s">
        <v>1848</v>
      </c>
      <c r="G3171" s="102" t="b">
        <f>VLOOKUP($I$3140,FS_input_data!$C$458:$N$648,Export!$J$3140,FALSE)=""</f>
        <v>0</v>
      </c>
      <c r="H3171" s="6" t="s">
        <v>2189</v>
      </c>
      <c r="I3171" t="s">
        <v>1561</v>
      </c>
      <c r="J3171" t="s">
        <v>1561</v>
      </c>
      <c r="L3171">
        <f t="shared" si="165"/>
        <v>1</v>
      </c>
    </row>
    <row r="3172" spans="1:12" x14ac:dyDescent="0.35">
      <c r="A3172">
        <f t="shared" si="166"/>
        <v>3171</v>
      </c>
      <c r="B3172" t="s">
        <v>765</v>
      </c>
      <c r="C3172" s="109" t="str">
        <f>IF(ISBLANK(K3172),IFERROR(VLOOKUP(I3172,FS_input_data!$C$458:$N$648,Export!J3172,FALSE),""),K3172)</f>
        <v/>
      </c>
      <c r="D3172" s="102"/>
      <c r="E3172" t="s">
        <v>1561</v>
      </c>
      <c r="F3172" s="102" t="s">
        <v>1848</v>
      </c>
      <c r="G3172" s="102" t="b">
        <f>VLOOKUP($I$3140,FS_input_data!$C$458:$N$648,Export!$J$3140,FALSE)=""</f>
        <v>0</v>
      </c>
      <c r="H3172" s="6" t="s">
        <v>2189</v>
      </c>
      <c r="I3172" t="s">
        <v>1561</v>
      </c>
      <c r="J3172" t="s">
        <v>1561</v>
      </c>
      <c r="L3172">
        <f t="shared" si="165"/>
        <v>1</v>
      </c>
    </row>
    <row r="3173" spans="1:12" x14ac:dyDescent="0.35">
      <c r="A3173">
        <f t="shared" si="166"/>
        <v>3172</v>
      </c>
      <c r="B3173" t="s">
        <v>752</v>
      </c>
      <c r="C3173" s="109" t="str">
        <f>IF(ISBLANK(K3173),IFERROR(VLOOKUP(I3173,FS_input_data!$C$458:$N$648,Export!J3173,FALSE),""),K3173)</f>
        <v/>
      </c>
      <c r="D3173" s="105"/>
      <c r="E3173" t="s">
        <v>1561</v>
      </c>
      <c r="F3173" s="105" t="s">
        <v>1851</v>
      </c>
      <c r="G3173" s="105" t="b">
        <f>VLOOKUP($I$3174,FS_input_data!$C$458:$N$648,Export!$J$3174,FALSE)=""</f>
        <v>0</v>
      </c>
      <c r="H3173" s="6" t="s">
        <v>2189</v>
      </c>
      <c r="I3173" t="s">
        <v>1561</v>
      </c>
      <c r="J3173" t="s">
        <v>1561</v>
      </c>
      <c r="L3173" s="9" t="e">
        <f t="shared" si="165"/>
        <v>#VALUE!</v>
      </c>
    </row>
    <row r="3174" spans="1:12" x14ac:dyDescent="0.35">
      <c r="A3174" s="9">
        <f t="shared" si="166"/>
        <v>3173</v>
      </c>
      <c r="B3174" t="s">
        <v>101</v>
      </c>
      <c r="C3174" s="109" t="str">
        <f>IF(ISBLANK(K3174),IFERROR(VLOOKUP(I3174,FS_input_data!$C$458:$N$648,Export!J3174,FALSE),""),K3174)</f>
        <v>OB20</v>
      </c>
      <c r="D3174" s="105" t="b">
        <v>1</v>
      </c>
      <c r="E3174" t="s">
        <v>1561</v>
      </c>
      <c r="F3174" s="105" t="s">
        <v>1851</v>
      </c>
      <c r="G3174" s="105" t="b">
        <f>VLOOKUP($I$3174,FS_input_data!$C$458:$N$648,Export!$J$3174,FALSE)=""</f>
        <v>0</v>
      </c>
      <c r="H3174" s="6" t="s">
        <v>2189</v>
      </c>
      <c r="I3174" t="s">
        <v>1851</v>
      </c>
      <c r="J3174">
        <v>6</v>
      </c>
      <c r="L3174" s="9" t="e">
        <f t="shared" si="165"/>
        <v>#VALUE!</v>
      </c>
    </row>
    <row r="3175" spans="1:12" x14ac:dyDescent="0.35">
      <c r="A3175">
        <f t="shared" si="166"/>
        <v>3174</v>
      </c>
      <c r="B3175" t="s">
        <v>102</v>
      </c>
      <c r="C3175" s="109" t="str">
        <f>IF(ISBLANK(K3175),IFERROR(VLOOKUP(I3175,FS_input_data!$C$458:$N$648,Export!J3175,FALSE),""),K3175)</f>
        <v/>
      </c>
      <c r="D3175" s="105"/>
      <c r="E3175" t="s">
        <v>1561</v>
      </c>
      <c r="F3175" s="105" t="s">
        <v>1851</v>
      </c>
      <c r="G3175" s="105" t="b">
        <f>VLOOKUP($I$3174,FS_input_data!$C$458:$N$648,Export!$J$3174,FALSE)=""</f>
        <v>0</v>
      </c>
      <c r="H3175" s="6" t="s">
        <v>2189</v>
      </c>
      <c r="I3175" t="s">
        <v>1561</v>
      </c>
      <c r="J3175" t="s">
        <v>1561</v>
      </c>
      <c r="L3175">
        <f t="shared" si="165"/>
        <v>1</v>
      </c>
    </row>
    <row r="3176" spans="1:12" x14ac:dyDescent="0.35">
      <c r="A3176">
        <f t="shared" si="166"/>
        <v>3175</v>
      </c>
      <c r="B3176" t="s">
        <v>753</v>
      </c>
      <c r="C3176" s="109" t="str">
        <f>IF(ISBLANK(K3176),IFERROR(VLOOKUP(I3176,FS_input_data!$C$458:$N$648,Export!J3176,FALSE),""),K3176)</f>
        <v/>
      </c>
      <c r="D3176" s="105"/>
      <c r="E3176" t="s">
        <v>1561</v>
      </c>
      <c r="F3176" s="105" t="s">
        <v>1851</v>
      </c>
      <c r="G3176" s="105" t="b">
        <f>VLOOKUP($I$3174,FS_input_data!$C$458:$N$648,Export!$J$3174,FALSE)=""</f>
        <v>0</v>
      </c>
      <c r="H3176" s="6" t="s">
        <v>2189</v>
      </c>
      <c r="I3176" t="s">
        <v>1561</v>
      </c>
      <c r="J3176" t="s">
        <v>1561</v>
      </c>
      <c r="L3176" s="9" t="e">
        <f t="shared" si="165"/>
        <v>#VALUE!</v>
      </c>
    </row>
    <row r="3177" spans="1:12" x14ac:dyDescent="0.35">
      <c r="A3177">
        <f t="shared" si="166"/>
        <v>3176</v>
      </c>
      <c r="B3177" t="s">
        <v>742</v>
      </c>
      <c r="C3177" s="109" t="str">
        <f>IF(ISBLANK(K3177),IFERROR(VLOOKUP(I3177,FS_input_data!$C$458:$N$648,Export!J3177,FALSE),""),K3177)</f>
        <v/>
      </c>
      <c r="D3177" s="105"/>
      <c r="E3177" t="s">
        <v>1561</v>
      </c>
      <c r="F3177" s="105" t="s">
        <v>1851</v>
      </c>
      <c r="G3177" s="105" t="b">
        <f>VLOOKUP($I$3174,FS_input_data!$C$458:$N$648,Export!$J$3174,FALSE)=""</f>
        <v>0</v>
      </c>
      <c r="H3177" s="6" t="s">
        <v>2189</v>
      </c>
      <c r="I3177" t="s">
        <v>1561</v>
      </c>
      <c r="J3177" t="s">
        <v>1561</v>
      </c>
      <c r="L3177" s="9" t="e">
        <f t="shared" si="165"/>
        <v>#VALUE!</v>
      </c>
    </row>
    <row r="3178" spans="1:12" x14ac:dyDescent="0.35">
      <c r="A3178">
        <f t="shared" si="166"/>
        <v>3177</v>
      </c>
      <c r="B3178" t="s">
        <v>748</v>
      </c>
      <c r="C3178" s="109" t="str">
        <f>IF(ISBLANK(K3178),IFERROR(VLOOKUP(I3178,FS_input_data!$C$458:$N$648,Export!J3178,FALSE),""),K3178)</f>
        <v/>
      </c>
      <c r="D3178" s="105"/>
      <c r="E3178" t="s">
        <v>1561</v>
      </c>
      <c r="F3178" s="105" t="s">
        <v>1851</v>
      </c>
      <c r="G3178" s="105" t="b">
        <f>VLOOKUP($I$3174,FS_input_data!$C$458:$N$648,Export!$J$3174,FALSE)=""</f>
        <v>0</v>
      </c>
      <c r="H3178" s="6" t="s">
        <v>2189</v>
      </c>
      <c r="I3178" t="s">
        <v>1561</v>
      </c>
      <c r="J3178" t="s">
        <v>1561</v>
      </c>
      <c r="L3178" s="9" t="e">
        <f t="shared" si="165"/>
        <v>#VALUE!</v>
      </c>
    </row>
    <row r="3179" spans="1:12" x14ac:dyDescent="0.35">
      <c r="A3179" s="9">
        <f t="shared" si="166"/>
        <v>3178</v>
      </c>
      <c r="B3179" t="s">
        <v>109</v>
      </c>
      <c r="C3179" s="109">
        <f>IF(ISBLANK(K3179),IFERROR(VLOOKUP(I3179,FS_input_data!$C$458:$N$648,Export!J3179,FALSE),""),K3179)</f>
        <v>20000</v>
      </c>
      <c r="D3179" s="105" t="b">
        <v>1</v>
      </c>
      <c r="E3179" t="s">
        <v>1561</v>
      </c>
      <c r="F3179" s="105" t="s">
        <v>1851</v>
      </c>
      <c r="G3179" s="105" t="b">
        <f>VLOOKUP($I$3174,FS_input_data!$C$458:$N$648,Export!$J$3174,FALSE)=""</f>
        <v>0</v>
      </c>
      <c r="H3179" s="6" t="s">
        <v>2189</v>
      </c>
      <c r="I3179" t="s">
        <v>1851</v>
      </c>
      <c r="J3179">
        <v>7</v>
      </c>
      <c r="L3179" s="9" t="e">
        <f t="shared" si="165"/>
        <v>#VALUE!</v>
      </c>
    </row>
    <row r="3180" spans="1:12" x14ac:dyDescent="0.35">
      <c r="A3180">
        <f t="shared" si="166"/>
        <v>3179</v>
      </c>
      <c r="B3180" t="s">
        <v>110</v>
      </c>
      <c r="C3180" s="109" t="str">
        <f>IF(ISBLANK(K3180),IFERROR(VLOOKUP(I3180,FS_input_data!$C$458:$N$648,Export!J3180,FALSE),""),K3180)</f>
        <v/>
      </c>
      <c r="D3180" s="105"/>
      <c r="E3180" t="s">
        <v>1561</v>
      </c>
      <c r="F3180" s="105" t="s">
        <v>1851</v>
      </c>
      <c r="G3180" s="105" t="b">
        <f>VLOOKUP($I$3174,FS_input_data!$C$458:$N$648,Export!$J$3174,FALSE)=""</f>
        <v>0</v>
      </c>
      <c r="H3180" s="6" t="s">
        <v>2189</v>
      </c>
      <c r="I3180" t="s">
        <v>1561</v>
      </c>
      <c r="J3180" t="s">
        <v>1561</v>
      </c>
      <c r="L3180">
        <f t="shared" si="165"/>
        <v>1</v>
      </c>
    </row>
    <row r="3181" spans="1:12" x14ac:dyDescent="0.35">
      <c r="A3181" s="9">
        <f t="shared" si="166"/>
        <v>3180</v>
      </c>
      <c r="B3181" t="s">
        <v>111</v>
      </c>
      <c r="C3181" s="109">
        <f>IF(ISBLANK(K3181),IFERROR(VLOOKUP(I3181,FS_input_data!$C$458:$N$648,Export!J3181,FALSE),""),K3181)</f>
        <v>10000</v>
      </c>
      <c r="D3181" s="105" t="b">
        <v>0</v>
      </c>
      <c r="E3181" t="s">
        <v>1561</v>
      </c>
      <c r="F3181" s="105" t="s">
        <v>1851</v>
      </c>
      <c r="G3181" s="105" t="b">
        <f>VLOOKUP($I$3174,FS_input_data!$C$458:$N$648,Export!$J$3174,FALSE)=""</f>
        <v>0</v>
      </c>
      <c r="H3181" s="6" t="s">
        <v>2189</v>
      </c>
      <c r="I3181" t="s">
        <v>1851</v>
      </c>
      <c r="J3181">
        <v>8</v>
      </c>
      <c r="L3181" s="9" t="e">
        <f t="shared" si="165"/>
        <v>#VALUE!</v>
      </c>
    </row>
    <row r="3182" spans="1:12" x14ac:dyDescent="0.35">
      <c r="A3182">
        <f t="shared" si="166"/>
        <v>3181</v>
      </c>
      <c r="B3182" t="s">
        <v>112</v>
      </c>
      <c r="C3182" s="109" t="str">
        <f>IF(ISBLANK(K3182),IFERROR(VLOOKUP(I3182,FS_input_data!$C$458:$N$648,Export!J3182,FALSE),""),K3182)</f>
        <v/>
      </c>
      <c r="D3182" s="105"/>
      <c r="E3182" t="s">
        <v>1561</v>
      </c>
      <c r="F3182" s="105" t="s">
        <v>1851</v>
      </c>
      <c r="G3182" s="105" t="b">
        <f>VLOOKUP($I$3174,FS_input_data!$C$458:$N$648,Export!$J$3174,FALSE)=""</f>
        <v>0</v>
      </c>
      <c r="H3182" s="6" t="s">
        <v>2189</v>
      </c>
      <c r="I3182" t="s">
        <v>1561</v>
      </c>
      <c r="J3182" t="s">
        <v>1561</v>
      </c>
      <c r="L3182">
        <f t="shared" si="165"/>
        <v>1</v>
      </c>
    </row>
    <row r="3183" spans="1:12" x14ac:dyDescent="0.35">
      <c r="A3183" s="9">
        <f t="shared" si="166"/>
        <v>3182</v>
      </c>
      <c r="B3183" t="s">
        <v>749</v>
      </c>
      <c r="C3183" s="109">
        <f>IF(ISBLANK(K3183),IFERROR(VLOOKUP(I3183,FS_input_data!$C$458:$N$648,Export!J3183,FALSE),""),K3183)</f>
        <v>10000</v>
      </c>
      <c r="D3183" s="105" t="b">
        <v>0</v>
      </c>
      <c r="E3183" t="s">
        <v>1561</v>
      </c>
      <c r="F3183" s="105" t="s">
        <v>1851</v>
      </c>
      <c r="G3183" s="105" t="b">
        <f>VLOOKUP($I$3174,FS_input_data!$C$458:$N$648,Export!$J$3174,FALSE)=""</f>
        <v>0</v>
      </c>
      <c r="H3183" s="6" t="s">
        <v>2189</v>
      </c>
      <c r="I3183" t="s">
        <v>1851</v>
      </c>
      <c r="J3183">
        <v>9</v>
      </c>
      <c r="L3183" s="9" t="e">
        <f t="shared" si="165"/>
        <v>#VALUE!</v>
      </c>
    </row>
    <row r="3184" spans="1:12" x14ac:dyDescent="0.35">
      <c r="A3184">
        <f t="shared" si="166"/>
        <v>3183</v>
      </c>
      <c r="B3184" t="s">
        <v>750</v>
      </c>
      <c r="C3184" s="109" t="str">
        <f>IF(ISBLANK(K3184),IFERROR(VLOOKUP(I3184,FS_input_data!$C$458:$N$648,Export!J3184,FALSE),""),K3184)</f>
        <v/>
      </c>
      <c r="D3184" s="105"/>
      <c r="E3184" t="s">
        <v>1561</v>
      </c>
      <c r="F3184" s="105" t="s">
        <v>1851</v>
      </c>
      <c r="G3184" s="105" t="b">
        <f>VLOOKUP($I$3174,FS_input_data!$C$458:$N$648,Export!$J$3174,FALSE)=""</f>
        <v>0</v>
      </c>
      <c r="H3184" s="6" t="s">
        <v>2189</v>
      </c>
      <c r="I3184" t="s">
        <v>1561</v>
      </c>
      <c r="J3184" t="s">
        <v>1561</v>
      </c>
      <c r="L3184">
        <f t="shared" si="165"/>
        <v>1</v>
      </c>
    </row>
    <row r="3185" spans="1:12" x14ac:dyDescent="0.35">
      <c r="A3185">
        <f t="shared" si="166"/>
        <v>3184</v>
      </c>
      <c r="B3185" t="s">
        <v>751</v>
      </c>
      <c r="C3185" s="109" t="str">
        <f>IF(ISBLANK(K3185),IFERROR(VLOOKUP(I3185,FS_input_data!$C$458:$N$648,Export!J3185,FALSE),""),K3185)</f>
        <v/>
      </c>
      <c r="D3185" s="105"/>
      <c r="E3185" t="s">
        <v>1561</v>
      </c>
      <c r="F3185" s="105" t="s">
        <v>1851</v>
      </c>
      <c r="G3185" s="105" t="b">
        <f>VLOOKUP($I$3174,FS_input_data!$C$458:$N$648,Export!$J$3174,FALSE)=""</f>
        <v>0</v>
      </c>
      <c r="H3185" s="6" t="s">
        <v>2189</v>
      </c>
      <c r="I3185" t="s">
        <v>1561</v>
      </c>
      <c r="J3185" t="s">
        <v>1561</v>
      </c>
      <c r="L3185">
        <f t="shared" si="165"/>
        <v>1</v>
      </c>
    </row>
    <row r="3186" spans="1:12" x14ac:dyDescent="0.35">
      <c r="A3186">
        <f t="shared" si="166"/>
        <v>3185</v>
      </c>
      <c r="B3186" t="s">
        <v>754</v>
      </c>
      <c r="C3186" s="109" t="str">
        <f>IF(ISBLANK(K3186),IFERROR(VLOOKUP(I3186,FS_input_data!$C$458:$N$648,Export!J3186,FALSE),""),K3186)</f>
        <v/>
      </c>
      <c r="D3186" s="105"/>
      <c r="E3186" t="s">
        <v>1561</v>
      </c>
      <c r="F3186" s="105" t="s">
        <v>1851</v>
      </c>
      <c r="G3186" s="105" t="b">
        <f>VLOOKUP($I$3174,FS_input_data!$C$458:$N$648,Export!$J$3174,FALSE)=""</f>
        <v>0</v>
      </c>
      <c r="H3186" s="6" t="s">
        <v>2189</v>
      </c>
      <c r="I3186" t="s">
        <v>1561</v>
      </c>
      <c r="J3186" t="s">
        <v>1561</v>
      </c>
      <c r="L3186" s="9" t="e">
        <f t="shared" si="165"/>
        <v>#VALUE!</v>
      </c>
    </row>
    <row r="3187" spans="1:12" x14ac:dyDescent="0.35">
      <c r="A3187" s="9">
        <f t="shared" si="166"/>
        <v>3186</v>
      </c>
      <c r="B3187" t="s">
        <v>755</v>
      </c>
      <c r="C3187" s="109">
        <f>IF(ISBLANK(K3187),IFERROR(VLOOKUP(I3187,FS_input_data!$C$458:$N$648,Export!J3187,FALSE),""),K3187)</f>
        <v>20</v>
      </c>
      <c r="D3187" s="105" t="b">
        <v>1</v>
      </c>
      <c r="E3187" t="s">
        <v>1561</v>
      </c>
      <c r="F3187" s="105" t="s">
        <v>1851</v>
      </c>
      <c r="G3187" s="105" t="b">
        <f>VLOOKUP($I$3174,FS_input_data!$C$458:$N$648,Export!$J$3174,FALSE)=""</f>
        <v>0</v>
      </c>
      <c r="H3187" s="6" t="s">
        <v>2189</v>
      </c>
      <c r="I3187" t="s">
        <v>1851</v>
      </c>
      <c r="J3187">
        <v>2</v>
      </c>
      <c r="L3187" s="9" t="e">
        <f t="shared" si="165"/>
        <v>#VALUE!</v>
      </c>
    </row>
    <row r="3188" spans="1:12" x14ac:dyDescent="0.35">
      <c r="A3188">
        <f t="shared" si="166"/>
        <v>3187</v>
      </c>
      <c r="B3188" t="s">
        <v>756</v>
      </c>
      <c r="C3188" s="109" t="str">
        <f>IF(ISBLANK(K3188),IFERROR(VLOOKUP(I3188,FS_input_data!$C$458:$N$648,Export!J3188,FALSE),""),K3188)</f>
        <v/>
      </c>
      <c r="D3188" s="105"/>
      <c r="E3188" t="s">
        <v>1561</v>
      </c>
      <c r="F3188" s="105" t="s">
        <v>1851</v>
      </c>
      <c r="G3188" s="105" t="b">
        <f>VLOOKUP($I$3174,FS_input_data!$C$458:$N$648,Export!$J$3174,FALSE)=""</f>
        <v>0</v>
      </c>
      <c r="H3188" s="6" t="s">
        <v>2189</v>
      </c>
      <c r="I3188" t="s">
        <v>1561</v>
      </c>
      <c r="J3188" t="s">
        <v>1561</v>
      </c>
      <c r="L3188">
        <f t="shared" si="165"/>
        <v>1</v>
      </c>
    </row>
    <row r="3189" spans="1:12" x14ac:dyDescent="0.35">
      <c r="A3189" s="9">
        <f t="shared" si="166"/>
        <v>3188</v>
      </c>
      <c r="B3189" t="s">
        <v>757</v>
      </c>
      <c r="C3189" s="109">
        <f>IF(ISBLANK(K3189),IFERROR(VLOOKUP(I3189,FS_input_data!$C$458:$N$648,Export!J3189,FALSE),""),K3189)</f>
        <v>120</v>
      </c>
      <c r="D3189" s="105" t="b">
        <v>0</v>
      </c>
      <c r="E3189" t="s">
        <v>1561</v>
      </c>
      <c r="F3189" s="105" t="s">
        <v>1851</v>
      </c>
      <c r="G3189" s="105" t="b">
        <f>VLOOKUP($I$3174,FS_input_data!$C$458:$N$648,Export!$J$3174,FALSE)=""</f>
        <v>0</v>
      </c>
      <c r="H3189" s="6" t="s">
        <v>2189</v>
      </c>
      <c r="I3189" t="s">
        <v>1851</v>
      </c>
      <c r="J3189">
        <v>3</v>
      </c>
      <c r="L3189" s="9" t="e">
        <f t="shared" si="165"/>
        <v>#VALUE!</v>
      </c>
    </row>
    <row r="3190" spans="1:12" x14ac:dyDescent="0.35">
      <c r="A3190">
        <f t="shared" si="166"/>
        <v>3189</v>
      </c>
      <c r="B3190" t="s">
        <v>758</v>
      </c>
      <c r="C3190" s="109" t="str">
        <f>IF(ISBLANK(K3190),IFERROR(VLOOKUP(I3190,FS_input_data!$C$458:$N$648,Export!J3190,FALSE),""),K3190)</f>
        <v/>
      </c>
      <c r="D3190" s="105"/>
      <c r="E3190" t="s">
        <v>1561</v>
      </c>
      <c r="F3190" s="105" t="s">
        <v>1851</v>
      </c>
      <c r="G3190" s="105" t="b">
        <f>VLOOKUP($I$3174,FS_input_data!$C$458:$N$648,Export!$J$3174,FALSE)=""</f>
        <v>0</v>
      </c>
      <c r="H3190" s="6" t="s">
        <v>2189</v>
      </c>
      <c r="I3190" t="s">
        <v>1561</v>
      </c>
      <c r="J3190" t="s">
        <v>1561</v>
      </c>
      <c r="L3190">
        <f t="shared" si="165"/>
        <v>1</v>
      </c>
    </row>
    <row r="3191" spans="1:12" x14ac:dyDescent="0.35">
      <c r="A3191" s="9">
        <f t="shared" si="166"/>
        <v>3190</v>
      </c>
      <c r="B3191" t="s">
        <v>759</v>
      </c>
      <c r="C3191" s="109">
        <f>IF(ISBLANK(K3191),IFERROR(VLOOKUP(I3191,FS_input_data!$C$458:$N$648,Export!J3191,FALSE),""),K3191)</f>
        <v>220</v>
      </c>
      <c r="D3191" s="105" t="b">
        <v>0</v>
      </c>
      <c r="E3191" t="s">
        <v>1561</v>
      </c>
      <c r="F3191" s="105" t="s">
        <v>1851</v>
      </c>
      <c r="G3191" s="105" t="b">
        <f>VLOOKUP($I$3174,FS_input_data!$C$458:$N$648,Export!$J$3174,FALSE)=""</f>
        <v>0</v>
      </c>
      <c r="H3191" s="6" t="s">
        <v>2189</v>
      </c>
      <c r="I3191" t="s">
        <v>1851</v>
      </c>
      <c r="J3191">
        <v>4</v>
      </c>
      <c r="L3191" s="9" t="e">
        <f t="shared" si="165"/>
        <v>#VALUE!</v>
      </c>
    </row>
    <row r="3192" spans="1:12" x14ac:dyDescent="0.35">
      <c r="A3192">
        <f t="shared" si="166"/>
        <v>3191</v>
      </c>
      <c r="B3192" t="s">
        <v>760</v>
      </c>
      <c r="C3192" s="109" t="str">
        <f>IF(ISBLANK(K3192),IFERROR(VLOOKUP(I3192,FS_input_data!$C$458:$N$648,Export!J3192,FALSE),""),K3192)</f>
        <v/>
      </c>
      <c r="D3192" s="105"/>
      <c r="E3192" t="s">
        <v>1561</v>
      </c>
      <c r="F3192" s="105" t="s">
        <v>1851</v>
      </c>
      <c r="G3192" s="105" t="b">
        <f>VLOOKUP($I$3174,FS_input_data!$C$458:$N$648,Export!$J$3174,FALSE)=""</f>
        <v>0</v>
      </c>
      <c r="H3192" s="6" t="s">
        <v>2189</v>
      </c>
      <c r="I3192" t="s">
        <v>1561</v>
      </c>
      <c r="J3192" t="s">
        <v>1561</v>
      </c>
      <c r="L3192">
        <f t="shared" si="165"/>
        <v>1</v>
      </c>
    </row>
    <row r="3193" spans="1:12" x14ac:dyDescent="0.35">
      <c r="A3193" s="9">
        <f t="shared" si="166"/>
        <v>3192</v>
      </c>
      <c r="B3193" t="s">
        <v>761</v>
      </c>
      <c r="C3193" s="109" t="str">
        <f>IF(ISBLANK(K3193),IFERROR(VLOOKUP(I3193,FS_input_data!$C$458:$N$648,Export!J3193,FALSE),""),K3193)</f>
        <v>u</v>
      </c>
      <c r="D3193" s="105" t="b">
        <v>0</v>
      </c>
      <c r="E3193" t="s">
        <v>1561</v>
      </c>
      <c r="F3193" s="105" t="s">
        <v>1851</v>
      </c>
      <c r="G3193" s="105" t="b">
        <f>VLOOKUP($I$3174,FS_input_data!$C$458:$N$648,Export!$J$3174,FALSE)=""</f>
        <v>0</v>
      </c>
      <c r="H3193" s="6" t="s">
        <v>2189</v>
      </c>
      <c r="I3193" t="s">
        <v>1851</v>
      </c>
      <c r="J3193">
        <v>5</v>
      </c>
      <c r="L3193" s="9" t="e">
        <f t="shared" si="165"/>
        <v>#VALUE!</v>
      </c>
    </row>
    <row r="3194" spans="1:12" x14ac:dyDescent="0.35">
      <c r="A3194">
        <f t="shared" si="166"/>
        <v>3193</v>
      </c>
      <c r="B3194" t="s">
        <v>762</v>
      </c>
      <c r="C3194" s="109" t="str">
        <f>IF(ISBLANK(K3194),IFERROR(VLOOKUP(I3194,FS_input_data!$C$458:$N$648,Export!J3194,FALSE),""),K3194)</f>
        <v/>
      </c>
      <c r="D3194" s="105"/>
      <c r="E3194" t="s">
        <v>1561</v>
      </c>
      <c r="F3194" s="105" t="s">
        <v>1851</v>
      </c>
      <c r="G3194" s="105" t="b">
        <f>VLOOKUP($I$3174,FS_input_data!$C$458:$N$648,Export!$J$3174,FALSE)=""</f>
        <v>0</v>
      </c>
      <c r="H3194" s="6" t="s">
        <v>2189</v>
      </c>
      <c r="I3194" t="s">
        <v>1561</v>
      </c>
      <c r="J3194" t="s">
        <v>1561</v>
      </c>
      <c r="L3194">
        <f t="shared" si="165"/>
        <v>1</v>
      </c>
    </row>
    <row r="3195" spans="1:12" x14ac:dyDescent="0.35">
      <c r="A3195">
        <f t="shared" si="166"/>
        <v>3194</v>
      </c>
      <c r="B3195" t="s">
        <v>763</v>
      </c>
      <c r="C3195" s="109" t="str">
        <f>IF(ISBLANK(K3195),IFERROR(VLOOKUP(I3195,FS_input_data!$C$458:$N$648,Export!J3195,FALSE),""),K3195)</f>
        <v/>
      </c>
      <c r="D3195" s="105"/>
      <c r="E3195" t="s">
        <v>1561</v>
      </c>
      <c r="F3195" s="105" t="s">
        <v>1851</v>
      </c>
      <c r="G3195" s="105" t="b">
        <f>VLOOKUP($I$3174,FS_input_data!$C$458:$N$648,Export!$J$3174,FALSE)=""</f>
        <v>0</v>
      </c>
      <c r="H3195" s="6" t="s">
        <v>2189</v>
      </c>
      <c r="I3195" t="s">
        <v>1561</v>
      </c>
      <c r="J3195" t="s">
        <v>1561</v>
      </c>
      <c r="L3195">
        <f t="shared" si="165"/>
        <v>1</v>
      </c>
    </row>
    <row r="3196" spans="1:12" x14ac:dyDescent="0.35">
      <c r="A3196">
        <f t="shared" si="166"/>
        <v>3195</v>
      </c>
      <c r="B3196" t="s">
        <v>743</v>
      </c>
      <c r="C3196" s="109" t="str">
        <f>IF(ISBLANK(K3196),IFERROR(VLOOKUP(I3196,FS_input_data!$C$458:$N$648,Export!J3196,FALSE),""),K3196)</f>
        <v/>
      </c>
      <c r="D3196" s="105"/>
      <c r="E3196" t="s">
        <v>1561</v>
      </c>
      <c r="F3196" s="105" t="s">
        <v>1851</v>
      </c>
      <c r="G3196" s="105" t="b">
        <f>VLOOKUP($I$3174,FS_input_data!$C$458:$N$648,Export!$J$3174,FALSE)=""</f>
        <v>0</v>
      </c>
      <c r="H3196" s="6" t="s">
        <v>2189</v>
      </c>
      <c r="I3196" t="s">
        <v>1561</v>
      </c>
      <c r="J3196" t="s">
        <v>1561</v>
      </c>
      <c r="L3196">
        <f t="shared" si="165"/>
        <v>1</v>
      </c>
    </row>
    <row r="3197" spans="1:12" x14ac:dyDescent="0.35">
      <c r="A3197">
        <f t="shared" si="166"/>
        <v>3196</v>
      </c>
      <c r="B3197" t="s">
        <v>744</v>
      </c>
      <c r="C3197" s="109" t="str">
        <f>IF(ISBLANK(K3197),IFERROR(VLOOKUP(I3197,FS_input_data!$C$458:$N$648,Export!J3197,FALSE),""),K3197)</f>
        <v/>
      </c>
      <c r="D3197" s="105"/>
      <c r="E3197" t="s">
        <v>1561</v>
      </c>
      <c r="F3197" s="105" t="s">
        <v>1851</v>
      </c>
      <c r="G3197" s="105" t="b">
        <f>IF(RP_tax,TRUE,VLOOKUP($I$3174,FS_input_data!$C$458:$N$648,Export!$J$3174,FALSE)="")</f>
        <v>1</v>
      </c>
      <c r="H3197" s="6" t="s">
        <v>2189</v>
      </c>
      <c r="I3197" t="s">
        <v>1561</v>
      </c>
      <c r="J3197" t="s">
        <v>1561</v>
      </c>
      <c r="L3197" s="9" t="e">
        <f t="shared" si="165"/>
        <v>#VALUE!</v>
      </c>
    </row>
    <row r="3198" spans="1:12" x14ac:dyDescent="0.35">
      <c r="A3198" s="9">
        <f t="shared" si="166"/>
        <v>3197</v>
      </c>
      <c r="B3198" t="s">
        <v>109</v>
      </c>
      <c r="C3198" s="109">
        <f>IF(ISBLANK(K3198),IFERROR(VLOOKUP(I3198,FS_input_data!$C$458:$N$648,Export!J3198,FALSE),""),K3198)</f>
        <v>20000</v>
      </c>
      <c r="D3198" s="105" t="b">
        <v>0</v>
      </c>
      <c r="E3198" t="s">
        <v>1561</v>
      </c>
      <c r="F3198" s="105" t="s">
        <v>1851</v>
      </c>
      <c r="G3198" s="105" t="b">
        <f>IF(RP_tax,TRUE,VLOOKUP($I$3174,FS_input_data!$C$458:$N$648,Export!$J$3174,FALSE)="")</f>
        <v>1</v>
      </c>
      <c r="H3198" s="6" t="s">
        <v>2189</v>
      </c>
      <c r="I3198" t="s">
        <v>1851</v>
      </c>
      <c r="J3198">
        <v>10</v>
      </c>
      <c r="L3198" s="9" t="e">
        <f t="shared" si="165"/>
        <v>#VALUE!</v>
      </c>
    </row>
    <row r="3199" spans="1:12" x14ac:dyDescent="0.35">
      <c r="A3199">
        <f t="shared" si="166"/>
        <v>3198</v>
      </c>
      <c r="B3199" t="s">
        <v>110</v>
      </c>
      <c r="C3199" s="109" t="str">
        <f>IF(ISBLANK(K3199),IFERROR(VLOOKUP(I3199,FS_input_data!$C$458:$N$648,Export!J3199,FALSE),""),K3199)</f>
        <v/>
      </c>
      <c r="D3199" s="105"/>
      <c r="E3199" t="s">
        <v>1561</v>
      </c>
      <c r="F3199" s="105" t="s">
        <v>1851</v>
      </c>
      <c r="G3199" s="105" t="b">
        <f>IF(RP_tax,TRUE,VLOOKUP($I$3174,FS_input_data!$C$458:$N$648,Export!$J$3174,FALSE)="")</f>
        <v>1</v>
      </c>
      <c r="H3199" s="6" t="s">
        <v>2189</v>
      </c>
      <c r="I3199" t="s">
        <v>1561</v>
      </c>
      <c r="J3199" t="s">
        <v>1561</v>
      </c>
      <c r="L3199">
        <f t="shared" si="165"/>
        <v>1</v>
      </c>
    </row>
    <row r="3200" spans="1:12" x14ac:dyDescent="0.35">
      <c r="A3200" s="9">
        <f t="shared" si="166"/>
        <v>3199</v>
      </c>
      <c r="B3200" t="s">
        <v>111</v>
      </c>
      <c r="C3200" s="109">
        <f>IF(ISBLANK(K3200),IFERROR(VLOOKUP(I3200,FS_input_data!$C$458:$N$648,Export!J3200,FALSE),""),K3200)</f>
        <v>10000</v>
      </c>
      <c r="D3200" s="105" t="b">
        <v>0</v>
      </c>
      <c r="E3200" t="s">
        <v>1561</v>
      </c>
      <c r="F3200" s="105" t="s">
        <v>1851</v>
      </c>
      <c r="G3200" s="105" t="b">
        <f>IF(RP_tax,TRUE,VLOOKUP($I$3174,FS_input_data!$C$458:$N$648,Export!$J$3174,FALSE)="")</f>
        <v>1</v>
      </c>
      <c r="H3200" s="6" t="s">
        <v>2189</v>
      </c>
      <c r="I3200" t="s">
        <v>1851</v>
      </c>
      <c r="J3200">
        <v>11</v>
      </c>
      <c r="L3200" s="9" t="e">
        <f t="shared" si="165"/>
        <v>#VALUE!</v>
      </c>
    </row>
    <row r="3201" spans="1:12" x14ac:dyDescent="0.35">
      <c r="A3201">
        <f t="shared" si="166"/>
        <v>3200</v>
      </c>
      <c r="B3201" t="s">
        <v>112</v>
      </c>
      <c r="C3201" s="109" t="str">
        <f>IF(ISBLANK(K3201),IFERROR(VLOOKUP(I3201,FS_input_data!$C$458:$N$648,Export!J3201,FALSE),""),K3201)</f>
        <v/>
      </c>
      <c r="D3201" s="105"/>
      <c r="E3201" t="s">
        <v>1561</v>
      </c>
      <c r="F3201" s="105" t="s">
        <v>1851</v>
      </c>
      <c r="G3201" s="105" t="b">
        <f>IF(RP_tax,TRUE,VLOOKUP($I$3174,FS_input_data!$C$458:$N$648,Export!$J$3174,FALSE)="")</f>
        <v>1</v>
      </c>
      <c r="H3201" s="6" t="s">
        <v>2189</v>
      </c>
      <c r="I3201" t="s">
        <v>1561</v>
      </c>
      <c r="J3201" t="s">
        <v>1561</v>
      </c>
      <c r="L3201">
        <f t="shared" si="165"/>
        <v>1</v>
      </c>
    </row>
    <row r="3202" spans="1:12" x14ac:dyDescent="0.35">
      <c r="A3202" s="9">
        <f t="shared" si="166"/>
        <v>3201</v>
      </c>
      <c r="B3202" t="s">
        <v>749</v>
      </c>
      <c r="C3202" s="109">
        <f>IF(ISBLANK(K3202),IFERROR(VLOOKUP(I3202,FS_input_data!$C$458:$N$648,Export!J3202,FALSE),""),K3202)</f>
        <v>10000</v>
      </c>
      <c r="D3202" s="105" t="b">
        <v>0</v>
      </c>
      <c r="E3202" t="s">
        <v>1561</v>
      </c>
      <c r="F3202" s="105" t="s">
        <v>1851</v>
      </c>
      <c r="G3202" s="105" t="b">
        <f>IF(RP_tax,TRUE,VLOOKUP($I$3174,FS_input_data!$C$458:$N$648,Export!$J$3174,FALSE)="")</f>
        <v>1</v>
      </c>
      <c r="H3202" s="6" t="s">
        <v>2189</v>
      </c>
      <c r="I3202" t="s">
        <v>1851</v>
      </c>
      <c r="J3202">
        <v>12</v>
      </c>
      <c r="L3202" s="9" t="e">
        <f t="shared" ref="L3202:L3265" si="167">FIND("/",B3202)</f>
        <v>#VALUE!</v>
      </c>
    </row>
    <row r="3203" spans="1:12" x14ac:dyDescent="0.35">
      <c r="A3203">
        <f t="shared" ref="A3203:A3266" si="168">A3202+1</f>
        <v>3202</v>
      </c>
      <c r="B3203" t="s">
        <v>750</v>
      </c>
      <c r="C3203" s="109" t="str">
        <f>IF(ISBLANK(K3203),IFERROR(VLOOKUP(I3203,FS_input_data!$C$458:$N$648,Export!J3203,FALSE),""),K3203)</f>
        <v/>
      </c>
      <c r="D3203" s="105"/>
      <c r="E3203" t="s">
        <v>1561</v>
      </c>
      <c r="F3203" s="105" t="s">
        <v>1851</v>
      </c>
      <c r="G3203" s="105" t="b">
        <f>IF(RP_tax,TRUE,VLOOKUP($I$3174,FS_input_data!$C$458:$N$648,Export!$J$3174,FALSE)="")</f>
        <v>1</v>
      </c>
      <c r="H3203" s="6" t="s">
        <v>2189</v>
      </c>
      <c r="I3203" t="s">
        <v>1561</v>
      </c>
      <c r="J3203" t="s">
        <v>1561</v>
      </c>
      <c r="L3203">
        <f t="shared" si="167"/>
        <v>1</v>
      </c>
    </row>
    <row r="3204" spans="1:12" x14ac:dyDescent="0.35">
      <c r="A3204">
        <f t="shared" si="168"/>
        <v>3203</v>
      </c>
      <c r="B3204" t="s">
        <v>745</v>
      </c>
      <c r="C3204" s="109" t="str">
        <f>IF(ISBLANK(K3204),IFERROR(VLOOKUP(I3204,FS_input_data!$C$458:$N$648,Export!J3204,FALSE),""),K3204)</f>
        <v/>
      </c>
      <c r="D3204" s="105"/>
      <c r="E3204" t="s">
        <v>1561</v>
      </c>
      <c r="F3204" s="105" t="s">
        <v>1851</v>
      </c>
      <c r="G3204" s="105" t="b">
        <f>IF(RP_tax,TRUE,VLOOKUP($I$3174,FS_input_data!$C$458:$N$648,Export!$J$3174,FALSE)="")</f>
        <v>1</v>
      </c>
      <c r="H3204" s="6" t="s">
        <v>2189</v>
      </c>
      <c r="I3204" t="s">
        <v>1561</v>
      </c>
      <c r="J3204" t="s">
        <v>1561</v>
      </c>
      <c r="L3204">
        <f t="shared" si="167"/>
        <v>1</v>
      </c>
    </row>
    <row r="3205" spans="1:12" x14ac:dyDescent="0.35">
      <c r="A3205">
        <f t="shared" si="168"/>
        <v>3204</v>
      </c>
      <c r="B3205" t="s">
        <v>764</v>
      </c>
      <c r="C3205" s="109" t="str">
        <f>IF(ISBLANK(K3205),IFERROR(VLOOKUP(I3205,FS_input_data!$C$458:$N$648,Export!J3205,FALSE),""),K3205)</f>
        <v/>
      </c>
      <c r="D3205" s="105"/>
      <c r="E3205" t="s">
        <v>1561</v>
      </c>
      <c r="F3205" s="105" t="s">
        <v>1851</v>
      </c>
      <c r="G3205" s="105" t="b">
        <f>VLOOKUP($I$3174,FS_input_data!$C$458:$N$648,Export!$J$3174,FALSE)=""</f>
        <v>0</v>
      </c>
      <c r="H3205" s="6" t="s">
        <v>2189</v>
      </c>
      <c r="I3205" t="s">
        <v>1561</v>
      </c>
      <c r="J3205" t="s">
        <v>1561</v>
      </c>
      <c r="L3205">
        <f t="shared" si="167"/>
        <v>1</v>
      </c>
    </row>
    <row r="3206" spans="1:12" x14ac:dyDescent="0.35">
      <c r="A3206">
        <f t="shared" si="168"/>
        <v>3205</v>
      </c>
      <c r="B3206" t="s">
        <v>765</v>
      </c>
      <c r="C3206" s="109" t="str">
        <f>IF(ISBLANK(K3206),IFERROR(VLOOKUP(I3206,FS_input_data!$C$458:$N$648,Export!J3206,FALSE),""),K3206)</f>
        <v/>
      </c>
      <c r="D3206" s="105"/>
      <c r="E3206" t="s">
        <v>1561</v>
      </c>
      <c r="F3206" s="105" t="s">
        <v>1851</v>
      </c>
      <c r="G3206" s="105" t="b">
        <f>VLOOKUP($I$3174,FS_input_data!$C$458:$N$648,Export!$J$3174,FALSE)=""</f>
        <v>0</v>
      </c>
      <c r="H3206" s="6" t="s">
        <v>2189</v>
      </c>
      <c r="I3206" t="s">
        <v>1561</v>
      </c>
      <c r="J3206" t="s">
        <v>1561</v>
      </c>
      <c r="L3206">
        <f t="shared" si="167"/>
        <v>1</v>
      </c>
    </row>
    <row r="3207" spans="1:12" x14ac:dyDescent="0.35">
      <c r="A3207">
        <f t="shared" si="168"/>
        <v>3206</v>
      </c>
      <c r="B3207" t="s">
        <v>766</v>
      </c>
      <c r="C3207" s="109" t="str">
        <f>IF(ISBLANK(K3207),IFERROR(VLOOKUP(I3207,FS_input_data!$C$458:$N$648,Export!J3207,FALSE),""),K3207)</f>
        <v/>
      </c>
      <c r="D3207" s="6"/>
      <c r="E3207" t="s">
        <v>1561</v>
      </c>
      <c r="F3207" s="6"/>
      <c r="G3207" s="102" t="b">
        <f>VLOOKUP($I$3209,FS_input_data!$C$458:$N$648,Export!$J$3209,FALSE)=""</f>
        <v>0</v>
      </c>
      <c r="H3207" s="6" t="s">
        <v>2189</v>
      </c>
      <c r="I3207" t="s">
        <v>1561</v>
      </c>
      <c r="J3207" t="s">
        <v>1561</v>
      </c>
      <c r="L3207" s="9" t="e">
        <f t="shared" si="167"/>
        <v>#VALUE!</v>
      </c>
    </row>
    <row r="3208" spans="1:12" x14ac:dyDescent="0.35">
      <c r="A3208">
        <f t="shared" si="168"/>
        <v>3207</v>
      </c>
      <c r="B3208" t="s">
        <v>742</v>
      </c>
      <c r="C3208" s="109" t="str">
        <f>IF(ISBLANK(K3208),IFERROR(VLOOKUP(I3208,FS_input_data!$C$458:$N$648,Export!J3208,FALSE),""),K3208)</f>
        <v/>
      </c>
      <c r="D3208" s="6"/>
      <c r="E3208" t="s">
        <v>1561</v>
      </c>
      <c r="F3208" s="6"/>
      <c r="G3208" s="102" t="b">
        <f>VLOOKUP($I$3209,FS_input_data!$C$458:$N$648,Export!$J$3209,FALSE)=""</f>
        <v>0</v>
      </c>
      <c r="H3208" s="6" t="s">
        <v>2189</v>
      </c>
      <c r="I3208" t="s">
        <v>1561</v>
      </c>
      <c r="J3208" t="s">
        <v>1561</v>
      </c>
      <c r="L3208" s="9" t="e">
        <f t="shared" si="167"/>
        <v>#VALUE!</v>
      </c>
    </row>
    <row r="3209" spans="1:12" x14ac:dyDescent="0.35">
      <c r="A3209" s="9">
        <f t="shared" si="168"/>
        <v>3208</v>
      </c>
      <c r="B3209" t="s">
        <v>109</v>
      </c>
      <c r="C3209" s="109">
        <f>IF(ISBLANK(K3209),IFERROR(VLOOKUP(I3209,FS_input_data!$C$458:$N$648,Export!J3209,FALSE),""),K3209)</f>
        <v>21000</v>
      </c>
      <c r="D3209" s="6" t="b">
        <v>1</v>
      </c>
      <c r="E3209" t="s">
        <v>1561</v>
      </c>
      <c r="F3209" s="6"/>
      <c r="G3209" s="102" t="b">
        <f>VLOOKUP($I$3209,FS_input_data!$C$458:$N$648,Export!$J$3209,FALSE)=""</f>
        <v>0</v>
      </c>
      <c r="H3209" s="6" t="s">
        <v>2189</v>
      </c>
      <c r="I3209" t="s">
        <v>2190</v>
      </c>
      <c r="J3209">
        <v>7</v>
      </c>
      <c r="L3209" s="9" t="e">
        <f t="shared" si="167"/>
        <v>#VALUE!</v>
      </c>
    </row>
    <row r="3210" spans="1:12" x14ac:dyDescent="0.35">
      <c r="A3210">
        <f t="shared" si="168"/>
        <v>3209</v>
      </c>
      <c r="B3210" t="s">
        <v>110</v>
      </c>
      <c r="C3210" s="109" t="str">
        <f>IF(ISBLANK(K3210),IFERROR(VLOOKUP(I3210,FS_input_data!$C$458:$N$648,Export!J3210,FALSE),""),K3210)</f>
        <v/>
      </c>
      <c r="D3210" s="6"/>
      <c r="E3210" t="s">
        <v>1561</v>
      </c>
      <c r="F3210" s="6"/>
      <c r="G3210" s="102" t="b">
        <f>VLOOKUP($I$3209,FS_input_data!$C$458:$N$648,Export!$J$3209,FALSE)=""</f>
        <v>0</v>
      </c>
      <c r="H3210" s="6" t="s">
        <v>2189</v>
      </c>
      <c r="I3210" t="s">
        <v>1561</v>
      </c>
      <c r="J3210" t="s">
        <v>1561</v>
      </c>
      <c r="L3210">
        <f t="shared" si="167"/>
        <v>1</v>
      </c>
    </row>
    <row r="3211" spans="1:12" x14ac:dyDescent="0.35">
      <c r="A3211" s="9">
        <f t="shared" si="168"/>
        <v>3210</v>
      </c>
      <c r="B3211" t="s">
        <v>111</v>
      </c>
      <c r="C3211" s="109">
        <f>IF(ISBLANK(K3211),IFERROR(VLOOKUP(I3211,FS_input_data!$C$458:$N$648,Export!J3211,FALSE),""),K3211)</f>
        <v>10500</v>
      </c>
      <c r="D3211" s="6" t="b">
        <v>0</v>
      </c>
      <c r="E3211" t="s">
        <v>1561</v>
      </c>
      <c r="F3211" s="6"/>
      <c r="G3211" s="102" t="b">
        <f>VLOOKUP($I$3209,FS_input_data!$C$458:$N$648,Export!$J$3209,FALSE)=""</f>
        <v>0</v>
      </c>
      <c r="H3211" s="6" t="s">
        <v>2189</v>
      </c>
      <c r="I3211" t="s">
        <v>2190</v>
      </c>
      <c r="J3211">
        <v>8</v>
      </c>
      <c r="L3211" s="9" t="e">
        <f t="shared" si="167"/>
        <v>#VALUE!</v>
      </c>
    </row>
    <row r="3212" spans="1:12" x14ac:dyDescent="0.35">
      <c r="A3212">
        <f t="shared" si="168"/>
        <v>3211</v>
      </c>
      <c r="B3212" t="s">
        <v>112</v>
      </c>
      <c r="C3212" s="109" t="str">
        <f>IF(ISBLANK(K3212),IFERROR(VLOOKUP(I3212,FS_input_data!$C$458:$N$648,Export!J3212,FALSE),""),K3212)</f>
        <v/>
      </c>
      <c r="D3212" s="6"/>
      <c r="E3212" t="s">
        <v>1561</v>
      </c>
      <c r="F3212" s="6"/>
      <c r="G3212" s="102" t="b">
        <f>VLOOKUP($I$3209,FS_input_data!$C$458:$N$648,Export!$J$3209,FALSE)=""</f>
        <v>0</v>
      </c>
      <c r="H3212" s="6" t="s">
        <v>2189</v>
      </c>
      <c r="I3212" t="s">
        <v>1561</v>
      </c>
      <c r="J3212" t="s">
        <v>1561</v>
      </c>
      <c r="L3212">
        <f t="shared" si="167"/>
        <v>1</v>
      </c>
    </row>
    <row r="3213" spans="1:12" x14ac:dyDescent="0.35">
      <c r="A3213" s="9">
        <f t="shared" si="168"/>
        <v>3212</v>
      </c>
      <c r="B3213" t="s">
        <v>749</v>
      </c>
      <c r="C3213" s="109">
        <f>IF(ISBLANK(K3213),IFERROR(VLOOKUP(I3213,FS_input_data!$C$458:$N$648,Export!J3213,FALSE),""),K3213)</f>
        <v>10500</v>
      </c>
      <c r="D3213" s="6" t="b">
        <v>0</v>
      </c>
      <c r="E3213" t="s">
        <v>1561</v>
      </c>
      <c r="F3213" s="6"/>
      <c r="G3213" s="102" t="b">
        <f>VLOOKUP($I$3209,FS_input_data!$C$458:$N$648,Export!$J$3209,FALSE)=""</f>
        <v>0</v>
      </c>
      <c r="H3213" s="6" t="s">
        <v>2189</v>
      </c>
      <c r="I3213" t="s">
        <v>2190</v>
      </c>
      <c r="J3213">
        <v>9</v>
      </c>
      <c r="L3213" s="9" t="e">
        <f t="shared" si="167"/>
        <v>#VALUE!</v>
      </c>
    </row>
    <row r="3214" spans="1:12" x14ac:dyDescent="0.35">
      <c r="A3214">
        <f t="shared" si="168"/>
        <v>3213</v>
      </c>
      <c r="B3214" t="s">
        <v>750</v>
      </c>
      <c r="C3214" s="109" t="str">
        <f>IF(ISBLANK(K3214),IFERROR(VLOOKUP(I3214,FS_input_data!$C$458:$N$648,Export!J3214,FALSE),""),K3214)</f>
        <v/>
      </c>
      <c r="D3214" s="6"/>
      <c r="E3214" t="s">
        <v>1561</v>
      </c>
      <c r="F3214" s="6"/>
      <c r="G3214" s="102" t="b">
        <f>VLOOKUP($I$3209,FS_input_data!$C$458:$N$648,Export!$J$3209,FALSE)=""</f>
        <v>0</v>
      </c>
      <c r="H3214" s="6" t="s">
        <v>2189</v>
      </c>
      <c r="I3214" t="s">
        <v>1561</v>
      </c>
      <c r="J3214" t="s">
        <v>1561</v>
      </c>
      <c r="L3214">
        <f t="shared" si="167"/>
        <v>1</v>
      </c>
    </row>
    <row r="3215" spans="1:12" x14ac:dyDescent="0.35">
      <c r="A3215">
        <f t="shared" si="168"/>
        <v>3214</v>
      </c>
      <c r="B3215" t="s">
        <v>743</v>
      </c>
      <c r="C3215" s="109" t="str">
        <f>IF(ISBLANK(K3215),IFERROR(VLOOKUP(I3215,FS_input_data!$C$458:$N$648,Export!J3215,FALSE),""),K3215)</f>
        <v/>
      </c>
      <c r="D3215" s="6"/>
      <c r="E3215" t="s">
        <v>1561</v>
      </c>
      <c r="F3215" s="6"/>
      <c r="G3215" s="102" t="b">
        <f>VLOOKUP($I$3209,FS_input_data!$C$458:$N$648,Export!$J$3209,FALSE)=""</f>
        <v>0</v>
      </c>
      <c r="H3215" s="6" t="s">
        <v>2189</v>
      </c>
      <c r="I3215" t="s">
        <v>1561</v>
      </c>
      <c r="J3215" t="s">
        <v>1561</v>
      </c>
      <c r="L3215">
        <f t="shared" si="167"/>
        <v>1</v>
      </c>
    </row>
    <row r="3216" spans="1:12" x14ac:dyDescent="0.35">
      <c r="A3216">
        <f t="shared" si="168"/>
        <v>3215</v>
      </c>
      <c r="B3216" t="s">
        <v>744</v>
      </c>
      <c r="C3216" s="109" t="str">
        <f>IF(ISBLANK(K3216),IFERROR(VLOOKUP(I3216,FS_input_data!$C$458:$N$648,Export!J3216,FALSE),""),K3216)</f>
        <v/>
      </c>
      <c r="D3216" s="6"/>
      <c r="E3216" t="s">
        <v>1561</v>
      </c>
      <c r="F3216" s="6"/>
      <c r="G3216" s="6" t="b">
        <f t="shared" ref="G3216:G3223" si="169">RP_tax</f>
        <v>1</v>
      </c>
      <c r="H3216" s="6" t="s">
        <v>2189</v>
      </c>
      <c r="I3216" t="s">
        <v>1561</v>
      </c>
      <c r="J3216" t="s">
        <v>1561</v>
      </c>
      <c r="L3216" s="9" t="e">
        <f t="shared" si="167"/>
        <v>#VALUE!</v>
      </c>
    </row>
    <row r="3217" spans="1:12" x14ac:dyDescent="0.35">
      <c r="A3217" s="9">
        <f t="shared" si="168"/>
        <v>3216</v>
      </c>
      <c r="B3217" t="s">
        <v>109</v>
      </c>
      <c r="C3217" s="109">
        <f>IF(ISBLANK(K3217),IFERROR(VLOOKUP(I3217,FS_input_data!$C$458:$N$648,Export!J3217,FALSE),""),K3217)</f>
        <v>21000</v>
      </c>
      <c r="D3217" s="6" t="b">
        <v>1</v>
      </c>
      <c r="E3217" t="s">
        <v>1561</v>
      </c>
      <c r="F3217" s="6"/>
      <c r="G3217" s="6" t="b">
        <f t="shared" si="169"/>
        <v>1</v>
      </c>
      <c r="H3217" s="6" t="s">
        <v>2189</v>
      </c>
      <c r="I3217" t="s">
        <v>2190</v>
      </c>
      <c r="J3217">
        <v>10</v>
      </c>
      <c r="L3217" s="9" t="e">
        <f t="shared" si="167"/>
        <v>#VALUE!</v>
      </c>
    </row>
    <row r="3218" spans="1:12" x14ac:dyDescent="0.35">
      <c r="A3218">
        <f t="shared" si="168"/>
        <v>3217</v>
      </c>
      <c r="B3218" t="s">
        <v>110</v>
      </c>
      <c r="C3218" s="109" t="str">
        <f>IF(ISBLANK(K3218),IFERROR(VLOOKUP(I3218,FS_input_data!$C$458:$N$648,Export!J3218,FALSE),""),K3218)</f>
        <v/>
      </c>
      <c r="D3218" s="6"/>
      <c r="E3218" t="s">
        <v>1561</v>
      </c>
      <c r="F3218" s="6"/>
      <c r="G3218" s="6" t="b">
        <f t="shared" si="169"/>
        <v>1</v>
      </c>
      <c r="H3218" s="6" t="s">
        <v>2189</v>
      </c>
      <c r="I3218" t="s">
        <v>1561</v>
      </c>
      <c r="J3218" t="s">
        <v>1561</v>
      </c>
      <c r="L3218">
        <f t="shared" si="167"/>
        <v>1</v>
      </c>
    </row>
    <row r="3219" spans="1:12" x14ac:dyDescent="0.35">
      <c r="A3219" s="9">
        <f t="shared" si="168"/>
        <v>3218</v>
      </c>
      <c r="B3219" t="s">
        <v>111</v>
      </c>
      <c r="C3219" s="109">
        <f>IF(ISBLANK(K3219),IFERROR(VLOOKUP(I3219,FS_input_data!$C$458:$N$648,Export!J3219,FALSE),""),K3219)</f>
        <v>10500</v>
      </c>
      <c r="D3219" s="6" t="b">
        <v>0</v>
      </c>
      <c r="E3219" t="s">
        <v>1561</v>
      </c>
      <c r="F3219" s="6"/>
      <c r="G3219" s="6" t="b">
        <f t="shared" si="169"/>
        <v>1</v>
      </c>
      <c r="H3219" s="6" t="s">
        <v>2189</v>
      </c>
      <c r="I3219" t="s">
        <v>2190</v>
      </c>
      <c r="J3219">
        <v>11</v>
      </c>
      <c r="L3219" s="9" t="e">
        <f t="shared" si="167"/>
        <v>#VALUE!</v>
      </c>
    </row>
    <row r="3220" spans="1:12" x14ac:dyDescent="0.35">
      <c r="A3220">
        <f t="shared" si="168"/>
        <v>3219</v>
      </c>
      <c r="B3220" t="s">
        <v>112</v>
      </c>
      <c r="C3220" s="109" t="str">
        <f>IF(ISBLANK(K3220),IFERROR(VLOOKUP(I3220,FS_input_data!$C$458:$N$648,Export!J3220,FALSE),""),K3220)</f>
        <v/>
      </c>
      <c r="D3220" s="6"/>
      <c r="E3220" t="s">
        <v>1561</v>
      </c>
      <c r="F3220" s="6"/>
      <c r="G3220" s="6" t="b">
        <f t="shared" si="169"/>
        <v>1</v>
      </c>
      <c r="H3220" s="6" t="s">
        <v>2189</v>
      </c>
      <c r="I3220" t="s">
        <v>1561</v>
      </c>
      <c r="J3220" t="s">
        <v>1561</v>
      </c>
      <c r="L3220">
        <f t="shared" si="167"/>
        <v>1</v>
      </c>
    </row>
    <row r="3221" spans="1:12" x14ac:dyDescent="0.35">
      <c r="A3221" s="9">
        <f t="shared" si="168"/>
        <v>3220</v>
      </c>
      <c r="B3221" t="s">
        <v>749</v>
      </c>
      <c r="C3221" s="109">
        <f>IF(ISBLANK(K3221),IFERROR(VLOOKUP(I3221,FS_input_data!$C$458:$N$648,Export!J3221,FALSE),""),K3221)</f>
        <v>10500</v>
      </c>
      <c r="D3221" s="6" t="b">
        <v>0</v>
      </c>
      <c r="E3221" t="s">
        <v>1561</v>
      </c>
      <c r="F3221" s="6"/>
      <c r="G3221" s="6" t="b">
        <f t="shared" si="169"/>
        <v>1</v>
      </c>
      <c r="H3221" s="6" t="s">
        <v>2189</v>
      </c>
      <c r="I3221" t="s">
        <v>2190</v>
      </c>
      <c r="J3221">
        <v>12</v>
      </c>
      <c r="L3221" s="9" t="e">
        <f t="shared" si="167"/>
        <v>#VALUE!</v>
      </c>
    </row>
    <row r="3222" spans="1:12" x14ac:dyDescent="0.35">
      <c r="A3222">
        <f t="shared" si="168"/>
        <v>3221</v>
      </c>
      <c r="B3222" t="s">
        <v>750</v>
      </c>
      <c r="C3222" s="109" t="str">
        <f>IF(ISBLANK(K3222),IFERROR(VLOOKUP(I3222,FS_input_data!$C$458:$N$648,Export!J3222,FALSE),""),K3222)</f>
        <v/>
      </c>
      <c r="D3222" s="6"/>
      <c r="E3222" t="s">
        <v>1561</v>
      </c>
      <c r="F3222" s="6"/>
      <c r="G3222" s="6" t="b">
        <f t="shared" si="169"/>
        <v>1</v>
      </c>
      <c r="H3222" s="6" t="s">
        <v>2189</v>
      </c>
      <c r="I3222" t="s">
        <v>1561</v>
      </c>
      <c r="J3222" t="s">
        <v>1561</v>
      </c>
      <c r="L3222">
        <f t="shared" si="167"/>
        <v>1</v>
      </c>
    </row>
    <row r="3223" spans="1:12" x14ac:dyDescent="0.35">
      <c r="A3223">
        <f t="shared" si="168"/>
        <v>3222</v>
      </c>
      <c r="B3223" t="s">
        <v>745</v>
      </c>
      <c r="C3223" s="109" t="str">
        <f>IF(ISBLANK(K3223),IFERROR(VLOOKUP(I3223,FS_input_data!$C$458:$N$648,Export!J3223,FALSE),""),K3223)</f>
        <v/>
      </c>
      <c r="D3223" s="6"/>
      <c r="E3223" t="s">
        <v>1561</v>
      </c>
      <c r="F3223" s="6"/>
      <c r="G3223" s="6" t="b">
        <f t="shared" si="169"/>
        <v>1</v>
      </c>
      <c r="H3223" s="6" t="s">
        <v>2189</v>
      </c>
      <c r="I3223" t="s">
        <v>1561</v>
      </c>
      <c r="J3223" t="s">
        <v>1561</v>
      </c>
      <c r="L3223">
        <f t="shared" si="167"/>
        <v>1</v>
      </c>
    </row>
    <row r="3224" spans="1:12" x14ac:dyDescent="0.35">
      <c r="A3224">
        <f t="shared" si="168"/>
        <v>3223</v>
      </c>
      <c r="B3224" t="s">
        <v>767</v>
      </c>
      <c r="C3224" s="109" t="str">
        <f>IF(ISBLANK(K3224),IFERROR(VLOOKUP(I3224,FS_input_data!$C$458:$N$648,Export!J3224,FALSE),""),K3224)</f>
        <v/>
      </c>
      <c r="D3224" s="6"/>
      <c r="E3224" t="s">
        <v>1561</v>
      </c>
      <c r="F3224" s="6"/>
      <c r="G3224" s="102" t="b">
        <f>VLOOKUP($I$3209,FS_input_data!$C$458:$N$648,Export!$J$3209,FALSE)=""</f>
        <v>0</v>
      </c>
      <c r="H3224" s="6" t="s">
        <v>2189</v>
      </c>
      <c r="I3224" t="s">
        <v>1561</v>
      </c>
      <c r="J3224" t="s">
        <v>1561</v>
      </c>
      <c r="L3224">
        <f t="shared" si="167"/>
        <v>1</v>
      </c>
    </row>
    <row r="3225" spans="1:12" x14ac:dyDescent="0.35">
      <c r="A3225">
        <f t="shared" si="168"/>
        <v>3224</v>
      </c>
      <c r="B3225" t="s">
        <v>768</v>
      </c>
      <c r="C3225" s="109" t="str">
        <f>IF(ISBLANK(K3225),IFERROR(VLOOKUP(I3225,FS_input_data!$C$458:$N$648,Export!J3225,FALSE),""),K3225)</f>
        <v/>
      </c>
      <c r="D3225" s="6"/>
      <c r="E3225" t="s">
        <v>1561</v>
      </c>
      <c r="F3225" s="6"/>
      <c r="G3225" s="102" t="b">
        <f>VLOOKUP($I$3209,FS_input_data!$C$458:$N$648,Export!$J$3209,FALSE)=""</f>
        <v>0</v>
      </c>
      <c r="H3225" s="6" t="s">
        <v>2189</v>
      </c>
      <c r="I3225" t="s">
        <v>1561</v>
      </c>
      <c r="J3225" t="s">
        <v>1561</v>
      </c>
      <c r="L3225">
        <f t="shared" si="167"/>
        <v>1</v>
      </c>
    </row>
    <row r="3226" spans="1:12" x14ac:dyDescent="0.35">
      <c r="A3226">
        <f t="shared" si="168"/>
        <v>3225</v>
      </c>
      <c r="B3226" t="s">
        <v>769</v>
      </c>
      <c r="C3226" s="109" t="str">
        <f>IF(ISBLANK(K3226),IFERROR(VLOOKUP(I3226,FS_input_data!$C$458:$N$648,Export!J3226,FALSE),""),K3226)</f>
        <v/>
      </c>
      <c r="D3226" s="6"/>
      <c r="E3226" s="43" t="s">
        <v>2231</v>
      </c>
      <c r="F3226" s="6"/>
      <c r="G3226" s="102" t="b">
        <f>VLOOKUP($I$3229,FS_input_data!$C$458:$N$648,Export!$J$3229,FALSE)=""</f>
        <v>0</v>
      </c>
      <c r="H3226" s="6" t="s">
        <v>2189</v>
      </c>
      <c r="I3226" t="s">
        <v>1561</v>
      </c>
      <c r="J3226" t="s">
        <v>1561</v>
      </c>
      <c r="L3226" s="9" t="e">
        <f t="shared" si="167"/>
        <v>#VALUE!</v>
      </c>
    </row>
    <row r="3227" spans="1:12" x14ac:dyDescent="0.35">
      <c r="A3227">
        <f t="shared" si="168"/>
        <v>3226</v>
      </c>
      <c r="B3227" t="s">
        <v>748</v>
      </c>
      <c r="C3227" s="109" t="str">
        <f>IF(ISBLANK(K3227),IFERROR(VLOOKUP(I3227,FS_input_data!$C$458:$N$648,Export!J3227,FALSE),""),K3227)</f>
        <v/>
      </c>
      <c r="D3227" s="6"/>
      <c r="E3227" t="s">
        <v>1561</v>
      </c>
      <c r="F3227" s="6"/>
      <c r="G3227" s="102" t="b">
        <f>VLOOKUP($I$3229,FS_input_data!$C$458:$N$648,Export!$J$3229,FALSE)=""</f>
        <v>0</v>
      </c>
      <c r="H3227" s="6" t="s">
        <v>2189</v>
      </c>
      <c r="I3227" t="s">
        <v>1561</v>
      </c>
      <c r="J3227" t="s">
        <v>1561</v>
      </c>
      <c r="L3227" s="9" t="e">
        <f t="shared" si="167"/>
        <v>#VALUE!</v>
      </c>
    </row>
    <row r="3228" spans="1:12" x14ac:dyDescent="0.35">
      <c r="A3228">
        <f t="shared" si="168"/>
        <v>3227</v>
      </c>
      <c r="B3228" t="s">
        <v>742</v>
      </c>
      <c r="C3228" s="109" t="str">
        <f>IF(ISBLANK(K3228),IFERROR(VLOOKUP(I3228,FS_input_data!$C$458:$N$648,Export!J3228,FALSE),""),K3228)</f>
        <v/>
      </c>
      <c r="D3228" s="6"/>
      <c r="E3228" t="s">
        <v>1561</v>
      </c>
      <c r="F3228" s="6"/>
      <c r="G3228" s="102" t="b">
        <f>VLOOKUP($I$3229,FS_input_data!$C$458:$N$648,Export!$J$3229,FALSE)=""</f>
        <v>0</v>
      </c>
      <c r="H3228" s="6" t="s">
        <v>2189</v>
      </c>
      <c r="I3228" t="s">
        <v>1561</v>
      </c>
      <c r="J3228" t="s">
        <v>1561</v>
      </c>
      <c r="L3228" s="9" t="e">
        <f t="shared" si="167"/>
        <v>#VALUE!</v>
      </c>
    </row>
    <row r="3229" spans="1:12" x14ac:dyDescent="0.35">
      <c r="A3229" s="9">
        <f t="shared" si="168"/>
        <v>3228</v>
      </c>
      <c r="B3229" t="s">
        <v>109</v>
      </c>
      <c r="C3229" s="109">
        <f>IF(ISBLANK(K3229),IFERROR(VLOOKUP(I3229,FS_input_data!$C$458:$N$648,Export!J3229,FALSE),""),K3229)</f>
        <v>44000</v>
      </c>
      <c r="D3229" s="6" t="b">
        <v>1</v>
      </c>
      <c r="E3229" t="s">
        <v>1561</v>
      </c>
      <c r="F3229" s="6"/>
      <c r="G3229" s="102" t="b">
        <f>VLOOKUP($I$3229,FS_input_data!$C$458:$N$648,Export!$J$3229,FALSE)=""</f>
        <v>0</v>
      </c>
      <c r="H3229" s="6" t="s">
        <v>2189</v>
      </c>
      <c r="I3229" t="s">
        <v>2194</v>
      </c>
      <c r="J3229">
        <v>7</v>
      </c>
      <c r="L3229" s="9" t="e">
        <f t="shared" si="167"/>
        <v>#VALUE!</v>
      </c>
    </row>
    <row r="3230" spans="1:12" x14ac:dyDescent="0.35">
      <c r="A3230">
        <f t="shared" si="168"/>
        <v>3229</v>
      </c>
      <c r="B3230" t="s">
        <v>110</v>
      </c>
      <c r="C3230" s="109" t="str">
        <f>IF(ISBLANK(K3230),IFERROR(VLOOKUP(I3230,FS_input_data!$C$458:$N$648,Export!J3230,FALSE),""),K3230)</f>
        <v/>
      </c>
      <c r="D3230" s="6"/>
      <c r="E3230" t="s">
        <v>1561</v>
      </c>
      <c r="F3230" s="6"/>
      <c r="G3230" s="102" t="b">
        <f>VLOOKUP($I$3229,FS_input_data!$C$458:$N$648,Export!$J$3229,FALSE)=""</f>
        <v>0</v>
      </c>
      <c r="H3230" s="6" t="s">
        <v>2189</v>
      </c>
      <c r="I3230" t="s">
        <v>1561</v>
      </c>
      <c r="J3230" t="s">
        <v>1561</v>
      </c>
      <c r="L3230">
        <f t="shared" si="167"/>
        <v>1</v>
      </c>
    </row>
    <row r="3231" spans="1:12" x14ac:dyDescent="0.35">
      <c r="A3231" s="9">
        <f t="shared" si="168"/>
        <v>3230</v>
      </c>
      <c r="B3231" t="s">
        <v>111</v>
      </c>
      <c r="C3231" s="109">
        <f>IF(ISBLANK(K3231),IFERROR(VLOOKUP(I3231,FS_input_data!$C$458:$N$648,Export!J3231,FALSE),""),K3231)</f>
        <v>22000</v>
      </c>
      <c r="D3231" s="6" t="b">
        <v>0</v>
      </c>
      <c r="E3231" t="s">
        <v>1561</v>
      </c>
      <c r="F3231" s="6"/>
      <c r="G3231" s="102" t="b">
        <f>VLOOKUP($I$3229,FS_input_data!$C$458:$N$648,Export!$J$3229,FALSE)=""</f>
        <v>0</v>
      </c>
      <c r="H3231" s="6" t="s">
        <v>2189</v>
      </c>
      <c r="I3231" t="s">
        <v>2194</v>
      </c>
      <c r="J3231">
        <v>8</v>
      </c>
      <c r="L3231" s="9" t="e">
        <f t="shared" si="167"/>
        <v>#VALUE!</v>
      </c>
    </row>
    <row r="3232" spans="1:12" x14ac:dyDescent="0.35">
      <c r="A3232">
        <f t="shared" si="168"/>
        <v>3231</v>
      </c>
      <c r="B3232" t="s">
        <v>112</v>
      </c>
      <c r="C3232" s="109" t="str">
        <f>IF(ISBLANK(K3232),IFERROR(VLOOKUP(I3232,FS_input_data!$C$458:$N$648,Export!J3232,FALSE),""),K3232)</f>
        <v/>
      </c>
      <c r="D3232" s="6"/>
      <c r="E3232" t="s">
        <v>1561</v>
      </c>
      <c r="F3232" s="6"/>
      <c r="G3232" s="102" t="b">
        <f>VLOOKUP($I$3229,FS_input_data!$C$458:$N$648,Export!$J$3229,FALSE)=""</f>
        <v>0</v>
      </c>
      <c r="H3232" s="6" t="s">
        <v>2189</v>
      </c>
      <c r="I3232" t="s">
        <v>1561</v>
      </c>
      <c r="J3232" t="s">
        <v>1561</v>
      </c>
      <c r="L3232">
        <f t="shared" si="167"/>
        <v>1</v>
      </c>
    </row>
    <row r="3233" spans="1:12" x14ac:dyDescent="0.35">
      <c r="A3233" s="9">
        <f t="shared" si="168"/>
        <v>3232</v>
      </c>
      <c r="B3233" t="s">
        <v>749</v>
      </c>
      <c r="C3233" s="109">
        <f>IF(ISBLANK(K3233),IFERROR(VLOOKUP(I3233,FS_input_data!$C$458:$N$648,Export!J3233,FALSE),""),K3233)</f>
        <v>22000</v>
      </c>
      <c r="D3233" s="6" t="b">
        <v>0</v>
      </c>
      <c r="E3233" t="s">
        <v>1561</v>
      </c>
      <c r="F3233" s="6"/>
      <c r="G3233" s="102" t="b">
        <f>VLOOKUP($I$3229,FS_input_data!$C$458:$N$648,Export!$J$3229,FALSE)=""</f>
        <v>0</v>
      </c>
      <c r="H3233" s="6" t="s">
        <v>2189</v>
      </c>
      <c r="I3233" t="s">
        <v>2194</v>
      </c>
      <c r="J3233">
        <v>9</v>
      </c>
      <c r="L3233" s="9" t="e">
        <f t="shared" si="167"/>
        <v>#VALUE!</v>
      </c>
    </row>
    <row r="3234" spans="1:12" x14ac:dyDescent="0.35">
      <c r="A3234">
        <f t="shared" si="168"/>
        <v>3233</v>
      </c>
      <c r="B3234" t="s">
        <v>750</v>
      </c>
      <c r="C3234" s="109" t="str">
        <f>IF(ISBLANK(K3234),IFERROR(VLOOKUP(I3234,FS_input_data!$C$458:$N$648,Export!J3234,FALSE),""),K3234)</f>
        <v/>
      </c>
      <c r="D3234" s="6"/>
      <c r="E3234" t="s">
        <v>1561</v>
      </c>
      <c r="F3234" s="6"/>
      <c r="G3234" s="102" t="b">
        <f>VLOOKUP($I$3229,FS_input_data!$C$458:$N$648,Export!$J$3229,FALSE)=""</f>
        <v>0</v>
      </c>
      <c r="H3234" s="6" t="s">
        <v>2189</v>
      </c>
      <c r="I3234" t="s">
        <v>1561</v>
      </c>
      <c r="J3234" t="s">
        <v>1561</v>
      </c>
      <c r="L3234">
        <f t="shared" si="167"/>
        <v>1</v>
      </c>
    </row>
    <row r="3235" spans="1:12" x14ac:dyDescent="0.35">
      <c r="A3235">
        <f t="shared" si="168"/>
        <v>3234</v>
      </c>
      <c r="B3235" t="s">
        <v>743</v>
      </c>
      <c r="C3235" s="109" t="str">
        <f>IF(ISBLANK(K3235),IFERROR(VLOOKUP(I3235,FS_input_data!$C$458:$N$648,Export!J3235,FALSE),""),K3235)</f>
        <v/>
      </c>
      <c r="D3235" s="6"/>
      <c r="E3235" t="s">
        <v>1561</v>
      </c>
      <c r="F3235" s="6"/>
      <c r="G3235" s="102" t="b">
        <f>VLOOKUP($I$3229,FS_input_data!$C$458:$N$648,Export!$J$3229,FALSE)=""</f>
        <v>0</v>
      </c>
      <c r="H3235" s="6" t="s">
        <v>2189</v>
      </c>
      <c r="I3235" t="s">
        <v>1561</v>
      </c>
      <c r="J3235" t="s">
        <v>1561</v>
      </c>
      <c r="L3235">
        <f t="shared" si="167"/>
        <v>1</v>
      </c>
    </row>
    <row r="3236" spans="1:12" x14ac:dyDescent="0.35">
      <c r="A3236">
        <f t="shared" si="168"/>
        <v>3235</v>
      </c>
      <c r="B3236" t="s">
        <v>744</v>
      </c>
      <c r="C3236" s="109" t="str">
        <f>IF(ISBLANK(K3236),IFERROR(VLOOKUP(I3236,FS_input_data!$C$458:$N$648,Export!J3236,FALSE),""),K3236)</f>
        <v/>
      </c>
      <c r="D3236" s="6"/>
      <c r="E3236" t="s">
        <v>1561</v>
      </c>
      <c r="F3236" s="6"/>
      <c r="G3236" s="6" t="b">
        <f t="shared" ref="G3236:G3243" si="170">RP_tax</f>
        <v>1</v>
      </c>
      <c r="H3236" s="6" t="s">
        <v>2189</v>
      </c>
      <c r="I3236" t="s">
        <v>1561</v>
      </c>
      <c r="J3236" t="s">
        <v>1561</v>
      </c>
      <c r="L3236" s="9" t="e">
        <f t="shared" si="167"/>
        <v>#VALUE!</v>
      </c>
    </row>
    <row r="3237" spans="1:12" x14ac:dyDescent="0.35">
      <c r="A3237" s="9">
        <f t="shared" si="168"/>
        <v>3236</v>
      </c>
      <c r="B3237" t="s">
        <v>109</v>
      </c>
      <c r="C3237" s="109">
        <f>IF(ISBLANK(K3237),IFERROR(VLOOKUP(I3237,FS_input_data!$C$458:$N$648,Export!J3237,FALSE),""),K3237)</f>
        <v>44000</v>
      </c>
      <c r="D3237" s="6" t="b">
        <v>1</v>
      </c>
      <c r="E3237" t="s">
        <v>1561</v>
      </c>
      <c r="F3237" s="6"/>
      <c r="G3237" s="6" t="b">
        <f t="shared" si="170"/>
        <v>1</v>
      </c>
      <c r="H3237" s="6" t="s">
        <v>2189</v>
      </c>
      <c r="I3237" t="s">
        <v>2194</v>
      </c>
      <c r="J3237">
        <v>10</v>
      </c>
      <c r="L3237" s="9" t="e">
        <f t="shared" si="167"/>
        <v>#VALUE!</v>
      </c>
    </row>
    <row r="3238" spans="1:12" x14ac:dyDescent="0.35">
      <c r="A3238">
        <f t="shared" si="168"/>
        <v>3237</v>
      </c>
      <c r="B3238" t="s">
        <v>110</v>
      </c>
      <c r="C3238" s="109" t="str">
        <f>IF(ISBLANK(K3238),IFERROR(VLOOKUP(I3238,FS_input_data!$C$458:$N$648,Export!J3238,FALSE),""),K3238)</f>
        <v/>
      </c>
      <c r="D3238" s="6"/>
      <c r="E3238" t="s">
        <v>1561</v>
      </c>
      <c r="F3238" s="6"/>
      <c r="G3238" s="6" t="b">
        <f t="shared" si="170"/>
        <v>1</v>
      </c>
      <c r="H3238" s="6" t="s">
        <v>2189</v>
      </c>
      <c r="I3238" t="s">
        <v>1561</v>
      </c>
      <c r="J3238" t="s">
        <v>1561</v>
      </c>
      <c r="L3238">
        <f t="shared" si="167"/>
        <v>1</v>
      </c>
    </row>
    <row r="3239" spans="1:12" x14ac:dyDescent="0.35">
      <c r="A3239" s="9">
        <f t="shared" si="168"/>
        <v>3238</v>
      </c>
      <c r="B3239" t="s">
        <v>111</v>
      </c>
      <c r="C3239" s="109">
        <f>IF(ISBLANK(K3239),IFERROR(VLOOKUP(I3239,FS_input_data!$C$458:$N$648,Export!J3239,FALSE),""),K3239)</f>
        <v>22000</v>
      </c>
      <c r="D3239" s="6" t="b">
        <v>0</v>
      </c>
      <c r="E3239" t="s">
        <v>1561</v>
      </c>
      <c r="F3239" s="6"/>
      <c r="G3239" s="6" t="b">
        <f t="shared" si="170"/>
        <v>1</v>
      </c>
      <c r="H3239" s="6" t="s">
        <v>2189</v>
      </c>
      <c r="I3239" t="s">
        <v>2194</v>
      </c>
      <c r="J3239">
        <v>11</v>
      </c>
      <c r="L3239" s="9" t="e">
        <f t="shared" si="167"/>
        <v>#VALUE!</v>
      </c>
    </row>
    <row r="3240" spans="1:12" x14ac:dyDescent="0.35">
      <c r="A3240">
        <f t="shared" si="168"/>
        <v>3239</v>
      </c>
      <c r="B3240" t="s">
        <v>112</v>
      </c>
      <c r="C3240" s="109" t="str">
        <f>IF(ISBLANK(K3240),IFERROR(VLOOKUP(I3240,FS_input_data!$C$458:$N$648,Export!J3240,FALSE),""),K3240)</f>
        <v/>
      </c>
      <c r="D3240" s="6"/>
      <c r="E3240" t="s">
        <v>1561</v>
      </c>
      <c r="F3240" s="6"/>
      <c r="G3240" s="6" t="b">
        <f t="shared" si="170"/>
        <v>1</v>
      </c>
      <c r="H3240" s="6" t="s">
        <v>2189</v>
      </c>
      <c r="I3240" t="s">
        <v>1561</v>
      </c>
      <c r="J3240" t="s">
        <v>1561</v>
      </c>
      <c r="L3240">
        <f t="shared" si="167"/>
        <v>1</v>
      </c>
    </row>
    <row r="3241" spans="1:12" x14ac:dyDescent="0.35">
      <c r="A3241" s="9">
        <f t="shared" si="168"/>
        <v>3240</v>
      </c>
      <c r="B3241" t="s">
        <v>749</v>
      </c>
      <c r="C3241" s="109">
        <f>IF(ISBLANK(K3241),IFERROR(VLOOKUP(I3241,FS_input_data!$C$458:$N$648,Export!J3241,FALSE),""),K3241)</f>
        <v>22000</v>
      </c>
      <c r="D3241" s="6" t="b">
        <v>0</v>
      </c>
      <c r="E3241" t="s">
        <v>1561</v>
      </c>
      <c r="F3241" s="6"/>
      <c r="G3241" s="6" t="b">
        <f t="shared" si="170"/>
        <v>1</v>
      </c>
      <c r="H3241" s="6" t="s">
        <v>2189</v>
      </c>
      <c r="I3241" t="s">
        <v>2194</v>
      </c>
      <c r="J3241">
        <v>12</v>
      </c>
      <c r="L3241" s="9" t="e">
        <f t="shared" si="167"/>
        <v>#VALUE!</v>
      </c>
    </row>
    <row r="3242" spans="1:12" x14ac:dyDescent="0.35">
      <c r="A3242">
        <f t="shared" si="168"/>
        <v>3241</v>
      </c>
      <c r="B3242" t="s">
        <v>750</v>
      </c>
      <c r="C3242" s="109" t="str">
        <f>IF(ISBLANK(K3242),IFERROR(VLOOKUP(I3242,FS_input_data!$C$458:$N$648,Export!J3242,FALSE),""),K3242)</f>
        <v/>
      </c>
      <c r="D3242" s="6"/>
      <c r="E3242" t="s">
        <v>1561</v>
      </c>
      <c r="F3242" s="6"/>
      <c r="G3242" s="6" t="b">
        <f t="shared" si="170"/>
        <v>1</v>
      </c>
      <c r="H3242" s="6" t="s">
        <v>2189</v>
      </c>
      <c r="I3242" t="s">
        <v>1561</v>
      </c>
      <c r="J3242" t="s">
        <v>1561</v>
      </c>
      <c r="L3242">
        <f t="shared" si="167"/>
        <v>1</v>
      </c>
    </row>
    <row r="3243" spans="1:12" x14ac:dyDescent="0.35">
      <c r="A3243">
        <f t="shared" si="168"/>
        <v>3242</v>
      </c>
      <c r="B3243" t="s">
        <v>745</v>
      </c>
      <c r="C3243" s="109" t="str">
        <f>IF(ISBLANK(K3243),IFERROR(VLOOKUP(I3243,FS_input_data!$C$458:$N$648,Export!J3243,FALSE),""),K3243)</f>
        <v/>
      </c>
      <c r="D3243" s="6"/>
      <c r="E3243" t="s">
        <v>1561</v>
      </c>
      <c r="F3243" s="6"/>
      <c r="G3243" s="6" t="b">
        <f t="shared" si="170"/>
        <v>1</v>
      </c>
      <c r="H3243" s="6" t="s">
        <v>2189</v>
      </c>
      <c r="I3243" t="s">
        <v>1561</v>
      </c>
      <c r="J3243" t="s">
        <v>1561</v>
      </c>
      <c r="L3243">
        <f t="shared" si="167"/>
        <v>1</v>
      </c>
    </row>
    <row r="3244" spans="1:12" x14ac:dyDescent="0.35">
      <c r="A3244">
        <f t="shared" si="168"/>
        <v>3243</v>
      </c>
      <c r="B3244" t="s">
        <v>751</v>
      </c>
      <c r="C3244" s="109" t="str">
        <f>IF(ISBLANK(K3244),IFERROR(VLOOKUP(I3244,FS_input_data!$C$458:$N$648,Export!J3244,FALSE),""),K3244)</f>
        <v/>
      </c>
      <c r="D3244" s="6"/>
      <c r="E3244" t="s">
        <v>1561</v>
      </c>
      <c r="F3244" s="6"/>
      <c r="G3244" s="102" t="b">
        <f>VLOOKUP($I$3229,FS_input_data!$C$458:$N$648,Export!$J$3229,FALSE)=""</f>
        <v>0</v>
      </c>
      <c r="H3244" s="6" t="s">
        <v>2189</v>
      </c>
      <c r="I3244" t="s">
        <v>1561</v>
      </c>
      <c r="J3244" t="s">
        <v>1561</v>
      </c>
      <c r="L3244">
        <f t="shared" si="167"/>
        <v>1</v>
      </c>
    </row>
    <row r="3245" spans="1:12" x14ac:dyDescent="0.35">
      <c r="A3245">
        <f t="shared" si="168"/>
        <v>3244</v>
      </c>
      <c r="B3245" t="s">
        <v>752</v>
      </c>
      <c r="C3245" s="109" t="str">
        <f>IF(ISBLANK(K3245),IFERROR(VLOOKUP(I3245,FS_input_data!$C$458:$N$648,Export!J3245,FALSE),""),K3245)</f>
        <v/>
      </c>
      <c r="D3245" s="6"/>
      <c r="E3245" t="s">
        <v>1561</v>
      </c>
      <c r="F3245" s="6"/>
      <c r="G3245" s="102" t="b">
        <f>VLOOKUP($I$3246,FS_input_data!$C$458:$N$648,Export!$J$3246,FALSE)=""</f>
        <v>0</v>
      </c>
      <c r="H3245" s="6" t="s">
        <v>2189</v>
      </c>
      <c r="I3245" t="s">
        <v>1561</v>
      </c>
      <c r="J3245" t="s">
        <v>1561</v>
      </c>
      <c r="L3245" s="9" t="e">
        <f t="shared" si="167"/>
        <v>#VALUE!</v>
      </c>
    </row>
    <row r="3246" spans="1:12" x14ac:dyDescent="0.35">
      <c r="A3246" s="9">
        <f t="shared" si="168"/>
        <v>3245</v>
      </c>
      <c r="B3246" t="s">
        <v>101</v>
      </c>
      <c r="C3246" s="109" t="str">
        <f>IF(ISBLANK(K3246),IFERROR(VLOOKUP(I3246,FS_input_data!$C$458:$N$648,Export!J3246,FALSE),""),K3246)</f>
        <v>OC1</v>
      </c>
      <c r="D3246" s="6" t="b">
        <v>1</v>
      </c>
      <c r="E3246" t="s">
        <v>1561</v>
      </c>
      <c r="F3246" s="6"/>
      <c r="G3246" s="102" t="b">
        <f>VLOOKUP($I$3246,FS_input_data!$C$458:$N$648,Export!$J$3246,FALSE)=""</f>
        <v>0</v>
      </c>
      <c r="H3246" s="6" t="s">
        <v>2189</v>
      </c>
      <c r="I3246" t="s">
        <v>1858</v>
      </c>
      <c r="J3246">
        <v>6</v>
      </c>
      <c r="L3246" s="9" t="e">
        <f t="shared" si="167"/>
        <v>#VALUE!</v>
      </c>
    </row>
    <row r="3247" spans="1:12" x14ac:dyDescent="0.35">
      <c r="A3247">
        <f t="shared" si="168"/>
        <v>3246</v>
      </c>
      <c r="B3247" t="s">
        <v>102</v>
      </c>
      <c r="C3247" s="109" t="str">
        <f>IF(ISBLANK(K3247),IFERROR(VLOOKUP(I3247,FS_input_data!$C$458:$N$648,Export!J3247,FALSE),""),K3247)</f>
        <v/>
      </c>
      <c r="D3247" s="6"/>
      <c r="E3247" t="s">
        <v>1561</v>
      </c>
      <c r="F3247" s="6"/>
      <c r="G3247" s="102" t="b">
        <f>VLOOKUP($I$3246,FS_input_data!$C$458:$N$648,Export!$J$3246,FALSE)=""</f>
        <v>0</v>
      </c>
      <c r="H3247" s="6" t="s">
        <v>2189</v>
      </c>
      <c r="I3247" t="s">
        <v>1561</v>
      </c>
      <c r="J3247" t="s">
        <v>1561</v>
      </c>
      <c r="L3247">
        <f t="shared" si="167"/>
        <v>1</v>
      </c>
    </row>
    <row r="3248" spans="1:12" x14ac:dyDescent="0.35">
      <c r="A3248">
        <f t="shared" si="168"/>
        <v>3247</v>
      </c>
      <c r="B3248" t="s">
        <v>753</v>
      </c>
      <c r="C3248" s="109" t="str">
        <f>IF(ISBLANK(K3248),IFERROR(VLOOKUP(I3248,FS_input_data!$C$458:$N$648,Export!J3248,FALSE),""),K3248)</f>
        <v/>
      </c>
      <c r="D3248" s="6"/>
      <c r="E3248" t="s">
        <v>1561</v>
      </c>
      <c r="F3248" s="6"/>
      <c r="G3248" s="102" t="b">
        <f>VLOOKUP($I$3246,FS_input_data!$C$458:$N$648,Export!$J$3246,FALSE)=""</f>
        <v>0</v>
      </c>
      <c r="H3248" s="6" t="s">
        <v>2189</v>
      </c>
      <c r="I3248" t="s">
        <v>1561</v>
      </c>
      <c r="J3248" t="s">
        <v>1561</v>
      </c>
      <c r="L3248" s="9" t="e">
        <f t="shared" si="167"/>
        <v>#VALUE!</v>
      </c>
    </row>
    <row r="3249" spans="1:12" x14ac:dyDescent="0.35">
      <c r="A3249">
        <f t="shared" si="168"/>
        <v>3248</v>
      </c>
      <c r="B3249" t="s">
        <v>742</v>
      </c>
      <c r="C3249" s="109" t="str">
        <f>IF(ISBLANK(K3249),IFERROR(VLOOKUP(I3249,FS_input_data!$C$458:$N$648,Export!J3249,FALSE),""),K3249)</f>
        <v/>
      </c>
      <c r="D3249" s="6"/>
      <c r="E3249" t="s">
        <v>1561</v>
      </c>
      <c r="F3249" s="6"/>
      <c r="G3249" s="102" t="b">
        <f>VLOOKUP($I$3246,FS_input_data!$C$458:$N$648,Export!$J$3246,FALSE)=""</f>
        <v>0</v>
      </c>
      <c r="H3249" s="6" t="s">
        <v>2189</v>
      </c>
      <c r="I3249" t="s">
        <v>1561</v>
      </c>
      <c r="J3249" t="s">
        <v>1561</v>
      </c>
      <c r="L3249" s="9" t="e">
        <f t="shared" si="167"/>
        <v>#VALUE!</v>
      </c>
    </row>
    <row r="3250" spans="1:12" x14ac:dyDescent="0.35">
      <c r="A3250">
        <f t="shared" si="168"/>
        <v>3249</v>
      </c>
      <c r="B3250" t="s">
        <v>748</v>
      </c>
      <c r="C3250" s="109" t="str">
        <f>IF(ISBLANK(K3250),IFERROR(VLOOKUP(I3250,FS_input_data!$C$458:$N$648,Export!J3250,FALSE),""),K3250)</f>
        <v/>
      </c>
      <c r="D3250" s="6"/>
      <c r="E3250" t="s">
        <v>1561</v>
      </c>
      <c r="F3250" s="6"/>
      <c r="G3250" s="102" t="b">
        <f>VLOOKUP($I$3246,FS_input_data!$C$458:$N$648,Export!$J$3246,FALSE)=""</f>
        <v>0</v>
      </c>
      <c r="H3250" s="6" t="s">
        <v>2189</v>
      </c>
      <c r="I3250" t="s">
        <v>1561</v>
      </c>
      <c r="J3250" t="s">
        <v>1561</v>
      </c>
      <c r="L3250" s="9" t="e">
        <f t="shared" si="167"/>
        <v>#VALUE!</v>
      </c>
    </row>
    <row r="3251" spans="1:12" x14ac:dyDescent="0.35">
      <c r="A3251" s="9">
        <f t="shared" si="168"/>
        <v>3250</v>
      </c>
      <c r="B3251" t="s">
        <v>109</v>
      </c>
      <c r="C3251" s="109">
        <f>IF(ISBLANK(K3251),IFERROR(VLOOKUP(I3251,FS_input_data!$C$458:$N$648,Export!J3251,FALSE),""),K3251)</f>
        <v>-626000</v>
      </c>
      <c r="D3251" s="6" t="b">
        <v>1</v>
      </c>
      <c r="E3251" t="s">
        <v>1561</v>
      </c>
      <c r="F3251" s="6"/>
      <c r="G3251" s="102" t="b">
        <f>VLOOKUP($I$3246,FS_input_data!$C$458:$N$648,Export!$J$3246,FALSE)=""</f>
        <v>0</v>
      </c>
      <c r="H3251" s="6" t="s">
        <v>2189</v>
      </c>
      <c r="I3251" t="s">
        <v>1858</v>
      </c>
      <c r="J3251">
        <v>7</v>
      </c>
      <c r="L3251" s="9" t="e">
        <f t="shared" si="167"/>
        <v>#VALUE!</v>
      </c>
    </row>
    <row r="3252" spans="1:12" x14ac:dyDescent="0.35">
      <c r="A3252">
        <f t="shared" si="168"/>
        <v>3251</v>
      </c>
      <c r="B3252" t="s">
        <v>110</v>
      </c>
      <c r="C3252" s="109" t="str">
        <f>IF(ISBLANK(K3252),IFERROR(VLOOKUP(I3252,FS_input_data!$C$458:$N$648,Export!J3252,FALSE),""),K3252)</f>
        <v/>
      </c>
      <c r="D3252" s="6"/>
      <c r="E3252" t="s">
        <v>1561</v>
      </c>
      <c r="F3252" s="6"/>
      <c r="G3252" s="102" t="b">
        <f>VLOOKUP($I$3246,FS_input_data!$C$458:$N$648,Export!$J$3246,FALSE)=""</f>
        <v>0</v>
      </c>
      <c r="H3252" s="6" t="s">
        <v>2189</v>
      </c>
      <c r="I3252" t="s">
        <v>1561</v>
      </c>
      <c r="J3252" t="s">
        <v>1561</v>
      </c>
      <c r="L3252">
        <f t="shared" si="167"/>
        <v>1</v>
      </c>
    </row>
    <row r="3253" spans="1:12" x14ac:dyDescent="0.35">
      <c r="A3253" s="9">
        <f t="shared" si="168"/>
        <v>3252</v>
      </c>
      <c r="B3253" t="s">
        <v>111</v>
      </c>
      <c r="C3253" s="109">
        <f>IF(ISBLANK(K3253),IFERROR(VLOOKUP(I3253,FS_input_data!$C$458:$N$648,Export!J3253,FALSE),""),K3253)</f>
        <v>-313000</v>
      </c>
      <c r="D3253" s="6" t="b">
        <v>0</v>
      </c>
      <c r="E3253" t="s">
        <v>1561</v>
      </c>
      <c r="F3253" s="6"/>
      <c r="G3253" s="102" t="b">
        <f>VLOOKUP($I$3246,FS_input_data!$C$458:$N$648,Export!$J$3246,FALSE)=""</f>
        <v>0</v>
      </c>
      <c r="H3253" s="6" t="s">
        <v>2189</v>
      </c>
      <c r="I3253" t="s">
        <v>1858</v>
      </c>
      <c r="J3253">
        <v>8</v>
      </c>
      <c r="L3253" s="9" t="e">
        <f t="shared" si="167"/>
        <v>#VALUE!</v>
      </c>
    </row>
    <row r="3254" spans="1:12" x14ac:dyDescent="0.35">
      <c r="A3254">
        <f t="shared" si="168"/>
        <v>3253</v>
      </c>
      <c r="B3254" t="s">
        <v>112</v>
      </c>
      <c r="C3254" s="109" t="str">
        <f>IF(ISBLANK(K3254),IFERROR(VLOOKUP(I3254,FS_input_data!$C$458:$N$648,Export!J3254,FALSE),""),K3254)</f>
        <v/>
      </c>
      <c r="D3254" s="6"/>
      <c r="E3254" t="s">
        <v>1561</v>
      </c>
      <c r="F3254" s="6"/>
      <c r="G3254" s="102" t="b">
        <f>VLOOKUP($I$3246,FS_input_data!$C$458:$N$648,Export!$J$3246,FALSE)=""</f>
        <v>0</v>
      </c>
      <c r="H3254" s="6" t="s">
        <v>2189</v>
      </c>
      <c r="I3254" t="s">
        <v>1561</v>
      </c>
      <c r="J3254" t="s">
        <v>1561</v>
      </c>
      <c r="L3254">
        <f t="shared" si="167"/>
        <v>1</v>
      </c>
    </row>
    <row r="3255" spans="1:12" x14ac:dyDescent="0.35">
      <c r="A3255" s="9">
        <f t="shared" si="168"/>
        <v>3254</v>
      </c>
      <c r="B3255" t="s">
        <v>749</v>
      </c>
      <c r="C3255" s="109">
        <f>IF(ISBLANK(K3255),IFERROR(VLOOKUP(I3255,FS_input_data!$C$458:$N$648,Export!J3255,FALSE),""),K3255)</f>
        <v>-313000</v>
      </c>
      <c r="D3255" s="6" t="b">
        <v>0</v>
      </c>
      <c r="E3255" t="s">
        <v>1561</v>
      </c>
      <c r="F3255" s="6"/>
      <c r="G3255" s="102" t="b">
        <f>VLOOKUP($I$3246,FS_input_data!$C$458:$N$648,Export!$J$3246,FALSE)=""</f>
        <v>0</v>
      </c>
      <c r="H3255" s="6" t="s">
        <v>2189</v>
      </c>
      <c r="I3255" t="s">
        <v>1858</v>
      </c>
      <c r="J3255">
        <v>9</v>
      </c>
      <c r="L3255" s="9" t="e">
        <f t="shared" si="167"/>
        <v>#VALUE!</v>
      </c>
    </row>
    <row r="3256" spans="1:12" x14ac:dyDescent="0.35">
      <c r="A3256">
        <f t="shared" si="168"/>
        <v>3255</v>
      </c>
      <c r="B3256" t="s">
        <v>750</v>
      </c>
      <c r="C3256" s="109" t="str">
        <f>IF(ISBLANK(K3256),IFERROR(VLOOKUP(I3256,FS_input_data!$C$458:$N$648,Export!J3256,FALSE),""),K3256)</f>
        <v/>
      </c>
      <c r="D3256" s="6"/>
      <c r="E3256" t="s">
        <v>1561</v>
      </c>
      <c r="F3256" s="6"/>
      <c r="G3256" s="102" t="b">
        <f>VLOOKUP($I$3246,FS_input_data!$C$458:$N$648,Export!$J$3246,FALSE)=""</f>
        <v>0</v>
      </c>
      <c r="H3256" s="6" t="s">
        <v>2189</v>
      </c>
      <c r="I3256" t="s">
        <v>1561</v>
      </c>
      <c r="J3256" t="s">
        <v>1561</v>
      </c>
      <c r="L3256">
        <f t="shared" si="167"/>
        <v>1</v>
      </c>
    </row>
    <row r="3257" spans="1:12" x14ac:dyDescent="0.35">
      <c r="A3257">
        <f t="shared" si="168"/>
        <v>3256</v>
      </c>
      <c r="B3257" t="s">
        <v>751</v>
      </c>
      <c r="C3257" s="109" t="str">
        <f>IF(ISBLANK(K3257),IFERROR(VLOOKUP(I3257,FS_input_data!$C$458:$N$648,Export!J3257,FALSE),""),K3257)</f>
        <v/>
      </c>
      <c r="D3257" s="6"/>
      <c r="E3257" t="s">
        <v>1561</v>
      </c>
      <c r="F3257" s="6"/>
      <c r="G3257" s="102" t="b">
        <f>VLOOKUP($I$3246,FS_input_data!$C$458:$N$648,Export!$J$3246,FALSE)=""</f>
        <v>0</v>
      </c>
      <c r="H3257" s="6" t="s">
        <v>2189</v>
      </c>
      <c r="I3257" t="s">
        <v>1561</v>
      </c>
      <c r="J3257" t="s">
        <v>1561</v>
      </c>
      <c r="L3257">
        <f t="shared" si="167"/>
        <v>1</v>
      </c>
    </row>
    <row r="3258" spans="1:12" x14ac:dyDescent="0.35">
      <c r="A3258">
        <f t="shared" si="168"/>
        <v>3257</v>
      </c>
      <c r="B3258" t="s">
        <v>754</v>
      </c>
      <c r="C3258" s="109" t="str">
        <f>IF(ISBLANK(K3258),IFERROR(VLOOKUP(I3258,FS_input_data!$C$458:$N$648,Export!J3258,FALSE),""),K3258)</f>
        <v/>
      </c>
      <c r="D3258" s="6"/>
      <c r="E3258" t="s">
        <v>1561</v>
      </c>
      <c r="F3258" s="6"/>
      <c r="G3258" s="102" t="b">
        <f>VLOOKUP($I$3246,FS_input_data!$C$458:$N$648,Export!$J$3246,FALSE)=""</f>
        <v>0</v>
      </c>
      <c r="H3258" s="6" t="s">
        <v>2189</v>
      </c>
      <c r="I3258" t="s">
        <v>1561</v>
      </c>
      <c r="J3258" t="s">
        <v>1561</v>
      </c>
      <c r="L3258" s="9" t="e">
        <f t="shared" si="167"/>
        <v>#VALUE!</v>
      </c>
    </row>
    <row r="3259" spans="1:12" x14ac:dyDescent="0.35">
      <c r="A3259" s="9">
        <f t="shared" si="168"/>
        <v>3258</v>
      </c>
      <c r="B3259" t="s">
        <v>755</v>
      </c>
      <c r="C3259" s="109">
        <f>IF(ISBLANK(K3259),IFERROR(VLOOKUP(I3259,FS_input_data!$C$458:$N$648,Export!J3259,FALSE),""),K3259)</f>
        <v>23</v>
      </c>
      <c r="D3259" s="6" t="b">
        <v>1</v>
      </c>
      <c r="E3259" t="s">
        <v>1561</v>
      </c>
      <c r="F3259" s="6"/>
      <c r="G3259" s="102" t="b">
        <f>VLOOKUP($I$3246,FS_input_data!$C$458:$N$648,Export!$J$3246,FALSE)=""</f>
        <v>0</v>
      </c>
      <c r="H3259" s="6" t="s">
        <v>2189</v>
      </c>
      <c r="I3259" t="s">
        <v>1858</v>
      </c>
      <c r="J3259">
        <v>2</v>
      </c>
      <c r="L3259" s="9" t="e">
        <f t="shared" si="167"/>
        <v>#VALUE!</v>
      </c>
    </row>
    <row r="3260" spans="1:12" x14ac:dyDescent="0.35">
      <c r="A3260">
        <f t="shared" si="168"/>
        <v>3259</v>
      </c>
      <c r="B3260" t="s">
        <v>756</v>
      </c>
      <c r="C3260" s="109" t="str">
        <f>IF(ISBLANK(K3260),IFERROR(VLOOKUP(I3260,FS_input_data!$C$458:$N$648,Export!J3260,FALSE),""),K3260)</f>
        <v/>
      </c>
      <c r="D3260" s="6"/>
      <c r="E3260" t="s">
        <v>1561</v>
      </c>
      <c r="F3260" s="6"/>
      <c r="G3260" s="102" t="b">
        <f>VLOOKUP($I$3246,FS_input_data!$C$458:$N$648,Export!$J$3246,FALSE)=""</f>
        <v>0</v>
      </c>
      <c r="H3260" s="6" t="s">
        <v>2189</v>
      </c>
      <c r="I3260" t="s">
        <v>1561</v>
      </c>
      <c r="J3260" t="s">
        <v>1561</v>
      </c>
      <c r="L3260">
        <f t="shared" si="167"/>
        <v>1</v>
      </c>
    </row>
    <row r="3261" spans="1:12" x14ac:dyDescent="0.35">
      <c r="A3261" s="9">
        <f t="shared" si="168"/>
        <v>3260</v>
      </c>
      <c r="B3261" t="s">
        <v>757</v>
      </c>
      <c r="C3261" s="109">
        <f>IF(ISBLANK(K3261),IFERROR(VLOOKUP(I3261,FS_input_data!$C$458:$N$648,Export!J3261,FALSE),""),K3261)</f>
        <v>123</v>
      </c>
      <c r="D3261" s="6" t="b">
        <v>0</v>
      </c>
      <c r="E3261" t="s">
        <v>1561</v>
      </c>
      <c r="F3261" s="6"/>
      <c r="G3261" s="102" t="b">
        <f>VLOOKUP($I$3246,FS_input_data!$C$458:$N$648,Export!$J$3246,FALSE)=""</f>
        <v>0</v>
      </c>
      <c r="H3261" s="6" t="s">
        <v>2189</v>
      </c>
      <c r="I3261" t="s">
        <v>1858</v>
      </c>
      <c r="J3261">
        <v>3</v>
      </c>
      <c r="L3261" s="9" t="e">
        <f t="shared" si="167"/>
        <v>#VALUE!</v>
      </c>
    </row>
    <row r="3262" spans="1:12" x14ac:dyDescent="0.35">
      <c r="A3262">
        <f t="shared" si="168"/>
        <v>3261</v>
      </c>
      <c r="B3262" t="s">
        <v>758</v>
      </c>
      <c r="C3262" s="109" t="str">
        <f>IF(ISBLANK(K3262),IFERROR(VLOOKUP(I3262,FS_input_data!$C$458:$N$648,Export!J3262,FALSE),""),K3262)</f>
        <v/>
      </c>
      <c r="D3262" s="6"/>
      <c r="E3262" t="s">
        <v>1561</v>
      </c>
      <c r="F3262" s="6"/>
      <c r="G3262" s="102" t="b">
        <f>VLOOKUP($I$3246,FS_input_data!$C$458:$N$648,Export!$J$3246,FALSE)=""</f>
        <v>0</v>
      </c>
      <c r="H3262" s="6" t="s">
        <v>2189</v>
      </c>
      <c r="I3262" t="s">
        <v>1561</v>
      </c>
      <c r="J3262" t="s">
        <v>1561</v>
      </c>
      <c r="L3262">
        <f t="shared" si="167"/>
        <v>1</v>
      </c>
    </row>
    <row r="3263" spans="1:12" x14ac:dyDescent="0.35">
      <c r="A3263" s="9">
        <f t="shared" si="168"/>
        <v>3262</v>
      </c>
      <c r="B3263" t="s">
        <v>759</v>
      </c>
      <c r="C3263" s="109">
        <f>IF(ISBLANK(K3263),IFERROR(VLOOKUP(I3263,FS_input_data!$C$458:$N$648,Export!J3263,FALSE),""),K3263)</f>
        <v>223</v>
      </c>
      <c r="D3263" s="6" t="b">
        <v>0</v>
      </c>
      <c r="E3263" t="s">
        <v>1561</v>
      </c>
      <c r="F3263" s="6"/>
      <c r="G3263" s="102" t="b">
        <f>VLOOKUP($I$3246,FS_input_data!$C$458:$N$648,Export!$J$3246,FALSE)=""</f>
        <v>0</v>
      </c>
      <c r="H3263" s="6" t="s">
        <v>2189</v>
      </c>
      <c r="I3263" t="s">
        <v>1858</v>
      </c>
      <c r="J3263">
        <v>4</v>
      </c>
      <c r="L3263" s="9" t="e">
        <f t="shared" si="167"/>
        <v>#VALUE!</v>
      </c>
    </row>
    <row r="3264" spans="1:12" x14ac:dyDescent="0.35">
      <c r="A3264">
        <f t="shared" si="168"/>
        <v>3263</v>
      </c>
      <c r="B3264" t="s">
        <v>760</v>
      </c>
      <c r="C3264" s="109" t="str">
        <f>IF(ISBLANK(K3264),IFERROR(VLOOKUP(I3264,FS_input_data!$C$458:$N$648,Export!J3264,FALSE),""),K3264)</f>
        <v/>
      </c>
      <c r="D3264" s="6"/>
      <c r="E3264" t="s">
        <v>1561</v>
      </c>
      <c r="F3264" s="6"/>
      <c r="G3264" s="102" t="b">
        <f>VLOOKUP($I$3246,FS_input_data!$C$458:$N$648,Export!$J$3246,FALSE)=""</f>
        <v>0</v>
      </c>
      <c r="H3264" s="6" t="s">
        <v>2189</v>
      </c>
      <c r="I3264" t="s">
        <v>1561</v>
      </c>
      <c r="J3264" t="s">
        <v>1561</v>
      </c>
      <c r="L3264">
        <f t="shared" si="167"/>
        <v>1</v>
      </c>
    </row>
    <row r="3265" spans="1:12" x14ac:dyDescent="0.35">
      <c r="A3265" s="9">
        <f t="shared" si="168"/>
        <v>3264</v>
      </c>
      <c r="B3265" t="s">
        <v>761</v>
      </c>
      <c r="C3265" s="109" t="str">
        <f>IF(ISBLANK(K3265),IFERROR(VLOOKUP(I3265,FS_input_data!$C$458:$N$648,Export!J3265,FALSE),""),K3265)</f>
        <v>b</v>
      </c>
      <c r="D3265" s="6" t="b">
        <v>0</v>
      </c>
      <c r="E3265" t="s">
        <v>1561</v>
      </c>
      <c r="F3265" s="6"/>
      <c r="G3265" s="102" t="b">
        <f>VLOOKUP($I$3246,FS_input_data!$C$458:$N$648,Export!$J$3246,FALSE)=""</f>
        <v>0</v>
      </c>
      <c r="H3265" s="6" t="s">
        <v>2189</v>
      </c>
      <c r="I3265" t="s">
        <v>1858</v>
      </c>
      <c r="J3265">
        <v>5</v>
      </c>
      <c r="L3265" s="9" t="e">
        <f t="shared" si="167"/>
        <v>#VALUE!</v>
      </c>
    </row>
    <row r="3266" spans="1:12" x14ac:dyDescent="0.35">
      <c r="A3266">
        <f t="shared" si="168"/>
        <v>3265</v>
      </c>
      <c r="B3266" t="s">
        <v>762</v>
      </c>
      <c r="C3266" s="109" t="str">
        <f>IF(ISBLANK(K3266),IFERROR(VLOOKUP(I3266,FS_input_data!$C$458:$N$648,Export!J3266,FALSE),""),K3266)</f>
        <v/>
      </c>
      <c r="D3266" s="6"/>
      <c r="E3266" t="s">
        <v>1561</v>
      </c>
      <c r="F3266" s="6"/>
      <c r="G3266" s="102" t="b">
        <f>VLOOKUP($I$3246,FS_input_data!$C$458:$N$648,Export!$J$3246,FALSE)=""</f>
        <v>0</v>
      </c>
      <c r="H3266" s="6" t="s">
        <v>2189</v>
      </c>
      <c r="I3266" t="s">
        <v>1561</v>
      </c>
      <c r="J3266" t="s">
        <v>1561</v>
      </c>
      <c r="L3266">
        <f t="shared" ref="L3266:L3329" si="171">FIND("/",B3266)</f>
        <v>1</v>
      </c>
    </row>
    <row r="3267" spans="1:12" x14ac:dyDescent="0.35">
      <c r="A3267">
        <f t="shared" ref="A3267:A3330" si="172">A3266+1</f>
        <v>3266</v>
      </c>
      <c r="B3267" t="s">
        <v>763</v>
      </c>
      <c r="C3267" s="109" t="str">
        <f>IF(ISBLANK(K3267),IFERROR(VLOOKUP(I3267,FS_input_data!$C$458:$N$648,Export!J3267,FALSE),""),K3267)</f>
        <v/>
      </c>
      <c r="D3267" s="6"/>
      <c r="E3267" t="s">
        <v>1561</v>
      </c>
      <c r="F3267" s="6"/>
      <c r="G3267" s="102" t="b">
        <f>VLOOKUP($I$3246,FS_input_data!$C$458:$N$648,Export!$J$3246,FALSE)=""</f>
        <v>0</v>
      </c>
      <c r="H3267" s="6" t="s">
        <v>2189</v>
      </c>
      <c r="I3267" t="s">
        <v>1561</v>
      </c>
      <c r="J3267" t="s">
        <v>1561</v>
      </c>
      <c r="L3267">
        <f t="shared" si="171"/>
        <v>1</v>
      </c>
    </row>
    <row r="3268" spans="1:12" x14ac:dyDescent="0.35">
      <c r="A3268">
        <f t="shared" si="172"/>
        <v>3267</v>
      </c>
      <c r="B3268" t="s">
        <v>743</v>
      </c>
      <c r="C3268" s="109" t="str">
        <f>IF(ISBLANK(K3268),IFERROR(VLOOKUP(I3268,FS_input_data!$C$458:$N$648,Export!J3268,FALSE),""),K3268)</f>
        <v/>
      </c>
      <c r="D3268" s="6"/>
      <c r="E3268" t="s">
        <v>1561</v>
      </c>
      <c r="F3268" s="6"/>
      <c r="G3268" s="102" t="b">
        <f>VLOOKUP($I$3246,FS_input_data!$C$458:$N$648,Export!$J$3246,FALSE)=""</f>
        <v>0</v>
      </c>
      <c r="H3268" s="6" t="s">
        <v>2189</v>
      </c>
      <c r="I3268" t="s">
        <v>1561</v>
      </c>
      <c r="J3268" t="s">
        <v>1561</v>
      </c>
      <c r="L3268">
        <f t="shared" si="171"/>
        <v>1</v>
      </c>
    </row>
    <row r="3269" spans="1:12" x14ac:dyDescent="0.35">
      <c r="A3269">
        <f t="shared" si="172"/>
        <v>3268</v>
      </c>
      <c r="B3269" t="s">
        <v>744</v>
      </c>
      <c r="C3269" s="109" t="str">
        <f>IF(ISBLANK(K3269),IFERROR(VLOOKUP(I3269,FS_input_data!$C$458:$N$648,Export!J3269,FALSE),""),K3269)</f>
        <v/>
      </c>
      <c r="D3269" s="6"/>
      <c r="E3269" t="s">
        <v>1561</v>
      </c>
      <c r="F3269" s="6"/>
      <c r="G3269" s="102" t="b">
        <f t="shared" ref="G3269:G3276" si="173">RP_tax</f>
        <v>1</v>
      </c>
      <c r="H3269" s="6" t="s">
        <v>2189</v>
      </c>
      <c r="I3269" t="s">
        <v>1561</v>
      </c>
      <c r="J3269" t="s">
        <v>1561</v>
      </c>
      <c r="L3269" s="9" t="e">
        <f t="shared" si="171"/>
        <v>#VALUE!</v>
      </c>
    </row>
    <row r="3270" spans="1:12" x14ac:dyDescent="0.35">
      <c r="A3270" s="9">
        <f t="shared" si="172"/>
        <v>3269</v>
      </c>
      <c r="B3270" t="s">
        <v>109</v>
      </c>
      <c r="C3270" s="109">
        <f>IF(ISBLANK(K3270),IFERROR(VLOOKUP(I3270,FS_input_data!$C$458:$N$648,Export!J3270,FALSE),""),K3270)</f>
        <v>-626000</v>
      </c>
      <c r="D3270" s="6" t="b">
        <v>1</v>
      </c>
      <c r="E3270" t="s">
        <v>1561</v>
      </c>
      <c r="F3270" s="6"/>
      <c r="G3270" s="102" t="b">
        <f t="shared" si="173"/>
        <v>1</v>
      </c>
      <c r="H3270" s="6" t="s">
        <v>2189</v>
      </c>
      <c r="I3270" t="s">
        <v>1858</v>
      </c>
      <c r="J3270">
        <v>10</v>
      </c>
      <c r="L3270" s="9" t="e">
        <f t="shared" si="171"/>
        <v>#VALUE!</v>
      </c>
    </row>
    <row r="3271" spans="1:12" x14ac:dyDescent="0.35">
      <c r="A3271">
        <f t="shared" si="172"/>
        <v>3270</v>
      </c>
      <c r="B3271" t="s">
        <v>110</v>
      </c>
      <c r="C3271" s="109" t="str">
        <f>IF(ISBLANK(K3271),IFERROR(VLOOKUP(I3271,FS_input_data!$C$458:$N$648,Export!J3271,FALSE),""),K3271)</f>
        <v/>
      </c>
      <c r="D3271" s="6"/>
      <c r="E3271" t="s">
        <v>1561</v>
      </c>
      <c r="F3271" s="6"/>
      <c r="G3271" s="102" t="b">
        <f t="shared" si="173"/>
        <v>1</v>
      </c>
      <c r="H3271" s="6" t="s">
        <v>2189</v>
      </c>
      <c r="I3271" t="s">
        <v>1561</v>
      </c>
      <c r="J3271" t="s">
        <v>1561</v>
      </c>
      <c r="L3271">
        <f t="shared" si="171"/>
        <v>1</v>
      </c>
    </row>
    <row r="3272" spans="1:12" x14ac:dyDescent="0.35">
      <c r="A3272" s="9">
        <f t="shared" si="172"/>
        <v>3271</v>
      </c>
      <c r="B3272" t="s">
        <v>111</v>
      </c>
      <c r="C3272" s="109">
        <f>IF(ISBLANK(K3272),IFERROR(VLOOKUP(I3272,FS_input_data!$C$458:$N$648,Export!J3272,FALSE),""),K3272)</f>
        <v>-313000</v>
      </c>
      <c r="D3272" s="6" t="b">
        <v>0</v>
      </c>
      <c r="E3272" t="s">
        <v>1561</v>
      </c>
      <c r="F3272" s="6"/>
      <c r="G3272" s="102" t="b">
        <f t="shared" si="173"/>
        <v>1</v>
      </c>
      <c r="H3272" s="6" t="s">
        <v>2189</v>
      </c>
      <c r="I3272" t="s">
        <v>1858</v>
      </c>
      <c r="J3272">
        <v>11</v>
      </c>
      <c r="L3272" s="9" t="e">
        <f t="shared" si="171"/>
        <v>#VALUE!</v>
      </c>
    </row>
    <row r="3273" spans="1:12" x14ac:dyDescent="0.35">
      <c r="A3273">
        <f t="shared" si="172"/>
        <v>3272</v>
      </c>
      <c r="B3273" t="s">
        <v>112</v>
      </c>
      <c r="C3273" s="109" t="str">
        <f>IF(ISBLANK(K3273),IFERROR(VLOOKUP(I3273,FS_input_data!$C$458:$N$648,Export!J3273,FALSE),""),K3273)</f>
        <v/>
      </c>
      <c r="D3273" s="6"/>
      <c r="E3273" t="s">
        <v>1561</v>
      </c>
      <c r="F3273" s="6"/>
      <c r="G3273" s="102" t="b">
        <f t="shared" si="173"/>
        <v>1</v>
      </c>
      <c r="H3273" s="6" t="s">
        <v>2189</v>
      </c>
      <c r="I3273" t="s">
        <v>1561</v>
      </c>
      <c r="J3273" t="s">
        <v>1561</v>
      </c>
      <c r="L3273">
        <f t="shared" si="171"/>
        <v>1</v>
      </c>
    </row>
    <row r="3274" spans="1:12" x14ac:dyDescent="0.35">
      <c r="A3274" s="9">
        <f t="shared" si="172"/>
        <v>3273</v>
      </c>
      <c r="B3274" t="s">
        <v>749</v>
      </c>
      <c r="C3274" s="109">
        <f>IF(ISBLANK(K3274),IFERROR(VLOOKUP(I3274,FS_input_data!$C$458:$N$648,Export!J3274,FALSE),""),K3274)</f>
        <v>-313000</v>
      </c>
      <c r="D3274" s="6" t="b">
        <v>0</v>
      </c>
      <c r="E3274" t="s">
        <v>1561</v>
      </c>
      <c r="F3274" s="6"/>
      <c r="G3274" s="102" t="b">
        <f t="shared" si="173"/>
        <v>1</v>
      </c>
      <c r="H3274" s="6" t="s">
        <v>2189</v>
      </c>
      <c r="I3274" t="s">
        <v>1858</v>
      </c>
      <c r="J3274">
        <v>12</v>
      </c>
      <c r="L3274" s="9" t="e">
        <f t="shared" si="171"/>
        <v>#VALUE!</v>
      </c>
    </row>
    <row r="3275" spans="1:12" x14ac:dyDescent="0.35">
      <c r="A3275">
        <f t="shared" si="172"/>
        <v>3274</v>
      </c>
      <c r="B3275" t="s">
        <v>750</v>
      </c>
      <c r="C3275" s="109" t="str">
        <f>IF(ISBLANK(K3275),IFERROR(VLOOKUP(I3275,FS_input_data!$C$458:$N$648,Export!J3275,FALSE),""),K3275)</f>
        <v/>
      </c>
      <c r="D3275" s="6"/>
      <c r="E3275" t="s">
        <v>1561</v>
      </c>
      <c r="F3275" s="6"/>
      <c r="G3275" s="102" t="b">
        <f t="shared" si="173"/>
        <v>1</v>
      </c>
      <c r="H3275" s="6" t="s">
        <v>2189</v>
      </c>
      <c r="I3275" t="s">
        <v>1561</v>
      </c>
      <c r="J3275" t="s">
        <v>1561</v>
      </c>
      <c r="L3275">
        <f t="shared" si="171"/>
        <v>1</v>
      </c>
    </row>
    <row r="3276" spans="1:12" x14ac:dyDescent="0.35">
      <c r="A3276">
        <f t="shared" si="172"/>
        <v>3275</v>
      </c>
      <c r="B3276" t="s">
        <v>745</v>
      </c>
      <c r="C3276" s="109" t="str">
        <f>IF(ISBLANK(K3276),IFERROR(VLOOKUP(I3276,FS_input_data!$C$458:$N$648,Export!J3276,FALSE),""),K3276)</f>
        <v/>
      </c>
      <c r="D3276" s="6"/>
      <c r="E3276" t="s">
        <v>1561</v>
      </c>
      <c r="F3276" s="6"/>
      <c r="G3276" s="102" t="b">
        <f t="shared" si="173"/>
        <v>1</v>
      </c>
      <c r="H3276" s="6" t="s">
        <v>2189</v>
      </c>
      <c r="I3276" t="s">
        <v>1561</v>
      </c>
      <c r="J3276" t="s">
        <v>1561</v>
      </c>
      <c r="L3276">
        <f t="shared" si="171"/>
        <v>1</v>
      </c>
    </row>
    <row r="3277" spans="1:12" x14ac:dyDescent="0.35">
      <c r="A3277">
        <f t="shared" si="172"/>
        <v>3276</v>
      </c>
      <c r="B3277" t="s">
        <v>764</v>
      </c>
      <c r="C3277" s="109" t="str">
        <f>IF(ISBLANK(K3277),IFERROR(VLOOKUP(I3277,FS_input_data!$C$458:$N$648,Export!J3277,FALSE),""),K3277)</f>
        <v/>
      </c>
      <c r="D3277" s="6"/>
      <c r="E3277" t="s">
        <v>1561</v>
      </c>
      <c r="F3277" s="6"/>
      <c r="G3277" s="102" t="b">
        <f>VLOOKUP($I$3246,FS_input_data!$C$458:$N$648,Export!$J$3246,FALSE)=""</f>
        <v>0</v>
      </c>
      <c r="H3277" s="6" t="s">
        <v>2189</v>
      </c>
      <c r="I3277" t="s">
        <v>1561</v>
      </c>
      <c r="J3277" t="s">
        <v>1561</v>
      </c>
      <c r="L3277">
        <f t="shared" si="171"/>
        <v>1</v>
      </c>
    </row>
    <row r="3278" spans="1:12" x14ac:dyDescent="0.35">
      <c r="A3278">
        <f t="shared" si="172"/>
        <v>3277</v>
      </c>
      <c r="B3278" t="s">
        <v>765</v>
      </c>
      <c r="C3278" s="109" t="str">
        <f>IF(ISBLANK(K3278),IFERROR(VLOOKUP(I3278,FS_input_data!$C$458:$N$648,Export!J3278,FALSE),""),K3278)</f>
        <v/>
      </c>
      <c r="D3278" s="6"/>
      <c r="E3278" t="s">
        <v>1561</v>
      </c>
      <c r="F3278" s="6"/>
      <c r="G3278" s="102" t="b">
        <f>VLOOKUP($I$3246,FS_input_data!$C$458:$N$648,Export!$J$3246,FALSE)=""</f>
        <v>0</v>
      </c>
      <c r="H3278" s="6" t="s">
        <v>2189</v>
      </c>
      <c r="I3278" t="s">
        <v>1561</v>
      </c>
      <c r="J3278" t="s">
        <v>1561</v>
      </c>
      <c r="L3278">
        <f t="shared" si="171"/>
        <v>1</v>
      </c>
    </row>
    <row r="3279" spans="1:12" x14ac:dyDescent="0.35">
      <c r="A3279">
        <f t="shared" si="172"/>
        <v>3278</v>
      </c>
      <c r="B3279" t="s">
        <v>752</v>
      </c>
      <c r="C3279" s="109" t="str">
        <f>IF(ISBLANK(K3279),IFERROR(VLOOKUP(I3279,FS_input_data!$C$458:$N$648,Export!J3279,FALSE),""),K3279)</f>
        <v/>
      </c>
      <c r="D3279" s="6"/>
      <c r="E3279" t="s">
        <v>1561</v>
      </c>
      <c r="F3279" s="6"/>
      <c r="G3279" s="105" t="b">
        <f>VLOOKUP($I$3280,FS_input_data!$C$458:$N$648,Export!$J$3280,FALSE)=""</f>
        <v>0</v>
      </c>
      <c r="H3279" s="6" t="s">
        <v>2189</v>
      </c>
      <c r="I3279" t="s">
        <v>1561</v>
      </c>
      <c r="J3279" t="s">
        <v>1561</v>
      </c>
      <c r="L3279" s="9" t="e">
        <f t="shared" si="171"/>
        <v>#VALUE!</v>
      </c>
    </row>
    <row r="3280" spans="1:12" x14ac:dyDescent="0.35">
      <c r="A3280" s="9">
        <f t="shared" si="172"/>
        <v>3279</v>
      </c>
      <c r="B3280" t="s">
        <v>101</v>
      </c>
      <c r="C3280" s="109" t="str">
        <f>IF(ISBLANK(K3280),IFERROR(VLOOKUP(I3280,FS_input_data!$C$458:$N$648,Export!J3280,FALSE),""),K3280)</f>
        <v>OC2</v>
      </c>
      <c r="D3280" s="6" t="b">
        <v>1</v>
      </c>
      <c r="E3280" t="s">
        <v>1561</v>
      </c>
      <c r="F3280" s="6"/>
      <c r="G3280" s="105" t="b">
        <f>VLOOKUP($I$3280,FS_input_data!$C$458:$N$648,Export!$J$3280,FALSE)=""</f>
        <v>0</v>
      </c>
      <c r="H3280" s="6" t="s">
        <v>2189</v>
      </c>
      <c r="I3280" t="s">
        <v>1860</v>
      </c>
      <c r="J3280">
        <v>6</v>
      </c>
      <c r="L3280" s="9" t="e">
        <f t="shared" si="171"/>
        <v>#VALUE!</v>
      </c>
    </row>
    <row r="3281" spans="1:12" x14ac:dyDescent="0.35">
      <c r="A3281">
        <f t="shared" si="172"/>
        <v>3280</v>
      </c>
      <c r="B3281" t="s">
        <v>102</v>
      </c>
      <c r="C3281" s="109" t="str">
        <f>IF(ISBLANK(K3281),IFERROR(VLOOKUP(I3281,FS_input_data!$C$458:$N$648,Export!J3281,FALSE),""),K3281)</f>
        <v/>
      </c>
      <c r="D3281" s="6"/>
      <c r="E3281" t="s">
        <v>1561</v>
      </c>
      <c r="F3281" s="6"/>
      <c r="G3281" s="105" t="b">
        <f>VLOOKUP($I$3280,FS_input_data!$C$458:$N$648,Export!$J$3280,FALSE)=""</f>
        <v>0</v>
      </c>
      <c r="H3281" s="6" t="s">
        <v>2189</v>
      </c>
      <c r="I3281" t="s">
        <v>1561</v>
      </c>
      <c r="J3281" t="s">
        <v>1561</v>
      </c>
      <c r="L3281">
        <f t="shared" si="171"/>
        <v>1</v>
      </c>
    </row>
    <row r="3282" spans="1:12" x14ac:dyDescent="0.35">
      <c r="A3282">
        <f t="shared" si="172"/>
        <v>3281</v>
      </c>
      <c r="B3282" t="s">
        <v>753</v>
      </c>
      <c r="C3282" s="109" t="str">
        <f>IF(ISBLANK(K3282),IFERROR(VLOOKUP(I3282,FS_input_data!$C$458:$N$648,Export!J3282,FALSE),""),K3282)</f>
        <v/>
      </c>
      <c r="D3282" s="6"/>
      <c r="E3282" t="s">
        <v>1561</v>
      </c>
      <c r="F3282" s="6"/>
      <c r="G3282" s="105" t="b">
        <f>VLOOKUP($I$3280,FS_input_data!$C$458:$N$648,Export!$J$3280,FALSE)=""</f>
        <v>0</v>
      </c>
      <c r="H3282" s="6" t="s">
        <v>2189</v>
      </c>
      <c r="I3282" t="s">
        <v>1561</v>
      </c>
      <c r="J3282" t="s">
        <v>1561</v>
      </c>
      <c r="L3282" s="9" t="e">
        <f t="shared" si="171"/>
        <v>#VALUE!</v>
      </c>
    </row>
    <row r="3283" spans="1:12" x14ac:dyDescent="0.35">
      <c r="A3283">
        <f t="shared" si="172"/>
        <v>3282</v>
      </c>
      <c r="B3283" t="s">
        <v>742</v>
      </c>
      <c r="C3283" s="109" t="str">
        <f>IF(ISBLANK(K3283),IFERROR(VLOOKUP(I3283,FS_input_data!$C$458:$N$648,Export!J3283,FALSE),""),K3283)</f>
        <v/>
      </c>
      <c r="D3283" s="6"/>
      <c r="E3283" t="s">
        <v>1561</v>
      </c>
      <c r="F3283" s="6"/>
      <c r="G3283" s="105" t="b">
        <f>VLOOKUP($I$3280,FS_input_data!$C$458:$N$648,Export!$J$3280,FALSE)=""</f>
        <v>0</v>
      </c>
      <c r="H3283" s="6" t="s">
        <v>2189</v>
      </c>
      <c r="I3283" t="s">
        <v>1561</v>
      </c>
      <c r="J3283" t="s">
        <v>1561</v>
      </c>
      <c r="L3283" s="9" t="e">
        <f t="shared" si="171"/>
        <v>#VALUE!</v>
      </c>
    </row>
    <row r="3284" spans="1:12" x14ac:dyDescent="0.35">
      <c r="A3284">
        <f t="shared" si="172"/>
        <v>3283</v>
      </c>
      <c r="B3284" t="s">
        <v>748</v>
      </c>
      <c r="C3284" s="109" t="str">
        <f>IF(ISBLANK(K3284),IFERROR(VLOOKUP(I3284,FS_input_data!$C$458:$N$648,Export!J3284,FALSE),""),K3284)</f>
        <v/>
      </c>
      <c r="D3284" s="6"/>
      <c r="E3284" t="s">
        <v>1561</v>
      </c>
      <c r="F3284" s="6"/>
      <c r="G3284" s="105" t="b">
        <f>VLOOKUP($I$3280,FS_input_data!$C$458:$N$648,Export!$J$3280,FALSE)=""</f>
        <v>0</v>
      </c>
      <c r="H3284" s="6" t="s">
        <v>2189</v>
      </c>
      <c r="I3284" t="s">
        <v>1561</v>
      </c>
      <c r="J3284" t="s">
        <v>1561</v>
      </c>
      <c r="L3284" s="9" t="e">
        <f t="shared" si="171"/>
        <v>#VALUE!</v>
      </c>
    </row>
    <row r="3285" spans="1:12" x14ac:dyDescent="0.35">
      <c r="A3285" s="9">
        <f t="shared" si="172"/>
        <v>3284</v>
      </c>
      <c r="B3285" t="s">
        <v>109</v>
      </c>
      <c r="C3285" s="109">
        <f>IF(ISBLANK(K3285),IFERROR(VLOOKUP(I3285,FS_input_data!$C$458:$N$648,Export!J3285,FALSE),""),K3285)</f>
        <v>24000</v>
      </c>
      <c r="D3285" s="6" t="b">
        <v>1</v>
      </c>
      <c r="E3285" t="s">
        <v>1561</v>
      </c>
      <c r="F3285" s="6"/>
      <c r="G3285" s="105" t="b">
        <f>VLOOKUP($I$3280,FS_input_data!$C$458:$N$648,Export!$J$3280,FALSE)=""</f>
        <v>0</v>
      </c>
      <c r="H3285" s="6" t="s">
        <v>2189</v>
      </c>
      <c r="I3285" t="s">
        <v>1860</v>
      </c>
      <c r="J3285">
        <v>7</v>
      </c>
      <c r="L3285" s="9" t="e">
        <f t="shared" si="171"/>
        <v>#VALUE!</v>
      </c>
    </row>
    <row r="3286" spans="1:12" x14ac:dyDescent="0.35">
      <c r="A3286">
        <f t="shared" si="172"/>
        <v>3285</v>
      </c>
      <c r="B3286" t="s">
        <v>110</v>
      </c>
      <c r="C3286" s="109" t="str">
        <f>IF(ISBLANK(K3286),IFERROR(VLOOKUP(I3286,FS_input_data!$C$458:$N$648,Export!J3286,FALSE),""),K3286)</f>
        <v/>
      </c>
      <c r="D3286" s="6"/>
      <c r="E3286" t="s">
        <v>1561</v>
      </c>
      <c r="F3286" s="6"/>
      <c r="G3286" s="105" t="b">
        <f>VLOOKUP($I$3280,FS_input_data!$C$458:$N$648,Export!$J$3280,FALSE)=""</f>
        <v>0</v>
      </c>
      <c r="H3286" s="6" t="s">
        <v>2189</v>
      </c>
      <c r="I3286" t="s">
        <v>1561</v>
      </c>
      <c r="J3286" t="s">
        <v>1561</v>
      </c>
      <c r="L3286">
        <f t="shared" si="171"/>
        <v>1</v>
      </c>
    </row>
    <row r="3287" spans="1:12" x14ac:dyDescent="0.35">
      <c r="A3287" s="9">
        <f t="shared" si="172"/>
        <v>3286</v>
      </c>
      <c r="B3287" t="s">
        <v>111</v>
      </c>
      <c r="C3287" s="109">
        <f>IF(ISBLANK(K3287),IFERROR(VLOOKUP(I3287,FS_input_data!$C$458:$N$648,Export!J3287,FALSE),""),K3287)</f>
        <v>12000</v>
      </c>
      <c r="D3287" s="6" t="b">
        <v>0</v>
      </c>
      <c r="E3287" t="s">
        <v>1561</v>
      </c>
      <c r="F3287" s="6"/>
      <c r="G3287" s="105" t="b">
        <f>VLOOKUP($I$3280,FS_input_data!$C$458:$N$648,Export!$J$3280,FALSE)=""</f>
        <v>0</v>
      </c>
      <c r="H3287" s="6" t="s">
        <v>2189</v>
      </c>
      <c r="I3287" t="s">
        <v>1860</v>
      </c>
      <c r="J3287">
        <v>8</v>
      </c>
      <c r="L3287" s="9" t="e">
        <f t="shared" si="171"/>
        <v>#VALUE!</v>
      </c>
    </row>
    <row r="3288" spans="1:12" x14ac:dyDescent="0.35">
      <c r="A3288">
        <f t="shared" si="172"/>
        <v>3287</v>
      </c>
      <c r="B3288" t="s">
        <v>112</v>
      </c>
      <c r="C3288" s="109" t="str">
        <f>IF(ISBLANK(K3288),IFERROR(VLOOKUP(I3288,FS_input_data!$C$458:$N$648,Export!J3288,FALSE),""),K3288)</f>
        <v/>
      </c>
      <c r="D3288" s="6"/>
      <c r="E3288" t="s">
        <v>1561</v>
      </c>
      <c r="F3288" s="6"/>
      <c r="G3288" s="105" t="b">
        <f>VLOOKUP($I$3280,FS_input_data!$C$458:$N$648,Export!$J$3280,FALSE)=""</f>
        <v>0</v>
      </c>
      <c r="H3288" s="6" t="s">
        <v>2189</v>
      </c>
      <c r="I3288" t="s">
        <v>1561</v>
      </c>
      <c r="J3288" t="s">
        <v>1561</v>
      </c>
      <c r="L3288">
        <f t="shared" si="171"/>
        <v>1</v>
      </c>
    </row>
    <row r="3289" spans="1:12" x14ac:dyDescent="0.35">
      <c r="A3289" s="9">
        <f t="shared" si="172"/>
        <v>3288</v>
      </c>
      <c r="B3289" t="s">
        <v>749</v>
      </c>
      <c r="C3289" s="109">
        <f>IF(ISBLANK(K3289),IFERROR(VLOOKUP(I3289,FS_input_data!$C$458:$N$648,Export!J3289,FALSE),""),K3289)</f>
        <v>12000</v>
      </c>
      <c r="D3289" s="6" t="b">
        <v>0</v>
      </c>
      <c r="E3289" t="s">
        <v>1561</v>
      </c>
      <c r="F3289" s="6"/>
      <c r="G3289" s="105" t="b">
        <f>VLOOKUP($I$3280,FS_input_data!$C$458:$N$648,Export!$J$3280,FALSE)=""</f>
        <v>0</v>
      </c>
      <c r="H3289" s="6" t="s">
        <v>2189</v>
      </c>
      <c r="I3289" t="s">
        <v>1860</v>
      </c>
      <c r="J3289">
        <v>9</v>
      </c>
      <c r="L3289" s="9" t="e">
        <f t="shared" si="171"/>
        <v>#VALUE!</v>
      </c>
    </row>
    <row r="3290" spans="1:12" x14ac:dyDescent="0.35">
      <c r="A3290">
        <f t="shared" si="172"/>
        <v>3289</v>
      </c>
      <c r="B3290" t="s">
        <v>750</v>
      </c>
      <c r="C3290" s="109" t="str">
        <f>IF(ISBLANK(K3290),IFERROR(VLOOKUP(I3290,FS_input_data!$C$458:$N$648,Export!J3290,FALSE),""),K3290)</f>
        <v/>
      </c>
      <c r="D3290" s="6"/>
      <c r="E3290" t="s">
        <v>1561</v>
      </c>
      <c r="F3290" s="6"/>
      <c r="G3290" s="105" t="b">
        <f>VLOOKUP($I$3280,FS_input_data!$C$458:$N$648,Export!$J$3280,FALSE)=""</f>
        <v>0</v>
      </c>
      <c r="H3290" s="6" t="s">
        <v>2189</v>
      </c>
      <c r="I3290" t="s">
        <v>1561</v>
      </c>
      <c r="J3290" t="s">
        <v>1561</v>
      </c>
      <c r="L3290">
        <f t="shared" si="171"/>
        <v>1</v>
      </c>
    </row>
    <row r="3291" spans="1:12" x14ac:dyDescent="0.35">
      <c r="A3291">
        <f t="shared" si="172"/>
        <v>3290</v>
      </c>
      <c r="B3291" t="s">
        <v>751</v>
      </c>
      <c r="C3291" s="109" t="str">
        <f>IF(ISBLANK(K3291),IFERROR(VLOOKUP(I3291,FS_input_data!$C$458:$N$648,Export!J3291,FALSE),""),K3291)</f>
        <v/>
      </c>
      <c r="D3291" s="6"/>
      <c r="E3291" t="s">
        <v>1561</v>
      </c>
      <c r="F3291" s="6"/>
      <c r="G3291" s="105" t="b">
        <f>VLOOKUP($I$3280,FS_input_data!$C$458:$N$648,Export!$J$3280,FALSE)=""</f>
        <v>0</v>
      </c>
      <c r="H3291" s="6" t="s">
        <v>2189</v>
      </c>
      <c r="I3291" t="s">
        <v>1561</v>
      </c>
      <c r="J3291" t="s">
        <v>1561</v>
      </c>
      <c r="L3291">
        <f t="shared" si="171"/>
        <v>1</v>
      </c>
    </row>
    <row r="3292" spans="1:12" x14ac:dyDescent="0.35">
      <c r="A3292">
        <f t="shared" si="172"/>
        <v>3291</v>
      </c>
      <c r="B3292" t="s">
        <v>754</v>
      </c>
      <c r="C3292" s="109" t="str">
        <f>IF(ISBLANK(K3292),IFERROR(VLOOKUP(I3292,FS_input_data!$C$458:$N$648,Export!J3292,FALSE),""),K3292)</f>
        <v/>
      </c>
      <c r="D3292" s="6"/>
      <c r="E3292" t="s">
        <v>1561</v>
      </c>
      <c r="F3292" s="6"/>
      <c r="G3292" s="105" t="b">
        <f>VLOOKUP($I$3280,FS_input_data!$C$458:$N$648,Export!$J$3280,FALSE)=""</f>
        <v>0</v>
      </c>
      <c r="H3292" s="6" t="s">
        <v>2189</v>
      </c>
      <c r="I3292" t="s">
        <v>1561</v>
      </c>
      <c r="J3292" t="s">
        <v>1561</v>
      </c>
      <c r="L3292" s="9" t="e">
        <f t="shared" si="171"/>
        <v>#VALUE!</v>
      </c>
    </row>
    <row r="3293" spans="1:12" x14ac:dyDescent="0.35">
      <c r="A3293" s="9">
        <f t="shared" si="172"/>
        <v>3292</v>
      </c>
      <c r="B3293" t="s">
        <v>755</v>
      </c>
      <c r="C3293" s="109">
        <f>IF(ISBLANK(K3293),IFERROR(VLOOKUP(I3293,FS_input_data!$C$458:$N$648,Export!J3293,FALSE),""),K3293)</f>
        <v>24</v>
      </c>
      <c r="D3293" s="6" t="b">
        <v>1</v>
      </c>
      <c r="E3293" t="s">
        <v>1561</v>
      </c>
      <c r="F3293" s="6"/>
      <c r="G3293" s="105" t="b">
        <f>VLOOKUP($I$3280,FS_input_data!$C$458:$N$648,Export!$J$3280,FALSE)=""</f>
        <v>0</v>
      </c>
      <c r="H3293" s="6" t="s">
        <v>2189</v>
      </c>
      <c r="I3293" t="s">
        <v>1860</v>
      </c>
      <c r="J3293">
        <v>2</v>
      </c>
      <c r="L3293" s="9" t="e">
        <f t="shared" si="171"/>
        <v>#VALUE!</v>
      </c>
    </row>
    <row r="3294" spans="1:12" x14ac:dyDescent="0.35">
      <c r="A3294">
        <f t="shared" si="172"/>
        <v>3293</v>
      </c>
      <c r="B3294" t="s">
        <v>756</v>
      </c>
      <c r="C3294" s="109" t="str">
        <f>IF(ISBLANK(K3294),IFERROR(VLOOKUP(I3294,FS_input_data!$C$458:$N$648,Export!J3294,FALSE),""),K3294)</f>
        <v/>
      </c>
      <c r="D3294" s="6"/>
      <c r="E3294" t="s">
        <v>1561</v>
      </c>
      <c r="F3294" s="6"/>
      <c r="G3294" s="105" t="b">
        <f>VLOOKUP($I$3280,FS_input_data!$C$458:$N$648,Export!$J$3280,FALSE)=""</f>
        <v>0</v>
      </c>
      <c r="H3294" s="6" t="s">
        <v>2189</v>
      </c>
      <c r="I3294" t="s">
        <v>1561</v>
      </c>
      <c r="J3294" t="s">
        <v>1561</v>
      </c>
      <c r="L3294">
        <f t="shared" si="171"/>
        <v>1</v>
      </c>
    </row>
    <row r="3295" spans="1:12" x14ac:dyDescent="0.35">
      <c r="A3295" s="9">
        <f t="shared" si="172"/>
        <v>3294</v>
      </c>
      <c r="B3295" t="s">
        <v>757</v>
      </c>
      <c r="C3295" s="109">
        <f>IF(ISBLANK(K3295),IFERROR(VLOOKUP(I3295,FS_input_data!$C$458:$N$648,Export!J3295,FALSE),""),K3295)</f>
        <v>124</v>
      </c>
      <c r="D3295" s="6" t="b">
        <v>0</v>
      </c>
      <c r="E3295" t="s">
        <v>1561</v>
      </c>
      <c r="F3295" s="6"/>
      <c r="G3295" s="105" t="b">
        <f>VLOOKUP($I$3280,FS_input_data!$C$458:$N$648,Export!$J$3280,FALSE)=""</f>
        <v>0</v>
      </c>
      <c r="H3295" s="6" t="s">
        <v>2189</v>
      </c>
      <c r="I3295" t="s">
        <v>1860</v>
      </c>
      <c r="J3295">
        <v>3</v>
      </c>
      <c r="L3295" s="9" t="e">
        <f t="shared" si="171"/>
        <v>#VALUE!</v>
      </c>
    </row>
    <row r="3296" spans="1:12" x14ac:dyDescent="0.35">
      <c r="A3296">
        <f t="shared" si="172"/>
        <v>3295</v>
      </c>
      <c r="B3296" t="s">
        <v>758</v>
      </c>
      <c r="C3296" s="109" t="str">
        <f>IF(ISBLANK(K3296),IFERROR(VLOOKUP(I3296,FS_input_data!$C$458:$N$648,Export!J3296,FALSE),""),K3296)</f>
        <v/>
      </c>
      <c r="D3296" s="6"/>
      <c r="E3296" t="s">
        <v>1561</v>
      </c>
      <c r="F3296" s="6"/>
      <c r="G3296" s="105" t="b">
        <f>VLOOKUP($I$3280,FS_input_data!$C$458:$N$648,Export!$J$3280,FALSE)=""</f>
        <v>0</v>
      </c>
      <c r="H3296" s="6" t="s">
        <v>2189</v>
      </c>
      <c r="I3296" t="s">
        <v>1561</v>
      </c>
      <c r="J3296" t="s">
        <v>1561</v>
      </c>
      <c r="L3296">
        <f t="shared" si="171"/>
        <v>1</v>
      </c>
    </row>
    <row r="3297" spans="1:12" x14ac:dyDescent="0.35">
      <c r="A3297" s="9">
        <f t="shared" si="172"/>
        <v>3296</v>
      </c>
      <c r="B3297" t="s">
        <v>759</v>
      </c>
      <c r="C3297" s="109">
        <f>IF(ISBLANK(K3297),IFERROR(VLOOKUP(I3297,FS_input_data!$C$458:$N$648,Export!J3297,FALSE),""),K3297)</f>
        <v>224</v>
      </c>
      <c r="D3297" s="6" t="b">
        <v>0</v>
      </c>
      <c r="E3297" t="s">
        <v>1561</v>
      </c>
      <c r="F3297" s="6"/>
      <c r="G3297" s="105" t="b">
        <f>VLOOKUP($I$3280,FS_input_data!$C$458:$N$648,Export!$J$3280,FALSE)=""</f>
        <v>0</v>
      </c>
      <c r="H3297" s="6" t="s">
        <v>2189</v>
      </c>
      <c r="I3297" t="s">
        <v>1860</v>
      </c>
      <c r="J3297">
        <v>4</v>
      </c>
      <c r="L3297" s="9" t="e">
        <f t="shared" si="171"/>
        <v>#VALUE!</v>
      </c>
    </row>
    <row r="3298" spans="1:12" x14ac:dyDescent="0.35">
      <c r="A3298">
        <f t="shared" si="172"/>
        <v>3297</v>
      </c>
      <c r="B3298" t="s">
        <v>760</v>
      </c>
      <c r="C3298" s="109" t="str">
        <f>IF(ISBLANK(K3298),IFERROR(VLOOKUP(I3298,FS_input_data!$C$458:$N$648,Export!J3298,FALSE),""),K3298)</f>
        <v/>
      </c>
      <c r="D3298" s="6"/>
      <c r="E3298" t="s">
        <v>1561</v>
      </c>
      <c r="F3298" s="6"/>
      <c r="G3298" s="105" t="b">
        <f>VLOOKUP($I$3280,FS_input_data!$C$458:$N$648,Export!$J$3280,FALSE)=""</f>
        <v>0</v>
      </c>
      <c r="H3298" s="6" t="s">
        <v>2189</v>
      </c>
      <c r="I3298" t="s">
        <v>1561</v>
      </c>
      <c r="J3298" t="s">
        <v>1561</v>
      </c>
      <c r="L3298">
        <f t="shared" si="171"/>
        <v>1</v>
      </c>
    </row>
    <row r="3299" spans="1:12" x14ac:dyDescent="0.35">
      <c r="A3299" s="9">
        <f t="shared" si="172"/>
        <v>3298</v>
      </c>
      <c r="B3299" t="s">
        <v>761</v>
      </c>
      <c r="C3299" s="109" t="str">
        <f>IF(ISBLANK(K3299),IFERROR(VLOOKUP(I3299,FS_input_data!$C$458:$N$648,Export!J3299,FALSE),""),K3299)</f>
        <v>c</v>
      </c>
      <c r="D3299" s="6" t="b">
        <v>0</v>
      </c>
      <c r="E3299" t="s">
        <v>1561</v>
      </c>
      <c r="F3299" s="6"/>
      <c r="G3299" s="105" t="b">
        <f>VLOOKUP($I$3280,FS_input_data!$C$458:$N$648,Export!$J$3280,FALSE)=""</f>
        <v>0</v>
      </c>
      <c r="H3299" s="6" t="s">
        <v>2189</v>
      </c>
      <c r="I3299" t="s">
        <v>1860</v>
      </c>
      <c r="J3299">
        <v>5</v>
      </c>
      <c r="L3299" s="9" t="e">
        <f t="shared" si="171"/>
        <v>#VALUE!</v>
      </c>
    </row>
    <row r="3300" spans="1:12" x14ac:dyDescent="0.35">
      <c r="A3300">
        <f t="shared" si="172"/>
        <v>3299</v>
      </c>
      <c r="B3300" t="s">
        <v>762</v>
      </c>
      <c r="C3300" s="109" t="str">
        <f>IF(ISBLANK(K3300),IFERROR(VLOOKUP(I3300,FS_input_data!$C$458:$N$648,Export!J3300,FALSE),""),K3300)</f>
        <v/>
      </c>
      <c r="D3300" s="6"/>
      <c r="E3300" t="s">
        <v>1561</v>
      </c>
      <c r="F3300" s="6"/>
      <c r="G3300" s="105" t="b">
        <f>VLOOKUP($I$3280,FS_input_data!$C$458:$N$648,Export!$J$3280,FALSE)=""</f>
        <v>0</v>
      </c>
      <c r="H3300" s="6" t="s">
        <v>2189</v>
      </c>
      <c r="I3300" t="s">
        <v>1561</v>
      </c>
      <c r="J3300" t="s">
        <v>1561</v>
      </c>
      <c r="L3300">
        <f t="shared" si="171"/>
        <v>1</v>
      </c>
    </row>
    <row r="3301" spans="1:12" x14ac:dyDescent="0.35">
      <c r="A3301">
        <f t="shared" si="172"/>
        <v>3300</v>
      </c>
      <c r="B3301" t="s">
        <v>763</v>
      </c>
      <c r="C3301" s="109" t="str">
        <f>IF(ISBLANK(K3301),IFERROR(VLOOKUP(I3301,FS_input_data!$C$458:$N$648,Export!J3301,FALSE),""),K3301)</f>
        <v/>
      </c>
      <c r="D3301" s="6"/>
      <c r="E3301" t="s">
        <v>1561</v>
      </c>
      <c r="F3301" s="6"/>
      <c r="G3301" s="105" t="b">
        <f>VLOOKUP($I$3280,FS_input_data!$C$458:$N$648,Export!$J$3280,FALSE)=""</f>
        <v>0</v>
      </c>
      <c r="H3301" s="6" t="s">
        <v>2189</v>
      </c>
      <c r="I3301" t="s">
        <v>1561</v>
      </c>
      <c r="J3301" t="s">
        <v>1561</v>
      </c>
      <c r="L3301">
        <f t="shared" si="171"/>
        <v>1</v>
      </c>
    </row>
    <row r="3302" spans="1:12" x14ac:dyDescent="0.35">
      <c r="A3302">
        <f t="shared" si="172"/>
        <v>3301</v>
      </c>
      <c r="B3302" t="s">
        <v>743</v>
      </c>
      <c r="C3302" s="109" t="str">
        <f>IF(ISBLANK(K3302),IFERROR(VLOOKUP(I3302,FS_input_data!$C$458:$N$648,Export!J3302,FALSE),""),K3302)</f>
        <v/>
      </c>
      <c r="D3302" s="6"/>
      <c r="E3302" t="s">
        <v>1561</v>
      </c>
      <c r="F3302" s="6"/>
      <c r="G3302" s="105" t="b">
        <f>VLOOKUP($I$3280,FS_input_data!$C$458:$N$648,Export!$J$3280,FALSE)=""</f>
        <v>0</v>
      </c>
      <c r="H3302" s="6" t="s">
        <v>2189</v>
      </c>
      <c r="I3302" t="s">
        <v>1561</v>
      </c>
      <c r="J3302" t="s">
        <v>1561</v>
      </c>
      <c r="L3302">
        <f t="shared" si="171"/>
        <v>1</v>
      </c>
    </row>
    <row r="3303" spans="1:12" x14ac:dyDescent="0.35">
      <c r="A3303">
        <f t="shared" si="172"/>
        <v>3302</v>
      </c>
      <c r="B3303" t="s">
        <v>744</v>
      </c>
      <c r="C3303" s="109" t="str">
        <f>IF(ISBLANK(K3303),IFERROR(VLOOKUP(I3303,FS_input_data!$C$458:$N$648,Export!J3303,FALSE),""),K3303)</f>
        <v/>
      </c>
      <c r="D3303" s="6"/>
      <c r="E3303" t="s">
        <v>1561</v>
      </c>
      <c r="F3303" s="6"/>
      <c r="G3303" s="105" t="b">
        <f t="shared" ref="G3303:G3310" si="174">RP_tax</f>
        <v>1</v>
      </c>
      <c r="H3303" s="6" t="s">
        <v>2189</v>
      </c>
      <c r="I3303" t="s">
        <v>1561</v>
      </c>
      <c r="J3303" t="s">
        <v>1561</v>
      </c>
      <c r="L3303" s="9" t="e">
        <f t="shared" si="171"/>
        <v>#VALUE!</v>
      </c>
    </row>
    <row r="3304" spans="1:12" x14ac:dyDescent="0.35">
      <c r="A3304" s="9">
        <f t="shared" si="172"/>
        <v>3303</v>
      </c>
      <c r="B3304" t="s">
        <v>109</v>
      </c>
      <c r="C3304" s="109">
        <f>IF(ISBLANK(K3304),IFERROR(VLOOKUP(I3304,FS_input_data!$C$458:$N$648,Export!J3304,FALSE),""),K3304)</f>
        <v>24000</v>
      </c>
      <c r="D3304" s="6" t="b">
        <v>1</v>
      </c>
      <c r="E3304" t="s">
        <v>1561</v>
      </c>
      <c r="F3304" s="6"/>
      <c r="G3304" s="105" t="b">
        <f t="shared" si="174"/>
        <v>1</v>
      </c>
      <c r="H3304" s="6" t="s">
        <v>2189</v>
      </c>
      <c r="I3304" t="s">
        <v>1860</v>
      </c>
      <c r="J3304">
        <v>10</v>
      </c>
      <c r="L3304" s="9" t="e">
        <f t="shared" si="171"/>
        <v>#VALUE!</v>
      </c>
    </row>
    <row r="3305" spans="1:12" x14ac:dyDescent="0.35">
      <c r="A3305">
        <f t="shared" si="172"/>
        <v>3304</v>
      </c>
      <c r="B3305" t="s">
        <v>110</v>
      </c>
      <c r="C3305" s="109" t="str">
        <f>IF(ISBLANK(K3305),IFERROR(VLOOKUP(I3305,FS_input_data!$C$458:$N$648,Export!J3305,FALSE),""),K3305)</f>
        <v/>
      </c>
      <c r="D3305" s="6"/>
      <c r="E3305" t="s">
        <v>1561</v>
      </c>
      <c r="F3305" s="6"/>
      <c r="G3305" s="105" t="b">
        <f t="shared" si="174"/>
        <v>1</v>
      </c>
      <c r="H3305" s="6" t="s">
        <v>2189</v>
      </c>
      <c r="I3305" t="s">
        <v>1561</v>
      </c>
      <c r="J3305" t="s">
        <v>1561</v>
      </c>
      <c r="L3305">
        <f t="shared" si="171"/>
        <v>1</v>
      </c>
    </row>
    <row r="3306" spans="1:12" x14ac:dyDescent="0.35">
      <c r="A3306" s="9">
        <f t="shared" si="172"/>
        <v>3305</v>
      </c>
      <c r="B3306" t="s">
        <v>111</v>
      </c>
      <c r="C3306" s="109">
        <f>IF(ISBLANK(K3306),IFERROR(VLOOKUP(I3306,FS_input_data!$C$458:$N$648,Export!J3306,FALSE),""),K3306)</f>
        <v>12000</v>
      </c>
      <c r="D3306" s="6" t="b">
        <v>0</v>
      </c>
      <c r="E3306" t="s">
        <v>1561</v>
      </c>
      <c r="F3306" s="6"/>
      <c r="G3306" s="105" t="b">
        <f t="shared" si="174"/>
        <v>1</v>
      </c>
      <c r="H3306" s="6" t="s">
        <v>2189</v>
      </c>
      <c r="I3306" t="s">
        <v>1860</v>
      </c>
      <c r="J3306">
        <v>11</v>
      </c>
      <c r="L3306" s="9" t="e">
        <f t="shared" si="171"/>
        <v>#VALUE!</v>
      </c>
    </row>
    <row r="3307" spans="1:12" x14ac:dyDescent="0.35">
      <c r="A3307">
        <f t="shared" si="172"/>
        <v>3306</v>
      </c>
      <c r="B3307" t="s">
        <v>112</v>
      </c>
      <c r="C3307" s="109" t="str">
        <f>IF(ISBLANK(K3307),IFERROR(VLOOKUP(I3307,FS_input_data!$C$458:$N$648,Export!J3307,FALSE),""),K3307)</f>
        <v/>
      </c>
      <c r="D3307" s="6"/>
      <c r="E3307" t="s">
        <v>1561</v>
      </c>
      <c r="F3307" s="6"/>
      <c r="G3307" s="105" t="b">
        <f t="shared" si="174"/>
        <v>1</v>
      </c>
      <c r="H3307" s="6" t="s">
        <v>2189</v>
      </c>
      <c r="I3307" t="s">
        <v>1561</v>
      </c>
      <c r="J3307" t="s">
        <v>1561</v>
      </c>
      <c r="L3307">
        <f t="shared" si="171"/>
        <v>1</v>
      </c>
    </row>
    <row r="3308" spans="1:12" x14ac:dyDescent="0.35">
      <c r="A3308" s="9">
        <f t="shared" si="172"/>
        <v>3307</v>
      </c>
      <c r="B3308" t="s">
        <v>749</v>
      </c>
      <c r="C3308" s="109">
        <f>IF(ISBLANK(K3308),IFERROR(VLOOKUP(I3308,FS_input_data!$C$458:$N$648,Export!J3308,FALSE),""),K3308)</f>
        <v>12000</v>
      </c>
      <c r="D3308" s="6" t="b">
        <v>0</v>
      </c>
      <c r="E3308" t="s">
        <v>1561</v>
      </c>
      <c r="F3308" s="6"/>
      <c r="G3308" s="105" t="b">
        <f t="shared" si="174"/>
        <v>1</v>
      </c>
      <c r="H3308" s="6" t="s">
        <v>2189</v>
      </c>
      <c r="I3308" t="s">
        <v>1860</v>
      </c>
      <c r="J3308">
        <v>12</v>
      </c>
      <c r="L3308" s="9" t="e">
        <f t="shared" si="171"/>
        <v>#VALUE!</v>
      </c>
    </row>
    <row r="3309" spans="1:12" x14ac:dyDescent="0.35">
      <c r="A3309">
        <f t="shared" si="172"/>
        <v>3308</v>
      </c>
      <c r="B3309" t="s">
        <v>750</v>
      </c>
      <c r="C3309" s="109" t="str">
        <f>IF(ISBLANK(K3309),IFERROR(VLOOKUP(I3309,FS_input_data!$C$458:$N$648,Export!J3309,FALSE),""),K3309)</f>
        <v/>
      </c>
      <c r="D3309" s="6"/>
      <c r="E3309" t="s">
        <v>1561</v>
      </c>
      <c r="F3309" s="6"/>
      <c r="G3309" s="105" t="b">
        <f t="shared" si="174"/>
        <v>1</v>
      </c>
      <c r="H3309" s="6" t="s">
        <v>2189</v>
      </c>
      <c r="I3309" t="s">
        <v>1561</v>
      </c>
      <c r="J3309" t="s">
        <v>1561</v>
      </c>
      <c r="L3309">
        <f t="shared" si="171"/>
        <v>1</v>
      </c>
    </row>
    <row r="3310" spans="1:12" x14ac:dyDescent="0.35">
      <c r="A3310">
        <f t="shared" si="172"/>
        <v>3309</v>
      </c>
      <c r="B3310" t="s">
        <v>745</v>
      </c>
      <c r="C3310" s="109" t="str">
        <f>IF(ISBLANK(K3310),IFERROR(VLOOKUP(I3310,FS_input_data!$C$458:$N$648,Export!J3310,FALSE),""),K3310)</f>
        <v/>
      </c>
      <c r="D3310" s="6"/>
      <c r="E3310" t="s">
        <v>1561</v>
      </c>
      <c r="F3310" s="6"/>
      <c r="G3310" s="105" t="b">
        <f t="shared" si="174"/>
        <v>1</v>
      </c>
      <c r="H3310" s="6" t="s">
        <v>2189</v>
      </c>
      <c r="I3310" t="s">
        <v>1561</v>
      </c>
      <c r="J3310" t="s">
        <v>1561</v>
      </c>
      <c r="L3310">
        <f t="shared" si="171"/>
        <v>1</v>
      </c>
    </row>
    <row r="3311" spans="1:12" x14ac:dyDescent="0.35">
      <c r="A3311">
        <f t="shared" si="172"/>
        <v>3310</v>
      </c>
      <c r="B3311" t="s">
        <v>764</v>
      </c>
      <c r="C3311" s="109" t="str">
        <f>IF(ISBLANK(K3311),IFERROR(VLOOKUP(I3311,FS_input_data!$C$458:$N$648,Export!J3311,FALSE),""),K3311)</f>
        <v/>
      </c>
      <c r="D3311" s="6"/>
      <c r="E3311" t="s">
        <v>1561</v>
      </c>
      <c r="F3311" s="6"/>
      <c r="G3311" s="105" t="b">
        <f>VLOOKUP($I$3280,FS_input_data!$C$458:$N$648,Export!$J$3280,FALSE)=""</f>
        <v>0</v>
      </c>
      <c r="H3311" s="6" t="s">
        <v>2189</v>
      </c>
      <c r="I3311" t="s">
        <v>1561</v>
      </c>
      <c r="J3311" t="s">
        <v>1561</v>
      </c>
      <c r="L3311">
        <f t="shared" si="171"/>
        <v>1</v>
      </c>
    </row>
    <row r="3312" spans="1:12" x14ac:dyDescent="0.35">
      <c r="A3312">
        <f t="shared" si="172"/>
        <v>3311</v>
      </c>
      <c r="B3312" t="s">
        <v>765</v>
      </c>
      <c r="C3312" s="109" t="str">
        <f>IF(ISBLANK(K3312),IFERROR(VLOOKUP(I3312,FS_input_data!$C$458:$N$648,Export!J3312,FALSE),""),K3312)</f>
        <v/>
      </c>
      <c r="E3312" t="s">
        <v>1561</v>
      </c>
      <c r="F3312" s="6"/>
      <c r="G3312" s="105" t="b">
        <f>VLOOKUP($I$3280,FS_input_data!$C$458:$N$648,Export!$J$3280,FALSE)=""</f>
        <v>0</v>
      </c>
      <c r="H3312" s="6" t="s">
        <v>2189</v>
      </c>
      <c r="I3312" t="s">
        <v>1561</v>
      </c>
      <c r="J3312" t="s">
        <v>1561</v>
      </c>
      <c r="L3312">
        <f t="shared" si="171"/>
        <v>1</v>
      </c>
    </row>
    <row r="3313" spans="1:12" x14ac:dyDescent="0.35">
      <c r="A3313">
        <f t="shared" si="172"/>
        <v>3312</v>
      </c>
      <c r="B3313" t="s">
        <v>752</v>
      </c>
      <c r="C3313" s="109" t="str">
        <f>IF(ISBLANK(K3313),IFERROR(VLOOKUP(I3313,FS_input_data!$C$458:$N$648,Export!J3313,FALSE),""),K3313)</f>
        <v/>
      </c>
      <c r="E3313" t="s">
        <v>1561</v>
      </c>
      <c r="F3313" s="6"/>
      <c r="G3313" s="102" t="b">
        <f>VLOOKUP($I$3314,FS_input_data!$C$458:$N$648,Export!$J$3314,FALSE)=""</f>
        <v>0</v>
      </c>
      <c r="H3313" s="6" t="s">
        <v>2189</v>
      </c>
      <c r="I3313" t="s">
        <v>1561</v>
      </c>
      <c r="J3313" t="s">
        <v>1561</v>
      </c>
      <c r="L3313" s="9" t="e">
        <f t="shared" si="171"/>
        <v>#VALUE!</v>
      </c>
    </row>
    <row r="3314" spans="1:12" x14ac:dyDescent="0.35">
      <c r="A3314" s="9">
        <f t="shared" si="172"/>
        <v>3313</v>
      </c>
      <c r="B3314" t="s">
        <v>101</v>
      </c>
      <c r="C3314" s="109" t="str">
        <f>IF(ISBLANK(K3314),IFERROR(VLOOKUP(I3314,FS_input_data!$C$458:$N$648,Export!J3314,FALSE),""),K3314)</f>
        <v>OC3</v>
      </c>
      <c r="D3314" s="6" t="b">
        <v>1</v>
      </c>
      <c r="E3314" t="s">
        <v>1561</v>
      </c>
      <c r="F3314" s="6"/>
      <c r="G3314" s="102" t="b">
        <f>VLOOKUP($I$3314,FS_input_data!$C$458:$N$648,Export!$J$3314,FALSE)=""</f>
        <v>0</v>
      </c>
      <c r="H3314" s="6" t="s">
        <v>2189</v>
      </c>
      <c r="I3314" t="s">
        <v>1862</v>
      </c>
      <c r="J3314">
        <v>6</v>
      </c>
      <c r="L3314" s="9" t="e">
        <f t="shared" si="171"/>
        <v>#VALUE!</v>
      </c>
    </row>
    <row r="3315" spans="1:12" x14ac:dyDescent="0.35">
      <c r="A3315">
        <f t="shared" si="172"/>
        <v>3314</v>
      </c>
      <c r="B3315" t="s">
        <v>102</v>
      </c>
      <c r="C3315" s="109" t="str">
        <f>IF(ISBLANK(K3315),IFERROR(VLOOKUP(I3315,FS_input_data!$C$458:$N$648,Export!J3315,FALSE),""),K3315)</f>
        <v/>
      </c>
      <c r="E3315" t="s">
        <v>1561</v>
      </c>
      <c r="F3315" s="6"/>
      <c r="G3315" s="102" t="b">
        <f>VLOOKUP($I$3314,FS_input_data!$C$458:$N$648,Export!$J$3314,FALSE)=""</f>
        <v>0</v>
      </c>
      <c r="H3315" s="6" t="s">
        <v>2189</v>
      </c>
      <c r="I3315" t="s">
        <v>1561</v>
      </c>
      <c r="J3315" t="s">
        <v>1561</v>
      </c>
      <c r="L3315">
        <f t="shared" si="171"/>
        <v>1</v>
      </c>
    </row>
    <row r="3316" spans="1:12" x14ac:dyDescent="0.35">
      <c r="A3316">
        <f t="shared" si="172"/>
        <v>3315</v>
      </c>
      <c r="B3316" t="s">
        <v>753</v>
      </c>
      <c r="C3316" s="109" t="str">
        <f>IF(ISBLANK(K3316),IFERROR(VLOOKUP(I3316,FS_input_data!$C$458:$N$648,Export!J3316,FALSE),""),K3316)</f>
        <v/>
      </c>
      <c r="E3316" t="s">
        <v>1561</v>
      </c>
      <c r="F3316" s="6"/>
      <c r="G3316" s="102" t="b">
        <f>VLOOKUP($I$3314,FS_input_data!$C$458:$N$648,Export!$J$3314,FALSE)=""</f>
        <v>0</v>
      </c>
      <c r="H3316" s="6" t="s">
        <v>2189</v>
      </c>
      <c r="I3316" t="s">
        <v>1561</v>
      </c>
      <c r="J3316" t="s">
        <v>1561</v>
      </c>
      <c r="L3316" s="9" t="e">
        <f t="shared" si="171"/>
        <v>#VALUE!</v>
      </c>
    </row>
    <row r="3317" spans="1:12" x14ac:dyDescent="0.35">
      <c r="A3317">
        <f t="shared" si="172"/>
        <v>3316</v>
      </c>
      <c r="B3317" t="s">
        <v>742</v>
      </c>
      <c r="C3317" s="109" t="str">
        <f>IF(ISBLANK(K3317),IFERROR(VLOOKUP(I3317,FS_input_data!$C$458:$N$648,Export!J3317,FALSE),""),K3317)</f>
        <v/>
      </c>
      <c r="D3317" s="6"/>
      <c r="E3317" t="s">
        <v>1561</v>
      </c>
      <c r="F3317" s="6"/>
      <c r="G3317" s="102" t="b">
        <f>VLOOKUP($I$3314,FS_input_data!$C$458:$N$648,Export!$J$3314,FALSE)=""</f>
        <v>0</v>
      </c>
      <c r="H3317" s="6" t="s">
        <v>2189</v>
      </c>
      <c r="I3317" t="s">
        <v>1561</v>
      </c>
      <c r="J3317" t="s">
        <v>1561</v>
      </c>
      <c r="L3317" s="9" t="e">
        <f t="shared" si="171"/>
        <v>#VALUE!</v>
      </c>
    </row>
    <row r="3318" spans="1:12" x14ac:dyDescent="0.35">
      <c r="A3318">
        <f t="shared" si="172"/>
        <v>3317</v>
      </c>
      <c r="B3318" t="s">
        <v>748</v>
      </c>
      <c r="C3318" s="109" t="str">
        <f>IF(ISBLANK(K3318),IFERROR(VLOOKUP(I3318,FS_input_data!$C$458:$N$648,Export!J3318,FALSE),""),K3318)</f>
        <v/>
      </c>
      <c r="D3318" s="6"/>
      <c r="E3318" t="s">
        <v>1561</v>
      </c>
      <c r="F3318" s="6"/>
      <c r="G3318" s="102" t="b">
        <f>VLOOKUP($I$3314,FS_input_data!$C$458:$N$648,Export!$J$3314,FALSE)=""</f>
        <v>0</v>
      </c>
      <c r="H3318" s="6" t="s">
        <v>2189</v>
      </c>
      <c r="I3318" t="s">
        <v>1561</v>
      </c>
      <c r="J3318" t="s">
        <v>1561</v>
      </c>
      <c r="L3318" s="9" t="e">
        <f t="shared" si="171"/>
        <v>#VALUE!</v>
      </c>
    </row>
    <row r="3319" spans="1:12" x14ac:dyDescent="0.35">
      <c r="A3319" s="9">
        <f t="shared" si="172"/>
        <v>3318</v>
      </c>
      <c r="B3319" t="s">
        <v>109</v>
      </c>
      <c r="C3319" s="109">
        <f>IF(ISBLANK(K3319),IFERROR(VLOOKUP(I3319,FS_input_data!$C$458:$N$648,Export!J3319,FALSE),""),K3319)</f>
        <v>25000</v>
      </c>
      <c r="D3319" s="6" t="b">
        <v>1</v>
      </c>
      <c r="E3319" t="s">
        <v>1561</v>
      </c>
      <c r="F3319" s="6"/>
      <c r="G3319" s="102" t="b">
        <f>VLOOKUP($I$3314,FS_input_data!$C$458:$N$648,Export!$J$3314,FALSE)=""</f>
        <v>0</v>
      </c>
      <c r="H3319" s="6" t="s">
        <v>2189</v>
      </c>
      <c r="I3319" t="s">
        <v>1862</v>
      </c>
      <c r="J3319">
        <v>7</v>
      </c>
      <c r="L3319" s="9" t="e">
        <f t="shared" si="171"/>
        <v>#VALUE!</v>
      </c>
    </row>
    <row r="3320" spans="1:12" x14ac:dyDescent="0.35">
      <c r="A3320">
        <f t="shared" si="172"/>
        <v>3319</v>
      </c>
      <c r="B3320" t="s">
        <v>110</v>
      </c>
      <c r="C3320" s="109" t="str">
        <f>IF(ISBLANK(K3320),IFERROR(VLOOKUP(I3320,FS_input_data!$C$458:$N$648,Export!J3320,FALSE),""),K3320)</f>
        <v/>
      </c>
      <c r="D3320" s="6"/>
      <c r="E3320" t="s">
        <v>1561</v>
      </c>
      <c r="F3320" s="6"/>
      <c r="G3320" s="102" t="b">
        <f>VLOOKUP($I$3314,FS_input_data!$C$458:$N$648,Export!$J$3314,FALSE)=""</f>
        <v>0</v>
      </c>
      <c r="H3320" s="6" t="s">
        <v>2189</v>
      </c>
      <c r="I3320" t="s">
        <v>1561</v>
      </c>
      <c r="J3320" t="s">
        <v>1561</v>
      </c>
      <c r="L3320">
        <f t="shared" si="171"/>
        <v>1</v>
      </c>
    </row>
    <row r="3321" spans="1:12" x14ac:dyDescent="0.35">
      <c r="A3321" s="9">
        <f t="shared" si="172"/>
        <v>3320</v>
      </c>
      <c r="B3321" t="s">
        <v>111</v>
      </c>
      <c r="C3321" s="109">
        <f>IF(ISBLANK(K3321),IFERROR(VLOOKUP(I3321,FS_input_data!$C$458:$N$648,Export!J3321,FALSE),""),K3321)</f>
        <v>12500</v>
      </c>
      <c r="D3321" s="6" t="b">
        <v>0</v>
      </c>
      <c r="E3321" t="s">
        <v>1561</v>
      </c>
      <c r="F3321" s="6"/>
      <c r="G3321" s="102" t="b">
        <f>VLOOKUP($I$3314,FS_input_data!$C$458:$N$648,Export!$J$3314,FALSE)=""</f>
        <v>0</v>
      </c>
      <c r="H3321" s="6" t="s">
        <v>2189</v>
      </c>
      <c r="I3321" t="s">
        <v>1862</v>
      </c>
      <c r="J3321">
        <v>8</v>
      </c>
      <c r="L3321" s="9" t="e">
        <f t="shared" si="171"/>
        <v>#VALUE!</v>
      </c>
    </row>
    <row r="3322" spans="1:12" x14ac:dyDescent="0.35">
      <c r="A3322">
        <f t="shared" si="172"/>
        <v>3321</v>
      </c>
      <c r="B3322" t="s">
        <v>112</v>
      </c>
      <c r="C3322" s="109" t="str">
        <f>IF(ISBLANK(K3322),IFERROR(VLOOKUP(I3322,FS_input_data!$C$458:$N$648,Export!J3322,FALSE),""),K3322)</f>
        <v/>
      </c>
      <c r="D3322" s="6"/>
      <c r="E3322" t="s">
        <v>1561</v>
      </c>
      <c r="F3322" s="6"/>
      <c r="G3322" s="102" t="b">
        <f>VLOOKUP($I$3314,FS_input_data!$C$458:$N$648,Export!$J$3314,FALSE)=""</f>
        <v>0</v>
      </c>
      <c r="H3322" s="6" t="s">
        <v>2189</v>
      </c>
      <c r="I3322" t="s">
        <v>1561</v>
      </c>
      <c r="J3322" t="s">
        <v>1561</v>
      </c>
      <c r="L3322">
        <f t="shared" si="171"/>
        <v>1</v>
      </c>
    </row>
    <row r="3323" spans="1:12" x14ac:dyDescent="0.35">
      <c r="A3323" s="9">
        <f t="shared" si="172"/>
        <v>3322</v>
      </c>
      <c r="B3323" t="s">
        <v>749</v>
      </c>
      <c r="C3323" s="109">
        <f>IF(ISBLANK(K3323),IFERROR(VLOOKUP(I3323,FS_input_data!$C$458:$N$648,Export!J3323,FALSE),""),K3323)</f>
        <v>12500</v>
      </c>
      <c r="D3323" s="6" t="b">
        <v>0</v>
      </c>
      <c r="E3323" t="s">
        <v>1561</v>
      </c>
      <c r="F3323" s="6"/>
      <c r="G3323" s="102" t="b">
        <f>VLOOKUP($I$3314,FS_input_data!$C$458:$N$648,Export!$J$3314,FALSE)=""</f>
        <v>0</v>
      </c>
      <c r="H3323" s="6" t="s">
        <v>2189</v>
      </c>
      <c r="I3323" t="s">
        <v>1862</v>
      </c>
      <c r="J3323">
        <v>9</v>
      </c>
      <c r="L3323" s="9" t="e">
        <f t="shared" si="171"/>
        <v>#VALUE!</v>
      </c>
    </row>
    <row r="3324" spans="1:12" x14ac:dyDescent="0.35">
      <c r="A3324">
        <f t="shared" si="172"/>
        <v>3323</v>
      </c>
      <c r="B3324" t="s">
        <v>750</v>
      </c>
      <c r="C3324" s="109" t="str">
        <f>IF(ISBLANK(K3324),IFERROR(VLOOKUP(I3324,FS_input_data!$C$458:$N$648,Export!J3324,FALSE),""),K3324)</f>
        <v/>
      </c>
      <c r="D3324" s="6"/>
      <c r="E3324" t="s">
        <v>1561</v>
      </c>
      <c r="F3324" s="6"/>
      <c r="G3324" s="102" t="b">
        <f>VLOOKUP($I$3314,FS_input_data!$C$458:$N$648,Export!$J$3314,FALSE)=""</f>
        <v>0</v>
      </c>
      <c r="H3324" s="6" t="s">
        <v>2189</v>
      </c>
      <c r="I3324" t="s">
        <v>1561</v>
      </c>
      <c r="J3324" t="s">
        <v>1561</v>
      </c>
      <c r="L3324">
        <f t="shared" si="171"/>
        <v>1</v>
      </c>
    </row>
    <row r="3325" spans="1:12" x14ac:dyDescent="0.35">
      <c r="A3325">
        <f t="shared" si="172"/>
        <v>3324</v>
      </c>
      <c r="B3325" t="s">
        <v>751</v>
      </c>
      <c r="C3325" s="109" t="str">
        <f>IF(ISBLANK(K3325),IFERROR(VLOOKUP(I3325,FS_input_data!$C$458:$N$648,Export!J3325,FALSE),""),K3325)</f>
        <v/>
      </c>
      <c r="D3325" s="6"/>
      <c r="E3325" t="s">
        <v>1561</v>
      </c>
      <c r="F3325" s="6"/>
      <c r="G3325" s="102" t="b">
        <f>VLOOKUP($I$3314,FS_input_data!$C$458:$N$648,Export!$J$3314,FALSE)=""</f>
        <v>0</v>
      </c>
      <c r="H3325" s="6" t="s">
        <v>2189</v>
      </c>
      <c r="I3325" t="s">
        <v>1561</v>
      </c>
      <c r="J3325" t="s">
        <v>1561</v>
      </c>
      <c r="L3325">
        <f t="shared" si="171"/>
        <v>1</v>
      </c>
    </row>
    <row r="3326" spans="1:12" x14ac:dyDescent="0.35">
      <c r="A3326">
        <f t="shared" si="172"/>
        <v>3325</v>
      </c>
      <c r="B3326" t="s">
        <v>754</v>
      </c>
      <c r="C3326" s="109" t="str">
        <f>IF(ISBLANK(K3326),IFERROR(VLOOKUP(I3326,FS_input_data!$C$458:$N$648,Export!J3326,FALSE),""),K3326)</f>
        <v/>
      </c>
      <c r="D3326" s="6"/>
      <c r="E3326" t="s">
        <v>1561</v>
      </c>
      <c r="F3326" s="6"/>
      <c r="G3326" s="102" t="b">
        <f>VLOOKUP($I$3314,FS_input_data!$C$458:$N$648,Export!$J$3314,FALSE)=""</f>
        <v>0</v>
      </c>
      <c r="H3326" s="6" t="s">
        <v>2189</v>
      </c>
      <c r="I3326" t="s">
        <v>1561</v>
      </c>
      <c r="J3326" t="s">
        <v>1561</v>
      </c>
      <c r="L3326" s="9" t="e">
        <f t="shared" si="171"/>
        <v>#VALUE!</v>
      </c>
    </row>
    <row r="3327" spans="1:12" x14ac:dyDescent="0.35">
      <c r="A3327" s="9">
        <f t="shared" si="172"/>
        <v>3326</v>
      </c>
      <c r="B3327" t="s">
        <v>755</v>
      </c>
      <c r="C3327" s="109">
        <f>IF(ISBLANK(K3327),IFERROR(VLOOKUP(I3327,FS_input_data!$C$458:$N$648,Export!J3327,FALSE),""),K3327)</f>
        <v>25</v>
      </c>
      <c r="D3327" s="6" t="b">
        <v>1</v>
      </c>
      <c r="E3327" t="s">
        <v>1561</v>
      </c>
      <c r="F3327" s="6"/>
      <c r="G3327" s="102" t="b">
        <f>VLOOKUP($I$3314,FS_input_data!$C$458:$N$648,Export!$J$3314,FALSE)=""</f>
        <v>0</v>
      </c>
      <c r="H3327" s="6" t="s">
        <v>2189</v>
      </c>
      <c r="I3327" t="s">
        <v>1862</v>
      </c>
      <c r="J3327">
        <v>2</v>
      </c>
      <c r="L3327" s="9" t="e">
        <f t="shared" si="171"/>
        <v>#VALUE!</v>
      </c>
    </row>
    <row r="3328" spans="1:12" x14ac:dyDescent="0.35">
      <c r="A3328">
        <f t="shared" si="172"/>
        <v>3327</v>
      </c>
      <c r="B3328" t="s">
        <v>756</v>
      </c>
      <c r="C3328" s="109" t="str">
        <f>IF(ISBLANK(K3328),IFERROR(VLOOKUP(I3328,FS_input_data!$C$458:$N$648,Export!J3328,FALSE),""),K3328)</f>
        <v/>
      </c>
      <c r="D3328" s="6"/>
      <c r="E3328" t="s">
        <v>1561</v>
      </c>
      <c r="F3328" s="6"/>
      <c r="G3328" s="102" t="b">
        <f>VLOOKUP($I$3314,FS_input_data!$C$458:$N$648,Export!$J$3314,FALSE)=""</f>
        <v>0</v>
      </c>
      <c r="H3328" s="6" t="s">
        <v>2189</v>
      </c>
      <c r="I3328" t="s">
        <v>1561</v>
      </c>
      <c r="J3328" t="s">
        <v>1561</v>
      </c>
      <c r="L3328">
        <f t="shared" si="171"/>
        <v>1</v>
      </c>
    </row>
    <row r="3329" spans="1:12" x14ac:dyDescent="0.35">
      <c r="A3329" s="9">
        <f t="shared" si="172"/>
        <v>3328</v>
      </c>
      <c r="B3329" t="s">
        <v>757</v>
      </c>
      <c r="C3329" s="109">
        <f>IF(ISBLANK(K3329),IFERROR(VLOOKUP(I3329,FS_input_data!$C$458:$N$648,Export!J3329,FALSE),""),K3329)</f>
        <v>125</v>
      </c>
      <c r="D3329" s="6" t="b">
        <v>0</v>
      </c>
      <c r="E3329" t="s">
        <v>1561</v>
      </c>
      <c r="F3329" s="6"/>
      <c r="G3329" s="102" t="b">
        <f>VLOOKUP($I$3314,FS_input_data!$C$458:$N$648,Export!$J$3314,FALSE)=""</f>
        <v>0</v>
      </c>
      <c r="H3329" s="6" t="s">
        <v>2189</v>
      </c>
      <c r="I3329" t="s">
        <v>1862</v>
      </c>
      <c r="J3329">
        <v>3</v>
      </c>
      <c r="L3329" s="9" t="e">
        <f t="shared" si="171"/>
        <v>#VALUE!</v>
      </c>
    </row>
    <row r="3330" spans="1:12" x14ac:dyDescent="0.35">
      <c r="A3330">
        <f t="shared" si="172"/>
        <v>3329</v>
      </c>
      <c r="B3330" t="s">
        <v>758</v>
      </c>
      <c r="C3330" s="109" t="str">
        <f>IF(ISBLANK(K3330),IFERROR(VLOOKUP(I3330,FS_input_data!$C$458:$N$648,Export!J3330,FALSE),""),K3330)</f>
        <v/>
      </c>
      <c r="D3330" s="6"/>
      <c r="E3330" t="s">
        <v>1561</v>
      </c>
      <c r="F3330" s="6"/>
      <c r="G3330" s="102" t="b">
        <f>VLOOKUP($I$3314,FS_input_data!$C$458:$N$648,Export!$J$3314,FALSE)=""</f>
        <v>0</v>
      </c>
      <c r="H3330" s="6" t="s">
        <v>2189</v>
      </c>
      <c r="I3330" t="s">
        <v>1561</v>
      </c>
      <c r="J3330" t="s">
        <v>1561</v>
      </c>
      <c r="L3330">
        <f t="shared" ref="L3330:L3393" si="175">FIND("/",B3330)</f>
        <v>1</v>
      </c>
    </row>
    <row r="3331" spans="1:12" x14ac:dyDescent="0.35">
      <c r="A3331" s="9">
        <f t="shared" ref="A3331:A3394" si="176">A3330+1</f>
        <v>3330</v>
      </c>
      <c r="B3331" t="s">
        <v>759</v>
      </c>
      <c r="C3331" s="109">
        <f>IF(ISBLANK(K3331),IFERROR(VLOOKUP(I3331,FS_input_data!$C$458:$N$648,Export!J3331,FALSE),""),K3331)</f>
        <v>225</v>
      </c>
      <c r="D3331" s="6" t="b">
        <v>0</v>
      </c>
      <c r="E3331" t="s">
        <v>1561</v>
      </c>
      <c r="F3331" s="6"/>
      <c r="G3331" s="102" t="b">
        <f>VLOOKUP($I$3314,FS_input_data!$C$458:$N$648,Export!$J$3314,FALSE)=""</f>
        <v>0</v>
      </c>
      <c r="H3331" s="6" t="s">
        <v>2189</v>
      </c>
      <c r="I3331" t="s">
        <v>1862</v>
      </c>
      <c r="J3331">
        <v>4</v>
      </c>
      <c r="L3331" s="9" t="e">
        <f t="shared" si="175"/>
        <v>#VALUE!</v>
      </c>
    </row>
    <row r="3332" spans="1:12" x14ac:dyDescent="0.35">
      <c r="A3332">
        <f t="shared" si="176"/>
        <v>3331</v>
      </c>
      <c r="B3332" t="s">
        <v>760</v>
      </c>
      <c r="C3332" s="109" t="str">
        <f>IF(ISBLANK(K3332),IFERROR(VLOOKUP(I3332,FS_input_data!$C$458:$N$648,Export!J3332,FALSE),""),K3332)</f>
        <v/>
      </c>
      <c r="D3332" s="6"/>
      <c r="E3332" t="s">
        <v>1561</v>
      </c>
      <c r="F3332" s="6"/>
      <c r="G3332" s="102" t="b">
        <f>VLOOKUP($I$3314,FS_input_data!$C$458:$N$648,Export!$J$3314,FALSE)=""</f>
        <v>0</v>
      </c>
      <c r="H3332" s="6" t="s">
        <v>2189</v>
      </c>
      <c r="I3332" t="s">
        <v>1561</v>
      </c>
      <c r="J3332" t="s">
        <v>1561</v>
      </c>
      <c r="L3332">
        <f t="shared" si="175"/>
        <v>1</v>
      </c>
    </row>
    <row r="3333" spans="1:12" x14ac:dyDescent="0.35">
      <c r="A3333" s="9">
        <f t="shared" si="176"/>
        <v>3332</v>
      </c>
      <c r="B3333" t="s">
        <v>761</v>
      </c>
      <c r="C3333" s="109" t="str">
        <f>IF(ISBLANK(K3333),IFERROR(VLOOKUP(I3333,FS_input_data!$C$458:$N$648,Export!J3333,FALSE),""),K3333)</f>
        <v>d</v>
      </c>
      <c r="D3333" s="6"/>
      <c r="E3333" t="s">
        <v>1561</v>
      </c>
      <c r="F3333" s="6"/>
      <c r="G3333" s="102" t="b">
        <f>VLOOKUP($I$3314,FS_input_data!$C$458:$N$648,Export!$J$3314,FALSE)=""</f>
        <v>0</v>
      </c>
      <c r="H3333" s="6" t="s">
        <v>2189</v>
      </c>
      <c r="I3333" t="s">
        <v>1862</v>
      </c>
      <c r="J3333">
        <v>5</v>
      </c>
      <c r="L3333" s="9" t="e">
        <f t="shared" si="175"/>
        <v>#VALUE!</v>
      </c>
    </row>
    <row r="3334" spans="1:12" x14ac:dyDescent="0.35">
      <c r="A3334">
        <f t="shared" si="176"/>
        <v>3333</v>
      </c>
      <c r="B3334" t="s">
        <v>762</v>
      </c>
      <c r="C3334" s="109" t="str">
        <f>IF(ISBLANK(K3334),IFERROR(VLOOKUP(I3334,FS_input_data!$C$458:$N$648,Export!J3334,FALSE),""),K3334)</f>
        <v/>
      </c>
      <c r="D3334" s="6"/>
      <c r="E3334" t="s">
        <v>1561</v>
      </c>
      <c r="F3334" s="6"/>
      <c r="G3334" s="102" t="b">
        <f>VLOOKUP($I$3314,FS_input_data!$C$458:$N$648,Export!$J$3314,FALSE)=""</f>
        <v>0</v>
      </c>
      <c r="H3334" s="6" t="s">
        <v>2189</v>
      </c>
      <c r="I3334" t="s">
        <v>1561</v>
      </c>
      <c r="J3334" t="s">
        <v>1561</v>
      </c>
      <c r="L3334">
        <f t="shared" si="175"/>
        <v>1</v>
      </c>
    </row>
    <row r="3335" spans="1:12" x14ac:dyDescent="0.35">
      <c r="A3335">
        <f t="shared" si="176"/>
        <v>3334</v>
      </c>
      <c r="B3335" t="s">
        <v>763</v>
      </c>
      <c r="C3335" s="109" t="str">
        <f>IF(ISBLANK(K3335),IFERROR(VLOOKUP(I3335,FS_input_data!$C$458:$N$648,Export!J3335,FALSE),""),K3335)</f>
        <v/>
      </c>
      <c r="D3335" s="6"/>
      <c r="E3335" t="s">
        <v>1561</v>
      </c>
      <c r="F3335" s="6"/>
      <c r="G3335" s="102" t="b">
        <f>VLOOKUP($I$3314,FS_input_data!$C$458:$N$648,Export!$J$3314,FALSE)=""</f>
        <v>0</v>
      </c>
      <c r="H3335" s="6" t="s">
        <v>2189</v>
      </c>
      <c r="I3335" t="s">
        <v>1561</v>
      </c>
      <c r="J3335" t="s">
        <v>1561</v>
      </c>
      <c r="L3335">
        <f t="shared" si="175"/>
        <v>1</v>
      </c>
    </row>
    <row r="3336" spans="1:12" x14ac:dyDescent="0.35">
      <c r="A3336">
        <f t="shared" si="176"/>
        <v>3335</v>
      </c>
      <c r="B3336" t="s">
        <v>743</v>
      </c>
      <c r="C3336" s="109" t="str">
        <f>IF(ISBLANK(K3336),IFERROR(VLOOKUP(I3336,FS_input_data!$C$458:$N$648,Export!J3336,FALSE),""),K3336)</f>
        <v/>
      </c>
      <c r="D3336" s="6"/>
      <c r="E3336" t="s">
        <v>1561</v>
      </c>
      <c r="F3336" s="6"/>
      <c r="G3336" s="102" t="b">
        <f>VLOOKUP($I$3314,FS_input_data!$C$458:$N$648,Export!$J$3314,FALSE)=""</f>
        <v>0</v>
      </c>
      <c r="H3336" s="6" t="s">
        <v>2189</v>
      </c>
      <c r="I3336" t="s">
        <v>1561</v>
      </c>
      <c r="J3336" t="s">
        <v>1561</v>
      </c>
      <c r="L3336">
        <f t="shared" si="175"/>
        <v>1</v>
      </c>
    </row>
    <row r="3337" spans="1:12" x14ac:dyDescent="0.35">
      <c r="A3337">
        <f t="shared" si="176"/>
        <v>3336</v>
      </c>
      <c r="B3337" t="s">
        <v>744</v>
      </c>
      <c r="C3337" s="109" t="str">
        <f>IF(ISBLANK(K3337),IFERROR(VLOOKUP(I3337,FS_input_data!$C$458:$N$648,Export!J3337,FALSE),""),K3337)</f>
        <v/>
      </c>
      <c r="D3337" s="6"/>
      <c r="E3337" t="s">
        <v>1561</v>
      </c>
      <c r="F3337" s="6"/>
      <c r="G3337" s="102" t="b">
        <f t="shared" ref="G3337:G3344" si="177">RP_tax</f>
        <v>1</v>
      </c>
      <c r="H3337" s="6" t="s">
        <v>2189</v>
      </c>
      <c r="I3337" t="s">
        <v>1561</v>
      </c>
      <c r="J3337" t="s">
        <v>1561</v>
      </c>
      <c r="L3337" s="9" t="e">
        <f t="shared" si="175"/>
        <v>#VALUE!</v>
      </c>
    </row>
    <row r="3338" spans="1:12" x14ac:dyDescent="0.35">
      <c r="A3338" s="9">
        <f t="shared" si="176"/>
        <v>3337</v>
      </c>
      <c r="B3338" t="s">
        <v>109</v>
      </c>
      <c r="C3338" s="109">
        <f>IF(ISBLANK(K3338),IFERROR(VLOOKUP(I3338,FS_input_data!$C$458:$N$648,Export!J3338,FALSE),""),K3338)</f>
        <v>25000</v>
      </c>
      <c r="D3338" s="6" t="b">
        <v>1</v>
      </c>
      <c r="E3338" t="s">
        <v>1561</v>
      </c>
      <c r="F3338" s="6"/>
      <c r="G3338" s="102" t="b">
        <f t="shared" si="177"/>
        <v>1</v>
      </c>
      <c r="H3338" s="6" t="s">
        <v>2189</v>
      </c>
      <c r="I3338" t="s">
        <v>1862</v>
      </c>
      <c r="J3338">
        <v>10</v>
      </c>
      <c r="L3338" s="9" t="e">
        <f t="shared" si="175"/>
        <v>#VALUE!</v>
      </c>
    </row>
    <row r="3339" spans="1:12" x14ac:dyDescent="0.35">
      <c r="A3339">
        <f t="shared" si="176"/>
        <v>3338</v>
      </c>
      <c r="B3339" t="s">
        <v>110</v>
      </c>
      <c r="C3339" s="109" t="str">
        <f>IF(ISBLANK(K3339),IFERROR(VLOOKUP(I3339,FS_input_data!$C$458:$N$648,Export!J3339,FALSE),""),K3339)</f>
        <v/>
      </c>
      <c r="D3339" s="6"/>
      <c r="E3339" t="s">
        <v>1561</v>
      </c>
      <c r="F3339" s="6"/>
      <c r="G3339" s="102" t="b">
        <f t="shared" si="177"/>
        <v>1</v>
      </c>
      <c r="H3339" s="6" t="s">
        <v>2189</v>
      </c>
      <c r="I3339" t="s">
        <v>1561</v>
      </c>
      <c r="J3339" t="s">
        <v>1561</v>
      </c>
      <c r="L3339">
        <f t="shared" si="175"/>
        <v>1</v>
      </c>
    </row>
    <row r="3340" spans="1:12" x14ac:dyDescent="0.35">
      <c r="A3340" s="9">
        <f t="shared" si="176"/>
        <v>3339</v>
      </c>
      <c r="B3340" t="s">
        <v>111</v>
      </c>
      <c r="C3340" s="109">
        <f>IF(ISBLANK(K3340),IFERROR(VLOOKUP(I3340,FS_input_data!$C$458:$N$648,Export!J3340,FALSE),""),K3340)</f>
        <v>12500</v>
      </c>
      <c r="D3340" s="6" t="b">
        <v>0</v>
      </c>
      <c r="E3340" t="s">
        <v>1561</v>
      </c>
      <c r="F3340" s="6"/>
      <c r="G3340" s="102" t="b">
        <f t="shared" si="177"/>
        <v>1</v>
      </c>
      <c r="H3340" s="6" t="s">
        <v>2189</v>
      </c>
      <c r="I3340" t="s">
        <v>1862</v>
      </c>
      <c r="J3340">
        <v>11</v>
      </c>
      <c r="L3340" s="9" t="e">
        <f t="shared" si="175"/>
        <v>#VALUE!</v>
      </c>
    </row>
    <row r="3341" spans="1:12" x14ac:dyDescent="0.35">
      <c r="A3341">
        <f t="shared" si="176"/>
        <v>3340</v>
      </c>
      <c r="B3341" t="s">
        <v>112</v>
      </c>
      <c r="C3341" s="109" t="str">
        <f>IF(ISBLANK(K3341),IFERROR(VLOOKUP(I3341,FS_input_data!$C$458:$N$648,Export!J3341,FALSE),""),K3341)</f>
        <v/>
      </c>
      <c r="D3341" s="6"/>
      <c r="E3341" t="s">
        <v>1561</v>
      </c>
      <c r="F3341" s="6"/>
      <c r="G3341" s="102" t="b">
        <f t="shared" si="177"/>
        <v>1</v>
      </c>
      <c r="H3341" s="6" t="s">
        <v>2189</v>
      </c>
      <c r="I3341" t="s">
        <v>1561</v>
      </c>
      <c r="J3341" t="s">
        <v>1561</v>
      </c>
      <c r="L3341">
        <f t="shared" si="175"/>
        <v>1</v>
      </c>
    </row>
    <row r="3342" spans="1:12" x14ac:dyDescent="0.35">
      <c r="A3342" s="9">
        <f t="shared" si="176"/>
        <v>3341</v>
      </c>
      <c r="B3342" t="s">
        <v>749</v>
      </c>
      <c r="C3342" s="109">
        <f>IF(ISBLANK(K3342),IFERROR(VLOOKUP(I3342,FS_input_data!$C$458:$N$648,Export!J3342,FALSE),""),K3342)</f>
        <v>12500</v>
      </c>
      <c r="D3342" s="6" t="b">
        <v>0</v>
      </c>
      <c r="E3342" t="s">
        <v>1561</v>
      </c>
      <c r="F3342" s="6"/>
      <c r="G3342" s="102" t="b">
        <f t="shared" si="177"/>
        <v>1</v>
      </c>
      <c r="H3342" s="6" t="s">
        <v>2189</v>
      </c>
      <c r="I3342" t="s">
        <v>1862</v>
      </c>
      <c r="J3342">
        <v>12</v>
      </c>
      <c r="L3342" s="9" t="e">
        <f t="shared" si="175"/>
        <v>#VALUE!</v>
      </c>
    </row>
    <row r="3343" spans="1:12" x14ac:dyDescent="0.35">
      <c r="A3343">
        <f t="shared" si="176"/>
        <v>3342</v>
      </c>
      <c r="B3343" t="s">
        <v>750</v>
      </c>
      <c r="C3343" s="109" t="str">
        <f>IF(ISBLANK(K3343),IFERROR(VLOOKUP(I3343,FS_input_data!$C$458:$N$648,Export!J3343,FALSE),""),K3343)</f>
        <v/>
      </c>
      <c r="D3343" s="6"/>
      <c r="E3343" t="s">
        <v>1561</v>
      </c>
      <c r="F3343" s="6"/>
      <c r="G3343" s="102" t="b">
        <f t="shared" si="177"/>
        <v>1</v>
      </c>
      <c r="H3343" s="6" t="s">
        <v>2189</v>
      </c>
      <c r="I3343" t="s">
        <v>1561</v>
      </c>
      <c r="J3343" t="s">
        <v>1561</v>
      </c>
      <c r="L3343">
        <f t="shared" si="175"/>
        <v>1</v>
      </c>
    </row>
    <row r="3344" spans="1:12" x14ac:dyDescent="0.35">
      <c r="A3344">
        <f t="shared" si="176"/>
        <v>3343</v>
      </c>
      <c r="B3344" t="s">
        <v>745</v>
      </c>
      <c r="C3344" s="109" t="str">
        <f>IF(ISBLANK(K3344),IFERROR(VLOOKUP(I3344,FS_input_data!$C$458:$N$648,Export!J3344,FALSE),""),K3344)</f>
        <v/>
      </c>
      <c r="D3344" s="6"/>
      <c r="E3344" t="s">
        <v>1561</v>
      </c>
      <c r="F3344" s="6"/>
      <c r="G3344" s="102" t="b">
        <f t="shared" si="177"/>
        <v>1</v>
      </c>
      <c r="H3344" s="6" t="s">
        <v>2189</v>
      </c>
      <c r="I3344" t="s">
        <v>1561</v>
      </c>
      <c r="J3344" t="s">
        <v>1561</v>
      </c>
      <c r="L3344">
        <f t="shared" si="175"/>
        <v>1</v>
      </c>
    </row>
    <row r="3345" spans="1:12" x14ac:dyDescent="0.35">
      <c r="A3345">
        <f t="shared" si="176"/>
        <v>3344</v>
      </c>
      <c r="B3345" t="s">
        <v>764</v>
      </c>
      <c r="C3345" s="109" t="str">
        <f>IF(ISBLANK(K3345),IFERROR(VLOOKUP(I3345,FS_input_data!$C$458:$N$648,Export!J3345,FALSE),""),K3345)</f>
        <v/>
      </c>
      <c r="D3345" s="6"/>
      <c r="E3345" t="s">
        <v>1561</v>
      </c>
      <c r="F3345" s="6"/>
      <c r="G3345" s="102" t="b">
        <f>VLOOKUP($I$3314,FS_input_data!$C$458:$N$648,Export!$J$3314,FALSE)=""</f>
        <v>0</v>
      </c>
      <c r="H3345" s="6" t="s">
        <v>2189</v>
      </c>
      <c r="I3345" t="s">
        <v>1561</v>
      </c>
      <c r="J3345" t="s">
        <v>1561</v>
      </c>
      <c r="L3345">
        <f t="shared" si="175"/>
        <v>1</v>
      </c>
    </row>
    <row r="3346" spans="1:12" x14ac:dyDescent="0.35">
      <c r="A3346">
        <f t="shared" si="176"/>
        <v>3345</v>
      </c>
      <c r="B3346" t="s">
        <v>765</v>
      </c>
      <c r="C3346" s="109" t="str">
        <f>IF(ISBLANK(K3346),IFERROR(VLOOKUP(I3346,FS_input_data!$C$458:$N$648,Export!J3346,FALSE),""),K3346)</f>
        <v/>
      </c>
      <c r="D3346" s="6"/>
      <c r="E3346" t="s">
        <v>1561</v>
      </c>
      <c r="F3346" s="6"/>
      <c r="G3346" s="102" t="b">
        <f>VLOOKUP($I$3314,FS_input_data!$C$458:$N$648,Export!$J$3314,FALSE)=""</f>
        <v>0</v>
      </c>
      <c r="H3346" s="6" t="s">
        <v>2189</v>
      </c>
      <c r="I3346" t="s">
        <v>1561</v>
      </c>
      <c r="J3346" t="s">
        <v>1561</v>
      </c>
      <c r="L3346">
        <f t="shared" si="175"/>
        <v>1</v>
      </c>
    </row>
    <row r="3347" spans="1:12" x14ac:dyDescent="0.35">
      <c r="A3347">
        <f t="shared" si="176"/>
        <v>3346</v>
      </c>
      <c r="B3347" t="s">
        <v>752</v>
      </c>
      <c r="C3347" s="109" t="str">
        <f>IF(ISBLANK(K3347),IFERROR(VLOOKUP(I3347,FS_input_data!$C$458:$N$648,Export!J3347,FALSE),""),K3347)</f>
        <v/>
      </c>
      <c r="D3347" s="6"/>
      <c r="E3347" t="s">
        <v>1561</v>
      </c>
      <c r="F3347" s="6"/>
      <c r="G3347" s="105" t="b">
        <f>VLOOKUP($I$3348,FS_input_data!$C$458:$N$648,Export!$J$3348,FALSE)=""</f>
        <v>0</v>
      </c>
      <c r="H3347" s="6" t="s">
        <v>2189</v>
      </c>
      <c r="I3347" t="s">
        <v>1561</v>
      </c>
      <c r="J3347" t="s">
        <v>1561</v>
      </c>
      <c r="L3347" s="9" t="e">
        <f t="shared" si="175"/>
        <v>#VALUE!</v>
      </c>
    </row>
    <row r="3348" spans="1:12" x14ac:dyDescent="0.35">
      <c r="A3348" s="9">
        <f t="shared" si="176"/>
        <v>3347</v>
      </c>
      <c r="B3348" t="s">
        <v>101</v>
      </c>
      <c r="C3348" s="109" t="str">
        <f>IF(ISBLANK(K3348),IFERROR(VLOOKUP(I3348,FS_input_data!$C$458:$N$648,Export!J3348,FALSE),""),K3348)</f>
        <v>OC4</v>
      </c>
      <c r="D3348" s="6" t="b">
        <v>1</v>
      </c>
      <c r="E3348" t="s">
        <v>1561</v>
      </c>
      <c r="F3348" s="6"/>
      <c r="G3348" s="105" t="b">
        <f>VLOOKUP($I$3348,FS_input_data!$C$458:$N$648,Export!$J$3348,FALSE)=""</f>
        <v>0</v>
      </c>
      <c r="H3348" s="6" t="s">
        <v>2189</v>
      </c>
      <c r="I3348" t="s">
        <v>1864</v>
      </c>
      <c r="J3348">
        <v>6</v>
      </c>
      <c r="L3348" s="9" t="e">
        <f t="shared" si="175"/>
        <v>#VALUE!</v>
      </c>
    </row>
    <row r="3349" spans="1:12" x14ac:dyDescent="0.35">
      <c r="A3349">
        <f t="shared" si="176"/>
        <v>3348</v>
      </c>
      <c r="B3349" t="s">
        <v>102</v>
      </c>
      <c r="C3349" s="109" t="str">
        <f>IF(ISBLANK(K3349),IFERROR(VLOOKUP(I3349,FS_input_data!$C$458:$N$648,Export!J3349,FALSE),""),K3349)</f>
        <v/>
      </c>
      <c r="D3349" s="6"/>
      <c r="E3349" t="s">
        <v>1561</v>
      </c>
      <c r="F3349" s="6"/>
      <c r="G3349" s="105" t="b">
        <f>VLOOKUP($I$3348,FS_input_data!$C$458:$N$648,Export!$J$3348,FALSE)=""</f>
        <v>0</v>
      </c>
      <c r="H3349" s="6" t="s">
        <v>2189</v>
      </c>
      <c r="I3349" t="s">
        <v>1561</v>
      </c>
      <c r="J3349" t="s">
        <v>1561</v>
      </c>
      <c r="L3349">
        <f t="shared" si="175"/>
        <v>1</v>
      </c>
    </row>
    <row r="3350" spans="1:12" x14ac:dyDescent="0.35">
      <c r="A3350">
        <f t="shared" si="176"/>
        <v>3349</v>
      </c>
      <c r="B3350" t="s">
        <v>753</v>
      </c>
      <c r="C3350" s="109" t="str">
        <f>IF(ISBLANK(K3350),IFERROR(VLOOKUP(I3350,FS_input_data!$C$458:$N$648,Export!J3350,FALSE),""),K3350)</f>
        <v/>
      </c>
      <c r="D3350" s="6"/>
      <c r="E3350" t="s">
        <v>1561</v>
      </c>
      <c r="F3350" s="6"/>
      <c r="G3350" s="105" t="b">
        <f>VLOOKUP($I$3348,FS_input_data!$C$458:$N$648,Export!$J$3348,FALSE)=""</f>
        <v>0</v>
      </c>
      <c r="H3350" s="6" t="s">
        <v>2189</v>
      </c>
      <c r="I3350" t="s">
        <v>1561</v>
      </c>
      <c r="J3350" t="s">
        <v>1561</v>
      </c>
      <c r="L3350" s="9" t="e">
        <f t="shared" si="175"/>
        <v>#VALUE!</v>
      </c>
    </row>
    <row r="3351" spans="1:12" x14ac:dyDescent="0.35">
      <c r="A3351">
        <f t="shared" si="176"/>
        <v>3350</v>
      </c>
      <c r="B3351" t="s">
        <v>742</v>
      </c>
      <c r="C3351" s="109" t="str">
        <f>IF(ISBLANK(K3351),IFERROR(VLOOKUP(I3351,FS_input_data!$C$458:$N$648,Export!J3351,FALSE),""),K3351)</f>
        <v/>
      </c>
      <c r="D3351" s="6"/>
      <c r="E3351" t="s">
        <v>1561</v>
      </c>
      <c r="F3351" s="6"/>
      <c r="G3351" s="105" t="b">
        <f>VLOOKUP($I$3348,FS_input_data!$C$458:$N$648,Export!$J$3348,FALSE)=""</f>
        <v>0</v>
      </c>
      <c r="H3351" s="6" t="s">
        <v>2189</v>
      </c>
      <c r="I3351" t="s">
        <v>1561</v>
      </c>
      <c r="J3351" t="s">
        <v>1561</v>
      </c>
      <c r="L3351" s="9" t="e">
        <f t="shared" si="175"/>
        <v>#VALUE!</v>
      </c>
    </row>
    <row r="3352" spans="1:12" x14ac:dyDescent="0.35">
      <c r="A3352">
        <f t="shared" si="176"/>
        <v>3351</v>
      </c>
      <c r="B3352" t="s">
        <v>748</v>
      </c>
      <c r="C3352" s="109" t="str">
        <f>IF(ISBLANK(K3352),IFERROR(VLOOKUP(I3352,FS_input_data!$C$458:$N$648,Export!J3352,FALSE),""),K3352)</f>
        <v/>
      </c>
      <c r="D3352" s="6"/>
      <c r="E3352" t="s">
        <v>1561</v>
      </c>
      <c r="F3352" s="6"/>
      <c r="G3352" s="105" t="b">
        <f>VLOOKUP($I$3348,FS_input_data!$C$458:$N$648,Export!$J$3348,FALSE)=""</f>
        <v>0</v>
      </c>
      <c r="H3352" s="6" t="s">
        <v>2189</v>
      </c>
      <c r="I3352" t="s">
        <v>1561</v>
      </c>
      <c r="J3352" t="s">
        <v>1561</v>
      </c>
      <c r="L3352" s="9" t="e">
        <f t="shared" si="175"/>
        <v>#VALUE!</v>
      </c>
    </row>
    <row r="3353" spans="1:12" x14ac:dyDescent="0.35">
      <c r="A3353" s="9">
        <f t="shared" si="176"/>
        <v>3352</v>
      </c>
      <c r="B3353" t="s">
        <v>109</v>
      </c>
      <c r="C3353" s="109">
        <f>IF(ISBLANK(K3353),IFERROR(VLOOKUP(I3353,FS_input_data!$C$458:$N$648,Export!J3353,FALSE),""),K3353)</f>
        <v>26000</v>
      </c>
      <c r="D3353" s="6" t="b">
        <v>1</v>
      </c>
      <c r="E3353" t="s">
        <v>1561</v>
      </c>
      <c r="F3353" s="6"/>
      <c r="G3353" s="105" t="b">
        <f>VLOOKUP($I$3348,FS_input_data!$C$458:$N$648,Export!$J$3348,FALSE)=""</f>
        <v>0</v>
      </c>
      <c r="H3353" s="6" t="s">
        <v>2189</v>
      </c>
      <c r="I3353" t="s">
        <v>1864</v>
      </c>
      <c r="J3353">
        <v>7</v>
      </c>
      <c r="L3353" s="9" t="e">
        <f t="shared" si="175"/>
        <v>#VALUE!</v>
      </c>
    </row>
    <row r="3354" spans="1:12" x14ac:dyDescent="0.35">
      <c r="A3354">
        <f t="shared" si="176"/>
        <v>3353</v>
      </c>
      <c r="B3354" t="s">
        <v>110</v>
      </c>
      <c r="C3354" s="109" t="str">
        <f>IF(ISBLANK(K3354),IFERROR(VLOOKUP(I3354,FS_input_data!$C$458:$N$648,Export!J3354,FALSE),""),K3354)</f>
        <v/>
      </c>
      <c r="D3354" s="6"/>
      <c r="E3354" t="s">
        <v>1561</v>
      </c>
      <c r="F3354" s="6"/>
      <c r="G3354" s="105" t="b">
        <f>VLOOKUP($I$3348,FS_input_data!$C$458:$N$648,Export!$J$3348,FALSE)=""</f>
        <v>0</v>
      </c>
      <c r="H3354" s="6" t="s">
        <v>2189</v>
      </c>
      <c r="I3354" t="s">
        <v>1561</v>
      </c>
      <c r="J3354" t="s">
        <v>1561</v>
      </c>
      <c r="L3354">
        <f t="shared" si="175"/>
        <v>1</v>
      </c>
    </row>
    <row r="3355" spans="1:12" x14ac:dyDescent="0.35">
      <c r="A3355" s="9">
        <f t="shared" si="176"/>
        <v>3354</v>
      </c>
      <c r="B3355" t="s">
        <v>111</v>
      </c>
      <c r="C3355" s="109">
        <f>IF(ISBLANK(K3355),IFERROR(VLOOKUP(I3355,FS_input_data!$C$458:$N$648,Export!J3355,FALSE),""),K3355)</f>
        <v>13000</v>
      </c>
      <c r="D3355" s="6" t="b">
        <v>0</v>
      </c>
      <c r="E3355" t="s">
        <v>1561</v>
      </c>
      <c r="F3355" s="6"/>
      <c r="G3355" s="105" t="b">
        <f>VLOOKUP($I$3348,FS_input_data!$C$458:$N$648,Export!$J$3348,FALSE)=""</f>
        <v>0</v>
      </c>
      <c r="H3355" s="6" t="s">
        <v>2189</v>
      </c>
      <c r="I3355" t="s">
        <v>1864</v>
      </c>
      <c r="J3355">
        <v>8</v>
      </c>
      <c r="L3355" s="9" t="e">
        <f t="shared" si="175"/>
        <v>#VALUE!</v>
      </c>
    </row>
    <row r="3356" spans="1:12" x14ac:dyDescent="0.35">
      <c r="A3356">
        <f t="shared" si="176"/>
        <v>3355</v>
      </c>
      <c r="B3356" t="s">
        <v>112</v>
      </c>
      <c r="C3356" s="109" t="str">
        <f>IF(ISBLANK(K3356),IFERROR(VLOOKUP(I3356,FS_input_data!$C$458:$N$648,Export!J3356,FALSE),""),K3356)</f>
        <v/>
      </c>
      <c r="D3356" s="6"/>
      <c r="E3356" t="s">
        <v>1561</v>
      </c>
      <c r="F3356" s="6"/>
      <c r="G3356" s="105" t="b">
        <f>VLOOKUP($I$3348,FS_input_data!$C$458:$N$648,Export!$J$3348,FALSE)=""</f>
        <v>0</v>
      </c>
      <c r="H3356" s="6" t="s">
        <v>2189</v>
      </c>
      <c r="I3356" t="s">
        <v>1561</v>
      </c>
      <c r="J3356" t="s">
        <v>1561</v>
      </c>
      <c r="L3356">
        <f t="shared" si="175"/>
        <v>1</v>
      </c>
    </row>
    <row r="3357" spans="1:12" x14ac:dyDescent="0.35">
      <c r="A3357" s="9">
        <f t="shared" si="176"/>
        <v>3356</v>
      </c>
      <c r="B3357" t="s">
        <v>749</v>
      </c>
      <c r="C3357" s="109">
        <f>IF(ISBLANK(K3357),IFERROR(VLOOKUP(I3357,FS_input_data!$C$458:$N$648,Export!J3357,FALSE),""),K3357)</f>
        <v>13000</v>
      </c>
      <c r="D3357" s="6" t="b">
        <v>0</v>
      </c>
      <c r="E3357" t="s">
        <v>1561</v>
      </c>
      <c r="F3357" s="6"/>
      <c r="G3357" s="105" t="b">
        <f>VLOOKUP($I$3348,FS_input_data!$C$458:$N$648,Export!$J$3348,FALSE)=""</f>
        <v>0</v>
      </c>
      <c r="H3357" s="6" t="s">
        <v>2189</v>
      </c>
      <c r="I3357" t="s">
        <v>1864</v>
      </c>
      <c r="J3357">
        <v>9</v>
      </c>
      <c r="L3357" s="9" t="e">
        <f t="shared" si="175"/>
        <v>#VALUE!</v>
      </c>
    </row>
    <row r="3358" spans="1:12" x14ac:dyDescent="0.35">
      <c r="A3358">
        <f t="shared" si="176"/>
        <v>3357</v>
      </c>
      <c r="B3358" t="s">
        <v>750</v>
      </c>
      <c r="C3358" s="109" t="str">
        <f>IF(ISBLANK(K3358),IFERROR(VLOOKUP(I3358,FS_input_data!$C$458:$N$648,Export!J3358,FALSE),""),K3358)</f>
        <v/>
      </c>
      <c r="D3358" s="6"/>
      <c r="E3358" t="s">
        <v>1561</v>
      </c>
      <c r="F3358" s="6"/>
      <c r="G3358" s="105" t="b">
        <f>VLOOKUP($I$3348,FS_input_data!$C$458:$N$648,Export!$J$3348,FALSE)=""</f>
        <v>0</v>
      </c>
      <c r="H3358" s="6" t="s">
        <v>2189</v>
      </c>
      <c r="I3358" t="s">
        <v>1561</v>
      </c>
      <c r="J3358" t="s">
        <v>1561</v>
      </c>
      <c r="L3358">
        <f t="shared" si="175"/>
        <v>1</v>
      </c>
    </row>
    <row r="3359" spans="1:12" x14ac:dyDescent="0.35">
      <c r="A3359">
        <f t="shared" si="176"/>
        <v>3358</v>
      </c>
      <c r="B3359" t="s">
        <v>751</v>
      </c>
      <c r="C3359" s="109" t="str">
        <f>IF(ISBLANK(K3359),IFERROR(VLOOKUP(I3359,FS_input_data!$C$458:$N$648,Export!J3359,FALSE),""),K3359)</f>
        <v/>
      </c>
      <c r="D3359" s="6"/>
      <c r="E3359" t="s">
        <v>1561</v>
      </c>
      <c r="F3359" s="6"/>
      <c r="G3359" s="105" t="b">
        <f>VLOOKUP($I$3348,FS_input_data!$C$458:$N$648,Export!$J$3348,FALSE)=""</f>
        <v>0</v>
      </c>
      <c r="H3359" s="6" t="s">
        <v>2189</v>
      </c>
      <c r="I3359" t="s">
        <v>1561</v>
      </c>
      <c r="J3359" t="s">
        <v>1561</v>
      </c>
      <c r="L3359">
        <f t="shared" si="175"/>
        <v>1</v>
      </c>
    </row>
    <row r="3360" spans="1:12" x14ac:dyDescent="0.35">
      <c r="A3360">
        <f t="shared" si="176"/>
        <v>3359</v>
      </c>
      <c r="B3360" t="s">
        <v>754</v>
      </c>
      <c r="C3360" s="109" t="str">
        <f>IF(ISBLANK(K3360),IFERROR(VLOOKUP(I3360,FS_input_data!$C$458:$N$648,Export!J3360,FALSE),""),K3360)</f>
        <v/>
      </c>
      <c r="D3360" s="6"/>
      <c r="E3360" t="s">
        <v>1561</v>
      </c>
      <c r="F3360" s="6"/>
      <c r="G3360" s="105" t="b">
        <f>VLOOKUP($I$3348,FS_input_data!$C$458:$N$648,Export!$J$3348,FALSE)=""</f>
        <v>0</v>
      </c>
      <c r="H3360" s="6" t="s">
        <v>2189</v>
      </c>
      <c r="I3360" t="s">
        <v>1561</v>
      </c>
      <c r="J3360" t="s">
        <v>1561</v>
      </c>
      <c r="L3360" s="9" t="e">
        <f t="shared" si="175"/>
        <v>#VALUE!</v>
      </c>
    </row>
    <row r="3361" spans="1:12" x14ac:dyDescent="0.35">
      <c r="A3361" s="9">
        <f t="shared" si="176"/>
        <v>3360</v>
      </c>
      <c r="B3361" t="s">
        <v>755</v>
      </c>
      <c r="C3361" s="109">
        <f>IF(ISBLANK(K3361),IFERROR(VLOOKUP(I3361,FS_input_data!$C$458:$N$648,Export!J3361,FALSE),""),K3361)</f>
        <v>26</v>
      </c>
      <c r="D3361" s="6" t="b">
        <v>1</v>
      </c>
      <c r="E3361" t="s">
        <v>1561</v>
      </c>
      <c r="F3361" s="6"/>
      <c r="G3361" s="105" t="b">
        <f>VLOOKUP($I$3348,FS_input_data!$C$458:$N$648,Export!$J$3348,FALSE)=""</f>
        <v>0</v>
      </c>
      <c r="H3361" s="6" t="s">
        <v>2189</v>
      </c>
      <c r="I3361" t="s">
        <v>1864</v>
      </c>
      <c r="J3361">
        <v>2</v>
      </c>
      <c r="L3361" s="9" t="e">
        <f t="shared" si="175"/>
        <v>#VALUE!</v>
      </c>
    </row>
    <row r="3362" spans="1:12" x14ac:dyDescent="0.35">
      <c r="A3362">
        <f t="shared" si="176"/>
        <v>3361</v>
      </c>
      <c r="B3362" t="s">
        <v>756</v>
      </c>
      <c r="C3362" s="109" t="str">
        <f>IF(ISBLANK(K3362),IFERROR(VLOOKUP(I3362,FS_input_data!$C$458:$N$648,Export!J3362,FALSE),""),K3362)</f>
        <v/>
      </c>
      <c r="D3362" s="6"/>
      <c r="E3362" t="s">
        <v>1561</v>
      </c>
      <c r="F3362" s="6"/>
      <c r="G3362" s="105" t="b">
        <f>VLOOKUP($I$3348,FS_input_data!$C$458:$N$648,Export!$J$3348,FALSE)=""</f>
        <v>0</v>
      </c>
      <c r="H3362" s="6" t="s">
        <v>2189</v>
      </c>
      <c r="I3362" t="s">
        <v>1561</v>
      </c>
      <c r="J3362" t="s">
        <v>1561</v>
      </c>
      <c r="L3362">
        <f t="shared" si="175"/>
        <v>1</v>
      </c>
    </row>
    <row r="3363" spans="1:12" x14ac:dyDescent="0.35">
      <c r="A3363" s="9">
        <f t="shared" si="176"/>
        <v>3362</v>
      </c>
      <c r="B3363" t="s">
        <v>757</v>
      </c>
      <c r="C3363" s="109">
        <f>IF(ISBLANK(K3363),IFERROR(VLOOKUP(I3363,FS_input_data!$C$458:$N$648,Export!J3363,FALSE),""),K3363)</f>
        <v>126</v>
      </c>
      <c r="D3363" s="6" t="b">
        <v>0</v>
      </c>
      <c r="E3363" t="s">
        <v>1561</v>
      </c>
      <c r="F3363" s="6"/>
      <c r="G3363" s="105" t="b">
        <f>VLOOKUP($I$3348,FS_input_data!$C$458:$N$648,Export!$J$3348,FALSE)=""</f>
        <v>0</v>
      </c>
      <c r="H3363" s="6" t="s">
        <v>2189</v>
      </c>
      <c r="I3363" t="s">
        <v>1864</v>
      </c>
      <c r="J3363">
        <v>3</v>
      </c>
      <c r="L3363" s="9" t="e">
        <f t="shared" si="175"/>
        <v>#VALUE!</v>
      </c>
    </row>
    <row r="3364" spans="1:12" x14ac:dyDescent="0.35">
      <c r="A3364">
        <f t="shared" si="176"/>
        <v>3363</v>
      </c>
      <c r="B3364" t="s">
        <v>758</v>
      </c>
      <c r="C3364" s="109" t="str">
        <f>IF(ISBLANK(K3364),IFERROR(VLOOKUP(I3364,FS_input_data!$C$458:$N$648,Export!J3364,FALSE),""),K3364)</f>
        <v/>
      </c>
      <c r="D3364" s="6"/>
      <c r="E3364" t="s">
        <v>1561</v>
      </c>
      <c r="F3364" s="6"/>
      <c r="G3364" s="105" t="b">
        <f>VLOOKUP($I$3348,FS_input_data!$C$458:$N$648,Export!$J$3348,FALSE)=""</f>
        <v>0</v>
      </c>
      <c r="H3364" s="6" t="s">
        <v>2189</v>
      </c>
      <c r="I3364" t="s">
        <v>1561</v>
      </c>
      <c r="J3364" t="s">
        <v>1561</v>
      </c>
      <c r="L3364">
        <f t="shared" si="175"/>
        <v>1</v>
      </c>
    </row>
    <row r="3365" spans="1:12" x14ac:dyDescent="0.35">
      <c r="A3365" s="9">
        <f t="shared" si="176"/>
        <v>3364</v>
      </c>
      <c r="B3365" t="s">
        <v>759</v>
      </c>
      <c r="C3365" s="109">
        <f>IF(ISBLANK(K3365),IFERROR(VLOOKUP(I3365,FS_input_data!$C$458:$N$648,Export!J3365,FALSE),""),K3365)</f>
        <v>226</v>
      </c>
      <c r="D3365" s="6" t="b">
        <v>0</v>
      </c>
      <c r="E3365" t="s">
        <v>1561</v>
      </c>
      <c r="F3365" s="6"/>
      <c r="G3365" s="105" t="b">
        <f>VLOOKUP($I$3348,FS_input_data!$C$458:$N$648,Export!$J$3348,FALSE)=""</f>
        <v>0</v>
      </c>
      <c r="H3365" s="6" t="s">
        <v>2189</v>
      </c>
      <c r="I3365" t="s">
        <v>1864</v>
      </c>
      <c r="J3365">
        <v>4</v>
      </c>
      <c r="L3365" s="9" t="e">
        <f t="shared" si="175"/>
        <v>#VALUE!</v>
      </c>
    </row>
    <row r="3366" spans="1:12" x14ac:dyDescent="0.35">
      <c r="A3366">
        <f t="shared" si="176"/>
        <v>3365</v>
      </c>
      <c r="B3366" t="s">
        <v>760</v>
      </c>
      <c r="C3366" s="109" t="str">
        <f>IF(ISBLANK(K3366),IFERROR(VLOOKUP(I3366,FS_input_data!$C$458:$N$648,Export!J3366,FALSE),""),K3366)</f>
        <v/>
      </c>
      <c r="D3366" s="6"/>
      <c r="E3366" t="s">
        <v>1561</v>
      </c>
      <c r="F3366" s="6"/>
      <c r="G3366" s="105" t="b">
        <f>VLOOKUP($I$3348,FS_input_data!$C$458:$N$648,Export!$J$3348,FALSE)=""</f>
        <v>0</v>
      </c>
      <c r="H3366" s="6" t="s">
        <v>2189</v>
      </c>
      <c r="I3366" t="s">
        <v>1561</v>
      </c>
      <c r="J3366" t="s">
        <v>1561</v>
      </c>
      <c r="L3366">
        <f t="shared" si="175"/>
        <v>1</v>
      </c>
    </row>
    <row r="3367" spans="1:12" x14ac:dyDescent="0.35">
      <c r="A3367" s="9">
        <f t="shared" si="176"/>
        <v>3366</v>
      </c>
      <c r="B3367" t="s">
        <v>761</v>
      </c>
      <c r="C3367" s="109" t="str">
        <f>IF(ISBLANK(K3367),IFERROR(VLOOKUP(I3367,FS_input_data!$C$458:$N$648,Export!J3367,FALSE),""),K3367)</f>
        <v>e</v>
      </c>
      <c r="D3367" s="6"/>
      <c r="E3367" t="s">
        <v>1561</v>
      </c>
      <c r="F3367" s="6"/>
      <c r="G3367" s="105" t="b">
        <f>VLOOKUP($I$3348,FS_input_data!$C$458:$N$648,Export!$J$3348,FALSE)=""</f>
        <v>0</v>
      </c>
      <c r="H3367" s="6" t="s">
        <v>2189</v>
      </c>
      <c r="I3367" t="s">
        <v>1864</v>
      </c>
      <c r="J3367">
        <v>5</v>
      </c>
      <c r="L3367" s="9" t="e">
        <f t="shared" si="175"/>
        <v>#VALUE!</v>
      </c>
    </row>
    <row r="3368" spans="1:12" x14ac:dyDescent="0.35">
      <c r="A3368">
        <f t="shared" si="176"/>
        <v>3367</v>
      </c>
      <c r="B3368" t="s">
        <v>762</v>
      </c>
      <c r="C3368" s="109" t="str">
        <f>IF(ISBLANK(K3368),IFERROR(VLOOKUP(I3368,FS_input_data!$C$458:$N$648,Export!J3368,FALSE),""),K3368)</f>
        <v/>
      </c>
      <c r="D3368" s="6"/>
      <c r="E3368" t="s">
        <v>1561</v>
      </c>
      <c r="F3368" s="6"/>
      <c r="G3368" s="105" t="b">
        <f>VLOOKUP($I$3348,FS_input_data!$C$458:$N$648,Export!$J$3348,FALSE)=""</f>
        <v>0</v>
      </c>
      <c r="H3368" s="6" t="s">
        <v>2189</v>
      </c>
      <c r="I3368" t="s">
        <v>1561</v>
      </c>
      <c r="J3368" t="s">
        <v>1561</v>
      </c>
      <c r="L3368">
        <f t="shared" si="175"/>
        <v>1</v>
      </c>
    </row>
    <row r="3369" spans="1:12" x14ac:dyDescent="0.35">
      <c r="A3369">
        <f t="shared" si="176"/>
        <v>3368</v>
      </c>
      <c r="B3369" t="s">
        <v>763</v>
      </c>
      <c r="C3369" s="109" t="str">
        <f>IF(ISBLANK(K3369),IFERROR(VLOOKUP(I3369,FS_input_data!$C$458:$N$648,Export!J3369,FALSE),""),K3369)</f>
        <v/>
      </c>
      <c r="D3369" s="6"/>
      <c r="E3369" t="s">
        <v>1561</v>
      </c>
      <c r="F3369" s="6"/>
      <c r="G3369" s="105" t="b">
        <f>VLOOKUP($I$3348,FS_input_data!$C$458:$N$648,Export!$J$3348,FALSE)=""</f>
        <v>0</v>
      </c>
      <c r="H3369" s="6" t="s">
        <v>2189</v>
      </c>
      <c r="I3369" t="s">
        <v>1561</v>
      </c>
      <c r="J3369" t="s">
        <v>1561</v>
      </c>
      <c r="L3369">
        <f t="shared" si="175"/>
        <v>1</v>
      </c>
    </row>
    <row r="3370" spans="1:12" x14ac:dyDescent="0.35">
      <c r="A3370">
        <f t="shared" si="176"/>
        <v>3369</v>
      </c>
      <c r="B3370" t="s">
        <v>743</v>
      </c>
      <c r="C3370" s="109" t="str">
        <f>IF(ISBLANK(K3370),IFERROR(VLOOKUP(I3370,FS_input_data!$C$458:$N$648,Export!J3370,FALSE),""),K3370)</f>
        <v/>
      </c>
      <c r="D3370" s="6"/>
      <c r="E3370" t="s">
        <v>1561</v>
      </c>
      <c r="F3370" s="6"/>
      <c r="G3370" s="105" t="b">
        <f>VLOOKUP($I$3348,FS_input_data!$C$458:$N$648,Export!$J$3348,FALSE)=""</f>
        <v>0</v>
      </c>
      <c r="H3370" s="6" t="s">
        <v>2189</v>
      </c>
      <c r="I3370" t="s">
        <v>1561</v>
      </c>
      <c r="J3370" t="s">
        <v>1561</v>
      </c>
      <c r="L3370">
        <f t="shared" si="175"/>
        <v>1</v>
      </c>
    </row>
    <row r="3371" spans="1:12" x14ac:dyDescent="0.35">
      <c r="A3371">
        <f t="shared" si="176"/>
        <v>3370</v>
      </c>
      <c r="B3371" t="s">
        <v>744</v>
      </c>
      <c r="C3371" s="109" t="str">
        <f>IF(ISBLANK(K3371),IFERROR(VLOOKUP(I3371,FS_input_data!$C$458:$N$648,Export!J3371,FALSE),""),K3371)</f>
        <v/>
      </c>
      <c r="D3371" s="6"/>
      <c r="E3371" t="s">
        <v>1561</v>
      </c>
      <c r="F3371" s="6"/>
      <c r="G3371" s="105" t="b">
        <f t="shared" ref="G3371:G3378" si="178">RP_tax</f>
        <v>1</v>
      </c>
      <c r="H3371" s="6" t="s">
        <v>2189</v>
      </c>
      <c r="I3371" t="s">
        <v>1561</v>
      </c>
      <c r="J3371" t="s">
        <v>1561</v>
      </c>
      <c r="L3371" s="9" t="e">
        <f t="shared" si="175"/>
        <v>#VALUE!</v>
      </c>
    </row>
    <row r="3372" spans="1:12" x14ac:dyDescent="0.35">
      <c r="A3372" s="9">
        <f t="shared" si="176"/>
        <v>3371</v>
      </c>
      <c r="B3372" t="s">
        <v>109</v>
      </c>
      <c r="C3372" s="109">
        <f>IF(ISBLANK(K3372),IFERROR(VLOOKUP(I3372,FS_input_data!$C$458:$N$648,Export!J3372,FALSE),""),K3372)</f>
        <v>26000</v>
      </c>
      <c r="D3372" s="6" t="b">
        <v>1</v>
      </c>
      <c r="E3372" t="s">
        <v>1561</v>
      </c>
      <c r="F3372" s="6"/>
      <c r="G3372" s="105" t="b">
        <f t="shared" si="178"/>
        <v>1</v>
      </c>
      <c r="H3372" s="6" t="s">
        <v>2189</v>
      </c>
      <c r="I3372" t="s">
        <v>1864</v>
      </c>
      <c r="J3372">
        <v>10</v>
      </c>
      <c r="L3372" s="9" t="e">
        <f t="shared" si="175"/>
        <v>#VALUE!</v>
      </c>
    </row>
    <row r="3373" spans="1:12" x14ac:dyDescent="0.35">
      <c r="A3373">
        <f t="shared" si="176"/>
        <v>3372</v>
      </c>
      <c r="B3373" t="s">
        <v>110</v>
      </c>
      <c r="C3373" s="109" t="str">
        <f>IF(ISBLANK(K3373),IFERROR(VLOOKUP(I3373,FS_input_data!$C$458:$N$648,Export!J3373,FALSE),""),K3373)</f>
        <v/>
      </c>
      <c r="D3373" s="6"/>
      <c r="E3373" t="s">
        <v>1561</v>
      </c>
      <c r="F3373" s="6"/>
      <c r="G3373" s="105" t="b">
        <f t="shared" si="178"/>
        <v>1</v>
      </c>
      <c r="H3373" s="6" t="s">
        <v>2189</v>
      </c>
      <c r="I3373" t="s">
        <v>1561</v>
      </c>
      <c r="J3373" t="s">
        <v>1561</v>
      </c>
      <c r="L3373">
        <f t="shared" si="175"/>
        <v>1</v>
      </c>
    </row>
    <row r="3374" spans="1:12" x14ac:dyDescent="0.35">
      <c r="A3374" s="9">
        <f t="shared" si="176"/>
        <v>3373</v>
      </c>
      <c r="B3374" t="s">
        <v>111</v>
      </c>
      <c r="C3374" s="109">
        <f>IF(ISBLANK(K3374),IFERROR(VLOOKUP(I3374,FS_input_data!$C$458:$N$648,Export!J3374,FALSE),""),K3374)</f>
        <v>13000</v>
      </c>
      <c r="D3374" s="6" t="b">
        <v>0</v>
      </c>
      <c r="E3374" t="s">
        <v>1561</v>
      </c>
      <c r="F3374" s="6"/>
      <c r="G3374" s="105" t="b">
        <f t="shared" si="178"/>
        <v>1</v>
      </c>
      <c r="H3374" s="6" t="s">
        <v>2189</v>
      </c>
      <c r="I3374" t="s">
        <v>1864</v>
      </c>
      <c r="J3374">
        <v>11</v>
      </c>
      <c r="L3374" s="9" t="e">
        <f t="shared" si="175"/>
        <v>#VALUE!</v>
      </c>
    </row>
    <row r="3375" spans="1:12" x14ac:dyDescent="0.35">
      <c r="A3375">
        <f t="shared" si="176"/>
        <v>3374</v>
      </c>
      <c r="B3375" t="s">
        <v>112</v>
      </c>
      <c r="C3375" s="109" t="str">
        <f>IF(ISBLANK(K3375),IFERROR(VLOOKUP(I3375,FS_input_data!$C$458:$N$648,Export!J3375,FALSE),""),K3375)</f>
        <v/>
      </c>
      <c r="D3375" s="6"/>
      <c r="E3375" t="s">
        <v>1561</v>
      </c>
      <c r="F3375" s="6"/>
      <c r="G3375" s="105" t="b">
        <f t="shared" si="178"/>
        <v>1</v>
      </c>
      <c r="H3375" s="6" t="s">
        <v>2189</v>
      </c>
      <c r="I3375" t="s">
        <v>1561</v>
      </c>
      <c r="J3375" t="s">
        <v>1561</v>
      </c>
      <c r="L3375">
        <f t="shared" si="175"/>
        <v>1</v>
      </c>
    </row>
    <row r="3376" spans="1:12" x14ac:dyDescent="0.35">
      <c r="A3376" s="9">
        <f t="shared" si="176"/>
        <v>3375</v>
      </c>
      <c r="B3376" t="s">
        <v>749</v>
      </c>
      <c r="C3376" s="109">
        <f>IF(ISBLANK(K3376),IFERROR(VLOOKUP(I3376,FS_input_data!$C$458:$N$648,Export!J3376,FALSE),""),K3376)</f>
        <v>13000</v>
      </c>
      <c r="D3376" s="6" t="b">
        <v>0</v>
      </c>
      <c r="E3376" t="s">
        <v>1561</v>
      </c>
      <c r="F3376" s="6"/>
      <c r="G3376" s="105" t="b">
        <f t="shared" si="178"/>
        <v>1</v>
      </c>
      <c r="H3376" s="6" t="s">
        <v>2189</v>
      </c>
      <c r="I3376" t="s">
        <v>1864</v>
      </c>
      <c r="J3376">
        <v>12</v>
      </c>
      <c r="L3376" s="9" t="e">
        <f t="shared" si="175"/>
        <v>#VALUE!</v>
      </c>
    </row>
    <row r="3377" spans="1:12" x14ac:dyDescent="0.35">
      <c r="A3377">
        <f t="shared" si="176"/>
        <v>3376</v>
      </c>
      <c r="B3377" t="s">
        <v>750</v>
      </c>
      <c r="C3377" s="109" t="str">
        <f>IF(ISBLANK(K3377),IFERROR(VLOOKUP(I3377,FS_input_data!$C$458:$N$648,Export!J3377,FALSE),""),K3377)</f>
        <v/>
      </c>
      <c r="D3377" s="6"/>
      <c r="E3377" t="s">
        <v>1561</v>
      </c>
      <c r="F3377" s="6"/>
      <c r="G3377" s="105" t="b">
        <f t="shared" si="178"/>
        <v>1</v>
      </c>
      <c r="H3377" s="6" t="s">
        <v>2189</v>
      </c>
      <c r="I3377" t="s">
        <v>1561</v>
      </c>
      <c r="J3377" t="s">
        <v>1561</v>
      </c>
      <c r="L3377">
        <f t="shared" si="175"/>
        <v>1</v>
      </c>
    </row>
    <row r="3378" spans="1:12" x14ac:dyDescent="0.35">
      <c r="A3378">
        <f t="shared" si="176"/>
        <v>3377</v>
      </c>
      <c r="B3378" t="s">
        <v>745</v>
      </c>
      <c r="C3378" s="109" t="str">
        <f>IF(ISBLANK(K3378),IFERROR(VLOOKUP(I3378,FS_input_data!$C$458:$N$648,Export!J3378,FALSE),""),K3378)</f>
        <v/>
      </c>
      <c r="D3378" s="6"/>
      <c r="E3378" t="s">
        <v>1561</v>
      </c>
      <c r="F3378" s="6"/>
      <c r="G3378" s="105" t="b">
        <f t="shared" si="178"/>
        <v>1</v>
      </c>
      <c r="H3378" s="6" t="s">
        <v>2189</v>
      </c>
      <c r="I3378" t="s">
        <v>1561</v>
      </c>
      <c r="J3378" t="s">
        <v>1561</v>
      </c>
      <c r="L3378">
        <f t="shared" si="175"/>
        <v>1</v>
      </c>
    </row>
    <row r="3379" spans="1:12" x14ac:dyDescent="0.35">
      <c r="A3379">
        <f t="shared" si="176"/>
        <v>3378</v>
      </c>
      <c r="B3379" t="s">
        <v>764</v>
      </c>
      <c r="C3379" s="109" t="str">
        <f>IF(ISBLANK(K3379),IFERROR(VLOOKUP(I3379,FS_input_data!$C$458:$N$648,Export!J3379,FALSE),""),K3379)</f>
        <v/>
      </c>
      <c r="D3379" s="6"/>
      <c r="E3379" t="s">
        <v>1561</v>
      </c>
      <c r="F3379" s="6"/>
      <c r="G3379" s="105" t="b">
        <f>VLOOKUP($I$3348,FS_input_data!$C$458:$N$648,Export!$J$3348,FALSE)=""</f>
        <v>0</v>
      </c>
      <c r="H3379" s="6" t="s">
        <v>2189</v>
      </c>
      <c r="I3379" t="s">
        <v>1561</v>
      </c>
      <c r="J3379" t="s">
        <v>1561</v>
      </c>
      <c r="L3379">
        <f t="shared" si="175"/>
        <v>1</v>
      </c>
    </row>
    <row r="3380" spans="1:12" x14ac:dyDescent="0.35">
      <c r="A3380">
        <f t="shared" si="176"/>
        <v>3379</v>
      </c>
      <c r="B3380" t="s">
        <v>765</v>
      </c>
      <c r="C3380" s="109" t="str">
        <f>IF(ISBLANK(K3380),IFERROR(VLOOKUP(I3380,FS_input_data!$C$458:$N$648,Export!J3380,FALSE),""),K3380)</f>
        <v/>
      </c>
      <c r="D3380" s="6"/>
      <c r="E3380" t="s">
        <v>1561</v>
      </c>
      <c r="F3380" s="6"/>
      <c r="G3380" s="105" t="b">
        <f>VLOOKUP($I$3348,FS_input_data!$C$458:$N$648,Export!$J$3348,FALSE)=""</f>
        <v>0</v>
      </c>
      <c r="H3380" s="6" t="s">
        <v>2189</v>
      </c>
      <c r="I3380" t="s">
        <v>1561</v>
      </c>
      <c r="J3380" t="s">
        <v>1561</v>
      </c>
      <c r="L3380">
        <f t="shared" si="175"/>
        <v>1</v>
      </c>
    </row>
    <row r="3381" spans="1:12" x14ac:dyDescent="0.35">
      <c r="A3381">
        <f t="shared" si="176"/>
        <v>3380</v>
      </c>
      <c r="B3381" t="s">
        <v>752</v>
      </c>
      <c r="C3381" s="109" t="str">
        <f>IF(ISBLANK(K3381),IFERROR(VLOOKUP(I3381,FS_input_data!$C$458:$N$648,Export!J3381,FALSE),""),K3381)</f>
        <v/>
      </c>
      <c r="D3381" s="6"/>
      <c r="E3381" t="s">
        <v>1561</v>
      </c>
      <c r="F3381" s="6"/>
      <c r="G3381" s="102" t="b">
        <f>VLOOKUP($I$3382,FS_input_data!$C$458:$N$648,Export!$J$3382,FALSE)=""</f>
        <v>0</v>
      </c>
      <c r="H3381" s="6" t="s">
        <v>2189</v>
      </c>
      <c r="I3381" t="s">
        <v>1561</v>
      </c>
      <c r="J3381" t="s">
        <v>1561</v>
      </c>
      <c r="L3381" s="9" t="e">
        <f t="shared" si="175"/>
        <v>#VALUE!</v>
      </c>
    </row>
    <row r="3382" spans="1:12" x14ac:dyDescent="0.35">
      <c r="A3382" s="9">
        <f t="shared" si="176"/>
        <v>3381</v>
      </c>
      <c r="B3382" t="s">
        <v>101</v>
      </c>
      <c r="C3382" s="109" t="str">
        <f>IF(ISBLANK(K3382),IFERROR(VLOOKUP(I3382,FS_input_data!$C$458:$N$648,Export!J3382,FALSE),""),K3382)</f>
        <v>OC5</v>
      </c>
      <c r="D3382" s="6" t="b">
        <v>1</v>
      </c>
      <c r="E3382" t="s">
        <v>1561</v>
      </c>
      <c r="F3382" s="6"/>
      <c r="G3382" s="102" t="b">
        <f>VLOOKUP($I$3382,FS_input_data!$C$458:$N$648,Export!$J$3382,FALSE)=""</f>
        <v>0</v>
      </c>
      <c r="H3382" s="6" t="s">
        <v>2189</v>
      </c>
      <c r="I3382" t="s">
        <v>1866</v>
      </c>
      <c r="J3382">
        <v>6</v>
      </c>
      <c r="L3382" s="9" t="e">
        <f t="shared" si="175"/>
        <v>#VALUE!</v>
      </c>
    </row>
    <row r="3383" spans="1:12" x14ac:dyDescent="0.35">
      <c r="A3383">
        <f t="shared" si="176"/>
        <v>3382</v>
      </c>
      <c r="B3383" t="s">
        <v>102</v>
      </c>
      <c r="C3383" s="109" t="str">
        <f>IF(ISBLANK(K3383),IFERROR(VLOOKUP(I3383,FS_input_data!$C$458:$N$648,Export!J3383,FALSE),""),K3383)</f>
        <v/>
      </c>
      <c r="D3383" s="6"/>
      <c r="E3383" t="s">
        <v>1561</v>
      </c>
      <c r="F3383" s="6"/>
      <c r="G3383" s="102" t="b">
        <f>VLOOKUP($I$3382,FS_input_data!$C$458:$N$648,Export!$J$3382,FALSE)=""</f>
        <v>0</v>
      </c>
      <c r="H3383" s="6" t="s">
        <v>2189</v>
      </c>
      <c r="I3383" t="s">
        <v>1561</v>
      </c>
      <c r="J3383" t="s">
        <v>1561</v>
      </c>
      <c r="L3383">
        <f t="shared" si="175"/>
        <v>1</v>
      </c>
    </row>
    <row r="3384" spans="1:12" x14ac:dyDescent="0.35">
      <c r="A3384">
        <f t="shared" si="176"/>
        <v>3383</v>
      </c>
      <c r="B3384" t="s">
        <v>753</v>
      </c>
      <c r="C3384" s="109" t="str">
        <f>IF(ISBLANK(K3384),IFERROR(VLOOKUP(I3384,FS_input_data!$C$458:$N$648,Export!J3384,FALSE),""),K3384)</f>
        <v/>
      </c>
      <c r="D3384" s="6"/>
      <c r="E3384" t="s">
        <v>1561</v>
      </c>
      <c r="F3384" s="6"/>
      <c r="G3384" s="102" t="b">
        <f>VLOOKUP($I$3382,FS_input_data!$C$458:$N$648,Export!$J$3382,FALSE)=""</f>
        <v>0</v>
      </c>
      <c r="H3384" s="6" t="s">
        <v>2189</v>
      </c>
      <c r="I3384" t="s">
        <v>1561</v>
      </c>
      <c r="J3384" t="s">
        <v>1561</v>
      </c>
      <c r="L3384" s="9" t="e">
        <f t="shared" si="175"/>
        <v>#VALUE!</v>
      </c>
    </row>
    <row r="3385" spans="1:12" x14ac:dyDescent="0.35">
      <c r="A3385">
        <f t="shared" si="176"/>
        <v>3384</v>
      </c>
      <c r="B3385" t="s">
        <v>742</v>
      </c>
      <c r="C3385" s="109" t="str">
        <f>IF(ISBLANK(K3385),IFERROR(VLOOKUP(I3385,FS_input_data!$C$458:$N$648,Export!J3385,FALSE),""),K3385)</f>
        <v/>
      </c>
      <c r="D3385" s="6"/>
      <c r="E3385" t="s">
        <v>1561</v>
      </c>
      <c r="F3385" s="6"/>
      <c r="G3385" s="102" t="b">
        <f>VLOOKUP($I$3382,FS_input_data!$C$458:$N$648,Export!$J$3382,FALSE)=""</f>
        <v>0</v>
      </c>
      <c r="H3385" s="6" t="s">
        <v>2189</v>
      </c>
      <c r="I3385" t="s">
        <v>1561</v>
      </c>
      <c r="J3385" t="s">
        <v>1561</v>
      </c>
      <c r="L3385" s="9" t="e">
        <f t="shared" si="175"/>
        <v>#VALUE!</v>
      </c>
    </row>
    <row r="3386" spans="1:12" x14ac:dyDescent="0.35">
      <c r="A3386">
        <f t="shared" si="176"/>
        <v>3385</v>
      </c>
      <c r="B3386" t="s">
        <v>748</v>
      </c>
      <c r="C3386" s="109" t="str">
        <f>IF(ISBLANK(K3386),IFERROR(VLOOKUP(I3386,FS_input_data!$C$458:$N$648,Export!J3386,FALSE),""),K3386)</f>
        <v/>
      </c>
      <c r="D3386" s="6"/>
      <c r="E3386" t="s">
        <v>1561</v>
      </c>
      <c r="F3386" s="6"/>
      <c r="G3386" s="102" t="b">
        <f>VLOOKUP($I$3382,FS_input_data!$C$458:$N$648,Export!$J$3382,FALSE)=""</f>
        <v>0</v>
      </c>
      <c r="H3386" s="6" t="s">
        <v>2189</v>
      </c>
      <c r="I3386" t="s">
        <v>1561</v>
      </c>
      <c r="J3386" t="s">
        <v>1561</v>
      </c>
      <c r="L3386" s="9" t="e">
        <f t="shared" si="175"/>
        <v>#VALUE!</v>
      </c>
    </row>
    <row r="3387" spans="1:12" x14ac:dyDescent="0.35">
      <c r="A3387" s="9">
        <f t="shared" si="176"/>
        <v>3386</v>
      </c>
      <c r="B3387" t="s">
        <v>109</v>
      </c>
      <c r="C3387" s="109">
        <f>IF(ISBLANK(K3387),IFERROR(VLOOKUP(I3387,FS_input_data!$C$458:$N$648,Export!J3387,FALSE),""),K3387)</f>
        <v>27000</v>
      </c>
      <c r="D3387" s="6" t="b">
        <v>1</v>
      </c>
      <c r="E3387" t="s">
        <v>1561</v>
      </c>
      <c r="F3387" s="6"/>
      <c r="G3387" s="102" t="b">
        <f>VLOOKUP($I$3382,FS_input_data!$C$458:$N$648,Export!$J$3382,FALSE)=""</f>
        <v>0</v>
      </c>
      <c r="H3387" s="6" t="s">
        <v>2189</v>
      </c>
      <c r="I3387" t="s">
        <v>1866</v>
      </c>
      <c r="J3387">
        <v>7</v>
      </c>
      <c r="L3387" s="9" t="e">
        <f t="shared" si="175"/>
        <v>#VALUE!</v>
      </c>
    </row>
    <row r="3388" spans="1:12" x14ac:dyDescent="0.35">
      <c r="A3388">
        <f t="shared" si="176"/>
        <v>3387</v>
      </c>
      <c r="B3388" t="s">
        <v>110</v>
      </c>
      <c r="C3388" s="109" t="str">
        <f>IF(ISBLANK(K3388),IFERROR(VLOOKUP(I3388,FS_input_data!$C$458:$N$648,Export!J3388,FALSE),""),K3388)</f>
        <v/>
      </c>
      <c r="D3388" s="6"/>
      <c r="E3388" t="s">
        <v>1561</v>
      </c>
      <c r="F3388" s="6"/>
      <c r="G3388" s="102" t="b">
        <f>VLOOKUP($I$3382,FS_input_data!$C$458:$N$648,Export!$J$3382,FALSE)=""</f>
        <v>0</v>
      </c>
      <c r="H3388" s="6" t="s">
        <v>2189</v>
      </c>
      <c r="I3388" t="s">
        <v>1561</v>
      </c>
      <c r="J3388" t="s">
        <v>1561</v>
      </c>
      <c r="L3388">
        <f t="shared" si="175"/>
        <v>1</v>
      </c>
    </row>
    <row r="3389" spans="1:12" x14ac:dyDescent="0.35">
      <c r="A3389" s="9">
        <f t="shared" si="176"/>
        <v>3388</v>
      </c>
      <c r="B3389" t="s">
        <v>111</v>
      </c>
      <c r="C3389" s="109">
        <f>IF(ISBLANK(K3389),IFERROR(VLOOKUP(I3389,FS_input_data!$C$458:$N$648,Export!J3389,FALSE),""),K3389)</f>
        <v>13500</v>
      </c>
      <c r="D3389" s="6" t="b">
        <v>0</v>
      </c>
      <c r="E3389" t="s">
        <v>1561</v>
      </c>
      <c r="F3389" s="6"/>
      <c r="G3389" s="102" t="b">
        <f>VLOOKUP($I$3382,FS_input_data!$C$458:$N$648,Export!$J$3382,FALSE)=""</f>
        <v>0</v>
      </c>
      <c r="H3389" s="6" t="s">
        <v>2189</v>
      </c>
      <c r="I3389" t="s">
        <v>1866</v>
      </c>
      <c r="J3389">
        <v>8</v>
      </c>
      <c r="L3389" s="9" t="e">
        <f t="shared" si="175"/>
        <v>#VALUE!</v>
      </c>
    </row>
    <row r="3390" spans="1:12" x14ac:dyDescent="0.35">
      <c r="A3390">
        <f t="shared" si="176"/>
        <v>3389</v>
      </c>
      <c r="B3390" t="s">
        <v>112</v>
      </c>
      <c r="C3390" s="109" t="str">
        <f>IF(ISBLANK(K3390),IFERROR(VLOOKUP(I3390,FS_input_data!$C$458:$N$648,Export!J3390,FALSE),""),K3390)</f>
        <v/>
      </c>
      <c r="D3390" s="6"/>
      <c r="E3390" t="s">
        <v>1561</v>
      </c>
      <c r="F3390" s="6"/>
      <c r="G3390" s="102" t="b">
        <f>VLOOKUP($I$3382,FS_input_data!$C$458:$N$648,Export!$J$3382,FALSE)=""</f>
        <v>0</v>
      </c>
      <c r="H3390" s="6" t="s">
        <v>2189</v>
      </c>
      <c r="I3390" t="s">
        <v>1561</v>
      </c>
      <c r="J3390" t="s">
        <v>1561</v>
      </c>
      <c r="L3390">
        <f t="shared" si="175"/>
        <v>1</v>
      </c>
    </row>
    <row r="3391" spans="1:12" x14ac:dyDescent="0.35">
      <c r="A3391" s="9">
        <f t="shared" si="176"/>
        <v>3390</v>
      </c>
      <c r="B3391" t="s">
        <v>749</v>
      </c>
      <c r="C3391" s="109">
        <f>IF(ISBLANK(K3391),IFERROR(VLOOKUP(I3391,FS_input_data!$C$458:$N$648,Export!J3391,FALSE),""),K3391)</f>
        <v>13500</v>
      </c>
      <c r="D3391" s="6" t="b">
        <v>0</v>
      </c>
      <c r="E3391" t="s">
        <v>1561</v>
      </c>
      <c r="F3391" s="6"/>
      <c r="G3391" s="102" t="b">
        <f>VLOOKUP($I$3382,FS_input_data!$C$458:$N$648,Export!$J$3382,FALSE)=""</f>
        <v>0</v>
      </c>
      <c r="H3391" s="6" t="s">
        <v>2189</v>
      </c>
      <c r="I3391" t="s">
        <v>1866</v>
      </c>
      <c r="J3391">
        <v>9</v>
      </c>
      <c r="L3391" s="9" t="e">
        <f t="shared" si="175"/>
        <v>#VALUE!</v>
      </c>
    </row>
    <row r="3392" spans="1:12" x14ac:dyDescent="0.35">
      <c r="A3392">
        <f t="shared" si="176"/>
        <v>3391</v>
      </c>
      <c r="B3392" t="s">
        <v>750</v>
      </c>
      <c r="C3392" s="109" t="str">
        <f>IF(ISBLANK(K3392),IFERROR(VLOOKUP(I3392,FS_input_data!$C$458:$N$648,Export!J3392,FALSE),""),K3392)</f>
        <v/>
      </c>
      <c r="D3392" s="6"/>
      <c r="E3392" t="s">
        <v>1561</v>
      </c>
      <c r="F3392" s="6"/>
      <c r="G3392" s="102" t="b">
        <f>VLOOKUP($I$3382,FS_input_data!$C$458:$N$648,Export!$J$3382,FALSE)=""</f>
        <v>0</v>
      </c>
      <c r="H3392" s="6" t="s">
        <v>2189</v>
      </c>
      <c r="I3392" t="s">
        <v>1561</v>
      </c>
      <c r="J3392" t="s">
        <v>1561</v>
      </c>
      <c r="L3392">
        <f t="shared" si="175"/>
        <v>1</v>
      </c>
    </row>
    <row r="3393" spans="1:12" x14ac:dyDescent="0.35">
      <c r="A3393">
        <f t="shared" si="176"/>
        <v>3392</v>
      </c>
      <c r="B3393" t="s">
        <v>751</v>
      </c>
      <c r="C3393" s="109" t="str">
        <f>IF(ISBLANK(K3393),IFERROR(VLOOKUP(I3393,FS_input_data!$C$458:$N$648,Export!J3393,FALSE),""),K3393)</f>
        <v/>
      </c>
      <c r="D3393" s="6"/>
      <c r="E3393" t="s">
        <v>1561</v>
      </c>
      <c r="F3393" s="6"/>
      <c r="G3393" s="102" t="b">
        <f>VLOOKUP($I$3382,FS_input_data!$C$458:$N$648,Export!$J$3382,FALSE)=""</f>
        <v>0</v>
      </c>
      <c r="H3393" s="6" t="s">
        <v>2189</v>
      </c>
      <c r="I3393" t="s">
        <v>1561</v>
      </c>
      <c r="J3393" t="s">
        <v>1561</v>
      </c>
      <c r="L3393">
        <f t="shared" si="175"/>
        <v>1</v>
      </c>
    </row>
    <row r="3394" spans="1:12" x14ac:dyDescent="0.35">
      <c r="A3394">
        <f t="shared" si="176"/>
        <v>3393</v>
      </c>
      <c r="B3394" t="s">
        <v>754</v>
      </c>
      <c r="C3394" s="109" t="str">
        <f>IF(ISBLANK(K3394),IFERROR(VLOOKUP(I3394,FS_input_data!$C$458:$N$648,Export!J3394,FALSE),""),K3394)</f>
        <v/>
      </c>
      <c r="D3394" s="6"/>
      <c r="E3394" t="s">
        <v>1561</v>
      </c>
      <c r="F3394" s="6"/>
      <c r="G3394" s="102" t="b">
        <f>VLOOKUP($I$3382,FS_input_data!$C$458:$N$648,Export!$J$3382,FALSE)=""</f>
        <v>0</v>
      </c>
      <c r="H3394" s="6" t="s">
        <v>2189</v>
      </c>
      <c r="I3394" t="s">
        <v>1561</v>
      </c>
      <c r="J3394" t="s">
        <v>1561</v>
      </c>
      <c r="L3394" s="9" t="e">
        <f t="shared" ref="L3394:L3457" si="179">FIND("/",B3394)</f>
        <v>#VALUE!</v>
      </c>
    </row>
    <row r="3395" spans="1:12" x14ac:dyDescent="0.35">
      <c r="A3395" s="9">
        <f t="shared" ref="A3395:A3458" si="180">A3394+1</f>
        <v>3394</v>
      </c>
      <c r="B3395" t="s">
        <v>755</v>
      </c>
      <c r="C3395" s="109">
        <f>IF(ISBLANK(K3395),IFERROR(VLOOKUP(I3395,FS_input_data!$C$458:$N$648,Export!J3395,FALSE),""),K3395)</f>
        <v>27</v>
      </c>
      <c r="D3395" s="6" t="b">
        <v>1</v>
      </c>
      <c r="E3395" t="s">
        <v>1561</v>
      </c>
      <c r="F3395" s="6"/>
      <c r="G3395" s="102" t="b">
        <f>VLOOKUP($I$3382,FS_input_data!$C$458:$N$648,Export!$J$3382,FALSE)=""</f>
        <v>0</v>
      </c>
      <c r="H3395" s="6" t="s">
        <v>2189</v>
      </c>
      <c r="I3395" t="s">
        <v>1866</v>
      </c>
      <c r="J3395">
        <v>2</v>
      </c>
      <c r="L3395" s="9" t="e">
        <f t="shared" si="179"/>
        <v>#VALUE!</v>
      </c>
    </row>
    <row r="3396" spans="1:12" x14ac:dyDescent="0.35">
      <c r="A3396">
        <f t="shared" si="180"/>
        <v>3395</v>
      </c>
      <c r="B3396" t="s">
        <v>756</v>
      </c>
      <c r="C3396" s="109" t="str">
        <f>IF(ISBLANK(K3396),IFERROR(VLOOKUP(I3396,FS_input_data!$C$458:$N$648,Export!J3396,FALSE),""),K3396)</f>
        <v/>
      </c>
      <c r="D3396" s="6"/>
      <c r="E3396" t="s">
        <v>1561</v>
      </c>
      <c r="F3396" s="6"/>
      <c r="G3396" s="102" t="b">
        <f>VLOOKUP($I$3382,FS_input_data!$C$458:$N$648,Export!$J$3382,FALSE)=""</f>
        <v>0</v>
      </c>
      <c r="H3396" s="6" t="s">
        <v>2189</v>
      </c>
      <c r="I3396" t="s">
        <v>1561</v>
      </c>
      <c r="J3396" t="s">
        <v>1561</v>
      </c>
      <c r="L3396">
        <f t="shared" si="179"/>
        <v>1</v>
      </c>
    </row>
    <row r="3397" spans="1:12" x14ac:dyDescent="0.35">
      <c r="A3397" s="9">
        <f t="shared" si="180"/>
        <v>3396</v>
      </c>
      <c r="B3397" t="s">
        <v>757</v>
      </c>
      <c r="C3397" s="109">
        <f>IF(ISBLANK(K3397),IFERROR(VLOOKUP(I3397,FS_input_data!$C$458:$N$648,Export!J3397,FALSE),""),K3397)</f>
        <v>127</v>
      </c>
      <c r="D3397" s="6" t="b">
        <v>0</v>
      </c>
      <c r="E3397" t="s">
        <v>1561</v>
      </c>
      <c r="F3397" s="6"/>
      <c r="G3397" s="102" t="b">
        <f>VLOOKUP($I$3382,FS_input_data!$C$458:$N$648,Export!$J$3382,FALSE)=""</f>
        <v>0</v>
      </c>
      <c r="H3397" s="6" t="s">
        <v>2189</v>
      </c>
      <c r="I3397" t="s">
        <v>1866</v>
      </c>
      <c r="J3397">
        <v>3</v>
      </c>
      <c r="L3397" s="9" t="e">
        <f t="shared" si="179"/>
        <v>#VALUE!</v>
      </c>
    </row>
    <row r="3398" spans="1:12" x14ac:dyDescent="0.35">
      <c r="A3398">
        <f t="shared" si="180"/>
        <v>3397</v>
      </c>
      <c r="B3398" t="s">
        <v>758</v>
      </c>
      <c r="C3398" s="109" t="str">
        <f>IF(ISBLANK(K3398),IFERROR(VLOOKUP(I3398,FS_input_data!$C$458:$N$648,Export!J3398,FALSE),""),K3398)</f>
        <v/>
      </c>
      <c r="D3398" s="6"/>
      <c r="E3398" t="s">
        <v>1561</v>
      </c>
      <c r="F3398" s="6"/>
      <c r="G3398" s="102" t="b">
        <f>VLOOKUP($I$3382,FS_input_data!$C$458:$N$648,Export!$J$3382,FALSE)=""</f>
        <v>0</v>
      </c>
      <c r="H3398" s="6" t="s">
        <v>2189</v>
      </c>
      <c r="I3398" t="s">
        <v>1561</v>
      </c>
      <c r="J3398" t="s">
        <v>1561</v>
      </c>
      <c r="L3398">
        <f t="shared" si="179"/>
        <v>1</v>
      </c>
    </row>
    <row r="3399" spans="1:12" x14ac:dyDescent="0.35">
      <c r="A3399" s="9">
        <f t="shared" si="180"/>
        <v>3398</v>
      </c>
      <c r="B3399" t="s">
        <v>759</v>
      </c>
      <c r="C3399" s="109">
        <f>IF(ISBLANK(K3399),IFERROR(VLOOKUP(I3399,FS_input_data!$C$458:$N$648,Export!J3399,FALSE),""),K3399)</f>
        <v>227</v>
      </c>
      <c r="D3399" s="6" t="b">
        <v>0</v>
      </c>
      <c r="E3399" t="s">
        <v>1561</v>
      </c>
      <c r="F3399" s="6"/>
      <c r="G3399" s="102" t="b">
        <f>VLOOKUP($I$3382,FS_input_data!$C$458:$N$648,Export!$J$3382,FALSE)=""</f>
        <v>0</v>
      </c>
      <c r="H3399" s="6" t="s">
        <v>2189</v>
      </c>
      <c r="I3399" t="s">
        <v>1866</v>
      </c>
      <c r="J3399">
        <v>4</v>
      </c>
      <c r="L3399" s="9" t="e">
        <f t="shared" si="179"/>
        <v>#VALUE!</v>
      </c>
    </row>
    <row r="3400" spans="1:12" x14ac:dyDescent="0.35">
      <c r="A3400">
        <f t="shared" si="180"/>
        <v>3399</v>
      </c>
      <c r="B3400" t="s">
        <v>760</v>
      </c>
      <c r="C3400" s="109" t="str">
        <f>IF(ISBLANK(K3400),IFERROR(VLOOKUP(I3400,FS_input_data!$C$458:$N$648,Export!J3400,FALSE),""),K3400)</f>
        <v/>
      </c>
      <c r="D3400" s="6"/>
      <c r="E3400" t="s">
        <v>1561</v>
      </c>
      <c r="F3400" s="6"/>
      <c r="G3400" s="102" t="b">
        <f>VLOOKUP($I$3382,FS_input_data!$C$458:$N$648,Export!$J$3382,FALSE)=""</f>
        <v>0</v>
      </c>
      <c r="H3400" s="6" t="s">
        <v>2189</v>
      </c>
      <c r="I3400" t="s">
        <v>1561</v>
      </c>
      <c r="J3400" t="s">
        <v>1561</v>
      </c>
      <c r="L3400">
        <f t="shared" si="179"/>
        <v>1</v>
      </c>
    </row>
    <row r="3401" spans="1:12" x14ac:dyDescent="0.35">
      <c r="A3401" s="9">
        <f t="shared" si="180"/>
        <v>3400</v>
      </c>
      <c r="B3401" t="s">
        <v>761</v>
      </c>
      <c r="C3401" s="109" t="str">
        <f>IF(ISBLANK(K3401),IFERROR(VLOOKUP(I3401,FS_input_data!$C$458:$N$648,Export!J3401,FALSE),""),K3401)</f>
        <v>f</v>
      </c>
      <c r="D3401" s="6"/>
      <c r="E3401" t="s">
        <v>1561</v>
      </c>
      <c r="F3401" s="6"/>
      <c r="G3401" s="102" t="b">
        <f>VLOOKUP($I$3382,FS_input_data!$C$458:$N$648,Export!$J$3382,FALSE)=""</f>
        <v>0</v>
      </c>
      <c r="H3401" s="6" t="s">
        <v>2189</v>
      </c>
      <c r="I3401" t="s">
        <v>1866</v>
      </c>
      <c r="J3401">
        <v>5</v>
      </c>
      <c r="L3401" s="9" t="e">
        <f t="shared" si="179"/>
        <v>#VALUE!</v>
      </c>
    </row>
    <row r="3402" spans="1:12" x14ac:dyDescent="0.35">
      <c r="A3402">
        <f t="shared" si="180"/>
        <v>3401</v>
      </c>
      <c r="B3402" t="s">
        <v>762</v>
      </c>
      <c r="C3402" s="109" t="str">
        <f>IF(ISBLANK(K3402),IFERROR(VLOOKUP(I3402,FS_input_data!$C$458:$N$648,Export!J3402,FALSE),""),K3402)</f>
        <v/>
      </c>
      <c r="D3402" s="6"/>
      <c r="E3402" t="s">
        <v>1561</v>
      </c>
      <c r="F3402" s="6"/>
      <c r="G3402" s="102" t="b">
        <f>VLOOKUP($I$3382,FS_input_data!$C$458:$N$648,Export!$J$3382,FALSE)=""</f>
        <v>0</v>
      </c>
      <c r="H3402" s="6" t="s">
        <v>2189</v>
      </c>
      <c r="I3402" t="s">
        <v>1561</v>
      </c>
      <c r="J3402" t="s">
        <v>1561</v>
      </c>
      <c r="L3402">
        <f t="shared" si="179"/>
        <v>1</v>
      </c>
    </row>
    <row r="3403" spans="1:12" x14ac:dyDescent="0.35">
      <c r="A3403">
        <f t="shared" si="180"/>
        <v>3402</v>
      </c>
      <c r="B3403" t="s">
        <v>763</v>
      </c>
      <c r="C3403" s="109" t="str">
        <f>IF(ISBLANK(K3403),IFERROR(VLOOKUP(I3403,FS_input_data!$C$458:$N$648,Export!J3403,FALSE),""),K3403)</f>
        <v/>
      </c>
      <c r="D3403" s="6"/>
      <c r="E3403" t="s">
        <v>1561</v>
      </c>
      <c r="F3403" s="6"/>
      <c r="G3403" s="102" t="b">
        <f>VLOOKUP($I$3382,FS_input_data!$C$458:$N$648,Export!$J$3382,FALSE)=""</f>
        <v>0</v>
      </c>
      <c r="H3403" s="6" t="s">
        <v>2189</v>
      </c>
      <c r="I3403" t="s">
        <v>1561</v>
      </c>
      <c r="J3403" t="s">
        <v>1561</v>
      </c>
      <c r="L3403">
        <f t="shared" si="179"/>
        <v>1</v>
      </c>
    </row>
    <row r="3404" spans="1:12" x14ac:dyDescent="0.35">
      <c r="A3404">
        <f t="shared" si="180"/>
        <v>3403</v>
      </c>
      <c r="B3404" t="s">
        <v>743</v>
      </c>
      <c r="C3404" s="109" t="str">
        <f>IF(ISBLANK(K3404),IFERROR(VLOOKUP(I3404,FS_input_data!$C$458:$N$648,Export!J3404,FALSE),""),K3404)</f>
        <v/>
      </c>
      <c r="D3404" s="6"/>
      <c r="E3404" t="s">
        <v>1561</v>
      </c>
      <c r="F3404" s="6"/>
      <c r="G3404" s="102" t="b">
        <f>VLOOKUP($I$3382,FS_input_data!$C$458:$N$648,Export!$J$3382,FALSE)=""</f>
        <v>0</v>
      </c>
      <c r="H3404" s="6" t="s">
        <v>2189</v>
      </c>
      <c r="I3404" t="s">
        <v>1561</v>
      </c>
      <c r="J3404" t="s">
        <v>1561</v>
      </c>
      <c r="L3404">
        <f t="shared" si="179"/>
        <v>1</v>
      </c>
    </row>
    <row r="3405" spans="1:12" x14ac:dyDescent="0.35">
      <c r="A3405">
        <f t="shared" si="180"/>
        <v>3404</v>
      </c>
      <c r="B3405" t="s">
        <v>744</v>
      </c>
      <c r="C3405" s="109" t="str">
        <f>IF(ISBLANK(K3405),IFERROR(VLOOKUP(I3405,FS_input_data!$C$458:$N$648,Export!J3405,FALSE),""),K3405)</f>
        <v/>
      </c>
      <c r="D3405" s="6"/>
      <c r="E3405" t="s">
        <v>1561</v>
      </c>
      <c r="F3405" s="6"/>
      <c r="G3405" s="6" t="b">
        <f t="shared" ref="G3405:G3412" si="181">RP_tax</f>
        <v>1</v>
      </c>
      <c r="H3405" s="6" t="s">
        <v>2189</v>
      </c>
      <c r="I3405" t="s">
        <v>1561</v>
      </c>
      <c r="J3405" t="s">
        <v>1561</v>
      </c>
      <c r="L3405" s="9" t="e">
        <f t="shared" si="179"/>
        <v>#VALUE!</v>
      </c>
    </row>
    <row r="3406" spans="1:12" x14ac:dyDescent="0.35">
      <c r="A3406" s="9">
        <f t="shared" si="180"/>
        <v>3405</v>
      </c>
      <c r="B3406" t="s">
        <v>109</v>
      </c>
      <c r="C3406" s="109">
        <f>IF(ISBLANK(K3406),IFERROR(VLOOKUP(I3406,FS_input_data!$C$458:$N$648,Export!J3406,FALSE),""),K3406)</f>
        <v>27000</v>
      </c>
      <c r="D3406" s="6" t="b">
        <v>1</v>
      </c>
      <c r="E3406" t="s">
        <v>1561</v>
      </c>
      <c r="F3406" s="6"/>
      <c r="G3406" s="6" t="b">
        <f t="shared" si="181"/>
        <v>1</v>
      </c>
      <c r="H3406" s="6" t="s">
        <v>2189</v>
      </c>
      <c r="I3406" t="s">
        <v>1866</v>
      </c>
      <c r="J3406">
        <v>10</v>
      </c>
      <c r="L3406" s="9" t="e">
        <f t="shared" si="179"/>
        <v>#VALUE!</v>
      </c>
    </row>
    <row r="3407" spans="1:12" x14ac:dyDescent="0.35">
      <c r="A3407">
        <f t="shared" si="180"/>
        <v>3406</v>
      </c>
      <c r="B3407" t="s">
        <v>110</v>
      </c>
      <c r="C3407" s="109" t="str">
        <f>IF(ISBLANK(K3407),IFERROR(VLOOKUP(I3407,FS_input_data!$C$458:$N$648,Export!J3407,FALSE),""),K3407)</f>
        <v/>
      </c>
      <c r="D3407" s="6"/>
      <c r="E3407" t="s">
        <v>1561</v>
      </c>
      <c r="F3407" s="6"/>
      <c r="G3407" s="6" t="b">
        <f t="shared" si="181"/>
        <v>1</v>
      </c>
      <c r="H3407" s="6" t="s">
        <v>2189</v>
      </c>
      <c r="I3407" t="s">
        <v>1561</v>
      </c>
      <c r="J3407" t="s">
        <v>1561</v>
      </c>
      <c r="L3407">
        <f t="shared" si="179"/>
        <v>1</v>
      </c>
    </row>
    <row r="3408" spans="1:12" x14ac:dyDescent="0.35">
      <c r="A3408" s="9">
        <f t="shared" si="180"/>
        <v>3407</v>
      </c>
      <c r="B3408" t="s">
        <v>111</v>
      </c>
      <c r="C3408" s="109">
        <f>IF(ISBLANK(K3408),IFERROR(VLOOKUP(I3408,FS_input_data!$C$458:$N$648,Export!J3408,FALSE),""),K3408)</f>
        <v>13500</v>
      </c>
      <c r="D3408" s="6" t="b">
        <v>0</v>
      </c>
      <c r="E3408" t="s">
        <v>1561</v>
      </c>
      <c r="F3408" s="6"/>
      <c r="G3408" s="6" t="b">
        <f t="shared" si="181"/>
        <v>1</v>
      </c>
      <c r="H3408" s="6" t="s">
        <v>2189</v>
      </c>
      <c r="I3408" t="s">
        <v>1866</v>
      </c>
      <c r="J3408">
        <v>11</v>
      </c>
      <c r="L3408" s="9" t="e">
        <f t="shared" si="179"/>
        <v>#VALUE!</v>
      </c>
    </row>
    <row r="3409" spans="1:12" x14ac:dyDescent="0.35">
      <c r="A3409">
        <f t="shared" si="180"/>
        <v>3408</v>
      </c>
      <c r="B3409" t="s">
        <v>112</v>
      </c>
      <c r="C3409" s="109" t="str">
        <f>IF(ISBLANK(K3409),IFERROR(VLOOKUP(I3409,FS_input_data!$C$458:$N$648,Export!J3409,FALSE),""),K3409)</f>
        <v/>
      </c>
      <c r="D3409" s="6"/>
      <c r="E3409" t="s">
        <v>1561</v>
      </c>
      <c r="F3409" s="6"/>
      <c r="G3409" s="6" t="b">
        <f t="shared" si="181"/>
        <v>1</v>
      </c>
      <c r="H3409" s="6" t="s">
        <v>2189</v>
      </c>
      <c r="I3409" t="s">
        <v>1561</v>
      </c>
      <c r="J3409" t="s">
        <v>1561</v>
      </c>
      <c r="L3409">
        <f t="shared" si="179"/>
        <v>1</v>
      </c>
    </row>
    <row r="3410" spans="1:12" x14ac:dyDescent="0.35">
      <c r="A3410" s="9">
        <f t="shared" si="180"/>
        <v>3409</v>
      </c>
      <c r="B3410" t="s">
        <v>749</v>
      </c>
      <c r="C3410" s="109">
        <f>IF(ISBLANK(K3410),IFERROR(VLOOKUP(I3410,FS_input_data!$C$458:$N$648,Export!J3410,FALSE),""),K3410)</f>
        <v>13500</v>
      </c>
      <c r="D3410" s="6" t="b">
        <v>0</v>
      </c>
      <c r="E3410" t="s">
        <v>1561</v>
      </c>
      <c r="F3410" s="6"/>
      <c r="G3410" s="6" t="b">
        <f t="shared" si="181"/>
        <v>1</v>
      </c>
      <c r="H3410" s="6" t="s">
        <v>2189</v>
      </c>
      <c r="I3410" t="s">
        <v>1866</v>
      </c>
      <c r="J3410">
        <v>12</v>
      </c>
      <c r="L3410" s="9" t="e">
        <f t="shared" si="179"/>
        <v>#VALUE!</v>
      </c>
    </row>
    <row r="3411" spans="1:12" x14ac:dyDescent="0.35">
      <c r="A3411">
        <f t="shared" si="180"/>
        <v>3410</v>
      </c>
      <c r="B3411" t="s">
        <v>750</v>
      </c>
      <c r="C3411" s="109" t="str">
        <f>IF(ISBLANK(K3411),IFERROR(VLOOKUP(I3411,FS_input_data!$C$458:$N$648,Export!J3411,FALSE),""),K3411)</f>
        <v/>
      </c>
      <c r="D3411" s="6"/>
      <c r="E3411" t="s">
        <v>1561</v>
      </c>
      <c r="F3411" s="6"/>
      <c r="G3411" s="6" t="b">
        <f t="shared" si="181"/>
        <v>1</v>
      </c>
      <c r="H3411" s="6" t="s">
        <v>2189</v>
      </c>
      <c r="I3411" t="s">
        <v>1561</v>
      </c>
      <c r="J3411" t="s">
        <v>1561</v>
      </c>
      <c r="L3411">
        <f t="shared" si="179"/>
        <v>1</v>
      </c>
    </row>
    <row r="3412" spans="1:12" x14ac:dyDescent="0.35">
      <c r="A3412">
        <f t="shared" si="180"/>
        <v>3411</v>
      </c>
      <c r="B3412" t="s">
        <v>745</v>
      </c>
      <c r="C3412" s="109" t="str">
        <f>IF(ISBLANK(K3412),IFERROR(VLOOKUP(I3412,FS_input_data!$C$458:$N$648,Export!J3412,FALSE),""),K3412)</f>
        <v/>
      </c>
      <c r="D3412" s="6"/>
      <c r="E3412" t="s">
        <v>1561</v>
      </c>
      <c r="F3412" s="6"/>
      <c r="G3412" s="6" t="b">
        <f t="shared" si="181"/>
        <v>1</v>
      </c>
      <c r="H3412" s="6" t="s">
        <v>2189</v>
      </c>
      <c r="I3412" t="s">
        <v>1561</v>
      </c>
      <c r="J3412" t="s">
        <v>1561</v>
      </c>
      <c r="L3412">
        <f t="shared" si="179"/>
        <v>1</v>
      </c>
    </row>
    <row r="3413" spans="1:12" x14ac:dyDescent="0.35">
      <c r="A3413">
        <f t="shared" si="180"/>
        <v>3412</v>
      </c>
      <c r="B3413" t="s">
        <v>764</v>
      </c>
      <c r="C3413" s="109" t="str">
        <f>IF(ISBLANK(K3413),IFERROR(VLOOKUP(I3413,FS_input_data!$C$458:$N$648,Export!J3413,FALSE),""),K3413)</f>
        <v/>
      </c>
      <c r="D3413" s="6"/>
      <c r="E3413" t="s">
        <v>1561</v>
      </c>
      <c r="F3413" s="6"/>
      <c r="G3413" s="102" t="b">
        <f>VLOOKUP($I$3382,FS_input_data!$C$458:$N$648,Export!$J$3382,FALSE)=""</f>
        <v>0</v>
      </c>
      <c r="H3413" s="6" t="s">
        <v>2189</v>
      </c>
      <c r="I3413" t="s">
        <v>1561</v>
      </c>
      <c r="J3413" t="s">
        <v>1561</v>
      </c>
      <c r="L3413">
        <f t="shared" si="179"/>
        <v>1</v>
      </c>
    </row>
    <row r="3414" spans="1:12" x14ac:dyDescent="0.35">
      <c r="A3414">
        <f t="shared" si="180"/>
        <v>3413</v>
      </c>
      <c r="B3414" t="s">
        <v>765</v>
      </c>
      <c r="C3414" s="109" t="str">
        <f>IF(ISBLANK(K3414),IFERROR(VLOOKUP(I3414,FS_input_data!$C$458:$N$648,Export!J3414,FALSE),""),K3414)</f>
        <v/>
      </c>
      <c r="D3414" s="6"/>
      <c r="E3414" t="s">
        <v>1561</v>
      </c>
      <c r="F3414" s="6"/>
      <c r="G3414" s="102" t="b">
        <f>VLOOKUP($I$3382,FS_input_data!$C$458:$N$648,Export!$J$3382,FALSE)=""</f>
        <v>0</v>
      </c>
      <c r="H3414" s="6" t="s">
        <v>2189</v>
      </c>
      <c r="I3414" t="s">
        <v>1561</v>
      </c>
      <c r="J3414" t="s">
        <v>1561</v>
      </c>
      <c r="L3414">
        <f t="shared" si="179"/>
        <v>1</v>
      </c>
    </row>
    <row r="3415" spans="1:12" x14ac:dyDescent="0.35">
      <c r="A3415">
        <f t="shared" si="180"/>
        <v>3414</v>
      </c>
      <c r="B3415" t="s">
        <v>752</v>
      </c>
      <c r="C3415" s="109" t="str">
        <f>IF(ISBLANK(K3415),IFERROR(VLOOKUP(I3415,FS_input_data!$C$458:$N$648,Export!J3415,FALSE),""),K3415)</f>
        <v/>
      </c>
      <c r="D3415" s="6"/>
      <c r="E3415" t="s">
        <v>1561</v>
      </c>
      <c r="F3415" s="6"/>
      <c r="G3415" s="105" t="b">
        <f>VLOOKUP($I$3416,FS_input_data!$C$458:$N$648,Export!$J$3416,FALSE)=""</f>
        <v>0</v>
      </c>
      <c r="H3415" s="6" t="s">
        <v>2189</v>
      </c>
      <c r="I3415" t="s">
        <v>1561</v>
      </c>
      <c r="J3415" t="s">
        <v>1561</v>
      </c>
      <c r="L3415" s="9" t="e">
        <f t="shared" si="179"/>
        <v>#VALUE!</v>
      </c>
    </row>
    <row r="3416" spans="1:12" x14ac:dyDescent="0.35">
      <c r="A3416" s="9">
        <f t="shared" si="180"/>
        <v>3415</v>
      </c>
      <c r="B3416" t="s">
        <v>101</v>
      </c>
      <c r="C3416" s="109" t="str">
        <f>IF(ISBLANK(K3416),IFERROR(VLOOKUP(I3416,FS_input_data!$C$458:$N$648,Export!J3416,FALSE),""),K3416)</f>
        <v>OC6</v>
      </c>
      <c r="D3416" s="6" t="b">
        <v>1</v>
      </c>
      <c r="E3416" t="s">
        <v>1561</v>
      </c>
      <c r="F3416" s="6"/>
      <c r="G3416" s="105" t="b">
        <f>VLOOKUP($I$3416,FS_input_data!$C$458:$N$648,Export!$J$3416,FALSE)=""</f>
        <v>0</v>
      </c>
      <c r="H3416" s="6" t="s">
        <v>2189</v>
      </c>
      <c r="I3416" t="s">
        <v>1868</v>
      </c>
      <c r="J3416">
        <v>6</v>
      </c>
      <c r="L3416" s="9" t="e">
        <f t="shared" si="179"/>
        <v>#VALUE!</v>
      </c>
    </row>
    <row r="3417" spans="1:12" x14ac:dyDescent="0.35">
      <c r="A3417">
        <f t="shared" si="180"/>
        <v>3416</v>
      </c>
      <c r="B3417" t="s">
        <v>102</v>
      </c>
      <c r="C3417" s="109" t="str">
        <f>IF(ISBLANK(K3417),IFERROR(VLOOKUP(I3417,FS_input_data!$C$458:$N$648,Export!J3417,FALSE),""),K3417)</f>
        <v/>
      </c>
      <c r="D3417" s="6"/>
      <c r="E3417" t="s">
        <v>1561</v>
      </c>
      <c r="F3417" s="6"/>
      <c r="G3417" s="105" t="b">
        <f>VLOOKUP($I$3416,FS_input_data!$C$458:$N$648,Export!$J$3416,FALSE)=""</f>
        <v>0</v>
      </c>
      <c r="H3417" s="6" t="s">
        <v>2189</v>
      </c>
      <c r="I3417" t="s">
        <v>1561</v>
      </c>
      <c r="J3417" t="s">
        <v>1561</v>
      </c>
      <c r="L3417">
        <f t="shared" si="179"/>
        <v>1</v>
      </c>
    </row>
    <row r="3418" spans="1:12" x14ac:dyDescent="0.35">
      <c r="A3418">
        <f t="shared" si="180"/>
        <v>3417</v>
      </c>
      <c r="B3418" t="s">
        <v>753</v>
      </c>
      <c r="C3418" s="109" t="str">
        <f>IF(ISBLANK(K3418),IFERROR(VLOOKUP(I3418,FS_input_data!$C$458:$N$648,Export!J3418,FALSE),""),K3418)</f>
        <v/>
      </c>
      <c r="D3418" s="6"/>
      <c r="E3418" t="s">
        <v>1561</v>
      </c>
      <c r="F3418" s="6"/>
      <c r="G3418" s="105" t="b">
        <f>VLOOKUP($I$3416,FS_input_data!$C$458:$N$648,Export!$J$3416,FALSE)=""</f>
        <v>0</v>
      </c>
      <c r="H3418" s="6" t="s">
        <v>2189</v>
      </c>
      <c r="I3418" t="s">
        <v>1561</v>
      </c>
      <c r="J3418" t="s">
        <v>1561</v>
      </c>
      <c r="L3418" s="9" t="e">
        <f t="shared" si="179"/>
        <v>#VALUE!</v>
      </c>
    </row>
    <row r="3419" spans="1:12" x14ac:dyDescent="0.35">
      <c r="A3419">
        <f t="shared" si="180"/>
        <v>3418</v>
      </c>
      <c r="B3419" t="s">
        <v>742</v>
      </c>
      <c r="C3419" s="109" t="str">
        <f>IF(ISBLANK(K3419),IFERROR(VLOOKUP(I3419,FS_input_data!$C$458:$N$648,Export!J3419,FALSE),""),K3419)</f>
        <v/>
      </c>
      <c r="D3419" s="6"/>
      <c r="E3419" t="s">
        <v>1561</v>
      </c>
      <c r="F3419" s="6"/>
      <c r="G3419" s="105" t="b">
        <f>VLOOKUP($I$3416,FS_input_data!$C$458:$N$648,Export!$J$3416,FALSE)=""</f>
        <v>0</v>
      </c>
      <c r="H3419" s="6" t="s">
        <v>2189</v>
      </c>
      <c r="I3419" t="s">
        <v>1561</v>
      </c>
      <c r="J3419" t="s">
        <v>1561</v>
      </c>
      <c r="L3419" s="9" t="e">
        <f t="shared" si="179"/>
        <v>#VALUE!</v>
      </c>
    </row>
    <row r="3420" spans="1:12" x14ac:dyDescent="0.35">
      <c r="A3420">
        <f t="shared" si="180"/>
        <v>3419</v>
      </c>
      <c r="B3420" t="s">
        <v>748</v>
      </c>
      <c r="C3420" s="109" t="str">
        <f>IF(ISBLANK(K3420),IFERROR(VLOOKUP(I3420,FS_input_data!$C$458:$N$648,Export!J3420,FALSE),""),K3420)</f>
        <v/>
      </c>
      <c r="D3420" s="6"/>
      <c r="E3420" t="s">
        <v>1561</v>
      </c>
      <c r="F3420" s="6"/>
      <c r="G3420" s="105" t="b">
        <f>VLOOKUP($I$3416,FS_input_data!$C$458:$N$648,Export!$J$3416,FALSE)=""</f>
        <v>0</v>
      </c>
      <c r="H3420" s="6" t="s">
        <v>2189</v>
      </c>
      <c r="I3420" t="s">
        <v>1561</v>
      </c>
      <c r="J3420" t="s">
        <v>1561</v>
      </c>
      <c r="L3420" s="9" t="e">
        <f t="shared" si="179"/>
        <v>#VALUE!</v>
      </c>
    </row>
    <row r="3421" spans="1:12" x14ac:dyDescent="0.35">
      <c r="A3421" s="9">
        <f t="shared" si="180"/>
        <v>3420</v>
      </c>
      <c r="B3421" t="s">
        <v>109</v>
      </c>
      <c r="C3421" s="109">
        <f>IF(ISBLANK(K3421),IFERROR(VLOOKUP(I3421,FS_input_data!$C$458:$N$648,Export!J3421,FALSE),""),K3421)</f>
        <v>28000</v>
      </c>
      <c r="D3421" s="6" t="b">
        <v>1</v>
      </c>
      <c r="E3421" t="s">
        <v>1561</v>
      </c>
      <c r="F3421" s="6"/>
      <c r="G3421" s="105" t="b">
        <f>VLOOKUP($I$3416,FS_input_data!$C$458:$N$648,Export!$J$3416,FALSE)=""</f>
        <v>0</v>
      </c>
      <c r="H3421" s="6" t="s">
        <v>2189</v>
      </c>
      <c r="I3421" t="s">
        <v>1868</v>
      </c>
      <c r="J3421">
        <v>7</v>
      </c>
      <c r="L3421" s="9" t="e">
        <f t="shared" si="179"/>
        <v>#VALUE!</v>
      </c>
    </row>
    <row r="3422" spans="1:12" x14ac:dyDescent="0.35">
      <c r="A3422">
        <f t="shared" si="180"/>
        <v>3421</v>
      </c>
      <c r="B3422" t="s">
        <v>110</v>
      </c>
      <c r="C3422" s="109" t="str">
        <f>IF(ISBLANK(K3422),IFERROR(VLOOKUP(I3422,FS_input_data!$C$458:$N$648,Export!J3422,FALSE),""),K3422)</f>
        <v/>
      </c>
      <c r="D3422" s="6"/>
      <c r="E3422" t="s">
        <v>1561</v>
      </c>
      <c r="F3422" s="6"/>
      <c r="G3422" s="105" t="b">
        <f>VLOOKUP($I$3416,FS_input_data!$C$458:$N$648,Export!$J$3416,FALSE)=""</f>
        <v>0</v>
      </c>
      <c r="H3422" s="6" t="s">
        <v>2189</v>
      </c>
      <c r="I3422" t="s">
        <v>1561</v>
      </c>
      <c r="J3422" t="s">
        <v>1561</v>
      </c>
      <c r="L3422">
        <f t="shared" si="179"/>
        <v>1</v>
      </c>
    </row>
    <row r="3423" spans="1:12" x14ac:dyDescent="0.35">
      <c r="A3423" s="9">
        <f t="shared" si="180"/>
        <v>3422</v>
      </c>
      <c r="B3423" t="s">
        <v>111</v>
      </c>
      <c r="C3423" s="109">
        <f>IF(ISBLANK(K3423),IFERROR(VLOOKUP(I3423,FS_input_data!$C$458:$N$648,Export!J3423,FALSE),""),K3423)</f>
        <v>14000</v>
      </c>
      <c r="D3423" s="6" t="b">
        <v>0</v>
      </c>
      <c r="E3423" t="s">
        <v>1561</v>
      </c>
      <c r="F3423" s="6"/>
      <c r="G3423" s="105" t="b">
        <f>VLOOKUP($I$3416,FS_input_data!$C$458:$N$648,Export!$J$3416,FALSE)=""</f>
        <v>0</v>
      </c>
      <c r="H3423" s="6" t="s">
        <v>2189</v>
      </c>
      <c r="I3423" t="s">
        <v>1868</v>
      </c>
      <c r="J3423">
        <v>8</v>
      </c>
      <c r="L3423" s="9" t="e">
        <f t="shared" si="179"/>
        <v>#VALUE!</v>
      </c>
    </row>
    <row r="3424" spans="1:12" x14ac:dyDescent="0.35">
      <c r="A3424">
        <f t="shared" si="180"/>
        <v>3423</v>
      </c>
      <c r="B3424" t="s">
        <v>112</v>
      </c>
      <c r="C3424" s="109" t="str">
        <f>IF(ISBLANK(K3424),IFERROR(VLOOKUP(I3424,FS_input_data!$C$458:$N$648,Export!J3424,FALSE),""),K3424)</f>
        <v/>
      </c>
      <c r="D3424" s="6"/>
      <c r="E3424" t="s">
        <v>1561</v>
      </c>
      <c r="F3424" s="6"/>
      <c r="G3424" s="105" t="b">
        <f>VLOOKUP($I$3416,FS_input_data!$C$458:$N$648,Export!$J$3416,FALSE)=""</f>
        <v>0</v>
      </c>
      <c r="H3424" s="6" t="s">
        <v>2189</v>
      </c>
      <c r="I3424" t="s">
        <v>1561</v>
      </c>
      <c r="J3424" t="s">
        <v>1561</v>
      </c>
      <c r="L3424">
        <f t="shared" si="179"/>
        <v>1</v>
      </c>
    </row>
    <row r="3425" spans="1:12" x14ac:dyDescent="0.35">
      <c r="A3425" s="9">
        <f t="shared" si="180"/>
        <v>3424</v>
      </c>
      <c r="B3425" t="s">
        <v>749</v>
      </c>
      <c r="C3425" s="109">
        <f>IF(ISBLANK(K3425),IFERROR(VLOOKUP(I3425,FS_input_data!$C$458:$N$648,Export!J3425,FALSE),""),K3425)</f>
        <v>14000</v>
      </c>
      <c r="D3425" s="6" t="b">
        <v>0</v>
      </c>
      <c r="E3425" t="s">
        <v>1561</v>
      </c>
      <c r="F3425" s="6"/>
      <c r="G3425" s="105" t="b">
        <f>VLOOKUP($I$3416,FS_input_data!$C$458:$N$648,Export!$J$3416,FALSE)=""</f>
        <v>0</v>
      </c>
      <c r="H3425" s="6" t="s">
        <v>2189</v>
      </c>
      <c r="I3425" t="s">
        <v>1868</v>
      </c>
      <c r="J3425">
        <v>9</v>
      </c>
      <c r="L3425" s="9" t="e">
        <f t="shared" si="179"/>
        <v>#VALUE!</v>
      </c>
    </row>
    <row r="3426" spans="1:12" x14ac:dyDescent="0.35">
      <c r="A3426">
        <f t="shared" si="180"/>
        <v>3425</v>
      </c>
      <c r="B3426" t="s">
        <v>750</v>
      </c>
      <c r="C3426" s="109" t="str">
        <f>IF(ISBLANK(K3426),IFERROR(VLOOKUP(I3426,FS_input_data!$C$458:$N$648,Export!J3426,FALSE),""),K3426)</f>
        <v/>
      </c>
      <c r="D3426" s="6"/>
      <c r="E3426" t="s">
        <v>1561</v>
      </c>
      <c r="F3426" s="6"/>
      <c r="G3426" s="105" t="b">
        <f>VLOOKUP($I$3416,FS_input_data!$C$458:$N$648,Export!$J$3416,FALSE)=""</f>
        <v>0</v>
      </c>
      <c r="H3426" s="6" t="s">
        <v>2189</v>
      </c>
      <c r="I3426" t="s">
        <v>1561</v>
      </c>
      <c r="J3426" t="s">
        <v>1561</v>
      </c>
      <c r="L3426">
        <f t="shared" si="179"/>
        <v>1</v>
      </c>
    </row>
    <row r="3427" spans="1:12" x14ac:dyDescent="0.35">
      <c r="A3427">
        <f t="shared" si="180"/>
        <v>3426</v>
      </c>
      <c r="B3427" t="s">
        <v>751</v>
      </c>
      <c r="C3427" s="109" t="str">
        <f>IF(ISBLANK(K3427),IFERROR(VLOOKUP(I3427,FS_input_data!$C$458:$N$648,Export!J3427,FALSE),""),K3427)</f>
        <v/>
      </c>
      <c r="D3427" s="6"/>
      <c r="E3427" t="s">
        <v>1561</v>
      </c>
      <c r="F3427" s="6"/>
      <c r="G3427" s="105" t="b">
        <f>VLOOKUP($I$3416,FS_input_data!$C$458:$N$648,Export!$J$3416,FALSE)=""</f>
        <v>0</v>
      </c>
      <c r="H3427" s="6" t="s">
        <v>2189</v>
      </c>
      <c r="I3427" t="s">
        <v>1561</v>
      </c>
      <c r="J3427" t="s">
        <v>1561</v>
      </c>
      <c r="L3427">
        <f t="shared" si="179"/>
        <v>1</v>
      </c>
    </row>
    <row r="3428" spans="1:12" x14ac:dyDescent="0.35">
      <c r="A3428">
        <f t="shared" si="180"/>
        <v>3427</v>
      </c>
      <c r="B3428" t="s">
        <v>754</v>
      </c>
      <c r="C3428" s="109" t="str">
        <f>IF(ISBLANK(K3428),IFERROR(VLOOKUP(I3428,FS_input_data!$C$458:$N$648,Export!J3428,FALSE),""),K3428)</f>
        <v/>
      </c>
      <c r="D3428" s="6"/>
      <c r="E3428" t="s">
        <v>1561</v>
      </c>
      <c r="F3428" s="6"/>
      <c r="G3428" s="105" t="b">
        <f>VLOOKUP($I$3416,FS_input_data!$C$458:$N$648,Export!$J$3416,FALSE)=""</f>
        <v>0</v>
      </c>
      <c r="H3428" s="6" t="s">
        <v>2189</v>
      </c>
      <c r="I3428" t="s">
        <v>1561</v>
      </c>
      <c r="J3428" t="s">
        <v>1561</v>
      </c>
      <c r="L3428" s="9" t="e">
        <f t="shared" si="179"/>
        <v>#VALUE!</v>
      </c>
    </row>
    <row r="3429" spans="1:12" x14ac:dyDescent="0.35">
      <c r="A3429" s="9">
        <f t="shared" si="180"/>
        <v>3428</v>
      </c>
      <c r="B3429" t="s">
        <v>755</v>
      </c>
      <c r="C3429" s="109">
        <f>IF(ISBLANK(K3429),IFERROR(VLOOKUP(I3429,FS_input_data!$C$458:$N$648,Export!J3429,FALSE),""),K3429)</f>
        <v>28</v>
      </c>
      <c r="D3429" s="6" t="b">
        <v>1</v>
      </c>
      <c r="E3429" t="s">
        <v>1561</v>
      </c>
      <c r="F3429" s="6"/>
      <c r="G3429" s="105" t="b">
        <f>VLOOKUP($I$3416,FS_input_data!$C$458:$N$648,Export!$J$3416,FALSE)=""</f>
        <v>0</v>
      </c>
      <c r="H3429" s="6" t="s">
        <v>2189</v>
      </c>
      <c r="I3429" t="s">
        <v>1868</v>
      </c>
      <c r="J3429">
        <v>2</v>
      </c>
      <c r="L3429" s="9" t="e">
        <f t="shared" si="179"/>
        <v>#VALUE!</v>
      </c>
    </row>
    <row r="3430" spans="1:12" x14ac:dyDescent="0.35">
      <c r="A3430">
        <f t="shared" si="180"/>
        <v>3429</v>
      </c>
      <c r="B3430" t="s">
        <v>756</v>
      </c>
      <c r="C3430" s="109" t="str">
        <f>IF(ISBLANK(K3430),IFERROR(VLOOKUP(I3430,FS_input_data!$C$458:$N$648,Export!J3430,FALSE),""),K3430)</f>
        <v/>
      </c>
      <c r="D3430" s="6"/>
      <c r="E3430" t="s">
        <v>1561</v>
      </c>
      <c r="F3430" s="6"/>
      <c r="G3430" s="105" t="b">
        <f>VLOOKUP($I$3416,FS_input_data!$C$458:$N$648,Export!$J$3416,FALSE)=""</f>
        <v>0</v>
      </c>
      <c r="H3430" s="6" t="s">
        <v>2189</v>
      </c>
      <c r="I3430" t="s">
        <v>1561</v>
      </c>
      <c r="J3430" t="s">
        <v>1561</v>
      </c>
      <c r="L3430">
        <f t="shared" si="179"/>
        <v>1</v>
      </c>
    </row>
    <row r="3431" spans="1:12" x14ac:dyDescent="0.35">
      <c r="A3431" s="9">
        <f t="shared" si="180"/>
        <v>3430</v>
      </c>
      <c r="B3431" t="s">
        <v>757</v>
      </c>
      <c r="C3431" s="109">
        <f>IF(ISBLANK(K3431),IFERROR(VLOOKUP(I3431,FS_input_data!$C$458:$N$648,Export!J3431,FALSE),""),K3431)</f>
        <v>128</v>
      </c>
      <c r="D3431" s="6" t="b">
        <v>0</v>
      </c>
      <c r="E3431" t="s">
        <v>1561</v>
      </c>
      <c r="F3431" s="6"/>
      <c r="G3431" s="105" t="b">
        <f>VLOOKUP($I$3416,FS_input_data!$C$458:$N$648,Export!$J$3416,FALSE)=""</f>
        <v>0</v>
      </c>
      <c r="H3431" s="6" t="s">
        <v>2189</v>
      </c>
      <c r="I3431" t="s">
        <v>1868</v>
      </c>
      <c r="J3431">
        <v>3</v>
      </c>
      <c r="L3431" s="9" t="e">
        <f t="shared" si="179"/>
        <v>#VALUE!</v>
      </c>
    </row>
    <row r="3432" spans="1:12" x14ac:dyDescent="0.35">
      <c r="A3432">
        <f t="shared" si="180"/>
        <v>3431</v>
      </c>
      <c r="B3432" t="s">
        <v>758</v>
      </c>
      <c r="C3432" s="109" t="str">
        <f>IF(ISBLANK(K3432),IFERROR(VLOOKUP(I3432,FS_input_data!$C$458:$N$648,Export!J3432,FALSE),""),K3432)</f>
        <v/>
      </c>
      <c r="D3432" s="6"/>
      <c r="E3432" t="s">
        <v>1561</v>
      </c>
      <c r="F3432" s="6"/>
      <c r="G3432" s="105" t="b">
        <f>VLOOKUP($I$3416,FS_input_data!$C$458:$N$648,Export!$J$3416,FALSE)=""</f>
        <v>0</v>
      </c>
      <c r="H3432" s="6" t="s">
        <v>2189</v>
      </c>
      <c r="I3432" t="s">
        <v>1561</v>
      </c>
      <c r="J3432" t="s">
        <v>1561</v>
      </c>
      <c r="L3432">
        <f t="shared" si="179"/>
        <v>1</v>
      </c>
    </row>
    <row r="3433" spans="1:12" x14ac:dyDescent="0.35">
      <c r="A3433" s="9">
        <f t="shared" si="180"/>
        <v>3432</v>
      </c>
      <c r="B3433" t="s">
        <v>759</v>
      </c>
      <c r="C3433" s="109">
        <f>IF(ISBLANK(K3433),IFERROR(VLOOKUP(I3433,FS_input_data!$C$458:$N$648,Export!J3433,FALSE),""),K3433)</f>
        <v>228</v>
      </c>
      <c r="D3433" s="6" t="b">
        <v>0</v>
      </c>
      <c r="E3433" t="s">
        <v>1561</v>
      </c>
      <c r="F3433" s="6"/>
      <c r="G3433" s="105" t="b">
        <f>VLOOKUP($I$3416,FS_input_data!$C$458:$N$648,Export!$J$3416,FALSE)=""</f>
        <v>0</v>
      </c>
      <c r="H3433" s="6" t="s">
        <v>2189</v>
      </c>
      <c r="I3433" t="s">
        <v>1868</v>
      </c>
      <c r="J3433">
        <v>4</v>
      </c>
      <c r="L3433" s="9" t="e">
        <f t="shared" si="179"/>
        <v>#VALUE!</v>
      </c>
    </row>
    <row r="3434" spans="1:12" x14ac:dyDescent="0.35">
      <c r="A3434">
        <f t="shared" si="180"/>
        <v>3433</v>
      </c>
      <c r="B3434" t="s">
        <v>760</v>
      </c>
      <c r="C3434" s="109" t="str">
        <f>IF(ISBLANK(K3434),IFERROR(VLOOKUP(I3434,FS_input_data!$C$458:$N$648,Export!J3434,FALSE),""),K3434)</f>
        <v/>
      </c>
      <c r="D3434" s="6"/>
      <c r="E3434" t="s">
        <v>1561</v>
      </c>
      <c r="F3434" s="6"/>
      <c r="G3434" s="105" t="b">
        <f>VLOOKUP($I$3416,FS_input_data!$C$458:$N$648,Export!$J$3416,FALSE)=""</f>
        <v>0</v>
      </c>
      <c r="H3434" s="6" t="s">
        <v>2189</v>
      </c>
      <c r="I3434" t="s">
        <v>1561</v>
      </c>
      <c r="J3434" t="s">
        <v>1561</v>
      </c>
      <c r="L3434">
        <f t="shared" si="179"/>
        <v>1</v>
      </c>
    </row>
    <row r="3435" spans="1:12" x14ac:dyDescent="0.35">
      <c r="A3435" s="9">
        <f t="shared" si="180"/>
        <v>3434</v>
      </c>
      <c r="B3435" t="s">
        <v>761</v>
      </c>
      <c r="C3435" s="109" t="str">
        <f>IF(ISBLANK(K3435),IFERROR(VLOOKUP(I3435,FS_input_data!$C$458:$N$648,Export!J3435,FALSE),""),K3435)</f>
        <v>g</v>
      </c>
      <c r="D3435" s="6"/>
      <c r="E3435" t="s">
        <v>1561</v>
      </c>
      <c r="F3435" s="6"/>
      <c r="G3435" s="105" t="b">
        <f>VLOOKUP($I$3416,FS_input_data!$C$458:$N$648,Export!$J$3416,FALSE)=""</f>
        <v>0</v>
      </c>
      <c r="H3435" s="6" t="s">
        <v>2189</v>
      </c>
      <c r="I3435" t="s">
        <v>1868</v>
      </c>
      <c r="J3435">
        <v>5</v>
      </c>
      <c r="L3435" s="9" t="e">
        <f t="shared" si="179"/>
        <v>#VALUE!</v>
      </c>
    </row>
    <row r="3436" spans="1:12" x14ac:dyDescent="0.35">
      <c r="A3436">
        <f t="shared" si="180"/>
        <v>3435</v>
      </c>
      <c r="B3436" t="s">
        <v>762</v>
      </c>
      <c r="C3436" s="109" t="str">
        <f>IF(ISBLANK(K3436),IFERROR(VLOOKUP(I3436,FS_input_data!$C$458:$N$648,Export!J3436,FALSE),""),K3436)</f>
        <v/>
      </c>
      <c r="D3436" s="6"/>
      <c r="E3436" t="s">
        <v>1561</v>
      </c>
      <c r="F3436" s="6"/>
      <c r="G3436" s="105" t="b">
        <f>VLOOKUP($I$3416,FS_input_data!$C$458:$N$648,Export!$J$3416,FALSE)=""</f>
        <v>0</v>
      </c>
      <c r="H3436" s="6" t="s">
        <v>2189</v>
      </c>
      <c r="I3436" t="s">
        <v>1561</v>
      </c>
      <c r="J3436" t="s">
        <v>1561</v>
      </c>
      <c r="L3436">
        <f t="shared" si="179"/>
        <v>1</v>
      </c>
    </row>
    <row r="3437" spans="1:12" x14ac:dyDescent="0.35">
      <c r="A3437">
        <f t="shared" si="180"/>
        <v>3436</v>
      </c>
      <c r="B3437" t="s">
        <v>763</v>
      </c>
      <c r="C3437" s="109" t="str">
        <f>IF(ISBLANK(K3437),IFERROR(VLOOKUP(I3437,FS_input_data!$C$458:$N$648,Export!J3437,FALSE),""),K3437)</f>
        <v/>
      </c>
      <c r="D3437" s="6"/>
      <c r="E3437" t="s">
        <v>1561</v>
      </c>
      <c r="F3437" s="6"/>
      <c r="G3437" s="105" t="b">
        <f>VLOOKUP($I$3416,FS_input_data!$C$458:$N$648,Export!$J$3416,FALSE)=""</f>
        <v>0</v>
      </c>
      <c r="H3437" s="6" t="s">
        <v>2189</v>
      </c>
      <c r="I3437" t="s">
        <v>1561</v>
      </c>
      <c r="J3437" t="s">
        <v>1561</v>
      </c>
      <c r="L3437">
        <f t="shared" si="179"/>
        <v>1</v>
      </c>
    </row>
    <row r="3438" spans="1:12" x14ac:dyDescent="0.35">
      <c r="A3438">
        <f t="shared" si="180"/>
        <v>3437</v>
      </c>
      <c r="B3438" t="s">
        <v>743</v>
      </c>
      <c r="C3438" s="109" t="str">
        <f>IF(ISBLANK(K3438),IFERROR(VLOOKUP(I3438,FS_input_data!$C$458:$N$648,Export!J3438,FALSE),""),K3438)</f>
        <v/>
      </c>
      <c r="D3438" s="6"/>
      <c r="E3438" t="s">
        <v>1561</v>
      </c>
      <c r="F3438" s="6"/>
      <c r="G3438" s="105" t="b">
        <f>VLOOKUP($I$3416,FS_input_data!$C$458:$N$648,Export!$J$3416,FALSE)=""</f>
        <v>0</v>
      </c>
      <c r="H3438" s="6" t="s">
        <v>2189</v>
      </c>
      <c r="I3438" t="s">
        <v>1561</v>
      </c>
      <c r="J3438" t="s">
        <v>1561</v>
      </c>
      <c r="L3438">
        <f t="shared" si="179"/>
        <v>1</v>
      </c>
    </row>
    <row r="3439" spans="1:12" x14ac:dyDescent="0.35">
      <c r="A3439">
        <f t="shared" si="180"/>
        <v>3438</v>
      </c>
      <c r="B3439" t="s">
        <v>744</v>
      </c>
      <c r="C3439" s="109" t="str">
        <f>IF(ISBLANK(K3439),IFERROR(VLOOKUP(I3439,FS_input_data!$C$458:$N$648,Export!J3439,FALSE),""),K3439)</f>
        <v/>
      </c>
      <c r="D3439" s="6"/>
      <c r="E3439" t="s">
        <v>1561</v>
      </c>
      <c r="F3439" s="6"/>
      <c r="G3439" s="6" t="b">
        <f t="shared" ref="G3439:G3446" si="182">RP_tax</f>
        <v>1</v>
      </c>
      <c r="H3439" s="6" t="s">
        <v>2189</v>
      </c>
      <c r="I3439" t="s">
        <v>1561</v>
      </c>
      <c r="J3439" t="s">
        <v>1561</v>
      </c>
      <c r="L3439" s="9" t="e">
        <f t="shared" si="179"/>
        <v>#VALUE!</v>
      </c>
    </row>
    <row r="3440" spans="1:12" x14ac:dyDescent="0.35">
      <c r="A3440" s="9">
        <f t="shared" si="180"/>
        <v>3439</v>
      </c>
      <c r="B3440" t="s">
        <v>109</v>
      </c>
      <c r="C3440" s="109">
        <f>IF(ISBLANK(K3440),IFERROR(VLOOKUP(I3440,FS_input_data!$C$458:$N$648,Export!J3440,FALSE),""),K3440)</f>
        <v>28000</v>
      </c>
      <c r="D3440" s="6" t="b">
        <v>1</v>
      </c>
      <c r="E3440" t="s">
        <v>1561</v>
      </c>
      <c r="F3440" s="6"/>
      <c r="G3440" s="6" t="b">
        <f t="shared" si="182"/>
        <v>1</v>
      </c>
      <c r="H3440" s="6" t="s">
        <v>2189</v>
      </c>
      <c r="I3440" t="s">
        <v>1868</v>
      </c>
      <c r="J3440">
        <v>10</v>
      </c>
      <c r="L3440" s="9" t="e">
        <f t="shared" si="179"/>
        <v>#VALUE!</v>
      </c>
    </row>
    <row r="3441" spans="1:12" x14ac:dyDescent="0.35">
      <c r="A3441">
        <f t="shared" si="180"/>
        <v>3440</v>
      </c>
      <c r="B3441" t="s">
        <v>110</v>
      </c>
      <c r="C3441" s="109" t="str">
        <f>IF(ISBLANK(K3441),IFERROR(VLOOKUP(I3441,FS_input_data!$C$458:$N$648,Export!J3441,FALSE),""),K3441)</f>
        <v/>
      </c>
      <c r="D3441" s="6"/>
      <c r="E3441" t="s">
        <v>1561</v>
      </c>
      <c r="F3441" s="6"/>
      <c r="G3441" s="6" t="b">
        <f t="shared" si="182"/>
        <v>1</v>
      </c>
      <c r="H3441" s="6" t="s">
        <v>2189</v>
      </c>
      <c r="I3441" t="s">
        <v>1561</v>
      </c>
      <c r="J3441" t="s">
        <v>1561</v>
      </c>
      <c r="L3441">
        <f t="shared" si="179"/>
        <v>1</v>
      </c>
    </row>
    <row r="3442" spans="1:12" x14ac:dyDescent="0.35">
      <c r="A3442" s="9">
        <f t="shared" si="180"/>
        <v>3441</v>
      </c>
      <c r="B3442" t="s">
        <v>111</v>
      </c>
      <c r="C3442" s="109">
        <f>IF(ISBLANK(K3442),IFERROR(VLOOKUP(I3442,FS_input_data!$C$458:$N$648,Export!J3442,FALSE),""),K3442)</f>
        <v>14000</v>
      </c>
      <c r="D3442" s="6" t="b">
        <v>0</v>
      </c>
      <c r="E3442" t="s">
        <v>1561</v>
      </c>
      <c r="F3442" s="6"/>
      <c r="G3442" s="6" t="b">
        <f t="shared" si="182"/>
        <v>1</v>
      </c>
      <c r="H3442" s="6" t="s">
        <v>2189</v>
      </c>
      <c r="I3442" t="s">
        <v>1868</v>
      </c>
      <c r="J3442">
        <v>11</v>
      </c>
      <c r="L3442" s="9" t="e">
        <f t="shared" si="179"/>
        <v>#VALUE!</v>
      </c>
    </row>
    <row r="3443" spans="1:12" x14ac:dyDescent="0.35">
      <c r="A3443">
        <f t="shared" si="180"/>
        <v>3442</v>
      </c>
      <c r="B3443" t="s">
        <v>112</v>
      </c>
      <c r="C3443" s="109" t="str">
        <f>IF(ISBLANK(K3443),IFERROR(VLOOKUP(I3443,FS_input_data!$C$458:$N$648,Export!J3443,FALSE),""),K3443)</f>
        <v/>
      </c>
      <c r="D3443" s="6"/>
      <c r="E3443" t="s">
        <v>1561</v>
      </c>
      <c r="F3443" s="6"/>
      <c r="G3443" s="6" t="b">
        <f t="shared" si="182"/>
        <v>1</v>
      </c>
      <c r="H3443" s="6" t="s">
        <v>2189</v>
      </c>
      <c r="I3443" t="s">
        <v>1561</v>
      </c>
      <c r="J3443" t="s">
        <v>1561</v>
      </c>
      <c r="L3443">
        <f t="shared" si="179"/>
        <v>1</v>
      </c>
    </row>
    <row r="3444" spans="1:12" x14ac:dyDescent="0.35">
      <c r="A3444" s="9">
        <f t="shared" si="180"/>
        <v>3443</v>
      </c>
      <c r="B3444" t="s">
        <v>749</v>
      </c>
      <c r="C3444" s="109">
        <f>IF(ISBLANK(K3444),IFERROR(VLOOKUP(I3444,FS_input_data!$C$458:$N$648,Export!J3444,FALSE),""),K3444)</f>
        <v>14000</v>
      </c>
      <c r="D3444" s="6" t="b">
        <v>0</v>
      </c>
      <c r="E3444" t="s">
        <v>1561</v>
      </c>
      <c r="F3444" s="6"/>
      <c r="G3444" s="6" t="b">
        <f t="shared" si="182"/>
        <v>1</v>
      </c>
      <c r="H3444" s="6" t="s">
        <v>2189</v>
      </c>
      <c r="I3444" t="s">
        <v>1868</v>
      </c>
      <c r="J3444">
        <v>12</v>
      </c>
      <c r="L3444" s="9" t="e">
        <f t="shared" si="179"/>
        <v>#VALUE!</v>
      </c>
    </row>
    <row r="3445" spans="1:12" x14ac:dyDescent="0.35">
      <c r="A3445">
        <f t="shared" si="180"/>
        <v>3444</v>
      </c>
      <c r="B3445" t="s">
        <v>750</v>
      </c>
      <c r="C3445" s="109" t="str">
        <f>IF(ISBLANK(K3445),IFERROR(VLOOKUP(I3445,FS_input_data!$C$458:$N$648,Export!J3445,FALSE),""),K3445)</f>
        <v/>
      </c>
      <c r="D3445" s="6"/>
      <c r="E3445" t="s">
        <v>1561</v>
      </c>
      <c r="F3445" s="6"/>
      <c r="G3445" s="6" t="b">
        <f t="shared" si="182"/>
        <v>1</v>
      </c>
      <c r="H3445" s="6" t="s">
        <v>2189</v>
      </c>
      <c r="I3445" t="s">
        <v>1561</v>
      </c>
      <c r="J3445" t="s">
        <v>1561</v>
      </c>
      <c r="L3445">
        <f t="shared" si="179"/>
        <v>1</v>
      </c>
    </row>
    <row r="3446" spans="1:12" x14ac:dyDescent="0.35">
      <c r="A3446">
        <f t="shared" si="180"/>
        <v>3445</v>
      </c>
      <c r="B3446" t="s">
        <v>745</v>
      </c>
      <c r="C3446" s="109" t="str">
        <f>IF(ISBLANK(K3446),IFERROR(VLOOKUP(I3446,FS_input_data!$C$458:$N$648,Export!J3446,FALSE),""),K3446)</f>
        <v/>
      </c>
      <c r="D3446" s="6"/>
      <c r="E3446" t="s">
        <v>1561</v>
      </c>
      <c r="F3446" s="6"/>
      <c r="G3446" s="6" t="b">
        <f t="shared" si="182"/>
        <v>1</v>
      </c>
      <c r="H3446" s="6" t="s">
        <v>2189</v>
      </c>
      <c r="I3446" t="s">
        <v>1561</v>
      </c>
      <c r="J3446" t="s">
        <v>1561</v>
      </c>
      <c r="L3446">
        <f t="shared" si="179"/>
        <v>1</v>
      </c>
    </row>
    <row r="3447" spans="1:12" x14ac:dyDescent="0.35">
      <c r="A3447">
        <f t="shared" si="180"/>
        <v>3446</v>
      </c>
      <c r="B3447" t="s">
        <v>764</v>
      </c>
      <c r="C3447" s="109" t="str">
        <f>IF(ISBLANK(K3447),IFERROR(VLOOKUP(I3447,FS_input_data!$C$458:$N$648,Export!J3447,FALSE),""),K3447)</f>
        <v/>
      </c>
      <c r="D3447" s="6"/>
      <c r="E3447" t="s">
        <v>1561</v>
      </c>
      <c r="F3447" s="6"/>
      <c r="G3447" s="105" t="b">
        <f>VLOOKUP($I$3416,FS_input_data!$C$458:$N$648,Export!$J$3416,FALSE)=""</f>
        <v>0</v>
      </c>
      <c r="H3447" s="6" t="s">
        <v>2189</v>
      </c>
      <c r="I3447" t="s">
        <v>1561</v>
      </c>
      <c r="J3447" t="s">
        <v>1561</v>
      </c>
      <c r="L3447">
        <f t="shared" si="179"/>
        <v>1</v>
      </c>
    </row>
    <row r="3448" spans="1:12" x14ac:dyDescent="0.35">
      <c r="A3448">
        <f t="shared" si="180"/>
        <v>3447</v>
      </c>
      <c r="B3448" t="s">
        <v>765</v>
      </c>
      <c r="C3448" s="109" t="str">
        <f>IF(ISBLANK(K3448),IFERROR(VLOOKUP(I3448,FS_input_data!$C$458:$N$648,Export!J3448,FALSE),""),K3448)</f>
        <v/>
      </c>
      <c r="D3448" s="6"/>
      <c r="E3448" t="s">
        <v>1561</v>
      </c>
      <c r="F3448" s="6"/>
      <c r="G3448" s="105" t="b">
        <f>VLOOKUP($I$3416,FS_input_data!$C$458:$N$648,Export!$J$3416,FALSE)=""</f>
        <v>0</v>
      </c>
      <c r="H3448" s="6" t="s">
        <v>2189</v>
      </c>
      <c r="I3448" t="s">
        <v>1561</v>
      </c>
      <c r="J3448" t="s">
        <v>1561</v>
      </c>
      <c r="L3448">
        <f t="shared" si="179"/>
        <v>1</v>
      </c>
    </row>
    <row r="3449" spans="1:12" x14ac:dyDescent="0.35">
      <c r="A3449">
        <f t="shared" si="180"/>
        <v>3448</v>
      </c>
      <c r="B3449" t="s">
        <v>752</v>
      </c>
      <c r="C3449" s="109" t="str">
        <f>IF(ISBLANK(K3449),IFERROR(VLOOKUP(I3449,FS_input_data!$C$458:$N$648,Export!J3449,FALSE),""),K3449)</f>
        <v/>
      </c>
      <c r="D3449" s="6"/>
      <c r="E3449" t="s">
        <v>1561</v>
      </c>
      <c r="F3449" s="6"/>
      <c r="G3449" s="102" t="b">
        <f>VLOOKUP($I$3450,FS_input_data!$C$458:$N$648,Export!$J$3450,FALSE)=""</f>
        <v>0</v>
      </c>
      <c r="H3449" s="6" t="s">
        <v>2189</v>
      </c>
      <c r="I3449" t="s">
        <v>1561</v>
      </c>
      <c r="J3449" t="s">
        <v>1561</v>
      </c>
      <c r="L3449" s="9" t="e">
        <f t="shared" si="179"/>
        <v>#VALUE!</v>
      </c>
    </row>
    <row r="3450" spans="1:12" x14ac:dyDescent="0.35">
      <c r="A3450" s="9">
        <f t="shared" si="180"/>
        <v>3449</v>
      </c>
      <c r="B3450" t="s">
        <v>101</v>
      </c>
      <c r="C3450" s="109" t="str">
        <f>IF(ISBLANK(K3450),IFERROR(VLOOKUP(I3450,FS_input_data!$C$458:$N$648,Export!J3450,FALSE),""),K3450)</f>
        <v>OC7</v>
      </c>
      <c r="D3450" s="6" t="b">
        <v>1</v>
      </c>
      <c r="E3450" t="s">
        <v>1561</v>
      </c>
      <c r="F3450" s="6"/>
      <c r="G3450" s="102" t="b">
        <f>VLOOKUP($I$3450,FS_input_data!$C$458:$N$648,Export!$J$3450,FALSE)=""</f>
        <v>0</v>
      </c>
      <c r="H3450" s="6" t="s">
        <v>2189</v>
      </c>
      <c r="I3450" t="s">
        <v>1870</v>
      </c>
      <c r="J3450">
        <v>6</v>
      </c>
      <c r="L3450" s="9" t="e">
        <f t="shared" si="179"/>
        <v>#VALUE!</v>
      </c>
    </row>
    <row r="3451" spans="1:12" x14ac:dyDescent="0.35">
      <c r="A3451">
        <f t="shared" si="180"/>
        <v>3450</v>
      </c>
      <c r="B3451" t="s">
        <v>102</v>
      </c>
      <c r="C3451" s="109" t="str">
        <f>IF(ISBLANK(K3451),IFERROR(VLOOKUP(I3451,FS_input_data!$C$458:$N$648,Export!J3451,FALSE),""),K3451)</f>
        <v/>
      </c>
      <c r="D3451" s="6"/>
      <c r="E3451" t="s">
        <v>1561</v>
      </c>
      <c r="F3451" s="6"/>
      <c r="G3451" s="102" t="b">
        <f>VLOOKUP($I$3450,FS_input_data!$C$458:$N$648,Export!$J$3450,FALSE)=""</f>
        <v>0</v>
      </c>
      <c r="H3451" s="6" t="s">
        <v>2189</v>
      </c>
      <c r="I3451" t="s">
        <v>1561</v>
      </c>
      <c r="J3451" t="s">
        <v>1561</v>
      </c>
      <c r="L3451">
        <f t="shared" si="179"/>
        <v>1</v>
      </c>
    </row>
    <row r="3452" spans="1:12" x14ac:dyDescent="0.35">
      <c r="A3452">
        <f t="shared" si="180"/>
        <v>3451</v>
      </c>
      <c r="B3452" t="s">
        <v>753</v>
      </c>
      <c r="C3452" s="109" t="str">
        <f>IF(ISBLANK(K3452),IFERROR(VLOOKUP(I3452,FS_input_data!$C$458:$N$648,Export!J3452,FALSE),""),K3452)</f>
        <v/>
      </c>
      <c r="D3452" s="6"/>
      <c r="E3452" t="s">
        <v>1561</v>
      </c>
      <c r="F3452" s="6"/>
      <c r="G3452" s="102" t="b">
        <f>VLOOKUP($I$3450,FS_input_data!$C$458:$N$648,Export!$J$3450,FALSE)=""</f>
        <v>0</v>
      </c>
      <c r="H3452" s="6" t="s">
        <v>2189</v>
      </c>
      <c r="I3452" t="s">
        <v>1561</v>
      </c>
      <c r="J3452" t="s">
        <v>1561</v>
      </c>
      <c r="L3452" s="9" t="e">
        <f t="shared" si="179"/>
        <v>#VALUE!</v>
      </c>
    </row>
    <row r="3453" spans="1:12" x14ac:dyDescent="0.35">
      <c r="A3453">
        <f t="shared" si="180"/>
        <v>3452</v>
      </c>
      <c r="B3453" t="s">
        <v>742</v>
      </c>
      <c r="C3453" s="109" t="str">
        <f>IF(ISBLANK(K3453),IFERROR(VLOOKUP(I3453,FS_input_data!$C$458:$N$648,Export!J3453,FALSE),""),K3453)</f>
        <v/>
      </c>
      <c r="D3453" s="6"/>
      <c r="E3453" t="s">
        <v>1561</v>
      </c>
      <c r="F3453" s="6"/>
      <c r="G3453" s="102" t="b">
        <f>VLOOKUP($I$3450,FS_input_data!$C$458:$N$648,Export!$J$3450,FALSE)=""</f>
        <v>0</v>
      </c>
      <c r="H3453" s="6" t="s">
        <v>2189</v>
      </c>
      <c r="I3453" t="s">
        <v>1561</v>
      </c>
      <c r="J3453" t="s">
        <v>1561</v>
      </c>
      <c r="L3453" s="9" t="e">
        <f t="shared" si="179"/>
        <v>#VALUE!</v>
      </c>
    </row>
    <row r="3454" spans="1:12" x14ac:dyDescent="0.35">
      <c r="A3454">
        <f t="shared" si="180"/>
        <v>3453</v>
      </c>
      <c r="B3454" t="s">
        <v>748</v>
      </c>
      <c r="C3454" s="109" t="str">
        <f>IF(ISBLANK(K3454),IFERROR(VLOOKUP(I3454,FS_input_data!$C$458:$N$648,Export!J3454,FALSE),""),K3454)</f>
        <v/>
      </c>
      <c r="D3454" s="6"/>
      <c r="E3454" t="s">
        <v>1561</v>
      </c>
      <c r="F3454" s="6"/>
      <c r="G3454" s="102" t="b">
        <f>VLOOKUP($I$3450,FS_input_data!$C$458:$N$648,Export!$J$3450,FALSE)=""</f>
        <v>0</v>
      </c>
      <c r="H3454" s="6" t="s">
        <v>2189</v>
      </c>
      <c r="I3454" t="s">
        <v>1561</v>
      </c>
      <c r="J3454" t="s">
        <v>1561</v>
      </c>
      <c r="L3454" s="9" t="e">
        <f t="shared" si="179"/>
        <v>#VALUE!</v>
      </c>
    </row>
    <row r="3455" spans="1:12" x14ac:dyDescent="0.35">
      <c r="A3455" s="9">
        <f t="shared" si="180"/>
        <v>3454</v>
      </c>
      <c r="B3455" t="s">
        <v>109</v>
      </c>
      <c r="C3455" s="109">
        <f>IF(ISBLANK(K3455),IFERROR(VLOOKUP(I3455,FS_input_data!$C$458:$N$648,Export!J3455,FALSE),""),K3455)</f>
        <v>29000</v>
      </c>
      <c r="D3455" s="6" t="b">
        <v>1</v>
      </c>
      <c r="E3455" t="s">
        <v>1561</v>
      </c>
      <c r="F3455" s="6"/>
      <c r="G3455" s="102" t="b">
        <f>VLOOKUP($I$3450,FS_input_data!$C$458:$N$648,Export!$J$3450,FALSE)=""</f>
        <v>0</v>
      </c>
      <c r="H3455" s="6" t="s">
        <v>2189</v>
      </c>
      <c r="I3455" t="s">
        <v>1870</v>
      </c>
      <c r="J3455">
        <v>7</v>
      </c>
      <c r="L3455" s="9" t="e">
        <f t="shared" si="179"/>
        <v>#VALUE!</v>
      </c>
    </row>
    <row r="3456" spans="1:12" x14ac:dyDescent="0.35">
      <c r="A3456">
        <f t="shared" si="180"/>
        <v>3455</v>
      </c>
      <c r="B3456" t="s">
        <v>110</v>
      </c>
      <c r="C3456" s="109" t="str">
        <f>IF(ISBLANK(K3456),IFERROR(VLOOKUP(I3456,FS_input_data!$C$458:$N$648,Export!J3456,FALSE),""),K3456)</f>
        <v/>
      </c>
      <c r="D3456" s="6"/>
      <c r="E3456" t="s">
        <v>1561</v>
      </c>
      <c r="F3456" s="6"/>
      <c r="G3456" s="102" t="b">
        <f>VLOOKUP($I$3450,FS_input_data!$C$458:$N$648,Export!$J$3450,FALSE)=""</f>
        <v>0</v>
      </c>
      <c r="H3456" s="6" t="s">
        <v>2189</v>
      </c>
      <c r="I3456" t="s">
        <v>1561</v>
      </c>
      <c r="J3456" t="s">
        <v>1561</v>
      </c>
      <c r="L3456">
        <f t="shared" si="179"/>
        <v>1</v>
      </c>
    </row>
    <row r="3457" spans="1:12" x14ac:dyDescent="0.35">
      <c r="A3457" s="9">
        <f t="shared" si="180"/>
        <v>3456</v>
      </c>
      <c r="B3457" t="s">
        <v>111</v>
      </c>
      <c r="C3457" s="109">
        <f>IF(ISBLANK(K3457),IFERROR(VLOOKUP(I3457,FS_input_data!$C$458:$N$648,Export!J3457,FALSE),""),K3457)</f>
        <v>14500</v>
      </c>
      <c r="D3457" s="6" t="b">
        <v>0</v>
      </c>
      <c r="E3457" t="s">
        <v>1561</v>
      </c>
      <c r="F3457" s="6"/>
      <c r="G3457" s="102" t="b">
        <f>VLOOKUP($I$3450,FS_input_data!$C$458:$N$648,Export!$J$3450,FALSE)=""</f>
        <v>0</v>
      </c>
      <c r="H3457" s="6" t="s">
        <v>2189</v>
      </c>
      <c r="I3457" t="s">
        <v>1870</v>
      </c>
      <c r="J3457">
        <v>8</v>
      </c>
      <c r="L3457" s="9" t="e">
        <f t="shared" si="179"/>
        <v>#VALUE!</v>
      </c>
    </row>
    <row r="3458" spans="1:12" x14ac:dyDescent="0.35">
      <c r="A3458">
        <f t="shared" si="180"/>
        <v>3457</v>
      </c>
      <c r="B3458" t="s">
        <v>112</v>
      </c>
      <c r="C3458" s="109" t="str">
        <f>IF(ISBLANK(K3458),IFERROR(VLOOKUP(I3458,FS_input_data!$C$458:$N$648,Export!J3458,FALSE),""),K3458)</f>
        <v/>
      </c>
      <c r="D3458" s="6"/>
      <c r="E3458" t="s">
        <v>1561</v>
      </c>
      <c r="F3458" s="6"/>
      <c r="G3458" s="102" t="b">
        <f>VLOOKUP($I$3450,FS_input_data!$C$458:$N$648,Export!$J$3450,FALSE)=""</f>
        <v>0</v>
      </c>
      <c r="H3458" s="6" t="s">
        <v>2189</v>
      </c>
      <c r="I3458" t="s">
        <v>1561</v>
      </c>
      <c r="J3458" t="s">
        <v>1561</v>
      </c>
      <c r="L3458">
        <f t="shared" ref="L3458:L3521" si="183">FIND("/",B3458)</f>
        <v>1</v>
      </c>
    </row>
    <row r="3459" spans="1:12" x14ac:dyDescent="0.35">
      <c r="A3459" s="9">
        <f t="shared" ref="A3459:A3522" si="184">A3458+1</f>
        <v>3458</v>
      </c>
      <c r="B3459" t="s">
        <v>749</v>
      </c>
      <c r="C3459" s="109">
        <f>IF(ISBLANK(K3459),IFERROR(VLOOKUP(I3459,FS_input_data!$C$458:$N$648,Export!J3459,FALSE),""),K3459)</f>
        <v>14500</v>
      </c>
      <c r="D3459" s="6" t="b">
        <v>0</v>
      </c>
      <c r="E3459" t="s">
        <v>1561</v>
      </c>
      <c r="F3459" s="6"/>
      <c r="G3459" s="102" t="b">
        <f>VLOOKUP($I$3450,FS_input_data!$C$458:$N$648,Export!$J$3450,FALSE)=""</f>
        <v>0</v>
      </c>
      <c r="H3459" s="6" t="s">
        <v>2189</v>
      </c>
      <c r="I3459" t="s">
        <v>1870</v>
      </c>
      <c r="J3459">
        <v>9</v>
      </c>
      <c r="L3459" s="9" t="e">
        <f t="shared" si="183"/>
        <v>#VALUE!</v>
      </c>
    </row>
    <row r="3460" spans="1:12" x14ac:dyDescent="0.35">
      <c r="A3460">
        <f t="shared" si="184"/>
        <v>3459</v>
      </c>
      <c r="B3460" t="s">
        <v>750</v>
      </c>
      <c r="C3460" s="109" t="str">
        <f>IF(ISBLANK(K3460),IFERROR(VLOOKUP(I3460,FS_input_data!$C$458:$N$648,Export!J3460,FALSE),""),K3460)</f>
        <v/>
      </c>
      <c r="D3460" s="6"/>
      <c r="E3460" t="s">
        <v>1561</v>
      </c>
      <c r="F3460" s="6"/>
      <c r="G3460" s="102" t="b">
        <f>VLOOKUP($I$3450,FS_input_data!$C$458:$N$648,Export!$J$3450,FALSE)=""</f>
        <v>0</v>
      </c>
      <c r="H3460" s="6" t="s">
        <v>2189</v>
      </c>
      <c r="I3460" t="s">
        <v>1561</v>
      </c>
      <c r="J3460" t="s">
        <v>1561</v>
      </c>
      <c r="L3460">
        <f t="shared" si="183"/>
        <v>1</v>
      </c>
    </row>
    <row r="3461" spans="1:12" x14ac:dyDescent="0.35">
      <c r="A3461">
        <f t="shared" si="184"/>
        <v>3460</v>
      </c>
      <c r="B3461" t="s">
        <v>751</v>
      </c>
      <c r="C3461" s="109" t="str">
        <f>IF(ISBLANK(K3461),IFERROR(VLOOKUP(I3461,FS_input_data!$C$458:$N$648,Export!J3461,FALSE),""),K3461)</f>
        <v/>
      </c>
      <c r="D3461" s="6"/>
      <c r="E3461" t="s">
        <v>1561</v>
      </c>
      <c r="F3461" s="6"/>
      <c r="G3461" s="102" t="b">
        <f>VLOOKUP($I$3450,FS_input_data!$C$458:$N$648,Export!$J$3450,FALSE)=""</f>
        <v>0</v>
      </c>
      <c r="H3461" s="6" t="s">
        <v>2189</v>
      </c>
      <c r="I3461" t="s">
        <v>1561</v>
      </c>
      <c r="J3461" t="s">
        <v>1561</v>
      </c>
      <c r="L3461">
        <f t="shared" si="183"/>
        <v>1</v>
      </c>
    </row>
    <row r="3462" spans="1:12" x14ac:dyDescent="0.35">
      <c r="A3462">
        <f t="shared" si="184"/>
        <v>3461</v>
      </c>
      <c r="B3462" t="s">
        <v>754</v>
      </c>
      <c r="C3462" s="109" t="str">
        <f>IF(ISBLANK(K3462),IFERROR(VLOOKUP(I3462,FS_input_data!$C$458:$N$648,Export!J3462,FALSE),""),K3462)</f>
        <v/>
      </c>
      <c r="D3462" s="6"/>
      <c r="E3462" t="s">
        <v>1561</v>
      </c>
      <c r="F3462" s="6"/>
      <c r="G3462" s="102" t="b">
        <f>VLOOKUP($I$3450,FS_input_data!$C$458:$N$648,Export!$J$3450,FALSE)=""</f>
        <v>0</v>
      </c>
      <c r="H3462" s="6" t="s">
        <v>2189</v>
      </c>
      <c r="I3462" t="s">
        <v>1561</v>
      </c>
      <c r="J3462" t="s">
        <v>1561</v>
      </c>
      <c r="L3462" s="9" t="e">
        <f t="shared" si="183"/>
        <v>#VALUE!</v>
      </c>
    </row>
    <row r="3463" spans="1:12" x14ac:dyDescent="0.35">
      <c r="A3463" s="9">
        <f t="shared" si="184"/>
        <v>3462</v>
      </c>
      <c r="B3463" t="s">
        <v>755</v>
      </c>
      <c r="C3463" s="109">
        <f>IF(ISBLANK(K3463),IFERROR(VLOOKUP(I3463,FS_input_data!$C$458:$N$648,Export!J3463,FALSE),""),K3463)</f>
        <v>29</v>
      </c>
      <c r="D3463" s="6"/>
      <c r="E3463" t="s">
        <v>1561</v>
      </c>
      <c r="F3463" s="6"/>
      <c r="G3463" s="102" t="b">
        <f>VLOOKUP($I$3450,FS_input_data!$C$458:$N$648,Export!$J$3450,FALSE)=""</f>
        <v>0</v>
      </c>
      <c r="H3463" s="6" t="s">
        <v>2189</v>
      </c>
      <c r="I3463" t="s">
        <v>1870</v>
      </c>
      <c r="J3463">
        <v>2</v>
      </c>
      <c r="L3463" s="9" t="e">
        <f t="shared" si="183"/>
        <v>#VALUE!</v>
      </c>
    </row>
    <row r="3464" spans="1:12" x14ac:dyDescent="0.35">
      <c r="A3464">
        <f t="shared" si="184"/>
        <v>3463</v>
      </c>
      <c r="B3464" t="s">
        <v>756</v>
      </c>
      <c r="C3464" s="109" t="str">
        <f>IF(ISBLANK(K3464),IFERROR(VLOOKUP(I3464,FS_input_data!$C$458:$N$648,Export!J3464,FALSE),""),K3464)</f>
        <v/>
      </c>
      <c r="D3464" s="6"/>
      <c r="E3464" t="s">
        <v>1561</v>
      </c>
      <c r="F3464" s="6"/>
      <c r="G3464" s="102" t="b">
        <f>VLOOKUP($I$3450,FS_input_data!$C$458:$N$648,Export!$J$3450,FALSE)=""</f>
        <v>0</v>
      </c>
      <c r="H3464" s="6" t="s">
        <v>2189</v>
      </c>
      <c r="I3464" t="s">
        <v>1561</v>
      </c>
      <c r="J3464" t="s">
        <v>1561</v>
      </c>
      <c r="L3464">
        <f t="shared" si="183"/>
        <v>1</v>
      </c>
    </row>
    <row r="3465" spans="1:12" x14ac:dyDescent="0.35">
      <c r="A3465" s="9">
        <f t="shared" si="184"/>
        <v>3464</v>
      </c>
      <c r="B3465" t="s">
        <v>757</v>
      </c>
      <c r="C3465" s="109">
        <f>IF(ISBLANK(K3465),IFERROR(VLOOKUP(I3465,FS_input_data!$C$458:$N$648,Export!J3465,FALSE),""),K3465)</f>
        <v>129</v>
      </c>
      <c r="D3465" s="6"/>
      <c r="E3465" t="s">
        <v>1561</v>
      </c>
      <c r="F3465" s="6"/>
      <c r="G3465" s="102" t="b">
        <f>VLOOKUP($I$3450,FS_input_data!$C$458:$N$648,Export!$J$3450,FALSE)=""</f>
        <v>0</v>
      </c>
      <c r="H3465" s="6" t="s">
        <v>2189</v>
      </c>
      <c r="I3465" t="s">
        <v>1870</v>
      </c>
      <c r="J3465">
        <v>3</v>
      </c>
      <c r="L3465" s="9" t="e">
        <f t="shared" si="183"/>
        <v>#VALUE!</v>
      </c>
    </row>
    <row r="3466" spans="1:12" x14ac:dyDescent="0.35">
      <c r="A3466">
        <f t="shared" si="184"/>
        <v>3465</v>
      </c>
      <c r="B3466" t="s">
        <v>758</v>
      </c>
      <c r="C3466" s="109" t="str">
        <f>IF(ISBLANK(K3466),IFERROR(VLOOKUP(I3466,FS_input_data!$C$458:$N$648,Export!J3466,FALSE),""),K3466)</f>
        <v/>
      </c>
      <c r="D3466" s="6"/>
      <c r="E3466" t="s">
        <v>1561</v>
      </c>
      <c r="F3466" s="6"/>
      <c r="G3466" s="102" t="b">
        <f>VLOOKUP($I$3450,FS_input_data!$C$458:$N$648,Export!$J$3450,FALSE)=""</f>
        <v>0</v>
      </c>
      <c r="H3466" s="6" t="s">
        <v>2189</v>
      </c>
      <c r="I3466" t="s">
        <v>1561</v>
      </c>
      <c r="J3466" t="s">
        <v>1561</v>
      </c>
      <c r="L3466">
        <f t="shared" si="183"/>
        <v>1</v>
      </c>
    </row>
    <row r="3467" spans="1:12" x14ac:dyDescent="0.35">
      <c r="A3467" s="9">
        <f t="shared" si="184"/>
        <v>3466</v>
      </c>
      <c r="B3467" t="s">
        <v>759</v>
      </c>
      <c r="C3467" s="109">
        <f>IF(ISBLANK(K3467),IFERROR(VLOOKUP(I3467,FS_input_data!$C$458:$N$648,Export!J3467,FALSE),""),K3467)</f>
        <v>229</v>
      </c>
      <c r="D3467" s="6"/>
      <c r="E3467" t="s">
        <v>1561</v>
      </c>
      <c r="F3467" s="6"/>
      <c r="G3467" s="102" t="b">
        <f>VLOOKUP($I$3450,FS_input_data!$C$458:$N$648,Export!$J$3450,FALSE)=""</f>
        <v>0</v>
      </c>
      <c r="H3467" s="6" t="s">
        <v>2189</v>
      </c>
      <c r="I3467" t="s">
        <v>1870</v>
      </c>
      <c r="J3467">
        <v>4</v>
      </c>
      <c r="L3467" s="9" t="e">
        <f t="shared" si="183"/>
        <v>#VALUE!</v>
      </c>
    </row>
    <row r="3468" spans="1:12" x14ac:dyDescent="0.35">
      <c r="A3468">
        <f t="shared" si="184"/>
        <v>3467</v>
      </c>
      <c r="B3468" t="s">
        <v>760</v>
      </c>
      <c r="C3468" s="109" t="str">
        <f>IF(ISBLANK(K3468),IFERROR(VLOOKUP(I3468,FS_input_data!$C$458:$N$648,Export!J3468,FALSE),""),K3468)</f>
        <v/>
      </c>
      <c r="D3468" s="6"/>
      <c r="E3468" t="s">
        <v>1561</v>
      </c>
      <c r="F3468" s="6"/>
      <c r="G3468" s="102" t="b">
        <f>VLOOKUP($I$3450,FS_input_data!$C$458:$N$648,Export!$J$3450,FALSE)=""</f>
        <v>0</v>
      </c>
      <c r="H3468" s="6" t="s">
        <v>2189</v>
      </c>
      <c r="I3468" t="s">
        <v>1561</v>
      </c>
      <c r="J3468" t="s">
        <v>1561</v>
      </c>
      <c r="L3468">
        <f t="shared" si="183"/>
        <v>1</v>
      </c>
    </row>
    <row r="3469" spans="1:12" x14ac:dyDescent="0.35">
      <c r="A3469" s="9">
        <f t="shared" si="184"/>
        <v>3468</v>
      </c>
      <c r="B3469" t="s">
        <v>761</v>
      </c>
      <c r="C3469" s="109" t="str">
        <f>IF(ISBLANK(K3469),IFERROR(VLOOKUP(I3469,FS_input_data!$C$458:$N$648,Export!J3469,FALSE),""),K3469)</f>
        <v>h</v>
      </c>
      <c r="D3469" s="6"/>
      <c r="E3469" t="s">
        <v>1561</v>
      </c>
      <c r="F3469" s="6"/>
      <c r="G3469" s="102" t="b">
        <f>VLOOKUP($I$3450,FS_input_data!$C$458:$N$648,Export!$J$3450,FALSE)=""</f>
        <v>0</v>
      </c>
      <c r="H3469" s="6" t="s">
        <v>2189</v>
      </c>
      <c r="I3469" t="s">
        <v>1870</v>
      </c>
      <c r="J3469">
        <v>5</v>
      </c>
      <c r="L3469" s="9" t="e">
        <f t="shared" si="183"/>
        <v>#VALUE!</v>
      </c>
    </row>
    <row r="3470" spans="1:12" x14ac:dyDescent="0.35">
      <c r="A3470">
        <f t="shared" si="184"/>
        <v>3469</v>
      </c>
      <c r="B3470" t="s">
        <v>762</v>
      </c>
      <c r="C3470" s="109" t="str">
        <f>IF(ISBLANK(K3470),IFERROR(VLOOKUP(I3470,FS_input_data!$C$458:$N$648,Export!J3470,FALSE),""),K3470)</f>
        <v/>
      </c>
      <c r="D3470" s="6"/>
      <c r="E3470" t="s">
        <v>1561</v>
      </c>
      <c r="F3470" s="6"/>
      <c r="G3470" s="102" t="b">
        <f>VLOOKUP($I$3450,FS_input_data!$C$458:$N$648,Export!$J$3450,FALSE)=""</f>
        <v>0</v>
      </c>
      <c r="H3470" s="6" t="s">
        <v>2189</v>
      </c>
      <c r="I3470" t="s">
        <v>1561</v>
      </c>
      <c r="J3470" t="s">
        <v>1561</v>
      </c>
      <c r="L3470">
        <f t="shared" si="183"/>
        <v>1</v>
      </c>
    </row>
    <row r="3471" spans="1:12" x14ac:dyDescent="0.35">
      <c r="A3471">
        <f t="shared" si="184"/>
        <v>3470</v>
      </c>
      <c r="B3471" t="s">
        <v>763</v>
      </c>
      <c r="C3471" s="109" t="str">
        <f>IF(ISBLANK(K3471),IFERROR(VLOOKUP(I3471,FS_input_data!$C$458:$N$648,Export!J3471,FALSE),""),K3471)</f>
        <v/>
      </c>
      <c r="D3471" s="6"/>
      <c r="E3471" t="s">
        <v>1561</v>
      </c>
      <c r="F3471" s="6"/>
      <c r="G3471" s="102" t="b">
        <f>VLOOKUP($I$3450,FS_input_data!$C$458:$N$648,Export!$J$3450,FALSE)=""</f>
        <v>0</v>
      </c>
      <c r="H3471" s="6" t="s">
        <v>2189</v>
      </c>
      <c r="I3471" t="s">
        <v>1561</v>
      </c>
      <c r="J3471" t="s">
        <v>1561</v>
      </c>
      <c r="L3471">
        <f t="shared" si="183"/>
        <v>1</v>
      </c>
    </row>
    <row r="3472" spans="1:12" x14ac:dyDescent="0.35">
      <c r="A3472">
        <f t="shared" si="184"/>
        <v>3471</v>
      </c>
      <c r="B3472" t="s">
        <v>743</v>
      </c>
      <c r="C3472" s="109" t="str">
        <f>IF(ISBLANK(K3472),IFERROR(VLOOKUP(I3472,FS_input_data!$C$458:$N$648,Export!J3472,FALSE),""),K3472)</f>
        <v/>
      </c>
      <c r="D3472" s="6"/>
      <c r="E3472" t="s">
        <v>1561</v>
      </c>
      <c r="F3472" s="6"/>
      <c r="G3472" s="102" t="b">
        <f>VLOOKUP($I$3450,FS_input_data!$C$458:$N$648,Export!$J$3450,FALSE)=""</f>
        <v>0</v>
      </c>
      <c r="H3472" s="6" t="s">
        <v>2189</v>
      </c>
      <c r="I3472" t="s">
        <v>1561</v>
      </c>
      <c r="J3472" t="s">
        <v>1561</v>
      </c>
      <c r="L3472">
        <f t="shared" si="183"/>
        <v>1</v>
      </c>
    </row>
    <row r="3473" spans="1:12" x14ac:dyDescent="0.35">
      <c r="A3473">
        <f t="shared" si="184"/>
        <v>3472</v>
      </c>
      <c r="B3473" t="s">
        <v>744</v>
      </c>
      <c r="C3473" s="109" t="str">
        <f>IF(ISBLANK(K3473),IFERROR(VLOOKUP(I3473,FS_input_data!$C$458:$N$648,Export!J3473,FALSE),""),K3473)</f>
        <v/>
      </c>
      <c r="D3473" s="6"/>
      <c r="E3473" t="s">
        <v>1561</v>
      </c>
      <c r="F3473" s="6"/>
      <c r="G3473" s="6" t="b">
        <f t="shared" ref="G3473:G3480" si="185">RP_tax</f>
        <v>1</v>
      </c>
      <c r="H3473" s="6" t="s">
        <v>2189</v>
      </c>
      <c r="I3473" t="s">
        <v>1561</v>
      </c>
      <c r="J3473" t="s">
        <v>1561</v>
      </c>
      <c r="L3473" s="9" t="e">
        <f t="shared" si="183"/>
        <v>#VALUE!</v>
      </c>
    </row>
    <row r="3474" spans="1:12" x14ac:dyDescent="0.35">
      <c r="A3474" s="9">
        <f t="shared" si="184"/>
        <v>3473</v>
      </c>
      <c r="B3474" t="s">
        <v>109</v>
      </c>
      <c r="C3474" s="109">
        <f>IF(ISBLANK(K3474),IFERROR(VLOOKUP(I3474,FS_input_data!$C$458:$N$648,Export!J3474,FALSE),""),K3474)</f>
        <v>29000</v>
      </c>
      <c r="D3474" s="6" t="b">
        <v>1</v>
      </c>
      <c r="E3474" t="s">
        <v>1561</v>
      </c>
      <c r="F3474" s="6"/>
      <c r="G3474" s="6" t="b">
        <f t="shared" si="185"/>
        <v>1</v>
      </c>
      <c r="H3474" s="6" t="s">
        <v>2189</v>
      </c>
      <c r="I3474" t="s">
        <v>1870</v>
      </c>
      <c r="J3474">
        <v>10</v>
      </c>
      <c r="L3474" s="9" t="e">
        <f t="shared" si="183"/>
        <v>#VALUE!</v>
      </c>
    </row>
    <row r="3475" spans="1:12" x14ac:dyDescent="0.35">
      <c r="A3475">
        <f t="shared" si="184"/>
        <v>3474</v>
      </c>
      <c r="B3475" t="s">
        <v>110</v>
      </c>
      <c r="C3475" s="109" t="str">
        <f>IF(ISBLANK(K3475),IFERROR(VLOOKUP(I3475,FS_input_data!$C$458:$N$648,Export!J3475,FALSE),""),K3475)</f>
        <v/>
      </c>
      <c r="D3475" s="6"/>
      <c r="E3475" t="s">
        <v>1561</v>
      </c>
      <c r="F3475" s="6"/>
      <c r="G3475" s="6" t="b">
        <f t="shared" si="185"/>
        <v>1</v>
      </c>
      <c r="H3475" s="6" t="s">
        <v>2189</v>
      </c>
      <c r="I3475" t="s">
        <v>1561</v>
      </c>
      <c r="J3475" t="s">
        <v>1561</v>
      </c>
      <c r="L3475">
        <f t="shared" si="183"/>
        <v>1</v>
      </c>
    </row>
    <row r="3476" spans="1:12" x14ac:dyDescent="0.35">
      <c r="A3476" s="9">
        <f t="shared" si="184"/>
        <v>3475</v>
      </c>
      <c r="B3476" t="s">
        <v>111</v>
      </c>
      <c r="C3476" s="109">
        <f>IF(ISBLANK(K3476),IFERROR(VLOOKUP(I3476,FS_input_data!$C$458:$N$648,Export!J3476,FALSE),""),K3476)</f>
        <v>14500</v>
      </c>
      <c r="D3476" s="6" t="b">
        <v>0</v>
      </c>
      <c r="E3476" t="s">
        <v>1561</v>
      </c>
      <c r="F3476" s="6"/>
      <c r="G3476" s="6" t="b">
        <f t="shared" si="185"/>
        <v>1</v>
      </c>
      <c r="H3476" s="6" t="s">
        <v>2189</v>
      </c>
      <c r="I3476" t="s">
        <v>1870</v>
      </c>
      <c r="J3476">
        <v>11</v>
      </c>
      <c r="L3476" s="9" t="e">
        <f t="shared" si="183"/>
        <v>#VALUE!</v>
      </c>
    </row>
    <row r="3477" spans="1:12" x14ac:dyDescent="0.35">
      <c r="A3477">
        <f t="shared" si="184"/>
        <v>3476</v>
      </c>
      <c r="B3477" t="s">
        <v>112</v>
      </c>
      <c r="C3477" s="109" t="str">
        <f>IF(ISBLANK(K3477),IFERROR(VLOOKUP(I3477,FS_input_data!$C$458:$N$648,Export!J3477,FALSE),""),K3477)</f>
        <v/>
      </c>
      <c r="D3477" s="6"/>
      <c r="E3477" t="s">
        <v>1561</v>
      </c>
      <c r="F3477" s="6"/>
      <c r="G3477" s="6" t="b">
        <f t="shared" si="185"/>
        <v>1</v>
      </c>
      <c r="H3477" s="6" t="s">
        <v>2189</v>
      </c>
      <c r="I3477" t="s">
        <v>1561</v>
      </c>
      <c r="J3477" t="s">
        <v>1561</v>
      </c>
      <c r="L3477">
        <f t="shared" si="183"/>
        <v>1</v>
      </c>
    </row>
    <row r="3478" spans="1:12" x14ac:dyDescent="0.35">
      <c r="A3478" s="9">
        <f t="shared" si="184"/>
        <v>3477</v>
      </c>
      <c r="B3478" t="s">
        <v>749</v>
      </c>
      <c r="C3478" s="109">
        <f>IF(ISBLANK(K3478),IFERROR(VLOOKUP(I3478,FS_input_data!$C$458:$N$648,Export!J3478,FALSE),""),K3478)</f>
        <v>14500</v>
      </c>
      <c r="D3478" s="6" t="b">
        <v>0</v>
      </c>
      <c r="E3478" t="s">
        <v>1561</v>
      </c>
      <c r="F3478" s="6"/>
      <c r="G3478" s="6" t="b">
        <f t="shared" si="185"/>
        <v>1</v>
      </c>
      <c r="H3478" s="6" t="s">
        <v>2189</v>
      </c>
      <c r="I3478" t="s">
        <v>1870</v>
      </c>
      <c r="J3478">
        <v>12</v>
      </c>
      <c r="L3478" s="9" t="e">
        <f t="shared" si="183"/>
        <v>#VALUE!</v>
      </c>
    </row>
    <row r="3479" spans="1:12" x14ac:dyDescent="0.35">
      <c r="A3479">
        <f t="shared" si="184"/>
        <v>3478</v>
      </c>
      <c r="B3479" t="s">
        <v>750</v>
      </c>
      <c r="C3479" s="109" t="str">
        <f>IF(ISBLANK(K3479),IFERROR(VLOOKUP(I3479,FS_input_data!$C$458:$N$648,Export!J3479,FALSE),""),K3479)</f>
        <v/>
      </c>
      <c r="D3479" s="6"/>
      <c r="E3479" t="s">
        <v>1561</v>
      </c>
      <c r="F3479" s="6"/>
      <c r="G3479" s="6" t="b">
        <f t="shared" si="185"/>
        <v>1</v>
      </c>
      <c r="H3479" s="6" t="s">
        <v>2189</v>
      </c>
      <c r="I3479" t="s">
        <v>1561</v>
      </c>
      <c r="J3479" t="s">
        <v>1561</v>
      </c>
      <c r="L3479">
        <f t="shared" si="183"/>
        <v>1</v>
      </c>
    </row>
    <row r="3480" spans="1:12" x14ac:dyDescent="0.35">
      <c r="A3480">
        <f t="shared" si="184"/>
        <v>3479</v>
      </c>
      <c r="B3480" t="s">
        <v>745</v>
      </c>
      <c r="C3480" s="109" t="str">
        <f>IF(ISBLANK(K3480),IFERROR(VLOOKUP(I3480,FS_input_data!$C$458:$N$648,Export!J3480,FALSE),""),K3480)</f>
        <v/>
      </c>
      <c r="D3480" s="6"/>
      <c r="E3480" t="s">
        <v>1561</v>
      </c>
      <c r="F3480" s="6"/>
      <c r="G3480" s="6" t="b">
        <f t="shared" si="185"/>
        <v>1</v>
      </c>
      <c r="H3480" s="6" t="s">
        <v>2189</v>
      </c>
      <c r="I3480" t="s">
        <v>1561</v>
      </c>
      <c r="J3480" t="s">
        <v>1561</v>
      </c>
      <c r="L3480">
        <f t="shared" si="183"/>
        <v>1</v>
      </c>
    </row>
    <row r="3481" spans="1:12" x14ac:dyDescent="0.35">
      <c r="A3481">
        <f t="shared" si="184"/>
        <v>3480</v>
      </c>
      <c r="B3481" t="s">
        <v>764</v>
      </c>
      <c r="C3481" s="109" t="str">
        <f>IF(ISBLANK(K3481),IFERROR(VLOOKUP(I3481,FS_input_data!$C$458:$N$648,Export!J3481,FALSE),""),K3481)</f>
        <v/>
      </c>
      <c r="D3481" s="6"/>
      <c r="E3481" t="s">
        <v>1561</v>
      </c>
      <c r="F3481" s="6"/>
      <c r="G3481" s="102" t="b">
        <f>VLOOKUP($I$3450,FS_input_data!$C$458:$N$648,Export!$J$3450,FALSE)=""</f>
        <v>0</v>
      </c>
      <c r="H3481" s="6" t="s">
        <v>2189</v>
      </c>
      <c r="I3481" t="s">
        <v>1561</v>
      </c>
      <c r="J3481" t="s">
        <v>1561</v>
      </c>
      <c r="L3481">
        <f t="shared" si="183"/>
        <v>1</v>
      </c>
    </row>
    <row r="3482" spans="1:12" x14ac:dyDescent="0.35">
      <c r="A3482">
        <f t="shared" si="184"/>
        <v>3481</v>
      </c>
      <c r="B3482" t="s">
        <v>765</v>
      </c>
      <c r="C3482" s="109" t="str">
        <f>IF(ISBLANK(K3482),IFERROR(VLOOKUP(I3482,FS_input_data!$C$458:$N$648,Export!J3482,FALSE),""),K3482)</f>
        <v/>
      </c>
      <c r="D3482" s="6"/>
      <c r="E3482" t="s">
        <v>1561</v>
      </c>
      <c r="F3482" s="6"/>
      <c r="G3482" s="102" t="b">
        <f>VLOOKUP($I$3450,FS_input_data!$C$458:$N$648,Export!$J$3450,FALSE)=""</f>
        <v>0</v>
      </c>
      <c r="H3482" s="6" t="s">
        <v>2189</v>
      </c>
      <c r="I3482" t="s">
        <v>1561</v>
      </c>
      <c r="J3482" t="s">
        <v>1561</v>
      </c>
      <c r="L3482">
        <f t="shared" si="183"/>
        <v>1</v>
      </c>
    </row>
    <row r="3483" spans="1:12" x14ac:dyDescent="0.35">
      <c r="A3483">
        <f t="shared" si="184"/>
        <v>3482</v>
      </c>
      <c r="B3483" t="s">
        <v>752</v>
      </c>
      <c r="C3483" s="109" t="str">
        <f>IF(ISBLANK(K3483),IFERROR(VLOOKUP(I3483,FS_input_data!$C$458:$N$648,Export!J3483,FALSE),""),K3483)</f>
        <v/>
      </c>
      <c r="D3483" s="6"/>
      <c r="E3483" t="s">
        <v>1561</v>
      </c>
      <c r="F3483" s="6"/>
      <c r="G3483" s="105" t="b">
        <f>VLOOKUP($I$3484,FS_input_data!$C$458:$N$648,Export!$J$3484,FALSE)=""</f>
        <v>0</v>
      </c>
      <c r="H3483" s="6" t="s">
        <v>2189</v>
      </c>
      <c r="I3483" t="s">
        <v>1561</v>
      </c>
      <c r="J3483" t="s">
        <v>1561</v>
      </c>
      <c r="L3483" s="9" t="e">
        <f t="shared" si="183"/>
        <v>#VALUE!</v>
      </c>
    </row>
    <row r="3484" spans="1:12" x14ac:dyDescent="0.35">
      <c r="A3484" s="9">
        <f t="shared" si="184"/>
        <v>3483</v>
      </c>
      <c r="B3484" t="s">
        <v>101</v>
      </c>
      <c r="C3484" s="109" t="str">
        <f>IF(ISBLANK(K3484),IFERROR(VLOOKUP(I3484,FS_input_data!$C$458:$N$648,Export!J3484,FALSE),""),K3484)</f>
        <v>OC8</v>
      </c>
      <c r="D3484" s="6"/>
      <c r="E3484" t="s">
        <v>1561</v>
      </c>
      <c r="F3484" s="6"/>
      <c r="G3484" s="105" t="b">
        <f>VLOOKUP($I$3484,FS_input_data!$C$458:$N$648,Export!$J$3484,FALSE)=""</f>
        <v>0</v>
      </c>
      <c r="H3484" s="6" t="s">
        <v>2189</v>
      </c>
      <c r="I3484" t="s">
        <v>1872</v>
      </c>
      <c r="J3484">
        <v>6</v>
      </c>
      <c r="L3484" s="9" t="e">
        <f t="shared" si="183"/>
        <v>#VALUE!</v>
      </c>
    </row>
    <row r="3485" spans="1:12" x14ac:dyDescent="0.35">
      <c r="A3485">
        <f t="shared" si="184"/>
        <v>3484</v>
      </c>
      <c r="B3485" t="s">
        <v>102</v>
      </c>
      <c r="C3485" s="109" t="str">
        <f>IF(ISBLANK(K3485),IFERROR(VLOOKUP(I3485,FS_input_data!$C$458:$N$648,Export!J3485,FALSE),""),K3485)</f>
        <v/>
      </c>
      <c r="D3485" s="6"/>
      <c r="E3485" t="s">
        <v>1561</v>
      </c>
      <c r="F3485" s="6"/>
      <c r="G3485" s="105" t="b">
        <f>VLOOKUP($I$3484,FS_input_data!$C$458:$N$648,Export!$J$3484,FALSE)=""</f>
        <v>0</v>
      </c>
      <c r="H3485" s="6" t="s">
        <v>2189</v>
      </c>
      <c r="I3485" t="s">
        <v>1561</v>
      </c>
      <c r="J3485" t="s">
        <v>1561</v>
      </c>
      <c r="L3485">
        <f t="shared" si="183"/>
        <v>1</v>
      </c>
    </row>
    <row r="3486" spans="1:12" x14ac:dyDescent="0.35">
      <c r="A3486">
        <f t="shared" si="184"/>
        <v>3485</v>
      </c>
      <c r="B3486" t="s">
        <v>753</v>
      </c>
      <c r="C3486" s="109" t="str">
        <f>IF(ISBLANK(K3486),IFERROR(VLOOKUP(I3486,FS_input_data!$C$458:$N$648,Export!J3486,FALSE),""),K3486)</f>
        <v/>
      </c>
      <c r="D3486" s="6"/>
      <c r="E3486" t="s">
        <v>1561</v>
      </c>
      <c r="F3486" s="6"/>
      <c r="G3486" s="105" t="b">
        <f>VLOOKUP($I$3484,FS_input_data!$C$458:$N$648,Export!$J$3484,FALSE)=""</f>
        <v>0</v>
      </c>
      <c r="H3486" s="6" t="s">
        <v>2189</v>
      </c>
      <c r="I3486" t="s">
        <v>1561</v>
      </c>
      <c r="J3486" t="s">
        <v>1561</v>
      </c>
      <c r="L3486" s="9" t="e">
        <f t="shared" si="183"/>
        <v>#VALUE!</v>
      </c>
    </row>
    <row r="3487" spans="1:12" x14ac:dyDescent="0.35">
      <c r="A3487">
        <f t="shared" si="184"/>
        <v>3486</v>
      </c>
      <c r="B3487" t="s">
        <v>742</v>
      </c>
      <c r="C3487" s="109" t="str">
        <f>IF(ISBLANK(K3487),IFERROR(VLOOKUP(I3487,FS_input_data!$C$458:$N$648,Export!J3487,FALSE),""),K3487)</f>
        <v/>
      </c>
      <c r="D3487" s="6"/>
      <c r="E3487" t="s">
        <v>1561</v>
      </c>
      <c r="F3487" s="6"/>
      <c r="G3487" s="105" t="b">
        <f>VLOOKUP($I$3484,FS_input_data!$C$458:$N$648,Export!$J$3484,FALSE)=""</f>
        <v>0</v>
      </c>
      <c r="H3487" s="6" t="s">
        <v>2189</v>
      </c>
      <c r="I3487" t="s">
        <v>1561</v>
      </c>
      <c r="J3487" t="s">
        <v>1561</v>
      </c>
      <c r="L3487" s="9" t="e">
        <f t="shared" si="183"/>
        <v>#VALUE!</v>
      </c>
    </row>
    <row r="3488" spans="1:12" x14ac:dyDescent="0.35">
      <c r="A3488">
        <f t="shared" si="184"/>
        <v>3487</v>
      </c>
      <c r="B3488" t="s">
        <v>748</v>
      </c>
      <c r="C3488" s="109" t="str">
        <f>IF(ISBLANK(K3488),IFERROR(VLOOKUP(I3488,FS_input_data!$C$458:$N$648,Export!J3488,FALSE),""),K3488)</f>
        <v/>
      </c>
      <c r="D3488" s="6"/>
      <c r="E3488" t="s">
        <v>1561</v>
      </c>
      <c r="F3488" s="6"/>
      <c r="G3488" s="105" t="b">
        <f>VLOOKUP($I$3484,FS_input_data!$C$458:$N$648,Export!$J$3484,FALSE)=""</f>
        <v>0</v>
      </c>
      <c r="H3488" s="6" t="s">
        <v>2189</v>
      </c>
      <c r="I3488" t="s">
        <v>1561</v>
      </c>
      <c r="J3488" t="s">
        <v>1561</v>
      </c>
      <c r="L3488" s="9" t="e">
        <f t="shared" si="183"/>
        <v>#VALUE!</v>
      </c>
    </row>
    <row r="3489" spans="1:12" x14ac:dyDescent="0.35">
      <c r="A3489" s="9">
        <f t="shared" si="184"/>
        <v>3488</v>
      </c>
      <c r="B3489" t="s">
        <v>109</v>
      </c>
      <c r="C3489" s="109">
        <f>IF(ISBLANK(K3489),IFERROR(VLOOKUP(I3489,FS_input_data!$C$458:$N$648,Export!J3489,FALSE),""),K3489)</f>
        <v>30000</v>
      </c>
      <c r="D3489" s="6" t="b">
        <v>1</v>
      </c>
      <c r="E3489" t="s">
        <v>1561</v>
      </c>
      <c r="F3489" s="6"/>
      <c r="G3489" s="105" t="b">
        <f>VLOOKUP($I$3484,FS_input_data!$C$458:$N$648,Export!$J$3484,FALSE)=""</f>
        <v>0</v>
      </c>
      <c r="H3489" s="6" t="s">
        <v>2189</v>
      </c>
      <c r="I3489" t="s">
        <v>1872</v>
      </c>
      <c r="J3489">
        <v>7</v>
      </c>
      <c r="L3489" s="9" t="e">
        <f t="shared" si="183"/>
        <v>#VALUE!</v>
      </c>
    </row>
    <row r="3490" spans="1:12" x14ac:dyDescent="0.35">
      <c r="A3490">
        <f t="shared" si="184"/>
        <v>3489</v>
      </c>
      <c r="B3490" t="s">
        <v>110</v>
      </c>
      <c r="C3490" s="109" t="str">
        <f>IF(ISBLANK(K3490),IFERROR(VLOOKUP(I3490,FS_input_data!$C$458:$N$648,Export!J3490,FALSE),""),K3490)</f>
        <v/>
      </c>
      <c r="D3490" s="6"/>
      <c r="E3490" t="s">
        <v>1561</v>
      </c>
      <c r="F3490" s="6"/>
      <c r="G3490" s="105" t="b">
        <f>VLOOKUP($I$3484,FS_input_data!$C$458:$N$648,Export!$J$3484,FALSE)=""</f>
        <v>0</v>
      </c>
      <c r="H3490" s="6" t="s">
        <v>2189</v>
      </c>
      <c r="I3490" t="s">
        <v>1561</v>
      </c>
      <c r="J3490" t="s">
        <v>1561</v>
      </c>
      <c r="L3490">
        <f t="shared" si="183"/>
        <v>1</v>
      </c>
    </row>
    <row r="3491" spans="1:12" x14ac:dyDescent="0.35">
      <c r="A3491" s="9">
        <f t="shared" si="184"/>
        <v>3490</v>
      </c>
      <c r="B3491" t="s">
        <v>111</v>
      </c>
      <c r="C3491" s="109">
        <f>IF(ISBLANK(K3491),IFERROR(VLOOKUP(I3491,FS_input_data!$C$458:$N$648,Export!J3491,FALSE),""),K3491)</f>
        <v>15000</v>
      </c>
      <c r="D3491" s="6" t="b">
        <v>0</v>
      </c>
      <c r="E3491" t="s">
        <v>1561</v>
      </c>
      <c r="F3491" s="6"/>
      <c r="G3491" s="105" t="b">
        <f>VLOOKUP($I$3484,FS_input_data!$C$458:$N$648,Export!$J$3484,FALSE)=""</f>
        <v>0</v>
      </c>
      <c r="H3491" s="6" t="s">
        <v>2189</v>
      </c>
      <c r="I3491" t="s">
        <v>1872</v>
      </c>
      <c r="J3491">
        <v>8</v>
      </c>
      <c r="L3491" s="9" t="e">
        <f t="shared" si="183"/>
        <v>#VALUE!</v>
      </c>
    </row>
    <row r="3492" spans="1:12" x14ac:dyDescent="0.35">
      <c r="A3492">
        <f t="shared" si="184"/>
        <v>3491</v>
      </c>
      <c r="B3492" t="s">
        <v>112</v>
      </c>
      <c r="C3492" s="109" t="str">
        <f>IF(ISBLANK(K3492),IFERROR(VLOOKUP(I3492,FS_input_data!$C$458:$N$648,Export!J3492,FALSE),""),K3492)</f>
        <v/>
      </c>
      <c r="D3492" s="6"/>
      <c r="E3492" t="s">
        <v>1561</v>
      </c>
      <c r="F3492" s="6"/>
      <c r="G3492" s="105" t="b">
        <f>VLOOKUP($I$3484,FS_input_data!$C$458:$N$648,Export!$J$3484,FALSE)=""</f>
        <v>0</v>
      </c>
      <c r="H3492" s="6" t="s">
        <v>2189</v>
      </c>
      <c r="I3492" t="s">
        <v>1561</v>
      </c>
      <c r="J3492" t="s">
        <v>1561</v>
      </c>
      <c r="L3492">
        <f t="shared" si="183"/>
        <v>1</v>
      </c>
    </row>
    <row r="3493" spans="1:12" x14ac:dyDescent="0.35">
      <c r="A3493" s="9">
        <f t="shared" si="184"/>
        <v>3492</v>
      </c>
      <c r="B3493" t="s">
        <v>749</v>
      </c>
      <c r="C3493" s="109">
        <f>IF(ISBLANK(K3493),IFERROR(VLOOKUP(I3493,FS_input_data!$C$458:$N$648,Export!J3493,FALSE),""),K3493)</f>
        <v>15000</v>
      </c>
      <c r="D3493" s="6" t="b">
        <v>0</v>
      </c>
      <c r="E3493" t="s">
        <v>1561</v>
      </c>
      <c r="F3493" s="6"/>
      <c r="G3493" s="105" t="b">
        <f>VLOOKUP($I$3484,FS_input_data!$C$458:$N$648,Export!$J$3484,FALSE)=""</f>
        <v>0</v>
      </c>
      <c r="H3493" s="6" t="s">
        <v>2189</v>
      </c>
      <c r="I3493" t="s">
        <v>1872</v>
      </c>
      <c r="J3493">
        <v>9</v>
      </c>
      <c r="L3493" s="9" t="e">
        <f t="shared" si="183"/>
        <v>#VALUE!</v>
      </c>
    </row>
    <row r="3494" spans="1:12" x14ac:dyDescent="0.35">
      <c r="A3494">
        <f t="shared" si="184"/>
        <v>3493</v>
      </c>
      <c r="B3494" t="s">
        <v>750</v>
      </c>
      <c r="C3494" s="109" t="str">
        <f>IF(ISBLANK(K3494),IFERROR(VLOOKUP(I3494,FS_input_data!$C$458:$N$648,Export!J3494,FALSE),""),K3494)</f>
        <v/>
      </c>
      <c r="D3494" s="6"/>
      <c r="E3494" t="s">
        <v>1561</v>
      </c>
      <c r="F3494" s="6"/>
      <c r="G3494" s="105" t="b">
        <f>VLOOKUP($I$3484,FS_input_data!$C$458:$N$648,Export!$J$3484,FALSE)=""</f>
        <v>0</v>
      </c>
      <c r="H3494" s="6" t="s">
        <v>2189</v>
      </c>
      <c r="I3494" t="s">
        <v>1561</v>
      </c>
      <c r="J3494" t="s">
        <v>1561</v>
      </c>
      <c r="L3494">
        <f t="shared" si="183"/>
        <v>1</v>
      </c>
    </row>
    <row r="3495" spans="1:12" x14ac:dyDescent="0.35">
      <c r="A3495">
        <f t="shared" si="184"/>
        <v>3494</v>
      </c>
      <c r="B3495" t="s">
        <v>751</v>
      </c>
      <c r="C3495" s="109" t="str">
        <f>IF(ISBLANK(K3495),IFERROR(VLOOKUP(I3495,FS_input_data!$C$458:$N$648,Export!J3495,FALSE),""),K3495)</f>
        <v/>
      </c>
      <c r="D3495" s="6"/>
      <c r="E3495" t="s">
        <v>1561</v>
      </c>
      <c r="F3495" s="6"/>
      <c r="G3495" s="105" t="b">
        <f>VLOOKUP($I$3484,FS_input_data!$C$458:$N$648,Export!$J$3484,FALSE)=""</f>
        <v>0</v>
      </c>
      <c r="H3495" s="6" t="s">
        <v>2189</v>
      </c>
      <c r="I3495" t="s">
        <v>1561</v>
      </c>
      <c r="J3495" t="s">
        <v>1561</v>
      </c>
      <c r="L3495">
        <f t="shared" si="183"/>
        <v>1</v>
      </c>
    </row>
    <row r="3496" spans="1:12" x14ac:dyDescent="0.35">
      <c r="A3496">
        <f t="shared" si="184"/>
        <v>3495</v>
      </c>
      <c r="B3496" t="s">
        <v>754</v>
      </c>
      <c r="C3496" s="109" t="str">
        <f>IF(ISBLANK(K3496),IFERROR(VLOOKUP(I3496,FS_input_data!$C$458:$N$648,Export!J3496,FALSE),""),K3496)</f>
        <v/>
      </c>
      <c r="D3496" s="6"/>
      <c r="E3496" t="s">
        <v>1561</v>
      </c>
      <c r="F3496" s="6"/>
      <c r="G3496" s="105" t="b">
        <f>VLOOKUP($I$3484,FS_input_data!$C$458:$N$648,Export!$J$3484,FALSE)=""</f>
        <v>0</v>
      </c>
      <c r="H3496" s="6" t="s">
        <v>2189</v>
      </c>
      <c r="I3496" t="s">
        <v>1561</v>
      </c>
      <c r="J3496" t="s">
        <v>1561</v>
      </c>
      <c r="L3496" s="9" t="e">
        <f t="shared" si="183"/>
        <v>#VALUE!</v>
      </c>
    </row>
    <row r="3497" spans="1:12" x14ac:dyDescent="0.35">
      <c r="A3497" s="9">
        <f t="shared" si="184"/>
        <v>3496</v>
      </c>
      <c r="B3497" t="s">
        <v>755</v>
      </c>
      <c r="C3497" s="109">
        <f>IF(ISBLANK(K3497),IFERROR(VLOOKUP(I3497,FS_input_data!$C$458:$N$648,Export!J3497,FALSE),""),K3497)</f>
        <v>30</v>
      </c>
      <c r="D3497" s="6" t="b">
        <v>1</v>
      </c>
      <c r="E3497" t="s">
        <v>1561</v>
      </c>
      <c r="F3497" s="6"/>
      <c r="G3497" s="105" t="b">
        <f>VLOOKUP($I$3484,FS_input_data!$C$458:$N$648,Export!$J$3484,FALSE)=""</f>
        <v>0</v>
      </c>
      <c r="H3497" s="6" t="s">
        <v>2189</v>
      </c>
      <c r="I3497" t="s">
        <v>1872</v>
      </c>
      <c r="J3497">
        <v>2</v>
      </c>
      <c r="L3497" s="9" t="e">
        <f t="shared" si="183"/>
        <v>#VALUE!</v>
      </c>
    </row>
    <row r="3498" spans="1:12" x14ac:dyDescent="0.35">
      <c r="A3498">
        <f t="shared" si="184"/>
        <v>3497</v>
      </c>
      <c r="B3498" t="s">
        <v>756</v>
      </c>
      <c r="C3498" s="109" t="str">
        <f>IF(ISBLANK(K3498),IFERROR(VLOOKUP(I3498,FS_input_data!$C$458:$N$648,Export!J3498,FALSE),""),K3498)</f>
        <v/>
      </c>
      <c r="D3498" s="6"/>
      <c r="E3498" t="s">
        <v>1561</v>
      </c>
      <c r="F3498" s="6"/>
      <c r="G3498" s="105" t="b">
        <f>VLOOKUP($I$3484,FS_input_data!$C$458:$N$648,Export!$J$3484,FALSE)=""</f>
        <v>0</v>
      </c>
      <c r="H3498" s="6" t="s">
        <v>2189</v>
      </c>
      <c r="I3498" t="s">
        <v>1561</v>
      </c>
      <c r="J3498" t="s">
        <v>1561</v>
      </c>
      <c r="L3498">
        <f t="shared" si="183"/>
        <v>1</v>
      </c>
    </row>
    <row r="3499" spans="1:12" x14ac:dyDescent="0.35">
      <c r="A3499" s="9">
        <f t="shared" si="184"/>
        <v>3498</v>
      </c>
      <c r="B3499" t="s">
        <v>757</v>
      </c>
      <c r="C3499" s="109">
        <f>IF(ISBLANK(K3499),IFERROR(VLOOKUP(I3499,FS_input_data!$C$458:$N$648,Export!J3499,FALSE),""),K3499)</f>
        <v>130</v>
      </c>
      <c r="D3499" s="6" t="b">
        <v>0</v>
      </c>
      <c r="E3499" t="s">
        <v>1561</v>
      </c>
      <c r="F3499" s="6"/>
      <c r="G3499" s="105" t="b">
        <f>VLOOKUP($I$3484,FS_input_data!$C$458:$N$648,Export!$J$3484,FALSE)=""</f>
        <v>0</v>
      </c>
      <c r="H3499" s="6" t="s">
        <v>2189</v>
      </c>
      <c r="I3499" t="s">
        <v>1872</v>
      </c>
      <c r="J3499">
        <v>3</v>
      </c>
      <c r="L3499" s="9" t="e">
        <f t="shared" si="183"/>
        <v>#VALUE!</v>
      </c>
    </row>
    <row r="3500" spans="1:12" x14ac:dyDescent="0.35">
      <c r="A3500">
        <f t="shared" si="184"/>
        <v>3499</v>
      </c>
      <c r="B3500" t="s">
        <v>758</v>
      </c>
      <c r="C3500" s="109" t="str">
        <f>IF(ISBLANK(K3500),IFERROR(VLOOKUP(I3500,FS_input_data!$C$458:$N$648,Export!J3500,FALSE),""),K3500)</f>
        <v/>
      </c>
      <c r="D3500" s="6"/>
      <c r="E3500" t="s">
        <v>1561</v>
      </c>
      <c r="F3500" s="6"/>
      <c r="G3500" s="105" t="b">
        <f>VLOOKUP($I$3484,FS_input_data!$C$458:$N$648,Export!$J$3484,FALSE)=""</f>
        <v>0</v>
      </c>
      <c r="H3500" s="6" t="s">
        <v>2189</v>
      </c>
      <c r="I3500" t="s">
        <v>1561</v>
      </c>
      <c r="J3500" t="s">
        <v>1561</v>
      </c>
      <c r="L3500">
        <f t="shared" si="183"/>
        <v>1</v>
      </c>
    </row>
    <row r="3501" spans="1:12" x14ac:dyDescent="0.35">
      <c r="A3501" s="9">
        <f t="shared" si="184"/>
        <v>3500</v>
      </c>
      <c r="B3501" t="s">
        <v>759</v>
      </c>
      <c r="C3501" s="109">
        <f>IF(ISBLANK(K3501),IFERROR(VLOOKUP(I3501,FS_input_data!$C$458:$N$648,Export!J3501,FALSE),""),K3501)</f>
        <v>230</v>
      </c>
      <c r="D3501" s="6" t="b">
        <v>0</v>
      </c>
      <c r="E3501" t="s">
        <v>1561</v>
      </c>
      <c r="F3501" s="6"/>
      <c r="G3501" s="105" t="b">
        <f>VLOOKUP($I$3484,FS_input_data!$C$458:$N$648,Export!$J$3484,FALSE)=""</f>
        <v>0</v>
      </c>
      <c r="H3501" s="6" t="s">
        <v>2189</v>
      </c>
      <c r="I3501" t="s">
        <v>1872</v>
      </c>
      <c r="J3501">
        <v>4</v>
      </c>
      <c r="L3501" s="9" t="e">
        <f t="shared" si="183"/>
        <v>#VALUE!</v>
      </c>
    </row>
    <row r="3502" spans="1:12" x14ac:dyDescent="0.35">
      <c r="A3502">
        <f t="shared" si="184"/>
        <v>3501</v>
      </c>
      <c r="B3502" t="s">
        <v>760</v>
      </c>
      <c r="C3502" s="109" t="str">
        <f>IF(ISBLANK(K3502),IFERROR(VLOOKUP(I3502,FS_input_data!$C$458:$N$648,Export!J3502,FALSE),""),K3502)</f>
        <v/>
      </c>
      <c r="D3502" s="6"/>
      <c r="E3502" t="s">
        <v>1561</v>
      </c>
      <c r="F3502" s="6"/>
      <c r="G3502" s="105" t="b">
        <f>VLOOKUP($I$3484,FS_input_data!$C$458:$N$648,Export!$J$3484,FALSE)=""</f>
        <v>0</v>
      </c>
      <c r="H3502" s="6" t="s">
        <v>2189</v>
      </c>
      <c r="I3502" t="s">
        <v>1561</v>
      </c>
      <c r="J3502" t="s">
        <v>1561</v>
      </c>
      <c r="L3502">
        <f t="shared" si="183"/>
        <v>1</v>
      </c>
    </row>
    <row r="3503" spans="1:12" x14ac:dyDescent="0.35">
      <c r="A3503" s="9">
        <f t="shared" si="184"/>
        <v>3502</v>
      </c>
      <c r="B3503" t="s">
        <v>761</v>
      </c>
      <c r="C3503" s="109" t="str">
        <f>IF(ISBLANK(K3503),IFERROR(VLOOKUP(I3503,FS_input_data!$C$458:$N$648,Export!J3503,FALSE),""),K3503)</f>
        <v>i</v>
      </c>
      <c r="D3503" s="6"/>
      <c r="E3503" t="s">
        <v>1561</v>
      </c>
      <c r="F3503" s="6"/>
      <c r="G3503" s="105" t="b">
        <f>VLOOKUP($I$3484,FS_input_data!$C$458:$N$648,Export!$J$3484,FALSE)=""</f>
        <v>0</v>
      </c>
      <c r="H3503" s="6" t="s">
        <v>2189</v>
      </c>
      <c r="I3503" t="s">
        <v>1872</v>
      </c>
      <c r="J3503">
        <v>5</v>
      </c>
      <c r="L3503" s="9" t="e">
        <f t="shared" si="183"/>
        <v>#VALUE!</v>
      </c>
    </row>
    <row r="3504" spans="1:12" x14ac:dyDescent="0.35">
      <c r="A3504">
        <f t="shared" si="184"/>
        <v>3503</v>
      </c>
      <c r="B3504" t="s">
        <v>762</v>
      </c>
      <c r="C3504" s="109" t="str">
        <f>IF(ISBLANK(K3504),IFERROR(VLOOKUP(I3504,FS_input_data!$C$458:$N$648,Export!J3504,FALSE),""),K3504)</f>
        <v/>
      </c>
      <c r="D3504" s="6"/>
      <c r="E3504" t="s">
        <v>1561</v>
      </c>
      <c r="F3504" s="6"/>
      <c r="G3504" s="105" t="b">
        <f>VLOOKUP($I$3484,FS_input_data!$C$458:$N$648,Export!$J$3484,FALSE)=""</f>
        <v>0</v>
      </c>
      <c r="H3504" s="6" t="s">
        <v>2189</v>
      </c>
      <c r="I3504" t="s">
        <v>1561</v>
      </c>
      <c r="J3504" t="s">
        <v>1561</v>
      </c>
      <c r="L3504">
        <f t="shared" si="183"/>
        <v>1</v>
      </c>
    </row>
    <row r="3505" spans="1:12" x14ac:dyDescent="0.35">
      <c r="A3505">
        <f t="shared" si="184"/>
        <v>3504</v>
      </c>
      <c r="B3505" t="s">
        <v>763</v>
      </c>
      <c r="C3505" s="109" t="str">
        <f>IF(ISBLANK(K3505),IFERROR(VLOOKUP(I3505,FS_input_data!$C$458:$N$648,Export!J3505,FALSE),""),K3505)</f>
        <v/>
      </c>
      <c r="D3505" s="6"/>
      <c r="E3505" t="s">
        <v>1561</v>
      </c>
      <c r="F3505" s="6"/>
      <c r="G3505" s="105" t="b">
        <f>VLOOKUP($I$3484,FS_input_data!$C$458:$N$648,Export!$J$3484,FALSE)=""</f>
        <v>0</v>
      </c>
      <c r="H3505" s="6" t="s">
        <v>2189</v>
      </c>
      <c r="I3505" t="s">
        <v>1561</v>
      </c>
      <c r="J3505" t="s">
        <v>1561</v>
      </c>
      <c r="L3505">
        <f t="shared" si="183"/>
        <v>1</v>
      </c>
    </row>
    <row r="3506" spans="1:12" x14ac:dyDescent="0.35">
      <c r="A3506">
        <f t="shared" si="184"/>
        <v>3505</v>
      </c>
      <c r="B3506" t="s">
        <v>743</v>
      </c>
      <c r="C3506" s="109" t="str">
        <f>IF(ISBLANK(K3506),IFERROR(VLOOKUP(I3506,FS_input_data!$C$458:$N$648,Export!J3506,FALSE),""),K3506)</f>
        <v/>
      </c>
      <c r="D3506" s="6"/>
      <c r="E3506" t="s">
        <v>1561</v>
      </c>
      <c r="F3506" s="6"/>
      <c r="G3506" s="105" t="b">
        <f>VLOOKUP($I$3484,FS_input_data!$C$458:$N$648,Export!$J$3484,FALSE)=""</f>
        <v>0</v>
      </c>
      <c r="H3506" s="6" t="s">
        <v>2189</v>
      </c>
      <c r="I3506" t="s">
        <v>1561</v>
      </c>
      <c r="J3506" t="s">
        <v>1561</v>
      </c>
      <c r="L3506">
        <f t="shared" si="183"/>
        <v>1</v>
      </c>
    </row>
    <row r="3507" spans="1:12" x14ac:dyDescent="0.35">
      <c r="A3507">
        <f t="shared" si="184"/>
        <v>3506</v>
      </c>
      <c r="B3507" t="s">
        <v>744</v>
      </c>
      <c r="C3507" s="109" t="str">
        <f>IF(ISBLANK(K3507),IFERROR(VLOOKUP(I3507,FS_input_data!$C$458:$N$648,Export!J3507,FALSE),""),K3507)</f>
        <v/>
      </c>
      <c r="D3507" s="6"/>
      <c r="E3507" t="s">
        <v>1561</v>
      </c>
      <c r="F3507" s="6"/>
      <c r="G3507" s="6" t="b">
        <f t="shared" ref="G3507:G3514" si="186">RP_tax</f>
        <v>1</v>
      </c>
      <c r="H3507" s="6" t="s">
        <v>2189</v>
      </c>
      <c r="I3507" t="s">
        <v>1561</v>
      </c>
      <c r="J3507" t="s">
        <v>1561</v>
      </c>
      <c r="L3507" s="9" t="e">
        <f t="shared" si="183"/>
        <v>#VALUE!</v>
      </c>
    </row>
    <row r="3508" spans="1:12" x14ac:dyDescent="0.35">
      <c r="A3508" s="9">
        <f t="shared" si="184"/>
        <v>3507</v>
      </c>
      <c r="B3508" t="s">
        <v>109</v>
      </c>
      <c r="C3508" s="109">
        <f>IF(ISBLANK(K3508),IFERROR(VLOOKUP(I3508,FS_input_data!$C$458:$N$648,Export!J3508,FALSE),""),K3508)</f>
        <v>30000</v>
      </c>
      <c r="D3508" s="6" t="b">
        <v>1</v>
      </c>
      <c r="E3508" t="s">
        <v>1561</v>
      </c>
      <c r="F3508" s="6"/>
      <c r="G3508" s="6" t="b">
        <f t="shared" si="186"/>
        <v>1</v>
      </c>
      <c r="H3508" s="6" t="s">
        <v>2189</v>
      </c>
      <c r="I3508" t="s">
        <v>1872</v>
      </c>
      <c r="J3508">
        <v>10</v>
      </c>
      <c r="L3508" s="9" t="e">
        <f t="shared" si="183"/>
        <v>#VALUE!</v>
      </c>
    </row>
    <row r="3509" spans="1:12" x14ac:dyDescent="0.35">
      <c r="A3509">
        <f t="shared" si="184"/>
        <v>3508</v>
      </c>
      <c r="B3509" t="s">
        <v>110</v>
      </c>
      <c r="C3509" s="109" t="str">
        <f>IF(ISBLANK(K3509),IFERROR(VLOOKUP(I3509,FS_input_data!$C$458:$N$648,Export!J3509,FALSE),""),K3509)</f>
        <v/>
      </c>
      <c r="D3509" s="6"/>
      <c r="E3509" t="s">
        <v>1561</v>
      </c>
      <c r="F3509" s="6"/>
      <c r="G3509" s="6" t="b">
        <f t="shared" si="186"/>
        <v>1</v>
      </c>
      <c r="H3509" s="6" t="s">
        <v>2189</v>
      </c>
      <c r="I3509" t="s">
        <v>1561</v>
      </c>
      <c r="J3509" t="s">
        <v>1561</v>
      </c>
      <c r="L3509">
        <f t="shared" si="183"/>
        <v>1</v>
      </c>
    </row>
    <row r="3510" spans="1:12" x14ac:dyDescent="0.35">
      <c r="A3510" s="9">
        <f t="shared" si="184"/>
        <v>3509</v>
      </c>
      <c r="B3510" t="s">
        <v>111</v>
      </c>
      <c r="C3510" s="109">
        <f>IF(ISBLANK(K3510),IFERROR(VLOOKUP(I3510,FS_input_data!$C$458:$N$648,Export!J3510,FALSE),""),K3510)</f>
        <v>15000</v>
      </c>
      <c r="D3510" s="6" t="b">
        <v>0</v>
      </c>
      <c r="E3510" t="s">
        <v>1561</v>
      </c>
      <c r="F3510" s="6"/>
      <c r="G3510" s="6" t="b">
        <f t="shared" si="186"/>
        <v>1</v>
      </c>
      <c r="H3510" s="6" t="s">
        <v>2189</v>
      </c>
      <c r="I3510" t="s">
        <v>1872</v>
      </c>
      <c r="J3510">
        <v>11</v>
      </c>
      <c r="L3510" s="9" t="e">
        <f t="shared" si="183"/>
        <v>#VALUE!</v>
      </c>
    </row>
    <row r="3511" spans="1:12" x14ac:dyDescent="0.35">
      <c r="A3511">
        <f t="shared" si="184"/>
        <v>3510</v>
      </c>
      <c r="B3511" t="s">
        <v>112</v>
      </c>
      <c r="C3511" s="109" t="str">
        <f>IF(ISBLANK(K3511),IFERROR(VLOOKUP(I3511,FS_input_data!$C$458:$N$648,Export!J3511,FALSE),""),K3511)</f>
        <v/>
      </c>
      <c r="D3511" s="6"/>
      <c r="E3511" t="s">
        <v>1561</v>
      </c>
      <c r="F3511" s="6"/>
      <c r="G3511" s="6" t="b">
        <f t="shared" si="186"/>
        <v>1</v>
      </c>
      <c r="H3511" s="6" t="s">
        <v>2189</v>
      </c>
      <c r="I3511" t="s">
        <v>1561</v>
      </c>
      <c r="J3511" t="s">
        <v>1561</v>
      </c>
      <c r="L3511">
        <f t="shared" si="183"/>
        <v>1</v>
      </c>
    </row>
    <row r="3512" spans="1:12" x14ac:dyDescent="0.35">
      <c r="A3512" s="9">
        <f t="shared" si="184"/>
        <v>3511</v>
      </c>
      <c r="B3512" t="s">
        <v>749</v>
      </c>
      <c r="C3512" s="109">
        <f>IF(ISBLANK(K3512),IFERROR(VLOOKUP(I3512,FS_input_data!$C$458:$N$648,Export!J3512,FALSE),""),K3512)</f>
        <v>15000</v>
      </c>
      <c r="D3512" s="6" t="b">
        <v>0</v>
      </c>
      <c r="E3512" t="s">
        <v>1561</v>
      </c>
      <c r="F3512" s="6"/>
      <c r="G3512" s="6" t="b">
        <f t="shared" si="186"/>
        <v>1</v>
      </c>
      <c r="H3512" s="6" t="s">
        <v>2189</v>
      </c>
      <c r="I3512" t="s">
        <v>1872</v>
      </c>
      <c r="J3512">
        <v>12</v>
      </c>
      <c r="L3512" s="9" t="e">
        <f t="shared" si="183"/>
        <v>#VALUE!</v>
      </c>
    </row>
    <row r="3513" spans="1:12" x14ac:dyDescent="0.35">
      <c r="A3513">
        <f t="shared" si="184"/>
        <v>3512</v>
      </c>
      <c r="B3513" t="s">
        <v>750</v>
      </c>
      <c r="C3513" s="109" t="str">
        <f>IF(ISBLANK(K3513),IFERROR(VLOOKUP(I3513,FS_input_data!$C$458:$N$648,Export!J3513,FALSE),""),K3513)</f>
        <v/>
      </c>
      <c r="D3513" s="6"/>
      <c r="E3513" t="s">
        <v>1561</v>
      </c>
      <c r="F3513" s="6"/>
      <c r="G3513" s="6" t="b">
        <f t="shared" si="186"/>
        <v>1</v>
      </c>
      <c r="H3513" s="6" t="s">
        <v>2189</v>
      </c>
      <c r="I3513" t="s">
        <v>1561</v>
      </c>
      <c r="J3513" t="s">
        <v>1561</v>
      </c>
      <c r="L3513">
        <f t="shared" si="183"/>
        <v>1</v>
      </c>
    </row>
    <row r="3514" spans="1:12" x14ac:dyDescent="0.35">
      <c r="A3514">
        <f t="shared" si="184"/>
        <v>3513</v>
      </c>
      <c r="B3514" t="s">
        <v>745</v>
      </c>
      <c r="C3514" s="109" t="str">
        <f>IF(ISBLANK(K3514),IFERROR(VLOOKUP(I3514,FS_input_data!$C$458:$N$648,Export!J3514,FALSE),""),K3514)</f>
        <v/>
      </c>
      <c r="D3514" s="6"/>
      <c r="E3514" t="s">
        <v>1561</v>
      </c>
      <c r="F3514" s="6"/>
      <c r="G3514" s="6" t="b">
        <f t="shared" si="186"/>
        <v>1</v>
      </c>
      <c r="H3514" s="6" t="s">
        <v>2189</v>
      </c>
      <c r="I3514" t="s">
        <v>1561</v>
      </c>
      <c r="J3514" t="s">
        <v>1561</v>
      </c>
      <c r="L3514">
        <f t="shared" si="183"/>
        <v>1</v>
      </c>
    </row>
    <row r="3515" spans="1:12" x14ac:dyDescent="0.35">
      <c r="A3515">
        <f t="shared" si="184"/>
        <v>3514</v>
      </c>
      <c r="B3515" t="s">
        <v>764</v>
      </c>
      <c r="C3515" s="109" t="str">
        <f>IF(ISBLANK(K3515),IFERROR(VLOOKUP(I3515,FS_input_data!$C$458:$N$648,Export!J3515,FALSE),""),K3515)</f>
        <v/>
      </c>
      <c r="D3515" s="6"/>
      <c r="E3515" t="s">
        <v>1561</v>
      </c>
      <c r="F3515" s="6"/>
      <c r="G3515" s="105" t="b">
        <f>VLOOKUP($I$3484,FS_input_data!$C$458:$N$648,Export!$J$3484,FALSE)=""</f>
        <v>0</v>
      </c>
      <c r="H3515" s="6" t="s">
        <v>2189</v>
      </c>
      <c r="I3515" t="s">
        <v>1561</v>
      </c>
      <c r="J3515" t="s">
        <v>1561</v>
      </c>
      <c r="L3515">
        <f t="shared" si="183"/>
        <v>1</v>
      </c>
    </row>
    <row r="3516" spans="1:12" x14ac:dyDescent="0.35">
      <c r="A3516">
        <f t="shared" si="184"/>
        <v>3515</v>
      </c>
      <c r="B3516" t="s">
        <v>765</v>
      </c>
      <c r="C3516" s="109" t="str">
        <f>IF(ISBLANK(K3516),IFERROR(VLOOKUP(I3516,FS_input_data!$C$458:$N$648,Export!J3516,FALSE),""),K3516)</f>
        <v/>
      </c>
      <c r="D3516" s="6"/>
      <c r="E3516" t="s">
        <v>1561</v>
      </c>
      <c r="F3516" s="6"/>
      <c r="G3516" s="105" t="b">
        <f>VLOOKUP($I$3484,FS_input_data!$C$458:$N$648,Export!$J$3484,FALSE)=""</f>
        <v>0</v>
      </c>
      <c r="H3516" s="6" t="s">
        <v>2189</v>
      </c>
      <c r="I3516" t="s">
        <v>1561</v>
      </c>
      <c r="J3516" t="s">
        <v>1561</v>
      </c>
      <c r="L3516">
        <f t="shared" si="183"/>
        <v>1</v>
      </c>
    </row>
    <row r="3517" spans="1:12" x14ac:dyDescent="0.35">
      <c r="A3517">
        <f t="shared" si="184"/>
        <v>3516</v>
      </c>
      <c r="B3517" t="s">
        <v>752</v>
      </c>
      <c r="C3517" s="109" t="str">
        <f>IF(ISBLANK(K3517),IFERROR(VLOOKUP(I3517,FS_input_data!$C$458:$N$648,Export!J3517,FALSE),""),K3517)</f>
        <v/>
      </c>
      <c r="D3517" s="6"/>
      <c r="E3517" t="s">
        <v>1561</v>
      </c>
      <c r="F3517" s="6"/>
      <c r="G3517" s="102" t="b">
        <f>VLOOKUP($I$3518,FS_input_data!$C$458:$N$648,Export!$J$3518,FALSE)=""</f>
        <v>0</v>
      </c>
      <c r="H3517" s="6" t="s">
        <v>2189</v>
      </c>
      <c r="I3517" t="s">
        <v>1561</v>
      </c>
      <c r="J3517" t="s">
        <v>1561</v>
      </c>
      <c r="L3517" s="9" t="e">
        <f t="shared" si="183"/>
        <v>#VALUE!</v>
      </c>
    </row>
    <row r="3518" spans="1:12" x14ac:dyDescent="0.35">
      <c r="A3518" s="9">
        <f t="shared" si="184"/>
        <v>3517</v>
      </c>
      <c r="B3518" t="s">
        <v>101</v>
      </c>
      <c r="C3518" s="109" t="str">
        <f>IF(ISBLANK(K3518),IFERROR(VLOOKUP(I3518,FS_input_data!$C$458:$N$648,Export!J3518,FALSE),""),K3518)</f>
        <v>OC9</v>
      </c>
      <c r="D3518" s="6"/>
      <c r="E3518" t="s">
        <v>1561</v>
      </c>
      <c r="F3518" s="6"/>
      <c r="G3518" s="102" t="b">
        <f>VLOOKUP($I$3518,FS_input_data!$C$458:$N$648,Export!$J$3518,FALSE)=""</f>
        <v>0</v>
      </c>
      <c r="H3518" s="6" t="s">
        <v>2189</v>
      </c>
      <c r="I3518" t="s">
        <v>1874</v>
      </c>
      <c r="J3518">
        <v>6</v>
      </c>
      <c r="L3518" s="9" t="e">
        <f t="shared" si="183"/>
        <v>#VALUE!</v>
      </c>
    </row>
    <row r="3519" spans="1:12" x14ac:dyDescent="0.35">
      <c r="A3519">
        <f t="shared" si="184"/>
        <v>3518</v>
      </c>
      <c r="B3519" t="s">
        <v>102</v>
      </c>
      <c r="C3519" s="109" t="str">
        <f>IF(ISBLANK(K3519),IFERROR(VLOOKUP(I3519,FS_input_data!$C$458:$N$648,Export!J3519,FALSE),""),K3519)</f>
        <v/>
      </c>
      <c r="D3519" s="6"/>
      <c r="E3519" t="s">
        <v>1561</v>
      </c>
      <c r="F3519" s="6"/>
      <c r="G3519" s="102" t="b">
        <f>VLOOKUP($I$3518,FS_input_data!$C$458:$N$648,Export!$J$3518,FALSE)=""</f>
        <v>0</v>
      </c>
      <c r="H3519" s="6" t="s">
        <v>2189</v>
      </c>
      <c r="I3519" t="s">
        <v>1561</v>
      </c>
      <c r="J3519" t="s">
        <v>1561</v>
      </c>
      <c r="L3519">
        <f t="shared" si="183"/>
        <v>1</v>
      </c>
    </row>
    <row r="3520" spans="1:12" x14ac:dyDescent="0.35">
      <c r="A3520">
        <f t="shared" si="184"/>
        <v>3519</v>
      </c>
      <c r="B3520" t="s">
        <v>753</v>
      </c>
      <c r="C3520" s="109" t="str">
        <f>IF(ISBLANK(K3520),IFERROR(VLOOKUP(I3520,FS_input_data!$C$458:$N$648,Export!J3520,FALSE),""),K3520)</f>
        <v/>
      </c>
      <c r="D3520" s="6"/>
      <c r="E3520" t="s">
        <v>1561</v>
      </c>
      <c r="F3520" s="6"/>
      <c r="G3520" s="102" t="b">
        <f>VLOOKUP($I$3518,FS_input_data!$C$458:$N$648,Export!$J$3518,FALSE)=""</f>
        <v>0</v>
      </c>
      <c r="H3520" s="6" t="s">
        <v>2189</v>
      </c>
      <c r="I3520" t="s">
        <v>1561</v>
      </c>
      <c r="J3520" t="s">
        <v>1561</v>
      </c>
      <c r="L3520" s="9" t="e">
        <f t="shared" si="183"/>
        <v>#VALUE!</v>
      </c>
    </row>
    <row r="3521" spans="1:12" x14ac:dyDescent="0.35">
      <c r="A3521">
        <f t="shared" si="184"/>
        <v>3520</v>
      </c>
      <c r="B3521" t="s">
        <v>742</v>
      </c>
      <c r="C3521" s="109" t="str">
        <f>IF(ISBLANK(K3521),IFERROR(VLOOKUP(I3521,FS_input_data!$C$458:$N$648,Export!J3521,FALSE),""),K3521)</f>
        <v/>
      </c>
      <c r="D3521" s="6"/>
      <c r="E3521" t="s">
        <v>1561</v>
      </c>
      <c r="F3521" s="6"/>
      <c r="G3521" s="102" t="b">
        <f>VLOOKUP($I$3518,FS_input_data!$C$458:$N$648,Export!$J$3518,FALSE)=""</f>
        <v>0</v>
      </c>
      <c r="H3521" s="6" t="s">
        <v>2189</v>
      </c>
      <c r="I3521" t="s">
        <v>1561</v>
      </c>
      <c r="J3521" t="s">
        <v>1561</v>
      </c>
      <c r="L3521" s="9" t="e">
        <f t="shared" si="183"/>
        <v>#VALUE!</v>
      </c>
    </row>
    <row r="3522" spans="1:12" x14ac:dyDescent="0.35">
      <c r="A3522">
        <f t="shared" si="184"/>
        <v>3521</v>
      </c>
      <c r="B3522" t="s">
        <v>748</v>
      </c>
      <c r="C3522" s="109" t="str">
        <f>IF(ISBLANK(K3522),IFERROR(VLOOKUP(I3522,FS_input_data!$C$458:$N$648,Export!J3522,FALSE),""),K3522)</f>
        <v/>
      </c>
      <c r="D3522" s="6"/>
      <c r="E3522" t="s">
        <v>1561</v>
      </c>
      <c r="F3522" s="6"/>
      <c r="G3522" s="102" t="b">
        <f>VLOOKUP($I$3518,FS_input_data!$C$458:$N$648,Export!$J$3518,FALSE)=""</f>
        <v>0</v>
      </c>
      <c r="H3522" s="6" t="s">
        <v>2189</v>
      </c>
      <c r="I3522" t="s">
        <v>1561</v>
      </c>
      <c r="J3522" t="s">
        <v>1561</v>
      </c>
      <c r="L3522" s="9" t="e">
        <f t="shared" ref="L3522:L3585" si="187">FIND("/",B3522)</f>
        <v>#VALUE!</v>
      </c>
    </row>
    <row r="3523" spans="1:12" x14ac:dyDescent="0.35">
      <c r="A3523" s="9">
        <f t="shared" ref="A3523:A3586" si="188">A3522+1</f>
        <v>3522</v>
      </c>
      <c r="B3523" t="s">
        <v>109</v>
      </c>
      <c r="C3523" s="109">
        <f>IF(ISBLANK(K3523),IFERROR(VLOOKUP(I3523,FS_input_data!$C$458:$N$648,Export!J3523,FALSE),""),K3523)</f>
        <v>31000</v>
      </c>
      <c r="D3523" s="6" t="b">
        <v>1</v>
      </c>
      <c r="E3523" t="s">
        <v>1561</v>
      </c>
      <c r="F3523" s="6"/>
      <c r="G3523" s="102" t="b">
        <f>VLOOKUP($I$3518,FS_input_data!$C$458:$N$648,Export!$J$3518,FALSE)=""</f>
        <v>0</v>
      </c>
      <c r="H3523" s="6" t="s">
        <v>2189</v>
      </c>
      <c r="I3523" t="s">
        <v>1874</v>
      </c>
      <c r="J3523">
        <v>7</v>
      </c>
      <c r="L3523" s="9" t="e">
        <f t="shared" si="187"/>
        <v>#VALUE!</v>
      </c>
    </row>
    <row r="3524" spans="1:12" x14ac:dyDescent="0.35">
      <c r="A3524">
        <f t="shared" si="188"/>
        <v>3523</v>
      </c>
      <c r="B3524" t="s">
        <v>110</v>
      </c>
      <c r="C3524" s="109" t="str">
        <f>IF(ISBLANK(K3524),IFERROR(VLOOKUP(I3524,FS_input_data!$C$458:$N$648,Export!J3524,FALSE),""),K3524)</f>
        <v/>
      </c>
      <c r="D3524" s="6"/>
      <c r="E3524" t="s">
        <v>1561</v>
      </c>
      <c r="F3524" s="6"/>
      <c r="G3524" s="102" t="b">
        <f>VLOOKUP($I$3518,FS_input_data!$C$458:$N$648,Export!$J$3518,FALSE)=""</f>
        <v>0</v>
      </c>
      <c r="H3524" s="6" t="s">
        <v>2189</v>
      </c>
      <c r="I3524" t="s">
        <v>1561</v>
      </c>
      <c r="J3524" t="s">
        <v>1561</v>
      </c>
      <c r="L3524">
        <f t="shared" si="187"/>
        <v>1</v>
      </c>
    </row>
    <row r="3525" spans="1:12" x14ac:dyDescent="0.35">
      <c r="A3525" s="9">
        <f t="shared" si="188"/>
        <v>3524</v>
      </c>
      <c r="B3525" t="s">
        <v>111</v>
      </c>
      <c r="C3525" s="109">
        <f>IF(ISBLANK(K3525),IFERROR(VLOOKUP(I3525,FS_input_data!$C$458:$N$648,Export!J3525,FALSE),""),K3525)</f>
        <v>15500</v>
      </c>
      <c r="D3525" s="6" t="b">
        <v>0</v>
      </c>
      <c r="E3525" t="s">
        <v>1561</v>
      </c>
      <c r="F3525" s="6"/>
      <c r="G3525" s="102" t="b">
        <f>VLOOKUP($I$3518,FS_input_data!$C$458:$N$648,Export!$J$3518,FALSE)=""</f>
        <v>0</v>
      </c>
      <c r="H3525" s="6" t="s">
        <v>2189</v>
      </c>
      <c r="I3525" t="s">
        <v>1874</v>
      </c>
      <c r="J3525">
        <v>8</v>
      </c>
      <c r="L3525" s="9" t="e">
        <f t="shared" si="187"/>
        <v>#VALUE!</v>
      </c>
    </row>
    <row r="3526" spans="1:12" x14ac:dyDescent="0.35">
      <c r="A3526">
        <f t="shared" si="188"/>
        <v>3525</v>
      </c>
      <c r="B3526" t="s">
        <v>112</v>
      </c>
      <c r="C3526" s="109" t="str">
        <f>IF(ISBLANK(K3526),IFERROR(VLOOKUP(I3526,FS_input_data!$C$458:$N$648,Export!J3526,FALSE),""),K3526)</f>
        <v/>
      </c>
      <c r="D3526" s="6"/>
      <c r="E3526" t="s">
        <v>1561</v>
      </c>
      <c r="F3526" s="6"/>
      <c r="G3526" s="102" t="b">
        <f>VLOOKUP($I$3518,FS_input_data!$C$458:$N$648,Export!$J$3518,FALSE)=""</f>
        <v>0</v>
      </c>
      <c r="H3526" s="6" t="s">
        <v>2189</v>
      </c>
      <c r="I3526" t="s">
        <v>1561</v>
      </c>
      <c r="J3526" t="s">
        <v>1561</v>
      </c>
      <c r="L3526">
        <f t="shared" si="187"/>
        <v>1</v>
      </c>
    </row>
    <row r="3527" spans="1:12" x14ac:dyDescent="0.35">
      <c r="A3527" s="9">
        <f t="shared" si="188"/>
        <v>3526</v>
      </c>
      <c r="B3527" t="s">
        <v>749</v>
      </c>
      <c r="C3527" s="109">
        <f>IF(ISBLANK(K3527),IFERROR(VLOOKUP(I3527,FS_input_data!$C$458:$N$648,Export!J3527,FALSE),""),K3527)</f>
        <v>15500</v>
      </c>
      <c r="D3527" s="6" t="b">
        <v>0</v>
      </c>
      <c r="E3527" t="s">
        <v>1561</v>
      </c>
      <c r="F3527" s="6"/>
      <c r="G3527" s="102" t="b">
        <f>VLOOKUP($I$3518,FS_input_data!$C$458:$N$648,Export!$J$3518,FALSE)=""</f>
        <v>0</v>
      </c>
      <c r="H3527" s="6" t="s">
        <v>2189</v>
      </c>
      <c r="I3527" t="s">
        <v>1874</v>
      </c>
      <c r="J3527">
        <v>9</v>
      </c>
      <c r="L3527" s="9" t="e">
        <f t="shared" si="187"/>
        <v>#VALUE!</v>
      </c>
    </row>
    <row r="3528" spans="1:12" x14ac:dyDescent="0.35">
      <c r="A3528">
        <f t="shared" si="188"/>
        <v>3527</v>
      </c>
      <c r="B3528" t="s">
        <v>750</v>
      </c>
      <c r="C3528" s="109" t="str">
        <f>IF(ISBLANK(K3528),IFERROR(VLOOKUP(I3528,FS_input_data!$C$458:$N$648,Export!J3528,FALSE),""),K3528)</f>
        <v/>
      </c>
      <c r="D3528" s="6"/>
      <c r="E3528" t="s">
        <v>1561</v>
      </c>
      <c r="F3528" s="6"/>
      <c r="G3528" s="102" t="b">
        <f>VLOOKUP($I$3518,FS_input_data!$C$458:$N$648,Export!$J$3518,FALSE)=""</f>
        <v>0</v>
      </c>
      <c r="H3528" s="6" t="s">
        <v>2189</v>
      </c>
      <c r="I3528" t="s">
        <v>1561</v>
      </c>
      <c r="J3528" t="s">
        <v>1561</v>
      </c>
      <c r="L3528">
        <f t="shared" si="187"/>
        <v>1</v>
      </c>
    </row>
    <row r="3529" spans="1:12" x14ac:dyDescent="0.35">
      <c r="A3529">
        <f t="shared" si="188"/>
        <v>3528</v>
      </c>
      <c r="B3529" t="s">
        <v>751</v>
      </c>
      <c r="C3529" s="109" t="str">
        <f>IF(ISBLANK(K3529),IFERROR(VLOOKUP(I3529,FS_input_data!$C$458:$N$648,Export!J3529,FALSE),""),K3529)</f>
        <v/>
      </c>
      <c r="D3529" s="6"/>
      <c r="E3529" t="s">
        <v>1561</v>
      </c>
      <c r="F3529" s="6"/>
      <c r="G3529" s="102" t="b">
        <f>VLOOKUP($I$3518,FS_input_data!$C$458:$N$648,Export!$J$3518,FALSE)=""</f>
        <v>0</v>
      </c>
      <c r="H3529" s="6" t="s">
        <v>2189</v>
      </c>
      <c r="I3529" t="s">
        <v>1561</v>
      </c>
      <c r="J3529" t="s">
        <v>1561</v>
      </c>
      <c r="L3529">
        <f t="shared" si="187"/>
        <v>1</v>
      </c>
    </row>
    <row r="3530" spans="1:12" x14ac:dyDescent="0.35">
      <c r="A3530">
        <f t="shared" si="188"/>
        <v>3529</v>
      </c>
      <c r="B3530" t="s">
        <v>754</v>
      </c>
      <c r="C3530" s="109" t="str">
        <f>IF(ISBLANK(K3530),IFERROR(VLOOKUP(I3530,FS_input_data!$C$458:$N$648,Export!J3530,FALSE),""),K3530)</f>
        <v/>
      </c>
      <c r="D3530" s="6"/>
      <c r="E3530" t="s">
        <v>1561</v>
      </c>
      <c r="F3530" s="6"/>
      <c r="G3530" s="102" t="b">
        <f>VLOOKUP($I$3518,FS_input_data!$C$458:$N$648,Export!$J$3518,FALSE)=""</f>
        <v>0</v>
      </c>
      <c r="H3530" s="6" t="s">
        <v>2189</v>
      </c>
      <c r="I3530" t="s">
        <v>1561</v>
      </c>
      <c r="J3530" t="s">
        <v>1561</v>
      </c>
      <c r="L3530" s="9" t="e">
        <f t="shared" si="187"/>
        <v>#VALUE!</v>
      </c>
    </row>
    <row r="3531" spans="1:12" x14ac:dyDescent="0.35">
      <c r="A3531" s="9">
        <f t="shared" si="188"/>
        <v>3530</v>
      </c>
      <c r="B3531" t="s">
        <v>755</v>
      </c>
      <c r="C3531" s="109">
        <f>IF(ISBLANK(K3531),IFERROR(VLOOKUP(I3531,FS_input_data!$C$458:$N$648,Export!J3531,FALSE),""),K3531)</f>
        <v>31</v>
      </c>
      <c r="D3531" s="6" t="b">
        <v>1</v>
      </c>
      <c r="E3531" t="s">
        <v>1561</v>
      </c>
      <c r="F3531" s="6"/>
      <c r="G3531" s="102" t="b">
        <f>VLOOKUP($I$3518,FS_input_data!$C$458:$N$648,Export!$J$3518,FALSE)=""</f>
        <v>0</v>
      </c>
      <c r="H3531" s="6" t="s">
        <v>2189</v>
      </c>
      <c r="I3531" t="s">
        <v>1874</v>
      </c>
      <c r="J3531">
        <v>2</v>
      </c>
      <c r="L3531" s="9" t="e">
        <f t="shared" si="187"/>
        <v>#VALUE!</v>
      </c>
    </row>
    <row r="3532" spans="1:12" x14ac:dyDescent="0.35">
      <c r="A3532">
        <f t="shared" si="188"/>
        <v>3531</v>
      </c>
      <c r="B3532" t="s">
        <v>756</v>
      </c>
      <c r="C3532" s="109" t="str">
        <f>IF(ISBLANK(K3532),IFERROR(VLOOKUP(I3532,FS_input_data!$C$458:$N$648,Export!J3532,FALSE),""),K3532)</f>
        <v/>
      </c>
      <c r="D3532" s="6"/>
      <c r="E3532" t="s">
        <v>1561</v>
      </c>
      <c r="F3532" s="6"/>
      <c r="G3532" s="102" t="b">
        <f>VLOOKUP($I$3518,FS_input_data!$C$458:$N$648,Export!$J$3518,FALSE)=""</f>
        <v>0</v>
      </c>
      <c r="H3532" s="6" t="s">
        <v>2189</v>
      </c>
      <c r="I3532" t="s">
        <v>1561</v>
      </c>
      <c r="J3532" t="s">
        <v>1561</v>
      </c>
      <c r="L3532">
        <f t="shared" si="187"/>
        <v>1</v>
      </c>
    </row>
    <row r="3533" spans="1:12" x14ac:dyDescent="0.35">
      <c r="A3533" s="9">
        <f t="shared" si="188"/>
        <v>3532</v>
      </c>
      <c r="B3533" t="s">
        <v>757</v>
      </c>
      <c r="C3533" s="109">
        <f>IF(ISBLANK(K3533),IFERROR(VLOOKUP(I3533,FS_input_data!$C$458:$N$648,Export!J3533,FALSE),""),K3533)</f>
        <v>131</v>
      </c>
      <c r="D3533" s="6" t="b">
        <v>0</v>
      </c>
      <c r="E3533" t="s">
        <v>1561</v>
      </c>
      <c r="F3533" s="6"/>
      <c r="G3533" s="102" t="b">
        <f>VLOOKUP($I$3518,FS_input_data!$C$458:$N$648,Export!$J$3518,FALSE)=""</f>
        <v>0</v>
      </c>
      <c r="H3533" s="6" t="s">
        <v>2189</v>
      </c>
      <c r="I3533" t="s">
        <v>1874</v>
      </c>
      <c r="J3533">
        <v>3</v>
      </c>
      <c r="L3533" s="9" t="e">
        <f t="shared" si="187"/>
        <v>#VALUE!</v>
      </c>
    </row>
    <row r="3534" spans="1:12" x14ac:dyDescent="0.35">
      <c r="A3534">
        <f t="shared" si="188"/>
        <v>3533</v>
      </c>
      <c r="B3534" t="s">
        <v>758</v>
      </c>
      <c r="C3534" s="109" t="str">
        <f>IF(ISBLANK(K3534),IFERROR(VLOOKUP(I3534,FS_input_data!$C$458:$N$648,Export!J3534,FALSE),""),K3534)</f>
        <v/>
      </c>
      <c r="D3534" s="6"/>
      <c r="E3534" t="s">
        <v>1561</v>
      </c>
      <c r="F3534" s="6"/>
      <c r="G3534" s="102" t="b">
        <f>VLOOKUP($I$3518,FS_input_data!$C$458:$N$648,Export!$J$3518,FALSE)=""</f>
        <v>0</v>
      </c>
      <c r="H3534" s="6" t="s">
        <v>2189</v>
      </c>
      <c r="I3534" t="s">
        <v>1561</v>
      </c>
      <c r="J3534" t="s">
        <v>1561</v>
      </c>
      <c r="L3534">
        <f t="shared" si="187"/>
        <v>1</v>
      </c>
    </row>
    <row r="3535" spans="1:12" x14ac:dyDescent="0.35">
      <c r="A3535" s="9">
        <f t="shared" si="188"/>
        <v>3534</v>
      </c>
      <c r="B3535" t="s">
        <v>759</v>
      </c>
      <c r="C3535" s="109">
        <f>IF(ISBLANK(K3535),IFERROR(VLOOKUP(I3535,FS_input_data!$C$458:$N$648,Export!J3535,FALSE),""),K3535)</f>
        <v>231</v>
      </c>
      <c r="D3535" s="6" t="b">
        <v>0</v>
      </c>
      <c r="E3535" t="s">
        <v>1561</v>
      </c>
      <c r="F3535" s="6"/>
      <c r="G3535" s="102" t="b">
        <f>VLOOKUP($I$3518,FS_input_data!$C$458:$N$648,Export!$J$3518,FALSE)=""</f>
        <v>0</v>
      </c>
      <c r="H3535" s="6" t="s">
        <v>2189</v>
      </c>
      <c r="I3535" t="s">
        <v>1874</v>
      </c>
      <c r="J3535">
        <v>4</v>
      </c>
      <c r="L3535" s="9" t="e">
        <f t="shared" si="187"/>
        <v>#VALUE!</v>
      </c>
    </row>
    <row r="3536" spans="1:12" x14ac:dyDescent="0.35">
      <c r="A3536">
        <f t="shared" si="188"/>
        <v>3535</v>
      </c>
      <c r="B3536" t="s">
        <v>760</v>
      </c>
      <c r="C3536" s="109" t="str">
        <f>IF(ISBLANK(K3536),IFERROR(VLOOKUP(I3536,FS_input_data!$C$458:$N$648,Export!J3536,FALSE),""),K3536)</f>
        <v/>
      </c>
      <c r="D3536" s="6"/>
      <c r="E3536" t="s">
        <v>1561</v>
      </c>
      <c r="F3536" s="6"/>
      <c r="G3536" s="102" t="b">
        <f>VLOOKUP($I$3518,FS_input_data!$C$458:$N$648,Export!$J$3518,FALSE)=""</f>
        <v>0</v>
      </c>
      <c r="H3536" s="6" t="s">
        <v>2189</v>
      </c>
      <c r="I3536" t="s">
        <v>1561</v>
      </c>
      <c r="J3536" t="s">
        <v>1561</v>
      </c>
      <c r="L3536">
        <f t="shared" si="187"/>
        <v>1</v>
      </c>
    </row>
    <row r="3537" spans="1:12" x14ac:dyDescent="0.35">
      <c r="A3537" s="9">
        <f t="shared" si="188"/>
        <v>3536</v>
      </c>
      <c r="B3537" t="s">
        <v>761</v>
      </c>
      <c r="C3537" s="109" t="str">
        <f>IF(ISBLANK(K3537),IFERROR(VLOOKUP(I3537,FS_input_data!$C$458:$N$648,Export!J3537,FALSE),""),K3537)</f>
        <v>j</v>
      </c>
      <c r="D3537" s="6"/>
      <c r="E3537" t="s">
        <v>1561</v>
      </c>
      <c r="F3537" s="6"/>
      <c r="G3537" s="102" t="b">
        <f>VLOOKUP($I$3518,FS_input_data!$C$458:$N$648,Export!$J$3518,FALSE)=""</f>
        <v>0</v>
      </c>
      <c r="H3537" s="6" t="s">
        <v>2189</v>
      </c>
      <c r="I3537" t="s">
        <v>1874</v>
      </c>
      <c r="J3537">
        <v>5</v>
      </c>
      <c r="L3537" s="9" t="e">
        <f t="shared" si="187"/>
        <v>#VALUE!</v>
      </c>
    </row>
    <row r="3538" spans="1:12" x14ac:dyDescent="0.35">
      <c r="A3538">
        <f t="shared" si="188"/>
        <v>3537</v>
      </c>
      <c r="B3538" t="s">
        <v>762</v>
      </c>
      <c r="C3538" s="109" t="str">
        <f>IF(ISBLANK(K3538),IFERROR(VLOOKUP(I3538,FS_input_data!$C$458:$N$648,Export!J3538,FALSE),""),K3538)</f>
        <v/>
      </c>
      <c r="D3538" s="6"/>
      <c r="E3538" t="s">
        <v>1561</v>
      </c>
      <c r="F3538" s="6"/>
      <c r="G3538" s="102" t="b">
        <f>VLOOKUP($I$3518,FS_input_data!$C$458:$N$648,Export!$J$3518,FALSE)=""</f>
        <v>0</v>
      </c>
      <c r="H3538" s="6" t="s">
        <v>2189</v>
      </c>
      <c r="I3538" t="s">
        <v>1561</v>
      </c>
      <c r="J3538" t="s">
        <v>1561</v>
      </c>
      <c r="L3538">
        <f t="shared" si="187"/>
        <v>1</v>
      </c>
    </row>
    <row r="3539" spans="1:12" x14ac:dyDescent="0.35">
      <c r="A3539">
        <f t="shared" si="188"/>
        <v>3538</v>
      </c>
      <c r="B3539" t="s">
        <v>763</v>
      </c>
      <c r="C3539" s="109" t="str">
        <f>IF(ISBLANK(K3539),IFERROR(VLOOKUP(I3539,FS_input_data!$C$458:$N$648,Export!J3539,FALSE),""),K3539)</f>
        <v/>
      </c>
      <c r="D3539" s="6"/>
      <c r="E3539" t="s">
        <v>1561</v>
      </c>
      <c r="F3539" s="6"/>
      <c r="G3539" s="102" t="b">
        <f>VLOOKUP($I$3518,FS_input_data!$C$458:$N$648,Export!$J$3518,FALSE)=""</f>
        <v>0</v>
      </c>
      <c r="H3539" s="6" t="s">
        <v>2189</v>
      </c>
      <c r="I3539" t="s">
        <v>1561</v>
      </c>
      <c r="J3539" t="s">
        <v>1561</v>
      </c>
      <c r="L3539">
        <f t="shared" si="187"/>
        <v>1</v>
      </c>
    </row>
    <row r="3540" spans="1:12" x14ac:dyDescent="0.35">
      <c r="A3540">
        <f t="shared" si="188"/>
        <v>3539</v>
      </c>
      <c r="B3540" t="s">
        <v>743</v>
      </c>
      <c r="C3540" s="109" t="str">
        <f>IF(ISBLANK(K3540),IFERROR(VLOOKUP(I3540,FS_input_data!$C$458:$N$648,Export!J3540,FALSE),""),K3540)</f>
        <v/>
      </c>
      <c r="D3540" s="6"/>
      <c r="E3540" t="s">
        <v>1561</v>
      </c>
      <c r="F3540" s="6"/>
      <c r="G3540" s="102" t="b">
        <f>VLOOKUP($I$3518,FS_input_data!$C$458:$N$648,Export!$J$3518,FALSE)=""</f>
        <v>0</v>
      </c>
      <c r="H3540" s="6" t="s">
        <v>2189</v>
      </c>
      <c r="I3540" t="s">
        <v>1561</v>
      </c>
      <c r="J3540" t="s">
        <v>1561</v>
      </c>
      <c r="L3540">
        <f t="shared" si="187"/>
        <v>1</v>
      </c>
    </row>
    <row r="3541" spans="1:12" x14ac:dyDescent="0.35">
      <c r="A3541">
        <f t="shared" si="188"/>
        <v>3540</v>
      </c>
      <c r="B3541" t="s">
        <v>744</v>
      </c>
      <c r="C3541" s="109" t="str">
        <f>IF(ISBLANK(K3541),IFERROR(VLOOKUP(I3541,FS_input_data!$C$458:$N$648,Export!J3541,FALSE),""),K3541)</f>
        <v/>
      </c>
      <c r="D3541" s="6"/>
      <c r="E3541" t="s">
        <v>1561</v>
      </c>
      <c r="F3541" s="6"/>
      <c r="G3541" s="6" t="b">
        <f t="shared" ref="G3541:G3548" si="189">RP_tax</f>
        <v>1</v>
      </c>
      <c r="H3541" s="6" t="s">
        <v>2189</v>
      </c>
      <c r="I3541" t="s">
        <v>1561</v>
      </c>
      <c r="J3541" t="s">
        <v>1561</v>
      </c>
      <c r="L3541" s="9" t="e">
        <f t="shared" si="187"/>
        <v>#VALUE!</v>
      </c>
    </row>
    <row r="3542" spans="1:12" x14ac:dyDescent="0.35">
      <c r="A3542" s="9">
        <f t="shared" si="188"/>
        <v>3541</v>
      </c>
      <c r="B3542" t="s">
        <v>109</v>
      </c>
      <c r="C3542" s="109">
        <f>IF(ISBLANK(K3542),IFERROR(VLOOKUP(I3542,FS_input_data!$C$458:$N$648,Export!J3542,FALSE),""),K3542)</f>
        <v>31000</v>
      </c>
      <c r="D3542" s="6" t="b">
        <v>1</v>
      </c>
      <c r="E3542" t="s">
        <v>1561</v>
      </c>
      <c r="F3542" s="6"/>
      <c r="G3542" s="6" t="b">
        <f t="shared" si="189"/>
        <v>1</v>
      </c>
      <c r="H3542" s="6" t="s">
        <v>2189</v>
      </c>
      <c r="I3542" t="s">
        <v>1874</v>
      </c>
      <c r="J3542">
        <v>10</v>
      </c>
      <c r="L3542" s="9" t="e">
        <f t="shared" si="187"/>
        <v>#VALUE!</v>
      </c>
    </row>
    <row r="3543" spans="1:12" x14ac:dyDescent="0.35">
      <c r="A3543">
        <f t="shared" si="188"/>
        <v>3542</v>
      </c>
      <c r="B3543" t="s">
        <v>110</v>
      </c>
      <c r="C3543" s="109" t="str">
        <f>IF(ISBLANK(K3543),IFERROR(VLOOKUP(I3543,FS_input_data!$C$458:$N$648,Export!J3543,FALSE),""),K3543)</f>
        <v/>
      </c>
      <c r="D3543" s="6"/>
      <c r="E3543" t="s">
        <v>1561</v>
      </c>
      <c r="F3543" s="6"/>
      <c r="G3543" s="6" t="b">
        <f t="shared" si="189"/>
        <v>1</v>
      </c>
      <c r="H3543" s="6" t="s">
        <v>2189</v>
      </c>
      <c r="I3543" t="s">
        <v>1561</v>
      </c>
      <c r="J3543" t="s">
        <v>1561</v>
      </c>
      <c r="L3543">
        <f t="shared" si="187"/>
        <v>1</v>
      </c>
    </row>
    <row r="3544" spans="1:12" x14ac:dyDescent="0.35">
      <c r="A3544" s="9">
        <f t="shared" si="188"/>
        <v>3543</v>
      </c>
      <c r="B3544" t="s">
        <v>111</v>
      </c>
      <c r="C3544" s="109">
        <f>IF(ISBLANK(K3544),IFERROR(VLOOKUP(I3544,FS_input_data!$C$458:$N$648,Export!J3544,FALSE),""),K3544)</f>
        <v>15500</v>
      </c>
      <c r="D3544" s="6" t="b">
        <v>0</v>
      </c>
      <c r="E3544" t="s">
        <v>1561</v>
      </c>
      <c r="F3544" s="6"/>
      <c r="G3544" s="6" t="b">
        <f t="shared" si="189"/>
        <v>1</v>
      </c>
      <c r="H3544" s="6" t="s">
        <v>2189</v>
      </c>
      <c r="I3544" t="s">
        <v>1874</v>
      </c>
      <c r="J3544">
        <v>11</v>
      </c>
      <c r="L3544" s="9" t="e">
        <f t="shared" si="187"/>
        <v>#VALUE!</v>
      </c>
    </row>
    <row r="3545" spans="1:12" x14ac:dyDescent="0.35">
      <c r="A3545">
        <f t="shared" si="188"/>
        <v>3544</v>
      </c>
      <c r="B3545" t="s">
        <v>112</v>
      </c>
      <c r="C3545" s="109" t="str">
        <f>IF(ISBLANK(K3545),IFERROR(VLOOKUP(I3545,FS_input_data!$C$458:$N$648,Export!J3545,FALSE),""),K3545)</f>
        <v/>
      </c>
      <c r="D3545" s="6"/>
      <c r="E3545" t="s">
        <v>1561</v>
      </c>
      <c r="F3545" s="6"/>
      <c r="G3545" s="6" t="b">
        <f t="shared" si="189"/>
        <v>1</v>
      </c>
      <c r="H3545" s="6" t="s">
        <v>2189</v>
      </c>
      <c r="I3545" t="s">
        <v>1561</v>
      </c>
      <c r="J3545" t="s">
        <v>1561</v>
      </c>
      <c r="L3545">
        <f t="shared" si="187"/>
        <v>1</v>
      </c>
    </row>
    <row r="3546" spans="1:12" x14ac:dyDescent="0.35">
      <c r="A3546" s="9">
        <f t="shared" si="188"/>
        <v>3545</v>
      </c>
      <c r="B3546" t="s">
        <v>749</v>
      </c>
      <c r="C3546" s="109">
        <f>IF(ISBLANK(K3546),IFERROR(VLOOKUP(I3546,FS_input_data!$C$458:$N$648,Export!J3546,FALSE),""),K3546)</f>
        <v>15500</v>
      </c>
      <c r="D3546" s="6" t="b">
        <v>0</v>
      </c>
      <c r="E3546" t="s">
        <v>1561</v>
      </c>
      <c r="F3546" s="6"/>
      <c r="G3546" s="6" t="b">
        <f t="shared" si="189"/>
        <v>1</v>
      </c>
      <c r="H3546" s="6" t="s">
        <v>2189</v>
      </c>
      <c r="I3546" t="s">
        <v>1874</v>
      </c>
      <c r="J3546">
        <v>12</v>
      </c>
      <c r="L3546" s="9" t="e">
        <f t="shared" si="187"/>
        <v>#VALUE!</v>
      </c>
    </row>
    <row r="3547" spans="1:12" x14ac:dyDescent="0.35">
      <c r="A3547">
        <f t="shared" si="188"/>
        <v>3546</v>
      </c>
      <c r="B3547" t="s">
        <v>750</v>
      </c>
      <c r="C3547" s="109" t="str">
        <f>IF(ISBLANK(K3547),IFERROR(VLOOKUP(I3547,FS_input_data!$C$458:$N$648,Export!J3547,FALSE),""),K3547)</f>
        <v/>
      </c>
      <c r="D3547" s="6"/>
      <c r="E3547" t="s">
        <v>1561</v>
      </c>
      <c r="F3547" s="6"/>
      <c r="G3547" s="6" t="b">
        <f t="shared" si="189"/>
        <v>1</v>
      </c>
      <c r="H3547" s="6" t="s">
        <v>2189</v>
      </c>
      <c r="I3547" t="s">
        <v>1561</v>
      </c>
      <c r="J3547" t="s">
        <v>1561</v>
      </c>
      <c r="L3547">
        <f t="shared" si="187"/>
        <v>1</v>
      </c>
    </row>
    <row r="3548" spans="1:12" x14ac:dyDescent="0.35">
      <c r="A3548">
        <f t="shared" si="188"/>
        <v>3547</v>
      </c>
      <c r="B3548" t="s">
        <v>745</v>
      </c>
      <c r="C3548" s="109" t="str">
        <f>IF(ISBLANK(K3548),IFERROR(VLOOKUP(I3548,FS_input_data!$C$458:$N$648,Export!J3548,FALSE),""),K3548)</f>
        <v/>
      </c>
      <c r="D3548" s="6"/>
      <c r="E3548" t="s">
        <v>1561</v>
      </c>
      <c r="F3548" s="6"/>
      <c r="G3548" s="6" t="b">
        <f t="shared" si="189"/>
        <v>1</v>
      </c>
      <c r="H3548" s="6" t="s">
        <v>2189</v>
      </c>
      <c r="I3548" t="s">
        <v>1561</v>
      </c>
      <c r="J3548" t="s">
        <v>1561</v>
      </c>
      <c r="L3548">
        <f t="shared" si="187"/>
        <v>1</v>
      </c>
    </row>
    <row r="3549" spans="1:12" x14ac:dyDescent="0.35">
      <c r="A3549">
        <f t="shared" si="188"/>
        <v>3548</v>
      </c>
      <c r="B3549" t="s">
        <v>764</v>
      </c>
      <c r="C3549" s="109" t="str">
        <f>IF(ISBLANK(K3549),IFERROR(VLOOKUP(I3549,FS_input_data!$C$458:$N$648,Export!J3549,FALSE),""),K3549)</f>
        <v/>
      </c>
      <c r="D3549" s="6"/>
      <c r="E3549" t="s">
        <v>1561</v>
      </c>
      <c r="F3549" s="6"/>
      <c r="G3549" s="102" t="b">
        <f>VLOOKUP($I$3518,FS_input_data!$C$458:$N$648,Export!$J$3518,FALSE)=""</f>
        <v>0</v>
      </c>
      <c r="H3549" s="6" t="s">
        <v>2189</v>
      </c>
      <c r="I3549" t="s">
        <v>1561</v>
      </c>
      <c r="J3549" t="s">
        <v>1561</v>
      </c>
      <c r="L3549">
        <f t="shared" si="187"/>
        <v>1</v>
      </c>
    </row>
    <row r="3550" spans="1:12" x14ac:dyDescent="0.35">
      <c r="A3550">
        <f t="shared" si="188"/>
        <v>3549</v>
      </c>
      <c r="B3550" t="s">
        <v>765</v>
      </c>
      <c r="C3550" s="109" t="str">
        <f>IF(ISBLANK(K3550),IFERROR(VLOOKUP(I3550,FS_input_data!$C$458:$N$648,Export!J3550,FALSE),""),K3550)</f>
        <v/>
      </c>
      <c r="D3550" s="6"/>
      <c r="E3550" t="s">
        <v>1561</v>
      </c>
      <c r="F3550" s="6"/>
      <c r="G3550" s="102" t="b">
        <f>VLOOKUP($I$3518,FS_input_data!$C$458:$N$648,Export!$J$3518,FALSE)=""</f>
        <v>0</v>
      </c>
      <c r="H3550" s="6" t="s">
        <v>2189</v>
      </c>
      <c r="I3550" t="s">
        <v>1561</v>
      </c>
      <c r="J3550" t="s">
        <v>1561</v>
      </c>
      <c r="L3550">
        <f t="shared" si="187"/>
        <v>1</v>
      </c>
    </row>
    <row r="3551" spans="1:12" x14ac:dyDescent="0.35">
      <c r="A3551">
        <f t="shared" si="188"/>
        <v>3550</v>
      </c>
      <c r="B3551" t="s">
        <v>752</v>
      </c>
      <c r="C3551" s="109" t="str">
        <f>IF(ISBLANK(K3551),IFERROR(VLOOKUP(I3551,FS_input_data!$C$458:$N$648,Export!J3551,FALSE),""),K3551)</f>
        <v/>
      </c>
      <c r="D3551" s="6"/>
      <c r="E3551" t="s">
        <v>1561</v>
      </c>
      <c r="F3551" s="6"/>
      <c r="G3551" s="105" t="b">
        <f>VLOOKUP($I$3552,FS_input_data!$C$458:$N$648,Export!$J$3552,FALSE)=""</f>
        <v>0</v>
      </c>
      <c r="H3551" s="6" t="s">
        <v>2189</v>
      </c>
      <c r="I3551" t="s">
        <v>1561</v>
      </c>
      <c r="J3551" t="s">
        <v>1561</v>
      </c>
      <c r="L3551" s="9" t="e">
        <f t="shared" si="187"/>
        <v>#VALUE!</v>
      </c>
    </row>
    <row r="3552" spans="1:12" x14ac:dyDescent="0.35">
      <c r="A3552" s="9">
        <f t="shared" si="188"/>
        <v>3551</v>
      </c>
      <c r="B3552" t="s">
        <v>101</v>
      </c>
      <c r="C3552" s="109" t="str">
        <f>IF(ISBLANK(K3552),IFERROR(VLOOKUP(I3552,FS_input_data!$C$458:$N$648,Export!J3552,FALSE),""),K3552)</f>
        <v>OC10</v>
      </c>
      <c r="D3552" s="6"/>
      <c r="E3552" t="s">
        <v>1561</v>
      </c>
      <c r="F3552" s="6"/>
      <c r="G3552" s="105" t="b">
        <f>VLOOKUP($I$3552,FS_input_data!$C$458:$N$648,Export!$J$3552,FALSE)=""</f>
        <v>0</v>
      </c>
      <c r="H3552" s="6" t="s">
        <v>2189</v>
      </c>
      <c r="I3552" t="s">
        <v>1876</v>
      </c>
      <c r="J3552">
        <v>6</v>
      </c>
      <c r="L3552" s="9" t="e">
        <f t="shared" si="187"/>
        <v>#VALUE!</v>
      </c>
    </row>
    <row r="3553" spans="1:12" x14ac:dyDescent="0.35">
      <c r="A3553">
        <f t="shared" si="188"/>
        <v>3552</v>
      </c>
      <c r="B3553" t="s">
        <v>102</v>
      </c>
      <c r="C3553" s="109" t="str">
        <f>IF(ISBLANK(K3553),IFERROR(VLOOKUP(I3553,FS_input_data!$C$458:$N$648,Export!J3553,FALSE),""),K3553)</f>
        <v/>
      </c>
      <c r="D3553" s="6"/>
      <c r="E3553" t="s">
        <v>1561</v>
      </c>
      <c r="F3553" s="6"/>
      <c r="G3553" s="105" t="b">
        <f>VLOOKUP($I$3552,FS_input_data!$C$458:$N$648,Export!$J$3552,FALSE)=""</f>
        <v>0</v>
      </c>
      <c r="H3553" s="6" t="s">
        <v>2189</v>
      </c>
      <c r="I3553" t="s">
        <v>1561</v>
      </c>
      <c r="J3553" t="s">
        <v>1561</v>
      </c>
      <c r="L3553">
        <f t="shared" si="187"/>
        <v>1</v>
      </c>
    </row>
    <row r="3554" spans="1:12" x14ac:dyDescent="0.35">
      <c r="A3554">
        <f t="shared" si="188"/>
        <v>3553</v>
      </c>
      <c r="B3554" t="s">
        <v>753</v>
      </c>
      <c r="C3554" s="109" t="str">
        <f>IF(ISBLANK(K3554),IFERROR(VLOOKUP(I3554,FS_input_data!$C$458:$N$648,Export!J3554,FALSE),""),K3554)</f>
        <v/>
      </c>
      <c r="D3554" s="6"/>
      <c r="E3554" t="s">
        <v>1561</v>
      </c>
      <c r="F3554" s="6"/>
      <c r="G3554" s="105" t="b">
        <f>VLOOKUP($I$3552,FS_input_data!$C$458:$N$648,Export!$J$3552,FALSE)=""</f>
        <v>0</v>
      </c>
      <c r="H3554" s="6" t="s">
        <v>2189</v>
      </c>
      <c r="I3554" t="s">
        <v>1561</v>
      </c>
      <c r="J3554" t="s">
        <v>1561</v>
      </c>
      <c r="L3554" s="9" t="e">
        <f t="shared" si="187"/>
        <v>#VALUE!</v>
      </c>
    </row>
    <row r="3555" spans="1:12" x14ac:dyDescent="0.35">
      <c r="A3555">
        <f t="shared" si="188"/>
        <v>3554</v>
      </c>
      <c r="B3555" t="s">
        <v>742</v>
      </c>
      <c r="C3555" s="109" t="str">
        <f>IF(ISBLANK(K3555),IFERROR(VLOOKUP(I3555,FS_input_data!$C$458:$N$648,Export!J3555,FALSE),""),K3555)</f>
        <v/>
      </c>
      <c r="D3555" s="6"/>
      <c r="E3555" t="s">
        <v>1561</v>
      </c>
      <c r="F3555" s="6"/>
      <c r="G3555" s="105" t="b">
        <f>VLOOKUP($I$3552,FS_input_data!$C$458:$N$648,Export!$J$3552,FALSE)=""</f>
        <v>0</v>
      </c>
      <c r="H3555" s="6" t="s">
        <v>2189</v>
      </c>
      <c r="I3555" t="s">
        <v>1561</v>
      </c>
      <c r="J3555" t="s">
        <v>1561</v>
      </c>
      <c r="L3555" s="9" t="e">
        <f t="shared" si="187"/>
        <v>#VALUE!</v>
      </c>
    </row>
    <row r="3556" spans="1:12" x14ac:dyDescent="0.35">
      <c r="A3556">
        <f t="shared" si="188"/>
        <v>3555</v>
      </c>
      <c r="B3556" t="s">
        <v>748</v>
      </c>
      <c r="C3556" s="109" t="str">
        <f>IF(ISBLANK(K3556),IFERROR(VLOOKUP(I3556,FS_input_data!$C$458:$N$648,Export!J3556,FALSE),""),K3556)</f>
        <v/>
      </c>
      <c r="D3556" s="6"/>
      <c r="E3556" t="s">
        <v>1561</v>
      </c>
      <c r="F3556" s="6"/>
      <c r="G3556" s="105" t="b">
        <f>VLOOKUP($I$3552,FS_input_data!$C$458:$N$648,Export!$J$3552,FALSE)=""</f>
        <v>0</v>
      </c>
      <c r="H3556" s="6" t="s">
        <v>2189</v>
      </c>
      <c r="I3556" t="s">
        <v>1561</v>
      </c>
      <c r="J3556" t="s">
        <v>1561</v>
      </c>
      <c r="L3556" s="9" t="e">
        <f t="shared" si="187"/>
        <v>#VALUE!</v>
      </c>
    </row>
    <row r="3557" spans="1:12" x14ac:dyDescent="0.35">
      <c r="A3557" s="9">
        <f t="shared" si="188"/>
        <v>3556</v>
      </c>
      <c r="B3557" t="s">
        <v>109</v>
      </c>
      <c r="C3557" s="109">
        <f>IF(ISBLANK(K3557),IFERROR(VLOOKUP(I3557,FS_input_data!$C$458:$N$648,Export!J3557,FALSE),""),K3557)</f>
        <v>32000</v>
      </c>
      <c r="D3557" s="6" t="b">
        <v>1</v>
      </c>
      <c r="E3557" t="s">
        <v>1561</v>
      </c>
      <c r="F3557" s="6"/>
      <c r="G3557" s="105" t="b">
        <f>VLOOKUP($I$3552,FS_input_data!$C$458:$N$648,Export!$J$3552,FALSE)=""</f>
        <v>0</v>
      </c>
      <c r="H3557" s="6" t="s">
        <v>2189</v>
      </c>
      <c r="I3557" t="s">
        <v>1876</v>
      </c>
      <c r="J3557">
        <v>7</v>
      </c>
      <c r="L3557" s="9" t="e">
        <f t="shared" si="187"/>
        <v>#VALUE!</v>
      </c>
    </row>
    <row r="3558" spans="1:12" x14ac:dyDescent="0.35">
      <c r="A3558">
        <f t="shared" si="188"/>
        <v>3557</v>
      </c>
      <c r="B3558" t="s">
        <v>110</v>
      </c>
      <c r="C3558" s="109" t="str">
        <f>IF(ISBLANK(K3558),IFERROR(VLOOKUP(I3558,FS_input_data!$C$458:$N$648,Export!J3558,FALSE),""),K3558)</f>
        <v/>
      </c>
      <c r="D3558" s="6"/>
      <c r="E3558" t="s">
        <v>1561</v>
      </c>
      <c r="F3558" s="6"/>
      <c r="G3558" s="105" t="b">
        <f>VLOOKUP($I$3552,FS_input_data!$C$458:$N$648,Export!$J$3552,FALSE)=""</f>
        <v>0</v>
      </c>
      <c r="H3558" s="6" t="s">
        <v>2189</v>
      </c>
      <c r="I3558" t="s">
        <v>1561</v>
      </c>
      <c r="J3558" t="s">
        <v>1561</v>
      </c>
      <c r="L3558">
        <f t="shared" si="187"/>
        <v>1</v>
      </c>
    </row>
    <row r="3559" spans="1:12" x14ac:dyDescent="0.35">
      <c r="A3559" s="9">
        <f t="shared" si="188"/>
        <v>3558</v>
      </c>
      <c r="B3559" t="s">
        <v>111</v>
      </c>
      <c r="C3559" s="109">
        <f>IF(ISBLANK(K3559),IFERROR(VLOOKUP(I3559,FS_input_data!$C$458:$N$648,Export!J3559,FALSE),""),K3559)</f>
        <v>16000</v>
      </c>
      <c r="D3559" s="6" t="b">
        <v>0</v>
      </c>
      <c r="E3559" t="s">
        <v>1561</v>
      </c>
      <c r="F3559" s="6"/>
      <c r="G3559" s="105" t="b">
        <f>VLOOKUP($I$3552,FS_input_data!$C$458:$N$648,Export!$J$3552,FALSE)=""</f>
        <v>0</v>
      </c>
      <c r="H3559" s="6" t="s">
        <v>2189</v>
      </c>
      <c r="I3559" t="s">
        <v>1876</v>
      </c>
      <c r="J3559">
        <v>8</v>
      </c>
      <c r="L3559" s="9" t="e">
        <f t="shared" si="187"/>
        <v>#VALUE!</v>
      </c>
    </row>
    <row r="3560" spans="1:12" x14ac:dyDescent="0.35">
      <c r="A3560">
        <f t="shared" si="188"/>
        <v>3559</v>
      </c>
      <c r="B3560" t="s">
        <v>112</v>
      </c>
      <c r="C3560" s="109" t="str">
        <f>IF(ISBLANK(K3560),IFERROR(VLOOKUP(I3560,FS_input_data!$C$458:$N$648,Export!J3560,FALSE),""),K3560)</f>
        <v/>
      </c>
      <c r="D3560" s="6"/>
      <c r="E3560" t="s">
        <v>1561</v>
      </c>
      <c r="F3560" s="6"/>
      <c r="G3560" s="105" t="b">
        <f>VLOOKUP($I$3552,FS_input_data!$C$458:$N$648,Export!$J$3552,FALSE)=""</f>
        <v>0</v>
      </c>
      <c r="H3560" s="6" t="s">
        <v>2189</v>
      </c>
      <c r="I3560" t="s">
        <v>1561</v>
      </c>
      <c r="J3560" t="s">
        <v>1561</v>
      </c>
      <c r="L3560">
        <f t="shared" si="187"/>
        <v>1</v>
      </c>
    </row>
    <row r="3561" spans="1:12" x14ac:dyDescent="0.35">
      <c r="A3561" s="9">
        <f t="shared" si="188"/>
        <v>3560</v>
      </c>
      <c r="B3561" t="s">
        <v>749</v>
      </c>
      <c r="C3561" s="109">
        <f>IF(ISBLANK(K3561),IFERROR(VLOOKUP(I3561,FS_input_data!$C$458:$N$648,Export!J3561,FALSE),""),K3561)</f>
        <v>16000</v>
      </c>
      <c r="D3561" s="6" t="b">
        <v>0</v>
      </c>
      <c r="E3561" t="s">
        <v>1561</v>
      </c>
      <c r="F3561" s="6"/>
      <c r="G3561" s="105" t="b">
        <f>VLOOKUP($I$3552,FS_input_data!$C$458:$N$648,Export!$J$3552,FALSE)=""</f>
        <v>0</v>
      </c>
      <c r="H3561" s="6" t="s">
        <v>2189</v>
      </c>
      <c r="I3561" t="s">
        <v>1876</v>
      </c>
      <c r="J3561">
        <v>9</v>
      </c>
      <c r="L3561" s="9" t="e">
        <f t="shared" si="187"/>
        <v>#VALUE!</v>
      </c>
    </row>
    <row r="3562" spans="1:12" x14ac:dyDescent="0.35">
      <c r="A3562">
        <f t="shared" si="188"/>
        <v>3561</v>
      </c>
      <c r="B3562" t="s">
        <v>750</v>
      </c>
      <c r="C3562" s="109" t="str">
        <f>IF(ISBLANK(K3562),IFERROR(VLOOKUP(I3562,FS_input_data!$C$458:$N$648,Export!J3562,FALSE),""),K3562)</f>
        <v/>
      </c>
      <c r="D3562" s="6"/>
      <c r="E3562" t="s">
        <v>1561</v>
      </c>
      <c r="F3562" s="6"/>
      <c r="G3562" s="105" t="b">
        <f>VLOOKUP($I$3552,FS_input_data!$C$458:$N$648,Export!$J$3552,FALSE)=""</f>
        <v>0</v>
      </c>
      <c r="H3562" s="6" t="s">
        <v>2189</v>
      </c>
      <c r="I3562" t="s">
        <v>1561</v>
      </c>
      <c r="J3562" t="s">
        <v>1561</v>
      </c>
      <c r="L3562">
        <f t="shared" si="187"/>
        <v>1</v>
      </c>
    </row>
    <row r="3563" spans="1:12" x14ac:dyDescent="0.35">
      <c r="A3563">
        <f t="shared" si="188"/>
        <v>3562</v>
      </c>
      <c r="B3563" t="s">
        <v>751</v>
      </c>
      <c r="C3563" s="109" t="str">
        <f>IF(ISBLANK(K3563),IFERROR(VLOOKUP(I3563,FS_input_data!$C$458:$N$648,Export!J3563,FALSE),""),K3563)</f>
        <v/>
      </c>
      <c r="D3563" s="6"/>
      <c r="E3563" t="s">
        <v>1561</v>
      </c>
      <c r="F3563" s="6"/>
      <c r="G3563" s="105" t="b">
        <f>VLOOKUP($I$3552,FS_input_data!$C$458:$N$648,Export!$J$3552,FALSE)=""</f>
        <v>0</v>
      </c>
      <c r="H3563" s="6" t="s">
        <v>2189</v>
      </c>
      <c r="I3563" t="s">
        <v>1561</v>
      </c>
      <c r="J3563" t="s">
        <v>1561</v>
      </c>
      <c r="L3563">
        <f t="shared" si="187"/>
        <v>1</v>
      </c>
    </row>
    <row r="3564" spans="1:12" x14ac:dyDescent="0.35">
      <c r="A3564">
        <f t="shared" si="188"/>
        <v>3563</v>
      </c>
      <c r="B3564" t="s">
        <v>754</v>
      </c>
      <c r="C3564" s="109" t="str">
        <f>IF(ISBLANK(K3564),IFERROR(VLOOKUP(I3564,FS_input_data!$C$458:$N$648,Export!J3564,FALSE),""),K3564)</f>
        <v/>
      </c>
      <c r="D3564" s="6"/>
      <c r="E3564" t="s">
        <v>1561</v>
      </c>
      <c r="F3564" s="6"/>
      <c r="G3564" s="105" t="b">
        <f>VLOOKUP($I$3552,FS_input_data!$C$458:$N$648,Export!$J$3552,FALSE)=""</f>
        <v>0</v>
      </c>
      <c r="H3564" s="6" t="s">
        <v>2189</v>
      </c>
      <c r="I3564" t="s">
        <v>1561</v>
      </c>
      <c r="J3564" t="s">
        <v>1561</v>
      </c>
      <c r="L3564" s="9" t="e">
        <f t="shared" si="187"/>
        <v>#VALUE!</v>
      </c>
    </row>
    <row r="3565" spans="1:12" x14ac:dyDescent="0.35">
      <c r="A3565" s="9">
        <f t="shared" si="188"/>
        <v>3564</v>
      </c>
      <c r="B3565" t="s">
        <v>755</v>
      </c>
      <c r="C3565" s="109">
        <f>IF(ISBLANK(K3565),IFERROR(VLOOKUP(I3565,FS_input_data!$C$458:$N$648,Export!J3565,FALSE),""),K3565)</f>
        <v>32</v>
      </c>
      <c r="D3565" s="6" t="b">
        <v>1</v>
      </c>
      <c r="E3565" t="s">
        <v>1561</v>
      </c>
      <c r="F3565" s="6"/>
      <c r="G3565" s="105" t="b">
        <f>VLOOKUP($I$3552,FS_input_data!$C$458:$N$648,Export!$J$3552,FALSE)=""</f>
        <v>0</v>
      </c>
      <c r="H3565" s="6" t="s">
        <v>2189</v>
      </c>
      <c r="I3565" t="s">
        <v>1876</v>
      </c>
      <c r="J3565">
        <v>2</v>
      </c>
      <c r="L3565" s="9" t="e">
        <f t="shared" si="187"/>
        <v>#VALUE!</v>
      </c>
    </row>
    <row r="3566" spans="1:12" x14ac:dyDescent="0.35">
      <c r="A3566">
        <f t="shared" si="188"/>
        <v>3565</v>
      </c>
      <c r="B3566" t="s">
        <v>756</v>
      </c>
      <c r="C3566" s="109" t="str">
        <f>IF(ISBLANK(K3566),IFERROR(VLOOKUP(I3566,FS_input_data!$C$458:$N$648,Export!J3566,FALSE),""),K3566)</f>
        <v/>
      </c>
      <c r="D3566" s="6"/>
      <c r="E3566" t="s">
        <v>1561</v>
      </c>
      <c r="F3566" s="6"/>
      <c r="G3566" s="105" t="b">
        <f>VLOOKUP($I$3552,FS_input_data!$C$458:$N$648,Export!$J$3552,FALSE)=""</f>
        <v>0</v>
      </c>
      <c r="H3566" s="6" t="s">
        <v>2189</v>
      </c>
      <c r="I3566" t="s">
        <v>1561</v>
      </c>
      <c r="J3566" t="s">
        <v>1561</v>
      </c>
      <c r="L3566">
        <f t="shared" si="187"/>
        <v>1</v>
      </c>
    </row>
    <row r="3567" spans="1:12" x14ac:dyDescent="0.35">
      <c r="A3567" s="9">
        <f t="shared" si="188"/>
        <v>3566</v>
      </c>
      <c r="B3567" t="s">
        <v>757</v>
      </c>
      <c r="C3567" s="109">
        <f>IF(ISBLANK(K3567),IFERROR(VLOOKUP(I3567,FS_input_data!$C$458:$N$648,Export!J3567,FALSE),""),K3567)</f>
        <v>132</v>
      </c>
      <c r="D3567" s="6" t="b">
        <v>0</v>
      </c>
      <c r="E3567" t="s">
        <v>1561</v>
      </c>
      <c r="F3567" s="6"/>
      <c r="G3567" s="105" t="b">
        <f>VLOOKUP($I$3552,FS_input_data!$C$458:$N$648,Export!$J$3552,FALSE)=""</f>
        <v>0</v>
      </c>
      <c r="H3567" s="6" t="s">
        <v>2189</v>
      </c>
      <c r="I3567" t="s">
        <v>1876</v>
      </c>
      <c r="J3567">
        <v>3</v>
      </c>
      <c r="L3567" s="9" t="e">
        <f t="shared" si="187"/>
        <v>#VALUE!</v>
      </c>
    </row>
    <row r="3568" spans="1:12" x14ac:dyDescent="0.35">
      <c r="A3568">
        <f t="shared" si="188"/>
        <v>3567</v>
      </c>
      <c r="B3568" t="s">
        <v>758</v>
      </c>
      <c r="C3568" s="109" t="str">
        <f>IF(ISBLANK(K3568),IFERROR(VLOOKUP(I3568,FS_input_data!$C$458:$N$648,Export!J3568,FALSE),""),K3568)</f>
        <v/>
      </c>
      <c r="D3568" s="6"/>
      <c r="E3568" t="s">
        <v>1561</v>
      </c>
      <c r="F3568" s="6"/>
      <c r="G3568" s="105" t="b">
        <f>VLOOKUP($I$3552,FS_input_data!$C$458:$N$648,Export!$J$3552,FALSE)=""</f>
        <v>0</v>
      </c>
      <c r="H3568" s="6" t="s">
        <v>2189</v>
      </c>
      <c r="I3568" t="s">
        <v>1561</v>
      </c>
      <c r="J3568" t="s">
        <v>1561</v>
      </c>
      <c r="L3568">
        <f t="shared" si="187"/>
        <v>1</v>
      </c>
    </row>
    <row r="3569" spans="1:12" x14ac:dyDescent="0.35">
      <c r="A3569" s="9">
        <f t="shared" si="188"/>
        <v>3568</v>
      </c>
      <c r="B3569" t="s">
        <v>759</v>
      </c>
      <c r="C3569" s="109">
        <f>IF(ISBLANK(K3569),IFERROR(VLOOKUP(I3569,FS_input_data!$C$458:$N$648,Export!J3569,FALSE),""),K3569)</f>
        <v>232</v>
      </c>
      <c r="D3569" s="6" t="b">
        <v>0</v>
      </c>
      <c r="E3569" t="s">
        <v>1561</v>
      </c>
      <c r="F3569" s="6"/>
      <c r="G3569" s="105" t="b">
        <f>VLOOKUP($I$3552,FS_input_data!$C$458:$N$648,Export!$J$3552,FALSE)=""</f>
        <v>0</v>
      </c>
      <c r="H3569" s="6" t="s">
        <v>2189</v>
      </c>
      <c r="I3569" t="s">
        <v>1876</v>
      </c>
      <c r="J3569">
        <v>4</v>
      </c>
      <c r="L3569" s="9" t="e">
        <f t="shared" si="187"/>
        <v>#VALUE!</v>
      </c>
    </row>
    <row r="3570" spans="1:12" x14ac:dyDescent="0.35">
      <c r="A3570">
        <f t="shared" si="188"/>
        <v>3569</v>
      </c>
      <c r="B3570" t="s">
        <v>760</v>
      </c>
      <c r="C3570" s="109" t="str">
        <f>IF(ISBLANK(K3570),IFERROR(VLOOKUP(I3570,FS_input_data!$C$458:$N$648,Export!J3570,FALSE),""),K3570)</f>
        <v/>
      </c>
      <c r="D3570" s="6"/>
      <c r="E3570" t="s">
        <v>1561</v>
      </c>
      <c r="F3570" s="6"/>
      <c r="G3570" s="105" t="b">
        <f>VLOOKUP($I$3552,FS_input_data!$C$458:$N$648,Export!$J$3552,FALSE)=""</f>
        <v>0</v>
      </c>
      <c r="H3570" s="6" t="s">
        <v>2189</v>
      </c>
      <c r="I3570" t="s">
        <v>1561</v>
      </c>
      <c r="J3570" t="s">
        <v>1561</v>
      </c>
      <c r="L3570">
        <f t="shared" si="187"/>
        <v>1</v>
      </c>
    </row>
    <row r="3571" spans="1:12" x14ac:dyDescent="0.35">
      <c r="A3571" s="9">
        <f t="shared" si="188"/>
        <v>3570</v>
      </c>
      <c r="B3571" t="s">
        <v>761</v>
      </c>
      <c r="C3571" s="109" t="str">
        <f>IF(ISBLANK(K3571),IFERROR(VLOOKUP(I3571,FS_input_data!$C$458:$N$648,Export!J3571,FALSE),""),K3571)</f>
        <v>k</v>
      </c>
      <c r="D3571" s="6"/>
      <c r="E3571" t="s">
        <v>1561</v>
      </c>
      <c r="F3571" s="6"/>
      <c r="G3571" s="105" t="b">
        <f>VLOOKUP($I$3552,FS_input_data!$C$458:$N$648,Export!$J$3552,FALSE)=""</f>
        <v>0</v>
      </c>
      <c r="H3571" s="6" t="s">
        <v>2189</v>
      </c>
      <c r="I3571" t="s">
        <v>1876</v>
      </c>
      <c r="J3571">
        <v>5</v>
      </c>
      <c r="L3571" s="9" t="e">
        <f t="shared" si="187"/>
        <v>#VALUE!</v>
      </c>
    </row>
    <row r="3572" spans="1:12" x14ac:dyDescent="0.35">
      <c r="A3572">
        <f t="shared" si="188"/>
        <v>3571</v>
      </c>
      <c r="B3572" t="s">
        <v>762</v>
      </c>
      <c r="C3572" s="109" t="str">
        <f>IF(ISBLANK(K3572),IFERROR(VLOOKUP(I3572,FS_input_data!$C$458:$N$648,Export!J3572,FALSE),""),K3572)</f>
        <v/>
      </c>
      <c r="D3572" s="6"/>
      <c r="E3572" t="s">
        <v>1561</v>
      </c>
      <c r="F3572" s="6"/>
      <c r="G3572" s="105" t="b">
        <f>VLOOKUP($I$3552,FS_input_data!$C$458:$N$648,Export!$J$3552,FALSE)=""</f>
        <v>0</v>
      </c>
      <c r="H3572" s="6" t="s">
        <v>2189</v>
      </c>
      <c r="I3572" t="s">
        <v>1561</v>
      </c>
      <c r="J3572" t="s">
        <v>1561</v>
      </c>
      <c r="L3572">
        <f t="shared" si="187"/>
        <v>1</v>
      </c>
    </row>
    <row r="3573" spans="1:12" x14ac:dyDescent="0.35">
      <c r="A3573">
        <f t="shared" si="188"/>
        <v>3572</v>
      </c>
      <c r="B3573" t="s">
        <v>763</v>
      </c>
      <c r="C3573" s="109" t="str">
        <f>IF(ISBLANK(K3573),IFERROR(VLOOKUP(I3573,FS_input_data!$C$458:$N$648,Export!J3573,FALSE),""),K3573)</f>
        <v/>
      </c>
      <c r="D3573" s="6"/>
      <c r="E3573" t="s">
        <v>1561</v>
      </c>
      <c r="F3573" s="6"/>
      <c r="G3573" s="105" t="b">
        <f>VLOOKUP($I$3552,FS_input_data!$C$458:$N$648,Export!$J$3552,FALSE)=""</f>
        <v>0</v>
      </c>
      <c r="H3573" s="6" t="s">
        <v>2189</v>
      </c>
      <c r="I3573" t="s">
        <v>1561</v>
      </c>
      <c r="J3573" t="s">
        <v>1561</v>
      </c>
      <c r="L3573">
        <f t="shared" si="187"/>
        <v>1</v>
      </c>
    </row>
    <row r="3574" spans="1:12" x14ac:dyDescent="0.35">
      <c r="A3574">
        <f t="shared" si="188"/>
        <v>3573</v>
      </c>
      <c r="B3574" t="s">
        <v>743</v>
      </c>
      <c r="C3574" s="109" t="str">
        <f>IF(ISBLANK(K3574),IFERROR(VLOOKUP(I3574,FS_input_data!$C$458:$N$648,Export!J3574,FALSE),""),K3574)</f>
        <v/>
      </c>
      <c r="D3574" s="6"/>
      <c r="E3574" t="s">
        <v>1561</v>
      </c>
      <c r="F3574" s="6"/>
      <c r="G3574" s="105" t="b">
        <f>VLOOKUP($I$3552,FS_input_data!$C$458:$N$648,Export!$J$3552,FALSE)=""</f>
        <v>0</v>
      </c>
      <c r="H3574" s="6" t="s">
        <v>2189</v>
      </c>
      <c r="I3574" t="s">
        <v>1561</v>
      </c>
      <c r="J3574" t="s">
        <v>1561</v>
      </c>
      <c r="L3574">
        <f t="shared" si="187"/>
        <v>1</v>
      </c>
    </row>
    <row r="3575" spans="1:12" x14ac:dyDescent="0.35">
      <c r="A3575">
        <f t="shared" si="188"/>
        <v>3574</v>
      </c>
      <c r="B3575" t="s">
        <v>744</v>
      </c>
      <c r="C3575" s="109" t="str">
        <f>IF(ISBLANK(K3575),IFERROR(VLOOKUP(I3575,FS_input_data!$C$458:$N$648,Export!J3575,FALSE),""),K3575)</f>
        <v/>
      </c>
      <c r="D3575" s="6"/>
      <c r="E3575" t="s">
        <v>1561</v>
      </c>
      <c r="F3575" s="6"/>
      <c r="G3575" s="6" t="b">
        <f t="shared" ref="G3575:G3582" si="190">RP_tax</f>
        <v>1</v>
      </c>
      <c r="H3575" s="6" t="s">
        <v>2189</v>
      </c>
      <c r="I3575" t="s">
        <v>1561</v>
      </c>
      <c r="J3575" t="s">
        <v>1561</v>
      </c>
      <c r="L3575" s="9" t="e">
        <f t="shared" si="187"/>
        <v>#VALUE!</v>
      </c>
    </row>
    <row r="3576" spans="1:12" x14ac:dyDescent="0.35">
      <c r="A3576" s="9">
        <f t="shared" si="188"/>
        <v>3575</v>
      </c>
      <c r="B3576" t="s">
        <v>109</v>
      </c>
      <c r="C3576" s="109">
        <f>IF(ISBLANK(K3576),IFERROR(VLOOKUP(I3576,FS_input_data!$C$458:$N$648,Export!J3576,FALSE),""),K3576)</f>
        <v>32000</v>
      </c>
      <c r="D3576" s="6" t="b">
        <v>1</v>
      </c>
      <c r="E3576" t="s">
        <v>1561</v>
      </c>
      <c r="F3576" s="6"/>
      <c r="G3576" s="6" t="b">
        <f t="shared" si="190"/>
        <v>1</v>
      </c>
      <c r="H3576" s="6" t="s">
        <v>2189</v>
      </c>
      <c r="I3576" t="s">
        <v>1876</v>
      </c>
      <c r="J3576">
        <v>10</v>
      </c>
      <c r="L3576" s="9" t="e">
        <f t="shared" si="187"/>
        <v>#VALUE!</v>
      </c>
    </row>
    <row r="3577" spans="1:12" x14ac:dyDescent="0.35">
      <c r="A3577">
        <f t="shared" si="188"/>
        <v>3576</v>
      </c>
      <c r="B3577" t="s">
        <v>110</v>
      </c>
      <c r="C3577" s="109" t="str">
        <f>IF(ISBLANK(K3577),IFERROR(VLOOKUP(I3577,FS_input_data!$C$458:$N$648,Export!J3577,FALSE),""),K3577)</f>
        <v/>
      </c>
      <c r="D3577" s="6"/>
      <c r="E3577" t="s">
        <v>1561</v>
      </c>
      <c r="F3577" s="6"/>
      <c r="G3577" s="6" t="b">
        <f t="shared" si="190"/>
        <v>1</v>
      </c>
      <c r="H3577" s="6" t="s">
        <v>2189</v>
      </c>
      <c r="I3577" t="s">
        <v>1561</v>
      </c>
      <c r="J3577" t="s">
        <v>1561</v>
      </c>
      <c r="L3577">
        <f t="shared" si="187"/>
        <v>1</v>
      </c>
    </row>
    <row r="3578" spans="1:12" x14ac:dyDescent="0.35">
      <c r="A3578" s="9">
        <f t="shared" si="188"/>
        <v>3577</v>
      </c>
      <c r="B3578" t="s">
        <v>111</v>
      </c>
      <c r="C3578" s="109">
        <f>IF(ISBLANK(K3578),IFERROR(VLOOKUP(I3578,FS_input_data!$C$458:$N$648,Export!J3578,FALSE),""),K3578)</f>
        <v>16000</v>
      </c>
      <c r="D3578" s="6" t="b">
        <v>0</v>
      </c>
      <c r="E3578" t="s">
        <v>1561</v>
      </c>
      <c r="F3578" s="6"/>
      <c r="G3578" s="6" t="b">
        <f t="shared" si="190"/>
        <v>1</v>
      </c>
      <c r="H3578" s="6" t="s">
        <v>2189</v>
      </c>
      <c r="I3578" t="s">
        <v>1876</v>
      </c>
      <c r="J3578">
        <v>11</v>
      </c>
      <c r="L3578" s="9" t="e">
        <f t="shared" si="187"/>
        <v>#VALUE!</v>
      </c>
    </row>
    <row r="3579" spans="1:12" x14ac:dyDescent="0.35">
      <c r="A3579">
        <f t="shared" si="188"/>
        <v>3578</v>
      </c>
      <c r="B3579" t="s">
        <v>112</v>
      </c>
      <c r="C3579" s="109" t="str">
        <f>IF(ISBLANK(K3579),IFERROR(VLOOKUP(I3579,FS_input_data!$C$458:$N$648,Export!J3579,FALSE),""),K3579)</f>
        <v/>
      </c>
      <c r="D3579" s="6"/>
      <c r="E3579" t="s">
        <v>1561</v>
      </c>
      <c r="F3579" s="6"/>
      <c r="G3579" s="6" t="b">
        <f t="shared" si="190"/>
        <v>1</v>
      </c>
      <c r="H3579" s="6" t="s">
        <v>2189</v>
      </c>
      <c r="I3579" t="s">
        <v>1561</v>
      </c>
      <c r="J3579" t="s">
        <v>1561</v>
      </c>
      <c r="L3579">
        <f t="shared" si="187"/>
        <v>1</v>
      </c>
    </row>
    <row r="3580" spans="1:12" x14ac:dyDescent="0.35">
      <c r="A3580" s="9">
        <f t="shared" si="188"/>
        <v>3579</v>
      </c>
      <c r="B3580" t="s">
        <v>749</v>
      </c>
      <c r="C3580" s="109">
        <f>IF(ISBLANK(K3580),IFERROR(VLOOKUP(I3580,FS_input_data!$C$458:$N$648,Export!J3580,FALSE),""),K3580)</f>
        <v>16000</v>
      </c>
      <c r="D3580" s="6" t="b">
        <v>0</v>
      </c>
      <c r="E3580" t="s">
        <v>1561</v>
      </c>
      <c r="F3580" s="6"/>
      <c r="G3580" s="6" t="b">
        <f t="shared" si="190"/>
        <v>1</v>
      </c>
      <c r="H3580" s="6" t="s">
        <v>2189</v>
      </c>
      <c r="I3580" t="s">
        <v>1876</v>
      </c>
      <c r="J3580">
        <v>12</v>
      </c>
      <c r="L3580" s="9" t="e">
        <f t="shared" si="187"/>
        <v>#VALUE!</v>
      </c>
    </row>
    <row r="3581" spans="1:12" x14ac:dyDescent="0.35">
      <c r="A3581">
        <f t="shared" si="188"/>
        <v>3580</v>
      </c>
      <c r="B3581" t="s">
        <v>750</v>
      </c>
      <c r="C3581" s="109" t="str">
        <f>IF(ISBLANK(K3581),IFERROR(VLOOKUP(I3581,FS_input_data!$C$458:$N$648,Export!J3581,FALSE),""),K3581)</f>
        <v/>
      </c>
      <c r="D3581" s="6"/>
      <c r="E3581" t="s">
        <v>1561</v>
      </c>
      <c r="F3581" s="6"/>
      <c r="G3581" s="6" t="b">
        <f t="shared" si="190"/>
        <v>1</v>
      </c>
      <c r="H3581" s="6" t="s">
        <v>2189</v>
      </c>
      <c r="I3581" t="s">
        <v>1561</v>
      </c>
      <c r="J3581" t="s">
        <v>1561</v>
      </c>
      <c r="L3581">
        <f t="shared" si="187"/>
        <v>1</v>
      </c>
    </row>
    <row r="3582" spans="1:12" x14ac:dyDescent="0.35">
      <c r="A3582">
        <f t="shared" si="188"/>
        <v>3581</v>
      </c>
      <c r="B3582" t="s">
        <v>745</v>
      </c>
      <c r="C3582" s="109" t="str">
        <f>IF(ISBLANK(K3582),IFERROR(VLOOKUP(I3582,FS_input_data!$C$458:$N$648,Export!J3582,FALSE),""),K3582)</f>
        <v/>
      </c>
      <c r="D3582" s="6"/>
      <c r="E3582" t="s">
        <v>1561</v>
      </c>
      <c r="F3582" s="6"/>
      <c r="G3582" s="6" t="b">
        <f t="shared" si="190"/>
        <v>1</v>
      </c>
      <c r="H3582" s="6" t="s">
        <v>2189</v>
      </c>
      <c r="I3582" t="s">
        <v>1561</v>
      </c>
      <c r="J3582" t="s">
        <v>1561</v>
      </c>
      <c r="L3582">
        <f t="shared" si="187"/>
        <v>1</v>
      </c>
    </row>
    <row r="3583" spans="1:12" x14ac:dyDescent="0.35">
      <c r="A3583">
        <f t="shared" si="188"/>
        <v>3582</v>
      </c>
      <c r="B3583" t="s">
        <v>764</v>
      </c>
      <c r="C3583" s="109" t="str">
        <f>IF(ISBLANK(K3583),IFERROR(VLOOKUP(I3583,FS_input_data!$C$458:$N$648,Export!J3583,FALSE),""),K3583)</f>
        <v/>
      </c>
      <c r="D3583" s="6"/>
      <c r="E3583" t="s">
        <v>1561</v>
      </c>
      <c r="F3583" s="6"/>
      <c r="G3583" s="105" t="b">
        <f>VLOOKUP($I$3552,FS_input_data!$C$458:$N$648,Export!$J$3552,FALSE)=""</f>
        <v>0</v>
      </c>
      <c r="H3583" s="6" t="s">
        <v>2189</v>
      </c>
      <c r="I3583" t="s">
        <v>1561</v>
      </c>
      <c r="J3583" t="s">
        <v>1561</v>
      </c>
      <c r="L3583">
        <f t="shared" si="187"/>
        <v>1</v>
      </c>
    </row>
    <row r="3584" spans="1:12" x14ac:dyDescent="0.35">
      <c r="A3584">
        <f t="shared" si="188"/>
        <v>3583</v>
      </c>
      <c r="B3584" t="s">
        <v>765</v>
      </c>
      <c r="C3584" s="109" t="str">
        <f>IF(ISBLANK(K3584),IFERROR(VLOOKUP(I3584,FS_input_data!$C$458:$N$648,Export!J3584,FALSE),""),K3584)</f>
        <v/>
      </c>
      <c r="D3584" s="6"/>
      <c r="E3584" t="s">
        <v>1561</v>
      </c>
      <c r="F3584" s="6"/>
      <c r="G3584" s="105" t="b">
        <f>VLOOKUP($I$3552,FS_input_data!$C$458:$N$648,Export!$J$3552,FALSE)=""</f>
        <v>0</v>
      </c>
      <c r="H3584" s="6" t="s">
        <v>2189</v>
      </c>
      <c r="I3584" t="s">
        <v>1561</v>
      </c>
      <c r="J3584" t="s">
        <v>1561</v>
      </c>
      <c r="L3584">
        <f t="shared" si="187"/>
        <v>1</v>
      </c>
    </row>
    <row r="3585" spans="1:12" x14ac:dyDescent="0.35">
      <c r="A3585">
        <f t="shared" si="188"/>
        <v>3584</v>
      </c>
      <c r="B3585" t="s">
        <v>752</v>
      </c>
      <c r="C3585" s="109" t="str">
        <f>IF(ISBLANK(K3585),IFERROR(VLOOKUP(I3585,FS_input_data!$C$458:$N$648,Export!J3585,FALSE),""),K3585)</f>
        <v/>
      </c>
      <c r="D3585" s="6"/>
      <c r="E3585" t="s">
        <v>1561</v>
      </c>
      <c r="F3585" s="6"/>
      <c r="G3585" s="113" t="b">
        <f>VLOOKUP(I3586,FS_input_noty,J3586,FALSE)=""</f>
        <v>0</v>
      </c>
      <c r="H3585" s="6" t="s">
        <v>2189</v>
      </c>
      <c r="I3585" t="s">
        <v>1561</v>
      </c>
      <c r="J3585" t="s">
        <v>1561</v>
      </c>
      <c r="L3585" s="9" t="e">
        <f t="shared" si="187"/>
        <v>#VALUE!</v>
      </c>
    </row>
    <row r="3586" spans="1:12" x14ac:dyDescent="0.35">
      <c r="A3586" s="9">
        <f t="shared" si="188"/>
        <v>3585</v>
      </c>
      <c r="B3586" t="s">
        <v>101</v>
      </c>
      <c r="C3586" s="109" t="str">
        <f>IF(ISBLANK(K3586),IFERROR(VLOOKUP(I3586,FS_input_data!$C$458:$N$648,Export!J3586,FALSE),""),K3586)</f>
        <v>OC11</v>
      </c>
      <c r="D3586" s="6" t="b">
        <v>1</v>
      </c>
      <c r="E3586" t="s">
        <v>1561</v>
      </c>
      <c r="F3586" s="6"/>
      <c r="G3586" s="113" t="b">
        <f>VLOOKUP(I3586,FS_input_noty,J3586,FALSE)=""</f>
        <v>0</v>
      </c>
      <c r="H3586" s="6" t="s">
        <v>2189</v>
      </c>
      <c r="I3586" t="s">
        <v>1878</v>
      </c>
      <c r="J3586">
        <v>6</v>
      </c>
      <c r="L3586" s="9" t="e">
        <f t="shared" ref="L3586:L3649" si="191">FIND("/",B3586)</f>
        <v>#VALUE!</v>
      </c>
    </row>
    <row r="3587" spans="1:12" x14ac:dyDescent="0.35">
      <c r="A3587">
        <f t="shared" ref="A3587:A3650" si="192">A3586+1</f>
        <v>3586</v>
      </c>
      <c r="B3587" t="s">
        <v>102</v>
      </c>
      <c r="C3587" s="109" t="str">
        <f>IF(ISBLANK(K3587),IFERROR(VLOOKUP(I3587,FS_input_data!$C$458:$N$648,Export!J3587,FALSE),""),K3587)</f>
        <v/>
      </c>
      <c r="D3587" s="6"/>
      <c r="E3587" t="s">
        <v>1561</v>
      </c>
      <c r="F3587" s="6"/>
      <c r="G3587" s="113" t="b">
        <f>VLOOKUP(I3586,FS_input_noty,J3586,FALSE)=""</f>
        <v>0</v>
      </c>
      <c r="H3587" s="6" t="s">
        <v>2189</v>
      </c>
      <c r="I3587" t="s">
        <v>1561</v>
      </c>
      <c r="J3587" t="s">
        <v>1561</v>
      </c>
      <c r="L3587">
        <f t="shared" si="191"/>
        <v>1</v>
      </c>
    </row>
    <row r="3588" spans="1:12" x14ac:dyDescent="0.35">
      <c r="A3588">
        <f t="shared" si="192"/>
        <v>3587</v>
      </c>
      <c r="B3588" t="s">
        <v>753</v>
      </c>
      <c r="C3588" s="109" t="str">
        <f>IF(ISBLANK(K3588),IFERROR(VLOOKUP(I3588,FS_input_data!$C$458:$N$648,Export!J3588,FALSE),""),K3588)</f>
        <v/>
      </c>
      <c r="D3588" s="6"/>
      <c r="E3588" t="s">
        <v>1561</v>
      </c>
      <c r="F3588" s="6"/>
      <c r="G3588" s="113" t="b">
        <f>VLOOKUP(I3586,FS_input_noty,J3586,FALSE)=""</f>
        <v>0</v>
      </c>
      <c r="H3588" s="6" t="s">
        <v>2189</v>
      </c>
      <c r="I3588" t="s">
        <v>1561</v>
      </c>
      <c r="J3588" t="s">
        <v>1561</v>
      </c>
      <c r="L3588" s="9" t="e">
        <f t="shared" si="191"/>
        <v>#VALUE!</v>
      </c>
    </row>
    <row r="3589" spans="1:12" x14ac:dyDescent="0.35">
      <c r="A3589">
        <f t="shared" si="192"/>
        <v>3588</v>
      </c>
      <c r="B3589" t="s">
        <v>742</v>
      </c>
      <c r="C3589" s="109" t="str">
        <f>IF(ISBLANK(K3589),IFERROR(VLOOKUP(I3589,FS_input_data!$C$458:$N$648,Export!J3589,FALSE),""),K3589)</f>
        <v/>
      </c>
      <c r="D3589" s="6"/>
      <c r="E3589" t="s">
        <v>1561</v>
      </c>
      <c r="F3589" s="6"/>
      <c r="G3589" s="113" t="b">
        <f>VLOOKUP(I3586,FS_input_noty,J3586,FALSE)=""</f>
        <v>0</v>
      </c>
      <c r="H3589" s="6" t="s">
        <v>2189</v>
      </c>
      <c r="I3589" t="s">
        <v>1561</v>
      </c>
      <c r="J3589" t="s">
        <v>1561</v>
      </c>
      <c r="L3589" s="9" t="e">
        <f t="shared" si="191"/>
        <v>#VALUE!</v>
      </c>
    </row>
    <row r="3590" spans="1:12" x14ac:dyDescent="0.35">
      <c r="A3590">
        <f t="shared" si="192"/>
        <v>3589</v>
      </c>
      <c r="B3590" t="s">
        <v>748</v>
      </c>
      <c r="C3590" s="109" t="str">
        <f>IF(ISBLANK(K3590),IFERROR(VLOOKUP(I3590,FS_input_data!$C$458:$N$648,Export!J3590,FALSE),""),K3590)</f>
        <v/>
      </c>
      <c r="D3590" s="6"/>
      <c r="E3590" t="s">
        <v>1561</v>
      </c>
      <c r="F3590" s="6"/>
      <c r="G3590" s="113" t="b">
        <f>VLOOKUP(I3586,FS_input_noty,J3586,FALSE)=""</f>
        <v>0</v>
      </c>
      <c r="H3590" s="6" t="s">
        <v>2189</v>
      </c>
      <c r="I3590" t="s">
        <v>1561</v>
      </c>
      <c r="J3590" t="s">
        <v>1561</v>
      </c>
      <c r="L3590" s="9" t="e">
        <f t="shared" si="191"/>
        <v>#VALUE!</v>
      </c>
    </row>
    <row r="3591" spans="1:12" x14ac:dyDescent="0.35">
      <c r="A3591" s="9">
        <f t="shared" si="192"/>
        <v>3590</v>
      </c>
      <c r="B3591" t="s">
        <v>109</v>
      </c>
      <c r="C3591" s="109">
        <f>IF(ISBLANK(K3591),IFERROR(VLOOKUP(I3591,FS_input_data!$C$458:$N$648,Export!J3591,FALSE),""),K3591)</f>
        <v>33000</v>
      </c>
      <c r="D3591" s="6" t="b">
        <v>1</v>
      </c>
      <c r="E3591" t="s">
        <v>1561</v>
      </c>
      <c r="F3591" s="6"/>
      <c r="G3591" s="113" t="b">
        <f>VLOOKUP(I3586,FS_input_noty,J3586,FALSE)=""</f>
        <v>0</v>
      </c>
      <c r="H3591" s="6" t="s">
        <v>2189</v>
      </c>
      <c r="I3591" t="s">
        <v>1878</v>
      </c>
      <c r="J3591">
        <v>7</v>
      </c>
      <c r="L3591" s="9" t="e">
        <f t="shared" si="191"/>
        <v>#VALUE!</v>
      </c>
    </row>
    <row r="3592" spans="1:12" x14ac:dyDescent="0.35">
      <c r="A3592">
        <f t="shared" si="192"/>
        <v>3591</v>
      </c>
      <c r="B3592" t="s">
        <v>110</v>
      </c>
      <c r="C3592" s="109" t="str">
        <f>IF(ISBLANK(K3592),IFERROR(VLOOKUP(I3592,FS_input_data!$C$458:$N$648,Export!J3592,FALSE),""),K3592)</f>
        <v/>
      </c>
      <c r="D3592" s="6"/>
      <c r="E3592" t="s">
        <v>1561</v>
      </c>
      <c r="F3592" s="6"/>
      <c r="G3592" s="113" t="b">
        <f>VLOOKUP(I3586,FS_input_noty,J3586,FALSE)=""</f>
        <v>0</v>
      </c>
      <c r="H3592" s="6" t="s">
        <v>2189</v>
      </c>
      <c r="I3592" t="s">
        <v>1561</v>
      </c>
      <c r="J3592" t="s">
        <v>1561</v>
      </c>
      <c r="L3592">
        <f t="shared" si="191"/>
        <v>1</v>
      </c>
    </row>
    <row r="3593" spans="1:12" x14ac:dyDescent="0.35">
      <c r="A3593" s="9">
        <f t="shared" si="192"/>
        <v>3592</v>
      </c>
      <c r="B3593" t="s">
        <v>111</v>
      </c>
      <c r="C3593" s="109">
        <f>IF(ISBLANK(K3593),IFERROR(VLOOKUP(I3593,FS_input_data!$C$458:$N$648,Export!J3593,FALSE),""),K3593)</f>
        <v>16500</v>
      </c>
      <c r="D3593" s="6" t="b">
        <v>0</v>
      </c>
      <c r="E3593" t="s">
        <v>1561</v>
      </c>
      <c r="F3593" s="6"/>
      <c r="G3593" s="113" t="b">
        <f>VLOOKUP(I3586,FS_input_noty,J3586,TRUE)=""</f>
        <v>0</v>
      </c>
      <c r="H3593" s="6" t="s">
        <v>2189</v>
      </c>
      <c r="I3593" t="s">
        <v>1878</v>
      </c>
      <c r="J3593">
        <v>8</v>
      </c>
      <c r="L3593" s="9" t="e">
        <f t="shared" si="191"/>
        <v>#VALUE!</v>
      </c>
    </row>
    <row r="3594" spans="1:12" x14ac:dyDescent="0.35">
      <c r="A3594">
        <f t="shared" si="192"/>
        <v>3593</v>
      </c>
      <c r="B3594" t="s">
        <v>112</v>
      </c>
      <c r="C3594" s="109" t="str">
        <f>IF(ISBLANK(K3594),IFERROR(VLOOKUP(I3594,FS_input_data!$C$458:$N$648,Export!J3594,FALSE),""),K3594)</f>
        <v/>
      </c>
      <c r="D3594" s="6"/>
      <c r="E3594" t="s">
        <v>1561</v>
      </c>
      <c r="F3594" s="6"/>
      <c r="G3594" s="113" t="b">
        <f>VLOOKUP(I3586,FS_input_noty,J3586,FALSE)=""</f>
        <v>0</v>
      </c>
      <c r="H3594" s="6" t="s">
        <v>2189</v>
      </c>
      <c r="I3594" t="s">
        <v>1561</v>
      </c>
      <c r="J3594" t="s">
        <v>1561</v>
      </c>
      <c r="L3594">
        <f t="shared" si="191"/>
        <v>1</v>
      </c>
    </row>
    <row r="3595" spans="1:12" x14ac:dyDescent="0.35">
      <c r="A3595" s="9">
        <f t="shared" si="192"/>
        <v>3594</v>
      </c>
      <c r="B3595" t="s">
        <v>749</v>
      </c>
      <c r="C3595" s="109">
        <f>IF(ISBLANK(K3595),IFERROR(VLOOKUP(I3595,FS_input_data!$C$458:$N$648,Export!J3595,FALSE),""),K3595)</f>
        <v>16500</v>
      </c>
      <c r="D3595" s="6" t="b">
        <v>0</v>
      </c>
      <c r="E3595" t="s">
        <v>1561</v>
      </c>
      <c r="F3595" s="6"/>
      <c r="G3595" s="113" t="b">
        <f>VLOOKUP(I3586,FS_input_noty,J3586,FALSE)=""</f>
        <v>0</v>
      </c>
      <c r="H3595" s="6" t="s">
        <v>2189</v>
      </c>
      <c r="I3595" t="s">
        <v>1878</v>
      </c>
      <c r="J3595">
        <v>9</v>
      </c>
      <c r="L3595" s="9" t="e">
        <f t="shared" si="191"/>
        <v>#VALUE!</v>
      </c>
    </row>
    <row r="3596" spans="1:12" x14ac:dyDescent="0.35">
      <c r="A3596">
        <f t="shared" si="192"/>
        <v>3595</v>
      </c>
      <c r="B3596" t="s">
        <v>750</v>
      </c>
      <c r="C3596" s="109" t="str">
        <f>IF(ISBLANK(K3596),IFERROR(VLOOKUP(I3596,FS_input_data!$C$458:$N$648,Export!J3596,FALSE),""),K3596)</f>
        <v/>
      </c>
      <c r="D3596" s="6"/>
      <c r="E3596" t="s">
        <v>1561</v>
      </c>
      <c r="F3596" s="6"/>
      <c r="G3596" s="113" t="b">
        <f>VLOOKUP(I3586,FS_input_noty,J3586,FALSE)=""</f>
        <v>0</v>
      </c>
      <c r="H3596" s="6" t="s">
        <v>2189</v>
      </c>
      <c r="I3596" t="s">
        <v>1561</v>
      </c>
      <c r="J3596" t="s">
        <v>1561</v>
      </c>
      <c r="L3596">
        <f t="shared" si="191"/>
        <v>1</v>
      </c>
    </row>
    <row r="3597" spans="1:12" x14ac:dyDescent="0.35">
      <c r="A3597">
        <f t="shared" si="192"/>
        <v>3596</v>
      </c>
      <c r="B3597" t="s">
        <v>751</v>
      </c>
      <c r="C3597" s="109" t="str">
        <f>IF(ISBLANK(K3597),IFERROR(VLOOKUP(I3597,FS_input_data!$C$458:$N$648,Export!J3597,FALSE),""),K3597)</f>
        <v/>
      </c>
      <c r="D3597" s="6"/>
      <c r="E3597" t="s">
        <v>1561</v>
      </c>
      <c r="F3597" s="6"/>
      <c r="G3597" s="113" t="b">
        <f>VLOOKUP(I3586,FS_input_noty,J3586,FALSE)=""</f>
        <v>0</v>
      </c>
      <c r="H3597" s="6" t="s">
        <v>2189</v>
      </c>
      <c r="I3597" t="s">
        <v>1561</v>
      </c>
      <c r="J3597" t="s">
        <v>1561</v>
      </c>
      <c r="L3597">
        <f t="shared" si="191"/>
        <v>1</v>
      </c>
    </row>
    <row r="3598" spans="1:12" x14ac:dyDescent="0.35">
      <c r="A3598">
        <f t="shared" si="192"/>
        <v>3597</v>
      </c>
      <c r="B3598" t="s">
        <v>754</v>
      </c>
      <c r="C3598" s="109" t="str">
        <f>IF(ISBLANK(K3598),IFERROR(VLOOKUP(I3598,FS_input_data!$C$458:$N$648,Export!J3598,FALSE),""),K3598)</f>
        <v/>
      </c>
      <c r="D3598" s="6"/>
      <c r="E3598" t="s">
        <v>1561</v>
      </c>
      <c r="F3598" s="6"/>
      <c r="G3598" s="113" t="b">
        <f>VLOOKUP(I3586,FS_input_noty,J3586,FALSE)=""</f>
        <v>0</v>
      </c>
      <c r="H3598" s="6" t="s">
        <v>2189</v>
      </c>
      <c r="I3598" t="s">
        <v>1561</v>
      </c>
      <c r="J3598" t="s">
        <v>1561</v>
      </c>
      <c r="L3598" s="9" t="e">
        <f t="shared" si="191"/>
        <v>#VALUE!</v>
      </c>
    </row>
    <row r="3599" spans="1:12" x14ac:dyDescent="0.35">
      <c r="A3599" s="9">
        <f t="shared" si="192"/>
        <v>3598</v>
      </c>
      <c r="B3599" t="s">
        <v>755</v>
      </c>
      <c r="C3599" s="109">
        <f>IF(ISBLANK(K3599),IFERROR(VLOOKUP(I3599,FS_input_data!$C$458:$N$648,Export!J3599,FALSE),""),K3599)</f>
        <v>33</v>
      </c>
      <c r="D3599" s="6" t="b">
        <v>1</v>
      </c>
      <c r="E3599" t="s">
        <v>1561</v>
      </c>
      <c r="F3599" s="6"/>
      <c r="G3599" s="113" t="b">
        <f>VLOOKUP(I3586,FS_input_noty,J3586,FALSE)=""</f>
        <v>0</v>
      </c>
      <c r="H3599" s="6" t="s">
        <v>2189</v>
      </c>
      <c r="I3599" t="s">
        <v>1878</v>
      </c>
      <c r="J3599">
        <v>2</v>
      </c>
      <c r="L3599" s="9" t="e">
        <f t="shared" si="191"/>
        <v>#VALUE!</v>
      </c>
    </row>
    <row r="3600" spans="1:12" x14ac:dyDescent="0.35">
      <c r="A3600">
        <f t="shared" si="192"/>
        <v>3599</v>
      </c>
      <c r="B3600" t="s">
        <v>756</v>
      </c>
      <c r="C3600" s="109" t="str">
        <f>IF(ISBLANK(K3600),IFERROR(VLOOKUP(I3600,FS_input_data!$C$458:$N$648,Export!J3600,FALSE),""),K3600)</f>
        <v/>
      </c>
      <c r="D3600" s="6"/>
      <c r="E3600" t="s">
        <v>1561</v>
      </c>
      <c r="F3600" s="6"/>
      <c r="G3600" s="113" t="b">
        <f>VLOOKUP(I3586,FS_input_noty,J3586,FALSE)=""</f>
        <v>0</v>
      </c>
      <c r="H3600" s="6" t="s">
        <v>2189</v>
      </c>
      <c r="I3600" t="s">
        <v>1561</v>
      </c>
      <c r="J3600" t="s">
        <v>1561</v>
      </c>
      <c r="L3600">
        <f t="shared" si="191"/>
        <v>1</v>
      </c>
    </row>
    <row r="3601" spans="1:12" x14ac:dyDescent="0.35">
      <c r="A3601" s="9">
        <f t="shared" si="192"/>
        <v>3600</v>
      </c>
      <c r="B3601" t="s">
        <v>757</v>
      </c>
      <c r="C3601" s="109">
        <f>IF(ISBLANK(K3601),IFERROR(VLOOKUP(I3601,FS_input_data!$C$458:$N$648,Export!J3601,FALSE),""),K3601)</f>
        <v>133</v>
      </c>
      <c r="D3601" s="6" t="b">
        <v>0</v>
      </c>
      <c r="E3601" t="s">
        <v>1561</v>
      </c>
      <c r="F3601" s="6"/>
      <c r="G3601" s="113" t="b">
        <f>VLOOKUP(I3586,FS_input_noty,J3586,FALSE)=""</f>
        <v>0</v>
      </c>
      <c r="H3601" s="6" t="s">
        <v>2189</v>
      </c>
      <c r="I3601" t="s">
        <v>1878</v>
      </c>
      <c r="J3601">
        <v>3</v>
      </c>
      <c r="L3601" s="9" t="e">
        <f t="shared" si="191"/>
        <v>#VALUE!</v>
      </c>
    </row>
    <row r="3602" spans="1:12" x14ac:dyDescent="0.35">
      <c r="A3602">
        <f t="shared" si="192"/>
        <v>3601</v>
      </c>
      <c r="B3602" t="s">
        <v>758</v>
      </c>
      <c r="C3602" s="109" t="str">
        <f>IF(ISBLANK(K3602),IFERROR(VLOOKUP(I3602,FS_input_data!$C$458:$N$648,Export!J3602,FALSE),""),K3602)</f>
        <v/>
      </c>
      <c r="D3602" s="6"/>
      <c r="E3602" t="s">
        <v>1561</v>
      </c>
      <c r="F3602" s="6"/>
      <c r="G3602" s="113" t="b">
        <f>VLOOKUP(I3586,FS_input_noty,J3586,FALSE)=""</f>
        <v>0</v>
      </c>
      <c r="H3602" s="6" t="s">
        <v>2189</v>
      </c>
      <c r="I3602" t="s">
        <v>1561</v>
      </c>
      <c r="J3602" t="s">
        <v>1561</v>
      </c>
      <c r="L3602">
        <f t="shared" si="191"/>
        <v>1</v>
      </c>
    </row>
    <row r="3603" spans="1:12" x14ac:dyDescent="0.35">
      <c r="A3603" s="9">
        <f t="shared" si="192"/>
        <v>3602</v>
      </c>
      <c r="B3603" t="s">
        <v>759</v>
      </c>
      <c r="C3603" s="109">
        <f>IF(ISBLANK(K3603),IFERROR(VLOOKUP(I3603,FS_input_data!$C$458:$N$648,Export!J3603,FALSE),""),K3603)</f>
        <v>233</v>
      </c>
      <c r="D3603" s="6" t="b">
        <v>0</v>
      </c>
      <c r="E3603" t="s">
        <v>1561</v>
      </c>
      <c r="F3603" s="6"/>
      <c r="G3603" s="113" t="b">
        <f>VLOOKUP(I3586,FS_input_noty,J3586,FALSE)=""</f>
        <v>0</v>
      </c>
      <c r="H3603" s="6" t="s">
        <v>2189</v>
      </c>
      <c r="I3603" t="s">
        <v>1878</v>
      </c>
      <c r="J3603">
        <v>4</v>
      </c>
      <c r="L3603" s="9" t="e">
        <f t="shared" si="191"/>
        <v>#VALUE!</v>
      </c>
    </row>
    <row r="3604" spans="1:12" x14ac:dyDescent="0.35">
      <c r="A3604">
        <f t="shared" si="192"/>
        <v>3603</v>
      </c>
      <c r="B3604" t="s">
        <v>760</v>
      </c>
      <c r="C3604" s="109" t="str">
        <f>IF(ISBLANK(K3604),IFERROR(VLOOKUP(I3604,FS_input_data!$C$458:$N$648,Export!J3604,FALSE),""),K3604)</f>
        <v/>
      </c>
      <c r="D3604" s="6"/>
      <c r="E3604" t="s">
        <v>1561</v>
      </c>
      <c r="F3604" s="6"/>
      <c r="G3604" s="113" t="b">
        <f>VLOOKUP(I3586,FS_input_noty,J3586,FALSE)=""</f>
        <v>0</v>
      </c>
      <c r="H3604" s="6" t="s">
        <v>2189</v>
      </c>
      <c r="I3604" t="s">
        <v>1561</v>
      </c>
      <c r="J3604" t="s">
        <v>1561</v>
      </c>
      <c r="L3604">
        <f t="shared" si="191"/>
        <v>1</v>
      </c>
    </row>
    <row r="3605" spans="1:12" x14ac:dyDescent="0.35">
      <c r="A3605" s="9">
        <f t="shared" si="192"/>
        <v>3604</v>
      </c>
      <c r="B3605" t="s">
        <v>761</v>
      </c>
      <c r="C3605" s="109" t="str">
        <f>IF(ISBLANK(K3605),IFERROR(VLOOKUP(I3605,FS_input_data!$C$458:$N$648,Export!J3605,FALSE),""),K3605)</f>
        <v>a</v>
      </c>
      <c r="D3605" s="6" t="b">
        <v>0</v>
      </c>
      <c r="E3605" t="s">
        <v>1561</v>
      </c>
      <c r="F3605" s="6"/>
      <c r="G3605" s="113" t="b">
        <f>VLOOKUP(I3586,FS_input_noty,J3586,FALSE)=""</f>
        <v>0</v>
      </c>
      <c r="H3605" s="6" t="s">
        <v>2189</v>
      </c>
      <c r="I3605" t="s">
        <v>1878</v>
      </c>
      <c r="J3605">
        <v>5</v>
      </c>
      <c r="L3605" s="9" t="e">
        <f t="shared" si="191"/>
        <v>#VALUE!</v>
      </c>
    </row>
    <row r="3606" spans="1:12" x14ac:dyDescent="0.35">
      <c r="A3606">
        <f t="shared" si="192"/>
        <v>3605</v>
      </c>
      <c r="B3606" t="s">
        <v>762</v>
      </c>
      <c r="C3606" s="109" t="str">
        <f>IF(ISBLANK(K3606),IFERROR(VLOOKUP(I3606,FS_input_data!$C$458:$N$648,Export!J3606,FALSE),""),K3606)</f>
        <v/>
      </c>
      <c r="D3606" s="6"/>
      <c r="E3606" t="s">
        <v>1561</v>
      </c>
      <c r="F3606" s="6"/>
      <c r="G3606" s="113" t="b">
        <f>VLOOKUP(I3586,FS_input_noty,J3586,FALSE)=""</f>
        <v>0</v>
      </c>
      <c r="H3606" s="6" t="s">
        <v>2189</v>
      </c>
      <c r="I3606" t="s">
        <v>1561</v>
      </c>
      <c r="J3606" t="s">
        <v>1561</v>
      </c>
      <c r="L3606">
        <f t="shared" si="191"/>
        <v>1</v>
      </c>
    </row>
    <row r="3607" spans="1:12" x14ac:dyDescent="0.35">
      <c r="A3607">
        <f t="shared" si="192"/>
        <v>3606</v>
      </c>
      <c r="B3607" t="s">
        <v>763</v>
      </c>
      <c r="C3607" s="109" t="str">
        <f>IF(ISBLANK(K3607),IFERROR(VLOOKUP(I3607,FS_input_data!$C$458:$N$648,Export!J3607,FALSE),""),K3607)</f>
        <v/>
      </c>
      <c r="D3607" s="6"/>
      <c r="E3607" t="s">
        <v>1561</v>
      </c>
      <c r="F3607" s="6"/>
      <c r="G3607" s="113" t="b">
        <f>VLOOKUP(I3586,FS_input_noty,J3586,FALSE)=""</f>
        <v>0</v>
      </c>
      <c r="H3607" s="6" t="s">
        <v>2189</v>
      </c>
      <c r="I3607" t="s">
        <v>1561</v>
      </c>
      <c r="J3607" t="s">
        <v>1561</v>
      </c>
      <c r="L3607">
        <f t="shared" si="191"/>
        <v>1</v>
      </c>
    </row>
    <row r="3608" spans="1:12" x14ac:dyDescent="0.35">
      <c r="A3608">
        <f t="shared" si="192"/>
        <v>3607</v>
      </c>
      <c r="B3608" t="s">
        <v>743</v>
      </c>
      <c r="C3608" s="109" t="str">
        <f>IF(ISBLANK(K3608),IFERROR(VLOOKUP(I3608,FS_input_data!$C$458:$N$648,Export!J3608,FALSE),""),K3608)</f>
        <v/>
      </c>
      <c r="D3608" s="6"/>
      <c r="E3608" t="s">
        <v>1561</v>
      </c>
      <c r="F3608" s="6"/>
      <c r="G3608" s="114" t="b">
        <f>VLOOKUP(I3586,FS_input_noty,J3586,FALSE)=""</f>
        <v>0</v>
      </c>
      <c r="H3608" s="6" t="s">
        <v>2189</v>
      </c>
      <c r="I3608" t="s">
        <v>1561</v>
      </c>
      <c r="J3608" t="s">
        <v>1561</v>
      </c>
      <c r="L3608">
        <f t="shared" si="191"/>
        <v>1</v>
      </c>
    </row>
    <row r="3609" spans="1:12" x14ac:dyDescent="0.35">
      <c r="A3609">
        <f t="shared" si="192"/>
        <v>3608</v>
      </c>
      <c r="B3609" t="s">
        <v>744</v>
      </c>
      <c r="C3609" s="109" t="str">
        <f>IF(ISBLANK(K3609),IFERROR(VLOOKUP(I3609,FS_input_data!$C$458:$N$648,Export!J3609,FALSE),""),K3609)</f>
        <v/>
      </c>
      <c r="D3609" s="6"/>
      <c r="E3609" t="s">
        <v>1561</v>
      </c>
      <c r="F3609" s="6"/>
      <c r="G3609" s="114" t="b">
        <f t="shared" ref="G3609:G3616" si="193">RP_tax</f>
        <v>1</v>
      </c>
      <c r="H3609" s="6" t="s">
        <v>2189</v>
      </c>
      <c r="I3609" t="s">
        <v>1561</v>
      </c>
      <c r="J3609" t="s">
        <v>1561</v>
      </c>
      <c r="L3609" s="9" t="e">
        <f t="shared" si="191"/>
        <v>#VALUE!</v>
      </c>
    </row>
    <row r="3610" spans="1:12" x14ac:dyDescent="0.35">
      <c r="A3610" s="9">
        <f t="shared" si="192"/>
        <v>3609</v>
      </c>
      <c r="B3610" t="s">
        <v>109</v>
      </c>
      <c r="C3610" s="109">
        <f>IF(ISBLANK(K3610),IFERROR(VLOOKUP(I3610,FS_input_data!$C$458:$N$648,Export!J3610,FALSE),""),K3610)</f>
        <v>33000</v>
      </c>
      <c r="D3610" s="6" t="b">
        <v>1</v>
      </c>
      <c r="E3610" t="s">
        <v>1561</v>
      </c>
      <c r="F3610" s="6"/>
      <c r="G3610" s="114" t="b">
        <f t="shared" si="193"/>
        <v>1</v>
      </c>
      <c r="H3610" s="6" t="s">
        <v>2189</v>
      </c>
      <c r="I3610" t="s">
        <v>1878</v>
      </c>
      <c r="J3610">
        <v>10</v>
      </c>
      <c r="L3610" s="9" t="e">
        <f t="shared" si="191"/>
        <v>#VALUE!</v>
      </c>
    </row>
    <row r="3611" spans="1:12" x14ac:dyDescent="0.35">
      <c r="A3611">
        <f t="shared" si="192"/>
        <v>3610</v>
      </c>
      <c r="B3611" t="s">
        <v>110</v>
      </c>
      <c r="C3611" s="109" t="str">
        <f>IF(ISBLANK(K3611),IFERROR(VLOOKUP(I3611,FS_input_data!$C$458:$N$648,Export!J3611,FALSE),""),K3611)</f>
        <v/>
      </c>
      <c r="D3611" s="6"/>
      <c r="E3611" t="s">
        <v>1561</v>
      </c>
      <c r="F3611" s="6"/>
      <c r="G3611" s="114" t="b">
        <f t="shared" si="193"/>
        <v>1</v>
      </c>
      <c r="H3611" s="6" t="s">
        <v>2189</v>
      </c>
      <c r="I3611" t="s">
        <v>1561</v>
      </c>
      <c r="J3611" t="s">
        <v>1561</v>
      </c>
      <c r="L3611">
        <f t="shared" si="191"/>
        <v>1</v>
      </c>
    </row>
    <row r="3612" spans="1:12" x14ac:dyDescent="0.35">
      <c r="A3612" s="9">
        <f t="shared" si="192"/>
        <v>3611</v>
      </c>
      <c r="B3612" t="s">
        <v>111</v>
      </c>
      <c r="C3612" s="109">
        <f>IF(ISBLANK(K3612),IFERROR(VLOOKUP(I3612,FS_input_data!$C$458:$N$648,Export!J3612,FALSE),""),K3612)</f>
        <v>16500</v>
      </c>
      <c r="D3612" s="6" t="b">
        <v>0</v>
      </c>
      <c r="E3612" t="s">
        <v>1561</v>
      </c>
      <c r="F3612" s="6"/>
      <c r="G3612" s="114" t="b">
        <f t="shared" si="193"/>
        <v>1</v>
      </c>
      <c r="H3612" s="6" t="s">
        <v>2189</v>
      </c>
      <c r="I3612" t="s">
        <v>1878</v>
      </c>
      <c r="J3612">
        <v>11</v>
      </c>
      <c r="L3612" s="9" t="e">
        <f t="shared" si="191"/>
        <v>#VALUE!</v>
      </c>
    </row>
    <row r="3613" spans="1:12" x14ac:dyDescent="0.35">
      <c r="A3613">
        <f t="shared" si="192"/>
        <v>3612</v>
      </c>
      <c r="B3613" t="s">
        <v>112</v>
      </c>
      <c r="C3613" s="109" t="str">
        <f>IF(ISBLANK(K3613),IFERROR(VLOOKUP(I3613,FS_input_data!$C$458:$N$648,Export!J3613,FALSE),""),K3613)</f>
        <v/>
      </c>
      <c r="D3613" s="6"/>
      <c r="E3613" t="s">
        <v>1561</v>
      </c>
      <c r="F3613" s="6"/>
      <c r="G3613" s="114" t="b">
        <f t="shared" si="193"/>
        <v>1</v>
      </c>
      <c r="H3613" s="6" t="s">
        <v>2189</v>
      </c>
      <c r="I3613" t="s">
        <v>1561</v>
      </c>
      <c r="J3613" t="s">
        <v>1561</v>
      </c>
      <c r="L3613">
        <f t="shared" si="191"/>
        <v>1</v>
      </c>
    </row>
    <row r="3614" spans="1:12" x14ac:dyDescent="0.35">
      <c r="A3614" s="9">
        <f t="shared" si="192"/>
        <v>3613</v>
      </c>
      <c r="B3614" t="s">
        <v>749</v>
      </c>
      <c r="C3614" s="109">
        <f>IF(ISBLANK(K3614),IFERROR(VLOOKUP(I3614,FS_input_data!$C$458:$N$648,Export!J3614,FALSE),""),K3614)</f>
        <v>16500</v>
      </c>
      <c r="D3614" s="6" t="b">
        <v>0</v>
      </c>
      <c r="E3614" t="s">
        <v>1561</v>
      </c>
      <c r="F3614" s="6"/>
      <c r="G3614" s="114" t="b">
        <f t="shared" si="193"/>
        <v>1</v>
      </c>
      <c r="H3614" s="6" t="s">
        <v>2189</v>
      </c>
      <c r="I3614" t="s">
        <v>1878</v>
      </c>
      <c r="J3614">
        <v>12</v>
      </c>
      <c r="L3614" s="9" t="e">
        <f t="shared" si="191"/>
        <v>#VALUE!</v>
      </c>
    </row>
    <row r="3615" spans="1:12" x14ac:dyDescent="0.35">
      <c r="A3615">
        <f t="shared" si="192"/>
        <v>3614</v>
      </c>
      <c r="B3615" t="s">
        <v>750</v>
      </c>
      <c r="C3615" s="109" t="str">
        <f>IF(ISBLANK(K3615),IFERROR(VLOOKUP(I3615,FS_input_data!$C$458:$N$648,Export!J3615,FALSE),""),K3615)</f>
        <v/>
      </c>
      <c r="D3615" s="6"/>
      <c r="E3615" t="s">
        <v>1561</v>
      </c>
      <c r="F3615" s="6"/>
      <c r="G3615" s="114" t="b">
        <f t="shared" si="193"/>
        <v>1</v>
      </c>
      <c r="H3615" s="6" t="s">
        <v>2189</v>
      </c>
      <c r="I3615" t="s">
        <v>1561</v>
      </c>
      <c r="J3615" t="s">
        <v>1561</v>
      </c>
      <c r="L3615">
        <f t="shared" si="191"/>
        <v>1</v>
      </c>
    </row>
    <row r="3616" spans="1:12" x14ac:dyDescent="0.35">
      <c r="A3616">
        <f t="shared" si="192"/>
        <v>3615</v>
      </c>
      <c r="B3616" t="s">
        <v>745</v>
      </c>
      <c r="C3616" s="109" t="str">
        <f>IF(ISBLANK(K3616),IFERROR(VLOOKUP(I3616,FS_input_data!$C$458:$N$648,Export!J3616,FALSE),""),K3616)</f>
        <v/>
      </c>
      <c r="D3616" s="6"/>
      <c r="E3616" t="s">
        <v>1561</v>
      </c>
      <c r="F3616" s="6"/>
      <c r="G3616" s="114" t="b">
        <f t="shared" si="193"/>
        <v>1</v>
      </c>
      <c r="H3616" s="6" t="s">
        <v>2189</v>
      </c>
      <c r="I3616" t="s">
        <v>1561</v>
      </c>
      <c r="J3616" t="s">
        <v>1561</v>
      </c>
      <c r="L3616">
        <f t="shared" si="191"/>
        <v>1</v>
      </c>
    </row>
    <row r="3617" spans="1:12" x14ac:dyDescent="0.35">
      <c r="A3617">
        <f t="shared" si="192"/>
        <v>3616</v>
      </c>
      <c r="B3617" t="s">
        <v>764</v>
      </c>
      <c r="C3617" s="109" t="str">
        <f>IF(ISBLANK(K3617),IFERROR(VLOOKUP(I3617,FS_input_data!$C$458:$N$648,Export!J3617,FALSE),""),K3617)</f>
        <v/>
      </c>
      <c r="D3617" s="6"/>
      <c r="E3617" t="s">
        <v>1561</v>
      </c>
      <c r="F3617" s="6"/>
      <c r="G3617" s="114" t="b">
        <f>VLOOKUP(I3586,FS_input_noty,J3586,FALSE)=""</f>
        <v>0</v>
      </c>
      <c r="H3617" s="6" t="s">
        <v>2189</v>
      </c>
      <c r="I3617" t="s">
        <v>1561</v>
      </c>
      <c r="J3617" t="s">
        <v>1561</v>
      </c>
      <c r="L3617">
        <f t="shared" si="191"/>
        <v>1</v>
      </c>
    </row>
    <row r="3618" spans="1:12" x14ac:dyDescent="0.35">
      <c r="A3618">
        <f t="shared" si="192"/>
        <v>3617</v>
      </c>
      <c r="B3618" t="s">
        <v>765</v>
      </c>
      <c r="C3618" s="109" t="str">
        <f>IF(ISBLANK(K3618),IFERROR(VLOOKUP(I3618,FS_input_data!$C$458:$N$648,Export!J3618,FALSE),""),K3618)</f>
        <v/>
      </c>
      <c r="D3618" s="6"/>
      <c r="E3618" t="s">
        <v>1561</v>
      </c>
      <c r="F3618" s="6"/>
      <c r="G3618" s="113" t="b">
        <f>VLOOKUP(I3586,FS_input_noty,J3586,FALSE)=""</f>
        <v>0</v>
      </c>
      <c r="H3618" s="6" t="s">
        <v>2189</v>
      </c>
      <c r="I3618" t="s">
        <v>1561</v>
      </c>
      <c r="J3618" t="s">
        <v>1561</v>
      </c>
      <c r="L3618">
        <f t="shared" si="191"/>
        <v>1</v>
      </c>
    </row>
    <row r="3619" spans="1:12" x14ac:dyDescent="0.35">
      <c r="A3619">
        <f t="shared" si="192"/>
        <v>3618</v>
      </c>
      <c r="B3619" t="s">
        <v>752</v>
      </c>
      <c r="C3619" s="109" t="str">
        <f>IF(ISBLANK(K3619),IFERROR(VLOOKUP(I3619,FS_input_data!$C$458:$N$648,Export!J3619,FALSE),""),K3619)</f>
        <v/>
      </c>
      <c r="D3619" s="6"/>
      <c r="E3619" t="s">
        <v>1561</v>
      </c>
      <c r="F3619" s="6"/>
      <c r="G3619" s="115" t="b">
        <f>VLOOKUP(I3620,FS_input_noty,J3620,FALSE)=""</f>
        <v>0</v>
      </c>
      <c r="H3619" s="6" t="s">
        <v>2189</v>
      </c>
      <c r="I3619" t="s">
        <v>1561</v>
      </c>
      <c r="J3619" t="s">
        <v>1561</v>
      </c>
      <c r="L3619" s="9" t="e">
        <f t="shared" si="191"/>
        <v>#VALUE!</v>
      </c>
    </row>
    <row r="3620" spans="1:12" x14ac:dyDescent="0.35">
      <c r="A3620" s="9">
        <f t="shared" si="192"/>
        <v>3619</v>
      </c>
      <c r="B3620" t="s">
        <v>101</v>
      </c>
      <c r="C3620" s="109" t="str">
        <f>IF(ISBLANK(K3620),IFERROR(VLOOKUP(I3620,FS_input_data!$C$458:$N$648,Export!J3620,FALSE),""),K3620)</f>
        <v>OC12</v>
      </c>
      <c r="D3620" s="6" t="b">
        <v>1</v>
      </c>
      <c r="E3620" t="s">
        <v>1561</v>
      </c>
      <c r="F3620" s="6"/>
      <c r="G3620" s="115" t="b">
        <f>VLOOKUP(I3620,FS_input_noty,J3620,FALSE)=""</f>
        <v>0</v>
      </c>
      <c r="H3620" s="6" t="s">
        <v>2189</v>
      </c>
      <c r="I3620" t="s">
        <v>1880</v>
      </c>
      <c r="J3620">
        <v>6</v>
      </c>
      <c r="L3620" s="9" t="e">
        <f t="shared" si="191"/>
        <v>#VALUE!</v>
      </c>
    </row>
    <row r="3621" spans="1:12" x14ac:dyDescent="0.35">
      <c r="A3621">
        <f t="shared" si="192"/>
        <v>3620</v>
      </c>
      <c r="B3621" t="s">
        <v>102</v>
      </c>
      <c r="C3621" s="109" t="str">
        <f>IF(ISBLANK(K3621),IFERROR(VLOOKUP(I3621,FS_input_data!$C$458:$N$648,Export!J3621,FALSE),""),K3621)</f>
        <v/>
      </c>
      <c r="D3621" s="6"/>
      <c r="E3621" t="s">
        <v>1561</v>
      </c>
      <c r="F3621" s="6"/>
      <c r="G3621" s="115" t="b">
        <f>VLOOKUP(I3620,FS_input_noty,J3620,FALSE)=""</f>
        <v>0</v>
      </c>
      <c r="H3621" s="6" t="s">
        <v>2189</v>
      </c>
      <c r="I3621" t="s">
        <v>1561</v>
      </c>
      <c r="J3621" t="s">
        <v>1561</v>
      </c>
      <c r="L3621">
        <f t="shared" si="191"/>
        <v>1</v>
      </c>
    </row>
    <row r="3622" spans="1:12" x14ac:dyDescent="0.35">
      <c r="A3622">
        <f t="shared" si="192"/>
        <v>3621</v>
      </c>
      <c r="B3622" t="s">
        <v>753</v>
      </c>
      <c r="C3622" s="109" t="str">
        <f>IF(ISBLANK(K3622),IFERROR(VLOOKUP(I3622,FS_input_data!$C$458:$N$648,Export!J3622,FALSE),""),K3622)</f>
        <v/>
      </c>
      <c r="D3622" s="6"/>
      <c r="E3622" t="s">
        <v>1561</v>
      </c>
      <c r="F3622" s="6"/>
      <c r="G3622" s="115" t="b">
        <f>VLOOKUP(I3620,FS_input_noty,J3620,FALSE)=""</f>
        <v>0</v>
      </c>
      <c r="H3622" s="6" t="s">
        <v>2189</v>
      </c>
      <c r="I3622" t="s">
        <v>1561</v>
      </c>
      <c r="J3622" t="s">
        <v>1561</v>
      </c>
      <c r="L3622" s="9" t="e">
        <f t="shared" si="191"/>
        <v>#VALUE!</v>
      </c>
    </row>
    <row r="3623" spans="1:12" x14ac:dyDescent="0.35">
      <c r="A3623">
        <f t="shared" si="192"/>
        <v>3622</v>
      </c>
      <c r="B3623" t="s">
        <v>742</v>
      </c>
      <c r="C3623" s="109" t="str">
        <f>IF(ISBLANK(K3623),IFERROR(VLOOKUP(I3623,FS_input_data!$C$458:$N$648,Export!J3623,FALSE),""),K3623)</f>
        <v/>
      </c>
      <c r="D3623" s="6"/>
      <c r="E3623" t="s">
        <v>1561</v>
      </c>
      <c r="F3623" s="6"/>
      <c r="G3623" s="115" t="b">
        <f>VLOOKUP(I3620,FS_input_noty,J3620,FALSE)=""</f>
        <v>0</v>
      </c>
      <c r="H3623" s="6" t="s">
        <v>2189</v>
      </c>
      <c r="I3623" t="s">
        <v>1561</v>
      </c>
      <c r="J3623" t="s">
        <v>1561</v>
      </c>
      <c r="L3623" s="9" t="e">
        <f t="shared" si="191"/>
        <v>#VALUE!</v>
      </c>
    </row>
    <row r="3624" spans="1:12" x14ac:dyDescent="0.35">
      <c r="A3624">
        <f t="shared" si="192"/>
        <v>3623</v>
      </c>
      <c r="B3624" t="s">
        <v>748</v>
      </c>
      <c r="C3624" s="109" t="str">
        <f>IF(ISBLANK(K3624),IFERROR(VLOOKUP(I3624,FS_input_data!$C$458:$N$648,Export!J3624,FALSE),""),K3624)</f>
        <v/>
      </c>
      <c r="D3624" s="6"/>
      <c r="E3624" t="s">
        <v>1561</v>
      </c>
      <c r="F3624" s="6"/>
      <c r="G3624" s="115" t="b">
        <f>VLOOKUP(I3620,FS_input_noty,J3620,FALSE)=""</f>
        <v>0</v>
      </c>
      <c r="H3624" s="6" t="s">
        <v>2189</v>
      </c>
      <c r="I3624" t="s">
        <v>1561</v>
      </c>
      <c r="J3624" t="s">
        <v>1561</v>
      </c>
      <c r="L3624" s="9" t="e">
        <f t="shared" si="191"/>
        <v>#VALUE!</v>
      </c>
    </row>
    <row r="3625" spans="1:12" x14ac:dyDescent="0.35">
      <c r="A3625" s="9">
        <f t="shared" si="192"/>
        <v>3624</v>
      </c>
      <c r="B3625" t="s">
        <v>109</v>
      </c>
      <c r="C3625" s="109">
        <f>IF(ISBLANK(K3625),IFERROR(VLOOKUP(I3625,FS_input_data!$C$458:$N$648,Export!J3625,FALSE),""),K3625)</f>
        <v>34000</v>
      </c>
      <c r="D3625" s="6" t="b">
        <v>1</v>
      </c>
      <c r="E3625" t="s">
        <v>1561</v>
      </c>
      <c r="F3625" s="6"/>
      <c r="G3625" s="115" t="b">
        <f>VLOOKUP(I3620,FS_input_noty,J3620,FALSE)=""</f>
        <v>0</v>
      </c>
      <c r="H3625" s="6" t="s">
        <v>2189</v>
      </c>
      <c r="I3625" t="s">
        <v>1880</v>
      </c>
      <c r="J3625">
        <v>7</v>
      </c>
      <c r="L3625" s="9" t="e">
        <f t="shared" si="191"/>
        <v>#VALUE!</v>
      </c>
    </row>
    <row r="3626" spans="1:12" x14ac:dyDescent="0.35">
      <c r="A3626">
        <f t="shared" si="192"/>
        <v>3625</v>
      </c>
      <c r="B3626" t="s">
        <v>110</v>
      </c>
      <c r="C3626" s="109" t="str">
        <f>IF(ISBLANK(K3626),IFERROR(VLOOKUP(I3626,FS_input_data!$C$458:$N$648,Export!J3626,FALSE),""),K3626)</f>
        <v/>
      </c>
      <c r="D3626" s="6"/>
      <c r="E3626" t="s">
        <v>1561</v>
      </c>
      <c r="F3626" s="6"/>
      <c r="G3626" s="115" t="b">
        <f>VLOOKUP(I3620,FS_input_noty,J3620,FALSE)=""</f>
        <v>0</v>
      </c>
      <c r="H3626" s="6" t="s">
        <v>2189</v>
      </c>
      <c r="I3626" t="s">
        <v>1561</v>
      </c>
      <c r="J3626" t="s">
        <v>1561</v>
      </c>
      <c r="L3626">
        <f t="shared" si="191"/>
        <v>1</v>
      </c>
    </row>
    <row r="3627" spans="1:12" x14ac:dyDescent="0.35">
      <c r="A3627" s="9">
        <f t="shared" si="192"/>
        <v>3626</v>
      </c>
      <c r="B3627" t="s">
        <v>111</v>
      </c>
      <c r="C3627" s="109">
        <f>IF(ISBLANK(K3627),IFERROR(VLOOKUP(I3627,FS_input_data!$C$458:$N$648,Export!J3627,FALSE),""),K3627)</f>
        <v>17000</v>
      </c>
      <c r="D3627" s="6" t="b">
        <v>0</v>
      </c>
      <c r="E3627" t="s">
        <v>1561</v>
      </c>
      <c r="F3627" s="6"/>
      <c r="G3627" s="115" t="b">
        <f>VLOOKUP(I3620,FS_input_noty,J3620,TRUE)=""</f>
        <v>0</v>
      </c>
      <c r="H3627" s="6" t="s">
        <v>2189</v>
      </c>
      <c r="I3627" t="s">
        <v>1880</v>
      </c>
      <c r="J3627">
        <v>8</v>
      </c>
      <c r="L3627" s="9" t="e">
        <f t="shared" si="191"/>
        <v>#VALUE!</v>
      </c>
    </row>
    <row r="3628" spans="1:12" x14ac:dyDescent="0.35">
      <c r="A3628">
        <f t="shared" si="192"/>
        <v>3627</v>
      </c>
      <c r="B3628" t="s">
        <v>112</v>
      </c>
      <c r="C3628" s="109" t="str">
        <f>IF(ISBLANK(K3628),IFERROR(VLOOKUP(I3628,FS_input_data!$C$458:$N$648,Export!J3628,FALSE),""),K3628)</f>
        <v/>
      </c>
      <c r="D3628" s="6"/>
      <c r="E3628" t="s">
        <v>1561</v>
      </c>
      <c r="F3628" s="6"/>
      <c r="G3628" s="115" t="b">
        <f>VLOOKUP(I3620,FS_input_noty,J3620,FALSE)=""</f>
        <v>0</v>
      </c>
      <c r="H3628" s="6" t="s">
        <v>2189</v>
      </c>
      <c r="I3628" t="s">
        <v>1561</v>
      </c>
      <c r="J3628" t="s">
        <v>1561</v>
      </c>
      <c r="L3628">
        <f t="shared" si="191"/>
        <v>1</v>
      </c>
    </row>
    <row r="3629" spans="1:12" x14ac:dyDescent="0.35">
      <c r="A3629" s="9">
        <f t="shared" si="192"/>
        <v>3628</v>
      </c>
      <c r="B3629" t="s">
        <v>749</v>
      </c>
      <c r="C3629" s="109">
        <f>IF(ISBLANK(K3629),IFERROR(VLOOKUP(I3629,FS_input_data!$C$458:$N$648,Export!J3629,FALSE),""),K3629)</f>
        <v>17000</v>
      </c>
      <c r="D3629" s="6" t="b">
        <v>0</v>
      </c>
      <c r="E3629" t="s">
        <v>1561</v>
      </c>
      <c r="F3629" s="6"/>
      <c r="G3629" s="116" t="b">
        <f>VLOOKUP(I3620,FS_input_noty,J3620,FALSE)=""</f>
        <v>0</v>
      </c>
      <c r="H3629" s="6" t="s">
        <v>2189</v>
      </c>
      <c r="I3629" t="s">
        <v>1880</v>
      </c>
      <c r="J3629">
        <v>9</v>
      </c>
      <c r="L3629" s="9" t="e">
        <f t="shared" si="191"/>
        <v>#VALUE!</v>
      </c>
    </row>
    <row r="3630" spans="1:12" x14ac:dyDescent="0.35">
      <c r="A3630">
        <f t="shared" si="192"/>
        <v>3629</v>
      </c>
      <c r="B3630" t="s">
        <v>750</v>
      </c>
      <c r="C3630" s="109" t="str">
        <f>IF(ISBLANK(K3630),IFERROR(VLOOKUP(I3630,FS_input_data!$C$458:$N$648,Export!J3630,FALSE),""),K3630)</f>
        <v/>
      </c>
      <c r="D3630" s="6"/>
      <c r="E3630" t="s">
        <v>1561</v>
      </c>
      <c r="F3630" s="6"/>
      <c r="G3630" s="116" t="b">
        <f>VLOOKUP(I3620,FS_input_noty,J3620,FALSE)=""</f>
        <v>0</v>
      </c>
      <c r="H3630" s="6" t="s">
        <v>2189</v>
      </c>
      <c r="I3630" t="s">
        <v>1561</v>
      </c>
      <c r="J3630" t="s">
        <v>1561</v>
      </c>
      <c r="L3630">
        <f t="shared" si="191"/>
        <v>1</v>
      </c>
    </row>
    <row r="3631" spans="1:12" x14ac:dyDescent="0.35">
      <c r="A3631">
        <f t="shared" si="192"/>
        <v>3630</v>
      </c>
      <c r="B3631" t="s">
        <v>751</v>
      </c>
      <c r="C3631" s="109" t="str">
        <f>IF(ISBLANK(K3631),IFERROR(VLOOKUP(I3631,FS_input_data!$C$458:$N$648,Export!J3631,FALSE),""),K3631)</f>
        <v/>
      </c>
      <c r="D3631" s="6"/>
      <c r="E3631" t="s">
        <v>1561</v>
      </c>
      <c r="F3631" s="6"/>
      <c r="G3631" s="116" t="b">
        <f>VLOOKUP(I3620,FS_input_noty,J3620,FALSE)=""</f>
        <v>0</v>
      </c>
      <c r="H3631" s="6" t="s">
        <v>2189</v>
      </c>
      <c r="I3631" t="s">
        <v>1561</v>
      </c>
      <c r="J3631" t="s">
        <v>1561</v>
      </c>
      <c r="L3631">
        <f t="shared" si="191"/>
        <v>1</v>
      </c>
    </row>
    <row r="3632" spans="1:12" x14ac:dyDescent="0.35">
      <c r="A3632">
        <f t="shared" si="192"/>
        <v>3631</v>
      </c>
      <c r="B3632" t="s">
        <v>754</v>
      </c>
      <c r="C3632" s="109" t="str">
        <f>IF(ISBLANK(K3632),IFERROR(VLOOKUP(I3632,FS_input_data!$C$458:$N$648,Export!J3632,FALSE),""),K3632)</f>
        <v/>
      </c>
      <c r="D3632" s="6"/>
      <c r="E3632" t="s">
        <v>1561</v>
      </c>
      <c r="F3632" s="6"/>
      <c r="G3632" s="116" t="b">
        <f>VLOOKUP(I3620,FS_input_noty,J3620,FALSE)=""</f>
        <v>0</v>
      </c>
      <c r="H3632" s="6" t="s">
        <v>2189</v>
      </c>
      <c r="I3632" t="s">
        <v>1561</v>
      </c>
      <c r="J3632" t="s">
        <v>1561</v>
      </c>
      <c r="L3632" s="9" t="e">
        <f t="shared" si="191"/>
        <v>#VALUE!</v>
      </c>
    </row>
    <row r="3633" spans="1:12" x14ac:dyDescent="0.35">
      <c r="A3633" s="9">
        <f t="shared" si="192"/>
        <v>3632</v>
      </c>
      <c r="B3633" t="s">
        <v>755</v>
      </c>
      <c r="C3633" s="109">
        <f>IF(ISBLANK(K3633),IFERROR(VLOOKUP(I3633,FS_input_data!$C$458:$N$648,Export!J3633,FALSE),""),K3633)</f>
        <v>34</v>
      </c>
      <c r="D3633" s="6" t="b">
        <v>1</v>
      </c>
      <c r="E3633" t="s">
        <v>1561</v>
      </c>
      <c r="F3633" s="6"/>
      <c r="G3633" s="116" t="b">
        <f>VLOOKUP(I3620,FS_input_noty,J3620,FALSE)=""</f>
        <v>0</v>
      </c>
      <c r="H3633" s="6" t="s">
        <v>2189</v>
      </c>
      <c r="I3633" t="s">
        <v>1880</v>
      </c>
      <c r="J3633">
        <v>2</v>
      </c>
      <c r="L3633" s="9" t="e">
        <f t="shared" si="191"/>
        <v>#VALUE!</v>
      </c>
    </row>
    <row r="3634" spans="1:12" x14ac:dyDescent="0.35">
      <c r="A3634">
        <f t="shared" si="192"/>
        <v>3633</v>
      </c>
      <c r="B3634" t="s">
        <v>756</v>
      </c>
      <c r="C3634" s="109" t="str">
        <f>IF(ISBLANK(K3634),IFERROR(VLOOKUP(I3634,FS_input_data!$C$458:$N$648,Export!J3634,FALSE),""),K3634)</f>
        <v/>
      </c>
      <c r="D3634" s="6"/>
      <c r="E3634" t="s">
        <v>1561</v>
      </c>
      <c r="F3634" s="6"/>
      <c r="G3634" s="116" t="b">
        <f>VLOOKUP(I3620,FS_input_noty,J3620,FALSE)=""</f>
        <v>0</v>
      </c>
      <c r="H3634" s="6" t="s">
        <v>2189</v>
      </c>
      <c r="I3634" t="s">
        <v>1561</v>
      </c>
      <c r="J3634" t="s">
        <v>1561</v>
      </c>
      <c r="L3634">
        <f t="shared" si="191"/>
        <v>1</v>
      </c>
    </row>
    <row r="3635" spans="1:12" x14ac:dyDescent="0.35">
      <c r="A3635" s="9">
        <f t="shared" si="192"/>
        <v>3634</v>
      </c>
      <c r="B3635" t="s">
        <v>757</v>
      </c>
      <c r="C3635" s="109">
        <f>IF(ISBLANK(K3635),IFERROR(VLOOKUP(I3635,FS_input_data!$C$458:$N$648,Export!J3635,FALSE),""),K3635)</f>
        <v>134</v>
      </c>
      <c r="D3635" s="6" t="b">
        <v>0</v>
      </c>
      <c r="E3635" t="s">
        <v>1561</v>
      </c>
      <c r="F3635" s="6"/>
      <c r="G3635" s="116" t="b">
        <f>VLOOKUP(I3620,FS_input_noty,J3620,FALSE)=""</f>
        <v>0</v>
      </c>
      <c r="H3635" s="6" t="s">
        <v>2189</v>
      </c>
      <c r="I3635" t="s">
        <v>1880</v>
      </c>
      <c r="J3635">
        <v>3</v>
      </c>
      <c r="L3635" s="9" t="e">
        <f t="shared" si="191"/>
        <v>#VALUE!</v>
      </c>
    </row>
    <row r="3636" spans="1:12" x14ac:dyDescent="0.35">
      <c r="A3636">
        <f t="shared" si="192"/>
        <v>3635</v>
      </c>
      <c r="B3636" t="s">
        <v>758</v>
      </c>
      <c r="C3636" s="109" t="str">
        <f>IF(ISBLANK(K3636),IFERROR(VLOOKUP(I3636,FS_input_data!$C$458:$N$648,Export!J3636,FALSE),""),K3636)</f>
        <v/>
      </c>
      <c r="D3636" s="6"/>
      <c r="E3636" t="s">
        <v>1561</v>
      </c>
      <c r="F3636" s="6"/>
      <c r="G3636" s="116" t="b">
        <f>VLOOKUP(I3620,FS_input_noty,J3620,FALSE)=""</f>
        <v>0</v>
      </c>
      <c r="H3636" s="6" t="s">
        <v>2189</v>
      </c>
      <c r="I3636" t="s">
        <v>1561</v>
      </c>
      <c r="J3636" t="s">
        <v>1561</v>
      </c>
      <c r="L3636">
        <f t="shared" si="191"/>
        <v>1</v>
      </c>
    </row>
    <row r="3637" spans="1:12" x14ac:dyDescent="0.35">
      <c r="A3637" s="9">
        <f t="shared" si="192"/>
        <v>3636</v>
      </c>
      <c r="B3637" t="s">
        <v>759</v>
      </c>
      <c r="C3637" s="109">
        <f>IF(ISBLANK(K3637),IFERROR(VLOOKUP(I3637,FS_input_data!$C$458:$N$648,Export!J3637,FALSE),""),K3637)</f>
        <v>234</v>
      </c>
      <c r="D3637" s="6" t="b">
        <v>0</v>
      </c>
      <c r="E3637" t="s">
        <v>1561</v>
      </c>
      <c r="F3637" s="6"/>
      <c r="G3637" s="115" t="b">
        <f>VLOOKUP(I3620,FS_input_noty,J3620,FALSE)=""</f>
        <v>0</v>
      </c>
      <c r="H3637" s="6" t="s">
        <v>2189</v>
      </c>
      <c r="I3637" t="s">
        <v>1880</v>
      </c>
      <c r="J3637">
        <v>4</v>
      </c>
      <c r="L3637" s="9" t="e">
        <f t="shared" si="191"/>
        <v>#VALUE!</v>
      </c>
    </row>
    <row r="3638" spans="1:12" x14ac:dyDescent="0.35">
      <c r="A3638">
        <f t="shared" si="192"/>
        <v>3637</v>
      </c>
      <c r="B3638" t="s">
        <v>760</v>
      </c>
      <c r="C3638" s="109" t="str">
        <f>IF(ISBLANK(K3638),IFERROR(VLOOKUP(I3638,FS_input_data!$C$458:$N$648,Export!J3638,FALSE),""),K3638)</f>
        <v/>
      </c>
      <c r="D3638" s="6"/>
      <c r="E3638" t="s">
        <v>1561</v>
      </c>
      <c r="F3638" s="6"/>
      <c r="G3638" s="115" t="b">
        <f>VLOOKUP(I3620,FS_input_noty,J3620,FALSE)=""</f>
        <v>0</v>
      </c>
      <c r="H3638" s="6" t="s">
        <v>2189</v>
      </c>
      <c r="I3638" t="s">
        <v>1561</v>
      </c>
      <c r="J3638" t="s">
        <v>1561</v>
      </c>
      <c r="L3638">
        <f t="shared" si="191"/>
        <v>1</v>
      </c>
    </row>
    <row r="3639" spans="1:12" x14ac:dyDescent="0.35">
      <c r="A3639" s="9">
        <f t="shared" si="192"/>
        <v>3638</v>
      </c>
      <c r="B3639" t="s">
        <v>761</v>
      </c>
      <c r="C3639" s="109" t="str">
        <f>IF(ISBLANK(K3639),IFERROR(VLOOKUP(I3639,FS_input_data!$C$458:$N$648,Export!J3639,FALSE),""),K3639)</f>
        <v>b</v>
      </c>
      <c r="D3639" s="6" t="b">
        <v>0</v>
      </c>
      <c r="E3639" t="s">
        <v>1561</v>
      </c>
      <c r="F3639" s="6"/>
      <c r="G3639" s="115" t="b">
        <f>VLOOKUP(I3620,FS_input_noty,J3620,FALSE)=""</f>
        <v>0</v>
      </c>
      <c r="H3639" s="6" t="s">
        <v>2189</v>
      </c>
      <c r="I3639" t="s">
        <v>1880</v>
      </c>
      <c r="J3639">
        <v>5</v>
      </c>
      <c r="L3639" s="9" t="e">
        <f t="shared" si="191"/>
        <v>#VALUE!</v>
      </c>
    </row>
    <row r="3640" spans="1:12" x14ac:dyDescent="0.35">
      <c r="A3640">
        <f t="shared" si="192"/>
        <v>3639</v>
      </c>
      <c r="B3640" t="s">
        <v>762</v>
      </c>
      <c r="C3640" s="109" t="str">
        <f>IF(ISBLANK(K3640),IFERROR(VLOOKUP(I3640,FS_input_data!$C$458:$N$648,Export!J3640,FALSE),""),K3640)</f>
        <v/>
      </c>
      <c r="D3640" s="6"/>
      <c r="E3640" t="s">
        <v>1561</v>
      </c>
      <c r="F3640" s="6"/>
      <c r="G3640" s="115" t="b">
        <f>VLOOKUP(I3620,FS_input_noty,J3620,FALSE)=""</f>
        <v>0</v>
      </c>
      <c r="H3640" s="6" t="s">
        <v>2189</v>
      </c>
      <c r="I3640" t="s">
        <v>1561</v>
      </c>
      <c r="J3640" t="s">
        <v>1561</v>
      </c>
      <c r="L3640">
        <f t="shared" si="191"/>
        <v>1</v>
      </c>
    </row>
    <row r="3641" spans="1:12" x14ac:dyDescent="0.35">
      <c r="A3641">
        <f t="shared" si="192"/>
        <v>3640</v>
      </c>
      <c r="B3641" t="s">
        <v>763</v>
      </c>
      <c r="C3641" s="109" t="str">
        <f>IF(ISBLANK(K3641),IFERROR(VLOOKUP(I3641,FS_input_data!$C$458:$N$648,Export!J3641,FALSE),""),K3641)</f>
        <v/>
      </c>
      <c r="D3641" s="6"/>
      <c r="E3641" t="s">
        <v>1561</v>
      </c>
      <c r="F3641" s="6"/>
      <c r="G3641" s="115" t="b">
        <f>VLOOKUP(I3620,FS_input_noty,J3620,FALSE)=""</f>
        <v>0</v>
      </c>
      <c r="H3641" s="6" t="s">
        <v>2189</v>
      </c>
      <c r="I3641" t="s">
        <v>1561</v>
      </c>
      <c r="J3641" t="s">
        <v>1561</v>
      </c>
      <c r="L3641">
        <f t="shared" si="191"/>
        <v>1</v>
      </c>
    </row>
    <row r="3642" spans="1:12" x14ac:dyDescent="0.35">
      <c r="A3642">
        <f t="shared" si="192"/>
        <v>3641</v>
      </c>
      <c r="B3642" t="s">
        <v>743</v>
      </c>
      <c r="C3642" s="109" t="str">
        <f>IF(ISBLANK(K3642),IFERROR(VLOOKUP(I3642,FS_input_data!$C$458:$N$648,Export!J3642,FALSE),""),K3642)</f>
        <v/>
      </c>
      <c r="D3642" s="6"/>
      <c r="E3642" t="s">
        <v>1561</v>
      </c>
      <c r="F3642" s="6"/>
      <c r="G3642" s="115" t="b">
        <f>VLOOKUP(I3620,FS_input_noty,J3620,FALSE)=""</f>
        <v>0</v>
      </c>
      <c r="H3642" s="6" t="s">
        <v>2189</v>
      </c>
      <c r="I3642" t="s">
        <v>1561</v>
      </c>
      <c r="J3642" t="s">
        <v>1561</v>
      </c>
      <c r="L3642">
        <f t="shared" si="191"/>
        <v>1</v>
      </c>
    </row>
    <row r="3643" spans="1:12" x14ac:dyDescent="0.35">
      <c r="A3643">
        <f t="shared" si="192"/>
        <v>3642</v>
      </c>
      <c r="B3643" t="s">
        <v>744</v>
      </c>
      <c r="C3643" s="109" t="str">
        <f>IF(ISBLANK(K3643),IFERROR(VLOOKUP(I3643,FS_input_data!$C$458:$N$648,Export!J3643,FALSE),""),K3643)</f>
        <v/>
      </c>
      <c r="D3643" s="6"/>
      <c r="E3643" t="s">
        <v>1561</v>
      </c>
      <c r="F3643" s="6"/>
      <c r="G3643" s="115" t="b">
        <f t="shared" ref="G3643:G3650" si="194">RP_tax</f>
        <v>1</v>
      </c>
      <c r="H3643" s="6" t="s">
        <v>2189</v>
      </c>
      <c r="I3643" t="s">
        <v>1561</v>
      </c>
      <c r="J3643" t="s">
        <v>1561</v>
      </c>
      <c r="L3643" s="9" t="e">
        <f t="shared" si="191"/>
        <v>#VALUE!</v>
      </c>
    </row>
    <row r="3644" spans="1:12" x14ac:dyDescent="0.35">
      <c r="A3644" s="9">
        <f t="shared" si="192"/>
        <v>3643</v>
      </c>
      <c r="B3644" t="s">
        <v>109</v>
      </c>
      <c r="C3644" s="109">
        <f>IF(ISBLANK(K3644),IFERROR(VLOOKUP(I3644,FS_input_data!$C$458:$N$648,Export!J3644,FALSE),""),K3644)</f>
        <v>34000</v>
      </c>
      <c r="D3644" s="6" t="b">
        <v>1</v>
      </c>
      <c r="E3644" t="s">
        <v>1561</v>
      </c>
      <c r="F3644" s="6"/>
      <c r="G3644" s="115" t="b">
        <f t="shared" si="194"/>
        <v>1</v>
      </c>
      <c r="H3644" s="6" t="s">
        <v>2189</v>
      </c>
      <c r="I3644" t="s">
        <v>1880</v>
      </c>
      <c r="J3644">
        <v>10</v>
      </c>
      <c r="L3644" s="9" t="e">
        <f t="shared" si="191"/>
        <v>#VALUE!</v>
      </c>
    </row>
    <row r="3645" spans="1:12" x14ac:dyDescent="0.35">
      <c r="A3645">
        <f t="shared" si="192"/>
        <v>3644</v>
      </c>
      <c r="B3645" t="s">
        <v>110</v>
      </c>
      <c r="C3645" s="109" t="str">
        <f>IF(ISBLANK(K3645),IFERROR(VLOOKUP(I3645,FS_input_data!$C$458:$N$648,Export!J3645,FALSE),""),K3645)</f>
        <v/>
      </c>
      <c r="D3645" s="6"/>
      <c r="E3645" t="s">
        <v>1561</v>
      </c>
      <c r="F3645" s="6"/>
      <c r="G3645" s="115" t="b">
        <f t="shared" si="194"/>
        <v>1</v>
      </c>
      <c r="H3645" s="6" t="s">
        <v>2189</v>
      </c>
      <c r="I3645" t="s">
        <v>1561</v>
      </c>
      <c r="J3645" t="s">
        <v>1561</v>
      </c>
      <c r="L3645">
        <f t="shared" si="191"/>
        <v>1</v>
      </c>
    </row>
    <row r="3646" spans="1:12" x14ac:dyDescent="0.35">
      <c r="A3646" s="9">
        <f t="shared" si="192"/>
        <v>3645</v>
      </c>
      <c r="B3646" t="s">
        <v>111</v>
      </c>
      <c r="C3646" s="109">
        <f>IF(ISBLANK(K3646),IFERROR(VLOOKUP(I3646,FS_input_data!$C$458:$N$648,Export!J3646,FALSE),""),K3646)</f>
        <v>17000</v>
      </c>
      <c r="D3646" s="6" t="b">
        <v>0</v>
      </c>
      <c r="E3646" t="s">
        <v>1561</v>
      </c>
      <c r="F3646" s="6"/>
      <c r="G3646" s="115" t="b">
        <f t="shared" si="194"/>
        <v>1</v>
      </c>
      <c r="H3646" s="6" t="s">
        <v>2189</v>
      </c>
      <c r="I3646" t="s">
        <v>1880</v>
      </c>
      <c r="J3646">
        <v>11</v>
      </c>
      <c r="L3646" s="9" t="e">
        <f t="shared" si="191"/>
        <v>#VALUE!</v>
      </c>
    </row>
    <row r="3647" spans="1:12" x14ac:dyDescent="0.35">
      <c r="A3647">
        <f t="shared" si="192"/>
        <v>3646</v>
      </c>
      <c r="B3647" t="s">
        <v>112</v>
      </c>
      <c r="C3647" s="109" t="str">
        <f>IF(ISBLANK(K3647),IFERROR(VLOOKUP(I3647,FS_input_data!$C$458:$N$648,Export!J3647,FALSE),""),K3647)</f>
        <v/>
      </c>
      <c r="D3647" s="6"/>
      <c r="E3647" t="s">
        <v>1561</v>
      </c>
      <c r="F3647" s="6"/>
      <c r="G3647" s="115" t="b">
        <f t="shared" si="194"/>
        <v>1</v>
      </c>
      <c r="H3647" s="6" t="s">
        <v>2189</v>
      </c>
      <c r="I3647" t="s">
        <v>1561</v>
      </c>
      <c r="J3647" t="s">
        <v>1561</v>
      </c>
      <c r="L3647">
        <f t="shared" si="191"/>
        <v>1</v>
      </c>
    </row>
    <row r="3648" spans="1:12" x14ac:dyDescent="0.35">
      <c r="A3648" s="9">
        <f t="shared" si="192"/>
        <v>3647</v>
      </c>
      <c r="B3648" t="s">
        <v>749</v>
      </c>
      <c r="C3648" s="109">
        <f>IF(ISBLANK(K3648),IFERROR(VLOOKUP(I3648,FS_input_data!$C$458:$N$648,Export!J3648,FALSE),""),K3648)</f>
        <v>17000</v>
      </c>
      <c r="D3648" s="6" t="b">
        <v>0</v>
      </c>
      <c r="E3648" t="s">
        <v>1561</v>
      </c>
      <c r="F3648" s="6"/>
      <c r="G3648" s="115" t="b">
        <f t="shared" si="194"/>
        <v>1</v>
      </c>
      <c r="H3648" s="6" t="s">
        <v>2189</v>
      </c>
      <c r="I3648" t="s">
        <v>1880</v>
      </c>
      <c r="J3648">
        <v>12</v>
      </c>
      <c r="L3648" s="9" t="e">
        <f t="shared" si="191"/>
        <v>#VALUE!</v>
      </c>
    </row>
    <row r="3649" spans="1:12" x14ac:dyDescent="0.35">
      <c r="A3649">
        <f t="shared" si="192"/>
        <v>3648</v>
      </c>
      <c r="B3649" t="s">
        <v>750</v>
      </c>
      <c r="C3649" s="109" t="str">
        <f>IF(ISBLANK(K3649),IFERROR(VLOOKUP(I3649,FS_input_data!$C$458:$N$648,Export!J3649,FALSE),""),K3649)</f>
        <v/>
      </c>
      <c r="D3649" s="6"/>
      <c r="E3649" t="s">
        <v>1561</v>
      </c>
      <c r="F3649" s="6"/>
      <c r="G3649" s="115" t="b">
        <f t="shared" si="194"/>
        <v>1</v>
      </c>
      <c r="H3649" s="6" t="s">
        <v>2189</v>
      </c>
      <c r="I3649" t="s">
        <v>1561</v>
      </c>
      <c r="J3649" t="s">
        <v>1561</v>
      </c>
      <c r="L3649">
        <f t="shared" si="191"/>
        <v>1</v>
      </c>
    </row>
    <row r="3650" spans="1:12" x14ac:dyDescent="0.35">
      <c r="A3650">
        <f t="shared" si="192"/>
        <v>3649</v>
      </c>
      <c r="B3650" t="s">
        <v>745</v>
      </c>
      <c r="C3650" s="109" t="str">
        <f>IF(ISBLANK(K3650),IFERROR(VLOOKUP(I3650,FS_input_data!$C$458:$N$648,Export!J3650,FALSE),""),K3650)</f>
        <v/>
      </c>
      <c r="D3650" s="6"/>
      <c r="E3650" t="s">
        <v>1561</v>
      </c>
      <c r="F3650" s="6"/>
      <c r="G3650" s="115" t="b">
        <f t="shared" si="194"/>
        <v>1</v>
      </c>
      <c r="H3650" s="6" t="s">
        <v>2189</v>
      </c>
      <c r="I3650" t="s">
        <v>1561</v>
      </c>
      <c r="J3650" t="s">
        <v>1561</v>
      </c>
      <c r="L3650">
        <f t="shared" ref="L3650:L3713" si="195">FIND("/",B3650)</f>
        <v>1</v>
      </c>
    </row>
    <row r="3651" spans="1:12" x14ac:dyDescent="0.35">
      <c r="A3651">
        <f t="shared" ref="A3651:A3714" si="196">A3650+1</f>
        <v>3650</v>
      </c>
      <c r="B3651" t="s">
        <v>764</v>
      </c>
      <c r="C3651" s="109" t="str">
        <f>IF(ISBLANK(K3651),IFERROR(VLOOKUP(I3651,FS_input_data!$C$458:$N$648,Export!J3651,FALSE),""),K3651)</f>
        <v/>
      </c>
      <c r="D3651" s="6"/>
      <c r="E3651" t="s">
        <v>1561</v>
      </c>
      <c r="F3651" s="6"/>
      <c r="G3651" s="115" t="b">
        <f>VLOOKUP(I3620,FS_input_noty,J3620,FALSE)=""</f>
        <v>0</v>
      </c>
      <c r="H3651" s="6" t="s">
        <v>2189</v>
      </c>
      <c r="I3651" t="s">
        <v>1561</v>
      </c>
      <c r="J3651" t="s">
        <v>1561</v>
      </c>
      <c r="L3651">
        <f t="shared" si="195"/>
        <v>1</v>
      </c>
    </row>
    <row r="3652" spans="1:12" x14ac:dyDescent="0.35">
      <c r="A3652">
        <f t="shared" si="196"/>
        <v>3651</v>
      </c>
      <c r="B3652" t="s">
        <v>765</v>
      </c>
      <c r="C3652" s="109" t="str">
        <f>IF(ISBLANK(K3652),IFERROR(VLOOKUP(I3652,FS_input_data!$C$458:$N$648,Export!J3652,FALSE),""),K3652)</f>
        <v/>
      </c>
      <c r="D3652" s="6"/>
      <c r="E3652" t="s">
        <v>1561</v>
      </c>
      <c r="F3652" s="6"/>
      <c r="G3652" s="115" t="b">
        <f>VLOOKUP(I3620,FS_input_noty,J3620,FALSE)=""</f>
        <v>0</v>
      </c>
      <c r="H3652" s="6" t="s">
        <v>2189</v>
      </c>
      <c r="I3652" t="s">
        <v>1561</v>
      </c>
      <c r="J3652" t="s">
        <v>1561</v>
      </c>
      <c r="L3652">
        <f t="shared" si="195"/>
        <v>1</v>
      </c>
    </row>
    <row r="3653" spans="1:12" x14ac:dyDescent="0.35">
      <c r="A3653">
        <f t="shared" si="196"/>
        <v>3652</v>
      </c>
      <c r="B3653" t="s">
        <v>752</v>
      </c>
      <c r="C3653" s="109" t="str">
        <f>IF(ISBLANK(K3653),IFERROR(VLOOKUP(I3653,FS_input_data!$C$458:$N$648,Export!J3653,FALSE),""),K3653)</f>
        <v/>
      </c>
      <c r="D3653" s="6"/>
      <c r="E3653" t="s">
        <v>1561</v>
      </c>
      <c r="F3653" s="6"/>
      <c r="G3653" s="115" t="b">
        <f>VLOOKUP(I3654,FS_input_noty,J3654,FALSE)=""</f>
        <v>0</v>
      </c>
      <c r="H3653" s="6" t="s">
        <v>2189</v>
      </c>
      <c r="I3653" t="s">
        <v>1561</v>
      </c>
      <c r="J3653" t="s">
        <v>1561</v>
      </c>
      <c r="L3653" s="9" t="e">
        <f t="shared" si="195"/>
        <v>#VALUE!</v>
      </c>
    </row>
    <row r="3654" spans="1:12" x14ac:dyDescent="0.35">
      <c r="A3654" s="9">
        <f t="shared" si="196"/>
        <v>3653</v>
      </c>
      <c r="B3654" t="s">
        <v>101</v>
      </c>
      <c r="C3654" s="109" t="str">
        <f>IF(ISBLANK(K3654),IFERROR(VLOOKUP(I3654,FS_input_data!$C$458:$N$648,Export!J3654,FALSE),""),K3654)</f>
        <v>OC13</v>
      </c>
      <c r="D3654" s="6" t="b">
        <v>1</v>
      </c>
      <c r="E3654" t="s">
        <v>1561</v>
      </c>
      <c r="F3654" s="6"/>
      <c r="G3654" s="115" t="b">
        <f>VLOOKUP(I3654,FS_input_noty,J3654,FALSE)=""</f>
        <v>0</v>
      </c>
      <c r="H3654" s="6" t="s">
        <v>2189</v>
      </c>
      <c r="I3654" t="s">
        <v>1882</v>
      </c>
      <c r="J3654">
        <v>6</v>
      </c>
      <c r="L3654" s="9" t="e">
        <f t="shared" si="195"/>
        <v>#VALUE!</v>
      </c>
    </row>
    <row r="3655" spans="1:12" x14ac:dyDescent="0.35">
      <c r="A3655">
        <f t="shared" si="196"/>
        <v>3654</v>
      </c>
      <c r="B3655" t="s">
        <v>102</v>
      </c>
      <c r="C3655" s="109" t="str">
        <f>IF(ISBLANK(K3655),IFERROR(VLOOKUP(I3655,FS_input_data!$C$458:$N$648,Export!J3655,FALSE),""),K3655)</f>
        <v/>
      </c>
      <c r="D3655" s="6"/>
      <c r="E3655" t="s">
        <v>1561</v>
      </c>
      <c r="F3655" s="6"/>
      <c r="G3655" s="115" t="b">
        <f>VLOOKUP(I3654,FS_input_noty,J3654,FALSE)=""</f>
        <v>0</v>
      </c>
      <c r="H3655" s="6" t="s">
        <v>2189</v>
      </c>
      <c r="I3655" t="s">
        <v>1561</v>
      </c>
      <c r="J3655" t="s">
        <v>1561</v>
      </c>
      <c r="L3655">
        <f t="shared" si="195"/>
        <v>1</v>
      </c>
    </row>
    <row r="3656" spans="1:12" x14ac:dyDescent="0.35">
      <c r="A3656">
        <f t="shared" si="196"/>
        <v>3655</v>
      </c>
      <c r="B3656" t="s">
        <v>753</v>
      </c>
      <c r="C3656" s="109" t="str">
        <f>IF(ISBLANK(K3656),IFERROR(VLOOKUP(I3656,FS_input_data!$C$458:$N$648,Export!J3656,FALSE),""),K3656)</f>
        <v/>
      </c>
      <c r="D3656" s="6"/>
      <c r="E3656" t="s">
        <v>1561</v>
      </c>
      <c r="F3656" s="6"/>
      <c r="G3656" s="115" t="b">
        <f>VLOOKUP(I3654,FS_input_noty,J3654,FALSE)=""</f>
        <v>0</v>
      </c>
      <c r="H3656" s="6" t="s">
        <v>2189</v>
      </c>
      <c r="I3656" t="s">
        <v>1561</v>
      </c>
      <c r="J3656" t="s">
        <v>1561</v>
      </c>
      <c r="L3656" s="9" t="e">
        <f t="shared" si="195"/>
        <v>#VALUE!</v>
      </c>
    </row>
    <row r="3657" spans="1:12" x14ac:dyDescent="0.35">
      <c r="A3657">
        <f t="shared" si="196"/>
        <v>3656</v>
      </c>
      <c r="B3657" t="s">
        <v>742</v>
      </c>
      <c r="C3657" s="109" t="str">
        <f>IF(ISBLANK(K3657),IFERROR(VLOOKUP(I3657,FS_input_data!$C$458:$N$648,Export!J3657,FALSE),""),K3657)</f>
        <v/>
      </c>
      <c r="D3657" s="6"/>
      <c r="E3657" t="s">
        <v>1561</v>
      </c>
      <c r="F3657" s="6"/>
      <c r="G3657" s="115" t="b">
        <f>VLOOKUP(I3654,FS_input_noty,J3654,FALSE)=""</f>
        <v>0</v>
      </c>
      <c r="H3657" s="6" t="s">
        <v>2189</v>
      </c>
      <c r="I3657" t="s">
        <v>1561</v>
      </c>
      <c r="J3657" t="s">
        <v>1561</v>
      </c>
      <c r="L3657" s="9" t="e">
        <f t="shared" si="195"/>
        <v>#VALUE!</v>
      </c>
    </row>
    <row r="3658" spans="1:12" x14ac:dyDescent="0.35">
      <c r="A3658">
        <f t="shared" si="196"/>
        <v>3657</v>
      </c>
      <c r="B3658" t="s">
        <v>748</v>
      </c>
      <c r="C3658" s="109" t="str">
        <f>IF(ISBLANK(K3658),IFERROR(VLOOKUP(I3658,FS_input_data!$C$458:$N$648,Export!J3658,FALSE),""),K3658)</f>
        <v/>
      </c>
      <c r="D3658" s="6"/>
      <c r="E3658" t="s">
        <v>1561</v>
      </c>
      <c r="F3658" s="6"/>
      <c r="G3658" s="115" t="b">
        <f>VLOOKUP(I3654,FS_input_noty,J3654,FALSE)=""</f>
        <v>0</v>
      </c>
      <c r="H3658" s="6" t="s">
        <v>2189</v>
      </c>
      <c r="I3658" t="s">
        <v>1561</v>
      </c>
      <c r="J3658" t="s">
        <v>1561</v>
      </c>
      <c r="L3658" s="9" t="e">
        <f t="shared" si="195"/>
        <v>#VALUE!</v>
      </c>
    </row>
    <row r="3659" spans="1:12" x14ac:dyDescent="0.35">
      <c r="A3659" s="9">
        <f t="shared" si="196"/>
        <v>3658</v>
      </c>
      <c r="B3659" t="s">
        <v>109</v>
      </c>
      <c r="C3659" s="109">
        <f>IF(ISBLANK(K3659),IFERROR(VLOOKUP(I3659,FS_input_data!$C$458:$N$648,Export!J3659,FALSE),""),K3659)</f>
        <v>35000</v>
      </c>
      <c r="D3659" s="6" t="b">
        <v>1</v>
      </c>
      <c r="E3659" t="s">
        <v>1561</v>
      </c>
      <c r="F3659" s="6"/>
      <c r="G3659" s="115" t="b">
        <f>VLOOKUP(I3654,FS_input_noty,J3654,FALSE)=""</f>
        <v>0</v>
      </c>
      <c r="H3659" s="6" t="s">
        <v>2189</v>
      </c>
      <c r="I3659" t="s">
        <v>1882</v>
      </c>
      <c r="J3659">
        <v>7</v>
      </c>
      <c r="L3659" s="9" t="e">
        <f t="shared" si="195"/>
        <v>#VALUE!</v>
      </c>
    </row>
    <row r="3660" spans="1:12" x14ac:dyDescent="0.35">
      <c r="A3660">
        <f t="shared" si="196"/>
        <v>3659</v>
      </c>
      <c r="B3660" t="s">
        <v>110</v>
      </c>
      <c r="C3660" s="109" t="str">
        <f>IF(ISBLANK(K3660),IFERROR(VLOOKUP(I3660,FS_input_data!$C$458:$N$648,Export!J3660,FALSE),""),K3660)</f>
        <v/>
      </c>
      <c r="D3660" s="6"/>
      <c r="E3660" t="s">
        <v>1561</v>
      </c>
      <c r="F3660" s="6"/>
      <c r="G3660" s="115" t="b">
        <f>VLOOKUP(I3654,FS_input_noty,J3654,FALSE)=""</f>
        <v>0</v>
      </c>
      <c r="H3660" s="6" t="s">
        <v>2189</v>
      </c>
      <c r="I3660" t="s">
        <v>1561</v>
      </c>
      <c r="J3660" t="s">
        <v>1561</v>
      </c>
      <c r="L3660">
        <f t="shared" si="195"/>
        <v>1</v>
      </c>
    </row>
    <row r="3661" spans="1:12" x14ac:dyDescent="0.35">
      <c r="A3661" s="9">
        <f t="shared" si="196"/>
        <v>3660</v>
      </c>
      <c r="B3661" t="s">
        <v>111</v>
      </c>
      <c r="C3661" s="109">
        <f>IF(ISBLANK(K3661),IFERROR(VLOOKUP(I3661,FS_input_data!$C$458:$N$648,Export!J3661,FALSE),""),K3661)</f>
        <v>17500</v>
      </c>
      <c r="D3661" s="6" t="b">
        <v>0</v>
      </c>
      <c r="E3661" t="s">
        <v>1561</v>
      </c>
      <c r="F3661" s="6"/>
      <c r="G3661" s="115" t="b">
        <f>VLOOKUP(I3654,FS_input_noty,J3654,TRUE)=""</f>
        <v>0</v>
      </c>
      <c r="H3661" s="6" t="s">
        <v>2189</v>
      </c>
      <c r="I3661" t="s">
        <v>1882</v>
      </c>
      <c r="J3661">
        <v>8</v>
      </c>
      <c r="L3661" s="9" t="e">
        <f t="shared" si="195"/>
        <v>#VALUE!</v>
      </c>
    </row>
    <row r="3662" spans="1:12" x14ac:dyDescent="0.35">
      <c r="A3662">
        <f t="shared" si="196"/>
        <v>3661</v>
      </c>
      <c r="B3662" t="s">
        <v>112</v>
      </c>
      <c r="C3662" s="109" t="str">
        <f>IF(ISBLANK(K3662),IFERROR(VLOOKUP(I3662,FS_input_data!$C$458:$N$648,Export!J3662,FALSE),""),K3662)</f>
        <v/>
      </c>
      <c r="D3662" s="6"/>
      <c r="E3662" t="s">
        <v>1561</v>
      </c>
      <c r="F3662" s="6"/>
      <c r="G3662" s="116" t="b">
        <f>VLOOKUP(I3654,FS_input_noty,J3654,FALSE)=""</f>
        <v>0</v>
      </c>
      <c r="H3662" s="6" t="s">
        <v>2189</v>
      </c>
      <c r="I3662" t="s">
        <v>1561</v>
      </c>
      <c r="J3662" t="s">
        <v>1561</v>
      </c>
      <c r="L3662">
        <f t="shared" si="195"/>
        <v>1</v>
      </c>
    </row>
    <row r="3663" spans="1:12" x14ac:dyDescent="0.35">
      <c r="A3663" s="9">
        <f t="shared" si="196"/>
        <v>3662</v>
      </c>
      <c r="B3663" t="s">
        <v>749</v>
      </c>
      <c r="C3663" s="109">
        <f>IF(ISBLANK(K3663),IFERROR(VLOOKUP(I3663,FS_input_data!$C$458:$N$648,Export!J3663,FALSE),""),K3663)</f>
        <v>17500</v>
      </c>
      <c r="D3663" s="6" t="b">
        <v>0</v>
      </c>
      <c r="E3663" t="s">
        <v>1561</v>
      </c>
      <c r="F3663" s="6"/>
      <c r="G3663" s="116" t="b">
        <f>VLOOKUP(I3654,FS_input_noty,J3654,FALSE)=""</f>
        <v>0</v>
      </c>
      <c r="H3663" s="6" t="s">
        <v>2189</v>
      </c>
      <c r="I3663" t="s">
        <v>1882</v>
      </c>
      <c r="J3663">
        <v>9</v>
      </c>
      <c r="L3663" s="9" t="e">
        <f t="shared" si="195"/>
        <v>#VALUE!</v>
      </c>
    </row>
    <row r="3664" spans="1:12" x14ac:dyDescent="0.35">
      <c r="A3664">
        <f t="shared" si="196"/>
        <v>3663</v>
      </c>
      <c r="B3664" t="s">
        <v>750</v>
      </c>
      <c r="C3664" s="109" t="str">
        <f>IF(ISBLANK(K3664),IFERROR(VLOOKUP(I3664,FS_input_data!$C$458:$N$648,Export!J3664,FALSE),""),K3664)</f>
        <v/>
      </c>
      <c r="D3664" s="6"/>
      <c r="E3664" t="s">
        <v>1561</v>
      </c>
      <c r="F3664" s="6"/>
      <c r="G3664" s="116" t="b">
        <f>VLOOKUP(I3654,FS_input_noty,J3654,FALSE)=""</f>
        <v>0</v>
      </c>
      <c r="H3664" s="6" t="s">
        <v>2189</v>
      </c>
      <c r="I3664" t="s">
        <v>1561</v>
      </c>
      <c r="J3664" t="s">
        <v>1561</v>
      </c>
      <c r="L3664">
        <f t="shared" si="195"/>
        <v>1</v>
      </c>
    </row>
    <row r="3665" spans="1:12" x14ac:dyDescent="0.35">
      <c r="A3665">
        <f t="shared" si="196"/>
        <v>3664</v>
      </c>
      <c r="B3665" t="s">
        <v>751</v>
      </c>
      <c r="C3665" s="109" t="str">
        <f>IF(ISBLANK(K3665),IFERROR(VLOOKUP(I3665,FS_input_data!$C$458:$N$648,Export!J3665,FALSE),""),K3665)</f>
        <v/>
      </c>
      <c r="D3665" s="6"/>
      <c r="E3665" t="s">
        <v>1561</v>
      </c>
      <c r="F3665" s="6"/>
      <c r="G3665" s="116" t="b">
        <f>VLOOKUP(I3654,FS_input_noty,J3654,FALSE)=""</f>
        <v>0</v>
      </c>
      <c r="H3665" s="6" t="s">
        <v>2189</v>
      </c>
      <c r="I3665" t="s">
        <v>1561</v>
      </c>
      <c r="J3665" t="s">
        <v>1561</v>
      </c>
      <c r="L3665">
        <f t="shared" si="195"/>
        <v>1</v>
      </c>
    </row>
    <row r="3666" spans="1:12" x14ac:dyDescent="0.35">
      <c r="A3666">
        <f t="shared" si="196"/>
        <v>3665</v>
      </c>
      <c r="B3666" t="s">
        <v>754</v>
      </c>
      <c r="C3666" s="109" t="str">
        <f>IF(ISBLANK(K3666),IFERROR(VLOOKUP(I3666,FS_input_data!$C$458:$N$648,Export!J3666,FALSE),""),K3666)</f>
        <v/>
      </c>
      <c r="D3666" s="6"/>
      <c r="E3666" t="s">
        <v>1561</v>
      </c>
      <c r="F3666" s="6"/>
      <c r="G3666" s="116" t="b">
        <f>VLOOKUP(I3654,FS_input_noty,J3654,FALSE)=""</f>
        <v>0</v>
      </c>
      <c r="H3666" s="6" t="s">
        <v>2189</v>
      </c>
      <c r="I3666" t="s">
        <v>1561</v>
      </c>
      <c r="J3666" t="s">
        <v>1561</v>
      </c>
      <c r="L3666" s="9" t="e">
        <f t="shared" si="195"/>
        <v>#VALUE!</v>
      </c>
    </row>
    <row r="3667" spans="1:12" x14ac:dyDescent="0.35">
      <c r="A3667" s="9">
        <f t="shared" si="196"/>
        <v>3666</v>
      </c>
      <c r="B3667" t="s">
        <v>755</v>
      </c>
      <c r="C3667" s="109">
        <f>IF(ISBLANK(K3667),IFERROR(VLOOKUP(I3667,FS_input_data!$C$458:$N$648,Export!J3667,FALSE),""),K3667)</f>
        <v>35</v>
      </c>
      <c r="D3667" s="6" t="b">
        <v>1</v>
      </c>
      <c r="E3667" t="s">
        <v>1561</v>
      </c>
      <c r="F3667" s="6"/>
      <c r="G3667" s="116" t="b">
        <f>VLOOKUP(I3654,FS_input_noty,J3654,FALSE)=""</f>
        <v>0</v>
      </c>
      <c r="H3667" s="6" t="s">
        <v>2189</v>
      </c>
      <c r="I3667" t="s">
        <v>1882</v>
      </c>
      <c r="J3667">
        <v>2</v>
      </c>
      <c r="L3667" s="9" t="e">
        <f t="shared" si="195"/>
        <v>#VALUE!</v>
      </c>
    </row>
    <row r="3668" spans="1:12" x14ac:dyDescent="0.35">
      <c r="A3668">
        <f t="shared" si="196"/>
        <v>3667</v>
      </c>
      <c r="B3668" t="s">
        <v>756</v>
      </c>
      <c r="C3668" s="109" t="str">
        <f>IF(ISBLANK(K3668),IFERROR(VLOOKUP(I3668,FS_input_data!$C$458:$N$648,Export!J3668,FALSE),""),K3668)</f>
        <v/>
      </c>
      <c r="D3668" s="6"/>
      <c r="E3668" t="s">
        <v>1561</v>
      </c>
      <c r="F3668" s="6"/>
      <c r="G3668" s="116" t="b">
        <f>VLOOKUP(I3654,FS_input_noty,J3654,FALSE)=""</f>
        <v>0</v>
      </c>
      <c r="H3668" s="6" t="s">
        <v>2189</v>
      </c>
      <c r="I3668" t="s">
        <v>1561</v>
      </c>
      <c r="J3668" t="s">
        <v>1561</v>
      </c>
      <c r="L3668">
        <f t="shared" si="195"/>
        <v>1</v>
      </c>
    </row>
    <row r="3669" spans="1:12" x14ac:dyDescent="0.35">
      <c r="A3669" s="9">
        <f t="shared" si="196"/>
        <v>3668</v>
      </c>
      <c r="B3669" t="s">
        <v>757</v>
      </c>
      <c r="C3669" s="109">
        <f>IF(ISBLANK(K3669),IFERROR(VLOOKUP(I3669,FS_input_data!$C$458:$N$648,Export!J3669,FALSE),""),K3669)</f>
        <v>135</v>
      </c>
      <c r="D3669" s="6" t="b">
        <v>0</v>
      </c>
      <c r="E3669" t="s">
        <v>1561</v>
      </c>
      <c r="F3669" s="6"/>
      <c r="G3669" s="116" t="b">
        <f>VLOOKUP(I3654,FS_input_noty,J3654,FALSE)=""</f>
        <v>0</v>
      </c>
      <c r="H3669" s="6" t="s">
        <v>2189</v>
      </c>
      <c r="I3669" t="s">
        <v>1882</v>
      </c>
      <c r="J3669">
        <v>3</v>
      </c>
      <c r="L3669" s="9" t="e">
        <f t="shared" si="195"/>
        <v>#VALUE!</v>
      </c>
    </row>
    <row r="3670" spans="1:12" x14ac:dyDescent="0.35">
      <c r="A3670">
        <f t="shared" si="196"/>
        <v>3669</v>
      </c>
      <c r="B3670" t="s">
        <v>758</v>
      </c>
      <c r="C3670" s="109" t="str">
        <f>IF(ISBLANK(K3670),IFERROR(VLOOKUP(I3670,FS_input_data!$C$458:$N$648,Export!J3670,FALSE),""),K3670)</f>
        <v/>
      </c>
      <c r="D3670" s="6"/>
      <c r="E3670" t="s">
        <v>1561</v>
      </c>
      <c r="F3670" s="6"/>
      <c r="G3670" s="115" t="b">
        <f>VLOOKUP(I3654,FS_input_noty,J3654,FALSE)=""</f>
        <v>0</v>
      </c>
      <c r="H3670" s="6" t="s">
        <v>2189</v>
      </c>
      <c r="I3670" t="s">
        <v>1561</v>
      </c>
      <c r="J3670" t="s">
        <v>1561</v>
      </c>
      <c r="L3670">
        <f t="shared" si="195"/>
        <v>1</v>
      </c>
    </row>
    <row r="3671" spans="1:12" x14ac:dyDescent="0.35">
      <c r="A3671" s="9">
        <f t="shared" si="196"/>
        <v>3670</v>
      </c>
      <c r="B3671" t="s">
        <v>759</v>
      </c>
      <c r="C3671" s="109">
        <f>IF(ISBLANK(K3671),IFERROR(VLOOKUP(I3671,FS_input_data!$C$458:$N$648,Export!J3671,FALSE),""),K3671)</f>
        <v>235</v>
      </c>
      <c r="D3671" s="6" t="b">
        <v>0</v>
      </c>
      <c r="E3671" t="s">
        <v>1561</v>
      </c>
      <c r="F3671" s="6"/>
      <c r="G3671" s="115" t="b">
        <f>VLOOKUP(I3654,FS_input_noty,J3654,FALSE)=""</f>
        <v>0</v>
      </c>
      <c r="H3671" s="6" t="s">
        <v>2189</v>
      </c>
      <c r="I3671" t="s">
        <v>1882</v>
      </c>
      <c r="J3671">
        <v>4</v>
      </c>
      <c r="L3671" s="9" t="e">
        <f t="shared" si="195"/>
        <v>#VALUE!</v>
      </c>
    </row>
    <row r="3672" spans="1:12" x14ac:dyDescent="0.35">
      <c r="A3672">
        <f t="shared" si="196"/>
        <v>3671</v>
      </c>
      <c r="B3672" t="s">
        <v>760</v>
      </c>
      <c r="C3672" s="109" t="str">
        <f>IF(ISBLANK(K3672),IFERROR(VLOOKUP(I3672,FS_input_data!$C$458:$N$648,Export!J3672,FALSE),""),K3672)</f>
        <v/>
      </c>
      <c r="D3672" s="6"/>
      <c r="E3672" t="s">
        <v>1561</v>
      </c>
      <c r="F3672" s="6"/>
      <c r="G3672" s="115" t="b">
        <f>VLOOKUP(I3654,FS_input_noty,J3654,FALSE)=""</f>
        <v>0</v>
      </c>
      <c r="H3672" s="6" t="s">
        <v>2189</v>
      </c>
      <c r="I3672" t="s">
        <v>1561</v>
      </c>
      <c r="J3672" t="s">
        <v>1561</v>
      </c>
      <c r="L3672">
        <f t="shared" si="195"/>
        <v>1</v>
      </c>
    </row>
    <row r="3673" spans="1:12" x14ac:dyDescent="0.35">
      <c r="A3673" s="9">
        <f t="shared" si="196"/>
        <v>3672</v>
      </c>
      <c r="B3673" t="s">
        <v>761</v>
      </c>
      <c r="C3673" s="109" t="str">
        <f>IF(ISBLANK(K3673),IFERROR(VLOOKUP(I3673,FS_input_data!$C$458:$N$648,Export!J3673,FALSE),""),K3673)</f>
        <v>c</v>
      </c>
      <c r="D3673" s="6" t="b">
        <v>0</v>
      </c>
      <c r="E3673" t="s">
        <v>1561</v>
      </c>
      <c r="F3673" s="6"/>
      <c r="G3673" s="115" t="b">
        <f>VLOOKUP(I3654,FS_input_noty,J3654,FALSE)=""</f>
        <v>0</v>
      </c>
      <c r="H3673" s="6" t="s">
        <v>2189</v>
      </c>
      <c r="I3673" t="s">
        <v>1882</v>
      </c>
      <c r="J3673">
        <v>5</v>
      </c>
      <c r="L3673" s="9" t="e">
        <f t="shared" si="195"/>
        <v>#VALUE!</v>
      </c>
    </row>
    <row r="3674" spans="1:12" x14ac:dyDescent="0.35">
      <c r="A3674">
        <f t="shared" si="196"/>
        <v>3673</v>
      </c>
      <c r="B3674" t="s">
        <v>762</v>
      </c>
      <c r="C3674" s="109" t="str">
        <f>IF(ISBLANK(K3674),IFERROR(VLOOKUP(I3674,FS_input_data!$C$458:$N$648,Export!J3674,FALSE),""),K3674)</f>
        <v/>
      </c>
      <c r="D3674" s="6"/>
      <c r="E3674" t="s">
        <v>1561</v>
      </c>
      <c r="F3674" s="6"/>
      <c r="G3674" s="115" t="b">
        <f>VLOOKUP(I3654,FS_input_noty,J3654,FALSE)=""</f>
        <v>0</v>
      </c>
      <c r="H3674" s="6" t="s">
        <v>2189</v>
      </c>
      <c r="I3674" t="s">
        <v>1561</v>
      </c>
      <c r="J3674" t="s">
        <v>1561</v>
      </c>
      <c r="L3674">
        <f t="shared" si="195"/>
        <v>1</v>
      </c>
    </row>
    <row r="3675" spans="1:12" x14ac:dyDescent="0.35">
      <c r="A3675">
        <f t="shared" si="196"/>
        <v>3674</v>
      </c>
      <c r="B3675" t="s">
        <v>763</v>
      </c>
      <c r="C3675" s="109" t="str">
        <f>IF(ISBLANK(K3675),IFERROR(VLOOKUP(I3675,FS_input_data!$C$458:$N$648,Export!J3675,FALSE),""),K3675)</f>
        <v/>
      </c>
      <c r="D3675" s="6"/>
      <c r="E3675" t="s">
        <v>1561</v>
      </c>
      <c r="F3675" s="6"/>
      <c r="G3675" s="115" t="b">
        <f>VLOOKUP(I3654,FS_input_noty,J3654,FALSE)=""</f>
        <v>0</v>
      </c>
      <c r="H3675" s="6" t="s">
        <v>2189</v>
      </c>
      <c r="I3675" t="s">
        <v>1561</v>
      </c>
      <c r="J3675" t="s">
        <v>1561</v>
      </c>
      <c r="L3675">
        <f t="shared" si="195"/>
        <v>1</v>
      </c>
    </row>
    <row r="3676" spans="1:12" x14ac:dyDescent="0.35">
      <c r="A3676">
        <f t="shared" si="196"/>
        <v>3675</v>
      </c>
      <c r="B3676" t="s">
        <v>743</v>
      </c>
      <c r="C3676" s="109" t="str">
        <f>IF(ISBLANK(K3676),IFERROR(VLOOKUP(I3676,FS_input_data!$C$458:$N$648,Export!J3676,FALSE),""),K3676)</f>
        <v/>
      </c>
      <c r="D3676" s="6"/>
      <c r="E3676" t="s">
        <v>1561</v>
      </c>
      <c r="F3676" s="6"/>
      <c r="G3676" s="115" t="b">
        <f>VLOOKUP(I3654,FS_input_noty,J3654,FALSE)=""</f>
        <v>0</v>
      </c>
      <c r="H3676" s="6" t="s">
        <v>2189</v>
      </c>
      <c r="I3676" t="s">
        <v>1561</v>
      </c>
      <c r="J3676" t="s">
        <v>1561</v>
      </c>
      <c r="L3676">
        <f t="shared" si="195"/>
        <v>1</v>
      </c>
    </row>
    <row r="3677" spans="1:12" x14ac:dyDescent="0.35">
      <c r="A3677">
        <f t="shared" si="196"/>
        <v>3676</v>
      </c>
      <c r="B3677" t="s">
        <v>744</v>
      </c>
      <c r="C3677" s="109" t="str">
        <f>IF(ISBLANK(K3677),IFERROR(VLOOKUP(I3677,FS_input_data!$C$458:$N$648,Export!J3677,FALSE),""),K3677)</f>
        <v/>
      </c>
      <c r="D3677" s="6"/>
      <c r="E3677" t="s">
        <v>1561</v>
      </c>
      <c r="F3677" s="6"/>
      <c r="G3677" s="115" t="b">
        <f t="shared" ref="G3677:G3684" si="197">RP_tax</f>
        <v>1</v>
      </c>
      <c r="H3677" s="6" t="s">
        <v>2189</v>
      </c>
      <c r="I3677" t="s">
        <v>1561</v>
      </c>
      <c r="J3677" t="s">
        <v>1561</v>
      </c>
      <c r="L3677" s="9" t="e">
        <f t="shared" si="195"/>
        <v>#VALUE!</v>
      </c>
    </row>
    <row r="3678" spans="1:12" x14ac:dyDescent="0.35">
      <c r="A3678" s="9">
        <f t="shared" si="196"/>
        <v>3677</v>
      </c>
      <c r="B3678" t="s">
        <v>109</v>
      </c>
      <c r="C3678" s="109">
        <f>IF(ISBLANK(K3678),IFERROR(VLOOKUP(I3678,FS_input_data!$C$458:$N$648,Export!J3678,FALSE),""),K3678)</f>
        <v>35000</v>
      </c>
      <c r="D3678" s="6" t="b">
        <v>1</v>
      </c>
      <c r="E3678" t="s">
        <v>1561</v>
      </c>
      <c r="F3678" s="6"/>
      <c r="G3678" s="115" t="b">
        <f t="shared" si="197"/>
        <v>1</v>
      </c>
      <c r="H3678" s="6" t="s">
        <v>2189</v>
      </c>
      <c r="I3678" t="s">
        <v>1882</v>
      </c>
      <c r="J3678">
        <v>10</v>
      </c>
      <c r="L3678" s="9" t="e">
        <f t="shared" si="195"/>
        <v>#VALUE!</v>
      </c>
    </row>
    <row r="3679" spans="1:12" x14ac:dyDescent="0.35">
      <c r="A3679">
        <f t="shared" si="196"/>
        <v>3678</v>
      </c>
      <c r="B3679" t="s">
        <v>110</v>
      </c>
      <c r="C3679" s="109" t="str">
        <f>IF(ISBLANK(K3679),IFERROR(VLOOKUP(I3679,FS_input_data!$C$458:$N$648,Export!J3679,FALSE),""),K3679)</f>
        <v/>
      </c>
      <c r="D3679" s="6"/>
      <c r="E3679" t="s">
        <v>1561</v>
      </c>
      <c r="F3679" s="6"/>
      <c r="G3679" s="115" t="b">
        <f t="shared" si="197"/>
        <v>1</v>
      </c>
      <c r="H3679" s="6" t="s">
        <v>2189</v>
      </c>
      <c r="I3679" t="s">
        <v>1561</v>
      </c>
      <c r="J3679" t="s">
        <v>1561</v>
      </c>
      <c r="L3679">
        <f t="shared" si="195"/>
        <v>1</v>
      </c>
    </row>
    <row r="3680" spans="1:12" x14ac:dyDescent="0.35">
      <c r="A3680" s="9">
        <f t="shared" si="196"/>
        <v>3679</v>
      </c>
      <c r="B3680" t="s">
        <v>111</v>
      </c>
      <c r="C3680" s="109">
        <f>IF(ISBLANK(K3680),IFERROR(VLOOKUP(I3680,FS_input_data!$C$458:$N$648,Export!J3680,FALSE),""),K3680)</f>
        <v>17500</v>
      </c>
      <c r="D3680" s="6" t="b">
        <v>0</v>
      </c>
      <c r="E3680" t="s">
        <v>1561</v>
      </c>
      <c r="F3680" s="6"/>
      <c r="G3680" s="115" t="b">
        <f t="shared" si="197"/>
        <v>1</v>
      </c>
      <c r="H3680" s="6" t="s">
        <v>2189</v>
      </c>
      <c r="I3680" t="s">
        <v>1882</v>
      </c>
      <c r="J3680">
        <v>11</v>
      </c>
      <c r="L3680" s="9" t="e">
        <f t="shared" si="195"/>
        <v>#VALUE!</v>
      </c>
    </row>
    <row r="3681" spans="1:12" x14ac:dyDescent="0.35">
      <c r="A3681">
        <f t="shared" si="196"/>
        <v>3680</v>
      </c>
      <c r="B3681" t="s">
        <v>112</v>
      </c>
      <c r="C3681" s="109" t="str">
        <f>IF(ISBLANK(K3681),IFERROR(VLOOKUP(I3681,FS_input_data!$C$458:$N$648,Export!J3681,FALSE),""),K3681)</f>
        <v/>
      </c>
      <c r="D3681" s="6"/>
      <c r="E3681" t="s">
        <v>1561</v>
      </c>
      <c r="F3681" s="6"/>
      <c r="G3681" s="115" t="b">
        <f t="shared" si="197"/>
        <v>1</v>
      </c>
      <c r="H3681" s="6" t="s">
        <v>2189</v>
      </c>
      <c r="I3681" t="s">
        <v>1561</v>
      </c>
      <c r="J3681" t="s">
        <v>1561</v>
      </c>
      <c r="L3681">
        <f t="shared" si="195"/>
        <v>1</v>
      </c>
    </row>
    <row r="3682" spans="1:12" x14ac:dyDescent="0.35">
      <c r="A3682" s="9">
        <f t="shared" si="196"/>
        <v>3681</v>
      </c>
      <c r="B3682" t="s">
        <v>749</v>
      </c>
      <c r="C3682" s="109">
        <f>IF(ISBLANK(K3682),IFERROR(VLOOKUP(I3682,FS_input_data!$C$458:$N$648,Export!J3682,FALSE),""),K3682)</f>
        <v>17500</v>
      </c>
      <c r="D3682" s="6" t="b">
        <v>0</v>
      </c>
      <c r="E3682" t="s">
        <v>1561</v>
      </c>
      <c r="F3682" s="6"/>
      <c r="G3682" s="115" t="b">
        <f t="shared" si="197"/>
        <v>1</v>
      </c>
      <c r="H3682" s="6" t="s">
        <v>2189</v>
      </c>
      <c r="I3682" t="s">
        <v>1882</v>
      </c>
      <c r="J3682">
        <v>12</v>
      </c>
      <c r="L3682" s="9" t="e">
        <f t="shared" si="195"/>
        <v>#VALUE!</v>
      </c>
    </row>
    <row r="3683" spans="1:12" x14ac:dyDescent="0.35">
      <c r="A3683">
        <f t="shared" si="196"/>
        <v>3682</v>
      </c>
      <c r="B3683" t="s">
        <v>750</v>
      </c>
      <c r="C3683" s="109" t="str">
        <f>IF(ISBLANK(K3683),IFERROR(VLOOKUP(I3683,FS_input_data!$C$458:$N$648,Export!J3683,FALSE),""),K3683)</f>
        <v/>
      </c>
      <c r="D3683" s="6"/>
      <c r="E3683" t="s">
        <v>1561</v>
      </c>
      <c r="F3683" s="6"/>
      <c r="G3683" s="115" t="b">
        <f t="shared" si="197"/>
        <v>1</v>
      </c>
      <c r="H3683" s="6" t="s">
        <v>2189</v>
      </c>
      <c r="I3683" t="s">
        <v>1561</v>
      </c>
      <c r="J3683" t="s">
        <v>1561</v>
      </c>
      <c r="L3683">
        <f t="shared" si="195"/>
        <v>1</v>
      </c>
    </row>
    <row r="3684" spans="1:12" x14ac:dyDescent="0.35">
      <c r="A3684">
        <f t="shared" si="196"/>
        <v>3683</v>
      </c>
      <c r="B3684" t="s">
        <v>745</v>
      </c>
      <c r="C3684" s="109" t="str">
        <f>IF(ISBLANK(K3684),IFERROR(VLOOKUP(I3684,FS_input_data!$C$458:$N$648,Export!J3684,FALSE),""),K3684)</f>
        <v/>
      </c>
      <c r="D3684" s="6"/>
      <c r="E3684" t="s">
        <v>1561</v>
      </c>
      <c r="F3684" s="6"/>
      <c r="G3684" s="115" t="b">
        <f t="shared" si="197"/>
        <v>1</v>
      </c>
      <c r="H3684" s="6" t="s">
        <v>2189</v>
      </c>
      <c r="I3684" t="s">
        <v>1561</v>
      </c>
      <c r="J3684" t="s">
        <v>1561</v>
      </c>
      <c r="L3684">
        <f t="shared" si="195"/>
        <v>1</v>
      </c>
    </row>
    <row r="3685" spans="1:12" x14ac:dyDescent="0.35">
      <c r="A3685">
        <f t="shared" si="196"/>
        <v>3684</v>
      </c>
      <c r="B3685" t="s">
        <v>764</v>
      </c>
      <c r="C3685" s="109" t="str">
        <f>IF(ISBLANK(K3685),IFERROR(VLOOKUP(I3685,FS_input_data!$C$458:$N$648,Export!J3685,FALSE),""),K3685)</f>
        <v/>
      </c>
      <c r="D3685" s="6"/>
      <c r="E3685" t="s">
        <v>1561</v>
      </c>
      <c r="F3685" s="6"/>
      <c r="G3685" s="115" t="b">
        <f>VLOOKUP(I3654,FS_input_noty,J3654,FALSE)=""</f>
        <v>0</v>
      </c>
      <c r="H3685" s="6" t="s">
        <v>2189</v>
      </c>
      <c r="I3685" t="s">
        <v>1561</v>
      </c>
      <c r="J3685" t="s">
        <v>1561</v>
      </c>
      <c r="L3685">
        <f t="shared" si="195"/>
        <v>1</v>
      </c>
    </row>
    <row r="3686" spans="1:12" x14ac:dyDescent="0.35">
      <c r="A3686">
        <f t="shared" si="196"/>
        <v>3685</v>
      </c>
      <c r="B3686" t="s">
        <v>765</v>
      </c>
      <c r="C3686" s="109" t="str">
        <f>IF(ISBLANK(K3686),IFERROR(VLOOKUP(I3686,FS_input_data!$C$458:$N$648,Export!J3686,FALSE),""),K3686)</f>
        <v/>
      </c>
      <c r="D3686" s="6"/>
      <c r="E3686" t="s">
        <v>1561</v>
      </c>
      <c r="F3686" s="6"/>
      <c r="G3686" s="115" t="b">
        <f>VLOOKUP(I3654,FS_input_noty,J3654,FALSE)=""</f>
        <v>0</v>
      </c>
      <c r="H3686" s="6" t="s">
        <v>2189</v>
      </c>
      <c r="I3686" t="s">
        <v>1561</v>
      </c>
      <c r="J3686" t="s">
        <v>1561</v>
      </c>
      <c r="L3686">
        <f t="shared" si="195"/>
        <v>1</v>
      </c>
    </row>
    <row r="3687" spans="1:12" x14ac:dyDescent="0.35">
      <c r="A3687">
        <f t="shared" si="196"/>
        <v>3686</v>
      </c>
      <c r="B3687" t="s">
        <v>752</v>
      </c>
      <c r="C3687" s="109" t="str">
        <f>IF(ISBLANK(K3687),IFERROR(VLOOKUP(I3687,FS_input_data!$C$458:$N$648,Export!J3687,FALSE),""),K3687)</f>
        <v/>
      </c>
      <c r="D3687" s="6"/>
      <c r="E3687" t="s">
        <v>1561</v>
      </c>
      <c r="F3687" s="6"/>
      <c r="G3687" s="115" t="b">
        <f>VLOOKUP(I3688,FS_input_noty,J3688,FALSE)=""</f>
        <v>0</v>
      </c>
      <c r="H3687" s="6" t="s">
        <v>2189</v>
      </c>
      <c r="I3687" t="s">
        <v>1561</v>
      </c>
      <c r="J3687" t="s">
        <v>1561</v>
      </c>
      <c r="L3687" s="9" t="e">
        <f t="shared" si="195"/>
        <v>#VALUE!</v>
      </c>
    </row>
    <row r="3688" spans="1:12" x14ac:dyDescent="0.35">
      <c r="A3688" s="9">
        <f t="shared" si="196"/>
        <v>3687</v>
      </c>
      <c r="B3688" t="s">
        <v>101</v>
      </c>
      <c r="C3688" s="109" t="str">
        <f>IF(ISBLANK(K3688),IFERROR(VLOOKUP(I3688,FS_input_data!$C$458:$N$648,Export!J3688,FALSE),""),K3688)</f>
        <v>OC14</v>
      </c>
      <c r="D3688" s="6" t="b">
        <v>1</v>
      </c>
      <c r="E3688" t="s">
        <v>1561</v>
      </c>
      <c r="F3688" s="6"/>
      <c r="G3688" s="115" t="b">
        <f>VLOOKUP(I3688,FS_input_noty,J3688,FALSE)=""</f>
        <v>0</v>
      </c>
      <c r="H3688" s="6" t="s">
        <v>2189</v>
      </c>
      <c r="I3688" t="s">
        <v>1884</v>
      </c>
      <c r="J3688">
        <v>6</v>
      </c>
      <c r="L3688" s="9" t="e">
        <f t="shared" si="195"/>
        <v>#VALUE!</v>
      </c>
    </row>
    <row r="3689" spans="1:12" x14ac:dyDescent="0.35">
      <c r="A3689">
        <f t="shared" si="196"/>
        <v>3688</v>
      </c>
      <c r="B3689" t="s">
        <v>102</v>
      </c>
      <c r="C3689" s="109" t="str">
        <f>IF(ISBLANK(K3689),IFERROR(VLOOKUP(I3689,FS_input_data!$C$458:$N$648,Export!J3689,FALSE),""),K3689)</f>
        <v/>
      </c>
      <c r="D3689" s="6"/>
      <c r="E3689" t="s">
        <v>1561</v>
      </c>
      <c r="F3689" s="6"/>
      <c r="G3689" s="115" t="b">
        <f>VLOOKUP(I3688,FS_input_noty,J3688,FALSE)=""</f>
        <v>0</v>
      </c>
      <c r="H3689" s="6" t="s">
        <v>2189</v>
      </c>
      <c r="I3689" t="s">
        <v>1561</v>
      </c>
      <c r="J3689" t="s">
        <v>1561</v>
      </c>
      <c r="L3689">
        <f t="shared" si="195"/>
        <v>1</v>
      </c>
    </row>
    <row r="3690" spans="1:12" x14ac:dyDescent="0.35">
      <c r="A3690">
        <f t="shared" si="196"/>
        <v>3689</v>
      </c>
      <c r="B3690" t="s">
        <v>753</v>
      </c>
      <c r="C3690" s="109" t="str">
        <f>IF(ISBLANK(K3690),IFERROR(VLOOKUP(I3690,FS_input_data!$C$458:$N$648,Export!J3690,FALSE),""),K3690)</f>
        <v/>
      </c>
      <c r="D3690" s="6"/>
      <c r="E3690" t="s">
        <v>1561</v>
      </c>
      <c r="F3690" s="6"/>
      <c r="G3690" s="115" t="b">
        <f>VLOOKUP(I3688,FS_input_noty,J3688,FALSE)=""</f>
        <v>0</v>
      </c>
      <c r="H3690" s="6" t="s">
        <v>2189</v>
      </c>
      <c r="I3690" t="s">
        <v>1561</v>
      </c>
      <c r="J3690" t="s">
        <v>1561</v>
      </c>
      <c r="L3690" s="9" t="e">
        <f t="shared" si="195"/>
        <v>#VALUE!</v>
      </c>
    </row>
    <row r="3691" spans="1:12" x14ac:dyDescent="0.35">
      <c r="A3691">
        <f t="shared" si="196"/>
        <v>3690</v>
      </c>
      <c r="B3691" t="s">
        <v>742</v>
      </c>
      <c r="C3691" s="109" t="str">
        <f>IF(ISBLANK(K3691),IFERROR(VLOOKUP(I3691,FS_input_data!$C$458:$N$648,Export!J3691,FALSE),""),K3691)</f>
        <v/>
      </c>
      <c r="D3691" s="6"/>
      <c r="E3691" t="s">
        <v>1561</v>
      </c>
      <c r="F3691" s="6"/>
      <c r="G3691" s="115" t="b">
        <f>VLOOKUP(I3688,FS_input_noty,J3688,FALSE)=""</f>
        <v>0</v>
      </c>
      <c r="H3691" s="6" t="s">
        <v>2189</v>
      </c>
      <c r="I3691" t="s">
        <v>1561</v>
      </c>
      <c r="J3691" t="s">
        <v>1561</v>
      </c>
      <c r="L3691" s="9" t="e">
        <f t="shared" si="195"/>
        <v>#VALUE!</v>
      </c>
    </row>
    <row r="3692" spans="1:12" x14ac:dyDescent="0.35">
      <c r="A3692">
        <f t="shared" si="196"/>
        <v>3691</v>
      </c>
      <c r="B3692" t="s">
        <v>748</v>
      </c>
      <c r="C3692" s="109" t="str">
        <f>IF(ISBLANK(K3692),IFERROR(VLOOKUP(I3692,FS_input_data!$C$458:$N$648,Export!J3692,FALSE),""),K3692)</f>
        <v/>
      </c>
      <c r="D3692" s="6"/>
      <c r="E3692" t="s">
        <v>1561</v>
      </c>
      <c r="F3692" s="6"/>
      <c r="G3692" s="115" t="b">
        <f>VLOOKUP(I3688,FS_input_noty,J3688,FALSE)=""</f>
        <v>0</v>
      </c>
      <c r="H3692" s="6" t="s">
        <v>2189</v>
      </c>
      <c r="I3692" t="s">
        <v>1561</v>
      </c>
      <c r="J3692" t="s">
        <v>1561</v>
      </c>
      <c r="L3692" s="9" t="e">
        <f t="shared" si="195"/>
        <v>#VALUE!</v>
      </c>
    </row>
    <row r="3693" spans="1:12" x14ac:dyDescent="0.35">
      <c r="A3693" s="9">
        <f t="shared" si="196"/>
        <v>3692</v>
      </c>
      <c r="B3693" t="s">
        <v>109</v>
      </c>
      <c r="C3693" s="109">
        <f>IF(ISBLANK(K3693),IFERROR(VLOOKUP(I3693,FS_input_data!$C$458:$N$648,Export!J3693,FALSE),""),K3693)</f>
        <v>36000</v>
      </c>
      <c r="D3693" s="6" t="b">
        <v>1</v>
      </c>
      <c r="E3693" t="s">
        <v>1561</v>
      </c>
      <c r="F3693" s="6"/>
      <c r="G3693" s="115" t="b">
        <f>VLOOKUP(I3688,FS_input_noty,J3688,FALSE)=""</f>
        <v>0</v>
      </c>
      <c r="H3693" s="6" t="s">
        <v>2189</v>
      </c>
      <c r="I3693" t="s">
        <v>1884</v>
      </c>
      <c r="J3693">
        <v>7</v>
      </c>
      <c r="L3693" s="9" t="e">
        <f t="shared" si="195"/>
        <v>#VALUE!</v>
      </c>
    </row>
    <row r="3694" spans="1:12" x14ac:dyDescent="0.35">
      <c r="A3694">
        <f t="shared" si="196"/>
        <v>3693</v>
      </c>
      <c r="B3694" t="s">
        <v>110</v>
      </c>
      <c r="C3694" s="109" t="str">
        <f>IF(ISBLANK(K3694),IFERROR(VLOOKUP(I3694,FS_input_data!$C$458:$N$648,Export!J3694,FALSE),""),K3694)</f>
        <v/>
      </c>
      <c r="D3694" s="6"/>
      <c r="E3694" t="s">
        <v>1561</v>
      </c>
      <c r="F3694" s="6"/>
      <c r="G3694" s="115" t="b">
        <f>VLOOKUP(I3688,FS_input_noty,J3688,FALSE)=""</f>
        <v>0</v>
      </c>
      <c r="H3694" s="6" t="s">
        <v>2189</v>
      </c>
      <c r="I3694" t="s">
        <v>1561</v>
      </c>
      <c r="J3694" t="s">
        <v>1561</v>
      </c>
      <c r="L3694">
        <f t="shared" si="195"/>
        <v>1</v>
      </c>
    </row>
    <row r="3695" spans="1:12" x14ac:dyDescent="0.35">
      <c r="A3695" s="9">
        <f t="shared" si="196"/>
        <v>3694</v>
      </c>
      <c r="B3695" t="s">
        <v>111</v>
      </c>
      <c r="C3695" s="109">
        <f>IF(ISBLANK(K3695),IFERROR(VLOOKUP(I3695,FS_input_data!$C$458:$N$648,Export!J3695,FALSE),""),K3695)</f>
        <v>18000</v>
      </c>
      <c r="D3695" s="6" t="b">
        <v>0</v>
      </c>
      <c r="E3695" t="s">
        <v>1561</v>
      </c>
      <c r="F3695" s="6"/>
      <c r="G3695" s="115" t="b">
        <f>VLOOKUP(I3688,FS_input_noty,J3688,TRUE)=""</f>
        <v>0</v>
      </c>
      <c r="H3695" s="6" t="s">
        <v>2189</v>
      </c>
      <c r="I3695" t="s">
        <v>1884</v>
      </c>
      <c r="J3695">
        <v>8</v>
      </c>
      <c r="L3695" s="9" t="e">
        <f t="shared" si="195"/>
        <v>#VALUE!</v>
      </c>
    </row>
    <row r="3696" spans="1:12" x14ac:dyDescent="0.35">
      <c r="A3696">
        <f t="shared" si="196"/>
        <v>3695</v>
      </c>
      <c r="B3696" t="s">
        <v>112</v>
      </c>
      <c r="C3696" s="109" t="str">
        <f>IF(ISBLANK(K3696),IFERROR(VLOOKUP(I3696,FS_input_data!$C$458:$N$648,Export!J3696,FALSE),""),K3696)</f>
        <v/>
      </c>
      <c r="D3696" s="6"/>
      <c r="E3696" t="s">
        <v>1561</v>
      </c>
      <c r="F3696" s="6"/>
      <c r="G3696" s="116" t="b">
        <f>VLOOKUP(I3688,FS_input_noty,J3688,FALSE)=""</f>
        <v>0</v>
      </c>
      <c r="H3696" s="6" t="s">
        <v>2189</v>
      </c>
      <c r="I3696" t="s">
        <v>1561</v>
      </c>
      <c r="J3696" t="s">
        <v>1561</v>
      </c>
      <c r="L3696">
        <f t="shared" si="195"/>
        <v>1</v>
      </c>
    </row>
    <row r="3697" spans="1:12" x14ac:dyDescent="0.35">
      <c r="A3697" s="9">
        <f t="shared" si="196"/>
        <v>3696</v>
      </c>
      <c r="B3697" t="s">
        <v>749</v>
      </c>
      <c r="C3697" s="109">
        <f>IF(ISBLANK(K3697),IFERROR(VLOOKUP(I3697,FS_input_data!$C$458:$N$648,Export!J3697,FALSE),""),K3697)</f>
        <v>18000</v>
      </c>
      <c r="D3697" s="6" t="b">
        <v>0</v>
      </c>
      <c r="E3697" t="s">
        <v>1561</v>
      </c>
      <c r="F3697" s="6"/>
      <c r="G3697" s="116" t="b">
        <f>VLOOKUP(I3688,FS_input_noty,J3688,FALSE)=""</f>
        <v>0</v>
      </c>
      <c r="H3697" s="6" t="s">
        <v>2189</v>
      </c>
      <c r="I3697" t="s">
        <v>1884</v>
      </c>
      <c r="J3697">
        <v>9</v>
      </c>
      <c r="L3697" s="9" t="e">
        <f t="shared" si="195"/>
        <v>#VALUE!</v>
      </c>
    </row>
    <row r="3698" spans="1:12" x14ac:dyDescent="0.35">
      <c r="A3698">
        <f t="shared" si="196"/>
        <v>3697</v>
      </c>
      <c r="B3698" t="s">
        <v>750</v>
      </c>
      <c r="C3698" s="109" t="str">
        <f>IF(ISBLANK(K3698),IFERROR(VLOOKUP(I3698,FS_input_data!$C$458:$N$648,Export!J3698,FALSE),""),K3698)</f>
        <v/>
      </c>
      <c r="D3698" s="6"/>
      <c r="E3698" t="s">
        <v>1561</v>
      </c>
      <c r="F3698" s="6"/>
      <c r="G3698" s="116" t="b">
        <f>VLOOKUP(I3688,FS_input_noty,J3688,FALSE)=""</f>
        <v>0</v>
      </c>
      <c r="H3698" s="6" t="s">
        <v>2189</v>
      </c>
      <c r="I3698" t="s">
        <v>1561</v>
      </c>
      <c r="J3698" t="s">
        <v>1561</v>
      </c>
      <c r="L3698">
        <f t="shared" si="195"/>
        <v>1</v>
      </c>
    </row>
    <row r="3699" spans="1:12" x14ac:dyDescent="0.35">
      <c r="A3699">
        <f t="shared" si="196"/>
        <v>3698</v>
      </c>
      <c r="B3699" t="s">
        <v>751</v>
      </c>
      <c r="C3699" s="109" t="str">
        <f>IF(ISBLANK(K3699),IFERROR(VLOOKUP(I3699,FS_input_data!$C$458:$N$648,Export!J3699,FALSE),""),K3699)</f>
        <v/>
      </c>
      <c r="D3699" s="6"/>
      <c r="E3699" t="s">
        <v>1561</v>
      </c>
      <c r="F3699" s="6"/>
      <c r="G3699" s="116" t="b">
        <f>VLOOKUP(I3688,FS_input_noty,J3688,FALSE)=""</f>
        <v>0</v>
      </c>
      <c r="H3699" s="6" t="s">
        <v>2189</v>
      </c>
      <c r="I3699" t="s">
        <v>1561</v>
      </c>
      <c r="J3699" t="s">
        <v>1561</v>
      </c>
      <c r="L3699">
        <f t="shared" si="195"/>
        <v>1</v>
      </c>
    </row>
    <row r="3700" spans="1:12" x14ac:dyDescent="0.35">
      <c r="A3700">
        <f t="shared" si="196"/>
        <v>3699</v>
      </c>
      <c r="B3700" t="s">
        <v>754</v>
      </c>
      <c r="C3700" s="109" t="str">
        <f>IF(ISBLANK(K3700),IFERROR(VLOOKUP(I3700,FS_input_data!$C$458:$N$648,Export!J3700,FALSE),""),K3700)</f>
        <v/>
      </c>
      <c r="D3700" s="6"/>
      <c r="E3700" t="s">
        <v>1561</v>
      </c>
      <c r="F3700" s="6"/>
      <c r="G3700" s="116" t="b">
        <f>VLOOKUP(I3688,FS_input_noty,J3688,FALSE)=""</f>
        <v>0</v>
      </c>
      <c r="H3700" s="6" t="s">
        <v>2189</v>
      </c>
      <c r="I3700" t="s">
        <v>1561</v>
      </c>
      <c r="J3700" t="s">
        <v>1561</v>
      </c>
      <c r="L3700" s="9" t="e">
        <f t="shared" si="195"/>
        <v>#VALUE!</v>
      </c>
    </row>
    <row r="3701" spans="1:12" x14ac:dyDescent="0.35">
      <c r="A3701" s="9">
        <f t="shared" si="196"/>
        <v>3700</v>
      </c>
      <c r="B3701" t="s">
        <v>755</v>
      </c>
      <c r="C3701" s="109">
        <f>IF(ISBLANK(K3701),IFERROR(VLOOKUP(I3701,FS_input_data!$C$458:$N$648,Export!J3701,FALSE),""),K3701)</f>
        <v>36</v>
      </c>
      <c r="D3701" s="6" t="b">
        <v>1</v>
      </c>
      <c r="E3701" t="s">
        <v>1561</v>
      </c>
      <c r="F3701" s="6"/>
      <c r="G3701" s="116" t="b">
        <f>VLOOKUP(I3688,FS_input_noty,J3688,FALSE)=""</f>
        <v>0</v>
      </c>
      <c r="H3701" s="6" t="s">
        <v>2189</v>
      </c>
      <c r="I3701" t="s">
        <v>1884</v>
      </c>
      <c r="J3701">
        <v>2</v>
      </c>
      <c r="L3701" s="9" t="e">
        <f t="shared" si="195"/>
        <v>#VALUE!</v>
      </c>
    </row>
    <row r="3702" spans="1:12" x14ac:dyDescent="0.35">
      <c r="A3702">
        <f t="shared" si="196"/>
        <v>3701</v>
      </c>
      <c r="B3702" t="s">
        <v>756</v>
      </c>
      <c r="C3702" s="109" t="str">
        <f>IF(ISBLANK(K3702),IFERROR(VLOOKUP(I3702,FS_input_data!$C$458:$N$648,Export!J3702,FALSE),""),K3702)</f>
        <v/>
      </c>
      <c r="D3702" s="6"/>
      <c r="E3702" t="s">
        <v>1561</v>
      </c>
      <c r="F3702" s="6"/>
      <c r="G3702" s="116" t="b">
        <f>VLOOKUP(I3688,FS_input_noty,J3688,FALSE)=""</f>
        <v>0</v>
      </c>
      <c r="H3702" s="6" t="s">
        <v>2189</v>
      </c>
      <c r="I3702" t="s">
        <v>1561</v>
      </c>
      <c r="J3702" t="s">
        <v>1561</v>
      </c>
      <c r="L3702">
        <f t="shared" si="195"/>
        <v>1</v>
      </c>
    </row>
    <row r="3703" spans="1:12" x14ac:dyDescent="0.35">
      <c r="A3703" s="9">
        <f t="shared" si="196"/>
        <v>3702</v>
      </c>
      <c r="B3703" t="s">
        <v>757</v>
      </c>
      <c r="C3703" s="109">
        <f>IF(ISBLANK(K3703),IFERROR(VLOOKUP(I3703,FS_input_data!$C$458:$N$648,Export!J3703,FALSE),""),K3703)</f>
        <v>136</v>
      </c>
      <c r="D3703" s="6" t="b">
        <v>0</v>
      </c>
      <c r="E3703" t="s">
        <v>1561</v>
      </c>
      <c r="F3703" s="6"/>
      <c r="G3703" s="116" t="b">
        <f>VLOOKUP(I3688,FS_input_noty,J3688,FALSE)=""</f>
        <v>0</v>
      </c>
      <c r="H3703" s="6" t="s">
        <v>2189</v>
      </c>
      <c r="I3703" t="s">
        <v>1884</v>
      </c>
      <c r="J3703">
        <v>3</v>
      </c>
      <c r="L3703" s="9" t="e">
        <f t="shared" si="195"/>
        <v>#VALUE!</v>
      </c>
    </row>
    <row r="3704" spans="1:12" x14ac:dyDescent="0.35">
      <c r="A3704">
        <f t="shared" si="196"/>
        <v>3703</v>
      </c>
      <c r="B3704" t="s">
        <v>758</v>
      </c>
      <c r="C3704" s="109" t="str">
        <f>IF(ISBLANK(K3704),IFERROR(VLOOKUP(I3704,FS_input_data!$C$458:$N$648,Export!J3704,FALSE),""),K3704)</f>
        <v/>
      </c>
      <c r="D3704" s="6"/>
      <c r="E3704" t="s">
        <v>1561</v>
      </c>
      <c r="F3704" s="6"/>
      <c r="G3704" s="115" t="b">
        <f>VLOOKUP(I3688,FS_input_noty,J3688,FALSE)=""</f>
        <v>0</v>
      </c>
      <c r="H3704" s="6" t="s">
        <v>2189</v>
      </c>
      <c r="I3704" t="s">
        <v>1561</v>
      </c>
      <c r="J3704" t="s">
        <v>1561</v>
      </c>
      <c r="L3704">
        <f t="shared" si="195"/>
        <v>1</v>
      </c>
    </row>
    <row r="3705" spans="1:12" x14ac:dyDescent="0.35">
      <c r="A3705" s="9">
        <f t="shared" si="196"/>
        <v>3704</v>
      </c>
      <c r="B3705" t="s">
        <v>759</v>
      </c>
      <c r="C3705" s="109">
        <f>IF(ISBLANK(K3705),IFERROR(VLOOKUP(I3705,FS_input_data!$C$458:$N$648,Export!J3705,FALSE),""),K3705)</f>
        <v>236</v>
      </c>
      <c r="D3705" s="6" t="b">
        <v>0</v>
      </c>
      <c r="E3705" t="s">
        <v>1561</v>
      </c>
      <c r="F3705" s="6"/>
      <c r="G3705" s="115" t="b">
        <f>VLOOKUP(I3688,FS_input_noty,J3688,FALSE)=""</f>
        <v>0</v>
      </c>
      <c r="H3705" s="6" t="s">
        <v>2189</v>
      </c>
      <c r="I3705" t="s">
        <v>1884</v>
      </c>
      <c r="J3705">
        <v>4</v>
      </c>
      <c r="L3705" s="9" t="e">
        <f t="shared" si="195"/>
        <v>#VALUE!</v>
      </c>
    </row>
    <row r="3706" spans="1:12" x14ac:dyDescent="0.35">
      <c r="A3706">
        <f t="shared" si="196"/>
        <v>3705</v>
      </c>
      <c r="B3706" t="s">
        <v>760</v>
      </c>
      <c r="C3706" s="109" t="str">
        <f>IF(ISBLANK(K3706),IFERROR(VLOOKUP(I3706,FS_input_data!$C$458:$N$648,Export!J3706,FALSE),""),K3706)</f>
        <v/>
      </c>
      <c r="D3706" s="6"/>
      <c r="E3706" t="s">
        <v>1561</v>
      </c>
      <c r="F3706" s="6"/>
      <c r="G3706" s="115" t="b">
        <f>VLOOKUP(I3688,FS_input_noty,J3688,FALSE)=""</f>
        <v>0</v>
      </c>
      <c r="H3706" s="6" t="s">
        <v>2189</v>
      </c>
      <c r="I3706" t="s">
        <v>1561</v>
      </c>
      <c r="J3706" t="s">
        <v>1561</v>
      </c>
      <c r="L3706">
        <f t="shared" si="195"/>
        <v>1</v>
      </c>
    </row>
    <row r="3707" spans="1:12" x14ac:dyDescent="0.35">
      <c r="A3707" s="9">
        <f t="shared" si="196"/>
        <v>3706</v>
      </c>
      <c r="B3707" t="s">
        <v>761</v>
      </c>
      <c r="C3707" s="109" t="str">
        <f>IF(ISBLANK(K3707),IFERROR(VLOOKUP(I3707,FS_input_data!$C$458:$N$648,Export!J3707,FALSE),""),K3707)</f>
        <v>d</v>
      </c>
      <c r="D3707" s="6" t="b">
        <v>0</v>
      </c>
      <c r="E3707" t="s">
        <v>1561</v>
      </c>
      <c r="F3707" s="6"/>
      <c r="G3707" s="115" t="b">
        <f>VLOOKUP(I3688,FS_input_noty,J3688,FALSE)=""</f>
        <v>0</v>
      </c>
      <c r="H3707" s="6" t="s">
        <v>2189</v>
      </c>
      <c r="I3707" t="s">
        <v>1884</v>
      </c>
      <c r="J3707">
        <v>5</v>
      </c>
      <c r="L3707" s="9" t="e">
        <f t="shared" si="195"/>
        <v>#VALUE!</v>
      </c>
    </row>
    <row r="3708" spans="1:12" x14ac:dyDescent="0.35">
      <c r="A3708">
        <f t="shared" si="196"/>
        <v>3707</v>
      </c>
      <c r="B3708" t="s">
        <v>762</v>
      </c>
      <c r="C3708" s="109" t="str">
        <f>IF(ISBLANK(K3708),IFERROR(VLOOKUP(I3708,FS_input_data!$C$458:$N$648,Export!J3708,FALSE),""),K3708)</f>
        <v/>
      </c>
      <c r="D3708" s="6"/>
      <c r="E3708" t="s">
        <v>1561</v>
      </c>
      <c r="F3708" s="6"/>
      <c r="G3708" s="115" t="b">
        <f>VLOOKUP(I3688,FS_input_noty,J3688,FALSE)=""</f>
        <v>0</v>
      </c>
      <c r="H3708" s="6" t="s">
        <v>2189</v>
      </c>
      <c r="I3708" t="s">
        <v>1561</v>
      </c>
      <c r="J3708" t="s">
        <v>1561</v>
      </c>
      <c r="L3708">
        <f t="shared" si="195"/>
        <v>1</v>
      </c>
    </row>
    <row r="3709" spans="1:12" x14ac:dyDescent="0.35">
      <c r="A3709">
        <f t="shared" si="196"/>
        <v>3708</v>
      </c>
      <c r="B3709" t="s">
        <v>763</v>
      </c>
      <c r="C3709" s="109" t="str">
        <f>IF(ISBLANK(K3709),IFERROR(VLOOKUP(I3709,FS_input_data!$C$458:$N$648,Export!J3709,FALSE),""),K3709)</f>
        <v/>
      </c>
      <c r="D3709" s="6"/>
      <c r="E3709" t="s">
        <v>1561</v>
      </c>
      <c r="F3709" s="6"/>
      <c r="G3709" s="115" t="b">
        <f>VLOOKUP(I3688,FS_input_noty,J3688,FALSE)=""</f>
        <v>0</v>
      </c>
      <c r="H3709" s="6" t="s">
        <v>2189</v>
      </c>
      <c r="I3709" t="s">
        <v>1561</v>
      </c>
      <c r="J3709" t="s">
        <v>1561</v>
      </c>
      <c r="L3709">
        <f t="shared" si="195"/>
        <v>1</v>
      </c>
    </row>
    <row r="3710" spans="1:12" x14ac:dyDescent="0.35">
      <c r="A3710">
        <f t="shared" si="196"/>
        <v>3709</v>
      </c>
      <c r="B3710" t="s">
        <v>743</v>
      </c>
      <c r="C3710" s="109" t="str">
        <f>IF(ISBLANK(K3710),IFERROR(VLOOKUP(I3710,FS_input_data!$C$458:$N$648,Export!J3710,FALSE),""),K3710)</f>
        <v/>
      </c>
      <c r="D3710" s="6"/>
      <c r="E3710" t="s">
        <v>1561</v>
      </c>
      <c r="F3710" s="6"/>
      <c r="G3710" s="115" t="b">
        <f>VLOOKUP(I3688,FS_input_noty,J3688,FALSE)=""</f>
        <v>0</v>
      </c>
      <c r="H3710" s="6" t="s">
        <v>2189</v>
      </c>
      <c r="I3710" t="s">
        <v>1561</v>
      </c>
      <c r="J3710" t="s">
        <v>1561</v>
      </c>
      <c r="L3710">
        <f t="shared" si="195"/>
        <v>1</v>
      </c>
    </row>
    <row r="3711" spans="1:12" x14ac:dyDescent="0.35">
      <c r="A3711">
        <f t="shared" si="196"/>
        <v>3710</v>
      </c>
      <c r="B3711" t="s">
        <v>744</v>
      </c>
      <c r="C3711" s="109" t="str">
        <f>IF(ISBLANK(K3711),IFERROR(VLOOKUP(I3711,FS_input_data!$C$458:$N$648,Export!J3711,FALSE),""),K3711)</f>
        <v/>
      </c>
      <c r="D3711" s="6"/>
      <c r="E3711" t="s">
        <v>1561</v>
      </c>
      <c r="F3711" s="6"/>
      <c r="G3711" s="115" t="b">
        <f t="shared" ref="G3711:G3718" si="198">RP_tax</f>
        <v>1</v>
      </c>
      <c r="H3711" s="6" t="s">
        <v>2189</v>
      </c>
      <c r="I3711" t="s">
        <v>1561</v>
      </c>
      <c r="J3711" t="s">
        <v>1561</v>
      </c>
      <c r="L3711" s="9" t="e">
        <f t="shared" si="195"/>
        <v>#VALUE!</v>
      </c>
    </row>
    <row r="3712" spans="1:12" x14ac:dyDescent="0.35">
      <c r="A3712" s="9">
        <f t="shared" si="196"/>
        <v>3711</v>
      </c>
      <c r="B3712" t="s">
        <v>109</v>
      </c>
      <c r="C3712" s="109">
        <f>IF(ISBLANK(K3712),IFERROR(VLOOKUP(I3712,FS_input_data!$C$458:$N$648,Export!J3712,FALSE),""),K3712)</f>
        <v>36000</v>
      </c>
      <c r="D3712" s="6" t="b">
        <v>1</v>
      </c>
      <c r="E3712" t="s">
        <v>1561</v>
      </c>
      <c r="F3712" s="6"/>
      <c r="G3712" s="115" t="b">
        <f t="shared" si="198"/>
        <v>1</v>
      </c>
      <c r="H3712" s="6" t="s">
        <v>2189</v>
      </c>
      <c r="I3712" t="s">
        <v>1884</v>
      </c>
      <c r="J3712">
        <v>10</v>
      </c>
      <c r="L3712" s="9" t="e">
        <f t="shared" si="195"/>
        <v>#VALUE!</v>
      </c>
    </row>
    <row r="3713" spans="1:12" x14ac:dyDescent="0.35">
      <c r="A3713">
        <f t="shared" si="196"/>
        <v>3712</v>
      </c>
      <c r="B3713" t="s">
        <v>110</v>
      </c>
      <c r="C3713" s="109" t="str">
        <f>IF(ISBLANK(K3713),IFERROR(VLOOKUP(I3713,FS_input_data!$C$458:$N$648,Export!J3713,FALSE),""),K3713)</f>
        <v/>
      </c>
      <c r="D3713" s="6"/>
      <c r="E3713" t="s">
        <v>1561</v>
      </c>
      <c r="F3713" s="6"/>
      <c r="G3713" s="115" t="b">
        <f t="shared" si="198"/>
        <v>1</v>
      </c>
      <c r="H3713" s="6" t="s">
        <v>2189</v>
      </c>
      <c r="I3713" t="s">
        <v>1561</v>
      </c>
      <c r="J3713" t="s">
        <v>1561</v>
      </c>
      <c r="L3713">
        <f t="shared" si="195"/>
        <v>1</v>
      </c>
    </row>
    <row r="3714" spans="1:12" x14ac:dyDescent="0.35">
      <c r="A3714" s="9">
        <f t="shared" si="196"/>
        <v>3713</v>
      </c>
      <c r="B3714" t="s">
        <v>111</v>
      </c>
      <c r="C3714" s="109">
        <f>IF(ISBLANK(K3714),IFERROR(VLOOKUP(I3714,FS_input_data!$C$458:$N$648,Export!J3714,FALSE),""),K3714)</f>
        <v>18000</v>
      </c>
      <c r="D3714" s="6" t="b">
        <v>0</v>
      </c>
      <c r="E3714" t="s">
        <v>1561</v>
      </c>
      <c r="F3714" s="6"/>
      <c r="G3714" s="115" t="b">
        <f t="shared" si="198"/>
        <v>1</v>
      </c>
      <c r="H3714" s="6" t="s">
        <v>2189</v>
      </c>
      <c r="I3714" t="s">
        <v>1884</v>
      </c>
      <c r="J3714">
        <v>11</v>
      </c>
      <c r="L3714" s="9" t="e">
        <f t="shared" ref="L3714:L3777" si="199">FIND("/",B3714)</f>
        <v>#VALUE!</v>
      </c>
    </row>
    <row r="3715" spans="1:12" x14ac:dyDescent="0.35">
      <c r="A3715">
        <f t="shared" ref="A3715:A3778" si="200">A3714+1</f>
        <v>3714</v>
      </c>
      <c r="B3715" t="s">
        <v>112</v>
      </c>
      <c r="C3715" s="109" t="str">
        <f>IF(ISBLANK(K3715),IFERROR(VLOOKUP(I3715,FS_input_data!$C$458:$N$648,Export!J3715,FALSE),""),K3715)</f>
        <v/>
      </c>
      <c r="D3715" s="6"/>
      <c r="E3715" t="s">
        <v>1561</v>
      </c>
      <c r="F3715" s="6"/>
      <c r="G3715" s="115" t="b">
        <f t="shared" si="198"/>
        <v>1</v>
      </c>
      <c r="H3715" s="6" t="s">
        <v>2189</v>
      </c>
      <c r="I3715" t="s">
        <v>1561</v>
      </c>
      <c r="J3715" t="s">
        <v>1561</v>
      </c>
      <c r="L3715">
        <f t="shared" si="199"/>
        <v>1</v>
      </c>
    </row>
    <row r="3716" spans="1:12" x14ac:dyDescent="0.35">
      <c r="A3716" s="9">
        <f t="shared" si="200"/>
        <v>3715</v>
      </c>
      <c r="B3716" t="s">
        <v>749</v>
      </c>
      <c r="C3716" s="109">
        <f>IF(ISBLANK(K3716),IFERROR(VLOOKUP(I3716,FS_input_data!$C$458:$N$648,Export!J3716,FALSE),""),K3716)</f>
        <v>18000</v>
      </c>
      <c r="D3716" s="6" t="b">
        <v>0</v>
      </c>
      <c r="E3716" t="s">
        <v>1561</v>
      </c>
      <c r="F3716" s="6"/>
      <c r="G3716" s="115" t="b">
        <f t="shared" si="198"/>
        <v>1</v>
      </c>
      <c r="H3716" s="6" t="s">
        <v>2189</v>
      </c>
      <c r="I3716" t="s">
        <v>1884</v>
      </c>
      <c r="J3716">
        <v>12</v>
      </c>
      <c r="L3716" s="9" t="e">
        <f t="shared" si="199"/>
        <v>#VALUE!</v>
      </c>
    </row>
    <row r="3717" spans="1:12" x14ac:dyDescent="0.35">
      <c r="A3717">
        <f t="shared" si="200"/>
        <v>3716</v>
      </c>
      <c r="B3717" t="s">
        <v>750</v>
      </c>
      <c r="C3717" s="109" t="str">
        <f>IF(ISBLANK(K3717),IFERROR(VLOOKUP(I3717,FS_input_data!$C$458:$N$648,Export!J3717,FALSE),""),K3717)</f>
        <v/>
      </c>
      <c r="D3717" s="6"/>
      <c r="E3717" t="s">
        <v>1561</v>
      </c>
      <c r="F3717" s="6"/>
      <c r="G3717" s="115" t="b">
        <f t="shared" si="198"/>
        <v>1</v>
      </c>
      <c r="H3717" s="6" t="s">
        <v>2189</v>
      </c>
      <c r="I3717" t="s">
        <v>1561</v>
      </c>
      <c r="J3717" t="s">
        <v>1561</v>
      </c>
      <c r="L3717">
        <f t="shared" si="199"/>
        <v>1</v>
      </c>
    </row>
    <row r="3718" spans="1:12" x14ac:dyDescent="0.35">
      <c r="A3718">
        <f t="shared" si="200"/>
        <v>3717</v>
      </c>
      <c r="B3718" t="s">
        <v>745</v>
      </c>
      <c r="C3718" s="109" t="str">
        <f>IF(ISBLANK(K3718),IFERROR(VLOOKUP(I3718,FS_input_data!$C$458:$N$648,Export!J3718,FALSE),""),K3718)</f>
        <v/>
      </c>
      <c r="D3718" s="6"/>
      <c r="E3718" t="s">
        <v>1561</v>
      </c>
      <c r="F3718" s="6"/>
      <c r="G3718" s="115" t="b">
        <f t="shared" si="198"/>
        <v>1</v>
      </c>
      <c r="H3718" s="6" t="s">
        <v>2189</v>
      </c>
      <c r="I3718" t="s">
        <v>1561</v>
      </c>
      <c r="J3718" t="s">
        <v>1561</v>
      </c>
      <c r="L3718">
        <f t="shared" si="199"/>
        <v>1</v>
      </c>
    </row>
    <row r="3719" spans="1:12" x14ac:dyDescent="0.35">
      <c r="A3719">
        <f t="shared" si="200"/>
        <v>3718</v>
      </c>
      <c r="B3719" t="s">
        <v>764</v>
      </c>
      <c r="C3719" s="109" t="str">
        <f>IF(ISBLANK(K3719),IFERROR(VLOOKUP(I3719,FS_input_data!$C$458:$N$648,Export!J3719,FALSE),""),K3719)</f>
        <v/>
      </c>
      <c r="D3719" s="6"/>
      <c r="E3719" t="s">
        <v>1561</v>
      </c>
      <c r="F3719" s="6"/>
      <c r="G3719" s="115" t="b">
        <f>VLOOKUP(I3688,FS_input_noty,J3688,FALSE)=""</f>
        <v>0</v>
      </c>
      <c r="H3719" s="6" t="s">
        <v>2189</v>
      </c>
      <c r="I3719" t="s">
        <v>1561</v>
      </c>
      <c r="J3719" t="s">
        <v>1561</v>
      </c>
      <c r="L3719">
        <f t="shared" si="199"/>
        <v>1</v>
      </c>
    </row>
    <row r="3720" spans="1:12" x14ac:dyDescent="0.35">
      <c r="A3720">
        <f t="shared" si="200"/>
        <v>3719</v>
      </c>
      <c r="B3720" t="s">
        <v>765</v>
      </c>
      <c r="C3720" s="109" t="str">
        <f>IF(ISBLANK(K3720),IFERROR(VLOOKUP(I3720,FS_input_data!$C$458:$N$648,Export!J3720,FALSE),""),K3720)</f>
        <v/>
      </c>
      <c r="D3720" s="6"/>
      <c r="E3720" t="s">
        <v>1561</v>
      </c>
      <c r="F3720" s="6"/>
      <c r="G3720" s="115" t="b">
        <f>VLOOKUP(I3688,FS_input_noty,J3688,FALSE)=""</f>
        <v>0</v>
      </c>
      <c r="H3720" s="6" t="s">
        <v>2189</v>
      </c>
      <c r="I3720" t="s">
        <v>1561</v>
      </c>
      <c r="J3720" t="s">
        <v>1561</v>
      </c>
      <c r="L3720">
        <f t="shared" si="199"/>
        <v>1</v>
      </c>
    </row>
    <row r="3721" spans="1:12" x14ac:dyDescent="0.35">
      <c r="A3721">
        <f t="shared" si="200"/>
        <v>3720</v>
      </c>
      <c r="B3721" t="s">
        <v>752</v>
      </c>
      <c r="C3721" s="109" t="str">
        <f>IF(ISBLANK(K3721),IFERROR(VLOOKUP(I3721,FS_input_data!$C$458:$N$648,Export!J3721,FALSE),""),K3721)</f>
        <v/>
      </c>
      <c r="D3721" s="6"/>
      <c r="E3721" t="s">
        <v>1561</v>
      </c>
      <c r="F3721" s="6"/>
      <c r="G3721" s="115" t="b">
        <f>VLOOKUP(I3722,FS_input_noty,J3722,FALSE)=""</f>
        <v>0</v>
      </c>
      <c r="H3721" s="6" t="s">
        <v>2189</v>
      </c>
      <c r="I3721" t="s">
        <v>1561</v>
      </c>
      <c r="J3721" t="s">
        <v>1561</v>
      </c>
      <c r="L3721" s="9" t="e">
        <f t="shared" si="199"/>
        <v>#VALUE!</v>
      </c>
    </row>
    <row r="3722" spans="1:12" x14ac:dyDescent="0.35">
      <c r="A3722" s="9">
        <f t="shared" si="200"/>
        <v>3721</v>
      </c>
      <c r="B3722" t="s">
        <v>101</v>
      </c>
      <c r="C3722" s="109" t="str">
        <f>IF(ISBLANK(K3722),IFERROR(VLOOKUP(I3722,FS_input_data!$C$458:$N$648,Export!J3722,FALSE),""),K3722)</f>
        <v>OC15</v>
      </c>
      <c r="D3722" s="6" t="b">
        <v>1</v>
      </c>
      <c r="E3722" t="s">
        <v>1561</v>
      </c>
      <c r="F3722" s="6"/>
      <c r="G3722" s="115" t="b">
        <f>VLOOKUP(I3722,FS_input_noty,J3722,FALSE)=""</f>
        <v>0</v>
      </c>
      <c r="H3722" s="6" t="s">
        <v>2189</v>
      </c>
      <c r="I3722" t="s">
        <v>1886</v>
      </c>
      <c r="J3722">
        <v>6</v>
      </c>
      <c r="L3722" s="9" t="e">
        <f t="shared" si="199"/>
        <v>#VALUE!</v>
      </c>
    </row>
    <row r="3723" spans="1:12" x14ac:dyDescent="0.35">
      <c r="A3723">
        <f t="shared" si="200"/>
        <v>3722</v>
      </c>
      <c r="B3723" t="s">
        <v>102</v>
      </c>
      <c r="C3723" s="109" t="str">
        <f>IF(ISBLANK(K3723),IFERROR(VLOOKUP(I3723,FS_input_data!$C$458:$N$648,Export!J3723,FALSE),""),K3723)</f>
        <v/>
      </c>
      <c r="D3723" s="6"/>
      <c r="E3723" t="s">
        <v>1561</v>
      </c>
      <c r="F3723" s="6"/>
      <c r="G3723" s="115" t="b">
        <f>VLOOKUP(I3722,FS_input_noty,J3722,FALSE)=""</f>
        <v>0</v>
      </c>
      <c r="H3723" s="6" t="s">
        <v>2189</v>
      </c>
      <c r="I3723" t="s">
        <v>1561</v>
      </c>
      <c r="J3723" t="s">
        <v>1561</v>
      </c>
      <c r="L3723">
        <f t="shared" si="199"/>
        <v>1</v>
      </c>
    </row>
    <row r="3724" spans="1:12" x14ac:dyDescent="0.35">
      <c r="A3724">
        <f t="shared" si="200"/>
        <v>3723</v>
      </c>
      <c r="B3724" t="s">
        <v>753</v>
      </c>
      <c r="C3724" s="109" t="str">
        <f>IF(ISBLANK(K3724),IFERROR(VLOOKUP(I3724,FS_input_data!$C$458:$N$648,Export!J3724,FALSE),""),K3724)</f>
        <v/>
      </c>
      <c r="D3724" s="6"/>
      <c r="E3724" t="s">
        <v>1561</v>
      </c>
      <c r="F3724" s="6"/>
      <c r="G3724" s="115" t="b">
        <f>VLOOKUP(I3722,FS_input_noty,J3722,FALSE)=""</f>
        <v>0</v>
      </c>
      <c r="H3724" s="6" t="s">
        <v>2189</v>
      </c>
      <c r="I3724" t="s">
        <v>1561</v>
      </c>
      <c r="J3724" t="s">
        <v>1561</v>
      </c>
      <c r="L3724" s="9" t="e">
        <f t="shared" si="199"/>
        <v>#VALUE!</v>
      </c>
    </row>
    <row r="3725" spans="1:12" x14ac:dyDescent="0.35">
      <c r="A3725">
        <f t="shared" si="200"/>
        <v>3724</v>
      </c>
      <c r="B3725" t="s">
        <v>742</v>
      </c>
      <c r="C3725" s="109" t="str">
        <f>IF(ISBLANK(K3725),IFERROR(VLOOKUP(I3725,FS_input_data!$C$458:$N$648,Export!J3725,FALSE),""),K3725)</f>
        <v/>
      </c>
      <c r="D3725" s="6"/>
      <c r="E3725" t="s">
        <v>1561</v>
      </c>
      <c r="F3725" s="6"/>
      <c r="G3725" s="115" t="b">
        <f>VLOOKUP(I3722,FS_input_noty,J3722,FALSE)=""</f>
        <v>0</v>
      </c>
      <c r="H3725" s="6" t="s">
        <v>2189</v>
      </c>
      <c r="I3725" t="s">
        <v>1561</v>
      </c>
      <c r="J3725" t="s">
        <v>1561</v>
      </c>
      <c r="L3725" s="9" t="e">
        <f t="shared" si="199"/>
        <v>#VALUE!</v>
      </c>
    </row>
    <row r="3726" spans="1:12" x14ac:dyDescent="0.35">
      <c r="A3726">
        <f t="shared" si="200"/>
        <v>3725</v>
      </c>
      <c r="B3726" t="s">
        <v>748</v>
      </c>
      <c r="C3726" s="109" t="str">
        <f>IF(ISBLANK(K3726),IFERROR(VLOOKUP(I3726,FS_input_data!$C$458:$N$648,Export!J3726,FALSE),""),K3726)</f>
        <v/>
      </c>
      <c r="D3726" s="6"/>
      <c r="E3726" t="s">
        <v>1561</v>
      </c>
      <c r="F3726" s="6"/>
      <c r="G3726" s="115" t="b">
        <f>VLOOKUP(I3722,FS_input_noty,J3722,FALSE)=""</f>
        <v>0</v>
      </c>
      <c r="H3726" s="6" t="s">
        <v>2189</v>
      </c>
      <c r="I3726" t="s">
        <v>1561</v>
      </c>
      <c r="J3726" t="s">
        <v>1561</v>
      </c>
      <c r="L3726" s="9" t="e">
        <f t="shared" si="199"/>
        <v>#VALUE!</v>
      </c>
    </row>
    <row r="3727" spans="1:12" x14ac:dyDescent="0.35">
      <c r="A3727" s="9">
        <f t="shared" si="200"/>
        <v>3726</v>
      </c>
      <c r="B3727" t="s">
        <v>109</v>
      </c>
      <c r="C3727" s="109">
        <f>IF(ISBLANK(K3727),IFERROR(VLOOKUP(I3727,FS_input_data!$C$458:$N$648,Export!J3727,FALSE),""),K3727)</f>
        <v>37000</v>
      </c>
      <c r="D3727" s="6" t="b">
        <v>1</v>
      </c>
      <c r="E3727" t="s">
        <v>1561</v>
      </c>
      <c r="F3727" s="6"/>
      <c r="G3727" s="115" t="b">
        <f>VLOOKUP(I3722,FS_input_noty,J3722,FALSE)=""</f>
        <v>0</v>
      </c>
      <c r="H3727" s="6" t="s">
        <v>2189</v>
      </c>
      <c r="I3727" t="s">
        <v>1886</v>
      </c>
      <c r="J3727">
        <v>7</v>
      </c>
      <c r="L3727" s="9" t="e">
        <f t="shared" si="199"/>
        <v>#VALUE!</v>
      </c>
    </row>
    <row r="3728" spans="1:12" x14ac:dyDescent="0.35">
      <c r="A3728">
        <f t="shared" si="200"/>
        <v>3727</v>
      </c>
      <c r="B3728" t="s">
        <v>110</v>
      </c>
      <c r="C3728" s="109" t="str">
        <f>IF(ISBLANK(K3728),IFERROR(VLOOKUP(I3728,FS_input_data!$C$458:$N$648,Export!J3728,FALSE),""),K3728)</f>
        <v/>
      </c>
      <c r="D3728" s="6"/>
      <c r="E3728" t="s">
        <v>1561</v>
      </c>
      <c r="F3728" s="6"/>
      <c r="G3728" s="115" t="b">
        <f>VLOOKUP(I3722,FS_input_noty,J3722,FALSE)=""</f>
        <v>0</v>
      </c>
      <c r="H3728" s="6" t="s">
        <v>2189</v>
      </c>
      <c r="I3728" t="s">
        <v>1561</v>
      </c>
      <c r="J3728" t="s">
        <v>1561</v>
      </c>
      <c r="L3728">
        <f t="shared" si="199"/>
        <v>1</v>
      </c>
    </row>
    <row r="3729" spans="1:12" x14ac:dyDescent="0.35">
      <c r="A3729" s="9">
        <f t="shared" si="200"/>
        <v>3728</v>
      </c>
      <c r="B3729" t="s">
        <v>111</v>
      </c>
      <c r="C3729" s="109">
        <f>IF(ISBLANK(K3729),IFERROR(VLOOKUP(I3729,FS_input_data!$C$458:$N$648,Export!J3729,FALSE),""),K3729)</f>
        <v>18500</v>
      </c>
      <c r="D3729" s="6" t="b">
        <v>0</v>
      </c>
      <c r="E3729" t="s">
        <v>1561</v>
      </c>
      <c r="F3729" s="6"/>
      <c r="G3729" s="115" t="b">
        <f>VLOOKUP(I3722,FS_input_noty,J3722,TRUE)=""</f>
        <v>0</v>
      </c>
      <c r="H3729" s="6" t="s">
        <v>2189</v>
      </c>
      <c r="I3729" t="s">
        <v>1886</v>
      </c>
      <c r="J3729">
        <v>8</v>
      </c>
      <c r="L3729" s="9" t="e">
        <f t="shared" si="199"/>
        <v>#VALUE!</v>
      </c>
    </row>
    <row r="3730" spans="1:12" x14ac:dyDescent="0.35">
      <c r="A3730">
        <f t="shared" si="200"/>
        <v>3729</v>
      </c>
      <c r="B3730" t="s">
        <v>112</v>
      </c>
      <c r="C3730" s="109" t="str">
        <f>IF(ISBLANK(K3730),IFERROR(VLOOKUP(I3730,FS_input_data!$C$458:$N$648,Export!J3730,FALSE),""),K3730)</f>
        <v/>
      </c>
      <c r="D3730" s="6"/>
      <c r="E3730" t="s">
        <v>1561</v>
      </c>
      <c r="F3730" s="6"/>
      <c r="G3730" s="116" t="b">
        <f>VLOOKUP(I3722,FS_input_noty,J3722,FALSE)=""</f>
        <v>0</v>
      </c>
      <c r="H3730" s="6" t="s">
        <v>2189</v>
      </c>
      <c r="I3730" t="s">
        <v>1561</v>
      </c>
      <c r="J3730" t="s">
        <v>1561</v>
      </c>
      <c r="L3730">
        <f t="shared" si="199"/>
        <v>1</v>
      </c>
    </row>
    <row r="3731" spans="1:12" x14ac:dyDescent="0.35">
      <c r="A3731" s="9">
        <f t="shared" si="200"/>
        <v>3730</v>
      </c>
      <c r="B3731" t="s">
        <v>749</v>
      </c>
      <c r="C3731" s="109">
        <f>IF(ISBLANK(K3731),IFERROR(VLOOKUP(I3731,FS_input_data!$C$458:$N$648,Export!J3731,FALSE),""),K3731)</f>
        <v>18500</v>
      </c>
      <c r="D3731" s="6" t="b">
        <v>0</v>
      </c>
      <c r="E3731" t="s">
        <v>1561</v>
      </c>
      <c r="F3731" s="6"/>
      <c r="G3731" s="116" t="b">
        <f>VLOOKUP(I3722,FS_input_noty,J3722,FALSE)=""</f>
        <v>0</v>
      </c>
      <c r="H3731" s="6" t="s">
        <v>2189</v>
      </c>
      <c r="I3731" t="s">
        <v>1886</v>
      </c>
      <c r="J3731">
        <v>9</v>
      </c>
      <c r="L3731" s="9" t="e">
        <f t="shared" si="199"/>
        <v>#VALUE!</v>
      </c>
    </row>
    <row r="3732" spans="1:12" x14ac:dyDescent="0.35">
      <c r="A3732">
        <f t="shared" si="200"/>
        <v>3731</v>
      </c>
      <c r="B3732" t="s">
        <v>750</v>
      </c>
      <c r="C3732" s="109" t="str">
        <f>IF(ISBLANK(K3732),IFERROR(VLOOKUP(I3732,FS_input_data!$C$458:$N$648,Export!J3732,FALSE),""),K3732)</f>
        <v/>
      </c>
      <c r="D3732" s="6"/>
      <c r="E3732" t="s">
        <v>1561</v>
      </c>
      <c r="F3732" s="6"/>
      <c r="G3732" s="116" t="b">
        <f>VLOOKUP(I3722,FS_input_noty,J3722,FALSE)=""</f>
        <v>0</v>
      </c>
      <c r="H3732" s="6" t="s">
        <v>2189</v>
      </c>
      <c r="I3732" t="s">
        <v>1561</v>
      </c>
      <c r="J3732" t="s">
        <v>1561</v>
      </c>
      <c r="L3732">
        <f t="shared" si="199"/>
        <v>1</v>
      </c>
    </row>
    <row r="3733" spans="1:12" x14ac:dyDescent="0.35">
      <c r="A3733">
        <f t="shared" si="200"/>
        <v>3732</v>
      </c>
      <c r="B3733" t="s">
        <v>751</v>
      </c>
      <c r="C3733" s="109" t="str">
        <f>IF(ISBLANK(K3733),IFERROR(VLOOKUP(I3733,FS_input_data!$C$458:$N$648,Export!J3733,FALSE),""),K3733)</f>
        <v/>
      </c>
      <c r="D3733" s="6"/>
      <c r="E3733" t="s">
        <v>1561</v>
      </c>
      <c r="F3733" s="6"/>
      <c r="G3733" s="116" t="b">
        <f>VLOOKUP(I3722,FS_input_noty,J3722,FALSE)=""</f>
        <v>0</v>
      </c>
      <c r="H3733" s="6" t="s">
        <v>2189</v>
      </c>
      <c r="I3733" t="s">
        <v>1561</v>
      </c>
      <c r="J3733" t="s">
        <v>1561</v>
      </c>
      <c r="L3733">
        <f t="shared" si="199"/>
        <v>1</v>
      </c>
    </row>
    <row r="3734" spans="1:12" x14ac:dyDescent="0.35">
      <c r="A3734">
        <f t="shared" si="200"/>
        <v>3733</v>
      </c>
      <c r="B3734" t="s">
        <v>754</v>
      </c>
      <c r="C3734" s="109" t="str">
        <f>IF(ISBLANK(K3734),IFERROR(VLOOKUP(I3734,FS_input_data!$C$458:$N$648,Export!J3734,FALSE),""),K3734)</f>
        <v/>
      </c>
      <c r="D3734" s="6"/>
      <c r="E3734" t="s">
        <v>1561</v>
      </c>
      <c r="F3734" s="6"/>
      <c r="G3734" s="116" t="b">
        <f>VLOOKUP(I3722,FS_input_noty,J3722,FALSE)=""</f>
        <v>0</v>
      </c>
      <c r="H3734" s="6" t="s">
        <v>2189</v>
      </c>
      <c r="I3734" t="s">
        <v>1561</v>
      </c>
      <c r="J3734" t="s">
        <v>1561</v>
      </c>
      <c r="L3734" s="9" t="e">
        <f t="shared" si="199"/>
        <v>#VALUE!</v>
      </c>
    </row>
    <row r="3735" spans="1:12" x14ac:dyDescent="0.35">
      <c r="A3735" s="9">
        <f t="shared" si="200"/>
        <v>3734</v>
      </c>
      <c r="B3735" t="s">
        <v>755</v>
      </c>
      <c r="C3735" s="109">
        <f>IF(ISBLANK(K3735),IFERROR(VLOOKUP(I3735,FS_input_data!$C$458:$N$648,Export!J3735,FALSE),""),K3735)</f>
        <v>37</v>
      </c>
      <c r="D3735" s="6" t="b">
        <v>1</v>
      </c>
      <c r="E3735" t="s">
        <v>1561</v>
      </c>
      <c r="F3735" s="6"/>
      <c r="G3735" s="116" t="b">
        <f>VLOOKUP(I3722,FS_input_noty,J3722,FALSE)=""</f>
        <v>0</v>
      </c>
      <c r="H3735" s="6" t="s">
        <v>2189</v>
      </c>
      <c r="I3735" t="s">
        <v>1886</v>
      </c>
      <c r="J3735">
        <v>2</v>
      </c>
      <c r="L3735" s="9" t="e">
        <f t="shared" si="199"/>
        <v>#VALUE!</v>
      </c>
    </row>
    <row r="3736" spans="1:12" x14ac:dyDescent="0.35">
      <c r="A3736">
        <f t="shared" si="200"/>
        <v>3735</v>
      </c>
      <c r="B3736" t="s">
        <v>756</v>
      </c>
      <c r="C3736" s="109" t="str">
        <f>IF(ISBLANK(K3736),IFERROR(VLOOKUP(I3736,FS_input_data!$C$458:$N$648,Export!J3736,FALSE),""),K3736)</f>
        <v/>
      </c>
      <c r="D3736" s="6"/>
      <c r="E3736" t="s">
        <v>1561</v>
      </c>
      <c r="F3736" s="6"/>
      <c r="G3736" s="116" t="b">
        <f>VLOOKUP(I3722,FS_input_noty,J3722,FALSE)=""</f>
        <v>0</v>
      </c>
      <c r="H3736" s="6" t="s">
        <v>2189</v>
      </c>
      <c r="I3736" t="s">
        <v>1561</v>
      </c>
      <c r="J3736" t="s">
        <v>1561</v>
      </c>
      <c r="L3736">
        <f t="shared" si="199"/>
        <v>1</v>
      </c>
    </row>
    <row r="3737" spans="1:12" x14ac:dyDescent="0.35">
      <c r="A3737" s="9">
        <f t="shared" si="200"/>
        <v>3736</v>
      </c>
      <c r="B3737" t="s">
        <v>757</v>
      </c>
      <c r="C3737" s="109">
        <f>IF(ISBLANK(K3737),IFERROR(VLOOKUP(I3737,FS_input_data!$C$458:$N$648,Export!J3737,FALSE),""),K3737)</f>
        <v>137</v>
      </c>
      <c r="D3737" s="6" t="b">
        <v>0</v>
      </c>
      <c r="E3737" t="s">
        <v>1561</v>
      </c>
      <c r="F3737" s="6"/>
      <c r="G3737" s="116" t="b">
        <f>VLOOKUP(I3722,FS_input_noty,J3722,FALSE)=""</f>
        <v>0</v>
      </c>
      <c r="H3737" s="6" t="s">
        <v>2189</v>
      </c>
      <c r="I3737" t="s">
        <v>1886</v>
      </c>
      <c r="J3737">
        <v>3</v>
      </c>
      <c r="L3737" s="9" t="e">
        <f t="shared" si="199"/>
        <v>#VALUE!</v>
      </c>
    </row>
    <row r="3738" spans="1:12" x14ac:dyDescent="0.35">
      <c r="A3738">
        <f t="shared" si="200"/>
        <v>3737</v>
      </c>
      <c r="B3738" t="s">
        <v>758</v>
      </c>
      <c r="C3738" s="109" t="str">
        <f>IF(ISBLANK(K3738),IFERROR(VLOOKUP(I3738,FS_input_data!$C$458:$N$648,Export!J3738,FALSE),""),K3738)</f>
        <v/>
      </c>
      <c r="D3738" s="6"/>
      <c r="E3738" t="s">
        <v>1561</v>
      </c>
      <c r="F3738" s="6"/>
      <c r="G3738" s="115" t="b">
        <f>VLOOKUP(I3722,FS_input_noty,J3722,FALSE)=""</f>
        <v>0</v>
      </c>
      <c r="H3738" s="6" t="s">
        <v>2189</v>
      </c>
      <c r="I3738" t="s">
        <v>1561</v>
      </c>
      <c r="J3738" t="s">
        <v>1561</v>
      </c>
      <c r="L3738">
        <f t="shared" si="199"/>
        <v>1</v>
      </c>
    </row>
    <row r="3739" spans="1:12" x14ac:dyDescent="0.35">
      <c r="A3739" s="9">
        <f t="shared" si="200"/>
        <v>3738</v>
      </c>
      <c r="B3739" t="s">
        <v>759</v>
      </c>
      <c r="C3739" s="109">
        <f>IF(ISBLANK(K3739),IFERROR(VLOOKUP(I3739,FS_input_data!$C$458:$N$648,Export!J3739,FALSE),""),K3739)</f>
        <v>237</v>
      </c>
      <c r="D3739" s="6" t="b">
        <v>0</v>
      </c>
      <c r="E3739" t="s">
        <v>1561</v>
      </c>
      <c r="F3739" s="6"/>
      <c r="G3739" s="115" t="b">
        <f>VLOOKUP(I3722,FS_input_noty,J3722,FALSE)=""</f>
        <v>0</v>
      </c>
      <c r="H3739" s="6" t="s">
        <v>2189</v>
      </c>
      <c r="I3739" t="s">
        <v>1886</v>
      </c>
      <c r="J3739">
        <v>4</v>
      </c>
      <c r="L3739" s="9" t="e">
        <f t="shared" si="199"/>
        <v>#VALUE!</v>
      </c>
    </row>
    <row r="3740" spans="1:12" x14ac:dyDescent="0.35">
      <c r="A3740">
        <f t="shared" si="200"/>
        <v>3739</v>
      </c>
      <c r="B3740" t="s">
        <v>760</v>
      </c>
      <c r="C3740" s="109" t="str">
        <f>IF(ISBLANK(K3740),IFERROR(VLOOKUP(I3740,FS_input_data!$C$458:$N$648,Export!J3740,FALSE),""),K3740)</f>
        <v/>
      </c>
      <c r="D3740" s="6"/>
      <c r="E3740" t="s">
        <v>1561</v>
      </c>
      <c r="F3740" s="6"/>
      <c r="G3740" s="115" t="b">
        <f>VLOOKUP(I3722,FS_input_noty,J3722,FALSE)=""</f>
        <v>0</v>
      </c>
      <c r="H3740" s="6" t="s">
        <v>2189</v>
      </c>
      <c r="I3740" t="s">
        <v>1561</v>
      </c>
      <c r="J3740" t="s">
        <v>1561</v>
      </c>
      <c r="L3740">
        <f t="shared" si="199"/>
        <v>1</v>
      </c>
    </row>
    <row r="3741" spans="1:12" x14ac:dyDescent="0.35">
      <c r="A3741" s="9">
        <f t="shared" si="200"/>
        <v>3740</v>
      </c>
      <c r="B3741" t="s">
        <v>761</v>
      </c>
      <c r="C3741" s="109" t="str">
        <f>IF(ISBLANK(K3741),IFERROR(VLOOKUP(I3741,FS_input_data!$C$458:$N$648,Export!J3741,FALSE),""),K3741)</f>
        <v>e</v>
      </c>
      <c r="D3741" s="6" t="b">
        <v>0</v>
      </c>
      <c r="E3741" t="s">
        <v>1561</v>
      </c>
      <c r="F3741" s="6"/>
      <c r="G3741" s="115" t="b">
        <f>VLOOKUP(I3722,FS_input_noty,J3722,FALSE)=""</f>
        <v>0</v>
      </c>
      <c r="H3741" s="6" t="s">
        <v>2189</v>
      </c>
      <c r="I3741" t="s">
        <v>1886</v>
      </c>
      <c r="J3741">
        <v>5</v>
      </c>
      <c r="L3741" s="9" t="e">
        <f t="shared" si="199"/>
        <v>#VALUE!</v>
      </c>
    </row>
    <row r="3742" spans="1:12" x14ac:dyDescent="0.35">
      <c r="A3742">
        <f t="shared" si="200"/>
        <v>3741</v>
      </c>
      <c r="B3742" t="s">
        <v>762</v>
      </c>
      <c r="C3742" s="109" t="str">
        <f>IF(ISBLANK(K3742),IFERROR(VLOOKUP(I3742,FS_input_data!$C$458:$N$648,Export!J3742,FALSE),""),K3742)</f>
        <v/>
      </c>
      <c r="D3742" s="6"/>
      <c r="E3742" t="s">
        <v>1561</v>
      </c>
      <c r="F3742" s="6"/>
      <c r="G3742" s="115" t="b">
        <f>VLOOKUP(I3722,FS_input_noty,J3722,FALSE)=""</f>
        <v>0</v>
      </c>
      <c r="H3742" s="6" t="s">
        <v>2189</v>
      </c>
      <c r="I3742" t="s">
        <v>1561</v>
      </c>
      <c r="J3742" t="s">
        <v>1561</v>
      </c>
      <c r="L3742">
        <f t="shared" si="199"/>
        <v>1</v>
      </c>
    </row>
    <row r="3743" spans="1:12" x14ac:dyDescent="0.35">
      <c r="A3743">
        <f t="shared" si="200"/>
        <v>3742</v>
      </c>
      <c r="B3743" t="s">
        <v>763</v>
      </c>
      <c r="C3743" s="109" t="str">
        <f>IF(ISBLANK(K3743),IFERROR(VLOOKUP(I3743,FS_input_data!$C$458:$N$648,Export!J3743,FALSE),""),K3743)</f>
        <v/>
      </c>
      <c r="D3743" s="6"/>
      <c r="E3743" t="s">
        <v>1561</v>
      </c>
      <c r="F3743" s="6"/>
      <c r="G3743" s="115" t="b">
        <f>VLOOKUP(I3722,FS_input_noty,J3722,FALSE)=""</f>
        <v>0</v>
      </c>
      <c r="H3743" s="6" t="s">
        <v>2189</v>
      </c>
      <c r="I3743" t="s">
        <v>1561</v>
      </c>
      <c r="J3743" t="s">
        <v>1561</v>
      </c>
      <c r="L3743">
        <f t="shared" si="199"/>
        <v>1</v>
      </c>
    </row>
    <row r="3744" spans="1:12" x14ac:dyDescent="0.35">
      <c r="A3744">
        <f t="shared" si="200"/>
        <v>3743</v>
      </c>
      <c r="B3744" t="s">
        <v>743</v>
      </c>
      <c r="C3744" s="109" t="str">
        <f>IF(ISBLANK(K3744),IFERROR(VLOOKUP(I3744,FS_input_data!$C$458:$N$648,Export!J3744,FALSE),""),K3744)</f>
        <v/>
      </c>
      <c r="D3744" s="6"/>
      <c r="E3744" t="s">
        <v>1561</v>
      </c>
      <c r="F3744" s="6"/>
      <c r="G3744" s="115" t="b">
        <f>VLOOKUP(I3722,FS_input_noty,J3722,FALSE)=""</f>
        <v>0</v>
      </c>
      <c r="H3744" s="6" t="s">
        <v>2189</v>
      </c>
      <c r="I3744" t="s">
        <v>1561</v>
      </c>
      <c r="J3744" t="s">
        <v>1561</v>
      </c>
      <c r="L3744">
        <f t="shared" si="199"/>
        <v>1</v>
      </c>
    </row>
    <row r="3745" spans="1:12" x14ac:dyDescent="0.35">
      <c r="A3745">
        <f t="shared" si="200"/>
        <v>3744</v>
      </c>
      <c r="B3745" t="s">
        <v>744</v>
      </c>
      <c r="C3745" s="109" t="str">
        <f>IF(ISBLANK(K3745),IFERROR(VLOOKUP(I3745,FS_input_data!$C$458:$N$648,Export!J3745,FALSE),""),K3745)</f>
        <v/>
      </c>
      <c r="D3745" s="6"/>
      <c r="E3745" t="s">
        <v>1561</v>
      </c>
      <c r="F3745" s="6"/>
      <c r="G3745" s="115" t="b">
        <f t="shared" ref="G3745:G3752" si="201">RP_tax</f>
        <v>1</v>
      </c>
      <c r="H3745" s="6" t="s">
        <v>2189</v>
      </c>
      <c r="I3745" t="s">
        <v>1561</v>
      </c>
      <c r="J3745" t="s">
        <v>1561</v>
      </c>
      <c r="L3745" s="9" t="e">
        <f t="shared" si="199"/>
        <v>#VALUE!</v>
      </c>
    </row>
    <row r="3746" spans="1:12" x14ac:dyDescent="0.35">
      <c r="A3746" s="9">
        <f t="shared" si="200"/>
        <v>3745</v>
      </c>
      <c r="B3746" t="s">
        <v>109</v>
      </c>
      <c r="C3746" s="109">
        <f>IF(ISBLANK(K3746),IFERROR(VLOOKUP(I3746,FS_input_data!$C$458:$N$648,Export!J3746,FALSE),""),K3746)</f>
        <v>37000</v>
      </c>
      <c r="D3746" s="6" t="b">
        <v>1</v>
      </c>
      <c r="E3746" t="s">
        <v>1561</v>
      </c>
      <c r="F3746" s="6"/>
      <c r="G3746" s="115" t="b">
        <f t="shared" si="201"/>
        <v>1</v>
      </c>
      <c r="H3746" s="6" t="s">
        <v>2189</v>
      </c>
      <c r="I3746" t="s">
        <v>1886</v>
      </c>
      <c r="J3746">
        <v>10</v>
      </c>
      <c r="L3746" s="9" t="e">
        <f t="shared" si="199"/>
        <v>#VALUE!</v>
      </c>
    </row>
    <row r="3747" spans="1:12" x14ac:dyDescent="0.35">
      <c r="A3747">
        <f t="shared" si="200"/>
        <v>3746</v>
      </c>
      <c r="B3747" t="s">
        <v>110</v>
      </c>
      <c r="C3747" s="109" t="str">
        <f>IF(ISBLANK(K3747),IFERROR(VLOOKUP(I3747,FS_input_data!$C$458:$N$648,Export!J3747,FALSE),""),K3747)</f>
        <v/>
      </c>
      <c r="D3747" s="6"/>
      <c r="E3747" t="s">
        <v>1561</v>
      </c>
      <c r="F3747" s="6"/>
      <c r="G3747" s="115" t="b">
        <f t="shared" si="201"/>
        <v>1</v>
      </c>
      <c r="H3747" s="6" t="s">
        <v>2189</v>
      </c>
      <c r="I3747" t="s">
        <v>1561</v>
      </c>
      <c r="J3747" t="s">
        <v>1561</v>
      </c>
      <c r="L3747">
        <f t="shared" si="199"/>
        <v>1</v>
      </c>
    </row>
    <row r="3748" spans="1:12" x14ac:dyDescent="0.35">
      <c r="A3748" s="9">
        <f t="shared" si="200"/>
        <v>3747</v>
      </c>
      <c r="B3748" t="s">
        <v>111</v>
      </c>
      <c r="C3748" s="109">
        <f>IF(ISBLANK(K3748),IFERROR(VLOOKUP(I3748,FS_input_data!$C$458:$N$648,Export!J3748,FALSE),""),K3748)</f>
        <v>18500</v>
      </c>
      <c r="D3748" s="6" t="b">
        <v>0</v>
      </c>
      <c r="E3748" t="s">
        <v>1561</v>
      </c>
      <c r="F3748" s="6"/>
      <c r="G3748" s="115" t="b">
        <f t="shared" si="201"/>
        <v>1</v>
      </c>
      <c r="H3748" s="6" t="s">
        <v>2189</v>
      </c>
      <c r="I3748" t="s">
        <v>1886</v>
      </c>
      <c r="J3748">
        <v>11</v>
      </c>
      <c r="L3748" s="9" t="e">
        <f t="shared" si="199"/>
        <v>#VALUE!</v>
      </c>
    </row>
    <row r="3749" spans="1:12" x14ac:dyDescent="0.35">
      <c r="A3749">
        <f t="shared" si="200"/>
        <v>3748</v>
      </c>
      <c r="B3749" t="s">
        <v>112</v>
      </c>
      <c r="C3749" s="109" t="str">
        <f>IF(ISBLANK(K3749),IFERROR(VLOOKUP(I3749,FS_input_data!$C$458:$N$648,Export!J3749,FALSE),""),K3749)</f>
        <v/>
      </c>
      <c r="D3749" s="6"/>
      <c r="E3749" t="s">
        <v>1561</v>
      </c>
      <c r="F3749" s="6"/>
      <c r="G3749" s="115" t="b">
        <f t="shared" si="201"/>
        <v>1</v>
      </c>
      <c r="H3749" s="6" t="s">
        <v>2189</v>
      </c>
      <c r="I3749" t="s">
        <v>1561</v>
      </c>
      <c r="J3749" t="s">
        <v>1561</v>
      </c>
      <c r="L3749">
        <f t="shared" si="199"/>
        <v>1</v>
      </c>
    </row>
    <row r="3750" spans="1:12" x14ac:dyDescent="0.35">
      <c r="A3750" s="9">
        <f t="shared" si="200"/>
        <v>3749</v>
      </c>
      <c r="B3750" t="s">
        <v>749</v>
      </c>
      <c r="C3750" s="109">
        <f>IF(ISBLANK(K3750),IFERROR(VLOOKUP(I3750,FS_input_data!$C$458:$N$648,Export!J3750,FALSE),""),K3750)</f>
        <v>18500</v>
      </c>
      <c r="D3750" s="6" t="b">
        <v>0</v>
      </c>
      <c r="E3750" t="s">
        <v>1561</v>
      </c>
      <c r="F3750" s="6"/>
      <c r="G3750" s="115" t="b">
        <f t="shared" si="201"/>
        <v>1</v>
      </c>
      <c r="H3750" s="6" t="s">
        <v>2189</v>
      </c>
      <c r="I3750" t="s">
        <v>1886</v>
      </c>
      <c r="J3750">
        <v>12</v>
      </c>
      <c r="L3750" s="9" t="e">
        <f t="shared" si="199"/>
        <v>#VALUE!</v>
      </c>
    </row>
    <row r="3751" spans="1:12" x14ac:dyDescent="0.35">
      <c r="A3751">
        <f t="shared" si="200"/>
        <v>3750</v>
      </c>
      <c r="B3751" t="s">
        <v>750</v>
      </c>
      <c r="C3751" s="109" t="str">
        <f>IF(ISBLANK(K3751),IFERROR(VLOOKUP(I3751,FS_input_data!$C$458:$N$648,Export!J3751,FALSE),""),K3751)</f>
        <v/>
      </c>
      <c r="D3751" s="6"/>
      <c r="E3751" t="s">
        <v>1561</v>
      </c>
      <c r="F3751" s="6"/>
      <c r="G3751" s="115" t="b">
        <f t="shared" si="201"/>
        <v>1</v>
      </c>
      <c r="H3751" s="6" t="s">
        <v>2189</v>
      </c>
      <c r="I3751" t="s">
        <v>1561</v>
      </c>
      <c r="J3751" t="s">
        <v>1561</v>
      </c>
      <c r="L3751">
        <f t="shared" si="199"/>
        <v>1</v>
      </c>
    </row>
    <row r="3752" spans="1:12" x14ac:dyDescent="0.35">
      <c r="A3752">
        <f t="shared" si="200"/>
        <v>3751</v>
      </c>
      <c r="B3752" t="s">
        <v>745</v>
      </c>
      <c r="C3752" s="109" t="str">
        <f>IF(ISBLANK(K3752),IFERROR(VLOOKUP(I3752,FS_input_data!$C$458:$N$648,Export!J3752,FALSE),""),K3752)</f>
        <v/>
      </c>
      <c r="D3752" s="6"/>
      <c r="E3752" t="s">
        <v>1561</v>
      </c>
      <c r="F3752" s="6"/>
      <c r="G3752" s="115" t="b">
        <f t="shared" si="201"/>
        <v>1</v>
      </c>
      <c r="H3752" s="6" t="s">
        <v>2189</v>
      </c>
      <c r="I3752" t="s">
        <v>1561</v>
      </c>
      <c r="J3752" t="s">
        <v>1561</v>
      </c>
      <c r="L3752">
        <f t="shared" si="199"/>
        <v>1</v>
      </c>
    </row>
    <row r="3753" spans="1:12" x14ac:dyDescent="0.35">
      <c r="A3753">
        <f t="shared" si="200"/>
        <v>3752</v>
      </c>
      <c r="B3753" t="s">
        <v>764</v>
      </c>
      <c r="C3753" s="109" t="str">
        <f>IF(ISBLANK(K3753),IFERROR(VLOOKUP(I3753,FS_input_data!$C$458:$N$648,Export!J3753,FALSE),""),K3753)</f>
        <v/>
      </c>
      <c r="D3753" s="6"/>
      <c r="E3753" t="s">
        <v>1561</v>
      </c>
      <c r="F3753" s="6"/>
      <c r="G3753" s="115" t="b">
        <f>VLOOKUP(I3722,FS_input_noty,J3722,FALSE)=""</f>
        <v>0</v>
      </c>
      <c r="H3753" s="6" t="s">
        <v>2189</v>
      </c>
      <c r="I3753" t="s">
        <v>1561</v>
      </c>
      <c r="J3753" t="s">
        <v>1561</v>
      </c>
      <c r="L3753">
        <f t="shared" si="199"/>
        <v>1</v>
      </c>
    </row>
    <row r="3754" spans="1:12" x14ac:dyDescent="0.35">
      <c r="A3754">
        <f t="shared" si="200"/>
        <v>3753</v>
      </c>
      <c r="B3754" t="s">
        <v>765</v>
      </c>
      <c r="C3754" s="109" t="str">
        <f>IF(ISBLANK(K3754),IFERROR(VLOOKUP(I3754,FS_input_data!$C$458:$N$648,Export!J3754,FALSE),""),K3754)</f>
        <v/>
      </c>
      <c r="D3754" s="6"/>
      <c r="E3754" t="s">
        <v>1561</v>
      </c>
      <c r="F3754" s="6"/>
      <c r="G3754" s="115" t="b">
        <f>VLOOKUP(I3722,FS_input_noty,J3722,FALSE)=""</f>
        <v>0</v>
      </c>
      <c r="H3754" s="6" t="s">
        <v>2189</v>
      </c>
      <c r="I3754" t="s">
        <v>1561</v>
      </c>
      <c r="J3754" t="s">
        <v>1561</v>
      </c>
      <c r="L3754">
        <f t="shared" si="199"/>
        <v>1</v>
      </c>
    </row>
    <row r="3755" spans="1:12" x14ac:dyDescent="0.35">
      <c r="A3755">
        <f t="shared" si="200"/>
        <v>3754</v>
      </c>
      <c r="B3755" t="s">
        <v>752</v>
      </c>
      <c r="C3755" s="109" t="str">
        <f>IF(ISBLANK(K3755),IFERROR(VLOOKUP(I3755,FS_input_data!$C$458:$N$648,Export!J3755,FALSE),""),K3755)</f>
        <v/>
      </c>
      <c r="D3755" s="6"/>
      <c r="E3755" t="s">
        <v>1561</v>
      </c>
      <c r="F3755" s="6"/>
      <c r="G3755" s="115" t="b">
        <f>VLOOKUP(I3756,FS_input_noty,J3756,FALSE)=""</f>
        <v>0</v>
      </c>
      <c r="H3755" s="6" t="s">
        <v>2189</v>
      </c>
      <c r="I3755" t="s">
        <v>1561</v>
      </c>
      <c r="J3755" t="s">
        <v>1561</v>
      </c>
      <c r="L3755" s="9" t="e">
        <f t="shared" si="199"/>
        <v>#VALUE!</v>
      </c>
    </row>
    <row r="3756" spans="1:12" x14ac:dyDescent="0.35">
      <c r="A3756" s="9">
        <f t="shared" si="200"/>
        <v>3755</v>
      </c>
      <c r="B3756" t="s">
        <v>101</v>
      </c>
      <c r="C3756" s="109" t="str">
        <f>IF(ISBLANK(K3756),IFERROR(VLOOKUP(I3756,FS_input_data!$C$458:$N$648,Export!J3756,FALSE),""),K3756)</f>
        <v>OC16</v>
      </c>
      <c r="D3756" s="6" t="b">
        <v>1</v>
      </c>
      <c r="E3756" t="s">
        <v>1561</v>
      </c>
      <c r="F3756" s="6"/>
      <c r="G3756" s="115" t="b">
        <f>VLOOKUP(I3756,FS_input_noty,J3756,FALSE)=""</f>
        <v>0</v>
      </c>
      <c r="H3756" s="6" t="s">
        <v>2189</v>
      </c>
      <c r="I3756" t="s">
        <v>1888</v>
      </c>
      <c r="J3756">
        <v>6</v>
      </c>
      <c r="L3756" s="9" t="e">
        <f t="shared" si="199"/>
        <v>#VALUE!</v>
      </c>
    </row>
    <row r="3757" spans="1:12" x14ac:dyDescent="0.35">
      <c r="A3757">
        <f t="shared" si="200"/>
        <v>3756</v>
      </c>
      <c r="B3757" t="s">
        <v>102</v>
      </c>
      <c r="C3757" s="109" t="str">
        <f>IF(ISBLANK(K3757),IFERROR(VLOOKUP(I3757,FS_input_data!$C$458:$N$648,Export!J3757,FALSE),""),K3757)</f>
        <v/>
      </c>
      <c r="D3757" s="6"/>
      <c r="E3757" t="s">
        <v>1561</v>
      </c>
      <c r="F3757" s="6"/>
      <c r="G3757" s="115" t="b">
        <f>VLOOKUP(I3756,FS_input_noty,J3756,FALSE)=""</f>
        <v>0</v>
      </c>
      <c r="H3757" s="6" t="s">
        <v>2189</v>
      </c>
      <c r="I3757" t="s">
        <v>1561</v>
      </c>
      <c r="J3757" t="s">
        <v>1561</v>
      </c>
      <c r="L3757">
        <f t="shared" si="199"/>
        <v>1</v>
      </c>
    </row>
    <row r="3758" spans="1:12" x14ac:dyDescent="0.35">
      <c r="A3758">
        <f t="shared" si="200"/>
        <v>3757</v>
      </c>
      <c r="B3758" t="s">
        <v>753</v>
      </c>
      <c r="C3758" s="109" t="str">
        <f>IF(ISBLANK(K3758),IFERROR(VLOOKUP(I3758,FS_input_data!$C$458:$N$648,Export!J3758,FALSE),""),K3758)</f>
        <v/>
      </c>
      <c r="D3758" s="6"/>
      <c r="E3758" t="s">
        <v>1561</v>
      </c>
      <c r="F3758" s="6"/>
      <c r="G3758" s="115" t="b">
        <f>VLOOKUP(I3756,FS_input_noty,J3756,FALSE)=""</f>
        <v>0</v>
      </c>
      <c r="H3758" s="6" t="s">
        <v>2189</v>
      </c>
      <c r="I3758" t="s">
        <v>1561</v>
      </c>
      <c r="J3758" t="s">
        <v>1561</v>
      </c>
      <c r="L3758" s="9" t="e">
        <f t="shared" si="199"/>
        <v>#VALUE!</v>
      </c>
    </row>
    <row r="3759" spans="1:12" x14ac:dyDescent="0.35">
      <c r="A3759">
        <f t="shared" si="200"/>
        <v>3758</v>
      </c>
      <c r="B3759" t="s">
        <v>742</v>
      </c>
      <c r="C3759" s="109" t="str">
        <f>IF(ISBLANK(K3759),IFERROR(VLOOKUP(I3759,FS_input_data!$C$458:$N$648,Export!J3759,FALSE),""),K3759)</f>
        <v/>
      </c>
      <c r="D3759" s="6"/>
      <c r="E3759" t="s">
        <v>1561</v>
      </c>
      <c r="F3759" s="6"/>
      <c r="G3759" s="115" t="b">
        <f>VLOOKUP(I3756,FS_input_noty,J3756,FALSE)=""</f>
        <v>0</v>
      </c>
      <c r="H3759" s="6" t="s">
        <v>2189</v>
      </c>
      <c r="I3759" t="s">
        <v>1561</v>
      </c>
      <c r="J3759" t="s">
        <v>1561</v>
      </c>
      <c r="L3759" s="9" t="e">
        <f t="shared" si="199"/>
        <v>#VALUE!</v>
      </c>
    </row>
    <row r="3760" spans="1:12" x14ac:dyDescent="0.35">
      <c r="A3760">
        <f t="shared" si="200"/>
        <v>3759</v>
      </c>
      <c r="B3760" t="s">
        <v>748</v>
      </c>
      <c r="C3760" s="109" t="str">
        <f>IF(ISBLANK(K3760),IFERROR(VLOOKUP(I3760,FS_input_data!$C$458:$N$648,Export!J3760,FALSE),""),K3760)</f>
        <v/>
      </c>
      <c r="D3760" s="6"/>
      <c r="E3760" t="s">
        <v>1561</v>
      </c>
      <c r="F3760" s="6"/>
      <c r="G3760" s="115" t="b">
        <f>VLOOKUP(I3756,FS_input_noty,J3756,FALSE)=""</f>
        <v>0</v>
      </c>
      <c r="H3760" s="6" t="s">
        <v>2189</v>
      </c>
      <c r="I3760" t="s">
        <v>1561</v>
      </c>
      <c r="J3760" t="s">
        <v>1561</v>
      </c>
      <c r="L3760" s="9" t="e">
        <f t="shared" si="199"/>
        <v>#VALUE!</v>
      </c>
    </row>
    <row r="3761" spans="1:12" x14ac:dyDescent="0.35">
      <c r="A3761" s="9">
        <f t="shared" si="200"/>
        <v>3760</v>
      </c>
      <c r="B3761" t="s">
        <v>109</v>
      </c>
      <c r="C3761" s="109">
        <f>IF(ISBLANK(K3761),IFERROR(VLOOKUP(I3761,FS_input_data!$C$458:$N$648,Export!J3761,FALSE),""),K3761)</f>
        <v>38000</v>
      </c>
      <c r="D3761" s="6" t="b">
        <v>1</v>
      </c>
      <c r="E3761" t="s">
        <v>1561</v>
      </c>
      <c r="F3761" s="6"/>
      <c r="G3761" s="115" t="b">
        <f>VLOOKUP(I3756,FS_input_noty,J3756,FALSE)=""</f>
        <v>0</v>
      </c>
      <c r="H3761" s="6" t="s">
        <v>2189</v>
      </c>
      <c r="I3761" t="s">
        <v>1888</v>
      </c>
      <c r="J3761">
        <v>7</v>
      </c>
      <c r="L3761" s="9" t="e">
        <f t="shared" si="199"/>
        <v>#VALUE!</v>
      </c>
    </row>
    <row r="3762" spans="1:12" x14ac:dyDescent="0.35">
      <c r="A3762">
        <f t="shared" si="200"/>
        <v>3761</v>
      </c>
      <c r="B3762" t="s">
        <v>110</v>
      </c>
      <c r="C3762" s="109" t="str">
        <f>IF(ISBLANK(K3762),IFERROR(VLOOKUP(I3762,FS_input_data!$C$458:$N$648,Export!J3762,FALSE),""),K3762)</f>
        <v/>
      </c>
      <c r="D3762" s="6"/>
      <c r="E3762" t="s">
        <v>1561</v>
      </c>
      <c r="F3762" s="6"/>
      <c r="G3762" s="115" t="b">
        <f>VLOOKUP(I3756,FS_input_noty,J3756,FALSE)=""</f>
        <v>0</v>
      </c>
      <c r="H3762" s="6" t="s">
        <v>2189</v>
      </c>
      <c r="I3762" t="s">
        <v>1561</v>
      </c>
      <c r="J3762" t="s">
        <v>1561</v>
      </c>
      <c r="L3762">
        <f t="shared" si="199"/>
        <v>1</v>
      </c>
    </row>
    <row r="3763" spans="1:12" x14ac:dyDescent="0.35">
      <c r="A3763" s="9">
        <f t="shared" si="200"/>
        <v>3762</v>
      </c>
      <c r="B3763" t="s">
        <v>111</v>
      </c>
      <c r="C3763" s="109">
        <f>IF(ISBLANK(K3763),IFERROR(VLOOKUP(I3763,FS_input_data!$C$458:$N$648,Export!J3763,FALSE),""),K3763)</f>
        <v>19000</v>
      </c>
      <c r="D3763" s="6" t="b">
        <v>0</v>
      </c>
      <c r="E3763" t="s">
        <v>1561</v>
      </c>
      <c r="F3763" s="6"/>
      <c r="G3763" s="115" t="b">
        <f>VLOOKUP(I3756,FS_input_noty,J3756,TRUE)=""</f>
        <v>0</v>
      </c>
      <c r="H3763" s="6" t="s">
        <v>2189</v>
      </c>
      <c r="I3763" t="s">
        <v>1888</v>
      </c>
      <c r="J3763">
        <v>8</v>
      </c>
      <c r="L3763" s="9" t="e">
        <f t="shared" si="199"/>
        <v>#VALUE!</v>
      </c>
    </row>
    <row r="3764" spans="1:12" x14ac:dyDescent="0.35">
      <c r="A3764">
        <f t="shared" si="200"/>
        <v>3763</v>
      </c>
      <c r="B3764" t="s">
        <v>112</v>
      </c>
      <c r="C3764" s="109" t="str">
        <f>IF(ISBLANK(K3764),IFERROR(VLOOKUP(I3764,FS_input_data!$C$458:$N$648,Export!J3764,FALSE),""),K3764)</f>
        <v/>
      </c>
      <c r="D3764" s="6"/>
      <c r="E3764" t="s">
        <v>1561</v>
      </c>
      <c r="F3764" s="6"/>
      <c r="G3764" s="116" t="b">
        <f>VLOOKUP(I3756,FS_input_noty,J3756,FALSE)=""</f>
        <v>0</v>
      </c>
      <c r="H3764" s="6" t="s">
        <v>2189</v>
      </c>
      <c r="I3764" t="s">
        <v>1561</v>
      </c>
      <c r="J3764" t="s">
        <v>1561</v>
      </c>
      <c r="L3764">
        <f t="shared" si="199"/>
        <v>1</v>
      </c>
    </row>
    <row r="3765" spans="1:12" x14ac:dyDescent="0.35">
      <c r="A3765" s="9">
        <f t="shared" si="200"/>
        <v>3764</v>
      </c>
      <c r="B3765" t="s">
        <v>749</v>
      </c>
      <c r="C3765" s="109">
        <f>IF(ISBLANK(K3765),IFERROR(VLOOKUP(I3765,FS_input_data!$C$458:$N$648,Export!J3765,FALSE),""),K3765)</f>
        <v>19000</v>
      </c>
      <c r="D3765" s="6" t="b">
        <v>0</v>
      </c>
      <c r="E3765" t="s">
        <v>1561</v>
      </c>
      <c r="F3765" s="6"/>
      <c r="G3765" s="116" t="b">
        <f>VLOOKUP(I3756,FS_input_noty,J3756,FALSE)=""</f>
        <v>0</v>
      </c>
      <c r="H3765" s="6" t="s">
        <v>2189</v>
      </c>
      <c r="I3765" t="s">
        <v>1888</v>
      </c>
      <c r="J3765">
        <v>9</v>
      </c>
      <c r="L3765" s="9" t="e">
        <f t="shared" si="199"/>
        <v>#VALUE!</v>
      </c>
    </row>
    <row r="3766" spans="1:12" x14ac:dyDescent="0.35">
      <c r="A3766">
        <f t="shared" si="200"/>
        <v>3765</v>
      </c>
      <c r="B3766" t="s">
        <v>750</v>
      </c>
      <c r="C3766" s="109" t="str">
        <f>IF(ISBLANK(K3766),IFERROR(VLOOKUP(I3766,FS_input_data!$C$458:$N$648,Export!J3766,FALSE),""),K3766)</f>
        <v/>
      </c>
      <c r="D3766" s="6"/>
      <c r="E3766" t="s">
        <v>1561</v>
      </c>
      <c r="F3766" s="6"/>
      <c r="G3766" s="116" t="b">
        <f>VLOOKUP(I3756,FS_input_noty,J3756,FALSE)=""</f>
        <v>0</v>
      </c>
      <c r="H3766" s="6" t="s">
        <v>2189</v>
      </c>
      <c r="I3766" t="s">
        <v>1561</v>
      </c>
      <c r="J3766" t="s">
        <v>1561</v>
      </c>
      <c r="L3766">
        <f t="shared" si="199"/>
        <v>1</v>
      </c>
    </row>
    <row r="3767" spans="1:12" x14ac:dyDescent="0.35">
      <c r="A3767">
        <f t="shared" si="200"/>
        <v>3766</v>
      </c>
      <c r="B3767" t="s">
        <v>751</v>
      </c>
      <c r="C3767" s="109" t="str">
        <f>IF(ISBLANK(K3767),IFERROR(VLOOKUP(I3767,FS_input_data!$C$458:$N$648,Export!J3767,FALSE),""),K3767)</f>
        <v/>
      </c>
      <c r="D3767" s="6"/>
      <c r="E3767" t="s">
        <v>1561</v>
      </c>
      <c r="F3767" s="6"/>
      <c r="G3767" s="116" t="b">
        <f>VLOOKUP(I3756,FS_input_noty,J3756,FALSE)=""</f>
        <v>0</v>
      </c>
      <c r="H3767" s="6" t="s">
        <v>2189</v>
      </c>
      <c r="I3767" t="s">
        <v>1561</v>
      </c>
      <c r="J3767" t="s">
        <v>1561</v>
      </c>
      <c r="L3767">
        <f t="shared" si="199"/>
        <v>1</v>
      </c>
    </row>
    <row r="3768" spans="1:12" x14ac:dyDescent="0.35">
      <c r="A3768">
        <f t="shared" si="200"/>
        <v>3767</v>
      </c>
      <c r="B3768" t="s">
        <v>754</v>
      </c>
      <c r="C3768" s="109" t="str">
        <f>IF(ISBLANK(K3768),IFERROR(VLOOKUP(I3768,FS_input_data!$C$458:$N$648,Export!J3768,FALSE),""),K3768)</f>
        <v/>
      </c>
      <c r="D3768" s="6"/>
      <c r="E3768" t="s">
        <v>1561</v>
      </c>
      <c r="F3768" s="6"/>
      <c r="G3768" s="116" t="b">
        <f>VLOOKUP(I3756,FS_input_noty,J3756,FALSE)=""</f>
        <v>0</v>
      </c>
      <c r="H3768" s="6" t="s">
        <v>2189</v>
      </c>
      <c r="I3768" t="s">
        <v>1561</v>
      </c>
      <c r="J3768" t="s">
        <v>1561</v>
      </c>
      <c r="L3768" s="9" t="e">
        <f t="shared" si="199"/>
        <v>#VALUE!</v>
      </c>
    </row>
    <row r="3769" spans="1:12" x14ac:dyDescent="0.35">
      <c r="A3769" s="9">
        <f t="shared" si="200"/>
        <v>3768</v>
      </c>
      <c r="B3769" t="s">
        <v>755</v>
      </c>
      <c r="C3769" s="109">
        <f>IF(ISBLANK(K3769),IFERROR(VLOOKUP(I3769,FS_input_data!$C$458:$N$648,Export!J3769,FALSE),""),K3769)</f>
        <v>38</v>
      </c>
      <c r="D3769" s="6" t="b">
        <v>1</v>
      </c>
      <c r="E3769" t="s">
        <v>1561</v>
      </c>
      <c r="F3769" s="6"/>
      <c r="G3769" s="116" t="b">
        <f>VLOOKUP(I3756,FS_input_noty,J3756,FALSE)=""</f>
        <v>0</v>
      </c>
      <c r="H3769" s="6" t="s">
        <v>2189</v>
      </c>
      <c r="I3769" t="s">
        <v>1888</v>
      </c>
      <c r="J3769">
        <v>2</v>
      </c>
      <c r="L3769" s="9" t="e">
        <f t="shared" si="199"/>
        <v>#VALUE!</v>
      </c>
    </row>
    <row r="3770" spans="1:12" x14ac:dyDescent="0.35">
      <c r="A3770">
        <f t="shared" si="200"/>
        <v>3769</v>
      </c>
      <c r="B3770" t="s">
        <v>756</v>
      </c>
      <c r="C3770" s="109" t="str">
        <f>IF(ISBLANK(K3770),IFERROR(VLOOKUP(I3770,FS_input_data!$C$458:$N$648,Export!J3770,FALSE),""),K3770)</f>
        <v/>
      </c>
      <c r="D3770" s="6"/>
      <c r="E3770" t="s">
        <v>1561</v>
      </c>
      <c r="F3770" s="6"/>
      <c r="G3770" s="116" t="b">
        <f>VLOOKUP(I3756,FS_input_noty,J3756,FALSE)=""</f>
        <v>0</v>
      </c>
      <c r="H3770" s="6" t="s">
        <v>2189</v>
      </c>
      <c r="I3770" t="s">
        <v>1561</v>
      </c>
      <c r="J3770" t="s">
        <v>1561</v>
      </c>
      <c r="L3770">
        <f t="shared" si="199"/>
        <v>1</v>
      </c>
    </row>
    <row r="3771" spans="1:12" x14ac:dyDescent="0.35">
      <c r="A3771" s="9">
        <f t="shared" si="200"/>
        <v>3770</v>
      </c>
      <c r="B3771" t="s">
        <v>757</v>
      </c>
      <c r="C3771" s="109">
        <f>IF(ISBLANK(K3771),IFERROR(VLOOKUP(I3771,FS_input_data!$C$458:$N$648,Export!J3771,FALSE),""),K3771)</f>
        <v>138</v>
      </c>
      <c r="D3771" s="6" t="b">
        <v>0</v>
      </c>
      <c r="E3771" t="s">
        <v>1561</v>
      </c>
      <c r="F3771" s="6"/>
      <c r="G3771" s="116" t="b">
        <f>VLOOKUP(I3756,FS_input_noty,J3756,FALSE)=""</f>
        <v>0</v>
      </c>
      <c r="H3771" s="6" t="s">
        <v>2189</v>
      </c>
      <c r="I3771" t="s">
        <v>1888</v>
      </c>
      <c r="J3771">
        <v>3</v>
      </c>
      <c r="L3771" s="9" t="e">
        <f t="shared" si="199"/>
        <v>#VALUE!</v>
      </c>
    </row>
    <row r="3772" spans="1:12" x14ac:dyDescent="0.35">
      <c r="A3772">
        <f t="shared" si="200"/>
        <v>3771</v>
      </c>
      <c r="B3772" t="s">
        <v>758</v>
      </c>
      <c r="C3772" s="109" t="str">
        <f>IF(ISBLANK(K3772),IFERROR(VLOOKUP(I3772,FS_input_data!$C$458:$N$648,Export!J3772,FALSE),""),K3772)</f>
        <v/>
      </c>
      <c r="D3772" s="6"/>
      <c r="E3772" t="s">
        <v>1561</v>
      </c>
      <c r="F3772" s="6"/>
      <c r="G3772" s="115" t="b">
        <f>VLOOKUP(I3756,FS_input_noty,J3756,FALSE)=""</f>
        <v>0</v>
      </c>
      <c r="H3772" s="6" t="s">
        <v>2189</v>
      </c>
      <c r="I3772" t="s">
        <v>1561</v>
      </c>
      <c r="J3772" t="s">
        <v>1561</v>
      </c>
      <c r="L3772">
        <f t="shared" si="199"/>
        <v>1</v>
      </c>
    </row>
    <row r="3773" spans="1:12" x14ac:dyDescent="0.35">
      <c r="A3773" s="9">
        <f t="shared" si="200"/>
        <v>3772</v>
      </c>
      <c r="B3773" t="s">
        <v>759</v>
      </c>
      <c r="C3773" s="109">
        <f>IF(ISBLANK(K3773),IFERROR(VLOOKUP(I3773,FS_input_data!$C$458:$N$648,Export!J3773,FALSE),""),K3773)</f>
        <v>238</v>
      </c>
      <c r="D3773" s="6" t="b">
        <v>0</v>
      </c>
      <c r="E3773" t="s">
        <v>1561</v>
      </c>
      <c r="F3773" s="6"/>
      <c r="G3773" s="115" t="b">
        <f>VLOOKUP(I3756,FS_input_noty,J3756,FALSE)=""</f>
        <v>0</v>
      </c>
      <c r="H3773" s="6" t="s">
        <v>2189</v>
      </c>
      <c r="I3773" t="s">
        <v>1888</v>
      </c>
      <c r="J3773">
        <v>4</v>
      </c>
      <c r="L3773" s="9" t="e">
        <f t="shared" si="199"/>
        <v>#VALUE!</v>
      </c>
    </row>
    <row r="3774" spans="1:12" x14ac:dyDescent="0.35">
      <c r="A3774">
        <f t="shared" si="200"/>
        <v>3773</v>
      </c>
      <c r="B3774" t="s">
        <v>760</v>
      </c>
      <c r="C3774" s="109" t="str">
        <f>IF(ISBLANK(K3774),IFERROR(VLOOKUP(I3774,FS_input_data!$C$458:$N$648,Export!J3774,FALSE),""),K3774)</f>
        <v/>
      </c>
      <c r="D3774" s="6"/>
      <c r="E3774" t="s">
        <v>1561</v>
      </c>
      <c r="F3774" s="6"/>
      <c r="G3774" s="115" t="b">
        <f>VLOOKUP(I3756,FS_input_noty,J3756,FALSE)=""</f>
        <v>0</v>
      </c>
      <c r="H3774" s="6" t="s">
        <v>2189</v>
      </c>
      <c r="I3774" t="s">
        <v>1561</v>
      </c>
      <c r="J3774" t="s">
        <v>1561</v>
      </c>
      <c r="L3774">
        <f t="shared" si="199"/>
        <v>1</v>
      </c>
    </row>
    <row r="3775" spans="1:12" x14ac:dyDescent="0.35">
      <c r="A3775" s="9">
        <f t="shared" si="200"/>
        <v>3774</v>
      </c>
      <c r="B3775" t="s">
        <v>761</v>
      </c>
      <c r="C3775" s="109" t="str">
        <f>IF(ISBLANK(K3775),IFERROR(VLOOKUP(I3775,FS_input_data!$C$458:$N$648,Export!J3775,FALSE),""),K3775)</f>
        <v>f</v>
      </c>
      <c r="D3775" s="6" t="b">
        <v>0</v>
      </c>
      <c r="E3775" t="s">
        <v>1561</v>
      </c>
      <c r="F3775" s="6"/>
      <c r="G3775" s="115" t="b">
        <f>VLOOKUP(I3756,FS_input_noty,J3756,FALSE)=""</f>
        <v>0</v>
      </c>
      <c r="H3775" s="6" t="s">
        <v>2189</v>
      </c>
      <c r="I3775" t="s">
        <v>1888</v>
      </c>
      <c r="J3775">
        <v>5</v>
      </c>
      <c r="L3775" s="9" t="e">
        <f t="shared" si="199"/>
        <v>#VALUE!</v>
      </c>
    </row>
    <row r="3776" spans="1:12" x14ac:dyDescent="0.35">
      <c r="A3776">
        <f t="shared" si="200"/>
        <v>3775</v>
      </c>
      <c r="B3776" t="s">
        <v>762</v>
      </c>
      <c r="C3776" s="109" t="str">
        <f>IF(ISBLANK(K3776),IFERROR(VLOOKUP(I3776,FS_input_data!$C$458:$N$648,Export!J3776,FALSE),""),K3776)</f>
        <v/>
      </c>
      <c r="D3776" s="6"/>
      <c r="E3776" t="s">
        <v>1561</v>
      </c>
      <c r="F3776" s="6"/>
      <c r="G3776" s="115" t="b">
        <f>VLOOKUP(I3756,FS_input_noty,J3756,FALSE)=""</f>
        <v>0</v>
      </c>
      <c r="H3776" s="6" t="s">
        <v>2189</v>
      </c>
      <c r="I3776" t="s">
        <v>1561</v>
      </c>
      <c r="J3776" t="s">
        <v>1561</v>
      </c>
      <c r="L3776">
        <f t="shared" si="199"/>
        <v>1</v>
      </c>
    </row>
    <row r="3777" spans="1:12" x14ac:dyDescent="0.35">
      <c r="A3777">
        <f t="shared" si="200"/>
        <v>3776</v>
      </c>
      <c r="B3777" t="s">
        <v>763</v>
      </c>
      <c r="C3777" s="109" t="str">
        <f>IF(ISBLANK(K3777),IFERROR(VLOOKUP(I3777,FS_input_data!$C$458:$N$648,Export!J3777,FALSE),""),K3777)</f>
        <v/>
      </c>
      <c r="D3777" s="6"/>
      <c r="E3777" t="s">
        <v>1561</v>
      </c>
      <c r="F3777" s="6"/>
      <c r="G3777" s="115" t="b">
        <f>VLOOKUP(I3756,FS_input_noty,J3756,FALSE)=""</f>
        <v>0</v>
      </c>
      <c r="H3777" s="6" t="s">
        <v>2189</v>
      </c>
      <c r="I3777" t="s">
        <v>1561</v>
      </c>
      <c r="J3777" t="s">
        <v>1561</v>
      </c>
      <c r="L3777">
        <f t="shared" si="199"/>
        <v>1</v>
      </c>
    </row>
    <row r="3778" spans="1:12" x14ac:dyDescent="0.35">
      <c r="A3778">
        <f t="shared" si="200"/>
        <v>3777</v>
      </c>
      <c r="B3778" t="s">
        <v>743</v>
      </c>
      <c r="C3778" s="109" t="str">
        <f>IF(ISBLANK(K3778),IFERROR(VLOOKUP(I3778,FS_input_data!$C$458:$N$648,Export!J3778,FALSE),""),K3778)</f>
        <v/>
      </c>
      <c r="D3778" s="6"/>
      <c r="E3778" t="s">
        <v>1561</v>
      </c>
      <c r="F3778" s="6"/>
      <c r="G3778" s="115" t="b">
        <f>VLOOKUP(I3756,FS_input_noty,J3756,FALSE)=""</f>
        <v>0</v>
      </c>
      <c r="H3778" s="6" t="s">
        <v>2189</v>
      </c>
      <c r="I3778" t="s">
        <v>1561</v>
      </c>
      <c r="J3778" t="s">
        <v>1561</v>
      </c>
      <c r="L3778">
        <f t="shared" ref="L3778:L3841" si="202">FIND("/",B3778)</f>
        <v>1</v>
      </c>
    </row>
    <row r="3779" spans="1:12" x14ac:dyDescent="0.35">
      <c r="A3779">
        <f t="shared" ref="A3779:A3842" si="203">A3778+1</f>
        <v>3778</v>
      </c>
      <c r="B3779" t="s">
        <v>744</v>
      </c>
      <c r="C3779" s="109" t="str">
        <f>IF(ISBLANK(K3779),IFERROR(VLOOKUP(I3779,FS_input_data!$C$458:$N$648,Export!J3779,FALSE),""),K3779)</f>
        <v/>
      </c>
      <c r="D3779" s="6"/>
      <c r="E3779" t="s">
        <v>1561</v>
      </c>
      <c r="F3779" s="6"/>
      <c r="G3779" s="115" t="b">
        <f t="shared" ref="G3779:G3786" si="204">RP_tax</f>
        <v>1</v>
      </c>
      <c r="H3779" s="6" t="s">
        <v>2189</v>
      </c>
      <c r="I3779" t="s">
        <v>1561</v>
      </c>
      <c r="J3779" t="s">
        <v>1561</v>
      </c>
      <c r="L3779" s="9" t="e">
        <f t="shared" si="202"/>
        <v>#VALUE!</v>
      </c>
    </row>
    <row r="3780" spans="1:12" x14ac:dyDescent="0.35">
      <c r="A3780" s="9">
        <f t="shared" si="203"/>
        <v>3779</v>
      </c>
      <c r="B3780" t="s">
        <v>109</v>
      </c>
      <c r="C3780" s="109">
        <f>IF(ISBLANK(K3780),IFERROR(VLOOKUP(I3780,FS_input_data!$C$458:$N$648,Export!J3780,FALSE),""),K3780)</f>
        <v>38000</v>
      </c>
      <c r="D3780" s="6" t="b">
        <v>1</v>
      </c>
      <c r="E3780" t="s">
        <v>1561</v>
      </c>
      <c r="F3780" s="6"/>
      <c r="G3780" s="115" t="b">
        <f t="shared" si="204"/>
        <v>1</v>
      </c>
      <c r="H3780" s="6" t="s">
        <v>2189</v>
      </c>
      <c r="I3780" t="s">
        <v>1888</v>
      </c>
      <c r="J3780">
        <v>10</v>
      </c>
      <c r="L3780" s="9" t="e">
        <f t="shared" si="202"/>
        <v>#VALUE!</v>
      </c>
    </row>
    <row r="3781" spans="1:12" x14ac:dyDescent="0.35">
      <c r="A3781">
        <f t="shared" si="203"/>
        <v>3780</v>
      </c>
      <c r="B3781" t="s">
        <v>110</v>
      </c>
      <c r="C3781" s="109" t="str">
        <f>IF(ISBLANK(K3781),IFERROR(VLOOKUP(I3781,FS_input_data!$C$458:$N$648,Export!J3781,FALSE),""),K3781)</f>
        <v/>
      </c>
      <c r="D3781" s="6"/>
      <c r="E3781" t="s">
        <v>1561</v>
      </c>
      <c r="F3781" s="6"/>
      <c r="G3781" s="115" t="b">
        <f t="shared" si="204"/>
        <v>1</v>
      </c>
      <c r="H3781" s="6" t="s">
        <v>2189</v>
      </c>
      <c r="I3781" t="s">
        <v>1561</v>
      </c>
      <c r="J3781" t="s">
        <v>1561</v>
      </c>
      <c r="L3781">
        <f t="shared" si="202"/>
        <v>1</v>
      </c>
    </row>
    <row r="3782" spans="1:12" x14ac:dyDescent="0.35">
      <c r="A3782" s="9">
        <f t="shared" si="203"/>
        <v>3781</v>
      </c>
      <c r="B3782" t="s">
        <v>111</v>
      </c>
      <c r="C3782" s="109">
        <f>IF(ISBLANK(K3782),IFERROR(VLOOKUP(I3782,FS_input_data!$C$458:$N$648,Export!J3782,FALSE),""),K3782)</f>
        <v>19000</v>
      </c>
      <c r="D3782" s="6" t="b">
        <v>0</v>
      </c>
      <c r="E3782" t="s">
        <v>1561</v>
      </c>
      <c r="F3782" s="6"/>
      <c r="G3782" s="115" t="b">
        <f t="shared" si="204"/>
        <v>1</v>
      </c>
      <c r="H3782" s="6" t="s">
        <v>2189</v>
      </c>
      <c r="I3782" t="s">
        <v>1888</v>
      </c>
      <c r="J3782">
        <v>11</v>
      </c>
      <c r="L3782" s="9" t="e">
        <f t="shared" si="202"/>
        <v>#VALUE!</v>
      </c>
    </row>
    <row r="3783" spans="1:12" x14ac:dyDescent="0.35">
      <c r="A3783">
        <f t="shared" si="203"/>
        <v>3782</v>
      </c>
      <c r="B3783" t="s">
        <v>112</v>
      </c>
      <c r="C3783" s="109" t="str">
        <f>IF(ISBLANK(K3783),IFERROR(VLOOKUP(I3783,FS_input_data!$C$458:$N$648,Export!J3783,FALSE),""),K3783)</f>
        <v/>
      </c>
      <c r="D3783" s="6"/>
      <c r="E3783" t="s">
        <v>1561</v>
      </c>
      <c r="F3783" s="6"/>
      <c r="G3783" s="115" t="b">
        <f t="shared" si="204"/>
        <v>1</v>
      </c>
      <c r="H3783" s="6" t="s">
        <v>2189</v>
      </c>
      <c r="I3783" t="s">
        <v>1561</v>
      </c>
      <c r="J3783" t="s">
        <v>1561</v>
      </c>
      <c r="L3783">
        <f t="shared" si="202"/>
        <v>1</v>
      </c>
    </row>
    <row r="3784" spans="1:12" x14ac:dyDescent="0.35">
      <c r="A3784" s="9">
        <f t="shared" si="203"/>
        <v>3783</v>
      </c>
      <c r="B3784" t="s">
        <v>749</v>
      </c>
      <c r="C3784" s="109">
        <f>IF(ISBLANK(K3784),IFERROR(VLOOKUP(I3784,FS_input_data!$C$458:$N$648,Export!J3784,FALSE),""),K3784)</f>
        <v>19000</v>
      </c>
      <c r="D3784" s="6" t="b">
        <v>0</v>
      </c>
      <c r="E3784" t="s">
        <v>1561</v>
      </c>
      <c r="F3784" s="6"/>
      <c r="G3784" s="115" t="b">
        <f t="shared" si="204"/>
        <v>1</v>
      </c>
      <c r="H3784" s="6" t="s">
        <v>2189</v>
      </c>
      <c r="I3784" t="s">
        <v>1888</v>
      </c>
      <c r="J3784">
        <v>12</v>
      </c>
      <c r="L3784" s="9" t="e">
        <f t="shared" si="202"/>
        <v>#VALUE!</v>
      </c>
    </row>
    <row r="3785" spans="1:12" x14ac:dyDescent="0.35">
      <c r="A3785">
        <f t="shared" si="203"/>
        <v>3784</v>
      </c>
      <c r="B3785" t="s">
        <v>750</v>
      </c>
      <c r="C3785" s="109" t="str">
        <f>IF(ISBLANK(K3785),IFERROR(VLOOKUP(I3785,FS_input_data!$C$458:$N$648,Export!J3785,FALSE),""),K3785)</f>
        <v/>
      </c>
      <c r="D3785" s="6"/>
      <c r="E3785" t="s">
        <v>1561</v>
      </c>
      <c r="F3785" s="6"/>
      <c r="G3785" s="115" t="b">
        <f t="shared" si="204"/>
        <v>1</v>
      </c>
      <c r="H3785" s="6" t="s">
        <v>2189</v>
      </c>
      <c r="I3785" t="s">
        <v>1561</v>
      </c>
      <c r="J3785" t="s">
        <v>1561</v>
      </c>
      <c r="L3785">
        <f t="shared" si="202"/>
        <v>1</v>
      </c>
    </row>
    <row r="3786" spans="1:12" x14ac:dyDescent="0.35">
      <c r="A3786">
        <f t="shared" si="203"/>
        <v>3785</v>
      </c>
      <c r="B3786" t="s">
        <v>745</v>
      </c>
      <c r="C3786" s="109" t="str">
        <f>IF(ISBLANK(K3786),IFERROR(VLOOKUP(I3786,FS_input_data!$C$458:$N$648,Export!J3786,FALSE),""),K3786)</f>
        <v/>
      </c>
      <c r="D3786" s="6"/>
      <c r="E3786" t="s">
        <v>1561</v>
      </c>
      <c r="F3786" s="6"/>
      <c r="G3786" s="115" t="b">
        <f t="shared" si="204"/>
        <v>1</v>
      </c>
      <c r="H3786" s="6" t="s">
        <v>2189</v>
      </c>
      <c r="I3786" t="s">
        <v>1561</v>
      </c>
      <c r="J3786" t="s">
        <v>1561</v>
      </c>
      <c r="L3786">
        <f t="shared" si="202"/>
        <v>1</v>
      </c>
    </row>
    <row r="3787" spans="1:12" x14ac:dyDescent="0.35">
      <c r="A3787">
        <f t="shared" si="203"/>
        <v>3786</v>
      </c>
      <c r="B3787" t="s">
        <v>764</v>
      </c>
      <c r="C3787" s="109" t="str">
        <f>IF(ISBLANK(K3787),IFERROR(VLOOKUP(I3787,FS_input_data!$C$458:$N$648,Export!J3787,FALSE),""),K3787)</f>
        <v/>
      </c>
      <c r="D3787" s="6"/>
      <c r="E3787" t="s">
        <v>1561</v>
      </c>
      <c r="F3787" s="6"/>
      <c r="G3787" s="115" t="b">
        <f>VLOOKUP(I3756,FS_input_noty,J3756,FALSE)=""</f>
        <v>0</v>
      </c>
      <c r="H3787" s="6" t="s">
        <v>2189</v>
      </c>
      <c r="I3787" t="s">
        <v>1561</v>
      </c>
      <c r="J3787" t="s">
        <v>1561</v>
      </c>
      <c r="L3787">
        <f t="shared" si="202"/>
        <v>1</v>
      </c>
    </row>
    <row r="3788" spans="1:12" x14ac:dyDescent="0.35">
      <c r="A3788">
        <f t="shared" si="203"/>
        <v>3787</v>
      </c>
      <c r="B3788" t="s">
        <v>765</v>
      </c>
      <c r="C3788" s="109" t="str">
        <f>IF(ISBLANK(K3788),IFERROR(VLOOKUP(I3788,FS_input_data!$C$458:$N$648,Export!J3788,FALSE),""),K3788)</f>
        <v/>
      </c>
      <c r="D3788" s="6"/>
      <c r="E3788" t="s">
        <v>1561</v>
      </c>
      <c r="F3788" s="6"/>
      <c r="G3788" s="115" t="b">
        <f>VLOOKUP(I3756,FS_input_noty,J3756,FALSE)=""</f>
        <v>0</v>
      </c>
      <c r="H3788" s="6" t="s">
        <v>2189</v>
      </c>
      <c r="I3788" t="s">
        <v>1561</v>
      </c>
      <c r="J3788" t="s">
        <v>1561</v>
      </c>
      <c r="L3788">
        <f t="shared" si="202"/>
        <v>1</v>
      </c>
    </row>
    <row r="3789" spans="1:12" x14ac:dyDescent="0.35">
      <c r="A3789">
        <f t="shared" si="203"/>
        <v>3788</v>
      </c>
      <c r="B3789" t="s">
        <v>752</v>
      </c>
      <c r="C3789" s="109" t="str">
        <f>IF(ISBLANK(K3789),IFERROR(VLOOKUP(I3789,FS_input_data!$C$458:$N$648,Export!J3789,FALSE),""),K3789)</f>
        <v/>
      </c>
      <c r="D3789" s="6"/>
      <c r="E3789" t="s">
        <v>1561</v>
      </c>
      <c r="F3789" s="6"/>
      <c r="G3789" s="115" t="b">
        <f>VLOOKUP(I3790,FS_input_noty,J3790,FALSE)=""</f>
        <v>0</v>
      </c>
      <c r="H3789" s="6" t="s">
        <v>2189</v>
      </c>
      <c r="I3789" t="s">
        <v>1561</v>
      </c>
      <c r="J3789" t="s">
        <v>1561</v>
      </c>
      <c r="L3789" s="9" t="e">
        <f t="shared" si="202"/>
        <v>#VALUE!</v>
      </c>
    </row>
    <row r="3790" spans="1:12" x14ac:dyDescent="0.35">
      <c r="A3790" s="9">
        <f t="shared" si="203"/>
        <v>3789</v>
      </c>
      <c r="B3790" t="s">
        <v>101</v>
      </c>
      <c r="C3790" s="109" t="str">
        <f>IF(ISBLANK(K3790),IFERROR(VLOOKUP(I3790,FS_input_data!$C$458:$N$648,Export!J3790,FALSE),""),K3790)</f>
        <v>OC17</v>
      </c>
      <c r="D3790" s="6" t="b">
        <v>1</v>
      </c>
      <c r="E3790" t="s">
        <v>1561</v>
      </c>
      <c r="F3790" s="6"/>
      <c r="G3790" s="115" t="b">
        <f>VLOOKUP(I3790,FS_input_noty,J3790,FALSE)=""</f>
        <v>0</v>
      </c>
      <c r="H3790" s="6" t="s">
        <v>2189</v>
      </c>
      <c r="I3790" t="s">
        <v>1890</v>
      </c>
      <c r="J3790">
        <v>6</v>
      </c>
      <c r="L3790" s="9" t="e">
        <f t="shared" si="202"/>
        <v>#VALUE!</v>
      </c>
    </row>
    <row r="3791" spans="1:12" x14ac:dyDescent="0.35">
      <c r="A3791">
        <f t="shared" si="203"/>
        <v>3790</v>
      </c>
      <c r="B3791" t="s">
        <v>102</v>
      </c>
      <c r="C3791" s="109" t="str">
        <f>IF(ISBLANK(K3791),IFERROR(VLOOKUP(I3791,FS_input_data!$C$458:$N$648,Export!J3791,FALSE),""),K3791)</f>
        <v/>
      </c>
      <c r="D3791" s="6"/>
      <c r="E3791" t="s">
        <v>1561</v>
      </c>
      <c r="F3791" s="6"/>
      <c r="G3791" s="115" t="b">
        <f>VLOOKUP(I3790,FS_input_noty,J3790,FALSE)=""</f>
        <v>0</v>
      </c>
      <c r="H3791" s="6" t="s">
        <v>2189</v>
      </c>
      <c r="I3791" t="s">
        <v>1561</v>
      </c>
      <c r="J3791" t="s">
        <v>1561</v>
      </c>
      <c r="L3791">
        <f t="shared" si="202"/>
        <v>1</v>
      </c>
    </row>
    <row r="3792" spans="1:12" x14ac:dyDescent="0.35">
      <c r="A3792">
        <f t="shared" si="203"/>
        <v>3791</v>
      </c>
      <c r="B3792" t="s">
        <v>753</v>
      </c>
      <c r="C3792" s="109" t="str">
        <f>IF(ISBLANK(K3792),IFERROR(VLOOKUP(I3792,FS_input_data!$C$458:$N$648,Export!J3792,FALSE),""),K3792)</f>
        <v/>
      </c>
      <c r="D3792" s="6"/>
      <c r="E3792" t="s">
        <v>1561</v>
      </c>
      <c r="F3792" s="6"/>
      <c r="G3792" s="115" t="b">
        <f>VLOOKUP(I3790,FS_input_noty,J3790,FALSE)=""</f>
        <v>0</v>
      </c>
      <c r="H3792" s="6" t="s">
        <v>2189</v>
      </c>
      <c r="I3792" t="s">
        <v>1561</v>
      </c>
      <c r="J3792" t="s">
        <v>1561</v>
      </c>
      <c r="L3792" s="9" t="e">
        <f t="shared" si="202"/>
        <v>#VALUE!</v>
      </c>
    </row>
    <row r="3793" spans="1:12" x14ac:dyDescent="0.35">
      <c r="A3793">
        <f t="shared" si="203"/>
        <v>3792</v>
      </c>
      <c r="B3793" t="s">
        <v>742</v>
      </c>
      <c r="C3793" s="109" t="str">
        <f>IF(ISBLANK(K3793),IFERROR(VLOOKUP(I3793,FS_input_data!$C$458:$N$648,Export!J3793,FALSE),""),K3793)</f>
        <v/>
      </c>
      <c r="D3793" s="6"/>
      <c r="E3793" t="s">
        <v>1561</v>
      </c>
      <c r="F3793" s="6"/>
      <c r="G3793" s="115" t="b">
        <f>VLOOKUP(I3790,FS_input_noty,J3790,FALSE)=""</f>
        <v>0</v>
      </c>
      <c r="H3793" s="6" t="s">
        <v>2189</v>
      </c>
      <c r="I3793" t="s">
        <v>1561</v>
      </c>
      <c r="J3793" t="s">
        <v>1561</v>
      </c>
      <c r="L3793" s="9" t="e">
        <f t="shared" si="202"/>
        <v>#VALUE!</v>
      </c>
    </row>
    <row r="3794" spans="1:12" x14ac:dyDescent="0.35">
      <c r="A3794">
        <f t="shared" si="203"/>
        <v>3793</v>
      </c>
      <c r="B3794" t="s">
        <v>748</v>
      </c>
      <c r="C3794" s="109" t="str">
        <f>IF(ISBLANK(K3794),IFERROR(VLOOKUP(I3794,FS_input_data!$C$458:$N$648,Export!J3794,FALSE),""),K3794)</f>
        <v/>
      </c>
      <c r="D3794" s="6"/>
      <c r="E3794" t="s">
        <v>1561</v>
      </c>
      <c r="F3794" s="6"/>
      <c r="G3794" s="115" t="b">
        <f>VLOOKUP(I3790,FS_input_noty,J3790,FALSE)=""</f>
        <v>0</v>
      </c>
      <c r="H3794" s="6" t="s">
        <v>2189</v>
      </c>
      <c r="I3794" t="s">
        <v>1561</v>
      </c>
      <c r="J3794" t="s">
        <v>1561</v>
      </c>
      <c r="L3794" s="9" t="e">
        <f t="shared" si="202"/>
        <v>#VALUE!</v>
      </c>
    </row>
    <row r="3795" spans="1:12" x14ac:dyDescent="0.35">
      <c r="A3795" s="9">
        <f t="shared" si="203"/>
        <v>3794</v>
      </c>
      <c r="B3795" t="s">
        <v>109</v>
      </c>
      <c r="C3795" s="109">
        <f>IF(ISBLANK(K3795),IFERROR(VLOOKUP(I3795,FS_input_data!$C$458:$N$648,Export!J3795,FALSE),""),K3795)</f>
        <v>39000</v>
      </c>
      <c r="D3795" s="6" t="b">
        <v>1</v>
      </c>
      <c r="E3795" t="s">
        <v>1561</v>
      </c>
      <c r="F3795" s="6"/>
      <c r="G3795" s="115" t="b">
        <f>VLOOKUP(I3790,FS_input_noty,J3790,FALSE)=""</f>
        <v>0</v>
      </c>
      <c r="H3795" s="6" t="s">
        <v>2189</v>
      </c>
      <c r="I3795" t="s">
        <v>1890</v>
      </c>
      <c r="J3795">
        <v>7</v>
      </c>
      <c r="L3795" s="9" t="e">
        <f t="shared" si="202"/>
        <v>#VALUE!</v>
      </c>
    </row>
    <row r="3796" spans="1:12" x14ac:dyDescent="0.35">
      <c r="A3796">
        <f t="shared" si="203"/>
        <v>3795</v>
      </c>
      <c r="B3796" t="s">
        <v>110</v>
      </c>
      <c r="C3796" s="109" t="str">
        <f>IF(ISBLANK(K3796),IFERROR(VLOOKUP(I3796,FS_input_data!$C$458:$N$648,Export!J3796,FALSE),""),K3796)</f>
        <v/>
      </c>
      <c r="D3796" s="6"/>
      <c r="E3796" t="s">
        <v>1561</v>
      </c>
      <c r="F3796" s="6"/>
      <c r="G3796" s="115" t="b">
        <f>VLOOKUP(I3790,FS_input_noty,J3790,FALSE)=""</f>
        <v>0</v>
      </c>
      <c r="H3796" s="6" t="s">
        <v>2189</v>
      </c>
      <c r="I3796" t="s">
        <v>1561</v>
      </c>
      <c r="J3796" t="s">
        <v>1561</v>
      </c>
      <c r="L3796">
        <f t="shared" si="202"/>
        <v>1</v>
      </c>
    </row>
    <row r="3797" spans="1:12" x14ac:dyDescent="0.35">
      <c r="A3797" s="9">
        <f t="shared" si="203"/>
        <v>3796</v>
      </c>
      <c r="B3797" t="s">
        <v>111</v>
      </c>
      <c r="C3797" s="109">
        <f>IF(ISBLANK(K3797),IFERROR(VLOOKUP(I3797,FS_input_data!$C$458:$N$648,Export!J3797,FALSE),""),K3797)</f>
        <v>19500</v>
      </c>
      <c r="D3797" s="6" t="b">
        <v>0</v>
      </c>
      <c r="E3797" t="s">
        <v>1561</v>
      </c>
      <c r="F3797" s="6"/>
      <c r="G3797" s="115" t="b">
        <f>VLOOKUP(I3790,FS_input_noty,J3790,TRUE)=""</f>
        <v>0</v>
      </c>
      <c r="H3797" s="6" t="s">
        <v>2189</v>
      </c>
      <c r="I3797" t="s">
        <v>1890</v>
      </c>
      <c r="J3797">
        <v>8</v>
      </c>
      <c r="L3797" s="9" t="e">
        <f t="shared" si="202"/>
        <v>#VALUE!</v>
      </c>
    </row>
    <row r="3798" spans="1:12" x14ac:dyDescent="0.35">
      <c r="A3798">
        <f t="shared" si="203"/>
        <v>3797</v>
      </c>
      <c r="B3798" t="s">
        <v>112</v>
      </c>
      <c r="C3798" s="109" t="str">
        <f>IF(ISBLANK(K3798),IFERROR(VLOOKUP(I3798,FS_input_data!$C$458:$N$648,Export!J3798,FALSE),""),K3798)</f>
        <v/>
      </c>
      <c r="D3798" s="6"/>
      <c r="E3798" t="s">
        <v>1561</v>
      </c>
      <c r="F3798" s="6"/>
      <c r="G3798" s="116" t="b">
        <f>VLOOKUP(I3790,FS_input_noty,J3790,FALSE)=""</f>
        <v>0</v>
      </c>
      <c r="H3798" s="6" t="s">
        <v>2189</v>
      </c>
      <c r="I3798" t="s">
        <v>1561</v>
      </c>
      <c r="J3798" t="s">
        <v>1561</v>
      </c>
      <c r="L3798">
        <f t="shared" si="202"/>
        <v>1</v>
      </c>
    </row>
    <row r="3799" spans="1:12" x14ac:dyDescent="0.35">
      <c r="A3799" s="9">
        <f t="shared" si="203"/>
        <v>3798</v>
      </c>
      <c r="B3799" t="s">
        <v>749</v>
      </c>
      <c r="C3799" s="109">
        <f>IF(ISBLANK(K3799),IFERROR(VLOOKUP(I3799,FS_input_data!$C$458:$N$648,Export!J3799,FALSE),""),K3799)</f>
        <v>19500</v>
      </c>
      <c r="D3799" s="6" t="b">
        <v>0</v>
      </c>
      <c r="E3799" t="s">
        <v>1561</v>
      </c>
      <c r="F3799" s="6"/>
      <c r="G3799" s="116" t="b">
        <f>VLOOKUP(I3790,FS_input_noty,J3790,FALSE)=""</f>
        <v>0</v>
      </c>
      <c r="H3799" s="6" t="s">
        <v>2189</v>
      </c>
      <c r="I3799" t="s">
        <v>1890</v>
      </c>
      <c r="J3799">
        <v>9</v>
      </c>
      <c r="L3799" s="9" t="e">
        <f t="shared" si="202"/>
        <v>#VALUE!</v>
      </c>
    </row>
    <row r="3800" spans="1:12" x14ac:dyDescent="0.35">
      <c r="A3800">
        <f t="shared" si="203"/>
        <v>3799</v>
      </c>
      <c r="B3800" t="s">
        <v>750</v>
      </c>
      <c r="C3800" s="109" t="str">
        <f>IF(ISBLANK(K3800),IFERROR(VLOOKUP(I3800,FS_input_data!$C$458:$N$648,Export!J3800,FALSE),""),K3800)</f>
        <v/>
      </c>
      <c r="D3800" s="6"/>
      <c r="E3800" t="s">
        <v>1561</v>
      </c>
      <c r="F3800" s="6"/>
      <c r="G3800" s="116" t="b">
        <f>VLOOKUP(I3790,FS_input_noty,J3790,FALSE)=""</f>
        <v>0</v>
      </c>
      <c r="H3800" s="6" t="s">
        <v>2189</v>
      </c>
      <c r="I3800" t="s">
        <v>1561</v>
      </c>
      <c r="J3800" t="s">
        <v>1561</v>
      </c>
      <c r="L3800">
        <f t="shared" si="202"/>
        <v>1</v>
      </c>
    </row>
    <row r="3801" spans="1:12" x14ac:dyDescent="0.35">
      <c r="A3801">
        <f t="shared" si="203"/>
        <v>3800</v>
      </c>
      <c r="B3801" t="s">
        <v>751</v>
      </c>
      <c r="C3801" s="109" t="str">
        <f>IF(ISBLANK(K3801),IFERROR(VLOOKUP(I3801,FS_input_data!$C$458:$N$648,Export!J3801,FALSE),""),K3801)</f>
        <v/>
      </c>
      <c r="D3801" s="6"/>
      <c r="E3801" t="s">
        <v>1561</v>
      </c>
      <c r="F3801" s="6"/>
      <c r="G3801" s="116" t="b">
        <f>VLOOKUP(I3790,FS_input_noty,J3790,FALSE)=""</f>
        <v>0</v>
      </c>
      <c r="H3801" s="6" t="s">
        <v>2189</v>
      </c>
      <c r="I3801" t="s">
        <v>1561</v>
      </c>
      <c r="J3801" t="s">
        <v>1561</v>
      </c>
      <c r="L3801">
        <f t="shared" si="202"/>
        <v>1</v>
      </c>
    </row>
    <row r="3802" spans="1:12" x14ac:dyDescent="0.35">
      <c r="A3802">
        <f t="shared" si="203"/>
        <v>3801</v>
      </c>
      <c r="B3802" t="s">
        <v>754</v>
      </c>
      <c r="C3802" s="109" t="str">
        <f>IF(ISBLANK(K3802),IFERROR(VLOOKUP(I3802,FS_input_data!$C$458:$N$648,Export!J3802,FALSE),""),K3802)</f>
        <v/>
      </c>
      <c r="D3802" s="6"/>
      <c r="E3802" t="s">
        <v>1561</v>
      </c>
      <c r="F3802" s="6"/>
      <c r="G3802" s="116" t="b">
        <f>VLOOKUP(I3790,FS_input_noty,J3790,FALSE)=""</f>
        <v>0</v>
      </c>
      <c r="H3802" s="6" t="s">
        <v>2189</v>
      </c>
      <c r="I3802" t="s">
        <v>1561</v>
      </c>
      <c r="J3802" t="s">
        <v>1561</v>
      </c>
      <c r="L3802" s="9" t="e">
        <f t="shared" si="202"/>
        <v>#VALUE!</v>
      </c>
    </row>
    <row r="3803" spans="1:12" x14ac:dyDescent="0.35">
      <c r="A3803" s="9">
        <f t="shared" si="203"/>
        <v>3802</v>
      </c>
      <c r="B3803" t="s">
        <v>755</v>
      </c>
      <c r="C3803" s="109">
        <f>IF(ISBLANK(K3803),IFERROR(VLOOKUP(I3803,FS_input_data!$C$458:$N$648,Export!J3803,FALSE),""),K3803)</f>
        <v>39</v>
      </c>
      <c r="D3803" s="6" t="b">
        <v>1</v>
      </c>
      <c r="E3803" t="s">
        <v>1561</v>
      </c>
      <c r="F3803" s="6"/>
      <c r="G3803" s="116" t="b">
        <f>VLOOKUP(I3790,FS_input_noty,J3790,FALSE)=""</f>
        <v>0</v>
      </c>
      <c r="H3803" s="6" t="s">
        <v>2189</v>
      </c>
      <c r="I3803" t="s">
        <v>1890</v>
      </c>
      <c r="J3803">
        <v>2</v>
      </c>
      <c r="L3803" s="9" t="e">
        <f t="shared" si="202"/>
        <v>#VALUE!</v>
      </c>
    </row>
    <row r="3804" spans="1:12" x14ac:dyDescent="0.35">
      <c r="A3804">
        <f t="shared" si="203"/>
        <v>3803</v>
      </c>
      <c r="B3804" t="s">
        <v>756</v>
      </c>
      <c r="C3804" s="109" t="str">
        <f>IF(ISBLANK(K3804),IFERROR(VLOOKUP(I3804,FS_input_data!$C$458:$N$648,Export!J3804,FALSE),""),K3804)</f>
        <v/>
      </c>
      <c r="D3804" s="6"/>
      <c r="E3804" t="s">
        <v>1561</v>
      </c>
      <c r="F3804" s="6"/>
      <c r="G3804" s="116" t="b">
        <f>VLOOKUP(I3790,FS_input_noty,J3790,FALSE)=""</f>
        <v>0</v>
      </c>
      <c r="H3804" s="6" t="s">
        <v>2189</v>
      </c>
      <c r="I3804" t="s">
        <v>1561</v>
      </c>
      <c r="J3804" t="s">
        <v>1561</v>
      </c>
      <c r="L3804">
        <f t="shared" si="202"/>
        <v>1</v>
      </c>
    </row>
    <row r="3805" spans="1:12" x14ac:dyDescent="0.35">
      <c r="A3805" s="9">
        <f t="shared" si="203"/>
        <v>3804</v>
      </c>
      <c r="B3805" t="s">
        <v>757</v>
      </c>
      <c r="C3805" s="109">
        <f>IF(ISBLANK(K3805),IFERROR(VLOOKUP(I3805,FS_input_data!$C$458:$N$648,Export!J3805,FALSE),""),K3805)</f>
        <v>139</v>
      </c>
      <c r="D3805" s="6" t="b">
        <v>0</v>
      </c>
      <c r="E3805" t="s">
        <v>1561</v>
      </c>
      <c r="F3805" s="6"/>
      <c r="G3805" s="116" t="b">
        <f>VLOOKUP(I3790,FS_input_noty,J3790,FALSE)=""</f>
        <v>0</v>
      </c>
      <c r="H3805" s="6" t="s">
        <v>2189</v>
      </c>
      <c r="I3805" t="s">
        <v>1890</v>
      </c>
      <c r="J3805">
        <v>3</v>
      </c>
      <c r="L3805" s="9" t="e">
        <f t="shared" si="202"/>
        <v>#VALUE!</v>
      </c>
    </row>
    <row r="3806" spans="1:12" x14ac:dyDescent="0.35">
      <c r="A3806">
        <f t="shared" si="203"/>
        <v>3805</v>
      </c>
      <c r="B3806" t="s">
        <v>758</v>
      </c>
      <c r="C3806" s="109" t="str">
        <f>IF(ISBLANK(K3806),IFERROR(VLOOKUP(I3806,FS_input_data!$C$458:$N$648,Export!J3806,FALSE),""),K3806)</f>
        <v/>
      </c>
      <c r="D3806" s="6"/>
      <c r="E3806" t="s">
        <v>1561</v>
      </c>
      <c r="F3806" s="6"/>
      <c r="G3806" s="115" t="b">
        <f>VLOOKUP(I3790,FS_input_noty,J3790,FALSE)=""</f>
        <v>0</v>
      </c>
      <c r="H3806" s="6" t="s">
        <v>2189</v>
      </c>
      <c r="I3806" t="s">
        <v>1561</v>
      </c>
      <c r="J3806" t="s">
        <v>1561</v>
      </c>
      <c r="L3806">
        <f t="shared" si="202"/>
        <v>1</v>
      </c>
    </row>
    <row r="3807" spans="1:12" x14ac:dyDescent="0.35">
      <c r="A3807" s="9">
        <f t="shared" si="203"/>
        <v>3806</v>
      </c>
      <c r="B3807" t="s">
        <v>759</v>
      </c>
      <c r="C3807" s="109">
        <f>IF(ISBLANK(K3807),IFERROR(VLOOKUP(I3807,FS_input_data!$C$458:$N$648,Export!J3807,FALSE),""),K3807)</f>
        <v>239</v>
      </c>
      <c r="D3807" s="6" t="b">
        <v>0</v>
      </c>
      <c r="E3807" t="s">
        <v>1561</v>
      </c>
      <c r="F3807" s="6"/>
      <c r="G3807" s="115" t="b">
        <f>VLOOKUP(I3790,FS_input_noty,J3790,FALSE)=""</f>
        <v>0</v>
      </c>
      <c r="H3807" s="6" t="s">
        <v>2189</v>
      </c>
      <c r="I3807" t="s">
        <v>1890</v>
      </c>
      <c r="J3807">
        <v>4</v>
      </c>
      <c r="L3807" s="9" t="e">
        <f t="shared" si="202"/>
        <v>#VALUE!</v>
      </c>
    </row>
    <row r="3808" spans="1:12" x14ac:dyDescent="0.35">
      <c r="A3808">
        <f t="shared" si="203"/>
        <v>3807</v>
      </c>
      <c r="B3808" t="s">
        <v>760</v>
      </c>
      <c r="C3808" s="109" t="str">
        <f>IF(ISBLANK(K3808),IFERROR(VLOOKUP(I3808,FS_input_data!$C$458:$N$648,Export!J3808,FALSE),""),K3808)</f>
        <v/>
      </c>
      <c r="D3808" s="6"/>
      <c r="E3808" t="s">
        <v>1561</v>
      </c>
      <c r="F3808" s="6"/>
      <c r="G3808" s="115" t="b">
        <f>VLOOKUP(I3790,FS_input_noty,J3790,FALSE)=""</f>
        <v>0</v>
      </c>
      <c r="H3808" s="6" t="s">
        <v>2189</v>
      </c>
      <c r="I3808" t="s">
        <v>1561</v>
      </c>
      <c r="J3808" t="s">
        <v>1561</v>
      </c>
      <c r="L3808">
        <f t="shared" si="202"/>
        <v>1</v>
      </c>
    </row>
    <row r="3809" spans="1:12" x14ac:dyDescent="0.35">
      <c r="A3809" s="9">
        <f t="shared" si="203"/>
        <v>3808</v>
      </c>
      <c r="B3809" t="s">
        <v>761</v>
      </c>
      <c r="C3809" s="109" t="str">
        <f>IF(ISBLANK(K3809),IFERROR(VLOOKUP(I3809,FS_input_data!$C$458:$N$648,Export!J3809,FALSE),""),K3809)</f>
        <v>g</v>
      </c>
      <c r="D3809" s="6" t="b">
        <v>0</v>
      </c>
      <c r="E3809" t="s">
        <v>1561</v>
      </c>
      <c r="F3809" s="6"/>
      <c r="G3809" s="115" t="b">
        <f>VLOOKUP(I3790,FS_input_noty,J3790,FALSE)=""</f>
        <v>0</v>
      </c>
      <c r="H3809" s="6" t="s">
        <v>2189</v>
      </c>
      <c r="I3809" t="s">
        <v>1890</v>
      </c>
      <c r="J3809">
        <v>5</v>
      </c>
      <c r="L3809" s="9" t="e">
        <f t="shared" si="202"/>
        <v>#VALUE!</v>
      </c>
    </row>
    <row r="3810" spans="1:12" x14ac:dyDescent="0.35">
      <c r="A3810">
        <f t="shared" si="203"/>
        <v>3809</v>
      </c>
      <c r="B3810" t="s">
        <v>762</v>
      </c>
      <c r="C3810" s="109" t="str">
        <f>IF(ISBLANK(K3810),IFERROR(VLOOKUP(I3810,FS_input_data!$C$458:$N$648,Export!J3810,FALSE),""),K3810)</f>
        <v/>
      </c>
      <c r="D3810" s="6"/>
      <c r="E3810" t="s">
        <v>1561</v>
      </c>
      <c r="F3810" s="6"/>
      <c r="G3810" s="115" t="b">
        <f>VLOOKUP(I3790,FS_input_noty,J3790,FALSE)=""</f>
        <v>0</v>
      </c>
      <c r="H3810" s="6" t="s">
        <v>2189</v>
      </c>
      <c r="I3810" t="s">
        <v>1561</v>
      </c>
      <c r="J3810" t="s">
        <v>1561</v>
      </c>
      <c r="L3810">
        <f t="shared" si="202"/>
        <v>1</v>
      </c>
    </row>
    <row r="3811" spans="1:12" x14ac:dyDescent="0.35">
      <c r="A3811">
        <f t="shared" si="203"/>
        <v>3810</v>
      </c>
      <c r="B3811" t="s">
        <v>763</v>
      </c>
      <c r="C3811" s="109" t="str">
        <f>IF(ISBLANK(K3811),IFERROR(VLOOKUP(I3811,FS_input_data!$C$458:$N$648,Export!J3811,FALSE),""),K3811)</f>
        <v/>
      </c>
      <c r="D3811" s="6"/>
      <c r="E3811" t="s">
        <v>1561</v>
      </c>
      <c r="F3811" s="6"/>
      <c r="G3811" s="115" t="b">
        <f>VLOOKUP(I3790,FS_input_noty,J3790,FALSE)=""</f>
        <v>0</v>
      </c>
      <c r="H3811" s="6" t="s">
        <v>2189</v>
      </c>
      <c r="I3811" t="s">
        <v>1561</v>
      </c>
      <c r="J3811" t="s">
        <v>1561</v>
      </c>
      <c r="L3811">
        <f t="shared" si="202"/>
        <v>1</v>
      </c>
    </row>
    <row r="3812" spans="1:12" x14ac:dyDescent="0.35">
      <c r="A3812">
        <f t="shared" si="203"/>
        <v>3811</v>
      </c>
      <c r="B3812" t="s">
        <v>743</v>
      </c>
      <c r="C3812" s="109" t="str">
        <f>IF(ISBLANK(K3812),IFERROR(VLOOKUP(I3812,FS_input_data!$C$458:$N$648,Export!J3812,FALSE),""),K3812)</f>
        <v/>
      </c>
      <c r="D3812" s="6"/>
      <c r="E3812" t="s">
        <v>1561</v>
      </c>
      <c r="F3812" s="6"/>
      <c r="G3812" s="115" t="b">
        <f>VLOOKUP(I3790,FS_input_noty,J3790,FALSE)=""</f>
        <v>0</v>
      </c>
      <c r="H3812" s="6" t="s">
        <v>2189</v>
      </c>
      <c r="I3812" t="s">
        <v>1561</v>
      </c>
      <c r="J3812" t="s">
        <v>1561</v>
      </c>
      <c r="L3812">
        <f t="shared" si="202"/>
        <v>1</v>
      </c>
    </row>
    <row r="3813" spans="1:12" x14ac:dyDescent="0.35">
      <c r="A3813">
        <f t="shared" si="203"/>
        <v>3812</v>
      </c>
      <c r="B3813" t="s">
        <v>744</v>
      </c>
      <c r="C3813" s="109" t="str">
        <f>IF(ISBLANK(K3813),IFERROR(VLOOKUP(I3813,FS_input_data!$C$458:$N$648,Export!J3813,FALSE),""),K3813)</f>
        <v/>
      </c>
      <c r="D3813" s="6"/>
      <c r="E3813" t="s">
        <v>1561</v>
      </c>
      <c r="F3813" s="6"/>
      <c r="G3813" s="115" t="b">
        <f t="shared" ref="G3813:G3820" si="205">RP_tax</f>
        <v>1</v>
      </c>
      <c r="H3813" s="6" t="s">
        <v>2189</v>
      </c>
      <c r="I3813" t="s">
        <v>1561</v>
      </c>
      <c r="J3813" t="s">
        <v>1561</v>
      </c>
      <c r="L3813" s="9" t="e">
        <f t="shared" si="202"/>
        <v>#VALUE!</v>
      </c>
    </row>
    <row r="3814" spans="1:12" x14ac:dyDescent="0.35">
      <c r="A3814" s="9">
        <f t="shared" si="203"/>
        <v>3813</v>
      </c>
      <c r="B3814" t="s">
        <v>109</v>
      </c>
      <c r="C3814" s="109">
        <f>IF(ISBLANK(K3814),IFERROR(VLOOKUP(I3814,FS_input_data!$C$458:$N$648,Export!J3814,FALSE),""),K3814)</f>
        <v>39000</v>
      </c>
      <c r="D3814" s="6" t="b">
        <v>1</v>
      </c>
      <c r="E3814" t="s">
        <v>1561</v>
      </c>
      <c r="F3814" s="6"/>
      <c r="G3814" s="115" t="b">
        <f t="shared" si="205"/>
        <v>1</v>
      </c>
      <c r="H3814" s="6" t="s">
        <v>2189</v>
      </c>
      <c r="I3814" t="s">
        <v>1890</v>
      </c>
      <c r="J3814">
        <v>10</v>
      </c>
      <c r="L3814" s="9" t="e">
        <f t="shared" si="202"/>
        <v>#VALUE!</v>
      </c>
    </row>
    <row r="3815" spans="1:12" x14ac:dyDescent="0.35">
      <c r="A3815">
        <f t="shared" si="203"/>
        <v>3814</v>
      </c>
      <c r="B3815" t="s">
        <v>110</v>
      </c>
      <c r="C3815" s="109" t="str">
        <f>IF(ISBLANK(K3815),IFERROR(VLOOKUP(I3815,FS_input_data!$C$458:$N$648,Export!J3815,FALSE),""),K3815)</f>
        <v/>
      </c>
      <c r="D3815" s="6"/>
      <c r="E3815" t="s">
        <v>1561</v>
      </c>
      <c r="F3815" s="6"/>
      <c r="G3815" s="115" t="b">
        <f t="shared" si="205"/>
        <v>1</v>
      </c>
      <c r="H3815" s="6" t="s">
        <v>2189</v>
      </c>
      <c r="I3815" t="s">
        <v>1561</v>
      </c>
      <c r="J3815" t="s">
        <v>1561</v>
      </c>
      <c r="L3815">
        <f t="shared" si="202"/>
        <v>1</v>
      </c>
    </row>
    <row r="3816" spans="1:12" x14ac:dyDescent="0.35">
      <c r="A3816" s="9">
        <f t="shared" si="203"/>
        <v>3815</v>
      </c>
      <c r="B3816" t="s">
        <v>111</v>
      </c>
      <c r="C3816" s="109">
        <f>IF(ISBLANK(K3816),IFERROR(VLOOKUP(I3816,FS_input_data!$C$458:$N$648,Export!J3816,FALSE),""),K3816)</f>
        <v>19500</v>
      </c>
      <c r="D3816" s="6" t="b">
        <v>0</v>
      </c>
      <c r="E3816" t="s">
        <v>1561</v>
      </c>
      <c r="F3816" s="6"/>
      <c r="G3816" s="115" t="b">
        <f t="shared" si="205"/>
        <v>1</v>
      </c>
      <c r="H3816" s="6" t="s">
        <v>2189</v>
      </c>
      <c r="I3816" t="s">
        <v>1890</v>
      </c>
      <c r="J3816">
        <v>11</v>
      </c>
      <c r="L3816" s="9" t="e">
        <f t="shared" si="202"/>
        <v>#VALUE!</v>
      </c>
    </row>
    <row r="3817" spans="1:12" x14ac:dyDescent="0.35">
      <c r="A3817">
        <f t="shared" si="203"/>
        <v>3816</v>
      </c>
      <c r="B3817" t="s">
        <v>112</v>
      </c>
      <c r="C3817" s="109" t="str">
        <f>IF(ISBLANK(K3817),IFERROR(VLOOKUP(I3817,FS_input_data!$C$458:$N$648,Export!J3817,FALSE),""),K3817)</f>
        <v/>
      </c>
      <c r="D3817" s="6"/>
      <c r="E3817" t="s">
        <v>1561</v>
      </c>
      <c r="F3817" s="6"/>
      <c r="G3817" s="115" t="b">
        <f t="shared" si="205"/>
        <v>1</v>
      </c>
      <c r="H3817" s="6" t="s">
        <v>2189</v>
      </c>
      <c r="I3817" t="s">
        <v>1561</v>
      </c>
      <c r="J3817" t="s">
        <v>1561</v>
      </c>
      <c r="L3817">
        <f t="shared" si="202"/>
        <v>1</v>
      </c>
    </row>
    <row r="3818" spans="1:12" x14ac:dyDescent="0.35">
      <c r="A3818" s="9">
        <f t="shared" si="203"/>
        <v>3817</v>
      </c>
      <c r="B3818" t="s">
        <v>749</v>
      </c>
      <c r="C3818" s="109">
        <f>IF(ISBLANK(K3818),IFERROR(VLOOKUP(I3818,FS_input_data!$C$458:$N$648,Export!J3818,FALSE),""),K3818)</f>
        <v>19500</v>
      </c>
      <c r="D3818" s="6" t="b">
        <v>0</v>
      </c>
      <c r="E3818" t="s">
        <v>1561</v>
      </c>
      <c r="F3818" s="6"/>
      <c r="G3818" s="115" t="b">
        <f t="shared" si="205"/>
        <v>1</v>
      </c>
      <c r="H3818" s="6" t="s">
        <v>2189</v>
      </c>
      <c r="I3818" t="s">
        <v>1890</v>
      </c>
      <c r="J3818">
        <v>12</v>
      </c>
      <c r="L3818" s="9" t="e">
        <f t="shared" si="202"/>
        <v>#VALUE!</v>
      </c>
    </row>
    <row r="3819" spans="1:12" x14ac:dyDescent="0.35">
      <c r="A3819">
        <f t="shared" si="203"/>
        <v>3818</v>
      </c>
      <c r="B3819" t="s">
        <v>750</v>
      </c>
      <c r="C3819" s="109" t="str">
        <f>IF(ISBLANK(K3819),IFERROR(VLOOKUP(I3819,FS_input_data!$C$458:$N$648,Export!J3819,FALSE),""),K3819)</f>
        <v/>
      </c>
      <c r="D3819" s="6"/>
      <c r="E3819" t="s">
        <v>1561</v>
      </c>
      <c r="F3819" s="6"/>
      <c r="G3819" s="115" t="b">
        <f t="shared" si="205"/>
        <v>1</v>
      </c>
      <c r="H3819" s="6" t="s">
        <v>2189</v>
      </c>
      <c r="I3819" t="s">
        <v>1561</v>
      </c>
      <c r="J3819" t="s">
        <v>1561</v>
      </c>
      <c r="L3819">
        <f t="shared" si="202"/>
        <v>1</v>
      </c>
    </row>
    <row r="3820" spans="1:12" x14ac:dyDescent="0.35">
      <c r="A3820">
        <f t="shared" si="203"/>
        <v>3819</v>
      </c>
      <c r="B3820" t="s">
        <v>745</v>
      </c>
      <c r="C3820" s="109" t="str">
        <f>IF(ISBLANK(K3820),IFERROR(VLOOKUP(I3820,FS_input_data!$C$458:$N$648,Export!J3820,FALSE),""),K3820)</f>
        <v/>
      </c>
      <c r="D3820" s="6"/>
      <c r="E3820" t="s">
        <v>1561</v>
      </c>
      <c r="F3820" s="6"/>
      <c r="G3820" s="115" t="b">
        <f t="shared" si="205"/>
        <v>1</v>
      </c>
      <c r="H3820" s="6" t="s">
        <v>2189</v>
      </c>
      <c r="I3820" t="s">
        <v>1561</v>
      </c>
      <c r="J3820" t="s">
        <v>1561</v>
      </c>
      <c r="L3820">
        <f t="shared" si="202"/>
        <v>1</v>
      </c>
    </row>
    <row r="3821" spans="1:12" x14ac:dyDescent="0.35">
      <c r="A3821">
        <f t="shared" si="203"/>
        <v>3820</v>
      </c>
      <c r="B3821" t="s">
        <v>764</v>
      </c>
      <c r="C3821" s="109" t="str">
        <f>IF(ISBLANK(K3821),IFERROR(VLOOKUP(I3821,FS_input_data!$C$458:$N$648,Export!J3821,FALSE),""),K3821)</f>
        <v/>
      </c>
      <c r="D3821" s="6"/>
      <c r="E3821" t="s">
        <v>1561</v>
      </c>
      <c r="F3821" s="6"/>
      <c r="G3821" s="115" t="b">
        <f>VLOOKUP(I3790,FS_input_noty,J3790,FALSE)=""</f>
        <v>0</v>
      </c>
      <c r="H3821" s="6" t="s">
        <v>2189</v>
      </c>
      <c r="I3821" t="s">
        <v>1561</v>
      </c>
      <c r="J3821" t="s">
        <v>1561</v>
      </c>
      <c r="L3821">
        <f t="shared" si="202"/>
        <v>1</v>
      </c>
    </row>
    <row r="3822" spans="1:12" x14ac:dyDescent="0.35">
      <c r="A3822">
        <f t="shared" si="203"/>
        <v>3821</v>
      </c>
      <c r="B3822" t="s">
        <v>765</v>
      </c>
      <c r="C3822" s="109" t="str">
        <f>IF(ISBLANK(K3822),IFERROR(VLOOKUP(I3822,FS_input_data!$C$458:$N$648,Export!J3822,FALSE),""),K3822)</f>
        <v/>
      </c>
      <c r="D3822" s="6"/>
      <c r="E3822" t="s">
        <v>1561</v>
      </c>
      <c r="F3822" s="6"/>
      <c r="G3822" s="115" t="b">
        <f>VLOOKUP(I3790,FS_input_noty,J3790,FALSE)=""</f>
        <v>0</v>
      </c>
      <c r="H3822" s="6" t="s">
        <v>2189</v>
      </c>
      <c r="I3822" t="s">
        <v>1561</v>
      </c>
      <c r="J3822" t="s">
        <v>1561</v>
      </c>
      <c r="L3822">
        <f t="shared" si="202"/>
        <v>1</v>
      </c>
    </row>
    <row r="3823" spans="1:12" x14ac:dyDescent="0.35">
      <c r="A3823">
        <f t="shared" si="203"/>
        <v>3822</v>
      </c>
      <c r="B3823" t="s">
        <v>752</v>
      </c>
      <c r="C3823" s="109" t="str">
        <f>IF(ISBLANK(K3823),IFERROR(VLOOKUP(I3823,FS_input_data!$C$458:$N$648,Export!J3823,FALSE),""),K3823)</f>
        <v/>
      </c>
      <c r="D3823" s="6"/>
      <c r="E3823" t="s">
        <v>1561</v>
      </c>
      <c r="F3823" s="6"/>
      <c r="G3823" s="115" t="b">
        <f>VLOOKUP(I3824,FS_input_noty,J3824,FALSE)=""</f>
        <v>0</v>
      </c>
      <c r="H3823" s="6" t="s">
        <v>2189</v>
      </c>
      <c r="I3823" t="s">
        <v>1561</v>
      </c>
      <c r="J3823" t="s">
        <v>1561</v>
      </c>
      <c r="L3823" s="9" t="e">
        <f t="shared" si="202"/>
        <v>#VALUE!</v>
      </c>
    </row>
    <row r="3824" spans="1:12" x14ac:dyDescent="0.35">
      <c r="A3824" s="9">
        <f t="shared" si="203"/>
        <v>3823</v>
      </c>
      <c r="B3824" t="s">
        <v>101</v>
      </c>
      <c r="C3824" s="109" t="str">
        <f>IF(ISBLANK(K3824),IFERROR(VLOOKUP(I3824,FS_input_data!$C$458:$N$648,Export!J3824,FALSE),""),K3824)</f>
        <v>OC18</v>
      </c>
      <c r="D3824" s="6" t="b">
        <v>1</v>
      </c>
      <c r="E3824" t="s">
        <v>1561</v>
      </c>
      <c r="F3824" s="6"/>
      <c r="G3824" s="115" t="b">
        <f>VLOOKUP(I3824,FS_input_noty,J3824,FALSE)=""</f>
        <v>0</v>
      </c>
      <c r="H3824" s="6" t="s">
        <v>2189</v>
      </c>
      <c r="I3824" t="s">
        <v>1892</v>
      </c>
      <c r="J3824">
        <v>6</v>
      </c>
      <c r="L3824" s="9" t="e">
        <f t="shared" si="202"/>
        <v>#VALUE!</v>
      </c>
    </row>
    <row r="3825" spans="1:12" x14ac:dyDescent="0.35">
      <c r="A3825">
        <f t="shared" si="203"/>
        <v>3824</v>
      </c>
      <c r="B3825" t="s">
        <v>102</v>
      </c>
      <c r="C3825" s="109" t="str">
        <f>IF(ISBLANK(K3825),IFERROR(VLOOKUP(I3825,FS_input_data!$C$458:$N$648,Export!J3825,FALSE),""),K3825)</f>
        <v/>
      </c>
      <c r="D3825" s="6"/>
      <c r="E3825" t="s">
        <v>1561</v>
      </c>
      <c r="F3825" s="6"/>
      <c r="G3825" s="115" t="b">
        <f>VLOOKUP(I3824,FS_input_noty,J3824,FALSE)=""</f>
        <v>0</v>
      </c>
      <c r="H3825" s="6" t="s">
        <v>2189</v>
      </c>
      <c r="I3825" t="s">
        <v>1561</v>
      </c>
      <c r="J3825" t="s">
        <v>1561</v>
      </c>
      <c r="L3825">
        <f t="shared" si="202"/>
        <v>1</v>
      </c>
    </row>
    <row r="3826" spans="1:12" x14ac:dyDescent="0.35">
      <c r="A3826">
        <f t="shared" si="203"/>
        <v>3825</v>
      </c>
      <c r="B3826" t="s">
        <v>753</v>
      </c>
      <c r="C3826" s="109" t="str">
        <f>IF(ISBLANK(K3826),IFERROR(VLOOKUP(I3826,FS_input_data!$C$458:$N$648,Export!J3826,FALSE),""),K3826)</f>
        <v/>
      </c>
      <c r="D3826" s="6"/>
      <c r="E3826" t="s">
        <v>1561</v>
      </c>
      <c r="F3826" s="6"/>
      <c r="G3826" s="115" t="b">
        <f>VLOOKUP(I3824,FS_input_noty,J3824,FALSE)=""</f>
        <v>0</v>
      </c>
      <c r="H3826" s="6" t="s">
        <v>2189</v>
      </c>
      <c r="I3826" t="s">
        <v>1561</v>
      </c>
      <c r="J3826" t="s">
        <v>1561</v>
      </c>
      <c r="L3826" s="9" t="e">
        <f t="shared" si="202"/>
        <v>#VALUE!</v>
      </c>
    </row>
    <row r="3827" spans="1:12" x14ac:dyDescent="0.35">
      <c r="A3827">
        <f t="shared" si="203"/>
        <v>3826</v>
      </c>
      <c r="B3827" t="s">
        <v>742</v>
      </c>
      <c r="C3827" s="109" t="str">
        <f>IF(ISBLANK(K3827),IFERROR(VLOOKUP(I3827,FS_input_data!$C$458:$N$648,Export!J3827,FALSE),""),K3827)</f>
        <v/>
      </c>
      <c r="D3827" s="6"/>
      <c r="E3827" t="s">
        <v>1561</v>
      </c>
      <c r="F3827" s="6"/>
      <c r="G3827" s="115" t="b">
        <f>VLOOKUP(I3824,FS_input_noty,J3824,FALSE)=""</f>
        <v>0</v>
      </c>
      <c r="H3827" s="6" t="s">
        <v>2189</v>
      </c>
      <c r="I3827" t="s">
        <v>1561</v>
      </c>
      <c r="J3827" t="s">
        <v>1561</v>
      </c>
      <c r="L3827" s="9" t="e">
        <f t="shared" si="202"/>
        <v>#VALUE!</v>
      </c>
    </row>
    <row r="3828" spans="1:12" x14ac:dyDescent="0.35">
      <c r="A3828">
        <f t="shared" si="203"/>
        <v>3827</v>
      </c>
      <c r="B3828" t="s">
        <v>748</v>
      </c>
      <c r="C3828" s="109" t="str">
        <f>IF(ISBLANK(K3828),IFERROR(VLOOKUP(I3828,FS_input_data!$C$458:$N$648,Export!J3828,FALSE),""),K3828)</f>
        <v/>
      </c>
      <c r="D3828" s="6"/>
      <c r="E3828" t="s">
        <v>1561</v>
      </c>
      <c r="F3828" s="6"/>
      <c r="G3828" s="115" t="b">
        <f>VLOOKUP(I3824,FS_input_noty,J3824,FALSE)=""</f>
        <v>0</v>
      </c>
      <c r="H3828" s="6" t="s">
        <v>2189</v>
      </c>
      <c r="I3828" t="s">
        <v>1561</v>
      </c>
      <c r="J3828" t="s">
        <v>1561</v>
      </c>
      <c r="L3828" s="9" t="e">
        <f t="shared" si="202"/>
        <v>#VALUE!</v>
      </c>
    </row>
    <row r="3829" spans="1:12" x14ac:dyDescent="0.35">
      <c r="A3829" s="9">
        <f t="shared" si="203"/>
        <v>3828</v>
      </c>
      <c r="B3829" t="s">
        <v>109</v>
      </c>
      <c r="C3829" s="109">
        <f>IF(ISBLANK(K3829),IFERROR(VLOOKUP(I3829,FS_input_data!$C$458:$N$648,Export!J3829,FALSE),""),K3829)</f>
        <v>40000</v>
      </c>
      <c r="D3829" s="6" t="b">
        <v>1</v>
      </c>
      <c r="E3829" t="s">
        <v>1561</v>
      </c>
      <c r="F3829" s="6"/>
      <c r="G3829" s="115" t="b">
        <f>VLOOKUP(I3824,FS_input_noty,J3824,FALSE)=""</f>
        <v>0</v>
      </c>
      <c r="H3829" s="6" t="s">
        <v>2189</v>
      </c>
      <c r="I3829" t="s">
        <v>1892</v>
      </c>
      <c r="J3829">
        <v>7</v>
      </c>
      <c r="L3829" s="9" t="e">
        <f t="shared" si="202"/>
        <v>#VALUE!</v>
      </c>
    </row>
    <row r="3830" spans="1:12" x14ac:dyDescent="0.35">
      <c r="A3830">
        <f t="shared" si="203"/>
        <v>3829</v>
      </c>
      <c r="B3830" t="s">
        <v>110</v>
      </c>
      <c r="C3830" s="109" t="str">
        <f>IF(ISBLANK(K3830),IFERROR(VLOOKUP(I3830,FS_input_data!$C$458:$N$648,Export!J3830,FALSE),""),K3830)</f>
        <v/>
      </c>
      <c r="D3830" s="6"/>
      <c r="E3830" t="s">
        <v>1561</v>
      </c>
      <c r="F3830" s="6"/>
      <c r="G3830" s="115" t="b">
        <f>VLOOKUP(I3824,FS_input_noty,J3824,FALSE)=""</f>
        <v>0</v>
      </c>
      <c r="H3830" s="6" t="s">
        <v>2189</v>
      </c>
      <c r="I3830" t="s">
        <v>1561</v>
      </c>
      <c r="J3830" t="s">
        <v>1561</v>
      </c>
      <c r="L3830">
        <f t="shared" si="202"/>
        <v>1</v>
      </c>
    </row>
    <row r="3831" spans="1:12" x14ac:dyDescent="0.35">
      <c r="A3831" s="9">
        <f t="shared" si="203"/>
        <v>3830</v>
      </c>
      <c r="B3831" t="s">
        <v>111</v>
      </c>
      <c r="C3831" s="109">
        <f>IF(ISBLANK(K3831),IFERROR(VLOOKUP(I3831,FS_input_data!$C$458:$N$648,Export!J3831,FALSE),""),K3831)</f>
        <v>20000</v>
      </c>
      <c r="D3831" s="6" t="b">
        <v>0</v>
      </c>
      <c r="E3831" t="s">
        <v>1561</v>
      </c>
      <c r="F3831" s="6"/>
      <c r="G3831" s="115" t="b">
        <f>VLOOKUP(I3824,FS_input_noty,J3824,TRUE)=""</f>
        <v>0</v>
      </c>
      <c r="H3831" s="6" t="s">
        <v>2189</v>
      </c>
      <c r="I3831" t="s">
        <v>1892</v>
      </c>
      <c r="J3831">
        <v>8</v>
      </c>
      <c r="L3831" s="9" t="e">
        <f t="shared" si="202"/>
        <v>#VALUE!</v>
      </c>
    </row>
    <row r="3832" spans="1:12" x14ac:dyDescent="0.35">
      <c r="A3832">
        <f t="shared" si="203"/>
        <v>3831</v>
      </c>
      <c r="B3832" t="s">
        <v>112</v>
      </c>
      <c r="C3832" s="109" t="str">
        <f>IF(ISBLANK(K3832),IFERROR(VLOOKUP(I3832,FS_input_data!$C$458:$N$648,Export!J3832,FALSE),""),K3832)</f>
        <v/>
      </c>
      <c r="D3832" s="6"/>
      <c r="E3832" t="s">
        <v>1561</v>
      </c>
      <c r="F3832" s="6"/>
      <c r="G3832" s="116" t="b">
        <f>VLOOKUP(I3824,FS_input_noty,J3824,FALSE)=""</f>
        <v>0</v>
      </c>
      <c r="H3832" s="6" t="s">
        <v>2189</v>
      </c>
      <c r="I3832" t="s">
        <v>1561</v>
      </c>
      <c r="J3832" t="s">
        <v>1561</v>
      </c>
      <c r="L3832">
        <f t="shared" si="202"/>
        <v>1</v>
      </c>
    </row>
    <row r="3833" spans="1:12" x14ac:dyDescent="0.35">
      <c r="A3833" s="9">
        <f t="shared" si="203"/>
        <v>3832</v>
      </c>
      <c r="B3833" t="s">
        <v>749</v>
      </c>
      <c r="C3833" s="109">
        <f>IF(ISBLANK(K3833),IFERROR(VLOOKUP(I3833,FS_input_data!$C$458:$N$648,Export!J3833,FALSE),""),K3833)</f>
        <v>20000</v>
      </c>
      <c r="D3833" s="6" t="b">
        <v>0</v>
      </c>
      <c r="E3833" t="s">
        <v>1561</v>
      </c>
      <c r="F3833" s="6"/>
      <c r="G3833" s="116" t="b">
        <f>VLOOKUP(I3824,FS_input_noty,J3824,FALSE)=""</f>
        <v>0</v>
      </c>
      <c r="H3833" s="6" t="s">
        <v>2189</v>
      </c>
      <c r="I3833" t="s">
        <v>1892</v>
      </c>
      <c r="J3833">
        <v>9</v>
      </c>
      <c r="L3833" s="9" t="e">
        <f t="shared" si="202"/>
        <v>#VALUE!</v>
      </c>
    </row>
    <row r="3834" spans="1:12" x14ac:dyDescent="0.35">
      <c r="A3834">
        <f t="shared" si="203"/>
        <v>3833</v>
      </c>
      <c r="B3834" t="s">
        <v>750</v>
      </c>
      <c r="C3834" s="109" t="str">
        <f>IF(ISBLANK(K3834),IFERROR(VLOOKUP(I3834,FS_input_data!$C$458:$N$648,Export!J3834,FALSE),""),K3834)</f>
        <v/>
      </c>
      <c r="D3834" s="6"/>
      <c r="E3834" t="s">
        <v>1561</v>
      </c>
      <c r="F3834" s="6"/>
      <c r="G3834" s="116" t="b">
        <f>VLOOKUP(I3824,FS_input_noty,J3824,FALSE)=""</f>
        <v>0</v>
      </c>
      <c r="H3834" s="6" t="s">
        <v>2189</v>
      </c>
      <c r="I3834" t="s">
        <v>1561</v>
      </c>
      <c r="J3834" t="s">
        <v>1561</v>
      </c>
      <c r="L3834">
        <f t="shared" si="202"/>
        <v>1</v>
      </c>
    </row>
    <row r="3835" spans="1:12" x14ac:dyDescent="0.35">
      <c r="A3835">
        <f t="shared" si="203"/>
        <v>3834</v>
      </c>
      <c r="B3835" t="s">
        <v>751</v>
      </c>
      <c r="C3835" s="109" t="str">
        <f>IF(ISBLANK(K3835),IFERROR(VLOOKUP(I3835,FS_input_data!$C$458:$N$648,Export!J3835,FALSE),""),K3835)</f>
        <v/>
      </c>
      <c r="D3835" s="6"/>
      <c r="E3835" t="s">
        <v>1561</v>
      </c>
      <c r="F3835" s="6"/>
      <c r="G3835" s="116" t="b">
        <f>VLOOKUP(I3824,FS_input_noty,J3824,FALSE)=""</f>
        <v>0</v>
      </c>
      <c r="H3835" s="6" t="s">
        <v>2189</v>
      </c>
      <c r="I3835" t="s">
        <v>1561</v>
      </c>
      <c r="J3835" t="s">
        <v>1561</v>
      </c>
      <c r="L3835">
        <f t="shared" si="202"/>
        <v>1</v>
      </c>
    </row>
    <row r="3836" spans="1:12" x14ac:dyDescent="0.35">
      <c r="A3836">
        <f t="shared" si="203"/>
        <v>3835</v>
      </c>
      <c r="B3836" t="s">
        <v>754</v>
      </c>
      <c r="C3836" s="109" t="str">
        <f>IF(ISBLANK(K3836),IFERROR(VLOOKUP(I3836,FS_input_data!$C$458:$N$648,Export!J3836,FALSE),""),K3836)</f>
        <v/>
      </c>
      <c r="D3836" s="6"/>
      <c r="E3836" t="s">
        <v>1561</v>
      </c>
      <c r="F3836" s="6"/>
      <c r="G3836" s="116" t="b">
        <f>VLOOKUP(I3824,FS_input_noty,J3824,FALSE)=""</f>
        <v>0</v>
      </c>
      <c r="H3836" s="6" t="s">
        <v>2189</v>
      </c>
      <c r="I3836" t="s">
        <v>1561</v>
      </c>
      <c r="J3836" t="s">
        <v>1561</v>
      </c>
      <c r="L3836" s="9" t="e">
        <f t="shared" si="202"/>
        <v>#VALUE!</v>
      </c>
    </row>
    <row r="3837" spans="1:12" x14ac:dyDescent="0.35">
      <c r="A3837" s="9">
        <f t="shared" si="203"/>
        <v>3836</v>
      </c>
      <c r="B3837" t="s">
        <v>755</v>
      </c>
      <c r="C3837" s="109">
        <f>IF(ISBLANK(K3837),IFERROR(VLOOKUP(I3837,FS_input_data!$C$458:$N$648,Export!J3837,FALSE),""),K3837)</f>
        <v>40</v>
      </c>
      <c r="D3837" s="6" t="b">
        <v>1</v>
      </c>
      <c r="E3837" t="s">
        <v>1561</v>
      </c>
      <c r="F3837" s="6"/>
      <c r="G3837" s="116" t="b">
        <f>VLOOKUP(I3824,FS_input_noty,J3824,FALSE)=""</f>
        <v>0</v>
      </c>
      <c r="H3837" s="6" t="s">
        <v>2189</v>
      </c>
      <c r="I3837" t="s">
        <v>1892</v>
      </c>
      <c r="J3837">
        <v>2</v>
      </c>
      <c r="L3837" s="9" t="e">
        <f t="shared" si="202"/>
        <v>#VALUE!</v>
      </c>
    </row>
    <row r="3838" spans="1:12" x14ac:dyDescent="0.35">
      <c r="A3838">
        <f t="shared" si="203"/>
        <v>3837</v>
      </c>
      <c r="B3838" t="s">
        <v>756</v>
      </c>
      <c r="C3838" s="109" t="str">
        <f>IF(ISBLANK(K3838),IFERROR(VLOOKUP(I3838,FS_input_data!$C$458:$N$648,Export!J3838,FALSE),""),K3838)</f>
        <v/>
      </c>
      <c r="D3838" s="6"/>
      <c r="E3838" t="s">
        <v>1561</v>
      </c>
      <c r="F3838" s="6"/>
      <c r="G3838" s="116" t="b">
        <f>VLOOKUP(I3824,FS_input_noty,J3824,FALSE)=""</f>
        <v>0</v>
      </c>
      <c r="H3838" s="6" t="s">
        <v>2189</v>
      </c>
      <c r="I3838" t="s">
        <v>1561</v>
      </c>
      <c r="J3838" t="s">
        <v>1561</v>
      </c>
      <c r="L3838">
        <f t="shared" si="202"/>
        <v>1</v>
      </c>
    </row>
    <row r="3839" spans="1:12" x14ac:dyDescent="0.35">
      <c r="A3839" s="9">
        <f t="shared" si="203"/>
        <v>3838</v>
      </c>
      <c r="B3839" t="s">
        <v>757</v>
      </c>
      <c r="C3839" s="109">
        <f>IF(ISBLANK(K3839),IFERROR(VLOOKUP(I3839,FS_input_data!$C$458:$N$648,Export!J3839,FALSE),""),K3839)</f>
        <v>140</v>
      </c>
      <c r="D3839" s="6" t="b">
        <v>0</v>
      </c>
      <c r="E3839" t="s">
        <v>1561</v>
      </c>
      <c r="F3839" s="6"/>
      <c r="G3839" s="116" t="b">
        <f>VLOOKUP(I3824,FS_input_noty,J3824,FALSE)=""</f>
        <v>0</v>
      </c>
      <c r="H3839" s="6" t="s">
        <v>2189</v>
      </c>
      <c r="I3839" t="s">
        <v>1892</v>
      </c>
      <c r="J3839">
        <v>3</v>
      </c>
      <c r="L3839" s="9" t="e">
        <f t="shared" si="202"/>
        <v>#VALUE!</v>
      </c>
    </row>
    <row r="3840" spans="1:12" x14ac:dyDescent="0.35">
      <c r="A3840">
        <f t="shared" si="203"/>
        <v>3839</v>
      </c>
      <c r="B3840" t="s">
        <v>758</v>
      </c>
      <c r="C3840" s="109" t="str">
        <f>IF(ISBLANK(K3840),IFERROR(VLOOKUP(I3840,FS_input_data!$C$458:$N$648,Export!J3840,FALSE),""),K3840)</f>
        <v/>
      </c>
      <c r="D3840" s="6"/>
      <c r="E3840" t="s">
        <v>1561</v>
      </c>
      <c r="F3840" s="6"/>
      <c r="G3840" s="115" t="b">
        <f>VLOOKUP(I3824,FS_input_noty,J3824,FALSE)=""</f>
        <v>0</v>
      </c>
      <c r="H3840" s="6" t="s">
        <v>2189</v>
      </c>
      <c r="I3840" t="s">
        <v>1561</v>
      </c>
      <c r="J3840" t="s">
        <v>1561</v>
      </c>
      <c r="L3840">
        <f t="shared" si="202"/>
        <v>1</v>
      </c>
    </row>
    <row r="3841" spans="1:12" x14ac:dyDescent="0.35">
      <c r="A3841" s="9">
        <f t="shared" si="203"/>
        <v>3840</v>
      </c>
      <c r="B3841" t="s">
        <v>759</v>
      </c>
      <c r="C3841" s="109">
        <f>IF(ISBLANK(K3841),IFERROR(VLOOKUP(I3841,FS_input_data!$C$458:$N$648,Export!J3841,FALSE),""),K3841)</f>
        <v>240</v>
      </c>
      <c r="D3841" s="6" t="b">
        <v>0</v>
      </c>
      <c r="E3841" t="s">
        <v>1561</v>
      </c>
      <c r="F3841" s="6"/>
      <c r="G3841" s="115" t="b">
        <f>VLOOKUP(I3824,FS_input_noty,J3824,FALSE)=""</f>
        <v>0</v>
      </c>
      <c r="H3841" s="6" t="s">
        <v>2189</v>
      </c>
      <c r="I3841" t="s">
        <v>1892</v>
      </c>
      <c r="J3841">
        <v>4</v>
      </c>
      <c r="L3841" s="9" t="e">
        <f t="shared" si="202"/>
        <v>#VALUE!</v>
      </c>
    </row>
    <row r="3842" spans="1:12" x14ac:dyDescent="0.35">
      <c r="A3842">
        <f t="shared" si="203"/>
        <v>3841</v>
      </c>
      <c r="B3842" t="s">
        <v>760</v>
      </c>
      <c r="C3842" s="109" t="str">
        <f>IF(ISBLANK(K3842),IFERROR(VLOOKUP(I3842,FS_input_data!$C$458:$N$648,Export!J3842,FALSE),""),K3842)</f>
        <v/>
      </c>
      <c r="D3842" s="6"/>
      <c r="E3842" t="s">
        <v>1561</v>
      </c>
      <c r="F3842" s="6"/>
      <c r="G3842" s="115" t="b">
        <f>VLOOKUP(I3824,FS_input_noty,J3824,FALSE)=""</f>
        <v>0</v>
      </c>
      <c r="H3842" s="6" t="s">
        <v>2189</v>
      </c>
      <c r="I3842" t="s">
        <v>1561</v>
      </c>
      <c r="J3842" t="s">
        <v>1561</v>
      </c>
      <c r="L3842">
        <f t="shared" ref="L3842:L3905" si="206">FIND("/",B3842)</f>
        <v>1</v>
      </c>
    </row>
    <row r="3843" spans="1:12" x14ac:dyDescent="0.35">
      <c r="A3843" s="9">
        <f t="shared" ref="A3843:A3906" si="207">A3842+1</f>
        <v>3842</v>
      </c>
      <c r="B3843" t="s">
        <v>761</v>
      </c>
      <c r="C3843" s="109" t="str">
        <f>IF(ISBLANK(K3843),IFERROR(VLOOKUP(I3843,FS_input_data!$C$458:$N$648,Export!J3843,FALSE),""),K3843)</f>
        <v>h</v>
      </c>
      <c r="D3843" s="6" t="b">
        <v>0</v>
      </c>
      <c r="E3843" t="s">
        <v>1561</v>
      </c>
      <c r="F3843" s="6"/>
      <c r="G3843" s="115" t="b">
        <f>VLOOKUP(I3824,FS_input_noty,J3824,FALSE)=""</f>
        <v>0</v>
      </c>
      <c r="H3843" s="6" t="s">
        <v>2189</v>
      </c>
      <c r="I3843" t="s">
        <v>1892</v>
      </c>
      <c r="J3843">
        <v>5</v>
      </c>
      <c r="L3843" s="9" t="e">
        <f t="shared" si="206"/>
        <v>#VALUE!</v>
      </c>
    </row>
    <row r="3844" spans="1:12" x14ac:dyDescent="0.35">
      <c r="A3844">
        <f t="shared" si="207"/>
        <v>3843</v>
      </c>
      <c r="B3844" t="s">
        <v>762</v>
      </c>
      <c r="C3844" s="109" t="str">
        <f>IF(ISBLANK(K3844),IFERROR(VLOOKUP(I3844,FS_input_data!$C$458:$N$648,Export!J3844,FALSE),""),K3844)</f>
        <v/>
      </c>
      <c r="D3844" s="6"/>
      <c r="E3844" t="s">
        <v>1561</v>
      </c>
      <c r="F3844" s="6"/>
      <c r="G3844" s="115" t="b">
        <f>VLOOKUP(I3824,FS_input_noty,J3824,FALSE)=""</f>
        <v>0</v>
      </c>
      <c r="H3844" s="6" t="s">
        <v>2189</v>
      </c>
      <c r="I3844" t="s">
        <v>1561</v>
      </c>
      <c r="J3844" t="s">
        <v>1561</v>
      </c>
      <c r="L3844">
        <f t="shared" si="206"/>
        <v>1</v>
      </c>
    </row>
    <row r="3845" spans="1:12" x14ac:dyDescent="0.35">
      <c r="A3845">
        <f t="shared" si="207"/>
        <v>3844</v>
      </c>
      <c r="B3845" t="s">
        <v>763</v>
      </c>
      <c r="C3845" s="109" t="str">
        <f>IF(ISBLANK(K3845),IFERROR(VLOOKUP(I3845,FS_input_data!$C$458:$N$648,Export!J3845,FALSE),""),K3845)</f>
        <v/>
      </c>
      <c r="D3845" s="6"/>
      <c r="E3845" t="s">
        <v>1561</v>
      </c>
      <c r="F3845" s="6"/>
      <c r="G3845" s="115" t="b">
        <f>VLOOKUP(I3824,FS_input_noty,J3824,FALSE)=""</f>
        <v>0</v>
      </c>
      <c r="H3845" s="6" t="s">
        <v>2189</v>
      </c>
      <c r="I3845" t="s">
        <v>1561</v>
      </c>
      <c r="J3845" t="s">
        <v>1561</v>
      </c>
      <c r="L3845">
        <f t="shared" si="206"/>
        <v>1</v>
      </c>
    </row>
    <row r="3846" spans="1:12" x14ac:dyDescent="0.35">
      <c r="A3846">
        <f t="shared" si="207"/>
        <v>3845</v>
      </c>
      <c r="B3846" t="s">
        <v>743</v>
      </c>
      <c r="C3846" s="109" t="str">
        <f>IF(ISBLANK(K3846),IFERROR(VLOOKUP(I3846,FS_input_data!$C$458:$N$648,Export!J3846,FALSE),""),K3846)</f>
        <v/>
      </c>
      <c r="D3846" s="6"/>
      <c r="E3846" t="s">
        <v>1561</v>
      </c>
      <c r="F3846" s="6"/>
      <c r="G3846" s="115" t="b">
        <f>VLOOKUP(I3824,FS_input_noty,J3824,FALSE)=""</f>
        <v>0</v>
      </c>
      <c r="H3846" s="6" t="s">
        <v>2189</v>
      </c>
      <c r="I3846" t="s">
        <v>1561</v>
      </c>
      <c r="J3846" t="s">
        <v>1561</v>
      </c>
      <c r="L3846">
        <f t="shared" si="206"/>
        <v>1</v>
      </c>
    </row>
    <row r="3847" spans="1:12" x14ac:dyDescent="0.35">
      <c r="A3847">
        <f t="shared" si="207"/>
        <v>3846</v>
      </c>
      <c r="B3847" t="s">
        <v>744</v>
      </c>
      <c r="C3847" s="109" t="str">
        <f>IF(ISBLANK(K3847),IFERROR(VLOOKUP(I3847,FS_input_data!$C$458:$N$648,Export!J3847,FALSE),""),K3847)</f>
        <v/>
      </c>
      <c r="D3847" s="6"/>
      <c r="E3847" t="s">
        <v>1561</v>
      </c>
      <c r="F3847" s="6"/>
      <c r="G3847" s="115" t="b">
        <f t="shared" ref="G3847:G3854" si="208">RP_tax</f>
        <v>1</v>
      </c>
      <c r="H3847" s="6" t="s">
        <v>2189</v>
      </c>
      <c r="I3847" t="s">
        <v>1561</v>
      </c>
      <c r="J3847" t="s">
        <v>1561</v>
      </c>
      <c r="L3847" s="9" t="e">
        <f t="shared" si="206"/>
        <v>#VALUE!</v>
      </c>
    </row>
    <row r="3848" spans="1:12" x14ac:dyDescent="0.35">
      <c r="A3848" s="9">
        <f t="shared" si="207"/>
        <v>3847</v>
      </c>
      <c r="B3848" t="s">
        <v>109</v>
      </c>
      <c r="C3848" s="109">
        <f>IF(ISBLANK(K3848),IFERROR(VLOOKUP(I3848,FS_input_data!$C$458:$N$648,Export!J3848,FALSE),""),K3848)</f>
        <v>40000</v>
      </c>
      <c r="D3848" s="6" t="b">
        <v>1</v>
      </c>
      <c r="E3848" t="s">
        <v>1561</v>
      </c>
      <c r="F3848" s="6"/>
      <c r="G3848" s="115" t="b">
        <f t="shared" si="208"/>
        <v>1</v>
      </c>
      <c r="H3848" s="6" t="s">
        <v>2189</v>
      </c>
      <c r="I3848" t="s">
        <v>1892</v>
      </c>
      <c r="J3848">
        <v>10</v>
      </c>
      <c r="L3848" s="9" t="e">
        <f t="shared" si="206"/>
        <v>#VALUE!</v>
      </c>
    </row>
    <row r="3849" spans="1:12" x14ac:dyDescent="0.35">
      <c r="A3849">
        <f t="shared" si="207"/>
        <v>3848</v>
      </c>
      <c r="B3849" t="s">
        <v>110</v>
      </c>
      <c r="C3849" s="109" t="str">
        <f>IF(ISBLANK(K3849),IFERROR(VLOOKUP(I3849,FS_input_data!$C$458:$N$648,Export!J3849,FALSE),""),K3849)</f>
        <v/>
      </c>
      <c r="D3849" s="6"/>
      <c r="E3849" t="s">
        <v>1561</v>
      </c>
      <c r="F3849" s="6"/>
      <c r="G3849" s="115" t="b">
        <f t="shared" si="208"/>
        <v>1</v>
      </c>
      <c r="H3849" s="6" t="s">
        <v>2189</v>
      </c>
      <c r="I3849" t="s">
        <v>1561</v>
      </c>
      <c r="J3849" t="s">
        <v>1561</v>
      </c>
      <c r="L3849">
        <f t="shared" si="206"/>
        <v>1</v>
      </c>
    </row>
    <row r="3850" spans="1:12" x14ac:dyDescent="0.35">
      <c r="A3850" s="9">
        <f t="shared" si="207"/>
        <v>3849</v>
      </c>
      <c r="B3850" t="s">
        <v>111</v>
      </c>
      <c r="C3850" s="109">
        <f>IF(ISBLANK(K3850),IFERROR(VLOOKUP(I3850,FS_input_data!$C$458:$N$648,Export!J3850,FALSE),""),K3850)</f>
        <v>20000</v>
      </c>
      <c r="D3850" s="6" t="b">
        <v>0</v>
      </c>
      <c r="E3850" t="s">
        <v>1561</v>
      </c>
      <c r="F3850" s="6"/>
      <c r="G3850" s="115" t="b">
        <f t="shared" si="208"/>
        <v>1</v>
      </c>
      <c r="H3850" s="6" t="s">
        <v>2189</v>
      </c>
      <c r="I3850" t="s">
        <v>1892</v>
      </c>
      <c r="J3850">
        <v>11</v>
      </c>
      <c r="L3850" s="9" t="e">
        <f t="shared" si="206"/>
        <v>#VALUE!</v>
      </c>
    </row>
    <row r="3851" spans="1:12" x14ac:dyDescent="0.35">
      <c r="A3851">
        <f t="shared" si="207"/>
        <v>3850</v>
      </c>
      <c r="B3851" t="s">
        <v>112</v>
      </c>
      <c r="C3851" s="109" t="str">
        <f>IF(ISBLANK(K3851),IFERROR(VLOOKUP(I3851,FS_input_data!$C$458:$N$648,Export!J3851,FALSE),""),K3851)</f>
        <v/>
      </c>
      <c r="D3851" s="6"/>
      <c r="E3851" t="s">
        <v>1561</v>
      </c>
      <c r="F3851" s="6"/>
      <c r="G3851" s="115" t="b">
        <f t="shared" si="208"/>
        <v>1</v>
      </c>
      <c r="H3851" s="6" t="s">
        <v>2189</v>
      </c>
      <c r="I3851" t="s">
        <v>1561</v>
      </c>
      <c r="J3851" t="s">
        <v>1561</v>
      </c>
      <c r="L3851">
        <f t="shared" si="206"/>
        <v>1</v>
      </c>
    </row>
    <row r="3852" spans="1:12" x14ac:dyDescent="0.35">
      <c r="A3852" s="9">
        <f t="shared" si="207"/>
        <v>3851</v>
      </c>
      <c r="B3852" t="s">
        <v>749</v>
      </c>
      <c r="C3852" s="109">
        <f>IF(ISBLANK(K3852),IFERROR(VLOOKUP(I3852,FS_input_data!$C$458:$N$648,Export!J3852,FALSE),""),K3852)</f>
        <v>20000</v>
      </c>
      <c r="D3852" s="6" t="b">
        <v>0</v>
      </c>
      <c r="E3852" t="s">
        <v>1561</v>
      </c>
      <c r="F3852" s="6"/>
      <c r="G3852" s="115" t="b">
        <f t="shared" si="208"/>
        <v>1</v>
      </c>
      <c r="H3852" s="6" t="s">
        <v>2189</v>
      </c>
      <c r="I3852" t="s">
        <v>1892</v>
      </c>
      <c r="J3852">
        <v>12</v>
      </c>
      <c r="L3852" s="9" t="e">
        <f t="shared" si="206"/>
        <v>#VALUE!</v>
      </c>
    </row>
    <row r="3853" spans="1:12" x14ac:dyDescent="0.35">
      <c r="A3853">
        <f t="shared" si="207"/>
        <v>3852</v>
      </c>
      <c r="B3853" t="s">
        <v>750</v>
      </c>
      <c r="C3853" s="109" t="str">
        <f>IF(ISBLANK(K3853),IFERROR(VLOOKUP(I3853,FS_input_data!$C$458:$N$648,Export!J3853,FALSE),""),K3853)</f>
        <v/>
      </c>
      <c r="D3853" s="6"/>
      <c r="E3853" t="s">
        <v>1561</v>
      </c>
      <c r="F3853" s="6"/>
      <c r="G3853" s="115" t="b">
        <f t="shared" si="208"/>
        <v>1</v>
      </c>
      <c r="H3853" s="6" t="s">
        <v>2189</v>
      </c>
      <c r="I3853" t="s">
        <v>1561</v>
      </c>
      <c r="J3853" t="s">
        <v>1561</v>
      </c>
      <c r="L3853">
        <f t="shared" si="206"/>
        <v>1</v>
      </c>
    </row>
    <row r="3854" spans="1:12" x14ac:dyDescent="0.35">
      <c r="A3854">
        <f t="shared" si="207"/>
        <v>3853</v>
      </c>
      <c r="B3854" t="s">
        <v>745</v>
      </c>
      <c r="C3854" s="109" t="str">
        <f>IF(ISBLANK(K3854),IFERROR(VLOOKUP(I3854,FS_input_data!$C$458:$N$648,Export!J3854,FALSE),""),K3854)</f>
        <v/>
      </c>
      <c r="D3854" s="6"/>
      <c r="E3854" t="s">
        <v>1561</v>
      </c>
      <c r="F3854" s="6"/>
      <c r="G3854" s="115" t="b">
        <f t="shared" si="208"/>
        <v>1</v>
      </c>
      <c r="H3854" s="6" t="s">
        <v>2189</v>
      </c>
      <c r="I3854" t="s">
        <v>1561</v>
      </c>
      <c r="J3854" t="s">
        <v>1561</v>
      </c>
      <c r="L3854">
        <f t="shared" si="206"/>
        <v>1</v>
      </c>
    </row>
    <row r="3855" spans="1:12" x14ac:dyDescent="0.35">
      <c r="A3855">
        <f t="shared" si="207"/>
        <v>3854</v>
      </c>
      <c r="B3855" t="s">
        <v>764</v>
      </c>
      <c r="C3855" s="109" t="str">
        <f>IF(ISBLANK(K3855),IFERROR(VLOOKUP(I3855,FS_input_data!$C$458:$N$648,Export!J3855,FALSE),""),K3855)</f>
        <v/>
      </c>
      <c r="D3855" s="6"/>
      <c r="E3855" t="s">
        <v>1561</v>
      </c>
      <c r="F3855" s="6"/>
      <c r="G3855" s="115" t="b">
        <f>VLOOKUP(I3824,FS_input_noty,J3824,FALSE)=""</f>
        <v>0</v>
      </c>
      <c r="H3855" s="6" t="s">
        <v>2189</v>
      </c>
      <c r="I3855" t="s">
        <v>1561</v>
      </c>
      <c r="J3855" t="s">
        <v>1561</v>
      </c>
      <c r="L3855">
        <f t="shared" si="206"/>
        <v>1</v>
      </c>
    </row>
    <row r="3856" spans="1:12" x14ac:dyDescent="0.35">
      <c r="A3856">
        <f t="shared" si="207"/>
        <v>3855</v>
      </c>
      <c r="B3856" t="s">
        <v>765</v>
      </c>
      <c r="C3856" s="109" t="str">
        <f>IF(ISBLANK(K3856),IFERROR(VLOOKUP(I3856,FS_input_data!$C$458:$N$648,Export!J3856,FALSE),""),K3856)</f>
        <v/>
      </c>
      <c r="D3856" s="6"/>
      <c r="E3856" t="s">
        <v>1561</v>
      </c>
      <c r="F3856" s="6"/>
      <c r="G3856" s="115" t="b">
        <f>VLOOKUP(I3824,FS_input_noty,J3824,FALSE)=""</f>
        <v>0</v>
      </c>
      <c r="H3856" s="6" t="s">
        <v>2189</v>
      </c>
      <c r="I3856" t="s">
        <v>1561</v>
      </c>
      <c r="J3856" t="s">
        <v>1561</v>
      </c>
      <c r="L3856">
        <f t="shared" si="206"/>
        <v>1</v>
      </c>
    </row>
    <row r="3857" spans="1:12" x14ac:dyDescent="0.35">
      <c r="A3857">
        <f t="shared" si="207"/>
        <v>3856</v>
      </c>
      <c r="B3857" t="s">
        <v>752</v>
      </c>
      <c r="C3857" s="109" t="str">
        <f>IF(ISBLANK(K3857),IFERROR(VLOOKUP(I3857,FS_input_data!$C$458:$N$648,Export!J3857,FALSE),""),K3857)</f>
        <v/>
      </c>
      <c r="D3857" s="6"/>
      <c r="E3857" t="s">
        <v>1561</v>
      </c>
      <c r="F3857" s="6"/>
      <c r="G3857" s="115" t="b">
        <f>VLOOKUP(I3858,FS_input_noty,J3858,FALSE)=""</f>
        <v>0</v>
      </c>
      <c r="H3857" s="6" t="s">
        <v>2189</v>
      </c>
      <c r="I3857" t="s">
        <v>1561</v>
      </c>
      <c r="J3857" t="s">
        <v>1561</v>
      </c>
      <c r="L3857" s="9" t="e">
        <f t="shared" si="206"/>
        <v>#VALUE!</v>
      </c>
    </row>
    <row r="3858" spans="1:12" x14ac:dyDescent="0.35">
      <c r="A3858" s="9">
        <f t="shared" si="207"/>
        <v>3857</v>
      </c>
      <c r="B3858" t="s">
        <v>101</v>
      </c>
      <c r="C3858" s="109" t="str">
        <f>IF(ISBLANK(K3858),IFERROR(VLOOKUP(I3858,FS_input_data!$C$458:$N$648,Export!J3858,FALSE),""),K3858)</f>
        <v>OC19</v>
      </c>
      <c r="D3858" s="6" t="b">
        <v>1</v>
      </c>
      <c r="E3858" t="s">
        <v>1561</v>
      </c>
      <c r="F3858" s="6"/>
      <c r="G3858" s="115" t="b">
        <f>VLOOKUP(I3858,FS_input_noty,J3858,FALSE)=""</f>
        <v>0</v>
      </c>
      <c r="H3858" s="6" t="s">
        <v>2189</v>
      </c>
      <c r="I3858" t="s">
        <v>1894</v>
      </c>
      <c r="J3858">
        <v>6</v>
      </c>
      <c r="L3858" s="9" t="e">
        <f t="shared" si="206"/>
        <v>#VALUE!</v>
      </c>
    </row>
    <row r="3859" spans="1:12" x14ac:dyDescent="0.35">
      <c r="A3859">
        <f t="shared" si="207"/>
        <v>3858</v>
      </c>
      <c r="B3859" t="s">
        <v>102</v>
      </c>
      <c r="C3859" s="109" t="str">
        <f>IF(ISBLANK(K3859),IFERROR(VLOOKUP(I3859,FS_input_data!$C$458:$N$648,Export!J3859,FALSE),""),K3859)</f>
        <v/>
      </c>
      <c r="D3859" s="6"/>
      <c r="E3859" t="s">
        <v>1561</v>
      </c>
      <c r="F3859" s="6"/>
      <c r="G3859" s="115" t="b">
        <f>VLOOKUP(I3858,FS_input_noty,J3858,FALSE)=""</f>
        <v>0</v>
      </c>
      <c r="H3859" s="6" t="s">
        <v>2189</v>
      </c>
      <c r="I3859" t="s">
        <v>1561</v>
      </c>
      <c r="J3859" t="s">
        <v>1561</v>
      </c>
      <c r="L3859">
        <f t="shared" si="206"/>
        <v>1</v>
      </c>
    </row>
    <row r="3860" spans="1:12" x14ac:dyDescent="0.35">
      <c r="A3860">
        <f t="shared" si="207"/>
        <v>3859</v>
      </c>
      <c r="B3860" t="s">
        <v>753</v>
      </c>
      <c r="C3860" s="109" t="str">
        <f>IF(ISBLANK(K3860),IFERROR(VLOOKUP(I3860,FS_input_data!$C$458:$N$648,Export!J3860,FALSE),""),K3860)</f>
        <v/>
      </c>
      <c r="D3860" s="6"/>
      <c r="E3860" t="s">
        <v>1561</v>
      </c>
      <c r="F3860" s="6"/>
      <c r="G3860" s="115" t="b">
        <f>VLOOKUP(I3858,FS_input_noty,J3858,FALSE)=""</f>
        <v>0</v>
      </c>
      <c r="H3860" s="6" t="s">
        <v>2189</v>
      </c>
      <c r="I3860" t="s">
        <v>1561</v>
      </c>
      <c r="J3860" t="s">
        <v>1561</v>
      </c>
      <c r="L3860" s="9" t="e">
        <f t="shared" si="206"/>
        <v>#VALUE!</v>
      </c>
    </row>
    <row r="3861" spans="1:12" x14ac:dyDescent="0.35">
      <c r="A3861">
        <f t="shared" si="207"/>
        <v>3860</v>
      </c>
      <c r="B3861" t="s">
        <v>742</v>
      </c>
      <c r="C3861" s="109" t="str">
        <f>IF(ISBLANK(K3861),IFERROR(VLOOKUP(I3861,FS_input_data!$C$458:$N$648,Export!J3861,FALSE),""),K3861)</f>
        <v/>
      </c>
      <c r="D3861" s="6"/>
      <c r="E3861" t="s">
        <v>1561</v>
      </c>
      <c r="F3861" s="6"/>
      <c r="G3861" s="115" t="b">
        <f>VLOOKUP(I3858,FS_input_noty,J3858,FALSE)=""</f>
        <v>0</v>
      </c>
      <c r="H3861" s="6" t="s">
        <v>2189</v>
      </c>
      <c r="I3861" t="s">
        <v>1561</v>
      </c>
      <c r="J3861" t="s">
        <v>1561</v>
      </c>
      <c r="L3861" s="9" t="e">
        <f t="shared" si="206"/>
        <v>#VALUE!</v>
      </c>
    </row>
    <row r="3862" spans="1:12" x14ac:dyDescent="0.35">
      <c r="A3862">
        <f t="shared" si="207"/>
        <v>3861</v>
      </c>
      <c r="B3862" t="s">
        <v>748</v>
      </c>
      <c r="C3862" s="109" t="str">
        <f>IF(ISBLANK(K3862),IFERROR(VLOOKUP(I3862,FS_input_data!$C$458:$N$648,Export!J3862,FALSE),""),K3862)</f>
        <v/>
      </c>
      <c r="D3862" s="6"/>
      <c r="E3862" t="s">
        <v>1561</v>
      </c>
      <c r="F3862" s="6"/>
      <c r="G3862" s="115" t="b">
        <f>VLOOKUP(I3858,FS_input_noty,J3858,FALSE)=""</f>
        <v>0</v>
      </c>
      <c r="H3862" s="6" t="s">
        <v>2189</v>
      </c>
      <c r="I3862" t="s">
        <v>1561</v>
      </c>
      <c r="J3862" t="s">
        <v>1561</v>
      </c>
      <c r="L3862" s="9" t="e">
        <f t="shared" si="206"/>
        <v>#VALUE!</v>
      </c>
    </row>
    <row r="3863" spans="1:12" x14ac:dyDescent="0.35">
      <c r="A3863" s="9">
        <f t="shared" si="207"/>
        <v>3862</v>
      </c>
      <c r="B3863" t="s">
        <v>109</v>
      </c>
      <c r="C3863" s="109">
        <f>IF(ISBLANK(K3863),IFERROR(VLOOKUP(I3863,FS_input_data!$C$458:$N$648,Export!J3863,FALSE),""),K3863)</f>
        <v>41000</v>
      </c>
      <c r="D3863" s="6" t="b">
        <v>1</v>
      </c>
      <c r="E3863" t="s">
        <v>1561</v>
      </c>
      <c r="F3863" s="6"/>
      <c r="G3863" s="115" t="b">
        <f>VLOOKUP(I3858,FS_input_noty,J3858,FALSE)=""</f>
        <v>0</v>
      </c>
      <c r="H3863" s="6" t="s">
        <v>2189</v>
      </c>
      <c r="I3863" t="s">
        <v>1894</v>
      </c>
      <c r="J3863">
        <v>7</v>
      </c>
      <c r="L3863" s="9" t="e">
        <f t="shared" si="206"/>
        <v>#VALUE!</v>
      </c>
    </row>
    <row r="3864" spans="1:12" x14ac:dyDescent="0.35">
      <c r="A3864">
        <f t="shared" si="207"/>
        <v>3863</v>
      </c>
      <c r="B3864" t="s">
        <v>110</v>
      </c>
      <c r="C3864" s="109" t="str">
        <f>IF(ISBLANK(K3864),IFERROR(VLOOKUP(I3864,FS_input_data!$C$458:$N$648,Export!J3864,FALSE),""),K3864)</f>
        <v/>
      </c>
      <c r="D3864" s="6"/>
      <c r="E3864" t="s">
        <v>1561</v>
      </c>
      <c r="F3864" s="6"/>
      <c r="G3864" s="115" t="b">
        <f>VLOOKUP(I3858,FS_input_noty,J3858,FALSE)=""</f>
        <v>0</v>
      </c>
      <c r="H3864" s="6" t="s">
        <v>2189</v>
      </c>
      <c r="I3864" t="s">
        <v>1561</v>
      </c>
      <c r="J3864" t="s">
        <v>1561</v>
      </c>
      <c r="L3864">
        <f t="shared" si="206"/>
        <v>1</v>
      </c>
    </row>
    <row r="3865" spans="1:12" x14ac:dyDescent="0.35">
      <c r="A3865" s="9">
        <f t="shared" si="207"/>
        <v>3864</v>
      </c>
      <c r="B3865" t="s">
        <v>111</v>
      </c>
      <c r="C3865" s="109">
        <f>IF(ISBLANK(K3865),IFERROR(VLOOKUP(I3865,FS_input_data!$C$458:$N$648,Export!J3865,FALSE),""),K3865)</f>
        <v>20500</v>
      </c>
      <c r="D3865" s="6" t="b">
        <v>0</v>
      </c>
      <c r="E3865" t="s">
        <v>1561</v>
      </c>
      <c r="F3865" s="6"/>
      <c r="G3865" s="115" t="b">
        <f>VLOOKUP(I3858,FS_input_noty,J3858,TRUE)=""</f>
        <v>0</v>
      </c>
      <c r="H3865" s="6" t="s">
        <v>2189</v>
      </c>
      <c r="I3865" t="s">
        <v>1894</v>
      </c>
      <c r="J3865">
        <v>8</v>
      </c>
      <c r="L3865" s="9" t="e">
        <f t="shared" si="206"/>
        <v>#VALUE!</v>
      </c>
    </row>
    <row r="3866" spans="1:12" x14ac:dyDescent="0.35">
      <c r="A3866">
        <f t="shared" si="207"/>
        <v>3865</v>
      </c>
      <c r="B3866" t="s">
        <v>112</v>
      </c>
      <c r="C3866" s="109" t="str">
        <f>IF(ISBLANK(K3866),IFERROR(VLOOKUP(I3866,FS_input_data!$C$458:$N$648,Export!J3866,FALSE),""),K3866)</f>
        <v/>
      </c>
      <c r="D3866" s="6"/>
      <c r="E3866" t="s">
        <v>1561</v>
      </c>
      <c r="F3866" s="6"/>
      <c r="G3866" s="116" t="b">
        <f>VLOOKUP(I3858,FS_input_noty,J3858,FALSE)=""</f>
        <v>0</v>
      </c>
      <c r="H3866" s="6" t="s">
        <v>2189</v>
      </c>
      <c r="I3866" t="s">
        <v>1561</v>
      </c>
      <c r="J3866" t="s">
        <v>1561</v>
      </c>
      <c r="L3866">
        <f t="shared" si="206"/>
        <v>1</v>
      </c>
    </row>
    <row r="3867" spans="1:12" x14ac:dyDescent="0.35">
      <c r="A3867" s="9">
        <f t="shared" si="207"/>
        <v>3866</v>
      </c>
      <c r="B3867" t="s">
        <v>749</v>
      </c>
      <c r="C3867" s="109">
        <f>IF(ISBLANK(K3867),IFERROR(VLOOKUP(I3867,FS_input_data!$C$458:$N$648,Export!J3867,FALSE),""),K3867)</f>
        <v>20500</v>
      </c>
      <c r="D3867" s="6" t="b">
        <v>0</v>
      </c>
      <c r="E3867" t="s">
        <v>1561</v>
      </c>
      <c r="F3867" s="6"/>
      <c r="G3867" s="116" t="b">
        <f>VLOOKUP(I3858,FS_input_noty,J3858,FALSE)=""</f>
        <v>0</v>
      </c>
      <c r="H3867" s="6" t="s">
        <v>2189</v>
      </c>
      <c r="I3867" t="s">
        <v>1894</v>
      </c>
      <c r="J3867">
        <v>9</v>
      </c>
      <c r="L3867" s="9" t="e">
        <f t="shared" si="206"/>
        <v>#VALUE!</v>
      </c>
    </row>
    <row r="3868" spans="1:12" x14ac:dyDescent="0.35">
      <c r="A3868">
        <f t="shared" si="207"/>
        <v>3867</v>
      </c>
      <c r="B3868" t="s">
        <v>750</v>
      </c>
      <c r="C3868" s="109" t="str">
        <f>IF(ISBLANK(K3868),IFERROR(VLOOKUP(I3868,FS_input_data!$C$458:$N$648,Export!J3868,FALSE),""),K3868)</f>
        <v/>
      </c>
      <c r="D3868" s="6"/>
      <c r="E3868" t="s">
        <v>1561</v>
      </c>
      <c r="F3868" s="6"/>
      <c r="G3868" s="116" t="b">
        <f>VLOOKUP(I3858,FS_input_noty,J3858,FALSE)=""</f>
        <v>0</v>
      </c>
      <c r="H3868" s="6" t="s">
        <v>2189</v>
      </c>
      <c r="I3868" t="s">
        <v>1561</v>
      </c>
      <c r="J3868" t="s">
        <v>1561</v>
      </c>
      <c r="L3868">
        <f t="shared" si="206"/>
        <v>1</v>
      </c>
    </row>
    <row r="3869" spans="1:12" x14ac:dyDescent="0.35">
      <c r="A3869">
        <f t="shared" si="207"/>
        <v>3868</v>
      </c>
      <c r="B3869" t="s">
        <v>751</v>
      </c>
      <c r="C3869" s="109" t="str">
        <f>IF(ISBLANK(K3869),IFERROR(VLOOKUP(I3869,FS_input_data!$C$458:$N$648,Export!J3869,FALSE),""),K3869)</f>
        <v/>
      </c>
      <c r="D3869" s="6"/>
      <c r="E3869" t="s">
        <v>1561</v>
      </c>
      <c r="F3869" s="6"/>
      <c r="G3869" s="116" t="b">
        <f>VLOOKUP(I3858,FS_input_noty,J3858,FALSE)=""</f>
        <v>0</v>
      </c>
      <c r="H3869" s="6" t="s">
        <v>2189</v>
      </c>
      <c r="I3869" t="s">
        <v>1561</v>
      </c>
      <c r="J3869" t="s">
        <v>1561</v>
      </c>
      <c r="L3869">
        <f t="shared" si="206"/>
        <v>1</v>
      </c>
    </row>
    <row r="3870" spans="1:12" x14ac:dyDescent="0.35">
      <c r="A3870">
        <f t="shared" si="207"/>
        <v>3869</v>
      </c>
      <c r="B3870" t="s">
        <v>754</v>
      </c>
      <c r="C3870" s="109" t="str">
        <f>IF(ISBLANK(K3870),IFERROR(VLOOKUP(I3870,FS_input_data!$C$458:$N$648,Export!J3870,FALSE),""),K3870)</f>
        <v/>
      </c>
      <c r="D3870" s="6"/>
      <c r="E3870" t="s">
        <v>1561</v>
      </c>
      <c r="F3870" s="6"/>
      <c r="G3870" s="116" t="b">
        <f>VLOOKUP(I3858,FS_input_noty,J3858,FALSE)=""</f>
        <v>0</v>
      </c>
      <c r="H3870" s="6" t="s">
        <v>2189</v>
      </c>
      <c r="I3870" t="s">
        <v>1561</v>
      </c>
      <c r="J3870" t="s">
        <v>1561</v>
      </c>
      <c r="L3870" s="9" t="e">
        <f t="shared" si="206"/>
        <v>#VALUE!</v>
      </c>
    </row>
    <row r="3871" spans="1:12" x14ac:dyDescent="0.35">
      <c r="A3871" s="9">
        <f t="shared" si="207"/>
        <v>3870</v>
      </c>
      <c r="B3871" t="s">
        <v>755</v>
      </c>
      <c r="C3871" s="109">
        <f>IF(ISBLANK(K3871),IFERROR(VLOOKUP(I3871,FS_input_data!$C$458:$N$648,Export!J3871,FALSE),""),K3871)</f>
        <v>41</v>
      </c>
      <c r="D3871" s="6" t="b">
        <v>1</v>
      </c>
      <c r="E3871" t="s">
        <v>1561</v>
      </c>
      <c r="F3871" s="6"/>
      <c r="G3871" s="116" t="b">
        <f>VLOOKUP(I3858,FS_input_noty,J3858,FALSE)=""</f>
        <v>0</v>
      </c>
      <c r="H3871" s="6" t="s">
        <v>2189</v>
      </c>
      <c r="I3871" t="s">
        <v>1894</v>
      </c>
      <c r="J3871">
        <v>2</v>
      </c>
      <c r="L3871" s="9" t="e">
        <f t="shared" si="206"/>
        <v>#VALUE!</v>
      </c>
    </row>
    <row r="3872" spans="1:12" x14ac:dyDescent="0.35">
      <c r="A3872">
        <f t="shared" si="207"/>
        <v>3871</v>
      </c>
      <c r="B3872" t="s">
        <v>756</v>
      </c>
      <c r="C3872" s="109" t="str">
        <f>IF(ISBLANK(K3872),IFERROR(VLOOKUP(I3872,FS_input_data!$C$458:$N$648,Export!J3872,FALSE),""),K3872)</f>
        <v/>
      </c>
      <c r="D3872" s="6"/>
      <c r="E3872" t="s">
        <v>1561</v>
      </c>
      <c r="F3872" s="6"/>
      <c r="G3872" s="116" t="b">
        <f>VLOOKUP(I3858,FS_input_noty,J3858,FALSE)=""</f>
        <v>0</v>
      </c>
      <c r="H3872" s="6" t="s">
        <v>2189</v>
      </c>
      <c r="I3872" t="s">
        <v>1561</v>
      </c>
      <c r="J3872" t="s">
        <v>1561</v>
      </c>
      <c r="L3872">
        <f t="shared" si="206"/>
        <v>1</v>
      </c>
    </row>
    <row r="3873" spans="1:12" x14ac:dyDescent="0.35">
      <c r="A3873" s="9">
        <f t="shared" si="207"/>
        <v>3872</v>
      </c>
      <c r="B3873" t="s">
        <v>757</v>
      </c>
      <c r="C3873" s="109">
        <f>IF(ISBLANK(K3873),IFERROR(VLOOKUP(I3873,FS_input_data!$C$458:$N$648,Export!J3873,FALSE),""),K3873)</f>
        <v>141</v>
      </c>
      <c r="D3873" s="6" t="b">
        <v>0</v>
      </c>
      <c r="E3873" t="s">
        <v>1561</v>
      </c>
      <c r="F3873" s="6"/>
      <c r="G3873" s="116" t="b">
        <f>VLOOKUP(I3858,FS_input_noty,J3858,FALSE)=""</f>
        <v>0</v>
      </c>
      <c r="H3873" s="6" t="s">
        <v>2189</v>
      </c>
      <c r="I3873" t="s">
        <v>1894</v>
      </c>
      <c r="J3873">
        <v>3</v>
      </c>
      <c r="L3873" s="9" t="e">
        <f t="shared" si="206"/>
        <v>#VALUE!</v>
      </c>
    </row>
    <row r="3874" spans="1:12" x14ac:dyDescent="0.35">
      <c r="A3874">
        <f t="shared" si="207"/>
        <v>3873</v>
      </c>
      <c r="B3874" t="s">
        <v>758</v>
      </c>
      <c r="C3874" s="109" t="str">
        <f>IF(ISBLANK(K3874),IFERROR(VLOOKUP(I3874,FS_input_data!$C$458:$N$648,Export!J3874,FALSE),""),K3874)</f>
        <v/>
      </c>
      <c r="D3874" s="6"/>
      <c r="E3874" t="s">
        <v>1561</v>
      </c>
      <c r="F3874" s="6"/>
      <c r="G3874" s="115" t="b">
        <f>VLOOKUP(I3858,FS_input_noty,J3858,FALSE)=""</f>
        <v>0</v>
      </c>
      <c r="H3874" s="6" t="s">
        <v>2189</v>
      </c>
      <c r="I3874" t="s">
        <v>1561</v>
      </c>
      <c r="J3874" t="s">
        <v>1561</v>
      </c>
      <c r="L3874">
        <f t="shared" si="206"/>
        <v>1</v>
      </c>
    </row>
    <row r="3875" spans="1:12" x14ac:dyDescent="0.35">
      <c r="A3875" s="9">
        <f t="shared" si="207"/>
        <v>3874</v>
      </c>
      <c r="B3875" t="s">
        <v>759</v>
      </c>
      <c r="C3875" s="109">
        <f>IF(ISBLANK(K3875),IFERROR(VLOOKUP(I3875,FS_input_data!$C$458:$N$648,Export!J3875,FALSE),""),K3875)</f>
        <v>241</v>
      </c>
      <c r="D3875" s="6" t="b">
        <v>0</v>
      </c>
      <c r="E3875" t="s">
        <v>1561</v>
      </c>
      <c r="F3875" s="6"/>
      <c r="G3875" s="115" t="b">
        <f>VLOOKUP(I3858,FS_input_noty,J3858,FALSE)=""</f>
        <v>0</v>
      </c>
      <c r="H3875" s="6" t="s">
        <v>2189</v>
      </c>
      <c r="I3875" t="s">
        <v>1894</v>
      </c>
      <c r="J3875">
        <v>4</v>
      </c>
      <c r="L3875" s="9" t="e">
        <f t="shared" si="206"/>
        <v>#VALUE!</v>
      </c>
    </row>
    <row r="3876" spans="1:12" x14ac:dyDescent="0.35">
      <c r="A3876">
        <f t="shared" si="207"/>
        <v>3875</v>
      </c>
      <c r="B3876" t="s">
        <v>760</v>
      </c>
      <c r="C3876" s="109" t="str">
        <f>IF(ISBLANK(K3876),IFERROR(VLOOKUP(I3876,FS_input_data!$C$458:$N$648,Export!J3876,FALSE),""),K3876)</f>
        <v/>
      </c>
      <c r="D3876" s="6"/>
      <c r="E3876" t="s">
        <v>1561</v>
      </c>
      <c r="F3876" s="6"/>
      <c r="G3876" s="115" t="b">
        <f>VLOOKUP(I3858,FS_input_noty,J3858,FALSE)=""</f>
        <v>0</v>
      </c>
      <c r="H3876" s="6" t="s">
        <v>2189</v>
      </c>
      <c r="I3876" t="s">
        <v>1561</v>
      </c>
      <c r="J3876" t="s">
        <v>1561</v>
      </c>
      <c r="L3876">
        <f t="shared" si="206"/>
        <v>1</v>
      </c>
    </row>
    <row r="3877" spans="1:12" x14ac:dyDescent="0.35">
      <c r="A3877" s="9">
        <f t="shared" si="207"/>
        <v>3876</v>
      </c>
      <c r="B3877" t="s">
        <v>761</v>
      </c>
      <c r="C3877" s="109" t="str">
        <f>IF(ISBLANK(K3877),IFERROR(VLOOKUP(I3877,FS_input_data!$C$458:$N$648,Export!J3877,FALSE),""),K3877)</f>
        <v>i</v>
      </c>
      <c r="D3877" s="6" t="b">
        <v>0</v>
      </c>
      <c r="E3877" t="s">
        <v>1561</v>
      </c>
      <c r="F3877" s="6"/>
      <c r="G3877" s="115" t="b">
        <f>VLOOKUP(I3858,FS_input_noty,J3858,FALSE)=""</f>
        <v>0</v>
      </c>
      <c r="H3877" s="6" t="s">
        <v>2189</v>
      </c>
      <c r="I3877" t="s">
        <v>1894</v>
      </c>
      <c r="J3877">
        <v>5</v>
      </c>
      <c r="L3877" s="9" t="e">
        <f t="shared" si="206"/>
        <v>#VALUE!</v>
      </c>
    </row>
    <row r="3878" spans="1:12" x14ac:dyDescent="0.35">
      <c r="A3878">
        <f t="shared" si="207"/>
        <v>3877</v>
      </c>
      <c r="B3878" t="s">
        <v>762</v>
      </c>
      <c r="C3878" s="109" t="str">
        <f>IF(ISBLANK(K3878),IFERROR(VLOOKUP(I3878,FS_input_data!$C$458:$N$648,Export!J3878,FALSE),""),K3878)</f>
        <v/>
      </c>
      <c r="D3878" s="6"/>
      <c r="E3878" t="s">
        <v>1561</v>
      </c>
      <c r="F3878" s="6"/>
      <c r="G3878" s="115" t="b">
        <f>VLOOKUP(I3858,FS_input_noty,J3858,FALSE)=""</f>
        <v>0</v>
      </c>
      <c r="H3878" s="6" t="s">
        <v>2189</v>
      </c>
      <c r="I3878" t="s">
        <v>1561</v>
      </c>
      <c r="J3878" t="s">
        <v>1561</v>
      </c>
      <c r="L3878">
        <f t="shared" si="206"/>
        <v>1</v>
      </c>
    </row>
    <row r="3879" spans="1:12" x14ac:dyDescent="0.35">
      <c r="A3879">
        <f t="shared" si="207"/>
        <v>3878</v>
      </c>
      <c r="B3879" t="s">
        <v>763</v>
      </c>
      <c r="C3879" s="109" t="str">
        <f>IF(ISBLANK(K3879),IFERROR(VLOOKUP(I3879,FS_input_data!$C$458:$N$648,Export!J3879,FALSE),""),K3879)</f>
        <v/>
      </c>
      <c r="D3879" s="6"/>
      <c r="E3879" t="s">
        <v>1561</v>
      </c>
      <c r="F3879" s="6"/>
      <c r="G3879" s="115" t="b">
        <f>VLOOKUP(I3858,FS_input_noty,J3858,FALSE)=""</f>
        <v>0</v>
      </c>
      <c r="H3879" s="6" t="s">
        <v>2189</v>
      </c>
      <c r="I3879" t="s">
        <v>1561</v>
      </c>
      <c r="J3879" t="s">
        <v>1561</v>
      </c>
      <c r="L3879">
        <f t="shared" si="206"/>
        <v>1</v>
      </c>
    </row>
    <row r="3880" spans="1:12" x14ac:dyDescent="0.35">
      <c r="A3880">
        <f t="shared" si="207"/>
        <v>3879</v>
      </c>
      <c r="B3880" t="s">
        <v>743</v>
      </c>
      <c r="C3880" s="109" t="str">
        <f>IF(ISBLANK(K3880),IFERROR(VLOOKUP(I3880,FS_input_data!$C$458:$N$648,Export!J3880,FALSE),""),K3880)</f>
        <v/>
      </c>
      <c r="D3880" s="6"/>
      <c r="E3880" t="s">
        <v>1561</v>
      </c>
      <c r="F3880" s="6"/>
      <c r="G3880" s="116" t="b">
        <f>VLOOKUP(I3858,FS_input_noty,J3858,FALSE)=""</f>
        <v>0</v>
      </c>
      <c r="H3880" s="6" t="s">
        <v>2189</v>
      </c>
      <c r="I3880" t="s">
        <v>1561</v>
      </c>
      <c r="J3880" t="s">
        <v>1561</v>
      </c>
      <c r="L3880">
        <f t="shared" si="206"/>
        <v>1</v>
      </c>
    </row>
    <row r="3881" spans="1:12" x14ac:dyDescent="0.35">
      <c r="A3881">
        <f t="shared" si="207"/>
        <v>3880</v>
      </c>
      <c r="B3881" t="s">
        <v>744</v>
      </c>
      <c r="C3881" s="109" t="str">
        <f>IF(ISBLANK(K3881),IFERROR(VLOOKUP(I3881,FS_input_data!$C$458:$N$648,Export!J3881,FALSE),""),K3881)</f>
        <v/>
      </c>
      <c r="D3881" s="6"/>
      <c r="E3881" t="s">
        <v>1561</v>
      </c>
      <c r="F3881" s="6"/>
      <c r="G3881" s="115" t="b">
        <f t="shared" ref="G3881:G3888" si="209">RP_tax</f>
        <v>1</v>
      </c>
      <c r="H3881" s="6" t="s">
        <v>2189</v>
      </c>
      <c r="I3881" t="s">
        <v>1561</v>
      </c>
      <c r="J3881" t="s">
        <v>1561</v>
      </c>
      <c r="L3881" s="9" t="e">
        <f t="shared" si="206"/>
        <v>#VALUE!</v>
      </c>
    </row>
    <row r="3882" spans="1:12" x14ac:dyDescent="0.35">
      <c r="A3882" s="9">
        <f t="shared" si="207"/>
        <v>3881</v>
      </c>
      <c r="B3882" t="s">
        <v>109</v>
      </c>
      <c r="C3882" s="109">
        <f>IF(ISBLANK(K3882),IFERROR(VLOOKUP(I3882,FS_input_data!$C$458:$N$648,Export!J3882,FALSE),""),K3882)</f>
        <v>41000</v>
      </c>
      <c r="D3882" s="6" t="b">
        <v>1</v>
      </c>
      <c r="E3882" t="s">
        <v>1561</v>
      </c>
      <c r="F3882" s="6"/>
      <c r="G3882" s="115" t="b">
        <f t="shared" si="209"/>
        <v>1</v>
      </c>
      <c r="H3882" s="6" t="s">
        <v>2189</v>
      </c>
      <c r="I3882" t="s">
        <v>1894</v>
      </c>
      <c r="J3882">
        <v>10</v>
      </c>
      <c r="L3882" s="9" t="e">
        <f t="shared" si="206"/>
        <v>#VALUE!</v>
      </c>
    </row>
    <row r="3883" spans="1:12" x14ac:dyDescent="0.35">
      <c r="A3883">
        <f t="shared" si="207"/>
        <v>3882</v>
      </c>
      <c r="B3883" t="s">
        <v>110</v>
      </c>
      <c r="C3883" s="109" t="str">
        <f>IF(ISBLANK(K3883),IFERROR(VLOOKUP(I3883,FS_input_data!$C$458:$N$648,Export!J3883,FALSE),""),K3883)</f>
        <v/>
      </c>
      <c r="D3883" s="6"/>
      <c r="E3883" t="s">
        <v>1561</v>
      </c>
      <c r="F3883" s="6"/>
      <c r="G3883" s="115" t="b">
        <f t="shared" si="209"/>
        <v>1</v>
      </c>
      <c r="H3883" s="6" t="s">
        <v>2189</v>
      </c>
      <c r="I3883" t="s">
        <v>1561</v>
      </c>
      <c r="J3883" t="s">
        <v>1561</v>
      </c>
      <c r="L3883">
        <f t="shared" si="206"/>
        <v>1</v>
      </c>
    </row>
    <row r="3884" spans="1:12" x14ac:dyDescent="0.35">
      <c r="A3884" s="9">
        <f t="shared" si="207"/>
        <v>3883</v>
      </c>
      <c r="B3884" t="s">
        <v>111</v>
      </c>
      <c r="C3884" s="109">
        <f>IF(ISBLANK(K3884),IFERROR(VLOOKUP(I3884,FS_input_data!$C$458:$N$648,Export!J3884,FALSE),""),K3884)</f>
        <v>20500</v>
      </c>
      <c r="D3884" s="6" t="b">
        <v>0</v>
      </c>
      <c r="E3884" t="s">
        <v>1561</v>
      </c>
      <c r="F3884" s="6"/>
      <c r="G3884" s="115" t="b">
        <f t="shared" si="209"/>
        <v>1</v>
      </c>
      <c r="H3884" s="6" t="s">
        <v>2189</v>
      </c>
      <c r="I3884" t="s">
        <v>1894</v>
      </c>
      <c r="J3884">
        <v>11</v>
      </c>
      <c r="L3884" s="9" t="e">
        <f t="shared" si="206"/>
        <v>#VALUE!</v>
      </c>
    </row>
    <row r="3885" spans="1:12" x14ac:dyDescent="0.35">
      <c r="A3885">
        <f t="shared" si="207"/>
        <v>3884</v>
      </c>
      <c r="B3885" t="s">
        <v>112</v>
      </c>
      <c r="C3885" s="109" t="str">
        <f>IF(ISBLANK(K3885),IFERROR(VLOOKUP(I3885,FS_input_data!$C$458:$N$648,Export!J3885,FALSE),""),K3885)</f>
        <v/>
      </c>
      <c r="D3885" s="6"/>
      <c r="E3885" t="s">
        <v>1561</v>
      </c>
      <c r="F3885" s="6"/>
      <c r="G3885" s="115" t="b">
        <f t="shared" si="209"/>
        <v>1</v>
      </c>
      <c r="H3885" s="6" t="s">
        <v>2189</v>
      </c>
      <c r="I3885" t="s">
        <v>1561</v>
      </c>
      <c r="J3885" t="s">
        <v>1561</v>
      </c>
      <c r="L3885">
        <f t="shared" si="206"/>
        <v>1</v>
      </c>
    </row>
    <row r="3886" spans="1:12" x14ac:dyDescent="0.35">
      <c r="A3886" s="9">
        <f t="shared" si="207"/>
        <v>3885</v>
      </c>
      <c r="B3886" t="s">
        <v>749</v>
      </c>
      <c r="C3886" s="109">
        <f>IF(ISBLANK(K3886),IFERROR(VLOOKUP(I3886,FS_input_data!$C$458:$N$648,Export!J3886,FALSE),""),K3886)</f>
        <v>20500</v>
      </c>
      <c r="D3886" s="6" t="b">
        <v>0</v>
      </c>
      <c r="E3886" t="s">
        <v>1561</v>
      </c>
      <c r="F3886" s="6"/>
      <c r="G3886" s="115" t="b">
        <f t="shared" si="209"/>
        <v>1</v>
      </c>
      <c r="H3886" s="6" t="s">
        <v>2189</v>
      </c>
      <c r="I3886" t="s">
        <v>1894</v>
      </c>
      <c r="J3886">
        <v>12</v>
      </c>
      <c r="L3886" s="9" t="e">
        <f t="shared" si="206"/>
        <v>#VALUE!</v>
      </c>
    </row>
    <row r="3887" spans="1:12" x14ac:dyDescent="0.35">
      <c r="A3887">
        <f t="shared" si="207"/>
        <v>3886</v>
      </c>
      <c r="B3887" t="s">
        <v>750</v>
      </c>
      <c r="C3887" s="109" t="str">
        <f>IF(ISBLANK(K3887),IFERROR(VLOOKUP(I3887,FS_input_data!$C$458:$N$648,Export!J3887,FALSE),""),K3887)</f>
        <v/>
      </c>
      <c r="D3887" s="6"/>
      <c r="E3887" t="s">
        <v>1561</v>
      </c>
      <c r="F3887" s="6"/>
      <c r="G3887" s="115" t="b">
        <f t="shared" si="209"/>
        <v>1</v>
      </c>
      <c r="H3887" s="6" t="s">
        <v>2189</v>
      </c>
      <c r="I3887" t="s">
        <v>1561</v>
      </c>
      <c r="J3887" t="s">
        <v>1561</v>
      </c>
      <c r="L3887">
        <f t="shared" si="206"/>
        <v>1</v>
      </c>
    </row>
    <row r="3888" spans="1:12" x14ac:dyDescent="0.35">
      <c r="A3888">
        <f t="shared" si="207"/>
        <v>3887</v>
      </c>
      <c r="B3888" t="s">
        <v>745</v>
      </c>
      <c r="C3888" s="109" t="str">
        <f>IF(ISBLANK(K3888),IFERROR(VLOOKUP(I3888,FS_input_data!$C$458:$N$648,Export!J3888,FALSE),""),K3888)</f>
        <v/>
      </c>
      <c r="D3888" s="6"/>
      <c r="E3888" t="s">
        <v>1561</v>
      </c>
      <c r="F3888" s="6"/>
      <c r="G3888" s="115" t="b">
        <f t="shared" si="209"/>
        <v>1</v>
      </c>
      <c r="H3888" s="6" t="s">
        <v>2189</v>
      </c>
      <c r="I3888" t="s">
        <v>1561</v>
      </c>
      <c r="J3888" t="s">
        <v>1561</v>
      </c>
      <c r="L3888">
        <f t="shared" si="206"/>
        <v>1</v>
      </c>
    </row>
    <row r="3889" spans="1:12" x14ac:dyDescent="0.35">
      <c r="A3889">
        <f t="shared" si="207"/>
        <v>3888</v>
      </c>
      <c r="B3889" t="s">
        <v>764</v>
      </c>
      <c r="C3889" s="109" t="str">
        <f>IF(ISBLANK(K3889),IFERROR(VLOOKUP(I3889,FS_input_data!$C$458:$N$648,Export!J3889,FALSE),""),K3889)</f>
        <v/>
      </c>
      <c r="D3889" s="6"/>
      <c r="E3889" t="s">
        <v>1561</v>
      </c>
      <c r="F3889" s="6"/>
      <c r="G3889" s="115" t="b">
        <f>VLOOKUP(I3858,FS_input_noty,J3858,FALSE)=""</f>
        <v>0</v>
      </c>
      <c r="H3889" s="6" t="s">
        <v>2189</v>
      </c>
      <c r="I3889" t="s">
        <v>1561</v>
      </c>
      <c r="J3889" t="s">
        <v>1561</v>
      </c>
      <c r="L3889">
        <f t="shared" si="206"/>
        <v>1</v>
      </c>
    </row>
    <row r="3890" spans="1:12" x14ac:dyDescent="0.35">
      <c r="A3890">
        <f t="shared" si="207"/>
        <v>3889</v>
      </c>
      <c r="B3890" t="s">
        <v>765</v>
      </c>
      <c r="C3890" s="109" t="str">
        <f>IF(ISBLANK(K3890),IFERROR(VLOOKUP(I3890,FS_input_data!$C$458:$N$648,Export!J3890,FALSE),""),K3890)</f>
        <v/>
      </c>
      <c r="D3890" s="6"/>
      <c r="E3890" t="s">
        <v>1561</v>
      </c>
      <c r="F3890" s="6"/>
      <c r="G3890" s="115" t="b">
        <f>VLOOKUP(I3858,FS_input_noty,J3858,FALSE)=""</f>
        <v>0</v>
      </c>
      <c r="H3890" s="6" t="s">
        <v>2189</v>
      </c>
      <c r="I3890" t="s">
        <v>1561</v>
      </c>
      <c r="J3890" t="s">
        <v>1561</v>
      </c>
      <c r="L3890">
        <f t="shared" si="206"/>
        <v>1</v>
      </c>
    </row>
    <row r="3891" spans="1:12" x14ac:dyDescent="0.35">
      <c r="A3891">
        <f t="shared" si="207"/>
        <v>3890</v>
      </c>
      <c r="B3891" t="s">
        <v>752</v>
      </c>
      <c r="C3891" s="109" t="str">
        <f>IF(ISBLANK(K3891),IFERROR(VLOOKUP(I3891,FS_input_data!$C$458:$N$648,Export!J3891,FALSE),""),K3891)</f>
        <v/>
      </c>
      <c r="D3891" s="6"/>
      <c r="E3891" t="s">
        <v>1561</v>
      </c>
      <c r="F3891" s="6"/>
      <c r="G3891" s="115" t="b">
        <f>VLOOKUP(I3892,FS_input_noty,J3892,FALSE)=""</f>
        <v>0</v>
      </c>
      <c r="H3891" s="6" t="s">
        <v>2189</v>
      </c>
      <c r="I3891" t="s">
        <v>1561</v>
      </c>
      <c r="J3891" t="s">
        <v>1561</v>
      </c>
      <c r="L3891" s="9" t="e">
        <f t="shared" si="206"/>
        <v>#VALUE!</v>
      </c>
    </row>
    <row r="3892" spans="1:12" x14ac:dyDescent="0.35">
      <c r="A3892" s="9">
        <f t="shared" si="207"/>
        <v>3891</v>
      </c>
      <c r="B3892" t="s">
        <v>101</v>
      </c>
      <c r="C3892" s="109" t="str">
        <f>IF(ISBLANK(K3892),IFERROR(VLOOKUP(I3892,FS_input_data!$C$458:$N$648,Export!J3892,FALSE),""),K3892)</f>
        <v>OC20</v>
      </c>
      <c r="D3892" s="6" t="b">
        <v>1</v>
      </c>
      <c r="E3892" t="s">
        <v>1561</v>
      </c>
      <c r="F3892" s="6"/>
      <c r="G3892" s="115" t="b">
        <f>VLOOKUP(I3892,FS_input_noty,J3892,FALSE)=""</f>
        <v>0</v>
      </c>
      <c r="H3892" s="6" t="s">
        <v>2189</v>
      </c>
      <c r="I3892" t="s">
        <v>1896</v>
      </c>
      <c r="J3892">
        <v>6</v>
      </c>
      <c r="L3892" s="9" t="e">
        <f t="shared" si="206"/>
        <v>#VALUE!</v>
      </c>
    </row>
    <row r="3893" spans="1:12" x14ac:dyDescent="0.35">
      <c r="A3893">
        <f t="shared" si="207"/>
        <v>3892</v>
      </c>
      <c r="B3893" t="s">
        <v>102</v>
      </c>
      <c r="C3893" s="109" t="str">
        <f>IF(ISBLANK(K3893),IFERROR(VLOOKUP(I3893,FS_input_data!$C$458:$N$648,Export!J3893,FALSE),""),K3893)</f>
        <v/>
      </c>
      <c r="D3893" s="6"/>
      <c r="E3893" t="s">
        <v>1561</v>
      </c>
      <c r="F3893" s="6"/>
      <c r="G3893" s="115" t="b">
        <f>VLOOKUP(I3892,FS_input_noty,J3892,FALSE)=""</f>
        <v>0</v>
      </c>
      <c r="H3893" s="6" t="s">
        <v>2189</v>
      </c>
      <c r="I3893" t="s">
        <v>1561</v>
      </c>
      <c r="J3893" t="s">
        <v>1561</v>
      </c>
      <c r="L3893">
        <f t="shared" si="206"/>
        <v>1</v>
      </c>
    </row>
    <row r="3894" spans="1:12" x14ac:dyDescent="0.35">
      <c r="A3894">
        <f t="shared" si="207"/>
        <v>3893</v>
      </c>
      <c r="B3894" t="s">
        <v>753</v>
      </c>
      <c r="C3894" s="109" t="str">
        <f>IF(ISBLANK(K3894),IFERROR(VLOOKUP(I3894,FS_input_data!$C$458:$N$648,Export!J3894,FALSE),""),K3894)</f>
        <v/>
      </c>
      <c r="D3894" s="6"/>
      <c r="E3894" t="s">
        <v>1561</v>
      </c>
      <c r="F3894" s="6"/>
      <c r="G3894" s="115" t="b">
        <f>VLOOKUP(I3892,FS_input_noty,J3892,FALSE)=""</f>
        <v>0</v>
      </c>
      <c r="H3894" s="6" t="s">
        <v>2189</v>
      </c>
      <c r="I3894" t="s">
        <v>1561</v>
      </c>
      <c r="J3894" t="s">
        <v>1561</v>
      </c>
      <c r="L3894" s="9" t="e">
        <f t="shared" si="206"/>
        <v>#VALUE!</v>
      </c>
    </row>
    <row r="3895" spans="1:12" x14ac:dyDescent="0.35">
      <c r="A3895">
        <f t="shared" si="207"/>
        <v>3894</v>
      </c>
      <c r="B3895" t="s">
        <v>742</v>
      </c>
      <c r="C3895" s="109" t="str">
        <f>IF(ISBLANK(K3895),IFERROR(VLOOKUP(I3895,FS_input_data!$C$458:$N$648,Export!J3895,FALSE),""),K3895)</f>
        <v/>
      </c>
      <c r="D3895" s="6"/>
      <c r="E3895" t="s">
        <v>1561</v>
      </c>
      <c r="F3895" s="6"/>
      <c r="G3895" s="115" t="b">
        <f>VLOOKUP(I3892,FS_input_noty,J3892,FALSE)=""</f>
        <v>0</v>
      </c>
      <c r="H3895" s="6" t="s">
        <v>2189</v>
      </c>
      <c r="I3895" t="s">
        <v>1561</v>
      </c>
      <c r="J3895" t="s">
        <v>1561</v>
      </c>
      <c r="L3895" s="9" t="e">
        <f t="shared" si="206"/>
        <v>#VALUE!</v>
      </c>
    </row>
    <row r="3896" spans="1:12" x14ac:dyDescent="0.35">
      <c r="A3896">
        <f t="shared" si="207"/>
        <v>3895</v>
      </c>
      <c r="B3896" t="s">
        <v>748</v>
      </c>
      <c r="C3896" s="109" t="str">
        <f>IF(ISBLANK(K3896),IFERROR(VLOOKUP(I3896,FS_input_data!$C$458:$N$648,Export!J3896,FALSE),""),K3896)</f>
        <v/>
      </c>
      <c r="D3896" s="6"/>
      <c r="E3896" t="s">
        <v>1561</v>
      </c>
      <c r="F3896" s="6"/>
      <c r="G3896" s="115" t="b">
        <f>VLOOKUP(I3892,FS_input_noty,J3892,FALSE)=""</f>
        <v>0</v>
      </c>
      <c r="H3896" s="6" t="s">
        <v>2189</v>
      </c>
      <c r="I3896" t="s">
        <v>1561</v>
      </c>
      <c r="J3896" t="s">
        <v>1561</v>
      </c>
      <c r="L3896" s="9" t="e">
        <f t="shared" si="206"/>
        <v>#VALUE!</v>
      </c>
    </row>
    <row r="3897" spans="1:12" x14ac:dyDescent="0.35">
      <c r="A3897" s="9">
        <f t="shared" si="207"/>
        <v>3896</v>
      </c>
      <c r="B3897" t="s">
        <v>109</v>
      </c>
      <c r="C3897" s="109">
        <f>IF(ISBLANK(K3897),IFERROR(VLOOKUP(I3897,FS_input_data!$C$458:$N$648,Export!J3897,FALSE),""),K3897)</f>
        <v>42000</v>
      </c>
      <c r="D3897" s="6" t="b">
        <v>1</v>
      </c>
      <c r="E3897" t="s">
        <v>1561</v>
      </c>
      <c r="F3897" s="6"/>
      <c r="G3897" s="115" t="b">
        <f>VLOOKUP(I3892,FS_input_noty,J3892,FALSE)=""</f>
        <v>0</v>
      </c>
      <c r="H3897" s="6" t="s">
        <v>2189</v>
      </c>
      <c r="I3897" t="s">
        <v>1896</v>
      </c>
      <c r="J3897">
        <v>7</v>
      </c>
      <c r="L3897" s="9" t="e">
        <f t="shared" si="206"/>
        <v>#VALUE!</v>
      </c>
    </row>
    <row r="3898" spans="1:12" x14ac:dyDescent="0.35">
      <c r="A3898">
        <f t="shared" si="207"/>
        <v>3897</v>
      </c>
      <c r="B3898" t="s">
        <v>110</v>
      </c>
      <c r="C3898" s="109" t="str">
        <f>IF(ISBLANK(K3898),IFERROR(VLOOKUP(I3898,FS_input_data!$C$458:$N$648,Export!J3898,FALSE),""),K3898)</f>
        <v/>
      </c>
      <c r="D3898" s="6"/>
      <c r="E3898" t="s">
        <v>1561</v>
      </c>
      <c r="F3898" s="6"/>
      <c r="G3898" s="115" t="b">
        <f>VLOOKUP(I3892,FS_input_noty,J3892,FALSE)=""</f>
        <v>0</v>
      </c>
      <c r="H3898" s="6" t="s">
        <v>2189</v>
      </c>
      <c r="I3898" t="s">
        <v>1561</v>
      </c>
      <c r="J3898" t="s">
        <v>1561</v>
      </c>
      <c r="L3898">
        <f t="shared" si="206"/>
        <v>1</v>
      </c>
    </row>
    <row r="3899" spans="1:12" x14ac:dyDescent="0.35">
      <c r="A3899" s="9">
        <f t="shared" si="207"/>
        <v>3898</v>
      </c>
      <c r="B3899" t="s">
        <v>111</v>
      </c>
      <c r="C3899" s="109">
        <f>IF(ISBLANK(K3899),IFERROR(VLOOKUP(I3899,FS_input_data!$C$458:$N$648,Export!J3899,FALSE),""),K3899)</f>
        <v>21000</v>
      </c>
      <c r="D3899" s="6" t="b">
        <v>0</v>
      </c>
      <c r="E3899" t="s">
        <v>1561</v>
      </c>
      <c r="F3899" s="6"/>
      <c r="G3899" s="115" t="b">
        <f>VLOOKUP(I3892,FS_input_noty,J3892,TRUE)=""</f>
        <v>0</v>
      </c>
      <c r="H3899" s="6" t="s">
        <v>2189</v>
      </c>
      <c r="I3899" t="s">
        <v>1896</v>
      </c>
      <c r="J3899">
        <v>8</v>
      </c>
      <c r="L3899" s="9" t="e">
        <f t="shared" si="206"/>
        <v>#VALUE!</v>
      </c>
    </row>
    <row r="3900" spans="1:12" x14ac:dyDescent="0.35">
      <c r="A3900">
        <f t="shared" si="207"/>
        <v>3899</v>
      </c>
      <c r="B3900" t="s">
        <v>112</v>
      </c>
      <c r="C3900" s="109" t="str">
        <f>IF(ISBLANK(K3900),IFERROR(VLOOKUP(I3900,FS_input_data!$C$458:$N$648,Export!J3900,FALSE),""),K3900)</f>
        <v/>
      </c>
      <c r="D3900" s="6"/>
      <c r="E3900" t="s">
        <v>1561</v>
      </c>
      <c r="F3900" s="6"/>
      <c r="G3900" s="116" t="b">
        <f>VLOOKUP(I3892,FS_input_noty,J3892,FALSE)=""</f>
        <v>0</v>
      </c>
      <c r="H3900" s="6" t="s">
        <v>2189</v>
      </c>
      <c r="I3900" t="s">
        <v>1561</v>
      </c>
      <c r="J3900" t="s">
        <v>1561</v>
      </c>
      <c r="L3900">
        <f t="shared" si="206"/>
        <v>1</v>
      </c>
    </row>
    <row r="3901" spans="1:12" x14ac:dyDescent="0.35">
      <c r="A3901" s="9">
        <f t="shared" si="207"/>
        <v>3900</v>
      </c>
      <c r="B3901" t="s">
        <v>749</v>
      </c>
      <c r="C3901" s="109">
        <f>IF(ISBLANK(K3901),IFERROR(VLOOKUP(I3901,FS_input_data!$C$458:$N$648,Export!J3901,FALSE),""),K3901)</f>
        <v>21000</v>
      </c>
      <c r="D3901" s="6" t="b">
        <v>0</v>
      </c>
      <c r="E3901" t="s">
        <v>1561</v>
      </c>
      <c r="F3901" s="6"/>
      <c r="G3901" s="116" t="b">
        <f>VLOOKUP(I3892,FS_input_noty,J3892,FALSE)=""</f>
        <v>0</v>
      </c>
      <c r="H3901" s="6" t="s">
        <v>2189</v>
      </c>
      <c r="I3901" t="s">
        <v>1896</v>
      </c>
      <c r="J3901">
        <v>9</v>
      </c>
      <c r="L3901" s="9" t="e">
        <f t="shared" si="206"/>
        <v>#VALUE!</v>
      </c>
    </row>
    <row r="3902" spans="1:12" x14ac:dyDescent="0.35">
      <c r="A3902">
        <f t="shared" si="207"/>
        <v>3901</v>
      </c>
      <c r="B3902" t="s">
        <v>750</v>
      </c>
      <c r="C3902" s="109" t="str">
        <f>IF(ISBLANK(K3902),IFERROR(VLOOKUP(I3902,FS_input_data!$C$458:$N$648,Export!J3902,FALSE),""),K3902)</f>
        <v/>
      </c>
      <c r="D3902" s="6"/>
      <c r="E3902" t="s">
        <v>1561</v>
      </c>
      <c r="F3902" s="6"/>
      <c r="G3902" s="116" t="b">
        <f>VLOOKUP(I3892,FS_input_noty,J3892,FALSE)=""</f>
        <v>0</v>
      </c>
      <c r="H3902" s="6" t="s">
        <v>2189</v>
      </c>
      <c r="I3902" t="s">
        <v>1561</v>
      </c>
      <c r="J3902" t="s">
        <v>1561</v>
      </c>
      <c r="L3902">
        <f t="shared" si="206"/>
        <v>1</v>
      </c>
    </row>
    <row r="3903" spans="1:12" x14ac:dyDescent="0.35">
      <c r="A3903">
        <f t="shared" si="207"/>
        <v>3902</v>
      </c>
      <c r="B3903" t="s">
        <v>751</v>
      </c>
      <c r="C3903" s="109" t="str">
        <f>IF(ISBLANK(K3903),IFERROR(VLOOKUP(I3903,FS_input_data!$C$458:$N$648,Export!J3903,FALSE),""),K3903)</f>
        <v/>
      </c>
      <c r="D3903" s="6"/>
      <c r="E3903" t="s">
        <v>1561</v>
      </c>
      <c r="F3903" s="6"/>
      <c r="G3903" s="116" t="b">
        <f>VLOOKUP(I3892,FS_input_noty,J3892,FALSE)=""</f>
        <v>0</v>
      </c>
      <c r="H3903" s="6" t="s">
        <v>2189</v>
      </c>
      <c r="I3903" t="s">
        <v>1561</v>
      </c>
      <c r="J3903" t="s">
        <v>1561</v>
      </c>
      <c r="L3903">
        <f t="shared" si="206"/>
        <v>1</v>
      </c>
    </row>
    <row r="3904" spans="1:12" x14ac:dyDescent="0.35">
      <c r="A3904">
        <f t="shared" si="207"/>
        <v>3903</v>
      </c>
      <c r="B3904" t="s">
        <v>754</v>
      </c>
      <c r="C3904" s="109" t="str">
        <f>IF(ISBLANK(K3904),IFERROR(VLOOKUP(I3904,FS_input_data!$C$458:$N$648,Export!J3904,FALSE),""),K3904)</f>
        <v/>
      </c>
      <c r="D3904" s="6"/>
      <c r="E3904" t="s">
        <v>1561</v>
      </c>
      <c r="F3904" s="6"/>
      <c r="G3904" s="116" t="b">
        <f>VLOOKUP(I3892,FS_input_noty,J3892,FALSE)=""</f>
        <v>0</v>
      </c>
      <c r="H3904" s="6" t="s">
        <v>2189</v>
      </c>
      <c r="I3904" t="s">
        <v>1561</v>
      </c>
      <c r="J3904" t="s">
        <v>1561</v>
      </c>
      <c r="L3904" s="9" t="e">
        <f t="shared" si="206"/>
        <v>#VALUE!</v>
      </c>
    </row>
    <row r="3905" spans="1:12" x14ac:dyDescent="0.35">
      <c r="A3905" s="9">
        <f t="shared" si="207"/>
        <v>3904</v>
      </c>
      <c r="B3905" t="s">
        <v>755</v>
      </c>
      <c r="C3905" s="109">
        <f>IF(ISBLANK(K3905),IFERROR(VLOOKUP(I3905,FS_input_data!$C$458:$N$648,Export!J3905,FALSE),""),K3905)</f>
        <v>42</v>
      </c>
      <c r="D3905" s="6" t="b">
        <v>1</v>
      </c>
      <c r="E3905" t="s">
        <v>1561</v>
      </c>
      <c r="F3905" s="6"/>
      <c r="G3905" s="116" t="b">
        <f>VLOOKUP(I3892,FS_input_noty,J3892,FALSE)=""</f>
        <v>0</v>
      </c>
      <c r="H3905" s="6" t="s">
        <v>2189</v>
      </c>
      <c r="I3905" t="s">
        <v>1896</v>
      </c>
      <c r="J3905">
        <v>2</v>
      </c>
      <c r="L3905" s="9" t="e">
        <f t="shared" si="206"/>
        <v>#VALUE!</v>
      </c>
    </row>
    <row r="3906" spans="1:12" x14ac:dyDescent="0.35">
      <c r="A3906">
        <f t="shared" si="207"/>
        <v>3905</v>
      </c>
      <c r="B3906" t="s">
        <v>756</v>
      </c>
      <c r="C3906" s="109" t="str">
        <f>IF(ISBLANK(K3906),IFERROR(VLOOKUP(I3906,FS_input_data!$C$458:$N$648,Export!J3906,FALSE),""),K3906)</f>
        <v/>
      </c>
      <c r="D3906" s="6"/>
      <c r="E3906" t="s">
        <v>1561</v>
      </c>
      <c r="F3906" s="6"/>
      <c r="G3906" s="116" t="b">
        <f>VLOOKUP(I3892,FS_input_noty,J3892,FALSE)=""</f>
        <v>0</v>
      </c>
      <c r="H3906" s="6" t="s">
        <v>2189</v>
      </c>
      <c r="I3906" t="s">
        <v>1561</v>
      </c>
      <c r="J3906" t="s">
        <v>1561</v>
      </c>
      <c r="L3906">
        <f t="shared" ref="L3906:L3969" si="210">FIND("/",B3906)</f>
        <v>1</v>
      </c>
    </row>
    <row r="3907" spans="1:12" x14ac:dyDescent="0.35">
      <c r="A3907" s="9">
        <f t="shared" ref="A3907:A3970" si="211">A3906+1</f>
        <v>3906</v>
      </c>
      <c r="B3907" t="s">
        <v>757</v>
      </c>
      <c r="C3907" s="109">
        <f>IF(ISBLANK(K3907),IFERROR(VLOOKUP(I3907,FS_input_data!$C$458:$N$648,Export!J3907,FALSE),""),K3907)</f>
        <v>142</v>
      </c>
      <c r="D3907" s="6" t="b">
        <v>0</v>
      </c>
      <c r="E3907" t="s">
        <v>1561</v>
      </c>
      <c r="F3907" s="6"/>
      <c r="G3907" s="116" t="b">
        <f>VLOOKUP(I3892,FS_input_noty,J3892,FALSE)=""</f>
        <v>0</v>
      </c>
      <c r="H3907" s="6" t="s">
        <v>2189</v>
      </c>
      <c r="I3907" t="s">
        <v>1896</v>
      </c>
      <c r="J3907">
        <v>3</v>
      </c>
      <c r="L3907" s="9" t="e">
        <f t="shared" si="210"/>
        <v>#VALUE!</v>
      </c>
    </row>
    <row r="3908" spans="1:12" x14ac:dyDescent="0.35">
      <c r="A3908">
        <f t="shared" si="211"/>
        <v>3907</v>
      </c>
      <c r="B3908" t="s">
        <v>758</v>
      </c>
      <c r="C3908" s="109" t="str">
        <f>IF(ISBLANK(K3908),IFERROR(VLOOKUP(I3908,FS_input_data!$C$458:$N$648,Export!J3908,FALSE),""),K3908)</f>
        <v/>
      </c>
      <c r="D3908" s="6"/>
      <c r="E3908" t="s">
        <v>1561</v>
      </c>
      <c r="F3908" s="6"/>
      <c r="G3908" s="116" t="b">
        <f>VLOOKUP(I3892,FS_input_noty,J3892,FALSE)=""</f>
        <v>0</v>
      </c>
      <c r="H3908" s="6" t="s">
        <v>2189</v>
      </c>
      <c r="I3908" t="s">
        <v>1561</v>
      </c>
      <c r="J3908" t="s">
        <v>1561</v>
      </c>
      <c r="L3908">
        <f t="shared" si="210"/>
        <v>1</v>
      </c>
    </row>
    <row r="3909" spans="1:12" x14ac:dyDescent="0.35">
      <c r="A3909" s="9">
        <f t="shared" si="211"/>
        <v>3908</v>
      </c>
      <c r="B3909" t="s">
        <v>759</v>
      </c>
      <c r="C3909" s="109">
        <f>IF(ISBLANK(K3909),IFERROR(VLOOKUP(I3909,FS_input_data!$C$458:$N$648,Export!J3909,FALSE),""),K3909)</f>
        <v>242</v>
      </c>
      <c r="D3909" s="6" t="b">
        <v>0</v>
      </c>
      <c r="E3909" t="s">
        <v>1561</v>
      </c>
      <c r="F3909" s="6"/>
      <c r="G3909" s="116" t="b">
        <f>VLOOKUP(I3892,FS_input_noty,J3892,FALSE)=""</f>
        <v>0</v>
      </c>
      <c r="H3909" s="6" t="s">
        <v>2189</v>
      </c>
      <c r="I3909" t="s">
        <v>1896</v>
      </c>
      <c r="J3909">
        <v>4</v>
      </c>
      <c r="L3909" s="9" t="e">
        <f t="shared" si="210"/>
        <v>#VALUE!</v>
      </c>
    </row>
    <row r="3910" spans="1:12" x14ac:dyDescent="0.35">
      <c r="A3910">
        <f t="shared" si="211"/>
        <v>3909</v>
      </c>
      <c r="B3910" t="s">
        <v>760</v>
      </c>
      <c r="C3910" s="109" t="str">
        <f>IF(ISBLANK(K3910),IFERROR(VLOOKUP(I3910,FS_input_data!$C$458:$N$648,Export!J3910,FALSE),""),K3910)</f>
        <v/>
      </c>
      <c r="D3910" s="6"/>
      <c r="E3910" t="s">
        <v>1561</v>
      </c>
      <c r="F3910" s="6"/>
      <c r="G3910" s="116" t="b">
        <f>VLOOKUP(I3892,FS_input_noty,J3892,FALSE)=""</f>
        <v>0</v>
      </c>
      <c r="H3910" s="6" t="s">
        <v>2189</v>
      </c>
      <c r="I3910" t="s">
        <v>1561</v>
      </c>
      <c r="J3910" t="s">
        <v>1561</v>
      </c>
      <c r="L3910">
        <f t="shared" si="210"/>
        <v>1</v>
      </c>
    </row>
    <row r="3911" spans="1:12" x14ac:dyDescent="0.35">
      <c r="A3911" s="9">
        <f t="shared" si="211"/>
        <v>3910</v>
      </c>
      <c r="B3911" t="s">
        <v>761</v>
      </c>
      <c r="C3911" s="109" t="str">
        <f>IF(ISBLANK(K3911),IFERROR(VLOOKUP(I3911,FS_input_data!$C$458:$N$648,Export!J3911,FALSE),""),K3911)</f>
        <v>j</v>
      </c>
      <c r="D3911" s="6" t="b">
        <v>0</v>
      </c>
      <c r="E3911" t="s">
        <v>1561</v>
      </c>
      <c r="F3911" s="6"/>
      <c r="G3911" s="116" t="b">
        <f>VLOOKUP(I3892,FS_input_noty,J3892,FALSE)=""</f>
        <v>0</v>
      </c>
      <c r="H3911" s="6" t="s">
        <v>2189</v>
      </c>
      <c r="I3911" t="s">
        <v>1896</v>
      </c>
      <c r="J3911">
        <v>5</v>
      </c>
      <c r="L3911" s="9" t="e">
        <f t="shared" si="210"/>
        <v>#VALUE!</v>
      </c>
    </row>
    <row r="3912" spans="1:12" x14ac:dyDescent="0.35">
      <c r="A3912">
        <f t="shared" si="211"/>
        <v>3911</v>
      </c>
      <c r="B3912" t="s">
        <v>762</v>
      </c>
      <c r="C3912" s="109" t="str">
        <f>IF(ISBLANK(K3912),IFERROR(VLOOKUP(I3912,FS_input_data!$C$458:$N$648,Export!J3912,FALSE),""),K3912)</f>
        <v/>
      </c>
      <c r="D3912" s="6"/>
      <c r="E3912" t="s">
        <v>1561</v>
      </c>
      <c r="F3912" s="6"/>
      <c r="G3912" s="116" t="b">
        <f>VLOOKUP(I3892,FS_input_noty,J3892,FALSE)=""</f>
        <v>0</v>
      </c>
      <c r="H3912" s="6" t="s">
        <v>2189</v>
      </c>
      <c r="I3912" t="s">
        <v>1561</v>
      </c>
      <c r="J3912" t="s">
        <v>1561</v>
      </c>
      <c r="L3912">
        <f t="shared" si="210"/>
        <v>1</v>
      </c>
    </row>
    <row r="3913" spans="1:12" x14ac:dyDescent="0.35">
      <c r="A3913">
        <f t="shared" si="211"/>
        <v>3912</v>
      </c>
      <c r="B3913" t="s">
        <v>763</v>
      </c>
      <c r="C3913" s="109" t="str">
        <f>IF(ISBLANK(K3913),IFERROR(VLOOKUP(I3913,FS_input_data!$C$458:$N$648,Export!J3913,FALSE),""),K3913)</f>
        <v/>
      </c>
      <c r="D3913" s="6"/>
      <c r="E3913" t="s">
        <v>1561</v>
      </c>
      <c r="F3913" s="6"/>
      <c r="G3913" s="116" t="b">
        <f>VLOOKUP(I3892,FS_input_noty,J3892,FALSE)=""</f>
        <v>0</v>
      </c>
      <c r="H3913" s="6" t="s">
        <v>2189</v>
      </c>
      <c r="I3913" t="s">
        <v>1561</v>
      </c>
      <c r="J3913" t="s">
        <v>1561</v>
      </c>
      <c r="L3913">
        <f t="shared" si="210"/>
        <v>1</v>
      </c>
    </row>
    <row r="3914" spans="1:12" x14ac:dyDescent="0.35">
      <c r="A3914">
        <f t="shared" si="211"/>
        <v>3913</v>
      </c>
      <c r="B3914" t="s">
        <v>743</v>
      </c>
      <c r="C3914" s="109" t="str">
        <f>IF(ISBLANK(K3914),IFERROR(VLOOKUP(I3914,FS_input_data!$C$458:$N$648,Export!J3914,FALSE),""),K3914)</f>
        <v/>
      </c>
      <c r="D3914" s="6"/>
      <c r="E3914" t="s">
        <v>1561</v>
      </c>
      <c r="F3914" s="6"/>
      <c r="G3914" s="116" t="b">
        <f>VLOOKUP(I3892,FS_input_noty,J3892,FALSE)=""</f>
        <v>0</v>
      </c>
      <c r="H3914" s="6" t="s">
        <v>2189</v>
      </c>
      <c r="I3914" t="s">
        <v>1561</v>
      </c>
      <c r="J3914" t="s">
        <v>1561</v>
      </c>
      <c r="L3914">
        <f t="shared" si="210"/>
        <v>1</v>
      </c>
    </row>
    <row r="3915" spans="1:12" x14ac:dyDescent="0.35">
      <c r="A3915">
        <f t="shared" si="211"/>
        <v>3914</v>
      </c>
      <c r="B3915" t="s">
        <v>744</v>
      </c>
      <c r="C3915" s="109" t="str">
        <f>IF(ISBLANK(K3915),IFERROR(VLOOKUP(I3915,FS_input_data!$C$458:$N$648,Export!J3915,FALSE),""),K3915)</f>
        <v/>
      </c>
      <c r="D3915" s="6"/>
      <c r="E3915" t="s">
        <v>1561</v>
      </c>
      <c r="F3915" s="6"/>
      <c r="G3915" s="115" t="b">
        <f t="shared" ref="G3915:G3922" si="212">RP_tax</f>
        <v>1</v>
      </c>
      <c r="H3915" s="6" t="s">
        <v>2189</v>
      </c>
      <c r="I3915" t="s">
        <v>1561</v>
      </c>
      <c r="J3915" t="s">
        <v>1561</v>
      </c>
      <c r="L3915" s="9" t="e">
        <f t="shared" si="210"/>
        <v>#VALUE!</v>
      </c>
    </row>
    <row r="3916" spans="1:12" x14ac:dyDescent="0.35">
      <c r="A3916" s="9">
        <f t="shared" si="211"/>
        <v>3915</v>
      </c>
      <c r="B3916" t="s">
        <v>109</v>
      </c>
      <c r="C3916" s="109">
        <f>IF(ISBLANK(K3916),IFERROR(VLOOKUP(I3916,FS_input_data!$C$458:$N$648,Export!J3916,FALSE),""),K3916)</f>
        <v>42000</v>
      </c>
      <c r="D3916" s="6" t="b">
        <v>1</v>
      </c>
      <c r="E3916" t="s">
        <v>1561</v>
      </c>
      <c r="F3916" s="6"/>
      <c r="G3916" s="115" t="b">
        <f t="shared" si="212"/>
        <v>1</v>
      </c>
      <c r="H3916" s="6" t="s">
        <v>2189</v>
      </c>
      <c r="I3916" t="s">
        <v>1896</v>
      </c>
      <c r="J3916">
        <v>10</v>
      </c>
      <c r="L3916" s="9" t="e">
        <f t="shared" si="210"/>
        <v>#VALUE!</v>
      </c>
    </row>
    <row r="3917" spans="1:12" x14ac:dyDescent="0.35">
      <c r="A3917">
        <f t="shared" si="211"/>
        <v>3916</v>
      </c>
      <c r="B3917" t="s">
        <v>110</v>
      </c>
      <c r="C3917" s="109" t="str">
        <f>IF(ISBLANK(K3917),IFERROR(VLOOKUP(I3917,FS_input_data!$C$458:$N$648,Export!J3917,FALSE),""),K3917)</f>
        <v/>
      </c>
      <c r="D3917" s="6"/>
      <c r="E3917" t="s">
        <v>1561</v>
      </c>
      <c r="F3917" s="6"/>
      <c r="G3917" s="115" t="b">
        <f t="shared" si="212"/>
        <v>1</v>
      </c>
      <c r="H3917" s="6" t="s">
        <v>2189</v>
      </c>
      <c r="I3917" t="s">
        <v>1561</v>
      </c>
      <c r="J3917" t="s">
        <v>1561</v>
      </c>
      <c r="L3917">
        <f t="shared" si="210"/>
        <v>1</v>
      </c>
    </row>
    <row r="3918" spans="1:12" x14ac:dyDescent="0.35">
      <c r="A3918" s="9">
        <f t="shared" si="211"/>
        <v>3917</v>
      </c>
      <c r="B3918" t="s">
        <v>111</v>
      </c>
      <c r="C3918" s="109">
        <f>IF(ISBLANK(K3918),IFERROR(VLOOKUP(I3918,FS_input_data!$C$458:$N$648,Export!J3918,FALSE),""),K3918)</f>
        <v>21000</v>
      </c>
      <c r="D3918" s="6" t="b">
        <v>0</v>
      </c>
      <c r="E3918" t="s">
        <v>1561</v>
      </c>
      <c r="F3918" s="6"/>
      <c r="G3918" s="115" t="b">
        <f t="shared" si="212"/>
        <v>1</v>
      </c>
      <c r="H3918" s="6" t="s">
        <v>2189</v>
      </c>
      <c r="I3918" t="s">
        <v>1896</v>
      </c>
      <c r="J3918">
        <v>11</v>
      </c>
      <c r="L3918" s="9" t="e">
        <f t="shared" si="210"/>
        <v>#VALUE!</v>
      </c>
    </row>
    <row r="3919" spans="1:12" x14ac:dyDescent="0.35">
      <c r="A3919">
        <f t="shared" si="211"/>
        <v>3918</v>
      </c>
      <c r="B3919" t="s">
        <v>112</v>
      </c>
      <c r="C3919" s="109" t="str">
        <f>IF(ISBLANK(K3919),IFERROR(VLOOKUP(I3919,FS_input_data!$C$458:$N$648,Export!J3919,FALSE),""),K3919)</f>
        <v/>
      </c>
      <c r="D3919" s="6"/>
      <c r="E3919" t="s">
        <v>1561</v>
      </c>
      <c r="F3919" s="6"/>
      <c r="G3919" s="115" t="b">
        <f t="shared" si="212"/>
        <v>1</v>
      </c>
      <c r="H3919" s="6" t="s">
        <v>2189</v>
      </c>
      <c r="I3919" t="s">
        <v>1561</v>
      </c>
      <c r="J3919" t="s">
        <v>1561</v>
      </c>
      <c r="L3919">
        <f t="shared" si="210"/>
        <v>1</v>
      </c>
    </row>
    <row r="3920" spans="1:12" x14ac:dyDescent="0.35">
      <c r="A3920" s="9">
        <f t="shared" si="211"/>
        <v>3919</v>
      </c>
      <c r="B3920" t="s">
        <v>749</v>
      </c>
      <c r="C3920" s="109">
        <f>IF(ISBLANK(K3920),IFERROR(VLOOKUP(I3920,FS_input_data!$C$458:$N$648,Export!J3920,FALSE),""),K3920)</f>
        <v>21000</v>
      </c>
      <c r="D3920" s="6" t="b">
        <v>0</v>
      </c>
      <c r="E3920" t="s">
        <v>1561</v>
      </c>
      <c r="F3920" s="6"/>
      <c r="G3920" s="115" t="b">
        <f t="shared" si="212"/>
        <v>1</v>
      </c>
      <c r="H3920" s="6" t="s">
        <v>2189</v>
      </c>
      <c r="I3920" t="s">
        <v>1896</v>
      </c>
      <c r="J3920">
        <v>12</v>
      </c>
      <c r="L3920" s="9" t="e">
        <f t="shared" si="210"/>
        <v>#VALUE!</v>
      </c>
    </row>
    <row r="3921" spans="1:12" x14ac:dyDescent="0.35">
      <c r="A3921">
        <f t="shared" si="211"/>
        <v>3920</v>
      </c>
      <c r="B3921" t="s">
        <v>750</v>
      </c>
      <c r="C3921" s="109" t="str">
        <f>IF(ISBLANK(K3921),IFERROR(VLOOKUP(I3921,FS_input_data!$C$458:$N$648,Export!J3921,FALSE),""),K3921)</f>
        <v/>
      </c>
      <c r="D3921" s="6"/>
      <c r="E3921" t="s">
        <v>1561</v>
      </c>
      <c r="F3921" s="6"/>
      <c r="G3921" s="115" t="b">
        <f t="shared" si="212"/>
        <v>1</v>
      </c>
      <c r="H3921" s="6" t="s">
        <v>2189</v>
      </c>
      <c r="I3921" t="s">
        <v>1561</v>
      </c>
      <c r="J3921" t="s">
        <v>1561</v>
      </c>
      <c r="L3921">
        <f t="shared" si="210"/>
        <v>1</v>
      </c>
    </row>
    <row r="3922" spans="1:12" x14ac:dyDescent="0.35">
      <c r="A3922">
        <f t="shared" si="211"/>
        <v>3921</v>
      </c>
      <c r="B3922" t="s">
        <v>745</v>
      </c>
      <c r="C3922" s="109" t="str">
        <f>IF(ISBLANK(K3922),IFERROR(VLOOKUP(I3922,FS_input_data!$C$458:$N$648,Export!J3922,FALSE),""),K3922)</f>
        <v/>
      </c>
      <c r="D3922" s="6"/>
      <c r="E3922" t="s">
        <v>1561</v>
      </c>
      <c r="F3922" s="6"/>
      <c r="G3922" s="115" t="b">
        <f t="shared" si="212"/>
        <v>1</v>
      </c>
      <c r="H3922" s="6" t="s">
        <v>2189</v>
      </c>
      <c r="I3922" t="s">
        <v>1561</v>
      </c>
      <c r="J3922" t="s">
        <v>1561</v>
      </c>
      <c r="L3922">
        <f t="shared" si="210"/>
        <v>1</v>
      </c>
    </row>
    <row r="3923" spans="1:12" x14ac:dyDescent="0.35">
      <c r="A3923">
        <f t="shared" si="211"/>
        <v>3922</v>
      </c>
      <c r="B3923" t="s">
        <v>764</v>
      </c>
      <c r="C3923" s="109" t="str">
        <f>IF(ISBLANK(K3923),IFERROR(VLOOKUP(I3923,FS_input_data!$C$458:$N$648,Export!J3923,FALSE),""),K3923)</f>
        <v/>
      </c>
      <c r="D3923" s="6"/>
      <c r="E3923" t="s">
        <v>1561</v>
      </c>
      <c r="F3923" s="6"/>
      <c r="G3923" s="116" t="b">
        <f>VLOOKUP(I3892,FS_input_noty,J3892,FALSE)=""</f>
        <v>0</v>
      </c>
      <c r="H3923" s="6" t="s">
        <v>2189</v>
      </c>
      <c r="I3923" t="s">
        <v>1561</v>
      </c>
      <c r="J3923" t="s">
        <v>1561</v>
      </c>
      <c r="L3923">
        <f t="shared" si="210"/>
        <v>1</v>
      </c>
    </row>
    <row r="3924" spans="1:12" x14ac:dyDescent="0.35">
      <c r="A3924">
        <f t="shared" si="211"/>
        <v>3923</v>
      </c>
      <c r="B3924" t="s">
        <v>765</v>
      </c>
      <c r="C3924" s="109" t="str">
        <f>IF(ISBLANK(K3924),IFERROR(VLOOKUP(I3924,FS_input_data!$C$458:$N$648,Export!J3924,FALSE),""),K3924)</f>
        <v/>
      </c>
      <c r="D3924" s="6"/>
      <c r="E3924" t="s">
        <v>1561</v>
      </c>
      <c r="F3924" s="6"/>
      <c r="G3924" s="116" t="b">
        <f>VLOOKUP(I3892,FS_input_noty,J3892,FALSE)=""</f>
        <v>0</v>
      </c>
      <c r="H3924" s="6" t="s">
        <v>2189</v>
      </c>
      <c r="I3924" t="s">
        <v>1561</v>
      </c>
      <c r="J3924" t="s">
        <v>1561</v>
      </c>
      <c r="L3924">
        <f t="shared" si="210"/>
        <v>1</v>
      </c>
    </row>
    <row r="3925" spans="1:12" x14ac:dyDescent="0.35">
      <c r="A3925">
        <f t="shared" si="211"/>
        <v>3924</v>
      </c>
      <c r="B3925" t="s">
        <v>766</v>
      </c>
      <c r="C3925" s="109" t="str">
        <f>IF(ISBLANK(K3925),IFERROR(VLOOKUP(I3925,FS_input_data!$C$458:$N$648,Export!J3925,FALSE),""),K3925)</f>
        <v/>
      </c>
      <c r="D3925" s="6"/>
      <c r="E3925" t="s">
        <v>1561</v>
      </c>
      <c r="F3925" s="6"/>
      <c r="G3925" s="118" t="b">
        <f t="shared" ref="G3925:G3933" si="213">VLOOKUP($I$3927,FS_input_noty,$J$3927,FALSE)=""</f>
        <v>0</v>
      </c>
      <c r="H3925" s="6" t="s">
        <v>2189</v>
      </c>
      <c r="I3925" t="s">
        <v>1561</v>
      </c>
      <c r="J3925" t="s">
        <v>1561</v>
      </c>
      <c r="L3925" s="9" t="e">
        <f t="shared" si="210"/>
        <v>#VALUE!</v>
      </c>
    </row>
    <row r="3926" spans="1:12" x14ac:dyDescent="0.35">
      <c r="A3926">
        <f t="shared" si="211"/>
        <v>3925</v>
      </c>
      <c r="B3926" t="s">
        <v>742</v>
      </c>
      <c r="C3926" s="109" t="str">
        <f>IF(ISBLANK(K3926),IFERROR(VLOOKUP(I3926,FS_input_data!$C$458:$N$648,Export!J3926,FALSE),""),K3926)</f>
        <v/>
      </c>
      <c r="D3926" s="6"/>
      <c r="E3926" t="s">
        <v>1561</v>
      </c>
      <c r="F3926" s="6"/>
      <c r="G3926" s="118" t="b">
        <f t="shared" si="213"/>
        <v>0</v>
      </c>
      <c r="H3926" s="6" t="s">
        <v>2189</v>
      </c>
      <c r="I3926" t="s">
        <v>1561</v>
      </c>
      <c r="J3926" t="s">
        <v>1561</v>
      </c>
      <c r="L3926" s="9" t="e">
        <f t="shared" si="210"/>
        <v>#VALUE!</v>
      </c>
    </row>
    <row r="3927" spans="1:12" x14ac:dyDescent="0.35">
      <c r="A3927" s="9">
        <f t="shared" si="211"/>
        <v>3926</v>
      </c>
      <c r="B3927" t="s">
        <v>109</v>
      </c>
      <c r="C3927" s="109">
        <f>IF(ISBLANK(K3927),IFERROR(VLOOKUP(I3927,FS_input_data!$C$458:$N$648,Export!J3927,FALSE),""),K3927)</f>
        <v>43000</v>
      </c>
      <c r="D3927" s="6" t="b">
        <v>1</v>
      </c>
      <c r="E3927" t="s">
        <v>1561</v>
      </c>
      <c r="F3927" s="6"/>
      <c r="G3927" s="118" t="b">
        <f t="shared" si="213"/>
        <v>0</v>
      </c>
      <c r="H3927" s="6" t="s">
        <v>2189</v>
      </c>
      <c r="I3927" t="s">
        <v>2191</v>
      </c>
      <c r="J3927">
        <v>7</v>
      </c>
      <c r="L3927" s="9" t="e">
        <f t="shared" si="210"/>
        <v>#VALUE!</v>
      </c>
    </row>
    <row r="3928" spans="1:12" x14ac:dyDescent="0.35">
      <c r="A3928">
        <f t="shared" si="211"/>
        <v>3927</v>
      </c>
      <c r="B3928" t="s">
        <v>110</v>
      </c>
      <c r="C3928" s="109" t="str">
        <f>IF(ISBLANK(K3928),IFERROR(VLOOKUP(I3928,FS_input_data!$C$458:$N$648,Export!J3928,FALSE),""),K3928)</f>
        <v/>
      </c>
      <c r="D3928" s="6"/>
      <c r="E3928" t="s">
        <v>1561</v>
      </c>
      <c r="F3928" s="6"/>
      <c r="G3928" s="118" t="b">
        <f t="shared" si="213"/>
        <v>0</v>
      </c>
      <c r="H3928" s="6" t="s">
        <v>2189</v>
      </c>
      <c r="I3928" t="s">
        <v>1561</v>
      </c>
      <c r="J3928" t="s">
        <v>1561</v>
      </c>
      <c r="L3928">
        <f t="shared" si="210"/>
        <v>1</v>
      </c>
    </row>
    <row r="3929" spans="1:12" x14ac:dyDescent="0.35">
      <c r="A3929" s="9">
        <f t="shared" si="211"/>
        <v>3928</v>
      </c>
      <c r="B3929" t="s">
        <v>111</v>
      </c>
      <c r="C3929" s="109">
        <f>IF(ISBLANK(K3929),IFERROR(VLOOKUP(I3929,FS_input_data!$C$458:$N$648,Export!J3929,FALSE),""),K3929)</f>
        <v>21500</v>
      </c>
      <c r="D3929" s="6" t="b">
        <v>0</v>
      </c>
      <c r="E3929" t="s">
        <v>1561</v>
      </c>
      <c r="F3929" s="6"/>
      <c r="G3929" s="118" t="b">
        <f t="shared" si="213"/>
        <v>0</v>
      </c>
      <c r="H3929" s="6" t="s">
        <v>2189</v>
      </c>
      <c r="I3929" t="s">
        <v>2191</v>
      </c>
      <c r="J3929">
        <v>8</v>
      </c>
      <c r="L3929" s="9" t="e">
        <f t="shared" si="210"/>
        <v>#VALUE!</v>
      </c>
    </row>
    <row r="3930" spans="1:12" x14ac:dyDescent="0.35">
      <c r="A3930">
        <f t="shared" si="211"/>
        <v>3929</v>
      </c>
      <c r="B3930" t="s">
        <v>112</v>
      </c>
      <c r="C3930" s="109" t="str">
        <f>IF(ISBLANK(K3930),IFERROR(VLOOKUP(I3930,FS_input_data!$C$458:$N$648,Export!J3930,FALSE),""),K3930)</f>
        <v/>
      </c>
      <c r="D3930" s="6"/>
      <c r="E3930" t="s">
        <v>1561</v>
      </c>
      <c r="F3930" s="6"/>
      <c r="G3930" s="118" t="b">
        <f t="shared" si="213"/>
        <v>0</v>
      </c>
      <c r="H3930" s="6" t="s">
        <v>2189</v>
      </c>
      <c r="I3930" t="s">
        <v>1561</v>
      </c>
      <c r="J3930" t="s">
        <v>1561</v>
      </c>
      <c r="L3930">
        <f t="shared" si="210"/>
        <v>1</v>
      </c>
    </row>
    <row r="3931" spans="1:12" x14ac:dyDescent="0.35">
      <c r="A3931" s="9">
        <f t="shared" si="211"/>
        <v>3930</v>
      </c>
      <c r="B3931" t="s">
        <v>749</v>
      </c>
      <c r="C3931" s="109">
        <f>IF(ISBLANK(K3931),IFERROR(VLOOKUP(I3931,FS_input_data!$C$458:$N$648,Export!J3931,FALSE),""),K3931)</f>
        <v>21500</v>
      </c>
      <c r="D3931" s="6" t="b">
        <v>0</v>
      </c>
      <c r="E3931" t="s">
        <v>1561</v>
      </c>
      <c r="F3931" s="6"/>
      <c r="G3931" s="118" t="b">
        <f t="shared" si="213"/>
        <v>0</v>
      </c>
      <c r="H3931" s="6" t="s">
        <v>2189</v>
      </c>
      <c r="I3931" t="s">
        <v>2191</v>
      </c>
      <c r="J3931">
        <v>9</v>
      </c>
      <c r="L3931" s="9" t="e">
        <f t="shared" si="210"/>
        <v>#VALUE!</v>
      </c>
    </row>
    <row r="3932" spans="1:12" x14ac:dyDescent="0.35">
      <c r="A3932">
        <f t="shared" si="211"/>
        <v>3931</v>
      </c>
      <c r="B3932" t="s">
        <v>750</v>
      </c>
      <c r="C3932" s="109" t="str">
        <f>IF(ISBLANK(K3932),IFERROR(VLOOKUP(I3932,FS_input_data!$C$458:$N$648,Export!J3932,FALSE),""),K3932)</f>
        <v/>
      </c>
      <c r="D3932" s="6"/>
      <c r="E3932" t="s">
        <v>1561</v>
      </c>
      <c r="F3932" s="6"/>
      <c r="G3932" s="118" t="b">
        <f t="shared" si="213"/>
        <v>0</v>
      </c>
      <c r="H3932" s="6" t="s">
        <v>2189</v>
      </c>
      <c r="I3932" t="s">
        <v>1561</v>
      </c>
      <c r="J3932" t="s">
        <v>1561</v>
      </c>
      <c r="L3932">
        <f t="shared" si="210"/>
        <v>1</v>
      </c>
    </row>
    <row r="3933" spans="1:12" x14ac:dyDescent="0.35">
      <c r="A3933">
        <f t="shared" si="211"/>
        <v>3932</v>
      </c>
      <c r="B3933" t="s">
        <v>743</v>
      </c>
      <c r="C3933" s="109" t="str">
        <f>IF(ISBLANK(K3933),IFERROR(VLOOKUP(I3933,FS_input_data!$C$458:$N$648,Export!J3933,FALSE),""),K3933)</f>
        <v/>
      </c>
      <c r="D3933" s="6"/>
      <c r="E3933" t="s">
        <v>1561</v>
      </c>
      <c r="F3933" s="6"/>
      <c r="G3933" s="118" t="b">
        <f t="shared" si="213"/>
        <v>0</v>
      </c>
      <c r="H3933" s="6" t="s">
        <v>2189</v>
      </c>
      <c r="I3933" t="s">
        <v>1561</v>
      </c>
      <c r="J3933" t="s">
        <v>1561</v>
      </c>
      <c r="L3933">
        <f t="shared" si="210"/>
        <v>1</v>
      </c>
    </row>
    <row r="3934" spans="1:12" x14ac:dyDescent="0.35">
      <c r="A3934">
        <f t="shared" si="211"/>
        <v>3933</v>
      </c>
      <c r="B3934" t="s">
        <v>744</v>
      </c>
      <c r="C3934" s="109" t="str">
        <f>IF(ISBLANK(K3934),IFERROR(VLOOKUP(I3934,FS_input_data!$C$458:$N$648,Export!J3934,FALSE),""),K3934)</f>
        <v/>
      </c>
      <c r="D3934" s="6"/>
      <c r="E3934" t="s">
        <v>1561</v>
      </c>
      <c r="F3934" s="6"/>
      <c r="G3934" s="118" t="b">
        <f t="shared" ref="G3934:G3941" si="214">RP_tax</f>
        <v>1</v>
      </c>
      <c r="H3934" s="6" t="s">
        <v>2189</v>
      </c>
      <c r="I3934" t="s">
        <v>1561</v>
      </c>
      <c r="J3934" t="s">
        <v>1561</v>
      </c>
      <c r="L3934" s="9" t="e">
        <f t="shared" si="210"/>
        <v>#VALUE!</v>
      </c>
    </row>
    <row r="3935" spans="1:12" x14ac:dyDescent="0.35">
      <c r="A3935" s="9">
        <f t="shared" si="211"/>
        <v>3934</v>
      </c>
      <c r="B3935" t="s">
        <v>109</v>
      </c>
      <c r="C3935" s="109">
        <f>IF(ISBLANK(K3935),IFERROR(VLOOKUP(I3935,FS_input_data!$C$458:$N$648,Export!J3935,FALSE),""),K3935)</f>
        <v>43000</v>
      </c>
      <c r="D3935" s="6" t="b">
        <v>1</v>
      </c>
      <c r="E3935" t="s">
        <v>1561</v>
      </c>
      <c r="F3935" s="6"/>
      <c r="G3935" s="118" t="b">
        <f t="shared" si="214"/>
        <v>1</v>
      </c>
      <c r="H3935" s="6" t="s">
        <v>2189</v>
      </c>
      <c r="I3935" t="s">
        <v>2191</v>
      </c>
      <c r="J3935">
        <v>10</v>
      </c>
      <c r="L3935" s="9" t="e">
        <f t="shared" si="210"/>
        <v>#VALUE!</v>
      </c>
    </row>
    <row r="3936" spans="1:12" x14ac:dyDescent="0.35">
      <c r="A3936">
        <f t="shared" si="211"/>
        <v>3935</v>
      </c>
      <c r="B3936" t="s">
        <v>110</v>
      </c>
      <c r="C3936" s="109" t="str">
        <f>IF(ISBLANK(K3936),IFERROR(VLOOKUP(I3936,FS_input_data!$C$458:$N$648,Export!J3936,FALSE),""),K3936)</f>
        <v/>
      </c>
      <c r="D3936" s="6"/>
      <c r="E3936" t="s">
        <v>1561</v>
      </c>
      <c r="F3936" s="6"/>
      <c r="G3936" s="118" t="b">
        <f t="shared" si="214"/>
        <v>1</v>
      </c>
      <c r="H3936" s="6" t="s">
        <v>2189</v>
      </c>
      <c r="I3936" t="s">
        <v>1561</v>
      </c>
      <c r="J3936" t="s">
        <v>1561</v>
      </c>
      <c r="L3936">
        <f t="shared" si="210"/>
        <v>1</v>
      </c>
    </row>
    <row r="3937" spans="1:12" x14ac:dyDescent="0.35">
      <c r="A3937" s="9">
        <f t="shared" si="211"/>
        <v>3936</v>
      </c>
      <c r="B3937" t="s">
        <v>111</v>
      </c>
      <c r="C3937" s="109">
        <f>IF(ISBLANK(K3937),IFERROR(VLOOKUP(I3937,FS_input_data!$C$458:$N$648,Export!J3937,FALSE),""),K3937)</f>
        <v>21500</v>
      </c>
      <c r="D3937" s="6" t="b">
        <v>0</v>
      </c>
      <c r="E3937" t="s">
        <v>1561</v>
      </c>
      <c r="F3937" s="6"/>
      <c r="G3937" s="118" t="b">
        <f t="shared" si="214"/>
        <v>1</v>
      </c>
      <c r="H3937" s="6" t="s">
        <v>2189</v>
      </c>
      <c r="I3937" t="s">
        <v>2191</v>
      </c>
      <c r="J3937">
        <v>11</v>
      </c>
      <c r="L3937" s="9" t="e">
        <f t="shared" si="210"/>
        <v>#VALUE!</v>
      </c>
    </row>
    <row r="3938" spans="1:12" x14ac:dyDescent="0.35">
      <c r="A3938">
        <f t="shared" si="211"/>
        <v>3937</v>
      </c>
      <c r="B3938" t="s">
        <v>112</v>
      </c>
      <c r="C3938" s="109" t="str">
        <f>IF(ISBLANK(K3938),IFERROR(VLOOKUP(I3938,FS_input_data!$C$458:$N$648,Export!J3938,FALSE),""),K3938)</f>
        <v/>
      </c>
      <c r="D3938" s="6"/>
      <c r="E3938" t="s">
        <v>1561</v>
      </c>
      <c r="F3938" s="6"/>
      <c r="G3938" s="118" t="b">
        <f t="shared" si="214"/>
        <v>1</v>
      </c>
      <c r="H3938" s="6" t="s">
        <v>2189</v>
      </c>
      <c r="I3938" t="s">
        <v>1561</v>
      </c>
      <c r="J3938" t="s">
        <v>1561</v>
      </c>
      <c r="L3938">
        <f t="shared" si="210"/>
        <v>1</v>
      </c>
    </row>
    <row r="3939" spans="1:12" x14ac:dyDescent="0.35">
      <c r="A3939" s="9">
        <f t="shared" si="211"/>
        <v>3938</v>
      </c>
      <c r="B3939" t="s">
        <v>749</v>
      </c>
      <c r="C3939" s="109">
        <f>IF(ISBLANK(K3939),IFERROR(VLOOKUP(I3939,FS_input_data!$C$458:$N$648,Export!J3939,FALSE),""),K3939)</f>
        <v>21500</v>
      </c>
      <c r="D3939" s="6" t="b">
        <v>0</v>
      </c>
      <c r="E3939" t="s">
        <v>1561</v>
      </c>
      <c r="F3939" s="6"/>
      <c r="G3939" s="118" t="b">
        <f t="shared" si="214"/>
        <v>1</v>
      </c>
      <c r="H3939" s="6" t="s">
        <v>2189</v>
      </c>
      <c r="I3939" t="s">
        <v>2191</v>
      </c>
      <c r="J3939">
        <v>12</v>
      </c>
      <c r="L3939" s="9" t="e">
        <f t="shared" si="210"/>
        <v>#VALUE!</v>
      </c>
    </row>
    <row r="3940" spans="1:12" x14ac:dyDescent="0.35">
      <c r="A3940">
        <f t="shared" si="211"/>
        <v>3939</v>
      </c>
      <c r="B3940" t="s">
        <v>750</v>
      </c>
      <c r="C3940" s="109" t="str">
        <f>IF(ISBLANK(K3940),IFERROR(VLOOKUP(I3940,FS_input_data!$C$458:$N$648,Export!J3940,FALSE),""),K3940)</f>
        <v/>
      </c>
      <c r="D3940" s="6"/>
      <c r="E3940" t="s">
        <v>1561</v>
      </c>
      <c r="F3940" s="6"/>
      <c r="G3940" s="118" t="b">
        <f t="shared" si="214"/>
        <v>1</v>
      </c>
      <c r="H3940" s="6" t="s">
        <v>2189</v>
      </c>
      <c r="I3940" t="s">
        <v>1561</v>
      </c>
      <c r="J3940" t="s">
        <v>1561</v>
      </c>
      <c r="L3940">
        <f t="shared" si="210"/>
        <v>1</v>
      </c>
    </row>
    <row r="3941" spans="1:12" x14ac:dyDescent="0.35">
      <c r="A3941">
        <f t="shared" si="211"/>
        <v>3940</v>
      </c>
      <c r="B3941" t="s">
        <v>745</v>
      </c>
      <c r="C3941" s="109" t="str">
        <f>IF(ISBLANK(K3941),IFERROR(VLOOKUP(I3941,FS_input_data!$C$458:$N$648,Export!J3941,FALSE),""),K3941)</f>
        <v/>
      </c>
      <c r="D3941" s="6"/>
      <c r="E3941" t="s">
        <v>1561</v>
      </c>
      <c r="F3941" s="6"/>
      <c r="G3941" s="118" t="b">
        <f t="shared" si="214"/>
        <v>1</v>
      </c>
      <c r="H3941" s="6" t="s">
        <v>2189</v>
      </c>
      <c r="I3941" t="s">
        <v>1561</v>
      </c>
      <c r="J3941" t="s">
        <v>1561</v>
      </c>
      <c r="L3941">
        <f t="shared" si="210"/>
        <v>1</v>
      </c>
    </row>
    <row r="3942" spans="1:12" x14ac:dyDescent="0.35">
      <c r="A3942">
        <f t="shared" si="211"/>
        <v>3941</v>
      </c>
      <c r="B3942" t="s">
        <v>767</v>
      </c>
      <c r="C3942" s="109" t="str">
        <f>IF(ISBLANK(K3942),IFERROR(VLOOKUP(I3942,FS_input_data!$C$458:$N$648,Export!J3942,FALSE),""),K3942)</f>
        <v/>
      </c>
      <c r="D3942" s="6"/>
      <c r="E3942" t="s">
        <v>1561</v>
      </c>
      <c r="F3942" s="6"/>
      <c r="G3942" s="118" t="b">
        <f t="shared" ref="G3942:G3953" si="215">VLOOKUP($I$3927,FS_input_noty,$J$3927,FALSE)=""</f>
        <v>0</v>
      </c>
      <c r="H3942" s="6" t="s">
        <v>2189</v>
      </c>
      <c r="I3942" t="s">
        <v>1561</v>
      </c>
      <c r="J3942" t="s">
        <v>1561</v>
      </c>
      <c r="L3942">
        <f t="shared" si="210"/>
        <v>1</v>
      </c>
    </row>
    <row r="3943" spans="1:12" x14ac:dyDescent="0.35">
      <c r="A3943">
        <f t="shared" si="211"/>
        <v>3942</v>
      </c>
      <c r="B3943" t="s">
        <v>770</v>
      </c>
      <c r="C3943" s="109" t="str">
        <f>IF(ISBLANK(K3943),IFERROR(VLOOKUP(I3943,FS_input_data!$C$458:$N$648,Export!J3943,FALSE),""),K3943)</f>
        <v/>
      </c>
      <c r="D3943" s="6"/>
      <c r="E3943" t="s">
        <v>1561</v>
      </c>
      <c r="F3943" s="6"/>
      <c r="G3943" s="118" t="b">
        <f t="shared" si="215"/>
        <v>0</v>
      </c>
      <c r="H3943" s="6" t="s">
        <v>2189</v>
      </c>
      <c r="I3943" t="s">
        <v>1561</v>
      </c>
      <c r="J3943" t="s">
        <v>1561</v>
      </c>
      <c r="L3943">
        <f t="shared" si="210"/>
        <v>1</v>
      </c>
    </row>
    <row r="3944" spans="1:12" x14ac:dyDescent="0.35">
      <c r="A3944">
        <f t="shared" si="211"/>
        <v>3943</v>
      </c>
      <c r="B3944" t="s">
        <v>771</v>
      </c>
      <c r="C3944" s="109" t="str">
        <f>IF(ISBLANK(K3944),IFERROR(VLOOKUP(I3944,FS_input_data!$C$458:$N$648,Export!J3944,FALSE),""),K3944)</f>
        <v/>
      </c>
      <c r="D3944" s="6"/>
      <c r="E3944" s="43" t="s">
        <v>2232</v>
      </c>
      <c r="F3944" s="6"/>
      <c r="G3944" s="118" t="b">
        <f t="shared" si="215"/>
        <v>0</v>
      </c>
      <c r="H3944" s="6" t="s">
        <v>2189</v>
      </c>
      <c r="I3944" t="s">
        <v>1561</v>
      </c>
      <c r="J3944" t="s">
        <v>1561</v>
      </c>
      <c r="L3944" s="9" t="e">
        <f t="shared" si="210"/>
        <v>#VALUE!</v>
      </c>
    </row>
    <row r="3945" spans="1:12" x14ac:dyDescent="0.35">
      <c r="A3945">
        <f t="shared" si="211"/>
        <v>3944</v>
      </c>
      <c r="B3945" t="s">
        <v>748</v>
      </c>
      <c r="C3945" s="109" t="str">
        <f>IF(ISBLANK(K3945),IFERROR(VLOOKUP(I3945,FS_input_data!$C$458:$N$648,Export!J3945,FALSE),""),K3945)</f>
        <v/>
      </c>
      <c r="D3945" s="6"/>
      <c r="E3945" t="s">
        <v>1561</v>
      </c>
      <c r="F3945" s="6"/>
      <c r="G3945" s="118" t="b">
        <f t="shared" si="215"/>
        <v>0</v>
      </c>
      <c r="H3945" s="6" t="s">
        <v>2189</v>
      </c>
      <c r="I3945" t="s">
        <v>1561</v>
      </c>
      <c r="J3945" t="s">
        <v>1561</v>
      </c>
      <c r="L3945" s="9" t="e">
        <f t="shared" si="210"/>
        <v>#VALUE!</v>
      </c>
    </row>
    <row r="3946" spans="1:12" x14ac:dyDescent="0.35">
      <c r="A3946">
        <f t="shared" si="211"/>
        <v>3945</v>
      </c>
      <c r="B3946" t="s">
        <v>742</v>
      </c>
      <c r="C3946" s="109" t="str">
        <f>IF(ISBLANK(K3946),IFERROR(VLOOKUP(I3946,FS_input_data!$C$458:$N$648,Export!J3946,FALSE),""),K3946)</f>
        <v/>
      </c>
      <c r="D3946" s="6"/>
      <c r="E3946" t="s">
        <v>1561</v>
      </c>
      <c r="F3946" s="6"/>
      <c r="G3946" s="118" t="b">
        <f t="shared" si="215"/>
        <v>0</v>
      </c>
      <c r="H3946" s="6" t="s">
        <v>2189</v>
      </c>
      <c r="I3946" t="s">
        <v>1561</v>
      </c>
      <c r="J3946" t="s">
        <v>1561</v>
      </c>
      <c r="L3946" s="9" t="e">
        <f t="shared" si="210"/>
        <v>#VALUE!</v>
      </c>
    </row>
    <row r="3947" spans="1:12" x14ac:dyDescent="0.35">
      <c r="A3947" s="9">
        <f t="shared" si="211"/>
        <v>3946</v>
      </c>
      <c r="B3947" t="s">
        <v>109</v>
      </c>
      <c r="C3947" s="109">
        <f>IF(ISBLANK(K3947),IFERROR(VLOOKUP(I3947,FS_input_data!$C$458:$N$648,Export!J3947,FALSE),""),K3947)</f>
        <v>22000</v>
      </c>
      <c r="D3947" s="6" t="b">
        <v>1</v>
      </c>
      <c r="E3947" t="s">
        <v>1561</v>
      </c>
      <c r="F3947" s="6"/>
      <c r="G3947" s="118" t="b">
        <f t="shared" si="215"/>
        <v>0</v>
      </c>
      <c r="H3947" s="6" t="s">
        <v>2189</v>
      </c>
      <c r="I3947" t="s">
        <v>2195</v>
      </c>
      <c r="J3947">
        <v>7</v>
      </c>
      <c r="L3947" s="9" t="e">
        <f t="shared" si="210"/>
        <v>#VALUE!</v>
      </c>
    </row>
    <row r="3948" spans="1:12" x14ac:dyDescent="0.35">
      <c r="A3948">
        <f t="shared" si="211"/>
        <v>3947</v>
      </c>
      <c r="B3948" t="s">
        <v>110</v>
      </c>
      <c r="C3948" s="109" t="str">
        <f>IF(ISBLANK(K3948),IFERROR(VLOOKUP(I3948,FS_input_data!$C$458:$N$648,Export!J3948,FALSE),""),K3948)</f>
        <v/>
      </c>
      <c r="D3948" s="6"/>
      <c r="E3948" t="s">
        <v>1561</v>
      </c>
      <c r="F3948" s="6"/>
      <c r="G3948" s="118" t="b">
        <f t="shared" si="215"/>
        <v>0</v>
      </c>
      <c r="H3948" s="6" t="s">
        <v>2189</v>
      </c>
      <c r="I3948" t="s">
        <v>1561</v>
      </c>
      <c r="J3948" t="s">
        <v>1561</v>
      </c>
      <c r="L3948">
        <f t="shared" si="210"/>
        <v>1</v>
      </c>
    </row>
    <row r="3949" spans="1:12" x14ac:dyDescent="0.35">
      <c r="A3949" s="9">
        <f t="shared" si="211"/>
        <v>3948</v>
      </c>
      <c r="B3949" t="s">
        <v>111</v>
      </c>
      <c r="C3949" s="109">
        <f>IF(ISBLANK(K3949),IFERROR(VLOOKUP(I3949,FS_input_data!$C$458:$N$648,Export!J3949,FALSE),""),K3949)</f>
        <v>11000</v>
      </c>
      <c r="D3949" s="6" t="b">
        <v>0</v>
      </c>
      <c r="E3949" t="s">
        <v>1561</v>
      </c>
      <c r="F3949" s="6"/>
      <c r="G3949" s="118" t="b">
        <f t="shared" si="215"/>
        <v>0</v>
      </c>
      <c r="H3949" s="6" t="s">
        <v>2189</v>
      </c>
      <c r="I3949" t="s">
        <v>2195</v>
      </c>
      <c r="J3949">
        <v>8</v>
      </c>
      <c r="L3949" s="9" t="e">
        <f t="shared" si="210"/>
        <v>#VALUE!</v>
      </c>
    </row>
    <row r="3950" spans="1:12" x14ac:dyDescent="0.35">
      <c r="A3950">
        <f t="shared" si="211"/>
        <v>3949</v>
      </c>
      <c r="B3950" t="s">
        <v>112</v>
      </c>
      <c r="C3950" s="109" t="str">
        <f>IF(ISBLANK(K3950),IFERROR(VLOOKUP(I3950,FS_input_data!$C$458:$N$648,Export!J3950,FALSE),""),K3950)</f>
        <v/>
      </c>
      <c r="D3950" s="6"/>
      <c r="E3950" t="s">
        <v>1561</v>
      </c>
      <c r="F3950" s="6"/>
      <c r="G3950" s="118" t="b">
        <f t="shared" si="215"/>
        <v>0</v>
      </c>
      <c r="H3950" s="6" t="s">
        <v>2189</v>
      </c>
      <c r="I3950" t="s">
        <v>1561</v>
      </c>
      <c r="J3950" t="s">
        <v>1561</v>
      </c>
      <c r="L3950">
        <f t="shared" si="210"/>
        <v>1</v>
      </c>
    </row>
    <row r="3951" spans="1:12" x14ac:dyDescent="0.35">
      <c r="A3951" s="9">
        <f t="shared" si="211"/>
        <v>3950</v>
      </c>
      <c r="B3951" t="s">
        <v>749</v>
      </c>
      <c r="C3951" s="109">
        <f>IF(ISBLANK(K3951),IFERROR(VLOOKUP(I3951,FS_input_data!$C$458:$N$648,Export!J3951,FALSE),""),K3951)</f>
        <v>11000</v>
      </c>
      <c r="D3951" s="6" t="b">
        <v>0</v>
      </c>
      <c r="E3951" t="s">
        <v>1561</v>
      </c>
      <c r="F3951" s="6"/>
      <c r="G3951" s="118" t="b">
        <f t="shared" si="215"/>
        <v>0</v>
      </c>
      <c r="H3951" s="6" t="s">
        <v>2189</v>
      </c>
      <c r="I3951" t="s">
        <v>2195</v>
      </c>
      <c r="J3951">
        <v>9</v>
      </c>
      <c r="L3951" s="9" t="e">
        <f t="shared" si="210"/>
        <v>#VALUE!</v>
      </c>
    </row>
    <row r="3952" spans="1:12" x14ac:dyDescent="0.35">
      <c r="A3952">
        <f t="shared" si="211"/>
        <v>3951</v>
      </c>
      <c r="B3952" t="s">
        <v>750</v>
      </c>
      <c r="C3952" s="109" t="str">
        <f>IF(ISBLANK(K3952),IFERROR(VLOOKUP(I3952,FS_input_data!$C$458:$N$648,Export!J3952,FALSE),""),K3952)</f>
        <v/>
      </c>
      <c r="D3952" s="6"/>
      <c r="E3952" t="s">
        <v>1561</v>
      </c>
      <c r="F3952" s="6"/>
      <c r="G3952" s="118" t="b">
        <f t="shared" si="215"/>
        <v>0</v>
      </c>
      <c r="H3952" s="6" t="s">
        <v>2189</v>
      </c>
      <c r="I3952" t="s">
        <v>1561</v>
      </c>
      <c r="J3952" t="s">
        <v>1561</v>
      </c>
      <c r="L3952">
        <f t="shared" si="210"/>
        <v>1</v>
      </c>
    </row>
    <row r="3953" spans="1:12" x14ac:dyDescent="0.35">
      <c r="A3953">
        <f t="shared" si="211"/>
        <v>3952</v>
      </c>
      <c r="B3953" t="s">
        <v>743</v>
      </c>
      <c r="C3953" s="109" t="str">
        <f>IF(ISBLANK(K3953),IFERROR(VLOOKUP(I3953,FS_input_data!$C$458:$N$648,Export!J3953,FALSE),""),K3953)</f>
        <v/>
      </c>
      <c r="D3953" s="6"/>
      <c r="E3953" t="s">
        <v>1561</v>
      </c>
      <c r="F3953" s="6"/>
      <c r="G3953" s="118" t="b">
        <f t="shared" si="215"/>
        <v>0</v>
      </c>
      <c r="H3953" s="6" t="s">
        <v>2189</v>
      </c>
      <c r="I3953" t="s">
        <v>1561</v>
      </c>
      <c r="J3953" t="s">
        <v>1561</v>
      </c>
      <c r="L3953">
        <f t="shared" si="210"/>
        <v>1</v>
      </c>
    </row>
    <row r="3954" spans="1:12" x14ac:dyDescent="0.35">
      <c r="A3954">
        <f t="shared" si="211"/>
        <v>3953</v>
      </c>
      <c r="B3954" t="s">
        <v>744</v>
      </c>
      <c r="C3954" s="109" t="str">
        <f>IF(ISBLANK(K3954),IFERROR(VLOOKUP(I3954,FS_input_data!$C$458:$N$648,Export!J3954,FALSE),""),K3954)</f>
        <v/>
      </c>
      <c r="D3954" s="6"/>
      <c r="E3954" t="s">
        <v>1561</v>
      </c>
      <c r="F3954" s="6"/>
      <c r="G3954" s="118" t="b">
        <f t="shared" ref="G3954:G3961" si="216">RP_tax</f>
        <v>1</v>
      </c>
      <c r="H3954" s="6" t="s">
        <v>2189</v>
      </c>
      <c r="I3954" t="s">
        <v>1561</v>
      </c>
      <c r="J3954" t="s">
        <v>1561</v>
      </c>
      <c r="L3954" s="9" t="e">
        <f t="shared" si="210"/>
        <v>#VALUE!</v>
      </c>
    </row>
    <row r="3955" spans="1:12" x14ac:dyDescent="0.35">
      <c r="A3955" s="9">
        <f t="shared" si="211"/>
        <v>3954</v>
      </c>
      <c r="B3955" t="s">
        <v>109</v>
      </c>
      <c r="C3955" s="109">
        <f>IF(ISBLANK(K3955),IFERROR(VLOOKUP(I3955,FS_input_data!$C$458:$N$648,Export!J3955,FALSE),""),K3955)</f>
        <v>22000</v>
      </c>
      <c r="D3955" s="6" t="b">
        <v>1</v>
      </c>
      <c r="E3955" t="s">
        <v>1561</v>
      </c>
      <c r="F3955" s="6"/>
      <c r="G3955" s="118" t="b">
        <f t="shared" si="216"/>
        <v>1</v>
      </c>
      <c r="H3955" s="6" t="s">
        <v>2189</v>
      </c>
      <c r="I3955" t="s">
        <v>2195</v>
      </c>
      <c r="J3955">
        <v>10</v>
      </c>
      <c r="L3955" s="9" t="e">
        <f t="shared" si="210"/>
        <v>#VALUE!</v>
      </c>
    </row>
    <row r="3956" spans="1:12" x14ac:dyDescent="0.35">
      <c r="A3956">
        <f t="shared" si="211"/>
        <v>3955</v>
      </c>
      <c r="B3956" t="s">
        <v>110</v>
      </c>
      <c r="C3956" s="109" t="str">
        <f>IF(ISBLANK(K3956),IFERROR(VLOOKUP(I3956,FS_input_data!$C$458:$N$648,Export!J3956,FALSE),""),K3956)</f>
        <v/>
      </c>
      <c r="D3956" s="6"/>
      <c r="E3956" t="s">
        <v>1561</v>
      </c>
      <c r="F3956" s="6"/>
      <c r="G3956" s="118" t="b">
        <f t="shared" si="216"/>
        <v>1</v>
      </c>
      <c r="H3956" s="6" t="s">
        <v>2189</v>
      </c>
      <c r="I3956" t="s">
        <v>1561</v>
      </c>
      <c r="J3956" t="s">
        <v>1561</v>
      </c>
      <c r="L3956">
        <f t="shared" si="210"/>
        <v>1</v>
      </c>
    </row>
    <row r="3957" spans="1:12" x14ac:dyDescent="0.35">
      <c r="A3957" s="9">
        <f t="shared" si="211"/>
        <v>3956</v>
      </c>
      <c r="B3957" t="s">
        <v>111</v>
      </c>
      <c r="C3957" s="109">
        <f>IF(ISBLANK(K3957),IFERROR(VLOOKUP(I3957,FS_input_data!$C$458:$N$648,Export!J3957,FALSE),""),K3957)</f>
        <v>11000</v>
      </c>
      <c r="D3957" s="6" t="b">
        <v>0</v>
      </c>
      <c r="E3957" t="s">
        <v>1561</v>
      </c>
      <c r="F3957" s="6"/>
      <c r="G3957" s="118" t="b">
        <f t="shared" si="216"/>
        <v>1</v>
      </c>
      <c r="H3957" s="6" t="s">
        <v>2189</v>
      </c>
      <c r="I3957" t="s">
        <v>2195</v>
      </c>
      <c r="J3957">
        <v>11</v>
      </c>
      <c r="L3957" s="9" t="e">
        <f t="shared" si="210"/>
        <v>#VALUE!</v>
      </c>
    </row>
    <row r="3958" spans="1:12" x14ac:dyDescent="0.35">
      <c r="A3958">
        <f t="shared" si="211"/>
        <v>3957</v>
      </c>
      <c r="B3958" t="s">
        <v>112</v>
      </c>
      <c r="C3958" s="109" t="str">
        <f>IF(ISBLANK(K3958),IFERROR(VLOOKUP(I3958,FS_input_data!$C$458:$N$648,Export!J3958,FALSE),""),K3958)</f>
        <v/>
      </c>
      <c r="D3958" s="6"/>
      <c r="E3958" t="s">
        <v>1561</v>
      </c>
      <c r="F3958" s="6"/>
      <c r="G3958" s="118" t="b">
        <f t="shared" si="216"/>
        <v>1</v>
      </c>
      <c r="H3958" s="6" t="s">
        <v>2189</v>
      </c>
      <c r="I3958" t="s">
        <v>1561</v>
      </c>
      <c r="J3958" t="s">
        <v>1561</v>
      </c>
      <c r="L3958">
        <f t="shared" si="210"/>
        <v>1</v>
      </c>
    </row>
    <row r="3959" spans="1:12" x14ac:dyDescent="0.35">
      <c r="A3959" s="9">
        <f t="shared" si="211"/>
        <v>3958</v>
      </c>
      <c r="B3959" t="s">
        <v>749</v>
      </c>
      <c r="C3959" s="109">
        <f>IF(ISBLANK(K3959),IFERROR(VLOOKUP(I3959,FS_input_data!$C$458:$N$648,Export!J3959,FALSE),""),K3959)</f>
        <v>11000</v>
      </c>
      <c r="D3959" s="6" t="b">
        <v>0</v>
      </c>
      <c r="E3959" t="s">
        <v>1561</v>
      </c>
      <c r="F3959" s="6"/>
      <c r="G3959" s="118" t="b">
        <f t="shared" si="216"/>
        <v>1</v>
      </c>
      <c r="H3959" s="6" t="s">
        <v>2189</v>
      </c>
      <c r="I3959" t="s">
        <v>2195</v>
      </c>
      <c r="J3959">
        <v>12</v>
      </c>
      <c r="L3959" s="9" t="e">
        <f t="shared" si="210"/>
        <v>#VALUE!</v>
      </c>
    </row>
    <row r="3960" spans="1:12" x14ac:dyDescent="0.35">
      <c r="A3960">
        <f t="shared" si="211"/>
        <v>3959</v>
      </c>
      <c r="B3960" t="s">
        <v>750</v>
      </c>
      <c r="C3960" s="109" t="str">
        <f>IF(ISBLANK(K3960),IFERROR(VLOOKUP(I3960,FS_input_data!$C$458:$N$648,Export!J3960,FALSE),""),K3960)</f>
        <v/>
      </c>
      <c r="D3960" s="6"/>
      <c r="E3960" t="s">
        <v>1561</v>
      </c>
      <c r="F3960" s="6"/>
      <c r="G3960" s="118" t="b">
        <f t="shared" si="216"/>
        <v>1</v>
      </c>
      <c r="H3960" s="6" t="s">
        <v>2189</v>
      </c>
      <c r="I3960" t="s">
        <v>1561</v>
      </c>
      <c r="J3960" t="s">
        <v>1561</v>
      </c>
      <c r="L3960">
        <f t="shared" si="210"/>
        <v>1</v>
      </c>
    </row>
    <row r="3961" spans="1:12" x14ac:dyDescent="0.35">
      <c r="A3961">
        <f t="shared" si="211"/>
        <v>3960</v>
      </c>
      <c r="B3961" t="s">
        <v>745</v>
      </c>
      <c r="C3961" s="109" t="str">
        <f>IF(ISBLANK(K3961),IFERROR(VLOOKUP(I3961,FS_input_data!$C$458:$N$648,Export!J3961,FALSE),""),K3961)</f>
        <v/>
      </c>
      <c r="D3961" s="6"/>
      <c r="E3961" t="s">
        <v>1561</v>
      </c>
      <c r="F3961" s="6"/>
      <c r="G3961" s="118" t="b">
        <f t="shared" si="216"/>
        <v>1</v>
      </c>
      <c r="H3961" s="6" t="s">
        <v>2189</v>
      </c>
      <c r="I3961" t="s">
        <v>1561</v>
      </c>
      <c r="J3961" t="s">
        <v>1561</v>
      </c>
      <c r="L3961">
        <f t="shared" si="210"/>
        <v>1</v>
      </c>
    </row>
    <row r="3962" spans="1:12" x14ac:dyDescent="0.35">
      <c r="A3962">
        <f t="shared" si="211"/>
        <v>3961</v>
      </c>
      <c r="B3962" t="s">
        <v>751</v>
      </c>
      <c r="C3962" s="109" t="str">
        <f>IF(ISBLANK(K3962),IFERROR(VLOOKUP(I3962,FS_input_data!$C$458:$N$648,Export!J3962,FALSE),""),K3962)</f>
        <v/>
      </c>
      <c r="D3962" s="6"/>
      <c r="E3962" t="s">
        <v>1561</v>
      </c>
      <c r="F3962" s="6"/>
      <c r="G3962" s="118" t="b">
        <f t="shared" ref="G3962:G3986" si="217">VLOOKUP($I$3927,FS_input_noty,$J$3927,FALSE)=""</f>
        <v>0</v>
      </c>
      <c r="H3962" s="6" t="s">
        <v>2189</v>
      </c>
      <c r="I3962" t="s">
        <v>1561</v>
      </c>
      <c r="J3962" t="s">
        <v>1561</v>
      </c>
      <c r="L3962">
        <f t="shared" si="210"/>
        <v>1</v>
      </c>
    </row>
    <row r="3963" spans="1:12" x14ac:dyDescent="0.35">
      <c r="A3963">
        <f t="shared" si="211"/>
        <v>3962</v>
      </c>
      <c r="B3963" t="s">
        <v>752</v>
      </c>
      <c r="C3963" s="109" t="str">
        <f>IF(ISBLANK(K3963),IFERROR(VLOOKUP(I3963,FS_input_data!$C$458:$N$648,Export!J3963,FALSE),""),K3963)</f>
        <v/>
      </c>
      <c r="D3963" s="6"/>
      <c r="E3963" t="s">
        <v>1561</v>
      </c>
      <c r="F3963" s="6"/>
      <c r="G3963" s="118" t="b">
        <f t="shared" si="217"/>
        <v>0</v>
      </c>
      <c r="H3963" s="6" t="s">
        <v>2189</v>
      </c>
      <c r="I3963" t="s">
        <v>1561</v>
      </c>
      <c r="J3963" t="s">
        <v>1561</v>
      </c>
      <c r="L3963" s="9" t="e">
        <f t="shared" si="210"/>
        <v>#VALUE!</v>
      </c>
    </row>
    <row r="3964" spans="1:12" x14ac:dyDescent="0.35">
      <c r="A3964" s="9">
        <f t="shared" si="211"/>
        <v>3963</v>
      </c>
      <c r="B3964" t="s">
        <v>101</v>
      </c>
      <c r="C3964" s="109" t="str">
        <f>IF(ISBLANK(K3964),IFERROR(VLOOKUP(I3964,FS_input_data!$C$458:$N$648,Export!J3964,FALSE),""),K3964)</f>
        <v>OC23</v>
      </c>
      <c r="D3964" s="6" t="b">
        <v>1</v>
      </c>
      <c r="E3964" t="s">
        <v>1561</v>
      </c>
      <c r="F3964" s="6"/>
      <c r="G3964" s="118" t="b">
        <f t="shared" si="217"/>
        <v>0</v>
      </c>
      <c r="H3964" s="6" t="s">
        <v>2189</v>
      </c>
      <c r="I3964" t="s">
        <v>1900</v>
      </c>
      <c r="J3964">
        <v>6</v>
      </c>
      <c r="L3964" s="9" t="e">
        <f t="shared" si="210"/>
        <v>#VALUE!</v>
      </c>
    </row>
    <row r="3965" spans="1:12" x14ac:dyDescent="0.35">
      <c r="A3965">
        <f t="shared" si="211"/>
        <v>3964</v>
      </c>
      <c r="B3965" t="s">
        <v>102</v>
      </c>
      <c r="C3965" s="109" t="str">
        <f>IF(ISBLANK(K3965),IFERROR(VLOOKUP(I3965,FS_input_data!$C$458:$N$648,Export!J3965,FALSE),""),K3965)</f>
        <v/>
      </c>
      <c r="D3965" s="6"/>
      <c r="E3965" t="s">
        <v>1561</v>
      </c>
      <c r="F3965" s="6"/>
      <c r="G3965" s="118" t="b">
        <f t="shared" si="217"/>
        <v>0</v>
      </c>
      <c r="H3965" s="6" t="s">
        <v>2189</v>
      </c>
      <c r="I3965" t="s">
        <v>1561</v>
      </c>
      <c r="J3965" t="s">
        <v>1561</v>
      </c>
      <c r="L3965">
        <f t="shared" si="210"/>
        <v>1</v>
      </c>
    </row>
    <row r="3966" spans="1:12" x14ac:dyDescent="0.35">
      <c r="A3966">
        <f t="shared" si="211"/>
        <v>3965</v>
      </c>
      <c r="B3966" t="s">
        <v>753</v>
      </c>
      <c r="C3966" s="109" t="str">
        <f>IF(ISBLANK(K3966),IFERROR(VLOOKUP(I3966,FS_input_data!$C$458:$N$648,Export!J3966,FALSE),""),K3966)</f>
        <v/>
      </c>
      <c r="D3966" s="6"/>
      <c r="E3966" t="s">
        <v>1561</v>
      </c>
      <c r="F3966" s="6"/>
      <c r="G3966" s="118" t="b">
        <f t="shared" si="217"/>
        <v>0</v>
      </c>
      <c r="H3966" s="6" t="s">
        <v>2189</v>
      </c>
      <c r="I3966" t="s">
        <v>1561</v>
      </c>
      <c r="J3966" t="s">
        <v>1561</v>
      </c>
      <c r="L3966" s="9" t="e">
        <f t="shared" si="210"/>
        <v>#VALUE!</v>
      </c>
    </row>
    <row r="3967" spans="1:12" x14ac:dyDescent="0.35">
      <c r="A3967">
        <f t="shared" si="211"/>
        <v>3966</v>
      </c>
      <c r="B3967" t="s">
        <v>742</v>
      </c>
      <c r="C3967" s="109" t="str">
        <f>IF(ISBLANK(K3967),IFERROR(VLOOKUP(I3967,FS_input_data!$C$458:$N$648,Export!J3967,FALSE),""),K3967)</f>
        <v/>
      </c>
      <c r="D3967" s="6"/>
      <c r="E3967" t="s">
        <v>1561</v>
      </c>
      <c r="F3967" s="6"/>
      <c r="G3967" s="118" t="b">
        <f t="shared" si="217"/>
        <v>0</v>
      </c>
      <c r="H3967" s="6" t="s">
        <v>2189</v>
      </c>
      <c r="I3967" t="s">
        <v>1561</v>
      </c>
      <c r="J3967" t="s">
        <v>1561</v>
      </c>
      <c r="L3967" s="9" t="e">
        <f t="shared" si="210"/>
        <v>#VALUE!</v>
      </c>
    </row>
    <row r="3968" spans="1:12" x14ac:dyDescent="0.35">
      <c r="A3968">
        <f t="shared" si="211"/>
        <v>3967</v>
      </c>
      <c r="B3968" t="s">
        <v>748</v>
      </c>
      <c r="C3968" s="109" t="str">
        <f>IF(ISBLANK(K3968),IFERROR(VLOOKUP(I3968,FS_input_data!$C$458:$N$648,Export!J3968,FALSE),""),K3968)</f>
        <v/>
      </c>
      <c r="D3968" s="6"/>
      <c r="E3968" t="s">
        <v>1561</v>
      </c>
      <c r="F3968" s="6"/>
      <c r="G3968" s="118" t="b">
        <f t="shared" si="217"/>
        <v>0</v>
      </c>
      <c r="H3968" s="6" t="s">
        <v>2189</v>
      </c>
      <c r="I3968" t="s">
        <v>1561</v>
      </c>
      <c r="J3968" t="s">
        <v>1561</v>
      </c>
      <c r="L3968" s="9" t="e">
        <f t="shared" si="210"/>
        <v>#VALUE!</v>
      </c>
    </row>
    <row r="3969" spans="1:12" x14ac:dyDescent="0.35">
      <c r="A3969" s="9">
        <f t="shared" si="211"/>
        <v>3968</v>
      </c>
      <c r="B3969" t="s">
        <v>109</v>
      </c>
      <c r="C3969" s="109">
        <f>IF(ISBLANK(K3969),IFERROR(VLOOKUP(I3969,FS_input_data!$C$458:$N$648,Export!J3969,FALSE),""),K3969)</f>
        <v>-208000</v>
      </c>
      <c r="D3969" s="6" t="b">
        <v>1</v>
      </c>
      <c r="E3969" t="s">
        <v>1561</v>
      </c>
      <c r="F3969" s="6"/>
      <c r="G3969" s="118" t="b">
        <f t="shared" si="217"/>
        <v>0</v>
      </c>
      <c r="H3969" s="6" t="s">
        <v>2189</v>
      </c>
      <c r="I3969" t="s">
        <v>1900</v>
      </c>
      <c r="J3969">
        <v>7</v>
      </c>
      <c r="L3969" s="9" t="e">
        <f t="shared" si="210"/>
        <v>#VALUE!</v>
      </c>
    </row>
    <row r="3970" spans="1:12" x14ac:dyDescent="0.35">
      <c r="A3970">
        <f t="shared" si="211"/>
        <v>3969</v>
      </c>
      <c r="B3970" t="s">
        <v>110</v>
      </c>
      <c r="C3970" s="109" t="str">
        <f>IF(ISBLANK(K3970),IFERROR(VLOOKUP(I3970,FS_input_data!$C$458:$N$648,Export!J3970,FALSE),""),K3970)</f>
        <v/>
      </c>
      <c r="D3970" s="6"/>
      <c r="E3970" t="s">
        <v>1561</v>
      </c>
      <c r="F3970" s="6"/>
      <c r="G3970" s="118" t="b">
        <f t="shared" si="217"/>
        <v>0</v>
      </c>
      <c r="H3970" s="6" t="s">
        <v>2189</v>
      </c>
      <c r="I3970" t="s">
        <v>1561</v>
      </c>
      <c r="J3970" t="s">
        <v>1561</v>
      </c>
      <c r="L3970">
        <f t="shared" ref="L3970:L4033" si="218">FIND("/",B3970)</f>
        <v>1</v>
      </c>
    </row>
    <row r="3971" spans="1:12" x14ac:dyDescent="0.35">
      <c r="A3971" s="9">
        <f t="shared" ref="A3971:A4034" si="219">A3970+1</f>
        <v>3970</v>
      </c>
      <c r="B3971" t="s">
        <v>111</v>
      </c>
      <c r="C3971" s="109">
        <f>IF(ISBLANK(K3971),IFERROR(VLOOKUP(I3971,FS_input_data!$C$458:$N$648,Export!J3971,FALSE),""),K3971)</f>
        <v>-104000</v>
      </c>
      <c r="D3971" s="6" t="b">
        <v>0</v>
      </c>
      <c r="E3971" t="s">
        <v>1561</v>
      </c>
      <c r="F3971" s="6"/>
      <c r="G3971" s="118" t="b">
        <f t="shared" si="217"/>
        <v>0</v>
      </c>
      <c r="H3971" s="6" t="s">
        <v>2189</v>
      </c>
      <c r="I3971" t="s">
        <v>1900</v>
      </c>
      <c r="J3971">
        <v>8</v>
      </c>
      <c r="L3971" s="9" t="e">
        <f t="shared" si="218"/>
        <v>#VALUE!</v>
      </c>
    </row>
    <row r="3972" spans="1:12" x14ac:dyDescent="0.35">
      <c r="A3972">
        <f t="shared" si="219"/>
        <v>3971</v>
      </c>
      <c r="B3972" t="s">
        <v>112</v>
      </c>
      <c r="C3972" s="109" t="str">
        <f>IF(ISBLANK(K3972),IFERROR(VLOOKUP(I3972,FS_input_data!$C$458:$N$648,Export!J3972,FALSE),""),K3972)</f>
        <v/>
      </c>
      <c r="D3972" s="6"/>
      <c r="E3972" t="s">
        <v>1561</v>
      </c>
      <c r="F3972" s="6"/>
      <c r="G3972" s="118" t="b">
        <f t="shared" si="217"/>
        <v>0</v>
      </c>
      <c r="H3972" s="6" t="s">
        <v>2189</v>
      </c>
      <c r="I3972" t="s">
        <v>1561</v>
      </c>
      <c r="J3972" t="s">
        <v>1561</v>
      </c>
      <c r="L3972">
        <f t="shared" si="218"/>
        <v>1</v>
      </c>
    </row>
    <row r="3973" spans="1:12" x14ac:dyDescent="0.35">
      <c r="A3973" s="9">
        <f t="shared" si="219"/>
        <v>3972</v>
      </c>
      <c r="B3973" t="s">
        <v>749</v>
      </c>
      <c r="C3973" s="109">
        <f>IF(ISBLANK(K3973),IFERROR(VLOOKUP(I3973,FS_input_data!$C$458:$N$648,Export!J3973,FALSE),""),K3973)</f>
        <v>-104000</v>
      </c>
      <c r="D3973" s="6" t="b">
        <v>0</v>
      </c>
      <c r="E3973" t="s">
        <v>1561</v>
      </c>
      <c r="F3973" s="6"/>
      <c r="G3973" s="118" t="b">
        <f t="shared" si="217"/>
        <v>0</v>
      </c>
      <c r="H3973" s="6" t="s">
        <v>2189</v>
      </c>
      <c r="I3973" t="s">
        <v>1900</v>
      </c>
      <c r="J3973">
        <v>9</v>
      </c>
      <c r="L3973" s="9" t="e">
        <f t="shared" si="218"/>
        <v>#VALUE!</v>
      </c>
    </row>
    <row r="3974" spans="1:12" x14ac:dyDescent="0.35">
      <c r="A3974">
        <f t="shared" si="219"/>
        <v>3973</v>
      </c>
      <c r="B3974" t="s">
        <v>750</v>
      </c>
      <c r="C3974" s="109" t="str">
        <f>IF(ISBLANK(K3974),IFERROR(VLOOKUP(I3974,FS_input_data!$C$458:$N$648,Export!J3974,FALSE),""),K3974)</f>
        <v/>
      </c>
      <c r="D3974" s="6"/>
      <c r="E3974" t="s">
        <v>1561</v>
      </c>
      <c r="F3974" s="6"/>
      <c r="G3974" s="118" t="b">
        <f t="shared" si="217"/>
        <v>0</v>
      </c>
      <c r="H3974" s="6" t="s">
        <v>2189</v>
      </c>
      <c r="I3974" t="s">
        <v>1561</v>
      </c>
      <c r="J3974" t="s">
        <v>1561</v>
      </c>
      <c r="L3974">
        <f t="shared" si="218"/>
        <v>1</v>
      </c>
    </row>
    <row r="3975" spans="1:12" x14ac:dyDescent="0.35">
      <c r="A3975">
        <f t="shared" si="219"/>
        <v>3974</v>
      </c>
      <c r="B3975" t="s">
        <v>751</v>
      </c>
      <c r="C3975" s="109" t="str">
        <f>IF(ISBLANK(K3975),IFERROR(VLOOKUP(I3975,FS_input_data!$C$458:$N$648,Export!J3975,FALSE),""),K3975)</f>
        <v/>
      </c>
      <c r="D3975" s="6"/>
      <c r="E3975" t="s">
        <v>1561</v>
      </c>
      <c r="F3975" s="6"/>
      <c r="G3975" s="118" t="b">
        <f t="shared" si="217"/>
        <v>0</v>
      </c>
      <c r="H3975" s="6" t="s">
        <v>2189</v>
      </c>
      <c r="I3975" t="s">
        <v>1561</v>
      </c>
      <c r="J3975" t="s">
        <v>1561</v>
      </c>
      <c r="L3975">
        <f t="shared" si="218"/>
        <v>1</v>
      </c>
    </row>
    <row r="3976" spans="1:12" x14ac:dyDescent="0.35">
      <c r="A3976">
        <f t="shared" si="219"/>
        <v>3975</v>
      </c>
      <c r="B3976" t="s">
        <v>754</v>
      </c>
      <c r="C3976" s="109" t="str">
        <f>IF(ISBLANK(K3976),IFERROR(VLOOKUP(I3976,FS_input_data!$C$458:$N$648,Export!J3976,FALSE),""),K3976)</f>
        <v/>
      </c>
      <c r="D3976" s="6"/>
      <c r="E3976" t="s">
        <v>1561</v>
      </c>
      <c r="F3976" s="6"/>
      <c r="G3976" s="118" t="b">
        <f t="shared" si="217"/>
        <v>0</v>
      </c>
      <c r="H3976" s="6" t="s">
        <v>2189</v>
      </c>
      <c r="I3976" t="s">
        <v>1561</v>
      </c>
      <c r="J3976" t="s">
        <v>1561</v>
      </c>
      <c r="L3976" s="9" t="e">
        <f t="shared" si="218"/>
        <v>#VALUE!</v>
      </c>
    </row>
    <row r="3977" spans="1:12" x14ac:dyDescent="0.35">
      <c r="A3977" s="9">
        <f t="shared" si="219"/>
        <v>3976</v>
      </c>
      <c r="B3977" t="s">
        <v>755</v>
      </c>
      <c r="C3977" s="109">
        <f>IF(ISBLANK(K3977),IFERROR(VLOOKUP(I3977,FS_input_data!$C$458:$N$648,Export!J3977,FALSE),""),K3977)</f>
        <v>45</v>
      </c>
      <c r="D3977" s="6" t="b">
        <v>1</v>
      </c>
      <c r="E3977" t="s">
        <v>1561</v>
      </c>
      <c r="F3977" s="6"/>
      <c r="G3977" s="118" t="b">
        <f t="shared" si="217"/>
        <v>0</v>
      </c>
      <c r="H3977" s="6" t="s">
        <v>2189</v>
      </c>
      <c r="I3977" t="s">
        <v>1900</v>
      </c>
      <c r="J3977">
        <v>2</v>
      </c>
      <c r="L3977" s="9" t="e">
        <f t="shared" si="218"/>
        <v>#VALUE!</v>
      </c>
    </row>
    <row r="3978" spans="1:12" x14ac:dyDescent="0.35">
      <c r="A3978">
        <f t="shared" si="219"/>
        <v>3977</v>
      </c>
      <c r="B3978" t="s">
        <v>756</v>
      </c>
      <c r="C3978" s="109" t="str">
        <f>IF(ISBLANK(K3978),IFERROR(VLOOKUP(I3978,FS_input_data!$C$458:$N$648,Export!J3978,FALSE),""),K3978)</f>
        <v/>
      </c>
      <c r="D3978" s="6"/>
      <c r="E3978" t="s">
        <v>1561</v>
      </c>
      <c r="F3978" s="6"/>
      <c r="G3978" s="118" t="b">
        <f t="shared" si="217"/>
        <v>0</v>
      </c>
      <c r="H3978" s="6" t="s">
        <v>2189</v>
      </c>
      <c r="I3978" t="s">
        <v>1561</v>
      </c>
      <c r="J3978" t="s">
        <v>1561</v>
      </c>
      <c r="L3978">
        <f t="shared" si="218"/>
        <v>1</v>
      </c>
    </row>
    <row r="3979" spans="1:12" x14ac:dyDescent="0.35">
      <c r="A3979" s="9">
        <f t="shared" si="219"/>
        <v>3978</v>
      </c>
      <c r="B3979" t="s">
        <v>757</v>
      </c>
      <c r="C3979" s="109">
        <f>IF(ISBLANK(K3979),IFERROR(VLOOKUP(I3979,FS_input_data!$C$458:$N$648,Export!J3979,FALSE),""),K3979)</f>
        <v>145</v>
      </c>
      <c r="D3979" s="6" t="b">
        <v>0</v>
      </c>
      <c r="E3979" t="s">
        <v>1561</v>
      </c>
      <c r="F3979" s="6"/>
      <c r="G3979" s="118" t="b">
        <f t="shared" si="217"/>
        <v>0</v>
      </c>
      <c r="H3979" s="6" t="s">
        <v>2189</v>
      </c>
      <c r="I3979" t="s">
        <v>1900</v>
      </c>
      <c r="J3979">
        <v>3</v>
      </c>
      <c r="L3979" s="9" t="e">
        <f t="shared" si="218"/>
        <v>#VALUE!</v>
      </c>
    </row>
    <row r="3980" spans="1:12" x14ac:dyDescent="0.35">
      <c r="A3980">
        <f t="shared" si="219"/>
        <v>3979</v>
      </c>
      <c r="B3980" t="s">
        <v>758</v>
      </c>
      <c r="C3980" s="109" t="str">
        <f>IF(ISBLANK(K3980),IFERROR(VLOOKUP(I3980,FS_input_data!$C$458:$N$648,Export!J3980,FALSE),""),K3980)</f>
        <v/>
      </c>
      <c r="D3980" s="6"/>
      <c r="E3980" t="s">
        <v>1561</v>
      </c>
      <c r="F3980" s="6"/>
      <c r="G3980" s="118" t="b">
        <f t="shared" si="217"/>
        <v>0</v>
      </c>
      <c r="H3980" s="6" t="s">
        <v>2189</v>
      </c>
      <c r="I3980" t="s">
        <v>1561</v>
      </c>
      <c r="J3980" t="s">
        <v>1561</v>
      </c>
      <c r="L3980">
        <f t="shared" si="218"/>
        <v>1</v>
      </c>
    </row>
    <row r="3981" spans="1:12" x14ac:dyDescent="0.35">
      <c r="A3981" s="9">
        <f t="shared" si="219"/>
        <v>3980</v>
      </c>
      <c r="B3981" t="s">
        <v>759</v>
      </c>
      <c r="C3981" s="109">
        <f>IF(ISBLANK(K3981),IFERROR(VLOOKUP(I3981,FS_input_data!$C$458:$N$648,Export!J3981,FALSE),""),K3981)</f>
        <v>245</v>
      </c>
      <c r="D3981" s="6" t="b">
        <v>0</v>
      </c>
      <c r="E3981" t="s">
        <v>1561</v>
      </c>
      <c r="F3981" s="6"/>
      <c r="G3981" s="118" t="b">
        <f t="shared" si="217"/>
        <v>0</v>
      </c>
      <c r="H3981" s="6" t="s">
        <v>2189</v>
      </c>
      <c r="I3981" t="s">
        <v>1900</v>
      </c>
      <c r="J3981">
        <v>4</v>
      </c>
      <c r="L3981" s="9" t="e">
        <f t="shared" si="218"/>
        <v>#VALUE!</v>
      </c>
    </row>
    <row r="3982" spans="1:12" x14ac:dyDescent="0.35">
      <c r="A3982">
        <f t="shared" si="219"/>
        <v>3981</v>
      </c>
      <c r="B3982" t="s">
        <v>760</v>
      </c>
      <c r="C3982" s="109" t="str">
        <f>IF(ISBLANK(K3982),IFERROR(VLOOKUP(I3982,FS_input_data!$C$458:$N$648,Export!J3982,FALSE),""),K3982)</f>
        <v/>
      </c>
      <c r="D3982" s="6"/>
      <c r="E3982" t="s">
        <v>1561</v>
      </c>
      <c r="F3982" s="6"/>
      <c r="G3982" s="118" t="b">
        <f t="shared" si="217"/>
        <v>0</v>
      </c>
      <c r="H3982" s="6" t="s">
        <v>2189</v>
      </c>
      <c r="I3982" t="s">
        <v>1561</v>
      </c>
      <c r="J3982" t="s">
        <v>1561</v>
      </c>
      <c r="L3982">
        <f t="shared" si="218"/>
        <v>1</v>
      </c>
    </row>
    <row r="3983" spans="1:12" x14ac:dyDescent="0.35">
      <c r="A3983" s="9">
        <f t="shared" si="219"/>
        <v>3982</v>
      </c>
      <c r="B3983" t="s">
        <v>761</v>
      </c>
      <c r="C3983" s="109" t="str">
        <f>IF(ISBLANK(K3983),IFERROR(VLOOKUP(I3983,FS_input_data!$C$458:$N$648,Export!J3983,FALSE),""),K3983)</f>
        <v>n</v>
      </c>
      <c r="D3983" s="6" t="b">
        <v>0</v>
      </c>
      <c r="E3983" t="s">
        <v>1561</v>
      </c>
      <c r="F3983" s="6"/>
      <c r="G3983" s="118" t="b">
        <f t="shared" si="217"/>
        <v>0</v>
      </c>
      <c r="H3983" s="6" t="s">
        <v>2189</v>
      </c>
      <c r="I3983" t="s">
        <v>1900</v>
      </c>
      <c r="J3983">
        <v>5</v>
      </c>
      <c r="L3983" s="9" t="e">
        <f t="shared" si="218"/>
        <v>#VALUE!</v>
      </c>
    </row>
    <row r="3984" spans="1:12" x14ac:dyDescent="0.35">
      <c r="A3984">
        <f t="shared" si="219"/>
        <v>3983</v>
      </c>
      <c r="B3984" t="s">
        <v>762</v>
      </c>
      <c r="C3984" s="109" t="str">
        <f>IF(ISBLANK(K3984),IFERROR(VLOOKUP(I3984,FS_input_data!$C$458:$N$648,Export!J3984,FALSE),""),K3984)</f>
        <v/>
      </c>
      <c r="D3984" s="6"/>
      <c r="E3984" t="s">
        <v>1561</v>
      </c>
      <c r="F3984" s="6"/>
      <c r="G3984" s="118" t="b">
        <f t="shared" si="217"/>
        <v>0</v>
      </c>
      <c r="H3984" s="6" t="s">
        <v>2189</v>
      </c>
      <c r="I3984" t="s">
        <v>1561</v>
      </c>
      <c r="J3984" t="s">
        <v>1561</v>
      </c>
      <c r="L3984">
        <f t="shared" si="218"/>
        <v>1</v>
      </c>
    </row>
    <row r="3985" spans="1:12" x14ac:dyDescent="0.35">
      <c r="A3985">
        <f t="shared" si="219"/>
        <v>3984</v>
      </c>
      <c r="B3985" t="s">
        <v>763</v>
      </c>
      <c r="C3985" s="109" t="str">
        <f>IF(ISBLANK(K3985),IFERROR(VLOOKUP(I3985,FS_input_data!$C$458:$N$648,Export!J3985,FALSE),""),K3985)</f>
        <v/>
      </c>
      <c r="D3985" s="6"/>
      <c r="E3985" t="s">
        <v>1561</v>
      </c>
      <c r="F3985" s="6"/>
      <c r="G3985" s="118" t="b">
        <f t="shared" si="217"/>
        <v>0</v>
      </c>
      <c r="H3985" s="6" t="s">
        <v>2189</v>
      </c>
      <c r="I3985" t="s">
        <v>1561</v>
      </c>
      <c r="J3985" t="s">
        <v>1561</v>
      </c>
      <c r="L3985">
        <f t="shared" si="218"/>
        <v>1</v>
      </c>
    </row>
    <row r="3986" spans="1:12" x14ac:dyDescent="0.35">
      <c r="A3986">
        <f t="shared" si="219"/>
        <v>3985</v>
      </c>
      <c r="B3986" t="s">
        <v>743</v>
      </c>
      <c r="C3986" s="109" t="str">
        <f>IF(ISBLANK(K3986),IFERROR(VLOOKUP(I3986,FS_input_data!$C$458:$N$648,Export!J3986,FALSE),""),K3986)</f>
        <v/>
      </c>
      <c r="D3986" s="6"/>
      <c r="E3986" t="s">
        <v>1561</v>
      </c>
      <c r="F3986" s="6"/>
      <c r="G3986" s="118" t="b">
        <f t="shared" si="217"/>
        <v>0</v>
      </c>
      <c r="H3986" s="6" t="s">
        <v>2189</v>
      </c>
      <c r="I3986" t="s">
        <v>1561</v>
      </c>
      <c r="J3986" t="s">
        <v>1561</v>
      </c>
      <c r="L3986">
        <f t="shared" si="218"/>
        <v>1</v>
      </c>
    </row>
    <row r="3987" spans="1:12" x14ac:dyDescent="0.35">
      <c r="A3987">
        <f t="shared" si="219"/>
        <v>3986</v>
      </c>
      <c r="B3987" t="s">
        <v>744</v>
      </c>
      <c r="C3987" s="109" t="str">
        <f>IF(ISBLANK(K3987),IFERROR(VLOOKUP(I3987,FS_input_data!$C$458:$N$648,Export!J3987,FALSE),""),K3987)</f>
        <v/>
      </c>
      <c r="D3987" s="6"/>
      <c r="E3987" t="s">
        <v>1561</v>
      </c>
      <c r="F3987" s="6"/>
      <c r="G3987" s="118" t="b">
        <f t="shared" ref="G3987:G3994" si="220">RP_tax</f>
        <v>1</v>
      </c>
      <c r="H3987" s="6" t="s">
        <v>2189</v>
      </c>
      <c r="I3987" t="s">
        <v>1561</v>
      </c>
      <c r="J3987" t="s">
        <v>1561</v>
      </c>
      <c r="L3987" s="9" t="e">
        <f t="shared" si="218"/>
        <v>#VALUE!</v>
      </c>
    </row>
    <row r="3988" spans="1:12" x14ac:dyDescent="0.35">
      <c r="A3988" s="9">
        <f t="shared" si="219"/>
        <v>3987</v>
      </c>
      <c r="B3988" t="s">
        <v>109</v>
      </c>
      <c r="C3988" s="109">
        <f>IF(ISBLANK(K3988),IFERROR(VLOOKUP(I3988,FS_input_data!$C$458:$N$648,Export!J3988,FALSE),""),K3988)</f>
        <v>-208000</v>
      </c>
      <c r="D3988" s="6" t="b">
        <v>1</v>
      </c>
      <c r="E3988" t="s">
        <v>1561</v>
      </c>
      <c r="F3988" s="6"/>
      <c r="G3988" s="118" t="b">
        <f t="shared" si="220"/>
        <v>1</v>
      </c>
      <c r="H3988" s="6" t="s">
        <v>2189</v>
      </c>
      <c r="I3988" t="s">
        <v>1900</v>
      </c>
      <c r="J3988">
        <v>10</v>
      </c>
      <c r="L3988" s="9" t="e">
        <f t="shared" si="218"/>
        <v>#VALUE!</v>
      </c>
    </row>
    <row r="3989" spans="1:12" x14ac:dyDescent="0.35">
      <c r="A3989">
        <f t="shared" si="219"/>
        <v>3988</v>
      </c>
      <c r="B3989" t="s">
        <v>110</v>
      </c>
      <c r="C3989" s="109" t="str">
        <f>IF(ISBLANK(K3989),IFERROR(VLOOKUP(I3989,FS_input_data!$C$458:$N$648,Export!J3989,FALSE),""),K3989)</f>
        <v/>
      </c>
      <c r="D3989" s="6"/>
      <c r="E3989" t="s">
        <v>1561</v>
      </c>
      <c r="F3989" s="6"/>
      <c r="G3989" s="118" t="b">
        <f t="shared" si="220"/>
        <v>1</v>
      </c>
      <c r="H3989" s="6" t="s">
        <v>2189</v>
      </c>
      <c r="I3989" t="s">
        <v>1561</v>
      </c>
      <c r="J3989" t="s">
        <v>1561</v>
      </c>
      <c r="L3989">
        <f t="shared" si="218"/>
        <v>1</v>
      </c>
    </row>
    <row r="3990" spans="1:12" x14ac:dyDescent="0.35">
      <c r="A3990" s="9">
        <f t="shared" si="219"/>
        <v>3989</v>
      </c>
      <c r="B3990" t="s">
        <v>111</v>
      </c>
      <c r="C3990" s="109">
        <f>IF(ISBLANK(K3990),IFERROR(VLOOKUP(I3990,FS_input_data!$C$458:$N$648,Export!J3990,FALSE),""),K3990)</f>
        <v>-104000</v>
      </c>
      <c r="D3990" s="6" t="b">
        <v>0</v>
      </c>
      <c r="E3990" t="s">
        <v>1561</v>
      </c>
      <c r="F3990" s="6"/>
      <c r="G3990" s="118" t="b">
        <f t="shared" si="220"/>
        <v>1</v>
      </c>
      <c r="H3990" s="6" t="s">
        <v>2189</v>
      </c>
      <c r="I3990" t="s">
        <v>1900</v>
      </c>
      <c r="J3990">
        <v>11</v>
      </c>
      <c r="L3990" s="9" t="e">
        <f t="shared" si="218"/>
        <v>#VALUE!</v>
      </c>
    </row>
    <row r="3991" spans="1:12" x14ac:dyDescent="0.35">
      <c r="A3991">
        <f t="shared" si="219"/>
        <v>3990</v>
      </c>
      <c r="B3991" t="s">
        <v>112</v>
      </c>
      <c r="C3991" s="109" t="str">
        <f>IF(ISBLANK(K3991),IFERROR(VLOOKUP(I3991,FS_input_data!$C$458:$N$648,Export!J3991,FALSE),""),K3991)</f>
        <v/>
      </c>
      <c r="D3991" s="6"/>
      <c r="E3991" t="s">
        <v>1561</v>
      </c>
      <c r="F3991" s="6"/>
      <c r="G3991" s="118" t="b">
        <f t="shared" si="220"/>
        <v>1</v>
      </c>
      <c r="H3991" s="6" t="s">
        <v>2189</v>
      </c>
      <c r="I3991" t="s">
        <v>1561</v>
      </c>
      <c r="J3991" t="s">
        <v>1561</v>
      </c>
      <c r="L3991">
        <f t="shared" si="218"/>
        <v>1</v>
      </c>
    </row>
    <row r="3992" spans="1:12" x14ac:dyDescent="0.35">
      <c r="A3992" s="9">
        <f t="shared" si="219"/>
        <v>3991</v>
      </c>
      <c r="B3992" t="s">
        <v>749</v>
      </c>
      <c r="C3992" s="109">
        <f>IF(ISBLANK(K3992),IFERROR(VLOOKUP(I3992,FS_input_data!$C$458:$N$648,Export!J3992,FALSE),""),K3992)</f>
        <v>-104000</v>
      </c>
      <c r="D3992" s="6" t="b">
        <v>0</v>
      </c>
      <c r="E3992" t="s">
        <v>1561</v>
      </c>
      <c r="F3992" s="6"/>
      <c r="G3992" s="118" t="b">
        <f t="shared" si="220"/>
        <v>1</v>
      </c>
      <c r="H3992" s="6" t="s">
        <v>2189</v>
      </c>
      <c r="I3992" t="s">
        <v>1900</v>
      </c>
      <c r="J3992">
        <v>12</v>
      </c>
      <c r="L3992" s="9" t="e">
        <f t="shared" si="218"/>
        <v>#VALUE!</v>
      </c>
    </row>
    <row r="3993" spans="1:12" x14ac:dyDescent="0.35">
      <c r="A3993">
        <f t="shared" si="219"/>
        <v>3992</v>
      </c>
      <c r="B3993" t="s">
        <v>750</v>
      </c>
      <c r="C3993" s="109" t="str">
        <f>IF(ISBLANK(K3993),IFERROR(VLOOKUP(I3993,FS_input_data!$C$458:$N$648,Export!J3993,FALSE),""),K3993)</f>
        <v/>
      </c>
      <c r="D3993" s="6"/>
      <c r="E3993" t="s">
        <v>1561</v>
      </c>
      <c r="F3993" s="6"/>
      <c r="G3993" s="118" t="b">
        <f t="shared" si="220"/>
        <v>1</v>
      </c>
      <c r="H3993" s="6" t="s">
        <v>2189</v>
      </c>
      <c r="I3993" t="s">
        <v>1561</v>
      </c>
      <c r="J3993" t="s">
        <v>1561</v>
      </c>
      <c r="L3993">
        <f t="shared" si="218"/>
        <v>1</v>
      </c>
    </row>
    <row r="3994" spans="1:12" x14ac:dyDescent="0.35">
      <c r="A3994">
        <f t="shared" si="219"/>
        <v>3993</v>
      </c>
      <c r="B3994" t="s">
        <v>745</v>
      </c>
      <c r="C3994" s="109" t="str">
        <f>IF(ISBLANK(K3994),IFERROR(VLOOKUP(I3994,FS_input_data!$C$458:$N$648,Export!J3994,FALSE),""),K3994)</f>
        <v/>
      </c>
      <c r="D3994" s="6"/>
      <c r="E3994" t="s">
        <v>1561</v>
      </c>
      <c r="F3994" s="6"/>
      <c r="G3994" s="118" t="b">
        <f t="shared" si="220"/>
        <v>1</v>
      </c>
      <c r="H3994" s="6" t="s">
        <v>2189</v>
      </c>
      <c r="I3994" t="s">
        <v>1561</v>
      </c>
      <c r="J3994" t="s">
        <v>1561</v>
      </c>
      <c r="L3994">
        <f t="shared" si="218"/>
        <v>1</v>
      </c>
    </row>
    <row r="3995" spans="1:12" x14ac:dyDescent="0.35">
      <c r="A3995">
        <f t="shared" si="219"/>
        <v>3994</v>
      </c>
      <c r="B3995" t="s">
        <v>764</v>
      </c>
      <c r="C3995" s="109" t="str">
        <f>IF(ISBLANK(K3995),IFERROR(VLOOKUP(I3995,FS_input_data!$C$458:$N$648,Export!J3995,FALSE),""),K3995)</f>
        <v/>
      </c>
      <c r="D3995" s="6"/>
      <c r="E3995" t="s">
        <v>1561</v>
      </c>
      <c r="F3995" s="6"/>
      <c r="G3995" s="118" t="b">
        <f>VLOOKUP($I$3927,FS_input_noty,$J$3927,FALSE)=""</f>
        <v>0</v>
      </c>
      <c r="H3995" s="6" t="s">
        <v>2189</v>
      </c>
      <c r="I3995" t="s">
        <v>1561</v>
      </c>
      <c r="J3995" t="s">
        <v>1561</v>
      </c>
      <c r="L3995">
        <f t="shared" si="218"/>
        <v>1</v>
      </c>
    </row>
    <row r="3996" spans="1:12" x14ac:dyDescent="0.35">
      <c r="A3996">
        <f t="shared" si="219"/>
        <v>3995</v>
      </c>
      <c r="B3996" t="s">
        <v>765</v>
      </c>
      <c r="C3996" s="109" t="str">
        <f>IF(ISBLANK(K3996),IFERROR(VLOOKUP(I3996,FS_input_data!$C$458:$N$648,Export!J3996,FALSE),""),K3996)</f>
        <v/>
      </c>
      <c r="D3996" s="6"/>
      <c r="E3996" t="s">
        <v>1561</v>
      </c>
      <c r="F3996" s="6"/>
      <c r="G3996" s="118" t="b">
        <f>VLOOKUP($I$3927,FS_input_noty,$J$3927,FALSE)=""</f>
        <v>0</v>
      </c>
      <c r="H3996" s="6" t="s">
        <v>2189</v>
      </c>
      <c r="I3996" t="s">
        <v>1561</v>
      </c>
      <c r="J3996" t="s">
        <v>1561</v>
      </c>
      <c r="L3996">
        <f t="shared" si="218"/>
        <v>1</v>
      </c>
    </row>
    <row r="3997" spans="1:12" x14ac:dyDescent="0.35">
      <c r="A3997">
        <f t="shared" si="219"/>
        <v>3996</v>
      </c>
      <c r="B3997" t="s">
        <v>752</v>
      </c>
      <c r="C3997" s="109" t="str">
        <f>IF(ISBLANK(K3997),IFERROR(VLOOKUP(I3997,FS_input_data!$C$458:$N$648,Export!J3997,FALSE),""),K3997)</f>
        <v/>
      </c>
      <c r="D3997" s="6"/>
      <c r="E3997" t="s">
        <v>1561</v>
      </c>
      <c r="F3997" s="6"/>
      <c r="G3997" s="115" t="b">
        <f>VLOOKUP(I3998,FS_input_noty,J3998,FALSE)=""</f>
        <v>0</v>
      </c>
      <c r="H3997" s="6" t="s">
        <v>2189</v>
      </c>
      <c r="I3997" t="s">
        <v>1561</v>
      </c>
      <c r="J3997" t="s">
        <v>1561</v>
      </c>
      <c r="L3997" s="9" t="e">
        <f t="shared" si="218"/>
        <v>#VALUE!</v>
      </c>
    </row>
    <row r="3998" spans="1:12" x14ac:dyDescent="0.35">
      <c r="A3998" s="9">
        <f t="shared" si="219"/>
        <v>3997</v>
      </c>
      <c r="B3998" t="s">
        <v>101</v>
      </c>
      <c r="C3998" s="109" t="str">
        <f>IF(ISBLANK(K3998),IFERROR(VLOOKUP(I3998,FS_input_data!$C$458:$N$648,Export!J3998,FALSE),""),K3998)</f>
        <v>OC24</v>
      </c>
      <c r="D3998" s="6" t="b">
        <v>1</v>
      </c>
      <c r="E3998" t="s">
        <v>1561</v>
      </c>
      <c r="F3998" s="6"/>
      <c r="G3998" s="115" t="b">
        <f>VLOOKUP(I3998,FS_input_noty,J3998,FALSE)=""</f>
        <v>0</v>
      </c>
      <c r="H3998" s="6" t="s">
        <v>2189</v>
      </c>
      <c r="I3998" t="s">
        <v>1902</v>
      </c>
      <c r="J3998">
        <v>6</v>
      </c>
      <c r="L3998" s="9" t="e">
        <f t="shared" si="218"/>
        <v>#VALUE!</v>
      </c>
    </row>
    <row r="3999" spans="1:12" x14ac:dyDescent="0.35">
      <c r="A3999">
        <f t="shared" si="219"/>
        <v>3998</v>
      </c>
      <c r="B3999" t="s">
        <v>102</v>
      </c>
      <c r="C3999" s="109" t="str">
        <f>IF(ISBLANK(K3999),IFERROR(VLOOKUP(I3999,FS_input_data!$C$458:$N$648,Export!J3999,FALSE),""),K3999)</f>
        <v/>
      </c>
      <c r="D3999" s="6"/>
      <c r="E3999" t="s">
        <v>1561</v>
      </c>
      <c r="F3999" s="6"/>
      <c r="G3999" s="115" t="b">
        <f>VLOOKUP(I3998,FS_input_noty,J3998,FALSE)=""</f>
        <v>0</v>
      </c>
      <c r="H3999" s="6" t="s">
        <v>2189</v>
      </c>
      <c r="I3999" t="s">
        <v>1561</v>
      </c>
      <c r="J3999" t="s">
        <v>1561</v>
      </c>
      <c r="L3999">
        <f t="shared" si="218"/>
        <v>1</v>
      </c>
    </row>
    <row r="4000" spans="1:12" x14ac:dyDescent="0.35">
      <c r="A4000">
        <f t="shared" si="219"/>
        <v>3999</v>
      </c>
      <c r="B4000" t="s">
        <v>753</v>
      </c>
      <c r="C4000" s="109" t="str">
        <f>IF(ISBLANK(K4000),IFERROR(VLOOKUP(I4000,FS_input_data!$C$458:$N$648,Export!J4000,FALSE),""),K4000)</f>
        <v/>
      </c>
      <c r="D4000" s="6"/>
      <c r="E4000" t="s">
        <v>1561</v>
      </c>
      <c r="F4000" s="6"/>
      <c r="G4000" s="115" t="b">
        <f>VLOOKUP(I3998,FS_input_noty,J3998,FALSE)=""</f>
        <v>0</v>
      </c>
      <c r="H4000" s="6" t="s">
        <v>2189</v>
      </c>
      <c r="I4000" t="s">
        <v>1561</v>
      </c>
      <c r="J4000" t="s">
        <v>1561</v>
      </c>
      <c r="L4000" s="9" t="e">
        <f t="shared" si="218"/>
        <v>#VALUE!</v>
      </c>
    </row>
    <row r="4001" spans="1:12" x14ac:dyDescent="0.35">
      <c r="A4001">
        <f t="shared" si="219"/>
        <v>4000</v>
      </c>
      <c r="B4001" t="s">
        <v>742</v>
      </c>
      <c r="C4001" s="109" t="str">
        <f>IF(ISBLANK(K4001),IFERROR(VLOOKUP(I4001,FS_input_data!$C$458:$N$648,Export!J4001,FALSE),""),K4001)</f>
        <v/>
      </c>
      <c r="D4001" s="6"/>
      <c r="E4001" t="s">
        <v>1561</v>
      </c>
      <c r="F4001" s="6"/>
      <c r="G4001" s="115" t="b">
        <f>VLOOKUP(I3998,FS_input_noty,J3998,FALSE)=""</f>
        <v>0</v>
      </c>
      <c r="H4001" s="6" t="s">
        <v>2189</v>
      </c>
      <c r="I4001" t="s">
        <v>1561</v>
      </c>
      <c r="J4001" t="s">
        <v>1561</v>
      </c>
      <c r="L4001" s="9" t="e">
        <f t="shared" si="218"/>
        <v>#VALUE!</v>
      </c>
    </row>
    <row r="4002" spans="1:12" x14ac:dyDescent="0.35">
      <c r="A4002">
        <f t="shared" si="219"/>
        <v>4001</v>
      </c>
      <c r="B4002" t="s">
        <v>748</v>
      </c>
      <c r="C4002" s="109" t="str">
        <f>IF(ISBLANK(K4002),IFERROR(VLOOKUP(I4002,FS_input_data!$C$458:$N$648,Export!J4002,FALSE),""),K4002)</f>
        <v/>
      </c>
      <c r="D4002" s="6"/>
      <c r="E4002" t="s">
        <v>1561</v>
      </c>
      <c r="F4002" s="6"/>
      <c r="G4002" s="115" t="b">
        <f>VLOOKUP(I3998,FS_input_noty,J3998,FALSE)=""</f>
        <v>0</v>
      </c>
      <c r="H4002" s="6" t="s">
        <v>2189</v>
      </c>
      <c r="I4002" t="s">
        <v>1561</v>
      </c>
      <c r="J4002" t="s">
        <v>1561</v>
      </c>
      <c r="L4002" s="9" t="e">
        <f t="shared" si="218"/>
        <v>#VALUE!</v>
      </c>
    </row>
    <row r="4003" spans="1:12" x14ac:dyDescent="0.35">
      <c r="A4003" s="9">
        <f t="shared" si="219"/>
        <v>4002</v>
      </c>
      <c r="B4003" t="s">
        <v>109</v>
      </c>
      <c r="C4003" s="109">
        <f>IF(ISBLANK(K4003),IFERROR(VLOOKUP(I4003,FS_input_data!$C$458:$N$648,Export!J4003,FALSE),""),K4003)</f>
        <v>2000</v>
      </c>
      <c r="D4003" s="6" t="b">
        <v>1</v>
      </c>
      <c r="E4003" t="s">
        <v>1561</v>
      </c>
      <c r="F4003" s="6"/>
      <c r="G4003" s="115" t="b">
        <f>VLOOKUP(I3998,FS_input_noty,J3998,FALSE)=""</f>
        <v>0</v>
      </c>
      <c r="H4003" s="6" t="s">
        <v>2189</v>
      </c>
      <c r="I4003" t="s">
        <v>1902</v>
      </c>
      <c r="J4003">
        <v>7</v>
      </c>
      <c r="L4003" s="9" t="e">
        <f t="shared" si="218"/>
        <v>#VALUE!</v>
      </c>
    </row>
    <row r="4004" spans="1:12" x14ac:dyDescent="0.35">
      <c r="A4004">
        <f t="shared" si="219"/>
        <v>4003</v>
      </c>
      <c r="B4004" t="s">
        <v>110</v>
      </c>
      <c r="C4004" s="109" t="str">
        <f>IF(ISBLANK(K4004),IFERROR(VLOOKUP(I4004,FS_input_data!$C$458:$N$648,Export!J4004,FALSE),""),K4004)</f>
        <v/>
      </c>
      <c r="D4004" s="6"/>
      <c r="E4004" t="s">
        <v>1561</v>
      </c>
      <c r="F4004" s="6"/>
      <c r="G4004" s="115" t="b">
        <f>VLOOKUP(I3998,FS_input_noty,J3998,FALSE)=""</f>
        <v>0</v>
      </c>
      <c r="H4004" s="6" t="s">
        <v>2189</v>
      </c>
      <c r="I4004" t="s">
        <v>1561</v>
      </c>
      <c r="J4004" t="s">
        <v>1561</v>
      </c>
      <c r="L4004">
        <f t="shared" si="218"/>
        <v>1</v>
      </c>
    </row>
    <row r="4005" spans="1:12" x14ac:dyDescent="0.35">
      <c r="A4005" s="9">
        <f t="shared" si="219"/>
        <v>4004</v>
      </c>
      <c r="B4005" t="s">
        <v>111</v>
      </c>
      <c r="C4005" s="109">
        <f>IF(ISBLANK(K4005),IFERROR(VLOOKUP(I4005,FS_input_data!$C$458:$N$648,Export!J4005,FALSE),""),K4005)</f>
        <v>1000</v>
      </c>
      <c r="D4005" s="6" t="b">
        <v>0</v>
      </c>
      <c r="E4005" t="s">
        <v>1561</v>
      </c>
      <c r="F4005" s="6"/>
      <c r="G4005" s="115" t="b">
        <f>VLOOKUP(I3998,FS_input_noty,J3998,TRUE)=""</f>
        <v>0</v>
      </c>
      <c r="H4005" s="6" t="s">
        <v>2189</v>
      </c>
      <c r="I4005" t="s">
        <v>1902</v>
      </c>
      <c r="J4005">
        <v>8</v>
      </c>
      <c r="L4005" s="9" t="e">
        <f t="shared" si="218"/>
        <v>#VALUE!</v>
      </c>
    </row>
    <row r="4006" spans="1:12" x14ac:dyDescent="0.35">
      <c r="A4006">
        <f t="shared" si="219"/>
        <v>4005</v>
      </c>
      <c r="B4006" t="s">
        <v>112</v>
      </c>
      <c r="C4006" s="109" t="str">
        <f>IF(ISBLANK(K4006),IFERROR(VLOOKUP(I4006,FS_input_data!$C$458:$N$648,Export!J4006,FALSE),""),K4006)</f>
        <v/>
      </c>
      <c r="D4006" s="6"/>
      <c r="E4006" t="s">
        <v>1561</v>
      </c>
      <c r="F4006" s="6"/>
      <c r="G4006" s="115" t="b">
        <f>VLOOKUP(I3998,FS_input_noty,J3998,FALSE)=""</f>
        <v>0</v>
      </c>
      <c r="H4006" s="6" t="s">
        <v>2189</v>
      </c>
      <c r="I4006" t="s">
        <v>1561</v>
      </c>
      <c r="J4006" t="s">
        <v>1561</v>
      </c>
      <c r="L4006">
        <f t="shared" si="218"/>
        <v>1</v>
      </c>
    </row>
    <row r="4007" spans="1:12" x14ac:dyDescent="0.35">
      <c r="A4007" s="9">
        <f t="shared" si="219"/>
        <v>4006</v>
      </c>
      <c r="B4007" t="s">
        <v>749</v>
      </c>
      <c r="C4007" s="109">
        <f>IF(ISBLANK(K4007),IFERROR(VLOOKUP(I4007,FS_input_data!$C$458:$N$648,Export!J4007,FALSE),""),K4007)</f>
        <v>1000</v>
      </c>
      <c r="D4007" s="6" t="b">
        <v>0</v>
      </c>
      <c r="E4007" t="s">
        <v>1561</v>
      </c>
      <c r="F4007" s="6"/>
      <c r="G4007" s="115" t="b">
        <f>VLOOKUP(I3998,FS_input_noty,J3998,FALSE)=""</f>
        <v>0</v>
      </c>
      <c r="H4007" s="6" t="s">
        <v>2189</v>
      </c>
      <c r="I4007" t="s">
        <v>1902</v>
      </c>
      <c r="J4007">
        <v>9</v>
      </c>
      <c r="L4007" s="9" t="e">
        <f t="shared" si="218"/>
        <v>#VALUE!</v>
      </c>
    </row>
    <row r="4008" spans="1:12" x14ac:dyDescent="0.35">
      <c r="A4008">
        <f t="shared" si="219"/>
        <v>4007</v>
      </c>
      <c r="B4008" t="s">
        <v>750</v>
      </c>
      <c r="C4008" s="109" t="str">
        <f>IF(ISBLANK(K4008),IFERROR(VLOOKUP(I4008,FS_input_data!$C$458:$N$648,Export!J4008,FALSE),""),K4008)</f>
        <v/>
      </c>
      <c r="D4008" s="6"/>
      <c r="E4008" t="s">
        <v>1561</v>
      </c>
      <c r="F4008" s="6"/>
      <c r="G4008" s="115" t="b">
        <f>VLOOKUP(I3998,FS_input_noty,J3998,FALSE)=""</f>
        <v>0</v>
      </c>
      <c r="H4008" s="6" t="s">
        <v>2189</v>
      </c>
      <c r="I4008" t="s">
        <v>1561</v>
      </c>
      <c r="J4008" t="s">
        <v>1561</v>
      </c>
      <c r="L4008">
        <f t="shared" si="218"/>
        <v>1</v>
      </c>
    </row>
    <row r="4009" spans="1:12" x14ac:dyDescent="0.35">
      <c r="A4009">
        <f t="shared" si="219"/>
        <v>4008</v>
      </c>
      <c r="B4009" t="s">
        <v>751</v>
      </c>
      <c r="C4009" s="109" t="str">
        <f>IF(ISBLANK(K4009),IFERROR(VLOOKUP(I4009,FS_input_data!$C$458:$N$648,Export!J4009,FALSE),""),K4009)</f>
        <v/>
      </c>
      <c r="D4009" s="6"/>
      <c r="E4009" t="s">
        <v>1561</v>
      </c>
      <c r="F4009" s="6"/>
      <c r="G4009" s="115" t="b">
        <f>VLOOKUP(I3998,FS_input_noty,J3998,FALSE)=""</f>
        <v>0</v>
      </c>
      <c r="H4009" s="6" t="s">
        <v>2189</v>
      </c>
      <c r="I4009" t="s">
        <v>1561</v>
      </c>
      <c r="J4009" t="s">
        <v>1561</v>
      </c>
      <c r="L4009">
        <f t="shared" si="218"/>
        <v>1</v>
      </c>
    </row>
    <row r="4010" spans="1:12" x14ac:dyDescent="0.35">
      <c r="A4010">
        <f t="shared" si="219"/>
        <v>4009</v>
      </c>
      <c r="B4010" t="s">
        <v>754</v>
      </c>
      <c r="C4010" s="109" t="str">
        <f>IF(ISBLANK(K4010),IFERROR(VLOOKUP(I4010,FS_input_data!$C$458:$N$648,Export!J4010,FALSE),""),K4010)</f>
        <v/>
      </c>
      <c r="D4010" s="6"/>
      <c r="E4010" t="s">
        <v>1561</v>
      </c>
      <c r="F4010" s="6"/>
      <c r="G4010" s="115" t="b">
        <f>VLOOKUP(I3998,FS_input_noty,J3998,FALSE)=""</f>
        <v>0</v>
      </c>
      <c r="H4010" s="6" t="s">
        <v>2189</v>
      </c>
      <c r="I4010" t="s">
        <v>1561</v>
      </c>
      <c r="J4010" t="s">
        <v>1561</v>
      </c>
      <c r="L4010" s="9" t="e">
        <f t="shared" si="218"/>
        <v>#VALUE!</v>
      </c>
    </row>
    <row r="4011" spans="1:12" x14ac:dyDescent="0.35">
      <c r="A4011" s="9">
        <f t="shared" si="219"/>
        <v>4010</v>
      </c>
      <c r="B4011" t="s">
        <v>755</v>
      </c>
      <c r="C4011" s="109">
        <f>IF(ISBLANK(K4011),IFERROR(VLOOKUP(I4011,FS_input_data!$C$458:$N$648,Export!J4011,FALSE),""),K4011)</f>
        <v>46</v>
      </c>
      <c r="D4011" s="6" t="b">
        <v>1</v>
      </c>
      <c r="E4011" t="s">
        <v>1561</v>
      </c>
      <c r="F4011" s="6"/>
      <c r="G4011" s="115" t="b">
        <f>VLOOKUP(I3998,FS_input_noty,J3998,FALSE)=""</f>
        <v>0</v>
      </c>
      <c r="H4011" s="6" t="s">
        <v>2189</v>
      </c>
      <c r="I4011" t="s">
        <v>1902</v>
      </c>
      <c r="J4011">
        <v>2</v>
      </c>
      <c r="L4011" s="9" t="e">
        <f t="shared" si="218"/>
        <v>#VALUE!</v>
      </c>
    </row>
    <row r="4012" spans="1:12" x14ac:dyDescent="0.35">
      <c r="A4012">
        <f t="shared" si="219"/>
        <v>4011</v>
      </c>
      <c r="B4012" t="s">
        <v>756</v>
      </c>
      <c r="C4012" s="109" t="str">
        <f>IF(ISBLANK(K4012),IFERROR(VLOOKUP(I4012,FS_input_data!$C$458:$N$648,Export!J4012,FALSE),""),K4012)</f>
        <v/>
      </c>
      <c r="D4012" s="6"/>
      <c r="E4012" t="s">
        <v>1561</v>
      </c>
      <c r="F4012" s="6"/>
      <c r="G4012" s="115" t="b">
        <f>VLOOKUP(I3998,FS_input_noty,J3998,FALSE)=""</f>
        <v>0</v>
      </c>
      <c r="H4012" s="6" t="s">
        <v>2189</v>
      </c>
      <c r="I4012" t="s">
        <v>1561</v>
      </c>
      <c r="J4012" t="s">
        <v>1561</v>
      </c>
      <c r="L4012">
        <f t="shared" si="218"/>
        <v>1</v>
      </c>
    </row>
    <row r="4013" spans="1:12" x14ac:dyDescent="0.35">
      <c r="A4013" s="9">
        <f t="shared" si="219"/>
        <v>4012</v>
      </c>
      <c r="B4013" t="s">
        <v>757</v>
      </c>
      <c r="C4013" s="109">
        <f>IF(ISBLANK(K4013),IFERROR(VLOOKUP(I4013,FS_input_data!$C$458:$N$648,Export!J4013,FALSE),""),K4013)</f>
        <v>146</v>
      </c>
      <c r="D4013" s="6" t="b">
        <v>0</v>
      </c>
      <c r="E4013" t="s">
        <v>1561</v>
      </c>
      <c r="F4013" s="6"/>
      <c r="G4013" s="115" t="b">
        <f>VLOOKUP(I3998,FS_input_noty,J3998,FALSE)=""</f>
        <v>0</v>
      </c>
      <c r="H4013" s="6" t="s">
        <v>2189</v>
      </c>
      <c r="I4013" t="s">
        <v>1902</v>
      </c>
      <c r="J4013">
        <v>3</v>
      </c>
      <c r="L4013" s="9" t="e">
        <f t="shared" si="218"/>
        <v>#VALUE!</v>
      </c>
    </row>
    <row r="4014" spans="1:12" x14ac:dyDescent="0.35">
      <c r="A4014">
        <f t="shared" si="219"/>
        <v>4013</v>
      </c>
      <c r="B4014" t="s">
        <v>758</v>
      </c>
      <c r="C4014" s="109" t="str">
        <f>IF(ISBLANK(K4014),IFERROR(VLOOKUP(I4014,FS_input_data!$C$458:$N$648,Export!J4014,FALSE),""),K4014)</f>
        <v/>
      </c>
      <c r="D4014" s="6"/>
      <c r="E4014" t="s">
        <v>1561</v>
      </c>
      <c r="F4014" s="6"/>
      <c r="G4014" s="115" t="b">
        <f>VLOOKUP(I3998,FS_input_noty,J3998,FALSE)=""</f>
        <v>0</v>
      </c>
      <c r="H4014" s="6" t="s">
        <v>2189</v>
      </c>
      <c r="I4014" t="s">
        <v>1561</v>
      </c>
      <c r="J4014" t="s">
        <v>1561</v>
      </c>
      <c r="L4014">
        <f t="shared" si="218"/>
        <v>1</v>
      </c>
    </row>
    <row r="4015" spans="1:12" x14ac:dyDescent="0.35">
      <c r="A4015" s="9">
        <f t="shared" si="219"/>
        <v>4014</v>
      </c>
      <c r="B4015" t="s">
        <v>759</v>
      </c>
      <c r="C4015" s="109">
        <f>IF(ISBLANK(K4015),IFERROR(VLOOKUP(I4015,FS_input_data!$C$458:$N$648,Export!J4015,FALSE),""),K4015)</f>
        <v>246</v>
      </c>
      <c r="D4015" s="6" t="b">
        <v>0</v>
      </c>
      <c r="E4015" t="s">
        <v>1561</v>
      </c>
      <c r="F4015" s="6"/>
      <c r="G4015" s="115" t="b">
        <f>VLOOKUP(I3998,FS_input_noty,J3998,FALSE)=""</f>
        <v>0</v>
      </c>
      <c r="H4015" s="6" t="s">
        <v>2189</v>
      </c>
      <c r="I4015" t="s">
        <v>1902</v>
      </c>
      <c r="J4015">
        <v>4</v>
      </c>
      <c r="L4015" s="9" t="e">
        <f t="shared" si="218"/>
        <v>#VALUE!</v>
      </c>
    </row>
    <row r="4016" spans="1:12" x14ac:dyDescent="0.35">
      <c r="A4016">
        <f t="shared" si="219"/>
        <v>4015</v>
      </c>
      <c r="B4016" t="s">
        <v>760</v>
      </c>
      <c r="C4016" s="109" t="str">
        <f>IF(ISBLANK(K4016),IFERROR(VLOOKUP(I4016,FS_input_data!$C$458:$N$648,Export!J4016,FALSE),""),K4016)</f>
        <v/>
      </c>
      <c r="D4016" s="6"/>
      <c r="E4016" t="s">
        <v>1561</v>
      </c>
      <c r="F4016" s="6"/>
      <c r="G4016" s="115" t="b">
        <f>VLOOKUP(I3998,FS_input_noty,J3998,FALSE)=""</f>
        <v>0</v>
      </c>
      <c r="H4016" s="6" t="s">
        <v>2189</v>
      </c>
      <c r="I4016" t="s">
        <v>1561</v>
      </c>
      <c r="J4016" t="s">
        <v>1561</v>
      </c>
      <c r="L4016">
        <f t="shared" si="218"/>
        <v>1</v>
      </c>
    </row>
    <row r="4017" spans="1:12" x14ac:dyDescent="0.35">
      <c r="A4017" s="9">
        <f t="shared" si="219"/>
        <v>4016</v>
      </c>
      <c r="B4017" t="s">
        <v>761</v>
      </c>
      <c r="C4017" s="109" t="str">
        <f>IF(ISBLANK(K4017),IFERROR(VLOOKUP(I4017,FS_input_data!$C$458:$N$648,Export!J4017,FALSE),""),K4017)</f>
        <v>o</v>
      </c>
      <c r="D4017" s="6" t="b">
        <v>0</v>
      </c>
      <c r="E4017" t="s">
        <v>1561</v>
      </c>
      <c r="F4017" s="6"/>
      <c r="G4017" s="115" t="b">
        <f>VLOOKUP(I3998,FS_input_noty,J3998,FALSE)=""</f>
        <v>0</v>
      </c>
      <c r="H4017" s="6" t="s">
        <v>2189</v>
      </c>
      <c r="I4017" t="s">
        <v>1902</v>
      </c>
      <c r="J4017">
        <v>5</v>
      </c>
      <c r="L4017" s="9" t="e">
        <f t="shared" si="218"/>
        <v>#VALUE!</v>
      </c>
    </row>
    <row r="4018" spans="1:12" x14ac:dyDescent="0.35">
      <c r="A4018">
        <f t="shared" si="219"/>
        <v>4017</v>
      </c>
      <c r="B4018" t="s">
        <v>762</v>
      </c>
      <c r="C4018" s="109" t="str">
        <f>IF(ISBLANK(K4018),IFERROR(VLOOKUP(I4018,FS_input_data!$C$458:$N$648,Export!J4018,FALSE),""),K4018)</f>
        <v/>
      </c>
      <c r="D4018" s="6"/>
      <c r="E4018" t="s">
        <v>1561</v>
      </c>
      <c r="F4018" s="6"/>
      <c r="G4018" s="115" t="b">
        <f>VLOOKUP(I3998,FS_input_noty,J3998,FALSE)=""</f>
        <v>0</v>
      </c>
      <c r="H4018" s="6" t="s">
        <v>2189</v>
      </c>
      <c r="I4018" t="s">
        <v>1561</v>
      </c>
      <c r="J4018" t="s">
        <v>1561</v>
      </c>
      <c r="L4018">
        <f t="shared" si="218"/>
        <v>1</v>
      </c>
    </row>
    <row r="4019" spans="1:12" x14ac:dyDescent="0.35">
      <c r="A4019">
        <f t="shared" si="219"/>
        <v>4018</v>
      </c>
      <c r="B4019" t="s">
        <v>763</v>
      </c>
      <c r="C4019" s="109" t="str">
        <f>IF(ISBLANK(K4019),IFERROR(VLOOKUP(I4019,FS_input_data!$C$458:$N$648,Export!J4019,FALSE),""),K4019)</f>
        <v/>
      </c>
      <c r="D4019" s="6"/>
      <c r="E4019" t="s">
        <v>1561</v>
      </c>
      <c r="F4019" s="6"/>
      <c r="G4019" s="115" t="b">
        <f>VLOOKUP(I3998,FS_input_noty,J3998,FALSE)=""</f>
        <v>0</v>
      </c>
      <c r="H4019" s="6" t="s">
        <v>2189</v>
      </c>
      <c r="I4019" t="s">
        <v>1561</v>
      </c>
      <c r="J4019" t="s">
        <v>1561</v>
      </c>
      <c r="L4019">
        <f t="shared" si="218"/>
        <v>1</v>
      </c>
    </row>
    <row r="4020" spans="1:12" x14ac:dyDescent="0.35">
      <c r="A4020">
        <f t="shared" si="219"/>
        <v>4019</v>
      </c>
      <c r="B4020" t="s">
        <v>743</v>
      </c>
      <c r="C4020" s="109" t="str">
        <f>IF(ISBLANK(K4020),IFERROR(VLOOKUP(I4020,FS_input_data!$C$458:$N$648,Export!J4020,FALSE),""),K4020)</f>
        <v/>
      </c>
      <c r="D4020" s="6"/>
      <c r="E4020" t="s">
        <v>1561</v>
      </c>
      <c r="F4020" s="6"/>
      <c r="G4020" s="115" t="b">
        <f>VLOOKUP(I3998,FS_input_noty,J3998,FALSE)=""</f>
        <v>0</v>
      </c>
      <c r="H4020" s="6" t="s">
        <v>2189</v>
      </c>
      <c r="I4020" t="s">
        <v>1561</v>
      </c>
      <c r="J4020" t="s">
        <v>1561</v>
      </c>
      <c r="L4020">
        <f t="shared" si="218"/>
        <v>1</v>
      </c>
    </row>
    <row r="4021" spans="1:12" x14ac:dyDescent="0.35">
      <c r="A4021">
        <f t="shared" si="219"/>
        <v>4020</v>
      </c>
      <c r="B4021" t="s">
        <v>744</v>
      </c>
      <c r="C4021" s="109" t="str">
        <f>IF(ISBLANK(K4021),IFERROR(VLOOKUP(I4021,FS_input_data!$C$458:$N$648,Export!J4021,FALSE),""),K4021)</f>
        <v/>
      </c>
      <c r="D4021" s="6"/>
      <c r="E4021" t="s">
        <v>1561</v>
      </c>
      <c r="F4021" s="6"/>
      <c r="G4021" s="115" t="b">
        <f t="shared" ref="G4021:G4028" si="221">RP_tax</f>
        <v>1</v>
      </c>
      <c r="H4021" s="6" t="s">
        <v>2189</v>
      </c>
      <c r="I4021" t="s">
        <v>1561</v>
      </c>
      <c r="J4021" t="s">
        <v>1561</v>
      </c>
      <c r="L4021" s="9" t="e">
        <f t="shared" si="218"/>
        <v>#VALUE!</v>
      </c>
    </row>
    <row r="4022" spans="1:12" x14ac:dyDescent="0.35">
      <c r="A4022" s="9">
        <f t="shared" si="219"/>
        <v>4021</v>
      </c>
      <c r="B4022" t="s">
        <v>109</v>
      </c>
      <c r="C4022" s="109">
        <f>IF(ISBLANK(K4022),IFERROR(VLOOKUP(I4022,FS_input_data!$C$458:$N$648,Export!J4022,FALSE),""),K4022)</f>
        <v>2000</v>
      </c>
      <c r="D4022" s="6" t="b">
        <v>1</v>
      </c>
      <c r="E4022" t="s">
        <v>1561</v>
      </c>
      <c r="F4022" s="6"/>
      <c r="G4022" s="115" t="b">
        <f t="shared" si="221"/>
        <v>1</v>
      </c>
      <c r="H4022" s="6" t="s">
        <v>2189</v>
      </c>
      <c r="I4022" t="s">
        <v>1902</v>
      </c>
      <c r="J4022">
        <v>10</v>
      </c>
      <c r="L4022" s="9" t="e">
        <f t="shared" si="218"/>
        <v>#VALUE!</v>
      </c>
    </row>
    <row r="4023" spans="1:12" x14ac:dyDescent="0.35">
      <c r="A4023">
        <f t="shared" si="219"/>
        <v>4022</v>
      </c>
      <c r="B4023" t="s">
        <v>110</v>
      </c>
      <c r="C4023" s="109" t="str">
        <f>IF(ISBLANK(K4023),IFERROR(VLOOKUP(I4023,FS_input_data!$C$458:$N$648,Export!J4023,FALSE),""),K4023)</f>
        <v/>
      </c>
      <c r="D4023" s="6"/>
      <c r="E4023" t="s">
        <v>1561</v>
      </c>
      <c r="F4023" s="6"/>
      <c r="G4023" s="115" t="b">
        <f t="shared" si="221"/>
        <v>1</v>
      </c>
      <c r="H4023" s="6" t="s">
        <v>2189</v>
      </c>
      <c r="I4023" t="s">
        <v>1561</v>
      </c>
      <c r="J4023" t="s">
        <v>1561</v>
      </c>
      <c r="L4023">
        <f t="shared" si="218"/>
        <v>1</v>
      </c>
    </row>
    <row r="4024" spans="1:12" x14ac:dyDescent="0.35">
      <c r="A4024" s="9">
        <f t="shared" si="219"/>
        <v>4023</v>
      </c>
      <c r="B4024" t="s">
        <v>111</v>
      </c>
      <c r="C4024" s="109">
        <f>IF(ISBLANK(K4024),IFERROR(VLOOKUP(I4024,FS_input_data!$C$458:$N$648,Export!J4024,FALSE),""),K4024)</f>
        <v>1000</v>
      </c>
      <c r="D4024" s="6" t="b">
        <v>0</v>
      </c>
      <c r="E4024" t="s">
        <v>1561</v>
      </c>
      <c r="F4024" s="6"/>
      <c r="G4024" s="115" t="b">
        <f t="shared" si="221"/>
        <v>1</v>
      </c>
      <c r="H4024" s="6" t="s">
        <v>2189</v>
      </c>
      <c r="I4024" t="s">
        <v>1902</v>
      </c>
      <c r="J4024">
        <v>11</v>
      </c>
      <c r="L4024" s="9" t="e">
        <f t="shared" si="218"/>
        <v>#VALUE!</v>
      </c>
    </row>
    <row r="4025" spans="1:12" x14ac:dyDescent="0.35">
      <c r="A4025">
        <f t="shared" si="219"/>
        <v>4024</v>
      </c>
      <c r="B4025" t="s">
        <v>112</v>
      </c>
      <c r="C4025" s="109" t="str">
        <f>IF(ISBLANK(K4025),IFERROR(VLOOKUP(I4025,FS_input_data!$C$458:$N$648,Export!J4025,FALSE),""),K4025)</f>
        <v/>
      </c>
      <c r="D4025" s="6"/>
      <c r="E4025" t="s">
        <v>1561</v>
      </c>
      <c r="F4025" s="6"/>
      <c r="G4025" s="115" t="b">
        <f t="shared" si="221"/>
        <v>1</v>
      </c>
      <c r="H4025" s="6" t="s">
        <v>2189</v>
      </c>
      <c r="I4025" t="s">
        <v>1561</v>
      </c>
      <c r="J4025" t="s">
        <v>1561</v>
      </c>
      <c r="L4025">
        <f t="shared" si="218"/>
        <v>1</v>
      </c>
    </row>
    <row r="4026" spans="1:12" x14ac:dyDescent="0.35">
      <c r="A4026" s="9">
        <f t="shared" si="219"/>
        <v>4025</v>
      </c>
      <c r="B4026" t="s">
        <v>749</v>
      </c>
      <c r="C4026" s="109">
        <f>IF(ISBLANK(K4026),IFERROR(VLOOKUP(I4026,FS_input_data!$C$458:$N$648,Export!J4026,FALSE),""),K4026)</f>
        <v>1000</v>
      </c>
      <c r="D4026" s="6" t="b">
        <v>0</v>
      </c>
      <c r="E4026" t="s">
        <v>1561</v>
      </c>
      <c r="F4026" s="6"/>
      <c r="G4026" s="115" t="b">
        <f t="shared" si="221"/>
        <v>1</v>
      </c>
      <c r="H4026" s="6" t="s">
        <v>2189</v>
      </c>
      <c r="I4026" t="s">
        <v>1902</v>
      </c>
      <c r="J4026">
        <v>12</v>
      </c>
      <c r="L4026" s="9" t="e">
        <f t="shared" si="218"/>
        <v>#VALUE!</v>
      </c>
    </row>
    <row r="4027" spans="1:12" x14ac:dyDescent="0.35">
      <c r="A4027">
        <f t="shared" si="219"/>
        <v>4026</v>
      </c>
      <c r="B4027" t="s">
        <v>750</v>
      </c>
      <c r="C4027" s="109" t="str">
        <f>IF(ISBLANK(K4027),IFERROR(VLOOKUP(I4027,FS_input_data!$C$458:$N$648,Export!J4027,FALSE),""),K4027)</f>
        <v/>
      </c>
      <c r="D4027" s="6"/>
      <c r="E4027" t="s">
        <v>1561</v>
      </c>
      <c r="F4027" s="6"/>
      <c r="G4027" s="115" t="b">
        <f t="shared" si="221"/>
        <v>1</v>
      </c>
      <c r="H4027" s="6" t="s">
        <v>2189</v>
      </c>
      <c r="I4027" t="s">
        <v>1561</v>
      </c>
      <c r="J4027" t="s">
        <v>1561</v>
      </c>
      <c r="L4027">
        <f t="shared" si="218"/>
        <v>1</v>
      </c>
    </row>
    <row r="4028" spans="1:12" x14ac:dyDescent="0.35">
      <c r="A4028">
        <f t="shared" si="219"/>
        <v>4027</v>
      </c>
      <c r="B4028" t="s">
        <v>745</v>
      </c>
      <c r="C4028" s="109" t="str">
        <f>IF(ISBLANK(K4028),IFERROR(VLOOKUP(I4028,FS_input_data!$C$458:$N$648,Export!J4028,FALSE),""),K4028)</f>
        <v/>
      </c>
      <c r="D4028" s="6"/>
      <c r="E4028" t="s">
        <v>1561</v>
      </c>
      <c r="F4028" s="6"/>
      <c r="G4028" s="115" t="b">
        <f t="shared" si="221"/>
        <v>1</v>
      </c>
      <c r="H4028" s="6" t="s">
        <v>2189</v>
      </c>
      <c r="I4028" t="s">
        <v>1561</v>
      </c>
      <c r="J4028" t="s">
        <v>1561</v>
      </c>
      <c r="L4028">
        <f t="shared" si="218"/>
        <v>1</v>
      </c>
    </row>
    <row r="4029" spans="1:12" x14ac:dyDescent="0.35">
      <c r="A4029">
        <f t="shared" si="219"/>
        <v>4028</v>
      </c>
      <c r="B4029" t="s">
        <v>764</v>
      </c>
      <c r="C4029" s="109" t="str">
        <f>IF(ISBLANK(K4029),IFERROR(VLOOKUP(I4029,FS_input_data!$C$458:$N$648,Export!J4029,FALSE),""),K4029)</f>
        <v/>
      </c>
      <c r="D4029" s="6"/>
      <c r="E4029" t="s">
        <v>1561</v>
      </c>
      <c r="F4029" s="6"/>
      <c r="G4029" s="115" t="b">
        <f>VLOOKUP(I3998,FS_input_noty,J3998,FALSE)=""</f>
        <v>0</v>
      </c>
      <c r="H4029" s="6" t="s">
        <v>2189</v>
      </c>
      <c r="I4029" t="s">
        <v>1561</v>
      </c>
      <c r="J4029" t="s">
        <v>1561</v>
      </c>
      <c r="L4029">
        <f t="shared" si="218"/>
        <v>1</v>
      </c>
    </row>
    <row r="4030" spans="1:12" x14ac:dyDescent="0.35">
      <c r="A4030">
        <f t="shared" si="219"/>
        <v>4029</v>
      </c>
      <c r="B4030" t="s">
        <v>765</v>
      </c>
      <c r="C4030" s="109" t="str">
        <f>IF(ISBLANK(K4030),IFERROR(VLOOKUP(I4030,FS_input_data!$C$458:$N$648,Export!J4030,FALSE),""),K4030)</f>
        <v/>
      </c>
      <c r="D4030" s="6"/>
      <c r="E4030" t="s">
        <v>1561</v>
      </c>
      <c r="F4030" s="6"/>
      <c r="G4030" s="115" t="b">
        <f>VLOOKUP(I3998,FS_input_noty,J3998,FALSE)=""</f>
        <v>0</v>
      </c>
      <c r="H4030" s="6" t="s">
        <v>2189</v>
      </c>
      <c r="I4030" t="s">
        <v>1561</v>
      </c>
      <c r="J4030" t="s">
        <v>1561</v>
      </c>
      <c r="L4030">
        <f t="shared" si="218"/>
        <v>1</v>
      </c>
    </row>
    <row r="4031" spans="1:12" x14ac:dyDescent="0.35">
      <c r="A4031">
        <f t="shared" si="219"/>
        <v>4030</v>
      </c>
      <c r="B4031" t="s">
        <v>752</v>
      </c>
      <c r="C4031" s="109" t="str">
        <f>IF(ISBLANK(K4031),IFERROR(VLOOKUP(I4031,FS_input_data!$C$458:$N$648,Export!J4031,FALSE),""),K4031)</f>
        <v/>
      </c>
      <c r="D4031" s="6"/>
      <c r="E4031" t="s">
        <v>1561</v>
      </c>
      <c r="F4031" s="6"/>
      <c r="G4031" s="115" t="b">
        <f>VLOOKUP(I4032,FS_input_noty,J4032,FALSE)=""</f>
        <v>0</v>
      </c>
      <c r="H4031" s="6" t="s">
        <v>2189</v>
      </c>
      <c r="I4031" t="s">
        <v>1561</v>
      </c>
      <c r="J4031" t="s">
        <v>1561</v>
      </c>
      <c r="L4031" s="9" t="e">
        <f t="shared" si="218"/>
        <v>#VALUE!</v>
      </c>
    </row>
    <row r="4032" spans="1:12" x14ac:dyDescent="0.35">
      <c r="A4032" s="9">
        <f t="shared" si="219"/>
        <v>4031</v>
      </c>
      <c r="B4032" t="s">
        <v>101</v>
      </c>
      <c r="C4032" s="109" t="str">
        <f>IF(ISBLANK(K4032),IFERROR(VLOOKUP(I4032,FS_input_data!$C$458:$N$648,Export!J4032,FALSE),""),K4032)</f>
        <v>OC25</v>
      </c>
      <c r="D4032" s="6" t="b">
        <v>1</v>
      </c>
      <c r="E4032" t="s">
        <v>1561</v>
      </c>
      <c r="F4032" s="6"/>
      <c r="G4032" s="115" t="b">
        <f>VLOOKUP(I4032,FS_input_noty,J4032,FALSE)=""</f>
        <v>0</v>
      </c>
      <c r="H4032" s="6" t="s">
        <v>2189</v>
      </c>
      <c r="I4032" t="s">
        <v>1904</v>
      </c>
      <c r="J4032">
        <v>6</v>
      </c>
      <c r="L4032" s="9" t="e">
        <f t="shared" si="218"/>
        <v>#VALUE!</v>
      </c>
    </row>
    <row r="4033" spans="1:12" x14ac:dyDescent="0.35">
      <c r="A4033">
        <f t="shared" si="219"/>
        <v>4032</v>
      </c>
      <c r="B4033" t="s">
        <v>102</v>
      </c>
      <c r="C4033" s="109" t="str">
        <f>IF(ISBLANK(K4033),IFERROR(VLOOKUP(I4033,FS_input_data!$C$458:$N$648,Export!J4033,FALSE),""),K4033)</f>
        <v/>
      </c>
      <c r="D4033" s="6"/>
      <c r="E4033" t="s">
        <v>1561</v>
      </c>
      <c r="F4033" s="6"/>
      <c r="G4033" s="115" t="b">
        <f>VLOOKUP(I4032,FS_input_noty,J4032,FALSE)=""</f>
        <v>0</v>
      </c>
      <c r="H4033" s="6" t="s">
        <v>2189</v>
      </c>
      <c r="I4033" t="s">
        <v>1561</v>
      </c>
      <c r="J4033" t="s">
        <v>1561</v>
      </c>
      <c r="L4033">
        <f t="shared" si="218"/>
        <v>1</v>
      </c>
    </row>
    <row r="4034" spans="1:12" x14ac:dyDescent="0.35">
      <c r="A4034">
        <f t="shared" si="219"/>
        <v>4033</v>
      </c>
      <c r="B4034" t="s">
        <v>753</v>
      </c>
      <c r="C4034" s="109" t="str">
        <f>IF(ISBLANK(K4034),IFERROR(VLOOKUP(I4034,FS_input_data!$C$458:$N$648,Export!J4034,FALSE),""),K4034)</f>
        <v/>
      </c>
      <c r="D4034" s="6"/>
      <c r="E4034" t="s">
        <v>1561</v>
      </c>
      <c r="F4034" s="6"/>
      <c r="G4034" s="115" t="b">
        <f>VLOOKUP(I4032,FS_input_noty,J4032,FALSE)=""</f>
        <v>0</v>
      </c>
      <c r="H4034" s="6" t="s">
        <v>2189</v>
      </c>
      <c r="I4034" t="s">
        <v>1561</v>
      </c>
      <c r="J4034" t="s">
        <v>1561</v>
      </c>
      <c r="L4034" s="9" t="e">
        <f t="shared" ref="L4034:L4097" si="222">FIND("/",B4034)</f>
        <v>#VALUE!</v>
      </c>
    </row>
    <row r="4035" spans="1:12" x14ac:dyDescent="0.35">
      <c r="A4035">
        <f t="shared" ref="A4035:A4098" si="223">A4034+1</f>
        <v>4034</v>
      </c>
      <c r="B4035" t="s">
        <v>742</v>
      </c>
      <c r="C4035" s="109" t="str">
        <f>IF(ISBLANK(K4035),IFERROR(VLOOKUP(I4035,FS_input_data!$C$458:$N$648,Export!J4035,FALSE),""),K4035)</f>
        <v/>
      </c>
      <c r="D4035" s="6"/>
      <c r="E4035" t="s">
        <v>1561</v>
      </c>
      <c r="F4035" s="6"/>
      <c r="G4035" s="115" t="b">
        <f>VLOOKUP(I4032,FS_input_noty,J4032,FALSE)=""</f>
        <v>0</v>
      </c>
      <c r="H4035" s="6" t="s">
        <v>2189</v>
      </c>
      <c r="I4035" t="s">
        <v>1561</v>
      </c>
      <c r="J4035" t="s">
        <v>1561</v>
      </c>
      <c r="L4035" s="9" t="e">
        <f t="shared" si="222"/>
        <v>#VALUE!</v>
      </c>
    </row>
    <row r="4036" spans="1:12" x14ac:dyDescent="0.35">
      <c r="A4036">
        <f t="shared" si="223"/>
        <v>4035</v>
      </c>
      <c r="B4036" t="s">
        <v>748</v>
      </c>
      <c r="C4036" s="109" t="str">
        <f>IF(ISBLANK(K4036),IFERROR(VLOOKUP(I4036,FS_input_data!$C$458:$N$648,Export!J4036,FALSE),""),K4036)</f>
        <v/>
      </c>
      <c r="D4036" s="6"/>
      <c r="E4036" t="s">
        <v>1561</v>
      </c>
      <c r="F4036" s="6"/>
      <c r="G4036" s="115" t="b">
        <f>VLOOKUP(I4032,FS_input_noty,J4032,FALSE)=""</f>
        <v>0</v>
      </c>
      <c r="H4036" s="6" t="s">
        <v>2189</v>
      </c>
      <c r="I4036" t="s">
        <v>1561</v>
      </c>
      <c r="J4036" t="s">
        <v>1561</v>
      </c>
      <c r="L4036" s="9" t="e">
        <f t="shared" si="222"/>
        <v>#VALUE!</v>
      </c>
    </row>
    <row r="4037" spans="1:12" x14ac:dyDescent="0.35">
      <c r="A4037" s="9">
        <f t="shared" si="223"/>
        <v>4036</v>
      </c>
      <c r="B4037" t="s">
        <v>109</v>
      </c>
      <c r="C4037" s="109">
        <f>IF(ISBLANK(K4037),IFERROR(VLOOKUP(I4037,FS_input_data!$C$458:$N$648,Export!J4037,FALSE),""),K4037)</f>
        <v>3000</v>
      </c>
      <c r="D4037" s="6" t="b">
        <v>1</v>
      </c>
      <c r="E4037" t="s">
        <v>1561</v>
      </c>
      <c r="F4037" s="6"/>
      <c r="G4037" s="115" t="b">
        <f>VLOOKUP(I4032,FS_input_noty,J4032,FALSE)=""</f>
        <v>0</v>
      </c>
      <c r="H4037" s="6" t="s">
        <v>2189</v>
      </c>
      <c r="I4037" t="s">
        <v>1904</v>
      </c>
      <c r="J4037">
        <v>7</v>
      </c>
      <c r="L4037" s="9" t="e">
        <f t="shared" si="222"/>
        <v>#VALUE!</v>
      </c>
    </row>
    <row r="4038" spans="1:12" x14ac:dyDescent="0.35">
      <c r="A4038">
        <f t="shared" si="223"/>
        <v>4037</v>
      </c>
      <c r="B4038" t="s">
        <v>110</v>
      </c>
      <c r="C4038" s="109" t="str">
        <f>IF(ISBLANK(K4038),IFERROR(VLOOKUP(I4038,FS_input_data!$C$458:$N$648,Export!J4038,FALSE),""),K4038)</f>
        <v/>
      </c>
      <c r="D4038" s="6"/>
      <c r="E4038" t="s">
        <v>1561</v>
      </c>
      <c r="F4038" s="6"/>
      <c r="G4038" s="115" t="b">
        <f>VLOOKUP(I4032,FS_input_noty,J4032,FALSE)=""</f>
        <v>0</v>
      </c>
      <c r="H4038" s="6" t="s">
        <v>2189</v>
      </c>
      <c r="I4038" t="s">
        <v>1561</v>
      </c>
      <c r="J4038" t="s">
        <v>1561</v>
      </c>
      <c r="L4038">
        <f t="shared" si="222"/>
        <v>1</v>
      </c>
    </row>
    <row r="4039" spans="1:12" x14ac:dyDescent="0.35">
      <c r="A4039" s="9">
        <f t="shared" si="223"/>
        <v>4038</v>
      </c>
      <c r="B4039" t="s">
        <v>111</v>
      </c>
      <c r="C4039" s="109">
        <f>IF(ISBLANK(K4039),IFERROR(VLOOKUP(I4039,FS_input_data!$C$458:$N$648,Export!J4039,FALSE),""),K4039)</f>
        <v>1500</v>
      </c>
      <c r="D4039" s="6" t="b">
        <v>0</v>
      </c>
      <c r="E4039" t="s">
        <v>1561</v>
      </c>
      <c r="F4039" s="6"/>
      <c r="G4039" s="115" t="b">
        <f>VLOOKUP(I4032,FS_input_noty,J4032,TRUE)=""</f>
        <v>0</v>
      </c>
      <c r="H4039" s="6" t="s">
        <v>2189</v>
      </c>
      <c r="I4039" t="s">
        <v>1904</v>
      </c>
      <c r="J4039">
        <v>8</v>
      </c>
      <c r="L4039" s="9" t="e">
        <f t="shared" si="222"/>
        <v>#VALUE!</v>
      </c>
    </row>
    <row r="4040" spans="1:12" x14ac:dyDescent="0.35">
      <c r="A4040">
        <f t="shared" si="223"/>
        <v>4039</v>
      </c>
      <c r="B4040" t="s">
        <v>112</v>
      </c>
      <c r="C4040" s="109" t="str">
        <f>IF(ISBLANK(K4040),IFERROR(VLOOKUP(I4040,FS_input_data!$C$458:$N$648,Export!J4040,FALSE),""),K4040)</f>
        <v/>
      </c>
      <c r="D4040" s="6"/>
      <c r="E4040" t="s">
        <v>1561</v>
      </c>
      <c r="F4040" s="6"/>
      <c r="G4040" s="115" t="b">
        <f>VLOOKUP(I4032,FS_input_noty,J4032,FALSE)=""</f>
        <v>0</v>
      </c>
      <c r="H4040" s="6" t="s">
        <v>2189</v>
      </c>
      <c r="I4040" t="s">
        <v>1561</v>
      </c>
      <c r="J4040" t="s">
        <v>1561</v>
      </c>
      <c r="L4040">
        <f t="shared" si="222"/>
        <v>1</v>
      </c>
    </row>
    <row r="4041" spans="1:12" x14ac:dyDescent="0.35">
      <c r="A4041" s="9">
        <f t="shared" si="223"/>
        <v>4040</v>
      </c>
      <c r="B4041" t="s">
        <v>749</v>
      </c>
      <c r="C4041" s="109">
        <f>IF(ISBLANK(K4041),IFERROR(VLOOKUP(I4041,FS_input_data!$C$458:$N$648,Export!J4041,FALSE),""),K4041)</f>
        <v>1500</v>
      </c>
      <c r="D4041" s="6" t="b">
        <v>0</v>
      </c>
      <c r="E4041" t="s">
        <v>1561</v>
      </c>
      <c r="F4041" s="6"/>
      <c r="G4041" s="115" t="b">
        <f>VLOOKUP(I4032,FS_input_noty,J4032,FALSE)=""</f>
        <v>0</v>
      </c>
      <c r="H4041" s="6" t="s">
        <v>2189</v>
      </c>
      <c r="I4041" t="s">
        <v>1904</v>
      </c>
      <c r="J4041">
        <v>9</v>
      </c>
      <c r="L4041" s="9" t="e">
        <f t="shared" si="222"/>
        <v>#VALUE!</v>
      </c>
    </row>
    <row r="4042" spans="1:12" x14ac:dyDescent="0.35">
      <c r="A4042">
        <f t="shared" si="223"/>
        <v>4041</v>
      </c>
      <c r="B4042" t="s">
        <v>750</v>
      </c>
      <c r="C4042" s="109" t="str">
        <f>IF(ISBLANK(K4042),IFERROR(VLOOKUP(I4042,FS_input_data!$C$458:$N$648,Export!J4042,FALSE),""),K4042)</f>
        <v/>
      </c>
      <c r="D4042" s="6"/>
      <c r="E4042" t="s">
        <v>1561</v>
      </c>
      <c r="F4042" s="6"/>
      <c r="G4042" s="115" t="b">
        <f>VLOOKUP(I4032,FS_input_noty,J4032,FALSE)=""</f>
        <v>0</v>
      </c>
      <c r="H4042" s="6" t="s">
        <v>2189</v>
      </c>
      <c r="I4042" t="s">
        <v>1561</v>
      </c>
      <c r="J4042" t="s">
        <v>1561</v>
      </c>
      <c r="L4042">
        <f t="shared" si="222"/>
        <v>1</v>
      </c>
    </row>
    <row r="4043" spans="1:12" x14ac:dyDescent="0.35">
      <c r="A4043">
        <f t="shared" si="223"/>
        <v>4042</v>
      </c>
      <c r="B4043" t="s">
        <v>751</v>
      </c>
      <c r="C4043" s="109" t="str">
        <f>IF(ISBLANK(K4043),IFERROR(VLOOKUP(I4043,FS_input_data!$C$458:$N$648,Export!J4043,FALSE),""),K4043)</f>
        <v/>
      </c>
      <c r="D4043" s="6"/>
      <c r="E4043" t="s">
        <v>1561</v>
      </c>
      <c r="F4043" s="6"/>
      <c r="G4043" s="115" t="b">
        <f>VLOOKUP(I4032,FS_input_noty,J4032,FALSE)=""</f>
        <v>0</v>
      </c>
      <c r="H4043" s="6" t="s">
        <v>2189</v>
      </c>
      <c r="I4043" t="s">
        <v>1561</v>
      </c>
      <c r="J4043" t="s">
        <v>1561</v>
      </c>
      <c r="L4043">
        <f t="shared" si="222"/>
        <v>1</v>
      </c>
    </row>
    <row r="4044" spans="1:12" x14ac:dyDescent="0.35">
      <c r="A4044">
        <f t="shared" si="223"/>
        <v>4043</v>
      </c>
      <c r="B4044" t="s">
        <v>754</v>
      </c>
      <c r="C4044" s="109" t="str">
        <f>IF(ISBLANK(K4044),IFERROR(VLOOKUP(I4044,FS_input_data!$C$458:$N$648,Export!J4044,FALSE),""),K4044)</f>
        <v/>
      </c>
      <c r="D4044" s="6"/>
      <c r="E4044" t="s">
        <v>1561</v>
      </c>
      <c r="F4044" s="6"/>
      <c r="G4044" s="115" t="b">
        <f>VLOOKUP(I4032,FS_input_noty,J4032,FALSE)=""</f>
        <v>0</v>
      </c>
      <c r="H4044" s="6" t="s">
        <v>2189</v>
      </c>
      <c r="I4044" t="s">
        <v>1561</v>
      </c>
      <c r="J4044" t="s">
        <v>1561</v>
      </c>
      <c r="L4044" s="9" t="e">
        <f t="shared" si="222"/>
        <v>#VALUE!</v>
      </c>
    </row>
    <row r="4045" spans="1:12" x14ac:dyDescent="0.35">
      <c r="A4045" s="9">
        <f t="shared" si="223"/>
        <v>4044</v>
      </c>
      <c r="B4045" t="s">
        <v>755</v>
      </c>
      <c r="C4045" s="109">
        <f>IF(ISBLANK(K4045),IFERROR(VLOOKUP(I4045,FS_input_data!$C$458:$N$648,Export!J4045,FALSE),""),K4045)</f>
        <v>47</v>
      </c>
      <c r="D4045" s="6" t="b">
        <v>1</v>
      </c>
      <c r="E4045" t="s">
        <v>1561</v>
      </c>
      <c r="F4045" s="6"/>
      <c r="G4045" s="115" t="b">
        <f>VLOOKUP(I4032,FS_input_noty,J4032,FALSE)=""</f>
        <v>0</v>
      </c>
      <c r="H4045" s="6" t="s">
        <v>2189</v>
      </c>
      <c r="I4045" t="s">
        <v>1904</v>
      </c>
      <c r="J4045">
        <v>2</v>
      </c>
      <c r="L4045" s="9" t="e">
        <f t="shared" si="222"/>
        <v>#VALUE!</v>
      </c>
    </row>
    <row r="4046" spans="1:12" x14ac:dyDescent="0.35">
      <c r="A4046">
        <f t="shared" si="223"/>
        <v>4045</v>
      </c>
      <c r="B4046" t="s">
        <v>756</v>
      </c>
      <c r="C4046" s="109" t="str">
        <f>IF(ISBLANK(K4046),IFERROR(VLOOKUP(I4046,FS_input_data!$C$458:$N$648,Export!J4046,FALSE),""),K4046)</f>
        <v/>
      </c>
      <c r="D4046" s="6"/>
      <c r="E4046" t="s">
        <v>1561</v>
      </c>
      <c r="F4046" s="6"/>
      <c r="G4046" s="115" t="b">
        <f>VLOOKUP(I4032,FS_input_noty,J4032,FALSE)=""</f>
        <v>0</v>
      </c>
      <c r="H4046" s="6" t="s">
        <v>2189</v>
      </c>
      <c r="I4046" t="s">
        <v>1561</v>
      </c>
      <c r="J4046" t="s">
        <v>1561</v>
      </c>
      <c r="L4046">
        <f t="shared" si="222"/>
        <v>1</v>
      </c>
    </row>
    <row r="4047" spans="1:12" x14ac:dyDescent="0.35">
      <c r="A4047" s="9">
        <f t="shared" si="223"/>
        <v>4046</v>
      </c>
      <c r="B4047" t="s">
        <v>757</v>
      </c>
      <c r="C4047" s="109">
        <f>IF(ISBLANK(K4047),IFERROR(VLOOKUP(I4047,FS_input_data!$C$458:$N$648,Export!J4047,FALSE),""),K4047)</f>
        <v>147</v>
      </c>
      <c r="D4047" s="6" t="b">
        <v>0</v>
      </c>
      <c r="E4047" t="s">
        <v>1561</v>
      </c>
      <c r="F4047" s="6"/>
      <c r="G4047" s="115" t="b">
        <f>VLOOKUP(I4032,FS_input_noty,J4032,FALSE)=""</f>
        <v>0</v>
      </c>
      <c r="H4047" s="6" t="s">
        <v>2189</v>
      </c>
      <c r="I4047" t="s">
        <v>1904</v>
      </c>
      <c r="J4047">
        <v>3</v>
      </c>
      <c r="L4047" s="9" t="e">
        <f t="shared" si="222"/>
        <v>#VALUE!</v>
      </c>
    </row>
    <row r="4048" spans="1:12" x14ac:dyDescent="0.35">
      <c r="A4048">
        <f t="shared" si="223"/>
        <v>4047</v>
      </c>
      <c r="B4048" t="s">
        <v>758</v>
      </c>
      <c r="C4048" s="109" t="str">
        <f>IF(ISBLANK(K4048),IFERROR(VLOOKUP(I4048,FS_input_data!$C$458:$N$648,Export!J4048,FALSE),""),K4048)</f>
        <v/>
      </c>
      <c r="D4048" s="6"/>
      <c r="E4048" t="s">
        <v>1561</v>
      </c>
      <c r="F4048" s="6"/>
      <c r="G4048" s="115" t="b">
        <f>VLOOKUP(I4032,FS_input_noty,J4032,FALSE)=""</f>
        <v>0</v>
      </c>
      <c r="H4048" s="6" t="s">
        <v>2189</v>
      </c>
      <c r="I4048" t="s">
        <v>1561</v>
      </c>
      <c r="J4048" t="s">
        <v>1561</v>
      </c>
      <c r="L4048">
        <f t="shared" si="222"/>
        <v>1</v>
      </c>
    </row>
    <row r="4049" spans="1:12" x14ac:dyDescent="0.35">
      <c r="A4049" s="9">
        <f t="shared" si="223"/>
        <v>4048</v>
      </c>
      <c r="B4049" t="s">
        <v>759</v>
      </c>
      <c r="C4049" s="109">
        <f>IF(ISBLANK(K4049),IFERROR(VLOOKUP(I4049,FS_input_data!$C$458:$N$648,Export!J4049,FALSE),""),K4049)</f>
        <v>247</v>
      </c>
      <c r="D4049" s="6" t="b">
        <v>0</v>
      </c>
      <c r="E4049" t="s">
        <v>1561</v>
      </c>
      <c r="F4049" s="6"/>
      <c r="G4049" s="115" t="b">
        <f>VLOOKUP(I4032,FS_input_noty,J4032,FALSE)=""</f>
        <v>0</v>
      </c>
      <c r="H4049" s="6" t="s">
        <v>2189</v>
      </c>
      <c r="I4049" t="s">
        <v>1904</v>
      </c>
      <c r="J4049">
        <v>4</v>
      </c>
      <c r="L4049" s="9" t="e">
        <f t="shared" si="222"/>
        <v>#VALUE!</v>
      </c>
    </row>
    <row r="4050" spans="1:12" x14ac:dyDescent="0.35">
      <c r="A4050">
        <f t="shared" si="223"/>
        <v>4049</v>
      </c>
      <c r="B4050" t="s">
        <v>760</v>
      </c>
      <c r="C4050" s="109" t="str">
        <f>IF(ISBLANK(K4050),IFERROR(VLOOKUP(I4050,FS_input_data!$C$458:$N$648,Export!J4050,FALSE),""),K4050)</f>
        <v/>
      </c>
      <c r="D4050" s="6"/>
      <c r="E4050" t="s">
        <v>1561</v>
      </c>
      <c r="F4050" s="6"/>
      <c r="G4050" s="115" t="b">
        <f>VLOOKUP(I4032,FS_input_noty,J4032,FALSE)=""</f>
        <v>0</v>
      </c>
      <c r="H4050" s="6" t="s">
        <v>2189</v>
      </c>
      <c r="I4050" t="s">
        <v>1561</v>
      </c>
      <c r="J4050" t="s">
        <v>1561</v>
      </c>
      <c r="L4050">
        <f t="shared" si="222"/>
        <v>1</v>
      </c>
    </row>
    <row r="4051" spans="1:12" x14ac:dyDescent="0.35">
      <c r="A4051" s="9">
        <f t="shared" si="223"/>
        <v>4050</v>
      </c>
      <c r="B4051" t="s">
        <v>761</v>
      </c>
      <c r="C4051" s="109" t="str">
        <f>IF(ISBLANK(K4051),IFERROR(VLOOKUP(I4051,FS_input_data!$C$458:$N$648,Export!J4051,FALSE),""),K4051)</f>
        <v>a</v>
      </c>
      <c r="D4051" s="6" t="b">
        <v>0</v>
      </c>
      <c r="E4051" t="s">
        <v>1561</v>
      </c>
      <c r="F4051" s="6"/>
      <c r="G4051" s="115" t="b">
        <f>VLOOKUP(I4032,FS_input_noty,J4032,FALSE)=""</f>
        <v>0</v>
      </c>
      <c r="H4051" s="6" t="s">
        <v>2189</v>
      </c>
      <c r="I4051" t="s">
        <v>1904</v>
      </c>
      <c r="J4051">
        <v>5</v>
      </c>
      <c r="L4051" s="9" t="e">
        <f t="shared" si="222"/>
        <v>#VALUE!</v>
      </c>
    </row>
    <row r="4052" spans="1:12" x14ac:dyDescent="0.35">
      <c r="A4052">
        <f t="shared" si="223"/>
        <v>4051</v>
      </c>
      <c r="B4052" t="s">
        <v>762</v>
      </c>
      <c r="C4052" s="109" t="str">
        <f>IF(ISBLANK(K4052),IFERROR(VLOOKUP(I4052,FS_input_data!$C$458:$N$648,Export!J4052,FALSE),""),K4052)</f>
        <v/>
      </c>
      <c r="D4052" s="6"/>
      <c r="E4052" t="s">
        <v>1561</v>
      </c>
      <c r="F4052" s="6"/>
      <c r="G4052" s="115" t="b">
        <f>VLOOKUP(I4032,FS_input_noty,J4032,FALSE)=""</f>
        <v>0</v>
      </c>
      <c r="H4052" s="6" t="s">
        <v>2189</v>
      </c>
      <c r="I4052" t="s">
        <v>1561</v>
      </c>
      <c r="J4052" t="s">
        <v>1561</v>
      </c>
      <c r="L4052">
        <f t="shared" si="222"/>
        <v>1</v>
      </c>
    </row>
    <row r="4053" spans="1:12" x14ac:dyDescent="0.35">
      <c r="A4053">
        <f t="shared" si="223"/>
        <v>4052</v>
      </c>
      <c r="B4053" t="s">
        <v>763</v>
      </c>
      <c r="C4053" s="109" t="str">
        <f>IF(ISBLANK(K4053),IFERROR(VLOOKUP(I4053,FS_input_data!$C$458:$N$648,Export!J4053,FALSE),""),K4053)</f>
        <v/>
      </c>
      <c r="D4053" s="6"/>
      <c r="E4053" t="s">
        <v>1561</v>
      </c>
      <c r="F4053" s="6"/>
      <c r="G4053" s="115" t="b">
        <f>VLOOKUP(I4032,FS_input_noty,J4032,FALSE)=""</f>
        <v>0</v>
      </c>
      <c r="H4053" s="6" t="s">
        <v>2189</v>
      </c>
      <c r="I4053" t="s">
        <v>1561</v>
      </c>
      <c r="J4053" t="s">
        <v>1561</v>
      </c>
      <c r="L4053">
        <f t="shared" si="222"/>
        <v>1</v>
      </c>
    </row>
    <row r="4054" spans="1:12" x14ac:dyDescent="0.35">
      <c r="A4054">
        <f t="shared" si="223"/>
        <v>4053</v>
      </c>
      <c r="B4054" t="s">
        <v>743</v>
      </c>
      <c r="C4054" s="109" t="str">
        <f>IF(ISBLANK(K4054),IFERROR(VLOOKUP(I4054,FS_input_data!$C$458:$N$648,Export!J4054,FALSE),""),K4054)</f>
        <v/>
      </c>
      <c r="D4054" s="6"/>
      <c r="E4054" t="s">
        <v>1561</v>
      </c>
      <c r="F4054" s="6"/>
      <c r="G4054" s="115" t="b">
        <f>VLOOKUP(I4032,FS_input_noty,J4032,FALSE)=""</f>
        <v>0</v>
      </c>
      <c r="H4054" s="6" t="s">
        <v>2189</v>
      </c>
      <c r="I4054" t="s">
        <v>1561</v>
      </c>
      <c r="J4054" t="s">
        <v>1561</v>
      </c>
      <c r="L4054">
        <f t="shared" si="222"/>
        <v>1</v>
      </c>
    </row>
    <row r="4055" spans="1:12" x14ac:dyDescent="0.35">
      <c r="A4055">
        <f t="shared" si="223"/>
        <v>4054</v>
      </c>
      <c r="B4055" t="s">
        <v>744</v>
      </c>
      <c r="C4055" s="109" t="str">
        <f>IF(ISBLANK(K4055),IFERROR(VLOOKUP(I4055,FS_input_data!$C$458:$N$648,Export!J4055,FALSE),""),K4055)</f>
        <v/>
      </c>
      <c r="D4055" s="6"/>
      <c r="E4055" t="s">
        <v>1561</v>
      </c>
      <c r="F4055" s="6"/>
      <c r="G4055" s="115" t="b">
        <f t="shared" ref="G4055:G4062" si="224">RP_tax</f>
        <v>1</v>
      </c>
      <c r="H4055" s="6" t="s">
        <v>2189</v>
      </c>
      <c r="I4055" t="s">
        <v>1561</v>
      </c>
      <c r="J4055" t="s">
        <v>1561</v>
      </c>
      <c r="L4055" s="9" t="e">
        <f t="shared" si="222"/>
        <v>#VALUE!</v>
      </c>
    </row>
    <row r="4056" spans="1:12" x14ac:dyDescent="0.35">
      <c r="A4056" s="9">
        <f t="shared" si="223"/>
        <v>4055</v>
      </c>
      <c r="B4056" t="s">
        <v>109</v>
      </c>
      <c r="C4056" s="109">
        <f>IF(ISBLANK(K4056),IFERROR(VLOOKUP(I4056,FS_input_data!$C$458:$N$648,Export!J4056,FALSE),""),K4056)</f>
        <v>3000</v>
      </c>
      <c r="D4056" s="6" t="b">
        <v>1</v>
      </c>
      <c r="E4056" t="s">
        <v>1561</v>
      </c>
      <c r="F4056" s="6"/>
      <c r="G4056" s="115" t="b">
        <f t="shared" si="224"/>
        <v>1</v>
      </c>
      <c r="H4056" s="6" t="s">
        <v>2189</v>
      </c>
      <c r="I4056" t="s">
        <v>1904</v>
      </c>
      <c r="J4056">
        <v>10</v>
      </c>
      <c r="L4056" s="9" t="e">
        <f t="shared" si="222"/>
        <v>#VALUE!</v>
      </c>
    </row>
    <row r="4057" spans="1:12" x14ac:dyDescent="0.35">
      <c r="A4057">
        <f t="shared" si="223"/>
        <v>4056</v>
      </c>
      <c r="B4057" t="s">
        <v>110</v>
      </c>
      <c r="C4057" s="109" t="str">
        <f>IF(ISBLANK(K4057),IFERROR(VLOOKUP(I4057,FS_input_data!$C$458:$N$648,Export!J4057,FALSE),""),K4057)</f>
        <v/>
      </c>
      <c r="D4057" s="6"/>
      <c r="E4057" t="s">
        <v>1561</v>
      </c>
      <c r="F4057" s="6"/>
      <c r="G4057" s="115" t="b">
        <f t="shared" si="224"/>
        <v>1</v>
      </c>
      <c r="H4057" s="6" t="s">
        <v>2189</v>
      </c>
      <c r="I4057" t="s">
        <v>1561</v>
      </c>
      <c r="J4057" t="s">
        <v>1561</v>
      </c>
      <c r="L4057">
        <f t="shared" si="222"/>
        <v>1</v>
      </c>
    </row>
    <row r="4058" spans="1:12" x14ac:dyDescent="0.35">
      <c r="A4058" s="9">
        <f t="shared" si="223"/>
        <v>4057</v>
      </c>
      <c r="B4058" t="s">
        <v>111</v>
      </c>
      <c r="C4058" s="109">
        <f>IF(ISBLANK(K4058),IFERROR(VLOOKUP(I4058,FS_input_data!$C$458:$N$648,Export!J4058,FALSE),""),K4058)</f>
        <v>1500</v>
      </c>
      <c r="D4058" s="6" t="b">
        <v>0</v>
      </c>
      <c r="E4058" t="s">
        <v>1561</v>
      </c>
      <c r="F4058" s="6"/>
      <c r="G4058" s="115" t="b">
        <f t="shared" si="224"/>
        <v>1</v>
      </c>
      <c r="H4058" s="6" t="s">
        <v>2189</v>
      </c>
      <c r="I4058" t="s">
        <v>1904</v>
      </c>
      <c r="J4058">
        <v>11</v>
      </c>
      <c r="L4058" s="9" t="e">
        <f t="shared" si="222"/>
        <v>#VALUE!</v>
      </c>
    </row>
    <row r="4059" spans="1:12" x14ac:dyDescent="0.35">
      <c r="A4059">
        <f t="shared" si="223"/>
        <v>4058</v>
      </c>
      <c r="B4059" t="s">
        <v>112</v>
      </c>
      <c r="C4059" s="109" t="str">
        <f>IF(ISBLANK(K4059),IFERROR(VLOOKUP(I4059,FS_input_data!$C$458:$N$648,Export!J4059,FALSE),""),K4059)</f>
        <v/>
      </c>
      <c r="D4059" s="6"/>
      <c r="E4059" t="s">
        <v>1561</v>
      </c>
      <c r="F4059" s="6"/>
      <c r="G4059" s="115" t="b">
        <f t="shared" si="224"/>
        <v>1</v>
      </c>
      <c r="H4059" s="6" t="s">
        <v>2189</v>
      </c>
      <c r="I4059" t="s">
        <v>1561</v>
      </c>
      <c r="J4059" t="s">
        <v>1561</v>
      </c>
      <c r="L4059">
        <f t="shared" si="222"/>
        <v>1</v>
      </c>
    </row>
    <row r="4060" spans="1:12" x14ac:dyDescent="0.35">
      <c r="A4060" s="9">
        <f t="shared" si="223"/>
        <v>4059</v>
      </c>
      <c r="B4060" t="s">
        <v>749</v>
      </c>
      <c r="C4060" s="109">
        <f>IF(ISBLANK(K4060),IFERROR(VLOOKUP(I4060,FS_input_data!$C$458:$N$648,Export!J4060,FALSE),""),K4060)</f>
        <v>1500</v>
      </c>
      <c r="D4060" s="6" t="b">
        <v>0</v>
      </c>
      <c r="E4060" t="s">
        <v>1561</v>
      </c>
      <c r="F4060" s="6"/>
      <c r="G4060" s="115" t="b">
        <f t="shared" si="224"/>
        <v>1</v>
      </c>
      <c r="H4060" s="6" t="s">
        <v>2189</v>
      </c>
      <c r="I4060" t="s">
        <v>1904</v>
      </c>
      <c r="J4060">
        <v>12</v>
      </c>
      <c r="L4060" s="9" t="e">
        <f t="shared" si="222"/>
        <v>#VALUE!</v>
      </c>
    </row>
    <row r="4061" spans="1:12" x14ac:dyDescent="0.35">
      <c r="A4061">
        <f t="shared" si="223"/>
        <v>4060</v>
      </c>
      <c r="B4061" t="s">
        <v>750</v>
      </c>
      <c r="C4061" s="109" t="str">
        <f>IF(ISBLANK(K4061),IFERROR(VLOOKUP(I4061,FS_input_data!$C$458:$N$648,Export!J4061,FALSE),""),K4061)</f>
        <v/>
      </c>
      <c r="D4061" s="6"/>
      <c r="E4061" t="s">
        <v>1561</v>
      </c>
      <c r="F4061" s="6"/>
      <c r="G4061" s="115" t="b">
        <f t="shared" si="224"/>
        <v>1</v>
      </c>
      <c r="H4061" s="6" t="s">
        <v>2189</v>
      </c>
      <c r="I4061" t="s">
        <v>1561</v>
      </c>
      <c r="J4061" t="s">
        <v>1561</v>
      </c>
      <c r="L4061">
        <f t="shared" si="222"/>
        <v>1</v>
      </c>
    </row>
    <row r="4062" spans="1:12" x14ac:dyDescent="0.35">
      <c r="A4062">
        <f t="shared" si="223"/>
        <v>4061</v>
      </c>
      <c r="B4062" t="s">
        <v>745</v>
      </c>
      <c r="C4062" s="109" t="str">
        <f>IF(ISBLANK(K4062),IFERROR(VLOOKUP(I4062,FS_input_data!$C$458:$N$648,Export!J4062,FALSE),""),K4062)</f>
        <v/>
      </c>
      <c r="D4062" s="6"/>
      <c r="E4062" t="s">
        <v>1561</v>
      </c>
      <c r="F4062" s="6"/>
      <c r="G4062" s="115" t="b">
        <f t="shared" si="224"/>
        <v>1</v>
      </c>
      <c r="H4062" s="6" t="s">
        <v>2189</v>
      </c>
      <c r="I4062" t="s">
        <v>1561</v>
      </c>
      <c r="J4062" t="s">
        <v>1561</v>
      </c>
      <c r="L4062">
        <f t="shared" si="222"/>
        <v>1</v>
      </c>
    </row>
    <row r="4063" spans="1:12" x14ac:dyDescent="0.35">
      <c r="A4063">
        <f t="shared" si="223"/>
        <v>4062</v>
      </c>
      <c r="B4063" t="s">
        <v>764</v>
      </c>
      <c r="C4063" s="109" t="str">
        <f>IF(ISBLANK(K4063),IFERROR(VLOOKUP(I4063,FS_input_data!$C$458:$N$648,Export!J4063,FALSE),""),K4063)</f>
        <v/>
      </c>
      <c r="D4063" s="6"/>
      <c r="E4063" t="s">
        <v>1561</v>
      </c>
      <c r="F4063" s="6"/>
      <c r="G4063" s="115" t="b">
        <f>VLOOKUP(I4032,FS_input_noty,J4032,FALSE)=""</f>
        <v>0</v>
      </c>
      <c r="H4063" s="6" t="s">
        <v>2189</v>
      </c>
      <c r="I4063" t="s">
        <v>1561</v>
      </c>
      <c r="J4063" t="s">
        <v>1561</v>
      </c>
      <c r="L4063">
        <f t="shared" si="222"/>
        <v>1</v>
      </c>
    </row>
    <row r="4064" spans="1:12" x14ac:dyDescent="0.35">
      <c r="A4064">
        <f t="shared" si="223"/>
        <v>4063</v>
      </c>
      <c r="B4064" t="s">
        <v>765</v>
      </c>
      <c r="C4064" s="109" t="str">
        <f>IF(ISBLANK(K4064),IFERROR(VLOOKUP(I4064,FS_input_data!$C$458:$N$648,Export!J4064,FALSE),""),K4064)</f>
        <v/>
      </c>
      <c r="D4064" s="6"/>
      <c r="E4064" t="s">
        <v>1561</v>
      </c>
      <c r="F4064" s="6"/>
      <c r="G4064" s="115" t="b">
        <f>VLOOKUP(I4032,FS_input_noty,J4032,FALSE)=""</f>
        <v>0</v>
      </c>
      <c r="H4064" s="6" t="s">
        <v>2189</v>
      </c>
      <c r="I4064" t="s">
        <v>1561</v>
      </c>
      <c r="J4064" t="s">
        <v>1561</v>
      </c>
      <c r="L4064">
        <f t="shared" si="222"/>
        <v>1</v>
      </c>
    </row>
    <row r="4065" spans="1:12" x14ac:dyDescent="0.35">
      <c r="A4065">
        <f t="shared" si="223"/>
        <v>4064</v>
      </c>
      <c r="B4065" t="s">
        <v>752</v>
      </c>
      <c r="C4065" s="109" t="str">
        <f>IF(ISBLANK(K4065),IFERROR(VLOOKUP(I4065,FS_input_data!$C$458:$N$648,Export!J4065,FALSE),""),K4065)</f>
        <v/>
      </c>
      <c r="D4065" s="6"/>
      <c r="E4065" t="s">
        <v>1561</v>
      </c>
      <c r="F4065" s="6"/>
      <c r="G4065" s="115" t="b">
        <f>VLOOKUP(I4066,FS_input_noty,J4066,FALSE)=""</f>
        <v>0</v>
      </c>
      <c r="H4065" s="6" t="s">
        <v>2189</v>
      </c>
      <c r="I4065" t="s">
        <v>1561</v>
      </c>
      <c r="J4065" t="s">
        <v>1561</v>
      </c>
      <c r="L4065" s="9" t="e">
        <f t="shared" si="222"/>
        <v>#VALUE!</v>
      </c>
    </row>
    <row r="4066" spans="1:12" x14ac:dyDescent="0.35">
      <c r="A4066" s="9">
        <f t="shared" si="223"/>
        <v>4065</v>
      </c>
      <c r="B4066" t="s">
        <v>101</v>
      </c>
      <c r="C4066" s="109" t="str">
        <f>IF(ISBLANK(K4066),IFERROR(VLOOKUP(I4066,FS_input_data!$C$458:$N$648,Export!J4066,FALSE),""),K4066)</f>
        <v>OC26</v>
      </c>
      <c r="D4066" s="6" t="b">
        <v>1</v>
      </c>
      <c r="E4066" t="s">
        <v>1561</v>
      </c>
      <c r="F4066" s="6"/>
      <c r="G4066" s="115" t="b">
        <f>VLOOKUP(I4066,FS_input_noty,J4066,FALSE)=""</f>
        <v>0</v>
      </c>
      <c r="H4066" s="6" t="s">
        <v>2189</v>
      </c>
      <c r="I4066" t="s">
        <v>1906</v>
      </c>
      <c r="J4066">
        <v>6</v>
      </c>
      <c r="L4066" s="9" t="e">
        <f t="shared" si="222"/>
        <v>#VALUE!</v>
      </c>
    </row>
    <row r="4067" spans="1:12" x14ac:dyDescent="0.35">
      <c r="A4067">
        <f t="shared" si="223"/>
        <v>4066</v>
      </c>
      <c r="B4067" t="s">
        <v>102</v>
      </c>
      <c r="C4067" s="109" t="str">
        <f>IF(ISBLANK(K4067),IFERROR(VLOOKUP(I4067,FS_input_data!$C$458:$N$648,Export!J4067,FALSE),""),K4067)</f>
        <v/>
      </c>
      <c r="D4067" s="6"/>
      <c r="E4067" t="s">
        <v>1561</v>
      </c>
      <c r="F4067" s="6"/>
      <c r="G4067" s="115" t="b">
        <f>VLOOKUP(I4066,FS_input_noty,J4066,FALSE)=""</f>
        <v>0</v>
      </c>
      <c r="H4067" s="6" t="s">
        <v>2189</v>
      </c>
      <c r="I4067" t="s">
        <v>1561</v>
      </c>
      <c r="J4067" t="s">
        <v>1561</v>
      </c>
      <c r="L4067">
        <f t="shared" si="222"/>
        <v>1</v>
      </c>
    </row>
    <row r="4068" spans="1:12" x14ac:dyDescent="0.35">
      <c r="A4068">
        <f t="shared" si="223"/>
        <v>4067</v>
      </c>
      <c r="B4068" t="s">
        <v>753</v>
      </c>
      <c r="C4068" s="109" t="str">
        <f>IF(ISBLANK(K4068),IFERROR(VLOOKUP(I4068,FS_input_data!$C$458:$N$648,Export!J4068,FALSE),""),K4068)</f>
        <v/>
      </c>
      <c r="D4068" s="6"/>
      <c r="E4068" t="s">
        <v>1561</v>
      </c>
      <c r="F4068" s="6"/>
      <c r="G4068" s="115" t="b">
        <f>VLOOKUP(I4066,FS_input_noty,J4066,FALSE)=""</f>
        <v>0</v>
      </c>
      <c r="H4068" s="6" t="s">
        <v>2189</v>
      </c>
      <c r="I4068" t="s">
        <v>1561</v>
      </c>
      <c r="J4068" t="s">
        <v>1561</v>
      </c>
      <c r="L4068" s="9" t="e">
        <f t="shared" si="222"/>
        <v>#VALUE!</v>
      </c>
    </row>
    <row r="4069" spans="1:12" x14ac:dyDescent="0.35">
      <c r="A4069">
        <f t="shared" si="223"/>
        <v>4068</v>
      </c>
      <c r="B4069" t="s">
        <v>742</v>
      </c>
      <c r="C4069" s="109" t="str">
        <f>IF(ISBLANK(K4069),IFERROR(VLOOKUP(I4069,FS_input_data!$C$458:$N$648,Export!J4069,FALSE),""),K4069)</f>
        <v/>
      </c>
      <c r="D4069" s="6"/>
      <c r="E4069" t="s">
        <v>1561</v>
      </c>
      <c r="F4069" s="6"/>
      <c r="G4069" s="115" t="b">
        <f>VLOOKUP(I4066,FS_input_noty,J4066,FALSE)=""</f>
        <v>0</v>
      </c>
      <c r="H4069" s="6" t="s">
        <v>2189</v>
      </c>
      <c r="I4069" t="s">
        <v>1561</v>
      </c>
      <c r="J4069" t="s">
        <v>1561</v>
      </c>
      <c r="L4069" s="9" t="e">
        <f t="shared" si="222"/>
        <v>#VALUE!</v>
      </c>
    </row>
    <row r="4070" spans="1:12" x14ac:dyDescent="0.35">
      <c r="A4070">
        <f t="shared" si="223"/>
        <v>4069</v>
      </c>
      <c r="B4070" t="s">
        <v>748</v>
      </c>
      <c r="C4070" s="109" t="str">
        <f>IF(ISBLANK(K4070),IFERROR(VLOOKUP(I4070,FS_input_data!$C$458:$N$648,Export!J4070,FALSE),""),K4070)</f>
        <v/>
      </c>
      <c r="D4070" s="6"/>
      <c r="E4070" t="s">
        <v>1561</v>
      </c>
      <c r="F4070" s="6"/>
      <c r="G4070" s="115" t="b">
        <f>VLOOKUP(I4066,FS_input_noty,J4066,FALSE)=""</f>
        <v>0</v>
      </c>
      <c r="H4070" s="6" t="s">
        <v>2189</v>
      </c>
      <c r="I4070" t="s">
        <v>1561</v>
      </c>
      <c r="J4070" t="s">
        <v>1561</v>
      </c>
      <c r="L4070" s="9" t="e">
        <f t="shared" si="222"/>
        <v>#VALUE!</v>
      </c>
    </row>
    <row r="4071" spans="1:12" x14ac:dyDescent="0.35">
      <c r="A4071" s="9">
        <f t="shared" si="223"/>
        <v>4070</v>
      </c>
      <c r="B4071" t="s">
        <v>109</v>
      </c>
      <c r="C4071" s="109">
        <f>IF(ISBLANK(K4071),IFERROR(VLOOKUP(I4071,FS_input_data!$C$458:$N$648,Export!J4071,FALSE),""),K4071)</f>
        <v>4000</v>
      </c>
      <c r="D4071" s="6" t="b">
        <v>1</v>
      </c>
      <c r="E4071" t="s">
        <v>1561</v>
      </c>
      <c r="F4071" s="6"/>
      <c r="G4071" s="115" t="b">
        <f>VLOOKUP(I4066,FS_input_noty,J4066,FALSE)=""</f>
        <v>0</v>
      </c>
      <c r="H4071" s="6" t="s">
        <v>2189</v>
      </c>
      <c r="I4071" t="s">
        <v>1906</v>
      </c>
      <c r="J4071">
        <v>7</v>
      </c>
      <c r="L4071" s="9" t="e">
        <f t="shared" si="222"/>
        <v>#VALUE!</v>
      </c>
    </row>
    <row r="4072" spans="1:12" x14ac:dyDescent="0.35">
      <c r="A4072">
        <f t="shared" si="223"/>
        <v>4071</v>
      </c>
      <c r="B4072" t="s">
        <v>110</v>
      </c>
      <c r="C4072" s="109" t="str">
        <f>IF(ISBLANK(K4072),IFERROR(VLOOKUP(I4072,FS_input_data!$C$458:$N$648,Export!J4072,FALSE),""),K4072)</f>
        <v/>
      </c>
      <c r="D4072" s="6"/>
      <c r="E4072" t="s">
        <v>1561</v>
      </c>
      <c r="F4072" s="6"/>
      <c r="G4072" s="115" t="b">
        <f>VLOOKUP(I4066,FS_input_noty,J4066,FALSE)=""</f>
        <v>0</v>
      </c>
      <c r="H4072" s="6" t="s">
        <v>2189</v>
      </c>
      <c r="I4072" t="s">
        <v>1561</v>
      </c>
      <c r="J4072" t="s">
        <v>1561</v>
      </c>
      <c r="L4072">
        <f t="shared" si="222"/>
        <v>1</v>
      </c>
    </row>
    <row r="4073" spans="1:12" x14ac:dyDescent="0.35">
      <c r="A4073" s="9">
        <f t="shared" si="223"/>
        <v>4072</v>
      </c>
      <c r="B4073" t="s">
        <v>111</v>
      </c>
      <c r="C4073" s="109">
        <f>IF(ISBLANK(K4073),IFERROR(VLOOKUP(I4073,FS_input_data!$C$458:$N$648,Export!J4073,FALSE),""),K4073)</f>
        <v>2000</v>
      </c>
      <c r="D4073" s="6" t="b">
        <v>0</v>
      </c>
      <c r="E4073" t="s">
        <v>1561</v>
      </c>
      <c r="F4073" s="6"/>
      <c r="G4073" s="115" t="b">
        <f>VLOOKUP(I4066,FS_input_noty,J4066,TRUE)=""</f>
        <v>0</v>
      </c>
      <c r="H4073" s="6" t="s">
        <v>2189</v>
      </c>
      <c r="I4073" t="s">
        <v>1906</v>
      </c>
      <c r="J4073">
        <v>8</v>
      </c>
      <c r="L4073" s="9" t="e">
        <f t="shared" si="222"/>
        <v>#VALUE!</v>
      </c>
    </row>
    <row r="4074" spans="1:12" x14ac:dyDescent="0.35">
      <c r="A4074">
        <f t="shared" si="223"/>
        <v>4073</v>
      </c>
      <c r="B4074" t="s">
        <v>112</v>
      </c>
      <c r="C4074" s="109" t="str">
        <f>IF(ISBLANK(K4074),IFERROR(VLOOKUP(I4074,FS_input_data!$C$458:$N$648,Export!J4074,FALSE),""),K4074)</f>
        <v/>
      </c>
      <c r="D4074" s="6"/>
      <c r="E4074" t="s">
        <v>1561</v>
      </c>
      <c r="F4074" s="6"/>
      <c r="G4074" s="115" t="b">
        <f>VLOOKUP(I4066,FS_input_noty,J4066,FALSE)=""</f>
        <v>0</v>
      </c>
      <c r="H4074" s="6" t="s">
        <v>2189</v>
      </c>
      <c r="I4074" t="s">
        <v>1561</v>
      </c>
      <c r="J4074" t="s">
        <v>1561</v>
      </c>
      <c r="L4074">
        <f t="shared" si="222"/>
        <v>1</v>
      </c>
    </row>
    <row r="4075" spans="1:12" x14ac:dyDescent="0.35">
      <c r="A4075" s="9">
        <f t="shared" si="223"/>
        <v>4074</v>
      </c>
      <c r="B4075" t="s">
        <v>749</v>
      </c>
      <c r="C4075" s="109">
        <f>IF(ISBLANK(K4075),IFERROR(VLOOKUP(I4075,FS_input_data!$C$458:$N$648,Export!J4075,FALSE),""),K4075)</f>
        <v>2000</v>
      </c>
      <c r="D4075" s="6" t="b">
        <v>0</v>
      </c>
      <c r="E4075" t="s">
        <v>1561</v>
      </c>
      <c r="F4075" s="6"/>
      <c r="G4075" s="115" t="b">
        <f>VLOOKUP(I4066,FS_input_noty,J4066,FALSE)=""</f>
        <v>0</v>
      </c>
      <c r="H4075" s="6" t="s">
        <v>2189</v>
      </c>
      <c r="I4075" t="s">
        <v>1906</v>
      </c>
      <c r="J4075">
        <v>9</v>
      </c>
      <c r="L4075" s="9" t="e">
        <f t="shared" si="222"/>
        <v>#VALUE!</v>
      </c>
    </row>
    <row r="4076" spans="1:12" x14ac:dyDescent="0.35">
      <c r="A4076">
        <f t="shared" si="223"/>
        <v>4075</v>
      </c>
      <c r="B4076" t="s">
        <v>750</v>
      </c>
      <c r="C4076" s="109" t="str">
        <f>IF(ISBLANK(K4076),IFERROR(VLOOKUP(I4076,FS_input_data!$C$458:$N$648,Export!J4076,FALSE),""),K4076)</f>
        <v/>
      </c>
      <c r="D4076" s="6"/>
      <c r="E4076" t="s">
        <v>1561</v>
      </c>
      <c r="F4076" s="6"/>
      <c r="G4076" s="115" t="b">
        <f>VLOOKUP(I4066,FS_input_noty,J4066,FALSE)=""</f>
        <v>0</v>
      </c>
      <c r="H4076" s="6" t="s">
        <v>2189</v>
      </c>
      <c r="I4076" t="s">
        <v>1561</v>
      </c>
      <c r="J4076" t="s">
        <v>1561</v>
      </c>
      <c r="L4076">
        <f t="shared" si="222"/>
        <v>1</v>
      </c>
    </row>
    <row r="4077" spans="1:12" x14ac:dyDescent="0.35">
      <c r="A4077">
        <f t="shared" si="223"/>
        <v>4076</v>
      </c>
      <c r="B4077" t="s">
        <v>751</v>
      </c>
      <c r="C4077" s="109" t="str">
        <f>IF(ISBLANK(K4077),IFERROR(VLOOKUP(I4077,FS_input_data!$C$458:$N$648,Export!J4077,FALSE),""),K4077)</f>
        <v/>
      </c>
      <c r="D4077" s="6"/>
      <c r="E4077" t="s">
        <v>1561</v>
      </c>
      <c r="F4077" s="6"/>
      <c r="G4077" s="115" t="b">
        <f>VLOOKUP(I4066,FS_input_noty,J4066,FALSE)=""</f>
        <v>0</v>
      </c>
      <c r="H4077" s="6" t="s">
        <v>2189</v>
      </c>
      <c r="I4077" t="s">
        <v>1561</v>
      </c>
      <c r="J4077" t="s">
        <v>1561</v>
      </c>
      <c r="L4077">
        <f t="shared" si="222"/>
        <v>1</v>
      </c>
    </row>
    <row r="4078" spans="1:12" x14ac:dyDescent="0.35">
      <c r="A4078">
        <f t="shared" si="223"/>
        <v>4077</v>
      </c>
      <c r="B4078" t="s">
        <v>754</v>
      </c>
      <c r="C4078" s="109" t="str">
        <f>IF(ISBLANK(K4078),IFERROR(VLOOKUP(I4078,FS_input_data!$C$458:$N$648,Export!J4078,FALSE),""),K4078)</f>
        <v/>
      </c>
      <c r="D4078" s="6"/>
      <c r="E4078" t="s">
        <v>1561</v>
      </c>
      <c r="F4078" s="6"/>
      <c r="G4078" s="115" t="b">
        <f>VLOOKUP(I4066,FS_input_noty,J4066,FALSE)=""</f>
        <v>0</v>
      </c>
      <c r="H4078" s="6" t="s">
        <v>2189</v>
      </c>
      <c r="I4078" t="s">
        <v>1561</v>
      </c>
      <c r="J4078" t="s">
        <v>1561</v>
      </c>
      <c r="L4078" s="9" t="e">
        <f t="shared" si="222"/>
        <v>#VALUE!</v>
      </c>
    </row>
    <row r="4079" spans="1:12" x14ac:dyDescent="0.35">
      <c r="A4079" s="9">
        <f t="shared" si="223"/>
        <v>4078</v>
      </c>
      <c r="B4079" t="s">
        <v>755</v>
      </c>
      <c r="C4079" s="109">
        <f>IF(ISBLANK(K4079),IFERROR(VLOOKUP(I4079,FS_input_data!$C$458:$N$648,Export!J4079,FALSE),""),K4079)</f>
        <v>48</v>
      </c>
      <c r="D4079" s="6" t="b">
        <v>1</v>
      </c>
      <c r="E4079" t="s">
        <v>1561</v>
      </c>
      <c r="F4079" s="6"/>
      <c r="G4079" s="115" t="b">
        <f>VLOOKUP(I4066,FS_input_noty,J4066,FALSE)=""</f>
        <v>0</v>
      </c>
      <c r="H4079" s="6" t="s">
        <v>2189</v>
      </c>
      <c r="I4079" t="s">
        <v>1906</v>
      </c>
      <c r="J4079">
        <v>2</v>
      </c>
      <c r="L4079" s="9" t="e">
        <f t="shared" si="222"/>
        <v>#VALUE!</v>
      </c>
    </row>
    <row r="4080" spans="1:12" x14ac:dyDescent="0.35">
      <c r="A4080">
        <f t="shared" si="223"/>
        <v>4079</v>
      </c>
      <c r="B4080" t="s">
        <v>756</v>
      </c>
      <c r="C4080" s="109" t="str">
        <f>IF(ISBLANK(K4080),IFERROR(VLOOKUP(I4080,FS_input_data!$C$458:$N$648,Export!J4080,FALSE),""),K4080)</f>
        <v/>
      </c>
      <c r="D4080" s="6"/>
      <c r="E4080" t="s">
        <v>1561</v>
      </c>
      <c r="F4080" s="6"/>
      <c r="G4080" s="115" t="b">
        <f>VLOOKUP(I4066,FS_input_noty,J4066,FALSE)=""</f>
        <v>0</v>
      </c>
      <c r="H4080" s="6" t="s">
        <v>2189</v>
      </c>
      <c r="I4080" t="s">
        <v>1561</v>
      </c>
      <c r="J4080" t="s">
        <v>1561</v>
      </c>
      <c r="L4080">
        <f t="shared" si="222"/>
        <v>1</v>
      </c>
    </row>
    <row r="4081" spans="1:12" x14ac:dyDescent="0.35">
      <c r="A4081" s="9">
        <f t="shared" si="223"/>
        <v>4080</v>
      </c>
      <c r="B4081" t="s">
        <v>757</v>
      </c>
      <c r="C4081" s="109">
        <f>IF(ISBLANK(K4081),IFERROR(VLOOKUP(I4081,FS_input_data!$C$458:$N$648,Export!J4081,FALSE),""),K4081)</f>
        <v>148</v>
      </c>
      <c r="D4081" s="6" t="b">
        <v>0</v>
      </c>
      <c r="E4081" t="s">
        <v>1561</v>
      </c>
      <c r="F4081" s="6"/>
      <c r="G4081" s="115" t="b">
        <f>VLOOKUP(I4066,FS_input_noty,J4066,FALSE)=""</f>
        <v>0</v>
      </c>
      <c r="H4081" s="6" t="s">
        <v>2189</v>
      </c>
      <c r="I4081" t="s">
        <v>1906</v>
      </c>
      <c r="J4081">
        <v>3</v>
      </c>
      <c r="L4081" s="9" t="e">
        <f t="shared" si="222"/>
        <v>#VALUE!</v>
      </c>
    </row>
    <row r="4082" spans="1:12" x14ac:dyDescent="0.35">
      <c r="A4082">
        <f t="shared" si="223"/>
        <v>4081</v>
      </c>
      <c r="B4082" t="s">
        <v>758</v>
      </c>
      <c r="C4082" s="109" t="str">
        <f>IF(ISBLANK(K4082),IFERROR(VLOOKUP(I4082,FS_input_data!$C$458:$N$648,Export!J4082,FALSE),""),K4082)</f>
        <v/>
      </c>
      <c r="D4082" s="6"/>
      <c r="E4082" t="s">
        <v>1561</v>
      </c>
      <c r="F4082" s="6"/>
      <c r="G4082" s="115" t="b">
        <f>VLOOKUP(I4066,FS_input_noty,J4066,FALSE)=""</f>
        <v>0</v>
      </c>
      <c r="H4082" s="6" t="s">
        <v>2189</v>
      </c>
      <c r="I4082" t="s">
        <v>1561</v>
      </c>
      <c r="J4082" t="s">
        <v>1561</v>
      </c>
      <c r="L4082">
        <f t="shared" si="222"/>
        <v>1</v>
      </c>
    </row>
    <row r="4083" spans="1:12" x14ac:dyDescent="0.35">
      <c r="A4083" s="9">
        <f t="shared" si="223"/>
        <v>4082</v>
      </c>
      <c r="B4083" t="s">
        <v>759</v>
      </c>
      <c r="C4083" s="109">
        <f>IF(ISBLANK(K4083),IFERROR(VLOOKUP(I4083,FS_input_data!$C$458:$N$648,Export!J4083,FALSE),""),K4083)</f>
        <v>248</v>
      </c>
      <c r="D4083" s="6" t="b">
        <v>0</v>
      </c>
      <c r="E4083" t="s">
        <v>1561</v>
      </c>
      <c r="F4083" s="6"/>
      <c r="G4083" s="115" t="b">
        <f>VLOOKUP(I4066,FS_input_noty,J4066,FALSE)=""</f>
        <v>0</v>
      </c>
      <c r="H4083" s="6" t="s">
        <v>2189</v>
      </c>
      <c r="I4083" t="s">
        <v>1906</v>
      </c>
      <c r="J4083">
        <v>4</v>
      </c>
      <c r="L4083" s="9" t="e">
        <f t="shared" si="222"/>
        <v>#VALUE!</v>
      </c>
    </row>
    <row r="4084" spans="1:12" x14ac:dyDescent="0.35">
      <c r="A4084">
        <f t="shared" si="223"/>
        <v>4083</v>
      </c>
      <c r="B4084" t="s">
        <v>760</v>
      </c>
      <c r="C4084" s="109" t="str">
        <f>IF(ISBLANK(K4084),IFERROR(VLOOKUP(I4084,FS_input_data!$C$458:$N$648,Export!J4084,FALSE),""),K4084)</f>
        <v/>
      </c>
      <c r="D4084" s="6"/>
      <c r="E4084" t="s">
        <v>1561</v>
      </c>
      <c r="F4084" s="6"/>
      <c r="G4084" s="115" t="b">
        <f>VLOOKUP(I4066,FS_input_noty,J4066,FALSE)=""</f>
        <v>0</v>
      </c>
      <c r="H4084" s="6" t="s">
        <v>2189</v>
      </c>
      <c r="I4084" t="s">
        <v>1561</v>
      </c>
      <c r="J4084" t="s">
        <v>1561</v>
      </c>
      <c r="L4084">
        <f t="shared" si="222"/>
        <v>1</v>
      </c>
    </row>
    <row r="4085" spans="1:12" x14ac:dyDescent="0.35">
      <c r="A4085" s="9">
        <f t="shared" si="223"/>
        <v>4084</v>
      </c>
      <c r="B4085" t="s">
        <v>761</v>
      </c>
      <c r="C4085" s="109" t="str">
        <f>IF(ISBLANK(K4085),IFERROR(VLOOKUP(I4085,FS_input_data!$C$458:$N$648,Export!J4085,FALSE),""),K4085)</f>
        <v>b</v>
      </c>
      <c r="D4085" s="6" t="b">
        <v>0</v>
      </c>
      <c r="E4085" t="s">
        <v>1561</v>
      </c>
      <c r="F4085" s="6"/>
      <c r="G4085" s="115" t="b">
        <f>VLOOKUP(I4066,FS_input_noty,J4066,FALSE)=""</f>
        <v>0</v>
      </c>
      <c r="H4085" s="6" t="s">
        <v>2189</v>
      </c>
      <c r="I4085" t="s">
        <v>1906</v>
      </c>
      <c r="J4085">
        <v>5</v>
      </c>
      <c r="L4085" s="9" t="e">
        <f t="shared" si="222"/>
        <v>#VALUE!</v>
      </c>
    </row>
    <row r="4086" spans="1:12" x14ac:dyDescent="0.35">
      <c r="A4086">
        <f t="shared" si="223"/>
        <v>4085</v>
      </c>
      <c r="B4086" t="s">
        <v>762</v>
      </c>
      <c r="C4086" s="109" t="str">
        <f>IF(ISBLANK(K4086),IFERROR(VLOOKUP(I4086,FS_input_data!$C$458:$N$648,Export!J4086,FALSE),""),K4086)</f>
        <v/>
      </c>
      <c r="D4086" s="6"/>
      <c r="E4086" t="s">
        <v>1561</v>
      </c>
      <c r="F4086" s="6"/>
      <c r="G4086" s="115" t="b">
        <f>VLOOKUP(I4066,FS_input_noty,J4066,FALSE)=""</f>
        <v>0</v>
      </c>
      <c r="H4086" s="6" t="s">
        <v>2189</v>
      </c>
      <c r="I4086" t="s">
        <v>1561</v>
      </c>
      <c r="J4086" t="s">
        <v>1561</v>
      </c>
      <c r="L4086">
        <f t="shared" si="222"/>
        <v>1</v>
      </c>
    </row>
    <row r="4087" spans="1:12" x14ac:dyDescent="0.35">
      <c r="A4087">
        <f t="shared" si="223"/>
        <v>4086</v>
      </c>
      <c r="B4087" t="s">
        <v>763</v>
      </c>
      <c r="C4087" s="109" t="str">
        <f>IF(ISBLANK(K4087),IFERROR(VLOOKUP(I4087,FS_input_data!$C$458:$N$648,Export!J4087,FALSE),""),K4087)</f>
        <v/>
      </c>
      <c r="D4087" s="6"/>
      <c r="E4087" t="s">
        <v>1561</v>
      </c>
      <c r="F4087" s="6"/>
      <c r="G4087" s="115" t="b">
        <f>VLOOKUP(I4066,FS_input_noty,J4066,FALSE)=""</f>
        <v>0</v>
      </c>
      <c r="H4087" s="6" t="s">
        <v>2189</v>
      </c>
      <c r="I4087" t="s">
        <v>1561</v>
      </c>
      <c r="J4087" t="s">
        <v>1561</v>
      </c>
      <c r="L4087">
        <f t="shared" si="222"/>
        <v>1</v>
      </c>
    </row>
    <row r="4088" spans="1:12" x14ac:dyDescent="0.35">
      <c r="A4088">
        <f t="shared" si="223"/>
        <v>4087</v>
      </c>
      <c r="B4088" t="s">
        <v>743</v>
      </c>
      <c r="C4088" s="109" t="str">
        <f>IF(ISBLANK(K4088),IFERROR(VLOOKUP(I4088,FS_input_data!$C$458:$N$648,Export!J4088,FALSE),""),K4088)</f>
        <v/>
      </c>
      <c r="D4088" s="6"/>
      <c r="E4088" t="s">
        <v>1561</v>
      </c>
      <c r="F4088" s="6"/>
      <c r="G4088" s="115" t="b">
        <f>VLOOKUP(I4066,FS_input_noty,J4066,FALSE)=""</f>
        <v>0</v>
      </c>
      <c r="H4088" s="6" t="s">
        <v>2189</v>
      </c>
      <c r="I4088" t="s">
        <v>1561</v>
      </c>
      <c r="J4088" t="s">
        <v>1561</v>
      </c>
      <c r="L4088">
        <f t="shared" si="222"/>
        <v>1</v>
      </c>
    </row>
    <row r="4089" spans="1:12" x14ac:dyDescent="0.35">
      <c r="A4089">
        <f t="shared" si="223"/>
        <v>4088</v>
      </c>
      <c r="B4089" t="s">
        <v>744</v>
      </c>
      <c r="C4089" s="109" t="str">
        <f>IF(ISBLANK(K4089),IFERROR(VLOOKUP(I4089,FS_input_data!$C$458:$N$648,Export!J4089,FALSE),""),K4089)</f>
        <v/>
      </c>
      <c r="D4089" s="6"/>
      <c r="E4089" t="s">
        <v>1561</v>
      </c>
      <c r="F4089" s="6"/>
      <c r="G4089" s="115" t="b">
        <f t="shared" ref="G4089:G4096" si="225">RP_tax</f>
        <v>1</v>
      </c>
      <c r="H4089" s="6" t="s">
        <v>2189</v>
      </c>
      <c r="I4089" t="s">
        <v>1561</v>
      </c>
      <c r="J4089" t="s">
        <v>1561</v>
      </c>
      <c r="L4089" s="9" t="e">
        <f t="shared" si="222"/>
        <v>#VALUE!</v>
      </c>
    </row>
    <row r="4090" spans="1:12" x14ac:dyDescent="0.35">
      <c r="A4090" s="9">
        <f t="shared" si="223"/>
        <v>4089</v>
      </c>
      <c r="B4090" t="s">
        <v>109</v>
      </c>
      <c r="C4090" s="109">
        <f>IF(ISBLANK(K4090),IFERROR(VLOOKUP(I4090,FS_input_data!$C$458:$N$648,Export!J4090,FALSE),""),K4090)</f>
        <v>4000</v>
      </c>
      <c r="D4090" s="6" t="b">
        <v>1</v>
      </c>
      <c r="E4090" t="s">
        <v>1561</v>
      </c>
      <c r="F4090" s="6"/>
      <c r="G4090" s="115" t="b">
        <f t="shared" si="225"/>
        <v>1</v>
      </c>
      <c r="H4090" s="6" t="s">
        <v>2189</v>
      </c>
      <c r="I4090" t="s">
        <v>1906</v>
      </c>
      <c r="J4090">
        <v>10</v>
      </c>
      <c r="L4090" s="9" t="e">
        <f t="shared" si="222"/>
        <v>#VALUE!</v>
      </c>
    </row>
    <row r="4091" spans="1:12" x14ac:dyDescent="0.35">
      <c r="A4091">
        <f t="shared" si="223"/>
        <v>4090</v>
      </c>
      <c r="B4091" t="s">
        <v>110</v>
      </c>
      <c r="C4091" s="109" t="str">
        <f>IF(ISBLANK(K4091),IFERROR(VLOOKUP(I4091,FS_input_data!$C$458:$N$648,Export!J4091,FALSE),""),K4091)</f>
        <v/>
      </c>
      <c r="D4091" s="6"/>
      <c r="E4091" t="s">
        <v>1561</v>
      </c>
      <c r="F4091" s="6"/>
      <c r="G4091" s="115" t="b">
        <f t="shared" si="225"/>
        <v>1</v>
      </c>
      <c r="H4091" s="6" t="s">
        <v>2189</v>
      </c>
      <c r="I4091" t="s">
        <v>1561</v>
      </c>
      <c r="J4091" t="s">
        <v>1561</v>
      </c>
      <c r="L4091">
        <f t="shared" si="222"/>
        <v>1</v>
      </c>
    </row>
    <row r="4092" spans="1:12" x14ac:dyDescent="0.35">
      <c r="A4092" s="9">
        <f t="shared" si="223"/>
        <v>4091</v>
      </c>
      <c r="B4092" t="s">
        <v>111</v>
      </c>
      <c r="C4092" s="109">
        <f>IF(ISBLANK(K4092),IFERROR(VLOOKUP(I4092,FS_input_data!$C$458:$N$648,Export!J4092,FALSE),""),K4092)</f>
        <v>2000</v>
      </c>
      <c r="D4092" s="6" t="b">
        <v>0</v>
      </c>
      <c r="E4092" t="s">
        <v>1561</v>
      </c>
      <c r="F4092" s="6"/>
      <c r="G4092" s="115" t="b">
        <f t="shared" si="225"/>
        <v>1</v>
      </c>
      <c r="H4092" s="6" t="s">
        <v>2189</v>
      </c>
      <c r="I4092" t="s">
        <v>1906</v>
      </c>
      <c r="J4092">
        <v>11</v>
      </c>
      <c r="L4092" s="9" t="e">
        <f t="shared" si="222"/>
        <v>#VALUE!</v>
      </c>
    </row>
    <row r="4093" spans="1:12" x14ac:dyDescent="0.35">
      <c r="A4093">
        <f t="shared" si="223"/>
        <v>4092</v>
      </c>
      <c r="B4093" t="s">
        <v>112</v>
      </c>
      <c r="C4093" s="109" t="str">
        <f>IF(ISBLANK(K4093),IFERROR(VLOOKUP(I4093,FS_input_data!$C$458:$N$648,Export!J4093,FALSE),""),K4093)</f>
        <v/>
      </c>
      <c r="D4093" s="6"/>
      <c r="E4093" t="s">
        <v>1561</v>
      </c>
      <c r="F4093" s="6"/>
      <c r="G4093" s="115" t="b">
        <f t="shared" si="225"/>
        <v>1</v>
      </c>
      <c r="H4093" s="6" t="s">
        <v>2189</v>
      </c>
      <c r="I4093" t="s">
        <v>1561</v>
      </c>
      <c r="J4093" t="s">
        <v>1561</v>
      </c>
      <c r="L4093">
        <f t="shared" si="222"/>
        <v>1</v>
      </c>
    </row>
    <row r="4094" spans="1:12" x14ac:dyDescent="0.35">
      <c r="A4094" s="9">
        <f t="shared" si="223"/>
        <v>4093</v>
      </c>
      <c r="B4094" t="s">
        <v>749</v>
      </c>
      <c r="C4094" s="109">
        <f>IF(ISBLANK(K4094),IFERROR(VLOOKUP(I4094,FS_input_data!$C$458:$N$648,Export!J4094,FALSE),""),K4094)</f>
        <v>2000</v>
      </c>
      <c r="D4094" s="6" t="b">
        <v>0</v>
      </c>
      <c r="E4094" t="s">
        <v>1561</v>
      </c>
      <c r="F4094" s="6"/>
      <c r="G4094" s="115" t="b">
        <f t="shared" si="225"/>
        <v>1</v>
      </c>
      <c r="H4094" s="6" t="s">
        <v>2189</v>
      </c>
      <c r="I4094" t="s">
        <v>1906</v>
      </c>
      <c r="J4094">
        <v>12</v>
      </c>
      <c r="L4094" s="9" t="e">
        <f t="shared" si="222"/>
        <v>#VALUE!</v>
      </c>
    </row>
    <row r="4095" spans="1:12" x14ac:dyDescent="0.35">
      <c r="A4095">
        <f t="shared" si="223"/>
        <v>4094</v>
      </c>
      <c r="B4095" t="s">
        <v>750</v>
      </c>
      <c r="C4095" s="109" t="str">
        <f>IF(ISBLANK(K4095),IFERROR(VLOOKUP(I4095,FS_input_data!$C$458:$N$648,Export!J4095,FALSE),""),K4095)</f>
        <v/>
      </c>
      <c r="D4095" s="6"/>
      <c r="E4095" t="s">
        <v>1561</v>
      </c>
      <c r="F4095" s="6"/>
      <c r="G4095" s="115" t="b">
        <f t="shared" si="225"/>
        <v>1</v>
      </c>
      <c r="H4095" s="6" t="s">
        <v>2189</v>
      </c>
      <c r="I4095" t="s">
        <v>1561</v>
      </c>
      <c r="J4095" t="s">
        <v>1561</v>
      </c>
      <c r="L4095">
        <f t="shared" si="222"/>
        <v>1</v>
      </c>
    </row>
    <row r="4096" spans="1:12" x14ac:dyDescent="0.35">
      <c r="A4096">
        <f t="shared" si="223"/>
        <v>4095</v>
      </c>
      <c r="B4096" t="s">
        <v>745</v>
      </c>
      <c r="C4096" s="109" t="str">
        <f>IF(ISBLANK(K4096),IFERROR(VLOOKUP(I4096,FS_input_data!$C$458:$N$648,Export!J4096,FALSE),""),K4096)</f>
        <v/>
      </c>
      <c r="D4096" s="6"/>
      <c r="E4096" t="s">
        <v>1561</v>
      </c>
      <c r="F4096" s="6"/>
      <c r="G4096" s="115" t="b">
        <f t="shared" si="225"/>
        <v>1</v>
      </c>
      <c r="H4096" s="6" t="s">
        <v>2189</v>
      </c>
      <c r="I4096" t="s">
        <v>1561</v>
      </c>
      <c r="J4096" t="s">
        <v>1561</v>
      </c>
      <c r="L4096">
        <f t="shared" si="222"/>
        <v>1</v>
      </c>
    </row>
    <row r="4097" spans="1:12" x14ac:dyDescent="0.35">
      <c r="A4097">
        <f t="shared" si="223"/>
        <v>4096</v>
      </c>
      <c r="B4097" t="s">
        <v>764</v>
      </c>
      <c r="C4097" s="109" t="str">
        <f>IF(ISBLANK(K4097),IFERROR(VLOOKUP(I4097,FS_input_data!$C$458:$N$648,Export!J4097,FALSE),""),K4097)</f>
        <v/>
      </c>
      <c r="D4097" s="6"/>
      <c r="E4097" t="s">
        <v>1561</v>
      </c>
      <c r="F4097" s="6"/>
      <c r="G4097" s="115" t="b">
        <f>VLOOKUP(I4066,FS_input_noty,J4066,FALSE)=""</f>
        <v>0</v>
      </c>
      <c r="H4097" s="6" t="s">
        <v>2189</v>
      </c>
      <c r="I4097" t="s">
        <v>1561</v>
      </c>
      <c r="J4097" t="s">
        <v>1561</v>
      </c>
      <c r="L4097">
        <f t="shared" si="222"/>
        <v>1</v>
      </c>
    </row>
    <row r="4098" spans="1:12" x14ac:dyDescent="0.35">
      <c r="A4098">
        <f t="shared" si="223"/>
        <v>4097</v>
      </c>
      <c r="B4098" t="s">
        <v>765</v>
      </c>
      <c r="C4098" s="109" t="str">
        <f>IF(ISBLANK(K4098),IFERROR(VLOOKUP(I4098,FS_input_data!$C$458:$N$648,Export!J4098,FALSE),""),K4098)</f>
        <v/>
      </c>
      <c r="D4098" s="6"/>
      <c r="E4098" t="s">
        <v>1561</v>
      </c>
      <c r="F4098" s="6"/>
      <c r="G4098" s="115" t="b">
        <f>VLOOKUP(I4066,FS_input_noty,J4066,FALSE)=""</f>
        <v>0</v>
      </c>
      <c r="H4098" s="6" t="s">
        <v>2189</v>
      </c>
      <c r="I4098" t="s">
        <v>1561</v>
      </c>
      <c r="J4098" t="s">
        <v>1561</v>
      </c>
      <c r="L4098">
        <f t="shared" ref="L4098:L4161" si="226">FIND("/",B4098)</f>
        <v>1</v>
      </c>
    </row>
    <row r="4099" spans="1:12" x14ac:dyDescent="0.35">
      <c r="A4099">
        <f t="shared" ref="A4099:A4162" si="227">A4098+1</f>
        <v>4098</v>
      </c>
      <c r="B4099" t="s">
        <v>752</v>
      </c>
      <c r="C4099" s="109" t="str">
        <f>IF(ISBLANK(K4099),IFERROR(VLOOKUP(I4099,FS_input_data!$C$458:$N$648,Export!J4099,FALSE),""),K4099)</f>
        <v/>
      </c>
      <c r="D4099" s="6"/>
      <c r="E4099" t="s">
        <v>1561</v>
      </c>
      <c r="F4099" s="6"/>
      <c r="G4099" s="115" t="b">
        <f>VLOOKUP(I4100,FS_input_noty,J4100,FALSE)=""</f>
        <v>0</v>
      </c>
      <c r="H4099" s="6" t="s">
        <v>2189</v>
      </c>
      <c r="I4099" t="s">
        <v>1561</v>
      </c>
      <c r="J4099" t="s">
        <v>1561</v>
      </c>
      <c r="L4099" s="9" t="e">
        <f t="shared" si="226"/>
        <v>#VALUE!</v>
      </c>
    </row>
    <row r="4100" spans="1:12" x14ac:dyDescent="0.35">
      <c r="A4100" s="9">
        <f t="shared" si="227"/>
        <v>4099</v>
      </c>
      <c r="B4100" t="s">
        <v>101</v>
      </c>
      <c r="C4100" s="109" t="str">
        <f>IF(ISBLANK(K4100),IFERROR(VLOOKUP(I4100,FS_input_data!$C$458:$N$648,Export!J4100,FALSE),""),K4100)</f>
        <v>OC27</v>
      </c>
      <c r="D4100" s="6" t="b">
        <v>1</v>
      </c>
      <c r="E4100" t="s">
        <v>1561</v>
      </c>
      <c r="F4100" s="6"/>
      <c r="G4100" s="115" t="b">
        <f>VLOOKUP(I4100,FS_input_noty,J4100,FALSE)=""</f>
        <v>0</v>
      </c>
      <c r="H4100" s="6" t="s">
        <v>2189</v>
      </c>
      <c r="I4100" t="s">
        <v>1908</v>
      </c>
      <c r="J4100">
        <v>6</v>
      </c>
      <c r="L4100" s="9" t="e">
        <f t="shared" si="226"/>
        <v>#VALUE!</v>
      </c>
    </row>
    <row r="4101" spans="1:12" x14ac:dyDescent="0.35">
      <c r="A4101">
        <f t="shared" si="227"/>
        <v>4100</v>
      </c>
      <c r="B4101" t="s">
        <v>102</v>
      </c>
      <c r="C4101" s="109" t="str">
        <f>IF(ISBLANK(K4101),IFERROR(VLOOKUP(I4101,FS_input_data!$C$458:$N$648,Export!J4101,FALSE),""),K4101)</f>
        <v/>
      </c>
      <c r="D4101" s="6"/>
      <c r="E4101" t="s">
        <v>1561</v>
      </c>
      <c r="F4101" s="6"/>
      <c r="G4101" s="115" t="b">
        <f>VLOOKUP(I4100,FS_input_noty,J4100,FALSE)=""</f>
        <v>0</v>
      </c>
      <c r="H4101" s="6" t="s">
        <v>2189</v>
      </c>
      <c r="I4101" t="s">
        <v>1561</v>
      </c>
      <c r="J4101" t="s">
        <v>1561</v>
      </c>
      <c r="L4101">
        <f t="shared" si="226"/>
        <v>1</v>
      </c>
    </row>
    <row r="4102" spans="1:12" x14ac:dyDescent="0.35">
      <c r="A4102">
        <f t="shared" si="227"/>
        <v>4101</v>
      </c>
      <c r="B4102" t="s">
        <v>753</v>
      </c>
      <c r="C4102" s="109" t="str">
        <f>IF(ISBLANK(K4102),IFERROR(VLOOKUP(I4102,FS_input_data!$C$458:$N$648,Export!J4102,FALSE),""),K4102)</f>
        <v/>
      </c>
      <c r="D4102" s="6"/>
      <c r="E4102" t="s">
        <v>1561</v>
      </c>
      <c r="F4102" s="6"/>
      <c r="G4102" s="115" t="b">
        <f>VLOOKUP(I4100,FS_input_noty,J4100,FALSE)=""</f>
        <v>0</v>
      </c>
      <c r="H4102" s="6" t="s">
        <v>2189</v>
      </c>
      <c r="I4102" t="s">
        <v>1561</v>
      </c>
      <c r="J4102" t="s">
        <v>1561</v>
      </c>
      <c r="L4102" s="9" t="e">
        <f t="shared" si="226"/>
        <v>#VALUE!</v>
      </c>
    </row>
    <row r="4103" spans="1:12" x14ac:dyDescent="0.35">
      <c r="A4103">
        <f t="shared" si="227"/>
        <v>4102</v>
      </c>
      <c r="B4103" t="s">
        <v>742</v>
      </c>
      <c r="C4103" s="109" t="str">
        <f>IF(ISBLANK(K4103),IFERROR(VLOOKUP(I4103,FS_input_data!$C$458:$N$648,Export!J4103,FALSE),""),K4103)</f>
        <v/>
      </c>
      <c r="D4103" s="6"/>
      <c r="E4103" t="s">
        <v>1561</v>
      </c>
      <c r="F4103" s="6"/>
      <c r="G4103" s="115" t="b">
        <f>VLOOKUP(I4100,FS_input_noty,J4100,FALSE)=""</f>
        <v>0</v>
      </c>
      <c r="H4103" s="6" t="s">
        <v>2189</v>
      </c>
      <c r="I4103" t="s">
        <v>1561</v>
      </c>
      <c r="J4103" t="s">
        <v>1561</v>
      </c>
      <c r="L4103" s="9" t="e">
        <f t="shared" si="226"/>
        <v>#VALUE!</v>
      </c>
    </row>
    <row r="4104" spans="1:12" x14ac:dyDescent="0.35">
      <c r="A4104">
        <f t="shared" si="227"/>
        <v>4103</v>
      </c>
      <c r="B4104" t="s">
        <v>748</v>
      </c>
      <c r="C4104" s="109" t="str">
        <f>IF(ISBLANK(K4104),IFERROR(VLOOKUP(I4104,FS_input_data!$C$458:$N$648,Export!J4104,FALSE),""),K4104)</f>
        <v/>
      </c>
      <c r="D4104" s="6"/>
      <c r="E4104" t="s">
        <v>1561</v>
      </c>
      <c r="F4104" s="6"/>
      <c r="G4104" s="115" t="b">
        <f>VLOOKUP(I4100,FS_input_noty,J4100,FALSE)=""</f>
        <v>0</v>
      </c>
      <c r="H4104" s="6" t="s">
        <v>2189</v>
      </c>
      <c r="I4104" t="s">
        <v>1561</v>
      </c>
      <c r="J4104" t="s">
        <v>1561</v>
      </c>
      <c r="L4104" s="9" t="e">
        <f t="shared" si="226"/>
        <v>#VALUE!</v>
      </c>
    </row>
    <row r="4105" spans="1:12" x14ac:dyDescent="0.35">
      <c r="A4105" s="9">
        <f t="shared" si="227"/>
        <v>4104</v>
      </c>
      <c r="B4105" t="s">
        <v>109</v>
      </c>
      <c r="C4105" s="109">
        <f>IF(ISBLANK(K4105),IFERROR(VLOOKUP(I4105,FS_input_data!$C$458:$N$648,Export!J4105,FALSE),""),K4105)</f>
        <v>5000</v>
      </c>
      <c r="D4105" s="6" t="b">
        <v>1</v>
      </c>
      <c r="E4105" t="s">
        <v>1561</v>
      </c>
      <c r="F4105" s="6"/>
      <c r="G4105" s="115" t="b">
        <f>VLOOKUP(I4100,FS_input_noty,J4100,FALSE)=""</f>
        <v>0</v>
      </c>
      <c r="H4105" s="6" t="s">
        <v>2189</v>
      </c>
      <c r="I4105" t="s">
        <v>1908</v>
      </c>
      <c r="J4105">
        <v>7</v>
      </c>
      <c r="L4105" s="9" t="e">
        <f t="shared" si="226"/>
        <v>#VALUE!</v>
      </c>
    </row>
    <row r="4106" spans="1:12" x14ac:dyDescent="0.35">
      <c r="A4106">
        <f t="shared" si="227"/>
        <v>4105</v>
      </c>
      <c r="B4106" t="s">
        <v>110</v>
      </c>
      <c r="C4106" s="109" t="str">
        <f>IF(ISBLANK(K4106),IFERROR(VLOOKUP(I4106,FS_input_data!$C$458:$N$648,Export!J4106,FALSE),""),K4106)</f>
        <v/>
      </c>
      <c r="D4106" s="6"/>
      <c r="E4106" t="s">
        <v>1561</v>
      </c>
      <c r="F4106" s="6"/>
      <c r="G4106" s="115" t="b">
        <f>VLOOKUP(I4100,FS_input_noty,J4100,FALSE)=""</f>
        <v>0</v>
      </c>
      <c r="H4106" s="6" t="s">
        <v>2189</v>
      </c>
      <c r="I4106" t="s">
        <v>1561</v>
      </c>
      <c r="J4106" t="s">
        <v>1561</v>
      </c>
      <c r="L4106">
        <f t="shared" si="226"/>
        <v>1</v>
      </c>
    </row>
    <row r="4107" spans="1:12" x14ac:dyDescent="0.35">
      <c r="A4107" s="9">
        <f t="shared" si="227"/>
        <v>4106</v>
      </c>
      <c r="B4107" t="s">
        <v>111</v>
      </c>
      <c r="C4107" s="109">
        <f>IF(ISBLANK(K4107),IFERROR(VLOOKUP(I4107,FS_input_data!$C$458:$N$648,Export!J4107,FALSE),""),K4107)</f>
        <v>2500</v>
      </c>
      <c r="D4107" s="6" t="b">
        <v>0</v>
      </c>
      <c r="E4107" t="s">
        <v>1561</v>
      </c>
      <c r="F4107" s="6"/>
      <c r="G4107" s="115" t="b">
        <f>VLOOKUP(I4100,FS_input_noty,J4100,TRUE)=""</f>
        <v>0</v>
      </c>
      <c r="H4107" s="6" t="s">
        <v>2189</v>
      </c>
      <c r="I4107" t="s">
        <v>1908</v>
      </c>
      <c r="J4107">
        <v>8</v>
      </c>
      <c r="L4107" s="9" t="e">
        <f t="shared" si="226"/>
        <v>#VALUE!</v>
      </c>
    </row>
    <row r="4108" spans="1:12" x14ac:dyDescent="0.35">
      <c r="A4108">
        <f t="shared" si="227"/>
        <v>4107</v>
      </c>
      <c r="B4108" t="s">
        <v>112</v>
      </c>
      <c r="C4108" s="109" t="str">
        <f>IF(ISBLANK(K4108),IFERROR(VLOOKUP(I4108,FS_input_data!$C$458:$N$648,Export!J4108,FALSE),""),K4108)</f>
        <v/>
      </c>
      <c r="D4108" s="6"/>
      <c r="E4108" t="s">
        <v>1561</v>
      </c>
      <c r="F4108" s="6"/>
      <c r="G4108" s="115" t="b">
        <f>VLOOKUP(I4100,FS_input_noty,J4100,FALSE)=""</f>
        <v>0</v>
      </c>
      <c r="H4108" s="6" t="s">
        <v>2189</v>
      </c>
      <c r="I4108" t="s">
        <v>1561</v>
      </c>
      <c r="J4108" t="s">
        <v>1561</v>
      </c>
      <c r="L4108">
        <f t="shared" si="226"/>
        <v>1</v>
      </c>
    </row>
    <row r="4109" spans="1:12" x14ac:dyDescent="0.35">
      <c r="A4109" s="9">
        <f t="shared" si="227"/>
        <v>4108</v>
      </c>
      <c r="B4109" t="s">
        <v>749</v>
      </c>
      <c r="C4109" s="109">
        <f>IF(ISBLANK(K4109),IFERROR(VLOOKUP(I4109,FS_input_data!$C$458:$N$648,Export!J4109,FALSE),""),K4109)</f>
        <v>2500</v>
      </c>
      <c r="D4109" s="6" t="b">
        <v>0</v>
      </c>
      <c r="E4109" t="s">
        <v>1561</v>
      </c>
      <c r="F4109" s="6"/>
      <c r="G4109" s="115" t="b">
        <f>VLOOKUP(I4100,FS_input_noty,J4100,FALSE)=""</f>
        <v>0</v>
      </c>
      <c r="H4109" s="6" t="s">
        <v>2189</v>
      </c>
      <c r="I4109" t="s">
        <v>1908</v>
      </c>
      <c r="J4109">
        <v>9</v>
      </c>
      <c r="L4109" s="9" t="e">
        <f t="shared" si="226"/>
        <v>#VALUE!</v>
      </c>
    </row>
    <row r="4110" spans="1:12" x14ac:dyDescent="0.35">
      <c r="A4110">
        <f t="shared" si="227"/>
        <v>4109</v>
      </c>
      <c r="B4110" t="s">
        <v>750</v>
      </c>
      <c r="C4110" s="109" t="str">
        <f>IF(ISBLANK(K4110),IFERROR(VLOOKUP(I4110,FS_input_data!$C$458:$N$648,Export!J4110,FALSE),""),K4110)</f>
        <v/>
      </c>
      <c r="D4110" s="6"/>
      <c r="E4110" t="s">
        <v>1561</v>
      </c>
      <c r="F4110" s="6"/>
      <c r="G4110" s="115" t="b">
        <f>VLOOKUP(I4100,FS_input_noty,J4100,FALSE)=""</f>
        <v>0</v>
      </c>
      <c r="H4110" s="6" t="s">
        <v>2189</v>
      </c>
      <c r="I4110" t="s">
        <v>1561</v>
      </c>
      <c r="J4110" t="s">
        <v>1561</v>
      </c>
      <c r="L4110">
        <f t="shared" si="226"/>
        <v>1</v>
      </c>
    </row>
    <row r="4111" spans="1:12" x14ac:dyDescent="0.35">
      <c r="A4111">
        <f t="shared" si="227"/>
        <v>4110</v>
      </c>
      <c r="B4111" t="s">
        <v>751</v>
      </c>
      <c r="C4111" s="109" t="str">
        <f>IF(ISBLANK(K4111),IFERROR(VLOOKUP(I4111,FS_input_data!$C$458:$N$648,Export!J4111,FALSE),""),K4111)</f>
        <v/>
      </c>
      <c r="D4111" s="6"/>
      <c r="E4111" t="s">
        <v>1561</v>
      </c>
      <c r="F4111" s="6"/>
      <c r="G4111" s="115" t="b">
        <f>VLOOKUP(I4100,FS_input_noty,J4100,FALSE)=""</f>
        <v>0</v>
      </c>
      <c r="H4111" s="6" t="s">
        <v>2189</v>
      </c>
      <c r="I4111" t="s">
        <v>1561</v>
      </c>
      <c r="J4111" t="s">
        <v>1561</v>
      </c>
      <c r="L4111">
        <f t="shared" si="226"/>
        <v>1</v>
      </c>
    </row>
    <row r="4112" spans="1:12" x14ac:dyDescent="0.35">
      <c r="A4112">
        <f t="shared" si="227"/>
        <v>4111</v>
      </c>
      <c r="B4112" t="s">
        <v>754</v>
      </c>
      <c r="C4112" s="109" t="str">
        <f>IF(ISBLANK(K4112),IFERROR(VLOOKUP(I4112,FS_input_data!$C$458:$N$648,Export!J4112,FALSE),""),K4112)</f>
        <v/>
      </c>
      <c r="D4112" s="6"/>
      <c r="E4112" t="s">
        <v>1561</v>
      </c>
      <c r="F4112" s="6"/>
      <c r="G4112" s="115" t="b">
        <f>VLOOKUP(I4100,FS_input_noty,J4100,FALSE)=""</f>
        <v>0</v>
      </c>
      <c r="H4112" s="6" t="s">
        <v>2189</v>
      </c>
      <c r="I4112" t="s">
        <v>1561</v>
      </c>
      <c r="J4112" t="s">
        <v>1561</v>
      </c>
      <c r="L4112" s="9" t="e">
        <f t="shared" si="226"/>
        <v>#VALUE!</v>
      </c>
    </row>
    <row r="4113" spans="1:12" x14ac:dyDescent="0.35">
      <c r="A4113" s="9">
        <f t="shared" si="227"/>
        <v>4112</v>
      </c>
      <c r="B4113" t="s">
        <v>755</v>
      </c>
      <c r="C4113" s="109">
        <f>IF(ISBLANK(K4113),IFERROR(VLOOKUP(I4113,FS_input_data!$C$458:$N$648,Export!J4113,FALSE),""),K4113)</f>
        <v>49</v>
      </c>
      <c r="D4113" s="6" t="b">
        <v>1</v>
      </c>
      <c r="E4113" t="s">
        <v>1561</v>
      </c>
      <c r="F4113" s="6"/>
      <c r="G4113" s="115" t="b">
        <f>VLOOKUP(I4100,FS_input_noty,J4100,FALSE)=""</f>
        <v>0</v>
      </c>
      <c r="H4113" s="6" t="s">
        <v>2189</v>
      </c>
      <c r="I4113" t="s">
        <v>1908</v>
      </c>
      <c r="J4113">
        <v>2</v>
      </c>
      <c r="L4113" s="9" t="e">
        <f t="shared" si="226"/>
        <v>#VALUE!</v>
      </c>
    </row>
    <row r="4114" spans="1:12" x14ac:dyDescent="0.35">
      <c r="A4114">
        <f t="shared" si="227"/>
        <v>4113</v>
      </c>
      <c r="B4114" t="s">
        <v>756</v>
      </c>
      <c r="C4114" s="109" t="str">
        <f>IF(ISBLANK(K4114),IFERROR(VLOOKUP(I4114,FS_input_data!$C$458:$N$648,Export!J4114,FALSE),""),K4114)</f>
        <v/>
      </c>
      <c r="D4114" s="6"/>
      <c r="E4114" t="s">
        <v>1561</v>
      </c>
      <c r="F4114" s="6"/>
      <c r="G4114" s="115" t="b">
        <f>VLOOKUP(I4100,FS_input_noty,J4100,FALSE)=""</f>
        <v>0</v>
      </c>
      <c r="H4114" s="6" t="s">
        <v>2189</v>
      </c>
      <c r="I4114" t="s">
        <v>1561</v>
      </c>
      <c r="J4114" t="s">
        <v>1561</v>
      </c>
      <c r="L4114">
        <f t="shared" si="226"/>
        <v>1</v>
      </c>
    </row>
    <row r="4115" spans="1:12" x14ac:dyDescent="0.35">
      <c r="A4115" s="9">
        <f t="shared" si="227"/>
        <v>4114</v>
      </c>
      <c r="B4115" t="s">
        <v>757</v>
      </c>
      <c r="C4115" s="109">
        <f>IF(ISBLANK(K4115),IFERROR(VLOOKUP(I4115,FS_input_data!$C$458:$N$648,Export!J4115,FALSE),""),K4115)</f>
        <v>149</v>
      </c>
      <c r="D4115" s="6" t="b">
        <v>0</v>
      </c>
      <c r="E4115" t="s">
        <v>1561</v>
      </c>
      <c r="F4115" s="6"/>
      <c r="G4115" s="115" t="b">
        <f>VLOOKUP(I4100,FS_input_noty,J4100,FALSE)=""</f>
        <v>0</v>
      </c>
      <c r="H4115" s="6" t="s">
        <v>2189</v>
      </c>
      <c r="I4115" t="s">
        <v>1908</v>
      </c>
      <c r="J4115">
        <v>3</v>
      </c>
      <c r="L4115" s="9" t="e">
        <f t="shared" si="226"/>
        <v>#VALUE!</v>
      </c>
    </row>
    <row r="4116" spans="1:12" x14ac:dyDescent="0.35">
      <c r="A4116">
        <f t="shared" si="227"/>
        <v>4115</v>
      </c>
      <c r="B4116" t="s">
        <v>758</v>
      </c>
      <c r="C4116" s="109" t="str">
        <f>IF(ISBLANK(K4116),IFERROR(VLOOKUP(I4116,FS_input_data!$C$458:$N$648,Export!J4116,FALSE),""),K4116)</f>
        <v/>
      </c>
      <c r="D4116" s="6"/>
      <c r="E4116" t="s">
        <v>1561</v>
      </c>
      <c r="F4116" s="6"/>
      <c r="G4116" s="115" t="b">
        <f>VLOOKUP(I4100,FS_input_noty,J4100,FALSE)=""</f>
        <v>0</v>
      </c>
      <c r="H4116" s="6" t="s">
        <v>2189</v>
      </c>
      <c r="I4116" t="s">
        <v>1561</v>
      </c>
      <c r="J4116" t="s">
        <v>1561</v>
      </c>
      <c r="L4116">
        <f t="shared" si="226"/>
        <v>1</v>
      </c>
    </row>
    <row r="4117" spans="1:12" x14ac:dyDescent="0.35">
      <c r="A4117" s="9">
        <f t="shared" si="227"/>
        <v>4116</v>
      </c>
      <c r="B4117" t="s">
        <v>759</v>
      </c>
      <c r="C4117" s="109">
        <f>IF(ISBLANK(K4117),IFERROR(VLOOKUP(I4117,FS_input_data!$C$458:$N$648,Export!J4117,FALSE),""),K4117)</f>
        <v>249</v>
      </c>
      <c r="D4117" s="6" t="b">
        <v>0</v>
      </c>
      <c r="E4117" t="s">
        <v>1561</v>
      </c>
      <c r="F4117" s="6"/>
      <c r="G4117" s="115" t="b">
        <f>VLOOKUP(I4100,FS_input_noty,J4100,FALSE)=""</f>
        <v>0</v>
      </c>
      <c r="H4117" s="6" t="s">
        <v>2189</v>
      </c>
      <c r="I4117" t="s">
        <v>1908</v>
      </c>
      <c r="J4117">
        <v>4</v>
      </c>
      <c r="L4117" s="9" t="e">
        <f t="shared" si="226"/>
        <v>#VALUE!</v>
      </c>
    </row>
    <row r="4118" spans="1:12" x14ac:dyDescent="0.35">
      <c r="A4118">
        <f t="shared" si="227"/>
        <v>4117</v>
      </c>
      <c r="B4118" t="s">
        <v>760</v>
      </c>
      <c r="C4118" s="109" t="str">
        <f>IF(ISBLANK(K4118),IFERROR(VLOOKUP(I4118,FS_input_data!$C$458:$N$648,Export!J4118,FALSE),""),K4118)</f>
        <v/>
      </c>
      <c r="D4118" s="6"/>
      <c r="E4118" t="s">
        <v>1561</v>
      </c>
      <c r="F4118" s="6"/>
      <c r="G4118" s="115" t="b">
        <f>VLOOKUP(I4100,FS_input_noty,J4100,FALSE)=""</f>
        <v>0</v>
      </c>
      <c r="H4118" s="6" t="s">
        <v>2189</v>
      </c>
      <c r="I4118" t="s">
        <v>1561</v>
      </c>
      <c r="J4118" t="s">
        <v>1561</v>
      </c>
      <c r="L4118">
        <f t="shared" si="226"/>
        <v>1</v>
      </c>
    </row>
    <row r="4119" spans="1:12" x14ac:dyDescent="0.35">
      <c r="A4119" s="9">
        <f t="shared" si="227"/>
        <v>4118</v>
      </c>
      <c r="B4119" t="s">
        <v>761</v>
      </c>
      <c r="C4119" s="109" t="str">
        <f>IF(ISBLANK(K4119),IFERROR(VLOOKUP(I4119,FS_input_data!$C$458:$N$648,Export!J4119,FALSE),""),K4119)</f>
        <v>c</v>
      </c>
      <c r="D4119" s="6" t="b">
        <v>0</v>
      </c>
      <c r="E4119" t="s">
        <v>1561</v>
      </c>
      <c r="F4119" s="6"/>
      <c r="G4119" s="115" t="b">
        <f>VLOOKUP(I4100,FS_input_noty,J4100,FALSE)=""</f>
        <v>0</v>
      </c>
      <c r="H4119" s="6" t="s">
        <v>2189</v>
      </c>
      <c r="I4119" t="s">
        <v>1908</v>
      </c>
      <c r="J4119">
        <v>5</v>
      </c>
      <c r="L4119" s="9" t="e">
        <f t="shared" si="226"/>
        <v>#VALUE!</v>
      </c>
    </row>
    <row r="4120" spans="1:12" x14ac:dyDescent="0.35">
      <c r="A4120">
        <f t="shared" si="227"/>
        <v>4119</v>
      </c>
      <c r="B4120" t="s">
        <v>762</v>
      </c>
      <c r="C4120" s="109" t="str">
        <f>IF(ISBLANK(K4120),IFERROR(VLOOKUP(I4120,FS_input_data!$C$458:$N$648,Export!J4120,FALSE),""),K4120)</f>
        <v/>
      </c>
      <c r="D4120" s="6"/>
      <c r="E4120" t="s">
        <v>1561</v>
      </c>
      <c r="F4120" s="6"/>
      <c r="G4120" s="115" t="b">
        <f>VLOOKUP(I4100,FS_input_noty,J4100,FALSE)=""</f>
        <v>0</v>
      </c>
      <c r="H4120" s="6" t="s">
        <v>2189</v>
      </c>
      <c r="I4120" t="s">
        <v>1561</v>
      </c>
      <c r="J4120" t="s">
        <v>1561</v>
      </c>
      <c r="L4120">
        <f t="shared" si="226"/>
        <v>1</v>
      </c>
    </row>
    <row r="4121" spans="1:12" x14ac:dyDescent="0.35">
      <c r="A4121">
        <f t="shared" si="227"/>
        <v>4120</v>
      </c>
      <c r="B4121" t="s">
        <v>763</v>
      </c>
      <c r="C4121" s="109" t="str">
        <f>IF(ISBLANK(K4121),IFERROR(VLOOKUP(I4121,FS_input_data!$C$458:$N$648,Export!J4121,FALSE),""),K4121)</f>
        <v/>
      </c>
      <c r="D4121" s="6"/>
      <c r="E4121" t="s">
        <v>1561</v>
      </c>
      <c r="F4121" s="6"/>
      <c r="G4121" s="115" t="b">
        <f>VLOOKUP(I4100,FS_input_noty,J4100,FALSE)=""</f>
        <v>0</v>
      </c>
      <c r="H4121" s="6" t="s">
        <v>2189</v>
      </c>
      <c r="I4121" t="s">
        <v>1561</v>
      </c>
      <c r="J4121" t="s">
        <v>1561</v>
      </c>
      <c r="L4121">
        <f t="shared" si="226"/>
        <v>1</v>
      </c>
    </row>
    <row r="4122" spans="1:12" x14ac:dyDescent="0.35">
      <c r="A4122">
        <f t="shared" si="227"/>
        <v>4121</v>
      </c>
      <c r="B4122" t="s">
        <v>743</v>
      </c>
      <c r="C4122" s="109" t="str">
        <f>IF(ISBLANK(K4122),IFERROR(VLOOKUP(I4122,FS_input_data!$C$458:$N$648,Export!J4122,FALSE),""),K4122)</f>
        <v/>
      </c>
      <c r="D4122" s="6"/>
      <c r="E4122" t="s">
        <v>1561</v>
      </c>
      <c r="F4122" s="6"/>
      <c r="G4122" s="115" t="b">
        <f>VLOOKUP(I4100,FS_input_noty,J4100,FALSE)=""</f>
        <v>0</v>
      </c>
      <c r="H4122" s="6" t="s">
        <v>2189</v>
      </c>
      <c r="I4122" t="s">
        <v>1561</v>
      </c>
      <c r="J4122" t="s">
        <v>1561</v>
      </c>
      <c r="L4122">
        <f t="shared" si="226"/>
        <v>1</v>
      </c>
    </row>
    <row r="4123" spans="1:12" x14ac:dyDescent="0.35">
      <c r="A4123">
        <f t="shared" si="227"/>
        <v>4122</v>
      </c>
      <c r="B4123" t="s">
        <v>744</v>
      </c>
      <c r="C4123" s="109" t="str">
        <f>IF(ISBLANK(K4123),IFERROR(VLOOKUP(I4123,FS_input_data!$C$458:$N$648,Export!J4123,FALSE),""),K4123)</f>
        <v/>
      </c>
      <c r="D4123" s="6"/>
      <c r="E4123" t="s">
        <v>1561</v>
      </c>
      <c r="F4123" s="6"/>
      <c r="G4123" s="115" t="b">
        <f t="shared" ref="G4123:G4130" si="228">RP_tax</f>
        <v>1</v>
      </c>
      <c r="H4123" s="6" t="s">
        <v>2189</v>
      </c>
      <c r="I4123" t="s">
        <v>1561</v>
      </c>
      <c r="J4123" t="s">
        <v>1561</v>
      </c>
      <c r="L4123" s="9" t="e">
        <f t="shared" si="226"/>
        <v>#VALUE!</v>
      </c>
    </row>
    <row r="4124" spans="1:12" x14ac:dyDescent="0.35">
      <c r="A4124" s="9">
        <f t="shared" si="227"/>
        <v>4123</v>
      </c>
      <c r="B4124" t="s">
        <v>109</v>
      </c>
      <c r="C4124" s="109">
        <f>IF(ISBLANK(K4124),IFERROR(VLOOKUP(I4124,FS_input_data!$C$458:$N$648,Export!J4124,FALSE),""),K4124)</f>
        <v>5000</v>
      </c>
      <c r="D4124" s="6" t="b">
        <v>1</v>
      </c>
      <c r="E4124" t="s">
        <v>1561</v>
      </c>
      <c r="F4124" s="6"/>
      <c r="G4124" s="115" t="b">
        <f t="shared" si="228"/>
        <v>1</v>
      </c>
      <c r="H4124" s="6" t="s">
        <v>2189</v>
      </c>
      <c r="I4124" t="s">
        <v>1908</v>
      </c>
      <c r="J4124">
        <v>10</v>
      </c>
      <c r="L4124" s="9" t="e">
        <f t="shared" si="226"/>
        <v>#VALUE!</v>
      </c>
    </row>
    <row r="4125" spans="1:12" x14ac:dyDescent="0.35">
      <c r="A4125">
        <f t="shared" si="227"/>
        <v>4124</v>
      </c>
      <c r="B4125" t="s">
        <v>110</v>
      </c>
      <c r="C4125" s="109" t="str">
        <f>IF(ISBLANK(K4125),IFERROR(VLOOKUP(I4125,FS_input_data!$C$458:$N$648,Export!J4125,FALSE),""),K4125)</f>
        <v/>
      </c>
      <c r="D4125" s="6"/>
      <c r="E4125" t="s">
        <v>1561</v>
      </c>
      <c r="F4125" s="6"/>
      <c r="G4125" s="115" t="b">
        <f t="shared" si="228"/>
        <v>1</v>
      </c>
      <c r="H4125" s="6" t="s">
        <v>2189</v>
      </c>
      <c r="I4125" t="s">
        <v>1561</v>
      </c>
      <c r="J4125" t="s">
        <v>1561</v>
      </c>
      <c r="L4125">
        <f t="shared" si="226"/>
        <v>1</v>
      </c>
    </row>
    <row r="4126" spans="1:12" x14ac:dyDescent="0.35">
      <c r="A4126" s="9">
        <f t="shared" si="227"/>
        <v>4125</v>
      </c>
      <c r="B4126" t="s">
        <v>111</v>
      </c>
      <c r="C4126" s="109">
        <f>IF(ISBLANK(K4126),IFERROR(VLOOKUP(I4126,FS_input_data!$C$458:$N$648,Export!J4126,FALSE),""),K4126)</f>
        <v>2500</v>
      </c>
      <c r="D4126" s="6" t="b">
        <v>0</v>
      </c>
      <c r="E4126" t="s">
        <v>1561</v>
      </c>
      <c r="F4126" s="6"/>
      <c r="G4126" s="115" t="b">
        <f t="shared" si="228"/>
        <v>1</v>
      </c>
      <c r="H4126" s="6" t="s">
        <v>2189</v>
      </c>
      <c r="I4126" t="s">
        <v>1908</v>
      </c>
      <c r="J4126">
        <v>11</v>
      </c>
      <c r="L4126" s="9" t="e">
        <f t="shared" si="226"/>
        <v>#VALUE!</v>
      </c>
    </row>
    <row r="4127" spans="1:12" x14ac:dyDescent="0.35">
      <c r="A4127">
        <f t="shared" si="227"/>
        <v>4126</v>
      </c>
      <c r="B4127" t="s">
        <v>112</v>
      </c>
      <c r="C4127" s="109" t="str">
        <f>IF(ISBLANK(K4127),IFERROR(VLOOKUP(I4127,FS_input_data!$C$458:$N$648,Export!J4127,FALSE),""),K4127)</f>
        <v/>
      </c>
      <c r="D4127" s="6"/>
      <c r="E4127" t="s">
        <v>1561</v>
      </c>
      <c r="F4127" s="6"/>
      <c r="G4127" s="115" t="b">
        <f t="shared" si="228"/>
        <v>1</v>
      </c>
      <c r="H4127" s="6" t="s">
        <v>2189</v>
      </c>
      <c r="I4127" t="s">
        <v>1561</v>
      </c>
      <c r="J4127" t="s">
        <v>1561</v>
      </c>
      <c r="L4127">
        <f t="shared" si="226"/>
        <v>1</v>
      </c>
    </row>
    <row r="4128" spans="1:12" x14ac:dyDescent="0.35">
      <c r="A4128" s="9">
        <f t="shared" si="227"/>
        <v>4127</v>
      </c>
      <c r="B4128" t="s">
        <v>749</v>
      </c>
      <c r="C4128" s="109">
        <f>IF(ISBLANK(K4128),IFERROR(VLOOKUP(I4128,FS_input_data!$C$458:$N$648,Export!J4128,FALSE),""),K4128)</f>
        <v>2500</v>
      </c>
      <c r="D4128" s="6" t="b">
        <v>0</v>
      </c>
      <c r="E4128" t="s">
        <v>1561</v>
      </c>
      <c r="F4128" s="6"/>
      <c r="G4128" s="115" t="b">
        <f t="shared" si="228"/>
        <v>1</v>
      </c>
      <c r="H4128" s="6" t="s">
        <v>2189</v>
      </c>
      <c r="I4128" t="s">
        <v>1908</v>
      </c>
      <c r="J4128">
        <v>12</v>
      </c>
      <c r="L4128" s="9" t="e">
        <f t="shared" si="226"/>
        <v>#VALUE!</v>
      </c>
    </row>
    <row r="4129" spans="1:12" x14ac:dyDescent="0.35">
      <c r="A4129">
        <f t="shared" si="227"/>
        <v>4128</v>
      </c>
      <c r="B4129" t="s">
        <v>750</v>
      </c>
      <c r="C4129" s="109" t="str">
        <f>IF(ISBLANK(K4129),IFERROR(VLOOKUP(I4129,FS_input_data!$C$458:$N$648,Export!J4129,FALSE),""),K4129)</f>
        <v/>
      </c>
      <c r="D4129" s="6"/>
      <c r="E4129" t="s">
        <v>1561</v>
      </c>
      <c r="F4129" s="6"/>
      <c r="G4129" s="115" t="b">
        <f t="shared" si="228"/>
        <v>1</v>
      </c>
      <c r="H4129" s="6" t="s">
        <v>2189</v>
      </c>
      <c r="I4129" t="s">
        <v>1561</v>
      </c>
      <c r="J4129" t="s">
        <v>1561</v>
      </c>
      <c r="L4129">
        <f t="shared" si="226"/>
        <v>1</v>
      </c>
    </row>
    <row r="4130" spans="1:12" x14ac:dyDescent="0.35">
      <c r="A4130">
        <f t="shared" si="227"/>
        <v>4129</v>
      </c>
      <c r="B4130" t="s">
        <v>745</v>
      </c>
      <c r="C4130" s="109" t="str">
        <f>IF(ISBLANK(K4130),IFERROR(VLOOKUP(I4130,FS_input_data!$C$458:$N$648,Export!J4130,FALSE),""),K4130)</f>
        <v/>
      </c>
      <c r="D4130" s="6"/>
      <c r="E4130" t="s">
        <v>1561</v>
      </c>
      <c r="F4130" s="6"/>
      <c r="G4130" s="115" t="b">
        <f t="shared" si="228"/>
        <v>1</v>
      </c>
      <c r="H4130" s="6" t="s">
        <v>2189</v>
      </c>
      <c r="I4130" t="s">
        <v>1561</v>
      </c>
      <c r="J4130" t="s">
        <v>1561</v>
      </c>
      <c r="L4130">
        <f t="shared" si="226"/>
        <v>1</v>
      </c>
    </row>
    <row r="4131" spans="1:12" x14ac:dyDescent="0.35">
      <c r="A4131">
        <f t="shared" si="227"/>
        <v>4130</v>
      </c>
      <c r="B4131" t="s">
        <v>764</v>
      </c>
      <c r="C4131" s="109" t="str">
        <f>IF(ISBLANK(K4131),IFERROR(VLOOKUP(I4131,FS_input_data!$C$458:$N$648,Export!J4131,FALSE),""),K4131)</f>
        <v/>
      </c>
      <c r="D4131" s="6"/>
      <c r="E4131" t="s">
        <v>1561</v>
      </c>
      <c r="F4131" s="6"/>
      <c r="G4131" s="115" t="b">
        <f>VLOOKUP(I4100,FS_input_noty,J4100,FALSE)=""</f>
        <v>0</v>
      </c>
      <c r="H4131" s="6" t="s">
        <v>2189</v>
      </c>
      <c r="I4131" t="s">
        <v>1561</v>
      </c>
      <c r="J4131" t="s">
        <v>1561</v>
      </c>
      <c r="L4131">
        <f t="shared" si="226"/>
        <v>1</v>
      </c>
    </row>
    <row r="4132" spans="1:12" x14ac:dyDescent="0.35">
      <c r="A4132">
        <f t="shared" si="227"/>
        <v>4131</v>
      </c>
      <c r="B4132" t="s">
        <v>765</v>
      </c>
      <c r="C4132" s="109" t="str">
        <f>IF(ISBLANK(K4132),IFERROR(VLOOKUP(I4132,FS_input_data!$C$458:$N$648,Export!J4132,FALSE),""),K4132)</f>
        <v/>
      </c>
      <c r="D4132" s="6"/>
      <c r="E4132" t="s">
        <v>1561</v>
      </c>
      <c r="F4132" s="6"/>
      <c r="G4132" s="115" t="b">
        <f>VLOOKUP(I4100,FS_input_noty,J4100,FALSE)=""</f>
        <v>0</v>
      </c>
      <c r="H4132" s="6" t="s">
        <v>2189</v>
      </c>
      <c r="I4132" t="s">
        <v>1561</v>
      </c>
      <c r="J4132" t="s">
        <v>1561</v>
      </c>
      <c r="L4132">
        <f t="shared" si="226"/>
        <v>1</v>
      </c>
    </row>
    <row r="4133" spans="1:12" x14ac:dyDescent="0.35">
      <c r="A4133">
        <f t="shared" si="227"/>
        <v>4132</v>
      </c>
      <c r="B4133" t="s">
        <v>752</v>
      </c>
      <c r="C4133" s="109" t="str">
        <f>IF(ISBLANK(K4133),IFERROR(VLOOKUP(I4133,FS_input_data!$C$458:$N$648,Export!J4133,FALSE),""),K4133)</f>
        <v/>
      </c>
      <c r="D4133" s="6"/>
      <c r="E4133" t="s">
        <v>1561</v>
      </c>
      <c r="F4133" s="6"/>
      <c r="G4133" s="115" t="b">
        <f>VLOOKUP(I4134,FS_input_noty,J4134,FALSE)=""</f>
        <v>0</v>
      </c>
      <c r="H4133" s="6" t="s">
        <v>2189</v>
      </c>
      <c r="I4133" t="s">
        <v>1561</v>
      </c>
      <c r="J4133" t="s">
        <v>1561</v>
      </c>
      <c r="L4133" s="9" t="e">
        <f t="shared" si="226"/>
        <v>#VALUE!</v>
      </c>
    </row>
    <row r="4134" spans="1:12" x14ac:dyDescent="0.35">
      <c r="A4134" s="9">
        <f t="shared" si="227"/>
        <v>4133</v>
      </c>
      <c r="B4134" t="s">
        <v>101</v>
      </c>
      <c r="C4134" s="109" t="str">
        <f>IF(ISBLANK(K4134),IFERROR(VLOOKUP(I4134,FS_input_data!$C$458:$N$648,Export!J4134,FALSE),""),K4134)</f>
        <v>OC28</v>
      </c>
      <c r="D4134" s="6" t="b">
        <v>1</v>
      </c>
      <c r="E4134" t="s">
        <v>1561</v>
      </c>
      <c r="F4134" s="6"/>
      <c r="G4134" s="115" t="b">
        <f>VLOOKUP(I4134,FS_input_noty,J4134,FALSE)=""</f>
        <v>0</v>
      </c>
      <c r="H4134" s="6" t="s">
        <v>2189</v>
      </c>
      <c r="I4134" t="s">
        <v>1910</v>
      </c>
      <c r="J4134">
        <v>6</v>
      </c>
      <c r="L4134" s="9" t="e">
        <f t="shared" si="226"/>
        <v>#VALUE!</v>
      </c>
    </row>
    <row r="4135" spans="1:12" x14ac:dyDescent="0.35">
      <c r="A4135">
        <f t="shared" si="227"/>
        <v>4134</v>
      </c>
      <c r="B4135" t="s">
        <v>102</v>
      </c>
      <c r="C4135" s="109" t="str">
        <f>IF(ISBLANK(K4135),IFERROR(VLOOKUP(I4135,FS_input_data!$C$458:$N$648,Export!J4135,FALSE),""),K4135)</f>
        <v/>
      </c>
      <c r="D4135" s="6"/>
      <c r="E4135" t="s">
        <v>1561</v>
      </c>
      <c r="F4135" s="6"/>
      <c r="G4135" s="115" t="b">
        <f>VLOOKUP(I4134,FS_input_noty,J4134,FALSE)=""</f>
        <v>0</v>
      </c>
      <c r="H4135" s="6" t="s">
        <v>2189</v>
      </c>
      <c r="I4135" t="s">
        <v>1561</v>
      </c>
      <c r="J4135" t="s">
        <v>1561</v>
      </c>
      <c r="L4135">
        <f t="shared" si="226"/>
        <v>1</v>
      </c>
    </row>
    <row r="4136" spans="1:12" x14ac:dyDescent="0.35">
      <c r="A4136">
        <f t="shared" si="227"/>
        <v>4135</v>
      </c>
      <c r="B4136" t="s">
        <v>753</v>
      </c>
      <c r="C4136" s="109" t="str">
        <f>IF(ISBLANK(K4136),IFERROR(VLOOKUP(I4136,FS_input_data!$C$458:$N$648,Export!J4136,FALSE),""),K4136)</f>
        <v/>
      </c>
      <c r="D4136" s="6"/>
      <c r="E4136" t="s">
        <v>1561</v>
      </c>
      <c r="F4136" s="6"/>
      <c r="G4136" s="115" t="b">
        <f>VLOOKUP(I4134,FS_input_noty,J4134,FALSE)=""</f>
        <v>0</v>
      </c>
      <c r="H4136" s="6" t="s">
        <v>2189</v>
      </c>
      <c r="I4136" t="s">
        <v>1561</v>
      </c>
      <c r="J4136" t="s">
        <v>1561</v>
      </c>
      <c r="L4136" s="9" t="e">
        <f t="shared" si="226"/>
        <v>#VALUE!</v>
      </c>
    </row>
    <row r="4137" spans="1:12" x14ac:dyDescent="0.35">
      <c r="A4137">
        <f t="shared" si="227"/>
        <v>4136</v>
      </c>
      <c r="B4137" t="s">
        <v>742</v>
      </c>
      <c r="C4137" s="109" t="str">
        <f>IF(ISBLANK(K4137),IFERROR(VLOOKUP(I4137,FS_input_data!$C$458:$N$648,Export!J4137,FALSE),""),K4137)</f>
        <v/>
      </c>
      <c r="D4137" s="6"/>
      <c r="E4137" t="s">
        <v>1561</v>
      </c>
      <c r="F4137" s="6"/>
      <c r="G4137" s="115" t="b">
        <f>VLOOKUP(I4134,FS_input_noty,J4134,FALSE)=""</f>
        <v>0</v>
      </c>
      <c r="H4137" s="6" t="s">
        <v>2189</v>
      </c>
      <c r="I4137" t="s">
        <v>1561</v>
      </c>
      <c r="J4137" t="s">
        <v>1561</v>
      </c>
      <c r="L4137" s="9" t="e">
        <f t="shared" si="226"/>
        <v>#VALUE!</v>
      </c>
    </row>
    <row r="4138" spans="1:12" x14ac:dyDescent="0.35">
      <c r="A4138">
        <f t="shared" si="227"/>
        <v>4137</v>
      </c>
      <c r="B4138" t="s">
        <v>748</v>
      </c>
      <c r="C4138" s="109" t="str">
        <f>IF(ISBLANK(K4138),IFERROR(VLOOKUP(I4138,FS_input_data!$C$458:$N$648,Export!J4138,FALSE),""),K4138)</f>
        <v/>
      </c>
      <c r="D4138" s="6"/>
      <c r="E4138" t="s">
        <v>1561</v>
      </c>
      <c r="F4138" s="6"/>
      <c r="G4138" s="115" t="b">
        <f>VLOOKUP(I4134,FS_input_noty,J4134,FALSE)=""</f>
        <v>0</v>
      </c>
      <c r="H4138" s="6" t="s">
        <v>2189</v>
      </c>
      <c r="I4138" t="s">
        <v>1561</v>
      </c>
      <c r="J4138" t="s">
        <v>1561</v>
      </c>
      <c r="L4138" s="9" t="e">
        <f t="shared" si="226"/>
        <v>#VALUE!</v>
      </c>
    </row>
    <row r="4139" spans="1:12" x14ac:dyDescent="0.35">
      <c r="A4139" s="9">
        <f t="shared" si="227"/>
        <v>4138</v>
      </c>
      <c r="B4139" t="s">
        <v>109</v>
      </c>
      <c r="C4139" s="109">
        <f>IF(ISBLANK(K4139),IFERROR(VLOOKUP(I4139,FS_input_data!$C$458:$N$648,Export!J4139,FALSE),""),K4139)</f>
        <v>6000</v>
      </c>
      <c r="D4139" s="6" t="b">
        <v>1</v>
      </c>
      <c r="E4139" t="s">
        <v>1561</v>
      </c>
      <c r="F4139" s="6"/>
      <c r="G4139" s="115" t="b">
        <f>VLOOKUP(I4134,FS_input_noty,J4134,FALSE)=""</f>
        <v>0</v>
      </c>
      <c r="H4139" s="6" t="s">
        <v>2189</v>
      </c>
      <c r="I4139" t="s">
        <v>1910</v>
      </c>
      <c r="J4139">
        <v>7</v>
      </c>
      <c r="L4139" s="9" t="e">
        <f t="shared" si="226"/>
        <v>#VALUE!</v>
      </c>
    </row>
    <row r="4140" spans="1:12" x14ac:dyDescent="0.35">
      <c r="A4140">
        <f t="shared" si="227"/>
        <v>4139</v>
      </c>
      <c r="B4140" t="s">
        <v>110</v>
      </c>
      <c r="C4140" s="109" t="str">
        <f>IF(ISBLANK(K4140),IFERROR(VLOOKUP(I4140,FS_input_data!$C$458:$N$648,Export!J4140,FALSE),""),K4140)</f>
        <v/>
      </c>
      <c r="D4140" s="6"/>
      <c r="E4140" t="s">
        <v>1561</v>
      </c>
      <c r="F4140" s="6"/>
      <c r="G4140" s="115" t="b">
        <f>VLOOKUP(I4134,FS_input_noty,J4134,FALSE)=""</f>
        <v>0</v>
      </c>
      <c r="H4140" s="6" t="s">
        <v>2189</v>
      </c>
      <c r="I4140" t="s">
        <v>1561</v>
      </c>
      <c r="J4140" t="s">
        <v>1561</v>
      </c>
      <c r="L4140">
        <f t="shared" si="226"/>
        <v>1</v>
      </c>
    </row>
    <row r="4141" spans="1:12" x14ac:dyDescent="0.35">
      <c r="A4141" s="9">
        <f t="shared" si="227"/>
        <v>4140</v>
      </c>
      <c r="B4141" t="s">
        <v>111</v>
      </c>
      <c r="C4141" s="109">
        <f>IF(ISBLANK(K4141),IFERROR(VLOOKUP(I4141,FS_input_data!$C$458:$N$648,Export!J4141,FALSE),""),K4141)</f>
        <v>3000</v>
      </c>
      <c r="D4141" s="6" t="b">
        <v>0</v>
      </c>
      <c r="E4141" t="s">
        <v>1561</v>
      </c>
      <c r="F4141" s="6"/>
      <c r="G4141" s="115" t="b">
        <f>VLOOKUP(I4134,FS_input_noty,J4134,TRUE)=""</f>
        <v>0</v>
      </c>
      <c r="H4141" s="6" t="s">
        <v>2189</v>
      </c>
      <c r="I4141" t="s">
        <v>1910</v>
      </c>
      <c r="J4141">
        <v>8</v>
      </c>
      <c r="L4141" s="9" t="e">
        <f t="shared" si="226"/>
        <v>#VALUE!</v>
      </c>
    </row>
    <row r="4142" spans="1:12" x14ac:dyDescent="0.35">
      <c r="A4142">
        <f t="shared" si="227"/>
        <v>4141</v>
      </c>
      <c r="B4142" t="s">
        <v>112</v>
      </c>
      <c r="C4142" s="109" t="str">
        <f>IF(ISBLANK(K4142),IFERROR(VLOOKUP(I4142,FS_input_data!$C$458:$N$648,Export!J4142,FALSE),""),K4142)</f>
        <v/>
      </c>
      <c r="D4142" s="6"/>
      <c r="E4142" t="s">
        <v>1561</v>
      </c>
      <c r="F4142" s="6"/>
      <c r="G4142" s="115" t="b">
        <f>VLOOKUP(I4134,FS_input_noty,J4134,FALSE)=""</f>
        <v>0</v>
      </c>
      <c r="H4142" s="6" t="s">
        <v>2189</v>
      </c>
      <c r="I4142" t="s">
        <v>1561</v>
      </c>
      <c r="J4142" t="s">
        <v>1561</v>
      </c>
      <c r="L4142">
        <f t="shared" si="226"/>
        <v>1</v>
      </c>
    </row>
    <row r="4143" spans="1:12" x14ac:dyDescent="0.35">
      <c r="A4143" s="9">
        <f t="shared" si="227"/>
        <v>4142</v>
      </c>
      <c r="B4143" t="s">
        <v>749</v>
      </c>
      <c r="C4143" s="109">
        <f>IF(ISBLANK(K4143),IFERROR(VLOOKUP(I4143,FS_input_data!$C$458:$N$648,Export!J4143,FALSE),""),K4143)</f>
        <v>3000</v>
      </c>
      <c r="D4143" s="6" t="b">
        <v>0</v>
      </c>
      <c r="E4143" t="s">
        <v>1561</v>
      </c>
      <c r="F4143" s="6"/>
      <c r="G4143" s="115" t="b">
        <f>VLOOKUP(I4134,FS_input_noty,J4134,FALSE)=""</f>
        <v>0</v>
      </c>
      <c r="H4143" s="6" t="s">
        <v>2189</v>
      </c>
      <c r="I4143" t="s">
        <v>1910</v>
      </c>
      <c r="J4143">
        <v>9</v>
      </c>
      <c r="L4143" s="9" t="e">
        <f t="shared" si="226"/>
        <v>#VALUE!</v>
      </c>
    </row>
    <row r="4144" spans="1:12" x14ac:dyDescent="0.35">
      <c r="A4144">
        <f t="shared" si="227"/>
        <v>4143</v>
      </c>
      <c r="B4144" t="s">
        <v>750</v>
      </c>
      <c r="C4144" s="109" t="str">
        <f>IF(ISBLANK(K4144),IFERROR(VLOOKUP(I4144,FS_input_data!$C$458:$N$648,Export!J4144,FALSE),""),K4144)</f>
        <v/>
      </c>
      <c r="D4144" s="6"/>
      <c r="E4144" t="s">
        <v>1561</v>
      </c>
      <c r="F4144" s="6"/>
      <c r="G4144" s="115" t="b">
        <f>VLOOKUP(I4134,FS_input_noty,J4134,FALSE)=""</f>
        <v>0</v>
      </c>
      <c r="H4144" s="6" t="s">
        <v>2189</v>
      </c>
      <c r="I4144" t="s">
        <v>1561</v>
      </c>
      <c r="J4144" t="s">
        <v>1561</v>
      </c>
      <c r="L4144">
        <f t="shared" si="226"/>
        <v>1</v>
      </c>
    </row>
    <row r="4145" spans="1:12" x14ac:dyDescent="0.35">
      <c r="A4145">
        <f t="shared" si="227"/>
        <v>4144</v>
      </c>
      <c r="B4145" t="s">
        <v>751</v>
      </c>
      <c r="C4145" s="109" t="str">
        <f>IF(ISBLANK(K4145),IFERROR(VLOOKUP(I4145,FS_input_data!$C$458:$N$648,Export!J4145,FALSE),""),K4145)</f>
        <v/>
      </c>
      <c r="D4145" s="6"/>
      <c r="E4145" t="s">
        <v>1561</v>
      </c>
      <c r="F4145" s="6"/>
      <c r="G4145" s="115" t="b">
        <f>VLOOKUP(I4134,FS_input_noty,J4134,FALSE)=""</f>
        <v>0</v>
      </c>
      <c r="H4145" s="6" t="s">
        <v>2189</v>
      </c>
      <c r="I4145" t="s">
        <v>1561</v>
      </c>
      <c r="J4145" t="s">
        <v>1561</v>
      </c>
      <c r="L4145">
        <f t="shared" si="226"/>
        <v>1</v>
      </c>
    </row>
    <row r="4146" spans="1:12" x14ac:dyDescent="0.35">
      <c r="A4146">
        <f t="shared" si="227"/>
        <v>4145</v>
      </c>
      <c r="B4146" t="s">
        <v>754</v>
      </c>
      <c r="C4146" s="109" t="str">
        <f>IF(ISBLANK(K4146),IFERROR(VLOOKUP(I4146,FS_input_data!$C$458:$N$648,Export!J4146,FALSE),""),K4146)</f>
        <v/>
      </c>
      <c r="D4146" s="6"/>
      <c r="E4146" t="s">
        <v>1561</v>
      </c>
      <c r="F4146" s="6"/>
      <c r="G4146" s="115" t="b">
        <f>VLOOKUP(I4134,FS_input_noty,J4134,FALSE)=""</f>
        <v>0</v>
      </c>
      <c r="H4146" s="6" t="s">
        <v>2189</v>
      </c>
      <c r="I4146" t="s">
        <v>1561</v>
      </c>
      <c r="J4146" t="s">
        <v>1561</v>
      </c>
      <c r="L4146" s="9" t="e">
        <f t="shared" si="226"/>
        <v>#VALUE!</v>
      </c>
    </row>
    <row r="4147" spans="1:12" x14ac:dyDescent="0.35">
      <c r="A4147" s="9">
        <f t="shared" si="227"/>
        <v>4146</v>
      </c>
      <c r="B4147" t="s">
        <v>755</v>
      </c>
      <c r="C4147" s="109">
        <f>IF(ISBLANK(K4147),IFERROR(VLOOKUP(I4147,FS_input_data!$C$458:$N$648,Export!J4147,FALSE),""),K4147)</f>
        <v>50</v>
      </c>
      <c r="D4147" s="6" t="b">
        <v>1</v>
      </c>
      <c r="E4147" t="s">
        <v>1561</v>
      </c>
      <c r="F4147" s="6"/>
      <c r="G4147" s="115" t="b">
        <f>VLOOKUP(I4134,FS_input_noty,J4134,FALSE)=""</f>
        <v>0</v>
      </c>
      <c r="H4147" s="6" t="s">
        <v>2189</v>
      </c>
      <c r="I4147" t="s">
        <v>1910</v>
      </c>
      <c r="J4147">
        <v>2</v>
      </c>
      <c r="L4147" s="9" t="e">
        <f t="shared" si="226"/>
        <v>#VALUE!</v>
      </c>
    </row>
    <row r="4148" spans="1:12" x14ac:dyDescent="0.35">
      <c r="A4148">
        <f t="shared" si="227"/>
        <v>4147</v>
      </c>
      <c r="B4148" t="s">
        <v>756</v>
      </c>
      <c r="C4148" s="109" t="str">
        <f>IF(ISBLANK(K4148),IFERROR(VLOOKUP(I4148,FS_input_data!$C$458:$N$648,Export!J4148,FALSE),""),K4148)</f>
        <v/>
      </c>
      <c r="D4148" s="6"/>
      <c r="E4148" t="s">
        <v>1561</v>
      </c>
      <c r="F4148" s="6"/>
      <c r="G4148" s="115" t="b">
        <f>VLOOKUP(I4134,FS_input_noty,J4134,FALSE)=""</f>
        <v>0</v>
      </c>
      <c r="H4148" s="6" t="s">
        <v>2189</v>
      </c>
      <c r="I4148" t="s">
        <v>1561</v>
      </c>
      <c r="J4148" t="s">
        <v>1561</v>
      </c>
      <c r="L4148">
        <f t="shared" si="226"/>
        <v>1</v>
      </c>
    </row>
    <row r="4149" spans="1:12" x14ac:dyDescent="0.35">
      <c r="A4149" s="9">
        <f t="shared" si="227"/>
        <v>4148</v>
      </c>
      <c r="B4149" t="s">
        <v>757</v>
      </c>
      <c r="C4149" s="109">
        <f>IF(ISBLANK(K4149),IFERROR(VLOOKUP(I4149,FS_input_data!$C$458:$N$648,Export!J4149,FALSE),""),K4149)</f>
        <v>150</v>
      </c>
      <c r="D4149" s="6" t="b">
        <v>0</v>
      </c>
      <c r="E4149" t="s">
        <v>1561</v>
      </c>
      <c r="F4149" s="6"/>
      <c r="G4149" s="115" t="b">
        <f>VLOOKUP(I4134,FS_input_noty,J4134,FALSE)=""</f>
        <v>0</v>
      </c>
      <c r="H4149" s="6" t="s">
        <v>2189</v>
      </c>
      <c r="I4149" t="s">
        <v>1910</v>
      </c>
      <c r="J4149">
        <v>3</v>
      </c>
      <c r="L4149" s="9" t="e">
        <f t="shared" si="226"/>
        <v>#VALUE!</v>
      </c>
    </row>
    <row r="4150" spans="1:12" x14ac:dyDescent="0.35">
      <c r="A4150">
        <f t="shared" si="227"/>
        <v>4149</v>
      </c>
      <c r="B4150" t="s">
        <v>758</v>
      </c>
      <c r="C4150" s="109" t="str">
        <f>IF(ISBLANK(K4150),IFERROR(VLOOKUP(I4150,FS_input_data!$C$458:$N$648,Export!J4150,FALSE),""),K4150)</f>
        <v/>
      </c>
      <c r="D4150" s="6"/>
      <c r="E4150" t="s">
        <v>1561</v>
      </c>
      <c r="F4150" s="6"/>
      <c r="G4150" s="115" t="b">
        <f>VLOOKUP(I4134,FS_input_noty,J4134,FALSE)=""</f>
        <v>0</v>
      </c>
      <c r="H4150" s="6" t="s">
        <v>2189</v>
      </c>
      <c r="I4150" t="s">
        <v>1561</v>
      </c>
      <c r="J4150" t="s">
        <v>1561</v>
      </c>
      <c r="L4150">
        <f t="shared" si="226"/>
        <v>1</v>
      </c>
    </row>
    <row r="4151" spans="1:12" x14ac:dyDescent="0.35">
      <c r="A4151" s="9">
        <f t="shared" si="227"/>
        <v>4150</v>
      </c>
      <c r="B4151" t="s">
        <v>759</v>
      </c>
      <c r="C4151" s="109">
        <f>IF(ISBLANK(K4151),IFERROR(VLOOKUP(I4151,FS_input_data!$C$458:$N$648,Export!J4151,FALSE),""),K4151)</f>
        <v>250</v>
      </c>
      <c r="D4151" s="6" t="b">
        <v>0</v>
      </c>
      <c r="E4151" t="s">
        <v>1561</v>
      </c>
      <c r="F4151" s="6"/>
      <c r="G4151" s="115" t="b">
        <f>VLOOKUP(I4134,FS_input_noty,J4134,FALSE)=""</f>
        <v>0</v>
      </c>
      <c r="H4151" s="6" t="s">
        <v>2189</v>
      </c>
      <c r="I4151" t="s">
        <v>1910</v>
      </c>
      <c r="J4151">
        <v>4</v>
      </c>
      <c r="L4151" s="9" t="e">
        <f t="shared" si="226"/>
        <v>#VALUE!</v>
      </c>
    </row>
    <row r="4152" spans="1:12" x14ac:dyDescent="0.35">
      <c r="A4152">
        <f t="shared" si="227"/>
        <v>4151</v>
      </c>
      <c r="B4152" t="s">
        <v>760</v>
      </c>
      <c r="C4152" s="109" t="str">
        <f>IF(ISBLANK(K4152),IFERROR(VLOOKUP(I4152,FS_input_data!$C$458:$N$648,Export!J4152,FALSE),""),K4152)</f>
        <v/>
      </c>
      <c r="D4152" s="6"/>
      <c r="E4152" t="s">
        <v>1561</v>
      </c>
      <c r="F4152" s="6"/>
      <c r="G4152" s="115" t="b">
        <f>VLOOKUP(I4134,FS_input_noty,J4134,FALSE)=""</f>
        <v>0</v>
      </c>
      <c r="H4152" s="6" t="s">
        <v>2189</v>
      </c>
      <c r="I4152" t="s">
        <v>1561</v>
      </c>
      <c r="J4152" t="s">
        <v>1561</v>
      </c>
      <c r="L4152">
        <f t="shared" si="226"/>
        <v>1</v>
      </c>
    </row>
    <row r="4153" spans="1:12" x14ac:dyDescent="0.35">
      <c r="A4153" s="9">
        <f t="shared" si="227"/>
        <v>4152</v>
      </c>
      <c r="B4153" t="s">
        <v>761</v>
      </c>
      <c r="C4153" s="109" t="str">
        <f>IF(ISBLANK(K4153),IFERROR(VLOOKUP(I4153,FS_input_data!$C$458:$N$648,Export!J4153,FALSE),""),K4153)</f>
        <v>d</v>
      </c>
      <c r="D4153" s="6" t="b">
        <v>0</v>
      </c>
      <c r="E4153" t="s">
        <v>1561</v>
      </c>
      <c r="F4153" s="6"/>
      <c r="G4153" s="115" t="b">
        <f>VLOOKUP(I4134,FS_input_noty,J4134,FALSE)=""</f>
        <v>0</v>
      </c>
      <c r="H4153" s="6" t="s">
        <v>2189</v>
      </c>
      <c r="I4153" t="s">
        <v>1910</v>
      </c>
      <c r="J4153">
        <v>5</v>
      </c>
      <c r="L4153" s="9" t="e">
        <f t="shared" si="226"/>
        <v>#VALUE!</v>
      </c>
    </row>
    <row r="4154" spans="1:12" x14ac:dyDescent="0.35">
      <c r="A4154">
        <f t="shared" si="227"/>
        <v>4153</v>
      </c>
      <c r="B4154" t="s">
        <v>762</v>
      </c>
      <c r="C4154" s="109" t="str">
        <f>IF(ISBLANK(K4154),IFERROR(VLOOKUP(I4154,FS_input_data!$C$458:$N$648,Export!J4154,FALSE),""),K4154)</f>
        <v/>
      </c>
      <c r="D4154" s="6"/>
      <c r="E4154" t="s">
        <v>1561</v>
      </c>
      <c r="F4154" s="6"/>
      <c r="G4154" s="115" t="b">
        <f>VLOOKUP(I4134,FS_input_noty,J4134,FALSE)=""</f>
        <v>0</v>
      </c>
      <c r="H4154" s="6" t="s">
        <v>2189</v>
      </c>
      <c r="I4154" t="s">
        <v>1561</v>
      </c>
      <c r="J4154" t="s">
        <v>1561</v>
      </c>
      <c r="L4154">
        <f t="shared" si="226"/>
        <v>1</v>
      </c>
    </row>
    <row r="4155" spans="1:12" x14ac:dyDescent="0.35">
      <c r="A4155">
        <f t="shared" si="227"/>
        <v>4154</v>
      </c>
      <c r="B4155" t="s">
        <v>763</v>
      </c>
      <c r="C4155" s="109" t="str">
        <f>IF(ISBLANK(K4155),IFERROR(VLOOKUP(I4155,FS_input_data!$C$458:$N$648,Export!J4155,FALSE),""),K4155)</f>
        <v/>
      </c>
      <c r="D4155" s="6"/>
      <c r="E4155" t="s">
        <v>1561</v>
      </c>
      <c r="F4155" s="6"/>
      <c r="G4155" s="115" t="b">
        <f>VLOOKUP(I4134,FS_input_noty,J4134,FALSE)=""</f>
        <v>0</v>
      </c>
      <c r="H4155" s="6" t="s">
        <v>2189</v>
      </c>
      <c r="I4155" t="s">
        <v>1561</v>
      </c>
      <c r="J4155" t="s">
        <v>1561</v>
      </c>
      <c r="L4155">
        <f t="shared" si="226"/>
        <v>1</v>
      </c>
    </row>
    <row r="4156" spans="1:12" x14ac:dyDescent="0.35">
      <c r="A4156">
        <f t="shared" si="227"/>
        <v>4155</v>
      </c>
      <c r="B4156" t="s">
        <v>743</v>
      </c>
      <c r="C4156" s="109" t="str">
        <f>IF(ISBLANK(K4156),IFERROR(VLOOKUP(I4156,FS_input_data!$C$458:$N$648,Export!J4156,FALSE),""),K4156)</f>
        <v/>
      </c>
      <c r="D4156" s="6"/>
      <c r="E4156" t="s">
        <v>1561</v>
      </c>
      <c r="F4156" s="6"/>
      <c r="G4156" s="115" t="b">
        <f>VLOOKUP(I4134,FS_input_noty,J4134,FALSE)=""</f>
        <v>0</v>
      </c>
      <c r="H4156" s="6" t="s">
        <v>2189</v>
      </c>
      <c r="I4156" t="s">
        <v>1561</v>
      </c>
      <c r="J4156" t="s">
        <v>1561</v>
      </c>
      <c r="L4156">
        <f t="shared" si="226"/>
        <v>1</v>
      </c>
    </row>
    <row r="4157" spans="1:12" x14ac:dyDescent="0.35">
      <c r="A4157">
        <f t="shared" si="227"/>
        <v>4156</v>
      </c>
      <c r="B4157" t="s">
        <v>744</v>
      </c>
      <c r="C4157" s="109" t="str">
        <f>IF(ISBLANK(K4157),IFERROR(VLOOKUP(I4157,FS_input_data!$C$458:$N$648,Export!J4157,FALSE),""),K4157)</f>
        <v/>
      </c>
      <c r="D4157" s="6"/>
      <c r="E4157" t="s">
        <v>1561</v>
      </c>
      <c r="F4157" s="6"/>
      <c r="G4157" s="115" t="b">
        <f t="shared" ref="G4157:G4164" si="229">RP_tax</f>
        <v>1</v>
      </c>
      <c r="H4157" s="6" t="s">
        <v>2189</v>
      </c>
      <c r="I4157" t="s">
        <v>1561</v>
      </c>
      <c r="J4157" t="s">
        <v>1561</v>
      </c>
      <c r="L4157" s="9" t="e">
        <f t="shared" si="226"/>
        <v>#VALUE!</v>
      </c>
    </row>
    <row r="4158" spans="1:12" x14ac:dyDescent="0.35">
      <c r="A4158" s="9">
        <f t="shared" si="227"/>
        <v>4157</v>
      </c>
      <c r="B4158" t="s">
        <v>109</v>
      </c>
      <c r="C4158" s="109">
        <f>IF(ISBLANK(K4158),IFERROR(VLOOKUP(I4158,FS_input_data!$C$458:$N$648,Export!J4158,FALSE),""),K4158)</f>
        <v>6000</v>
      </c>
      <c r="D4158" s="6" t="b">
        <v>1</v>
      </c>
      <c r="E4158" t="s">
        <v>1561</v>
      </c>
      <c r="F4158" s="6"/>
      <c r="G4158" s="115" t="b">
        <f t="shared" si="229"/>
        <v>1</v>
      </c>
      <c r="H4158" s="6" t="s">
        <v>2189</v>
      </c>
      <c r="I4158" t="s">
        <v>1910</v>
      </c>
      <c r="J4158">
        <v>10</v>
      </c>
      <c r="L4158" s="9" t="e">
        <f t="shared" si="226"/>
        <v>#VALUE!</v>
      </c>
    </row>
    <row r="4159" spans="1:12" x14ac:dyDescent="0.35">
      <c r="A4159">
        <f t="shared" si="227"/>
        <v>4158</v>
      </c>
      <c r="B4159" t="s">
        <v>110</v>
      </c>
      <c r="C4159" s="109" t="str">
        <f>IF(ISBLANK(K4159),IFERROR(VLOOKUP(I4159,FS_input_data!$C$458:$N$648,Export!J4159,FALSE),""),K4159)</f>
        <v/>
      </c>
      <c r="D4159" s="6"/>
      <c r="E4159" t="s">
        <v>1561</v>
      </c>
      <c r="F4159" s="6"/>
      <c r="G4159" s="115" t="b">
        <f t="shared" si="229"/>
        <v>1</v>
      </c>
      <c r="H4159" s="6" t="s">
        <v>2189</v>
      </c>
      <c r="I4159" t="s">
        <v>1561</v>
      </c>
      <c r="J4159" t="s">
        <v>1561</v>
      </c>
      <c r="L4159">
        <f t="shared" si="226"/>
        <v>1</v>
      </c>
    </row>
    <row r="4160" spans="1:12" x14ac:dyDescent="0.35">
      <c r="A4160" s="9">
        <f t="shared" si="227"/>
        <v>4159</v>
      </c>
      <c r="B4160" t="s">
        <v>111</v>
      </c>
      <c r="C4160" s="109">
        <f>IF(ISBLANK(K4160),IFERROR(VLOOKUP(I4160,FS_input_data!$C$458:$N$648,Export!J4160,FALSE),""),K4160)</f>
        <v>3000</v>
      </c>
      <c r="D4160" s="6" t="b">
        <v>0</v>
      </c>
      <c r="E4160" t="s">
        <v>1561</v>
      </c>
      <c r="F4160" s="6"/>
      <c r="G4160" s="115" t="b">
        <f t="shared" si="229"/>
        <v>1</v>
      </c>
      <c r="H4160" s="6" t="s">
        <v>2189</v>
      </c>
      <c r="I4160" t="s">
        <v>1910</v>
      </c>
      <c r="J4160">
        <v>11</v>
      </c>
      <c r="L4160" s="9" t="e">
        <f t="shared" si="226"/>
        <v>#VALUE!</v>
      </c>
    </row>
    <row r="4161" spans="1:12" x14ac:dyDescent="0.35">
      <c r="A4161">
        <f t="shared" si="227"/>
        <v>4160</v>
      </c>
      <c r="B4161" t="s">
        <v>112</v>
      </c>
      <c r="C4161" s="109" t="str">
        <f>IF(ISBLANK(K4161),IFERROR(VLOOKUP(I4161,FS_input_data!$C$458:$N$648,Export!J4161,FALSE),""),K4161)</f>
        <v/>
      </c>
      <c r="D4161" s="6"/>
      <c r="E4161" t="s">
        <v>1561</v>
      </c>
      <c r="F4161" s="6"/>
      <c r="G4161" s="115" t="b">
        <f t="shared" si="229"/>
        <v>1</v>
      </c>
      <c r="H4161" s="6" t="s">
        <v>2189</v>
      </c>
      <c r="I4161" t="s">
        <v>1561</v>
      </c>
      <c r="J4161" t="s">
        <v>1561</v>
      </c>
      <c r="L4161">
        <f t="shared" si="226"/>
        <v>1</v>
      </c>
    </row>
    <row r="4162" spans="1:12" x14ac:dyDescent="0.35">
      <c r="A4162" s="9">
        <f t="shared" si="227"/>
        <v>4161</v>
      </c>
      <c r="B4162" t="s">
        <v>749</v>
      </c>
      <c r="C4162" s="109">
        <f>IF(ISBLANK(K4162),IFERROR(VLOOKUP(I4162,FS_input_data!$C$458:$N$648,Export!J4162,FALSE),""),K4162)</f>
        <v>3000</v>
      </c>
      <c r="D4162" s="6" t="b">
        <v>0</v>
      </c>
      <c r="E4162" t="s">
        <v>1561</v>
      </c>
      <c r="F4162" s="6"/>
      <c r="G4162" s="115" t="b">
        <f t="shared" si="229"/>
        <v>1</v>
      </c>
      <c r="H4162" s="6" t="s">
        <v>2189</v>
      </c>
      <c r="I4162" t="s">
        <v>1910</v>
      </c>
      <c r="J4162">
        <v>12</v>
      </c>
      <c r="L4162" s="9" t="e">
        <f t="shared" ref="L4162:L4225" si="230">FIND("/",B4162)</f>
        <v>#VALUE!</v>
      </c>
    </row>
    <row r="4163" spans="1:12" x14ac:dyDescent="0.35">
      <c r="A4163">
        <f t="shared" ref="A4163:A4226" si="231">A4162+1</f>
        <v>4162</v>
      </c>
      <c r="B4163" t="s">
        <v>750</v>
      </c>
      <c r="C4163" s="109" t="str">
        <f>IF(ISBLANK(K4163),IFERROR(VLOOKUP(I4163,FS_input_data!$C$458:$N$648,Export!J4163,FALSE),""),K4163)</f>
        <v/>
      </c>
      <c r="D4163" s="6"/>
      <c r="E4163" t="s">
        <v>1561</v>
      </c>
      <c r="F4163" s="6"/>
      <c r="G4163" s="115" t="b">
        <f t="shared" si="229"/>
        <v>1</v>
      </c>
      <c r="H4163" s="6" t="s">
        <v>2189</v>
      </c>
      <c r="I4163" t="s">
        <v>1561</v>
      </c>
      <c r="J4163" t="s">
        <v>1561</v>
      </c>
      <c r="L4163">
        <f t="shared" si="230"/>
        <v>1</v>
      </c>
    </row>
    <row r="4164" spans="1:12" x14ac:dyDescent="0.35">
      <c r="A4164">
        <f t="shared" si="231"/>
        <v>4163</v>
      </c>
      <c r="B4164" t="s">
        <v>745</v>
      </c>
      <c r="C4164" s="109" t="str">
        <f>IF(ISBLANK(K4164),IFERROR(VLOOKUP(I4164,FS_input_data!$C$458:$N$648,Export!J4164,FALSE),""),K4164)</f>
        <v/>
      </c>
      <c r="D4164" s="6"/>
      <c r="E4164" t="s">
        <v>1561</v>
      </c>
      <c r="F4164" s="6"/>
      <c r="G4164" s="115" t="b">
        <f t="shared" si="229"/>
        <v>1</v>
      </c>
      <c r="H4164" s="6" t="s">
        <v>2189</v>
      </c>
      <c r="I4164" t="s">
        <v>1561</v>
      </c>
      <c r="J4164" t="s">
        <v>1561</v>
      </c>
      <c r="L4164">
        <f t="shared" si="230"/>
        <v>1</v>
      </c>
    </row>
    <row r="4165" spans="1:12" x14ac:dyDescent="0.35">
      <c r="A4165">
        <f t="shared" si="231"/>
        <v>4164</v>
      </c>
      <c r="B4165" t="s">
        <v>764</v>
      </c>
      <c r="C4165" s="109" t="str">
        <f>IF(ISBLANK(K4165),IFERROR(VLOOKUP(I4165,FS_input_data!$C$458:$N$648,Export!J4165,FALSE),""),K4165)</f>
        <v/>
      </c>
      <c r="D4165" s="6"/>
      <c r="E4165" t="s">
        <v>1561</v>
      </c>
      <c r="F4165" s="6"/>
      <c r="G4165" s="115" t="b">
        <f>VLOOKUP(I4134,FS_input_noty,J4134,FALSE)=""</f>
        <v>0</v>
      </c>
      <c r="H4165" s="6" t="s">
        <v>2189</v>
      </c>
      <c r="I4165" t="s">
        <v>1561</v>
      </c>
      <c r="J4165" t="s">
        <v>1561</v>
      </c>
      <c r="L4165">
        <f t="shared" si="230"/>
        <v>1</v>
      </c>
    </row>
    <row r="4166" spans="1:12" x14ac:dyDescent="0.35">
      <c r="A4166">
        <f t="shared" si="231"/>
        <v>4165</v>
      </c>
      <c r="B4166" t="s">
        <v>765</v>
      </c>
      <c r="C4166" s="109" t="str">
        <f>IF(ISBLANK(K4166),IFERROR(VLOOKUP(I4166,FS_input_data!$C$458:$N$648,Export!J4166,FALSE),""),K4166)</f>
        <v/>
      </c>
      <c r="D4166" s="6"/>
      <c r="E4166" t="s">
        <v>1561</v>
      </c>
      <c r="F4166" s="6"/>
      <c r="G4166" s="115" t="b">
        <f>VLOOKUP(I4134,FS_input_noty,J4134,FALSE)=""</f>
        <v>0</v>
      </c>
      <c r="H4166" s="6" t="s">
        <v>2189</v>
      </c>
      <c r="I4166" t="s">
        <v>1561</v>
      </c>
      <c r="J4166" t="s">
        <v>1561</v>
      </c>
      <c r="L4166">
        <f t="shared" si="230"/>
        <v>1</v>
      </c>
    </row>
    <row r="4167" spans="1:12" x14ac:dyDescent="0.35">
      <c r="A4167">
        <f t="shared" si="231"/>
        <v>4166</v>
      </c>
      <c r="B4167" t="s">
        <v>752</v>
      </c>
      <c r="C4167" s="109" t="str">
        <f>IF(ISBLANK(K4167),IFERROR(VLOOKUP(I4167,FS_input_data!$C$458:$N$648,Export!J4167,FALSE),""),K4167)</f>
        <v/>
      </c>
      <c r="D4167" s="6"/>
      <c r="E4167" t="s">
        <v>1561</v>
      </c>
      <c r="F4167" s="6"/>
      <c r="G4167" s="115" t="b">
        <f>VLOOKUP(I4168,FS_input_noty,J4168,FALSE)=""</f>
        <v>0</v>
      </c>
      <c r="H4167" s="6" t="s">
        <v>2189</v>
      </c>
      <c r="I4167" t="s">
        <v>1561</v>
      </c>
      <c r="J4167" t="s">
        <v>1561</v>
      </c>
      <c r="L4167" s="9" t="e">
        <f t="shared" si="230"/>
        <v>#VALUE!</v>
      </c>
    </row>
    <row r="4168" spans="1:12" x14ac:dyDescent="0.35">
      <c r="A4168" s="9">
        <f t="shared" si="231"/>
        <v>4167</v>
      </c>
      <c r="B4168" t="s">
        <v>101</v>
      </c>
      <c r="C4168" s="109" t="str">
        <f>IF(ISBLANK(K4168),IFERROR(VLOOKUP(I4168,FS_input_data!$C$458:$N$648,Export!J4168,FALSE),""),K4168)</f>
        <v>OC29</v>
      </c>
      <c r="D4168" s="6" t="b">
        <v>1</v>
      </c>
      <c r="E4168" t="s">
        <v>1561</v>
      </c>
      <c r="F4168" s="6"/>
      <c r="G4168" s="115" t="b">
        <f>VLOOKUP(I4168,FS_input_noty,J4168,FALSE)=""</f>
        <v>0</v>
      </c>
      <c r="H4168" s="6" t="s">
        <v>2189</v>
      </c>
      <c r="I4168" t="s">
        <v>1912</v>
      </c>
      <c r="J4168">
        <v>6</v>
      </c>
      <c r="L4168" s="9" t="e">
        <f t="shared" si="230"/>
        <v>#VALUE!</v>
      </c>
    </row>
    <row r="4169" spans="1:12" x14ac:dyDescent="0.35">
      <c r="A4169">
        <f t="shared" si="231"/>
        <v>4168</v>
      </c>
      <c r="B4169" t="s">
        <v>102</v>
      </c>
      <c r="C4169" s="109" t="str">
        <f>IF(ISBLANK(K4169),IFERROR(VLOOKUP(I4169,FS_input_data!$C$458:$N$648,Export!J4169,FALSE),""),K4169)</f>
        <v/>
      </c>
      <c r="D4169" s="6"/>
      <c r="E4169" t="s">
        <v>1561</v>
      </c>
      <c r="F4169" s="6"/>
      <c r="G4169" s="115" t="b">
        <f>VLOOKUP(I4168,FS_input_noty,J4168,FALSE)=""</f>
        <v>0</v>
      </c>
      <c r="H4169" s="6" t="s">
        <v>2189</v>
      </c>
      <c r="I4169" t="s">
        <v>1561</v>
      </c>
      <c r="J4169" t="s">
        <v>1561</v>
      </c>
      <c r="L4169">
        <f t="shared" si="230"/>
        <v>1</v>
      </c>
    </row>
    <row r="4170" spans="1:12" x14ac:dyDescent="0.35">
      <c r="A4170">
        <f t="shared" si="231"/>
        <v>4169</v>
      </c>
      <c r="B4170" t="s">
        <v>753</v>
      </c>
      <c r="C4170" s="109" t="str">
        <f>IF(ISBLANK(K4170),IFERROR(VLOOKUP(I4170,FS_input_data!$C$458:$N$648,Export!J4170,FALSE),""),K4170)</f>
        <v/>
      </c>
      <c r="D4170" s="6"/>
      <c r="E4170" t="s">
        <v>1561</v>
      </c>
      <c r="F4170" s="6"/>
      <c r="G4170" s="115" t="b">
        <f>VLOOKUP(I4168,FS_input_noty,J4168,FALSE)=""</f>
        <v>0</v>
      </c>
      <c r="H4170" s="6" t="s">
        <v>2189</v>
      </c>
      <c r="I4170" t="s">
        <v>1561</v>
      </c>
      <c r="J4170" t="s">
        <v>1561</v>
      </c>
      <c r="L4170" s="9" t="e">
        <f t="shared" si="230"/>
        <v>#VALUE!</v>
      </c>
    </row>
    <row r="4171" spans="1:12" x14ac:dyDescent="0.35">
      <c r="A4171">
        <f t="shared" si="231"/>
        <v>4170</v>
      </c>
      <c r="B4171" t="s">
        <v>742</v>
      </c>
      <c r="C4171" s="109" t="str">
        <f>IF(ISBLANK(K4171),IFERROR(VLOOKUP(I4171,FS_input_data!$C$458:$N$648,Export!J4171,FALSE),""),K4171)</f>
        <v/>
      </c>
      <c r="D4171" s="6"/>
      <c r="E4171" t="s">
        <v>1561</v>
      </c>
      <c r="F4171" s="6"/>
      <c r="G4171" s="115" t="b">
        <f>VLOOKUP(I4168,FS_input_noty,J4168,FALSE)=""</f>
        <v>0</v>
      </c>
      <c r="H4171" s="6" t="s">
        <v>2189</v>
      </c>
      <c r="I4171" t="s">
        <v>1561</v>
      </c>
      <c r="J4171" t="s">
        <v>1561</v>
      </c>
      <c r="L4171" s="9" t="e">
        <f t="shared" si="230"/>
        <v>#VALUE!</v>
      </c>
    </row>
    <row r="4172" spans="1:12" x14ac:dyDescent="0.35">
      <c r="A4172">
        <f t="shared" si="231"/>
        <v>4171</v>
      </c>
      <c r="B4172" t="s">
        <v>748</v>
      </c>
      <c r="C4172" s="109" t="str">
        <f>IF(ISBLANK(K4172),IFERROR(VLOOKUP(I4172,FS_input_data!$C$458:$N$648,Export!J4172,FALSE),""),K4172)</f>
        <v/>
      </c>
      <c r="D4172" s="6"/>
      <c r="E4172" t="s">
        <v>1561</v>
      </c>
      <c r="F4172" s="6"/>
      <c r="G4172" s="115" t="b">
        <f>VLOOKUP(I4168,FS_input_noty,J4168,FALSE)=""</f>
        <v>0</v>
      </c>
      <c r="H4172" s="6" t="s">
        <v>2189</v>
      </c>
      <c r="I4172" t="s">
        <v>1561</v>
      </c>
      <c r="J4172" t="s">
        <v>1561</v>
      </c>
      <c r="L4172" s="9" t="e">
        <f t="shared" si="230"/>
        <v>#VALUE!</v>
      </c>
    </row>
    <row r="4173" spans="1:12" x14ac:dyDescent="0.35">
      <c r="A4173" s="9">
        <f t="shared" si="231"/>
        <v>4172</v>
      </c>
      <c r="B4173" t="s">
        <v>109</v>
      </c>
      <c r="C4173" s="109">
        <f>IF(ISBLANK(K4173),IFERROR(VLOOKUP(I4173,FS_input_data!$C$458:$N$648,Export!J4173,FALSE),""),K4173)</f>
        <v>7000</v>
      </c>
      <c r="D4173" s="6" t="b">
        <v>1</v>
      </c>
      <c r="E4173" t="s">
        <v>1561</v>
      </c>
      <c r="F4173" s="6"/>
      <c r="G4173" s="115" t="b">
        <f>VLOOKUP(I4168,FS_input_noty,J4168,FALSE)=""</f>
        <v>0</v>
      </c>
      <c r="H4173" s="6" t="s">
        <v>2189</v>
      </c>
      <c r="I4173" t="s">
        <v>1912</v>
      </c>
      <c r="J4173">
        <v>7</v>
      </c>
      <c r="L4173" s="9" t="e">
        <f t="shared" si="230"/>
        <v>#VALUE!</v>
      </c>
    </row>
    <row r="4174" spans="1:12" x14ac:dyDescent="0.35">
      <c r="A4174">
        <f t="shared" si="231"/>
        <v>4173</v>
      </c>
      <c r="B4174" t="s">
        <v>110</v>
      </c>
      <c r="C4174" s="109" t="str">
        <f>IF(ISBLANK(K4174),IFERROR(VLOOKUP(I4174,FS_input_data!$C$458:$N$648,Export!J4174,FALSE),""),K4174)</f>
        <v/>
      </c>
      <c r="D4174" s="6"/>
      <c r="E4174" t="s">
        <v>1561</v>
      </c>
      <c r="F4174" s="6"/>
      <c r="G4174" s="115" t="b">
        <f>VLOOKUP(I4168,FS_input_noty,J4168,FALSE)=""</f>
        <v>0</v>
      </c>
      <c r="H4174" s="6" t="s">
        <v>2189</v>
      </c>
      <c r="I4174" t="s">
        <v>1561</v>
      </c>
      <c r="J4174" t="s">
        <v>1561</v>
      </c>
      <c r="L4174">
        <f t="shared" si="230"/>
        <v>1</v>
      </c>
    </row>
    <row r="4175" spans="1:12" x14ac:dyDescent="0.35">
      <c r="A4175" s="9">
        <f t="shared" si="231"/>
        <v>4174</v>
      </c>
      <c r="B4175" t="s">
        <v>111</v>
      </c>
      <c r="C4175" s="109">
        <f>IF(ISBLANK(K4175),IFERROR(VLOOKUP(I4175,FS_input_data!$C$458:$N$648,Export!J4175,FALSE),""),K4175)</f>
        <v>3500</v>
      </c>
      <c r="D4175" s="6" t="b">
        <v>0</v>
      </c>
      <c r="E4175" t="s">
        <v>1561</v>
      </c>
      <c r="F4175" s="6"/>
      <c r="G4175" s="115" t="b">
        <f>VLOOKUP(I4168,FS_input_noty,J4168,TRUE)=""</f>
        <v>0</v>
      </c>
      <c r="H4175" s="6" t="s">
        <v>2189</v>
      </c>
      <c r="I4175" t="s">
        <v>1912</v>
      </c>
      <c r="J4175">
        <v>8</v>
      </c>
      <c r="L4175" s="9" t="e">
        <f t="shared" si="230"/>
        <v>#VALUE!</v>
      </c>
    </row>
    <row r="4176" spans="1:12" x14ac:dyDescent="0.35">
      <c r="A4176">
        <f t="shared" si="231"/>
        <v>4175</v>
      </c>
      <c r="B4176" t="s">
        <v>112</v>
      </c>
      <c r="C4176" s="109" t="str">
        <f>IF(ISBLANK(K4176),IFERROR(VLOOKUP(I4176,FS_input_data!$C$458:$N$648,Export!J4176,FALSE),""),K4176)</f>
        <v/>
      </c>
      <c r="D4176" s="6"/>
      <c r="E4176" t="s">
        <v>1561</v>
      </c>
      <c r="F4176" s="6"/>
      <c r="G4176" s="115" t="b">
        <f>VLOOKUP(I4168,FS_input_noty,J4168,FALSE)=""</f>
        <v>0</v>
      </c>
      <c r="H4176" s="6" t="s">
        <v>2189</v>
      </c>
      <c r="I4176" t="s">
        <v>1561</v>
      </c>
      <c r="J4176" t="s">
        <v>1561</v>
      </c>
      <c r="L4176">
        <f t="shared" si="230"/>
        <v>1</v>
      </c>
    </row>
    <row r="4177" spans="1:12" x14ac:dyDescent="0.35">
      <c r="A4177" s="9">
        <f t="shared" si="231"/>
        <v>4176</v>
      </c>
      <c r="B4177" t="s">
        <v>749</v>
      </c>
      <c r="C4177" s="109">
        <f>IF(ISBLANK(K4177),IFERROR(VLOOKUP(I4177,FS_input_data!$C$458:$N$648,Export!J4177,FALSE),""),K4177)</f>
        <v>3500</v>
      </c>
      <c r="D4177" s="6" t="b">
        <v>0</v>
      </c>
      <c r="E4177" t="s">
        <v>1561</v>
      </c>
      <c r="F4177" s="6"/>
      <c r="G4177" s="115" t="b">
        <f>VLOOKUP(I4168,FS_input_noty,J4168,FALSE)=""</f>
        <v>0</v>
      </c>
      <c r="H4177" s="6" t="s">
        <v>2189</v>
      </c>
      <c r="I4177" t="s">
        <v>1912</v>
      </c>
      <c r="J4177">
        <v>9</v>
      </c>
      <c r="L4177" s="9" t="e">
        <f t="shared" si="230"/>
        <v>#VALUE!</v>
      </c>
    </row>
    <row r="4178" spans="1:12" x14ac:dyDescent="0.35">
      <c r="A4178">
        <f t="shared" si="231"/>
        <v>4177</v>
      </c>
      <c r="B4178" t="s">
        <v>750</v>
      </c>
      <c r="C4178" s="109" t="str">
        <f>IF(ISBLANK(K4178),IFERROR(VLOOKUP(I4178,FS_input_data!$C$458:$N$648,Export!J4178,FALSE),""),K4178)</f>
        <v/>
      </c>
      <c r="D4178" s="6"/>
      <c r="E4178" t="s">
        <v>1561</v>
      </c>
      <c r="F4178" s="6"/>
      <c r="G4178" s="115" t="b">
        <f>VLOOKUP(I4168,FS_input_noty,J4168,FALSE)=""</f>
        <v>0</v>
      </c>
      <c r="H4178" s="6" t="s">
        <v>2189</v>
      </c>
      <c r="I4178" t="s">
        <v>1561</v>
      </c>
      <c r="J4178" t="s">
        <v>1561</v>
      </c>
      <c r="L4178">
        <f t="shared" si="230"/>
        <v>1</v>
      </c>
    </row>
    <row r="4179" spans="1:12" x14ac:dyDescent="0.35">
      <c r="A4179">
        <f t="shared" si="231"/>
        <v>4178</v>
      </c>
      <c r="B4179" t="s">
        <v>751</v>
      </c>
      <c r="C4179" s="109" t="str">
        <f>IF(ISBLANK(K4179),IFERROR(VLOOKUP(I4179,FS_input_data!$C$458:$N$648,Export!J4179,FALSE),""),K4179)</f>
        <v/>
      </c>
      <c r="D4179" s="6"/>
      <c r="E4179" t="s">
        <v>1561</v>
      </c>
      <c r="F4179" s="6"/>
      <c r="G4179" s="115" t="b">
        <f>VLOOKUP(I4168,FS_input_noty,J4168,FALSE)=""</f>
        <v>0</v>
      </c>
      <c r="H4179" s="6" t="s">
        <v>2189</v>
      </c>
      <c r="I4179" t="s">
        <v>1561</v>
      </c>
      <c r="J4179" t="s">
        <v>1561</v>
      </c>
      <c r="L4179">
        <f t="shared" si="230"/>
        <v>1</v>
      </c>
    </row>
    <row r="4180" spans="1:12" x14ac:dyDescent="0.35">
      <c r="A4180">
        <f t="shared" si="231"/>
        <v>4179</v>
      </c>
      <c r="B4180" t="s">
        <v>754</v>
      </c>
      <c r="C4180" s="109" t="str">
        <f>IF(ISBLANK(K4180),IFERROR(VLOOKUP(I4180,FS_input_data!$C$458:$N$648,Export!J4180,FALSE),""),K4180)</f>
        <v/>
      </c>
      <c r="D4180" s="6"/>
      <c r="E4180" t="s">
        <v>1561</v>
      </c>
      <c r="F4180" s="6"/>
      <c r="G4180" s="115" t="b">
        <f>VLOOKUP(I4168,FS_input_noty,J4168,FALSE)=""</f>
        <v>0</v>
      </c>
      <c r="H4180" s="6" t="s">
        <v>2189</v>
      </c>
      <c r="I4180" t="s">
        <v>1561</v>
      </c>
      <c r="J4180" t="s">
        <v>1561</v>
      </c>
      <c r="L4180" s="9" t="e">
        <f t="shared" si="230"/>
        <v>#VALUE!</v>
      </c>
    </row>
    <row r="4181" spans="1:12" x14ac:dyDescent="0.35">
      <c r="A4181" s="9">
        <f t="shared" si="231"/>
        <v>4180</v>
      </c>
      <c r="B4181" t="s">
        <v>755</v>
      </c>
      <c r="C4181" s="109">
        <f>IF(ISBLANK(K4181),IFERROR(VLOOKUP(I4181,FS_input_data!$C$458:$N$648,Export!J4181,FALSE),""),K4181)</f>
        <v>51</v>
      </c>
      <c r="D4181" s="6" t="b">
        <v>1</v>
      </c>
      <c r="E4181" t="s">
        <v>1561</v>
      </c>
      <c r="F4181" s="6"/>
      <c r="G4181" s="115" t="b">
        <f>VLOOKUP(I4168,FS_input_noty,J4168,FALSE)=""</f>
        <v>0</v>
      </c>
      <c r="H4181" s="6" t="s">
        <v>2189</v>
      </c>
      <c r="I4181" t="s">
        <v>1912</v>
      </c>
      <c r="J4181">
        <v>2</v>
      </c>
      <c r="L4181" s="9" t="e">
        <f t="shared" si="230"/>
        <v>#VALUE!</v>
      </c>
    </row>
    <row r="4182" spans="1:12" x14ac:dyDescent="0.35">
      <c r="A4182">
        <f t="shared" si="231"/>
        <v>4181</v>
      </c>
      <c r="B4182" t="s">
        <v>756</v>
      </c>
      <c r="C4182" s="109" t="str">
        <f>IF(ISBLANK(K4182),IFERROR(VLOOKUP(I4182,FS_input_data!$C$458:$N$648,Export!J4182,FALSE),""),K4182)</f>
        <v/>
      </c>
      <c r="D4182" s="6"/>
      <c r="E4182" t="s">
        <v>1561</v>
      </c>
      <c r="F4182" s="6"/>
      <c r="G4182" s="115" t="b">
        <f>VLOOKUP(I4168,FS_input_noty,J4168,FALSE)=""</f>
        <v>0</v>
      </c>
      <c r="H4182" s="6" t="s">
        <v>2189</v>
      </c>
      <c r="I4182" t="s">
        <v>1561</v>
      </c>
      <c r="J4182" t="s">
        <v>1561</v>
      </c>
      <c r="L4182">
        <f t="shared" si="230"/>
        <v>1</v>
      </c>
    </row>
    <row r="4183" spans="1:12" x14ac:dyDescent="0.35">
      <c r="A4183" s="9">
        <f t="shared" si="231"/>
        <v>4182</v>
      </c>
      <c r="B4183" t="s">
        <v>757</v>
      </c>
      <c r="C4183" s="109">
        <f>IF(ISBLANK(K4183),IFERROR(VLOOKUP(I4183,FS_input_data!$C$458:$N$648,Export!J4183,FALSE),""),K4183)</f>
        <v>151</v>
      </c>
      <c r="D4183" s="6" t="b">
        <v>0</v>
      </c>
      <c r="E4183" t="s">
        <v>1561</v>
      </c>
      <c r="F4183" s="6"/>
      <c r="G4183" s="115" t="b">
        <f>VLOOKUP(I4168,FS_input_noty,J4168,FALSE)=""</f>
        <v>0</v>
      </c>
      <c r="H4183" s="6" t="s">
        <v>2189</v>
      </c>
      <c r="I4183" t="s">
        <v>1912</v>
      </c>
      <c r="J4183">
        <v>3</v>
      </c>
      <c r="L4183" s="9" t="e">
        <f t="shared" si="230"/>
        <v>#VALUE!</v>
      </c>
    </row>
    <row r="4184" spans="1:12" x14ac:dyDescent="0.35">
      <c r="A4184">
        <f t="shared" si="231"/>
        <v>4183</v>
      </c>
      <c r="B4184" t="s">
        <v>758</v>
      </c>
      <c r="C4184" s="109" t="str">
        <f>IF(ISBLANK(K4184),IFERROR(VLOOKUP(I4184,FS_input_data!$C$458:$N$648,Export!J4184,FALSE),""),K4184)</f>
        <v/>
      </c>
      <c r="D4184" s="6"/>
      <c r="E4184" t="s">
        <v>1561</v>
      </c>
      <c r="F4184" s="6"/>
      <c r="G4184" s="115" t="b">
        <f>VLOOKUP(I4168,FS_input_noty,J4168,FALSE)=""</f>
        <v>0</v>
      </c>
      <c r="H4184" s="6" t="s">
        <v>2189</v>
      </c>
      <c r="I4184" t="s">
        <v>1561</v>
      </c>
      <c r="J4184" t="s">
        <v>1561</v>
      </c>
      <c r="L4184">
        <f t="shared" si="230"/>
        <v>1</v>
      </c>
    </row>
    <row r="4185" spans="1:12" x14ac:dyDescent="0.35">
      <c r="A4185" s="9">
        <f t="shared" si="231"/>
        <v>4184</v>
      </c>
      <c r="B4185" t="s">
        <v>759</v>
      </c>
      <c r="C4185" s="109">
        <f>IF(ISBLANK(K4185),IFERROR(VLOOKUP(I4185,FS_input_data!$C$458:$N$648,Export!J4185,FALSE),""),K4185)</f>
        <v>251</v>
      </c>
      <c r="D4185" s="6" t="b">
        <v>0</v>
      </c>
      <c r="E4185" t="s">
        <v>1561</v>
      </c>
      <c r="F4185" s="6"/>
      <c r="G4185" s="115" t="b">
        <f>VLOOKUP(I4168,FS_input_noty,J4168,FALSE)=""</f>
        <v>0</v>
      </c>
      <c r="H4185" s="6" t="s">
        <v>2189</v>
      </c>
      <c r="I4185" t="s">
        <v>1912</v>
      </c>
      <c r="J4185">
        <v>4</v>
      </c>
      <c r="L4185" s="9" t="e">
        <f t="shared" si="230"/>
        <v>#VALUE!</v>
      </c>
    </row>
    <row r="4186" spans="1:12" x14ac:dyDescent="0.35">
      <c r="A4186">
        <f t="shared" si="231"/>
        <v>4185</v>
      </c>
      <c r="B4186" t="s">
        <v>760</v>
      </c>
      <c r="C4186" s="109" t="str">
        <f>IF(ISBLANK(K4186),IFERROR(VLOOKUP(I4186,FS_input_data!$C$458:$N$648,Export!J4186,FALSE),""),K4186)</f>
        <v/>
      </c>
      <c r="D4186" s="6"/>
      <c r="E4186" t="s">
        <v>1561</v>
      </c>
      <c r="F4186" s="6"/>
      <c r="G4186" s="115" t="b">
        <f>VLOOKUP(I4168,FS_input_noty,J4168,FALSE)=""</f>
        <v>0</v>
      </c>
      <c r="H4186" s="6" t="s">
        <v>2189</v>
      </c>
      <c r="I4186" t="s">
        <v>1561</v>
      </c>
      <c r="J4186" t="s">
        <v>1561</v>
      </c>
      <c r="L4186">
        <f t="shared" si="230"/>
        <v>1</v>
      </c>
    </row>
    <row r="4187" spans="1:12" x14ac:dyDescent="0.35">
      <c r="A4187" s="9">
        <f t="shared" si="231"/>
        <v>4186</v>
      </c>
      <c r="B4187" t="s">
        <v>761</v>
      </c>
      <c r="C4187" s="109" t="str">
        <f>IF(ISBLANK(K4187),IFERROR(VLOOKUP(I4187,FS_input_data!$C$458:$N$648,Export!J4187,FALSE),""),K4187)</f>
        <v>e</v>
      </c>
      <c r="D4187" s="6" t="b">
        <v>0</v>
      </c>
      <c r="E4187" t="s">
        <v>1561</v>
      </c>
      <c r="F4187" s="6"/>
      <c r="G4187" s="115" t="b">
        <f>VLOOKUP(I4168,FS_input_noty,J4168,FALSE)=""</f>
        <v>0</v>
      </c>
      <c r="H4187" s="6" t="s">
        <v>2189</v>
      </c>
      <c r="I4187" t="s">
        <v>1912</v>
      </c>
      <c r="J4187">
        <v>5</v>
      </c>
      <c r="L4187" s="9" t="e">
        <f t="shared" si="230"/>
        <v>#VALUE!</v>
      </c>
    </row>
    <row r="4188" spans="1:12" x14ac:dyDescent="0.35">
      <c r="A4188">
        <f t="shared" si="231"/>
        <v>4187</v>
      </c>
      <c r="B4188" t="s">
        <v>762</v>
      </c>
      <c r="C4188" s="109" t="str">
        <f>IF(ISBLANK(K4188),IFERROR(VLOOKUP(I4188,FS_input_data!$C$458:$N$648,Export!J4188,FALSE),""),K4188)</f>
        <v/>
      </c>
      <c r="D4188" s="6"/>
      <c r="E4188" t="s">
        <v>1561</v>
      </c>
      <c r="F4188" s="6"/>
      <c r="G4188" s="115" t="b">
        <f>VLOOKUP(I4168,FS_input_noty,J4168,FALSE)=""</f>
        <v>0</v>
      </c>
      <c r="H4188" s="6" t="s">
        <v>2189</v>
      </c>
      <c r="I4188" t="s">
        <v>1561</v>
      </c>
      <c r="J4188" t="s">
        <v>1561</v>
      </c>
      <c r="L4188">
        <f t="shared" si="230"/>
        <v>1</v>
      </c>
    </row>
    <row r="4189" spans="1:12" x14ac:dyDescent="0.35">
      <c r="A4189">
        <f t="shared" si="231"/>
        <v>4188</v>
      </c>
      <c r="B4189" t="s">
        <v>763</v>
      </c>
      <c r="C4189" s="109" t="str">
        <f>IF(ISBLANK(K4189),IFERROR(VLOOKUP(I4189,FS_input_data!$C$458:$N$648,Export!J4189,FALSE),""),K4189)</f>
        <v/>
      </c>
      <c r="D4189" s="6"/>
      <c r="E4189" t="s">
        <v>1561</v>
      </c>
      <c r="F4189" s="6"/>
      <c r="G4189" s="115" t="b">
        <f>VLOOKUP(I4168,FS_input_noty,J4168,FALSE)=""</f>
        <v>0</v>
      </c>
      <c r="H4189" s="6" t="s">
        <v>2189</v>
      </c>
      <c r="I4189" t="s">
        <v>1561</v>
      </c>
      <c r="J4189" t="s">
        <v>1561</v>
      </c>
      <c r="L4189">
        <f t="shared" si="230"/>
        <v>1</v>
      </c>
    </row>
    <row r="4190" spans="1:12" x14ac:dyDescent="0.35">
      <c r="A4190">
        <f t="shared" si="231"/>
        <v>4189</v>
      </c>
      <c r="B4190" t="s">
        <v>743</v>
      </c>
      <c r="C4190" s="109" t="str">
        <f>IF(ISBLANK(K4190),IFERROR(VLOOKUP(I4190,FS_input_data!$C$458:$N$648,Export!J4190,FALSE),""),K4190)</f>
        <v/>
      </c>
      <c r="D4190" s="6"/>
      <c r="E4190" t="s">
        <v>1561</v>
      </c>
      <c r="F4190" s="6"/>
      <c r="G4190" s="115" t="b">
        <f>VLOOKUP(I4168,FS_input_noty,J4168,FALSE)=""</f>
        <v>0</v>
      </c>
      <c r="H4190" s="6" t="s">
        <v>2189</v>
      </c>
      <c r="I4190" t="s">
        <v>1561</v>
      </c>
      <c r="J4190" t="s">
        <v>1561</v>
      </c>
      <c r="L4190">
        <f t="shared" si="230"/>
        <v>1</v>
      </c>
    </row>
    <row r="4191" spans="1:12" x14ac:dyDescent="0.35">
      <c r="A4191">
        <f t="shared" si="231"/>
        <v>4190</v>
      </c>
      <c r="B4191" t="s">
        <v>744</v>
      </c>
      <c r="C4191" s="109" t="str">
        <f>IF(ISBLANK(K4191),IFERROR(VLOOKUP(I4191,FS_input_data!$C$458:$N$648,Export!J4191,FALSE),""),K4191)</f>
        <v/>
      </c>
      <c r="D4191" s="6"/>
      <c r="E4191" t="s">
        <v>1561</v>
      </c>
      <c r="F4191" s="6"/>
      <c r="G4191" s="115" t="b">
        <f t="shared" ref="G4191:G4198" si="232">RP_tax</f>
        <v>1</v>
      </c>
      <c r="H4191" s="6" t="s">
        <v>2189</v>
      </c>
      <c r="I4191" t="s">
        <v>1561</v>
      </c>
      <c r="J4191" t="s">
        <v>1561</v>
      </c>
      <c r="L4191" s="9" t="e">
        <f t="shared" si="230"/>
        <v>#VALUE!</v>
      </c>
    </row>
    <row r="4192" spans="1:12" x14ac:dyDescent="0.35">
      <c r="A4192" s="9">
        <f t="shared" si="231"/>
        <v>4191</v>
      </c>
      <c r="B4192" t="s">
        <v>109</v>
      </c>
      <c r="C4192" s="109">
        <f>IF(ISBLANK(K4192),IFERROR(VLOOKUP(I4192,FS_input_data!$C$458:$N$648,Export!J4192,FALSE),""),K4192)</f>
        <v>7000</v>
      </c>
      <c r="D4192" s="6" t="b">
        <v>1</v>
      </c>
      <c r="E4192" t="s">
        <v>1561</v>
      </c>
      <c r="F4192" s="6"/>
      <c r="G4192" s="115" t="b">
        <f t="shared" si="232"/>
        <v>1</v>
      </c>
      <c r="H4192" s="6" t="s">
        <v>2189</v>
      </c>
      <c r="I4192" t="s">
        <v>1912</v>
      </c>
      <c r="J4192">
        <v>10</v>
      </c>
      <c r="L4192" s="9" t="e">
        <f t="shared" si="230"/>
        <v>#VALUE!</v>
      </c>
    </row>
    <row r="4193" spans="1:12" x14ac:dyDescent="0.35">
      <c r="A4193">
        <f t="shared" si="231"/>
        <v>4192</v>
      </c>
      <c r="B4193" t="s">
        <v>110</v>
      </c>
      <c r="C4193" s="109" t="str">
        <f>IF(ISBLANK(K4193),IFERROR(VLOOKUP(I4193,FS_input_data!$C$458:$N$648,Export!J4193,FALSE),""),K4193)</f>
        <v/>
      </c>
      <c r="D4193" s="6"/>
      <c r="E4193" t="s">
        <v>1561</v>
      </c>
      <c r="F4193" s="6"/>
      <c r="G4193" s="115" t="b">
        <f t="shared" si="232"/>
        <v>1</v>
      </c>
      <c r="H4193" s="6" t="s">
        <v>2189</v>
      </c>
      <c r="I4193" t="s">
        <v>1561</v>
      </c>
      <c r="J4193" t="s">
        <v>1561</v>
      </c>
      <c r="L4193">
        <f t="shared" si="230"/>
        <v>1</v>
      </c>
    </row>
    <row r="4194" spans="1:12" x14ac:dyDescent="0.35">
      <c r="A4194" s="9">
        <f t="shared" si="231"/>
        <v>4193</v>
      </c>
      <c r="B4194" t="s">
        <v>111</v>
      </c>
      <c r="C4194" s="109">
        <f>IF(ISBLANK(K4194),IFERROR(VLOOKUP(I4194,FS_input_data!$C$458:$N$648,Export!J4194,FALSE),""),K4194)</f>
        <v>3500</v>
      </c>
      <c r="D4194" s="6" t="b">
        <v>0</v>
      </c>
      <c r="E4194" t="s">
        <v>1561</v>
      </c>
      <c r="F4194" s="6"/>
      <c r="G4194" s="115" t="b">
        <f t="shared" si="232"/>
        <v>1</v>
      </c>
      <c r="H4194" s="6" t="s">
        <v>2189</v>
      </c>
      <c r="I4194" t="s">
        <v>1912</v>
      </c>
      <c r="J4194">
        <v>11</v>
      </c>
      <c r="L4194" s="9" t="e">
        <f t="shared" si="230"/>
        <v>#VALUE!</v>
      </c>
    </row>
    <row r="4195" spans="1:12" x14ac:dyDescent="0.35">
      <c r="A4195">
        <f t="shared" si="231"/>
        <v>4194</v>
      </c>
      <c r="B4195" t="s">
        <v>112</v>
      </c>
      <c r="C4195" s="109" t="str">
        <f>IF(ISBLANK(K4195),IFERROR(VLOOKUP(I4195,FS_input_data!$C$458:$N$648,Export!J4195,FALSE),""),K4195)</f>
        <v/>
      </c>
      <c r="D4195" s="6"/>
      <c r="E4195" t="s">
        <v>1561</v>
      </c>
      <c r="F4195" s="6"/>
      <c r="G4195" s="115" t="b">
        <f t="shared" si="232"/>
        <v>1</v>
      </c>
      <c r="H4195" s="6" t="s">
        <v>2189</v>
      </c>
      <c r="I4195" t="s">
        <v>1561</v>
      </c>
      <c r="J4195" t="s">
        <v>1561</v>
      </c>
      <c r="L4195">
        <f t="shared" si="230"/>
        <v>1</v>
      </c>
    </row>
    <row r="4196" spans="1:12" x14ac:dyDescent="0.35">
      <c r="A4196" s="9">
        <f t="shared" si="231"/>
        <v>4195</v>
      </c>
      <c r="B4196" t="s">
        <v>749</v>
      </c>
      <c r="C4196" s="109">
        <f>IF(ISBLANK(K4196),IFERROR(VLOOKUP(I4196,FS_input_data!$C$458:$N$648,Export!J4196,FALSE),""),K4196)</f>
        <v>3500</v>
      </c>
      <c r="D4196" s="6" t="b">
        <v>0</v>
      </c>
      <c r="E4196" t="s">
        <v>1561</v>
      </c>
      <c r="F4196" s="6"/>
      <c r="G4196" s="115" t="b">
        <f t="shared" si="232"/>
        <v>1</v>
      </c>
      <c r="H4196" s="6" t="s">
        <v>2189</v>
      </c>
      <c r="I4196" t="s">
        <v>1912</v>
      </c>
      <c r="J4196">
        <v>12</v>
      </c>
      <c r="L4196" s="9" t="e">
        <f t="shared" si="230"/>
        <v>#VALUE!</v>
      </c>
    </row>
    <row r="4197" spans="1:12" x14ac:dyDescent="0.35">
      <c r="A4197">
        <f t="shared" si="231"/>
        <v>4196</v>
      </c>
      <c r="B4197" t="s">
        <v>750</v>
      </c>
      <c r="C4197" s="109" t="str">
        <f>IF(ISBLANK(K4197),IFERROR(VLOOKUP(I4197,FS_input_data!$C$458:$N$648,Export!J4197,FALSE),""),K4197)</f>
        <v/>
      </c>
      <c r="D4197" s="6"/>
      <c r="E4197" t="s">
        <v>1561</v>
      </c>
      <c r="F4197" s="6"/>
      <c r="G4197" s="115" t="b">
        <f t="shared" si="232"/>
        <v>1</v>
      </c>
      <c r="H4197" s="6" t="s">
        <v>2189</v>
      </c>
      <c r="I4197" t="s">
        <v>1561</v>
      </c>
      <c r="J4197" t="s">
        <v>1561</v>
      </c>
      <c r="L4197">
        <f t="shared" si="230"/>
        <v>1</v>
      </c>
    </row>
    <row r="4198" spans="1:12" x14ac:dyDescent="0.35">
      <c r="A4198">
        <f t="shared" si="231"/>
        <v>4197</v>
      </c>
      <c r="B4198" t="s">
        <v>745</v>
      </c>
      <c r="C4198" s="109" t="str">
        <f>IF(ISBLANK(K4198),IFERROR(VLOOKUP(I4198,FS_input_data!$C$458:$N$648,Export!J4198,FALSE),""),K4198)</f>
        <v/>
      </c>
      <c r="D4198" s="6"/>
      <c r="E4198" t="s">
        <v>1561</v>
      </c>
      <c r="F4198" s="6"/>
      <c r="G4198" s="115" t="b">
        <f t="shared" si="232"/>
        <v>1</v>
      </c>
      <c r="H4198" s="6" t="s">
        <v>2189</v>
      </c>
      <c r="I4198" t="s">
        <v>1561</v>
      </c>
      <c r="J4198" t="s">
        <v>1561</v>
      </c>
      <c r="L4198">
        <f t="shared" si="230"/>
        <v>1</v>
      </c>
    </row>
    <row r="4199" spans="1:12" x14ac:dyDescent="0.35">
      <c r="A4199">
        <f t="shared" si="231"/>
        <v>4198</v>
      </c>
      <c r="B4199" t="s">
        <v>764</v>
      </c>
      <c r="C4199" s="109" t="str">
        <f>IF(ISBLANK(K4199),IFERROR(VLOOKUP(I4199,FS_input_data!$C$458:$N$648,Export!J4199,FALSE),""),K4199)</f>
        <v/>
      </c>
      <c r="D4199" s="6"/>
      <c r="E4199" t="s">
        <v>1561</v>
      </c>
      <c r="F4199" s="6"/>
      <c r="G4199" s="115" t="b">
        <f>VLOOKUP(I4168,FS_input_noty,J4168,FALSE)=""</f>
        <v>0</v>
      </c>
      <c r="H4199" s="6" t="s">
        <v>2189</v>
      </c>
      <c r="I4199" t="s">
        <v>1561</v>
      </c>
      <c r="J4199" t="s">
        <v>1561</v>
      </c>
      <c r="L4199">
        <f t="shared" si="230"/>
        <v>1</v>
      </c>
    </row>
    <row r="4200" spans="1:12" x14ac:dyDescent="0.35">
      <c r="A4200">
        <f t="shared" si="231"/>
        <v>4199</v>
      </c>
      <c r="B4200" t="s">
        <v>765</v>
      </c>
      <c r="C4200" s="109" t="str">
        <f>IF(ISBLANK(K4200),IFERROR(VLOOKUP(I4200,FS_input_data!$C$458:$N$648,Export!J4200,FALSE),""),K4200)</f>
        <v/>
      </c>
      <c r="D4200" s="6"/>
      <c r="E4200" t="s">
        <v>1561</v>
      </c>
      <c r="F4200" s="6"/>
      <c r="G4200" s="115" t="b">
        <f>VLOOKUP(I4168,FS_input_noty,J4168,FALSE)=""</f>
        <v>0</v>
      </c>
      <c r="H4200" s="6" t="s">
        <v>2189</v>
      </c>
      <c r="I4200" t="s">
        <v>1561</v>
      </c>
      <c r="J4200" t="s">
        <v>1561</v>
      </c>
      <c r="L4200">
        <f t="shared" si="230"/>
        <v>1</v>
      </c>
    </row>
    <row r="4201" spans="1:12" x14ac:dyDescent="0.35">
      <c r="A4201">
        <f t="shared" si="231"/>
        <v>4200</v>
      </c>
      <c r="B4201" t="s">
        <v>752</v>
      </c>
      <c r="C4201" s="109" t="str">
        <f>IF(ISBLANK(K4201),IFERROR(VLOOKUP(I4201,FS_input_data!$C$458:$N$648,Export!J4201,FALSE),""),K4201)</f>
        <v/>
      </c>
      <c r="D4201" s="6"/>
      <c r="E4201" t="s">
        <v>1561</v>
      </c>
      <c r="F4201" s="6"/>
      <c r="G4201" s="115" t="b">
        <f>VLOOKUP(I4202,FS_input_noty,J4202,FALSE)=""</f>
        <v>0</v>
      </c>
      <c r="H4201" s="6" t="s">
        <v>2189</v>
      </c>
      <c r="I4201" t="s">
        <v>1561</v>
      </c>
      <c r="J4201" t="s">
        <v>1561</v>
      </c>
      <c r="L4201" s="9" t="e">
        <f t="shared" si="230"/>
        <v>#VALUE!</v>
      </c>
    </row>
    <row r="4202" spans="1:12" x14ac:dyDescent="0.35">
      <c r="A4202" s="9">
        <f t="shared" si="231"/>
        <v>4201</v>
      </c>
      <c r="B4202" t="s">
        <v>101</v>
      </c>
      <c r="C4202" s="109" t="str">
        <f>IF(ISBLANK(K4202),IFERROR(VLOOKUP(I4202,FS_input_data!$C$458:$N$648,Export!J4202,FALSE),""),K4202)</f>
        <v>OC30</v>
      </c>
      <c r="D4202" s="6" t="b">
        <v>1</v>
      </c>
      <c r="E4202" t="s">
        <v>1561</v>
      </c>
      <c r="F4202" s="6"/>
      <c r="G4202" s="115" t="b">
        <f>VLOOKUP(I4202,FS_input_noty,J4202,FALSE)=""</f>
        <v>0</v>
      </c>
      <c r="H4202" s="6" t="s">
        <v>2189</v>
      </c>
      <c r="I4202" t="s">
        <v>1914</v>
      </c>
      <c r="J4202">
        <v>6</v>
      </c>
      <c r="L4202" s="9" t="e">
        <f t="shared" si="230"/>
        <v>#VALUE!</v>
      </c>
    </row>
    <row r="4203" spans="1:12" x14ac:dyDescent="0.35">
      <c r="A4203">
        <f t="shared" si="231"/>
        <v>4202</v>
      </c>
      <c r="B4203" t="s">
        <v>102</v>
      </c>
      <c r="C4203" s="109" t="str">
        <f>IF(ISBLANK(K4203),IFERROR(VLOOKUP(I4203,FS_input_data!$C$458:$N$648,Export!J4203,FALSE),""),K4203)</f>
        <v/>
      </c>
      <c r="D4203" s="6"/>
      <c r="E4203" t="s">
        <v>1561</v>
      </c>
      <c r="F4203" s="6"/>
      <c r="G4203" s="115" t="b">
        <f>VLOOKUP(I4202,FS_input_noty,J4202,FALSE)=""</f>
        <v>0</v>
      </c>
      <c r="H4203" s="6" t="s">
        <v>2189</v>
      </c>
      <c r="I4203" t="s">
        <v>1561</v>
      </c>
      <c r="J4203" t="s">
        <v>1561</v>
      </c>
      <c r="L4203">
        <f t="shared" si="230"/>
        <v>1</v>
      </c>
    </row>
    <row r="4204" spans="1:12" x14ac:dyDescent="0.35">
      <c r="A4204">
        <f t="shared" si="231"/>
        <v>4203</v>
      </c>
      <c r="B4204" t="s">
        <v>753</v>
      </c>
      <c r="C4204" s="109" t="str">
        <f>IF(ISBLANK(K4204),IFERROR(VLOOKUP(I4204,FS_input_data!$C$458:$N$648,Export!J4204,FALSE),""),K4204)</f>
        <v/>
      </c>
      <c r="D4204" s="6"/>
      <c r="E4204" t="s">
        <v>1561</v>
      </c>
      <c r="F4204" s="6"/>
      <c r="G4204" s="115" t="b">
        <f>VLOOKUP(I4202,FS_input_noty,J4202,FALSE)=""</f>
        <v>0</v>
      </c>
      <c r="H4204" s="6" t="s">
        <v>2189</v>
      </c>
      <c r="I4204" t="s">
        <v>1561</v>
      </c>
      <c r="J4204" t="s">
        <v>1561</v>
      </c>
      <c r="L4204" s="9" t="e">
        <f t="shared" si="230"/>
        <v>#VALUE!</v>
      </c>
    </row>
    <row r="4205" spans="1:12" x14ac:dyDescent="0.35">
      <c r="A4205">
        <f t="shared" si="231"/>
        <v>4204</v>
      </c>
      <c r="B4205" t="s">
        <v>742</v>
      </c>
      <c r="C4205" s="109" t="str">
        <f>IF(ISBLANK(K4205),IFERROR(VLOOKUP(I4205,FS_input_data!$C$458:$N$648,Export!J4205,FALSE),""),K4205)</f>
        <v/>
      </c>
      <c r="D4205" s="6"/>
      <c r="E4205" t="s">
        <v>1561</v>
      </c>
      <c r="F4205" s="6"/>
      <c r="G4205" s="115" t="b">
        <f>VLOOKUP(I4202,FS_input_noty,J4202,FALSE)=""</f>
        <v>0</v>
      </c>
      <c r="H4205" s="6" t="s">
        <v>2189</v>
      </c>
      <c r="I4205" t="s">
        <v>1561</v>
      </c>
      <c r="J4205" t="s">
        <v>1561</v>
      </c>
      <c r="L4205" s="9" t="e">
        <f t="shared" si="230"/>
        <v>#VALUE!</v>
      </c>
    </row>
    <row r="4206" spans="1:12" x14ac:dyDescent="0.35">
      <c r="A4206">
        <f t="shared" si="231"/>
        <v>4205</v>
      </c>
      <c r="B4206" t="s">
        <v>748</v>
      </c>
      <c r="C4206" s="109" t="str">
        <f>IF(ISBLANK(K4206),IFERROR(VLOOKUP(I4206,FS_input_data!$C$458:$N$648,Export!J4206,FALSE),""),K4206)</f>
        <v/>
      </c>
      <c r="D4206" s="6"/>
      <c r="E4206" t="s">
        <v>1561</v>
      </c>
      <c r="F4206" s="6"/>
      <c r="G4206" s="115" t="b">
        <f>VLOOKUP(I4202,FS_input_noty,J4202,FALSE)=""</f>
        <v>0</v>
      </c>
      <c r="H4206" s="6" t="s">
        <v>2189</v>
      </c>
      <c r="I4206" t="s">
        <v>1561</v>
      </c>
      <c r="J4206" t="s">
        <v>1561</v>
      </c>
      <c r="L4206" s="9" t="e">
        <f t="shared" si="230"/>
        <v>#VALUE!</v>
      </c>
    </row>
    <row r="4207" spans="1:12" x14ac:dyDescent="0.35">
      <c r="A4207" s="9">
        <f t="shared" si="231"/>
        <v>4206</v>
      </c>
      <c r="B4207" t="s">
        <v>109</v>
      </c>
      <c r="C4207" s="109">
        <f>IF(ISBLANK(K4207),IFERROR(VLOOKUP(I4207,FS_input_data!$C$458:$N$648,Export!J4207,FALSE),""),K4207)</f>
        <v>8000</v>
      </c>
      <c r="D4207" s="6" t="b">
        <v>1</v>
      </c>
      <c r="E4207" t="s">
        <v>1561</v>
      </c>
      <c r="F4207" s="6"/>
      <c r="G4207" s="115" t="b">
        <f>VLOOKUP(I4202,FS_input_noty,J4202,FALSE)=""</f>
        <v>0</v>
      </c>
      <c r="H4207" s="6" t="s">
        <v>2189</v>
      </c>
      <c r="I4207" t="s">
        <v>1914</v>
      </c>
      <c r="J4207">
        <v>7</v>
      </c>
      <c r="L4207" s="9" t="e">
        <f t="shared" si="230"/>
        <v>#VALUE!</v>
      </c>
    </row>
    <row r="4208" spans="1:12" x14ac:dyDescent="0.35">
      <c r="A4208">
        <f t="shared" si="231"/>
        <v>4207</v>
      </c>
      <c r="B4208" t="s">
        <v>110</v>
      </c>
      <c r="C4208" s="109" t="str">
        <f>IF(ISBLANK(K4208),IFERROR(VLOOKUP(I4208,FS_input_data!$C$458:$N$648,Export!J4208,FALSE),""),K4208)</f>
        <v/>
      </c>
      <c r="D4208" s="6"/>
      <c r="E4208" t="s">
        <v>1561</v>
      </c>
      <c r="F4208" s="6"/>
      <c r="G4208" s="115" t="b">
        <f>VLOOKUP(I4202,FS_input_noty,J4202,FALSE)=""</f>
        <v>0</v>
      </c>
      <c r="H4208" s="6" t="s">
        <v>2189</v>
      </c>
      <c r="I4208" t="s">
        <v>1561</v>
      </c>
      <c r="J4208" t="s">
        <v>1561</v>
      </c>
      <c r="L4208">
        <f t="shared" si="230"/>
        <v>1</v>
      </c>
    </row>
    <row r="4209" spans="1:12" x14ac:dyDescent="0.35">
      <c r="A4209" s="9">
        <f t="shared" si="231"/>
        <v>4208</v>
      </c>
      <c r="B4209" t="s">
        <v>111</v>
      </c>
      <c r="C4209" s="109">
        <f>IF(ISBLANK(K4209),IFERROR(VLOOKUP(I4209,FS_input_data!$C$458:$N$648,Export!J4209,FALSE),""),K4209)</f>
        <v>4000</v>
      </c>
      <c r="D4209" s="6" t="b">
        <v>0</v>
      </c>
      <c r="E4209" t="s">
        <v>1561</v>
      </c>
      <c r="F4209" s="6"/>
      <c r="G4209" s="115" t="b">
        <f>VLOOKUP(I4202,FS_input_noty,J4202,TRUE)=""</f>
        <v>0</v>
      </c>
      <c r="H4209" s="6" t="s">
        <v>2189</v>
      </c>
      <c r="I4209" t="s">
        <v>1914</v>
      </c>
      <c r="J4209">
        <v>8</v>
      </c>
      <c r="L4209" s="9" t="e">
        <f t="shared" si="230"/>
        <v>#VALUE!</v>
      </c>
    </row>
    <row r="4210" spans="1:12" x14ac:dyDescent="0.35">
      <c r="A4210">
        <f t="shared" si="231"/>
        <v>4209</v>
      </c>
      <c r="B4210" t="s">
        <v>112</v>
      </c>
      <c r="C4210" s="109" t="str">
        <f>IF(ISBLANK(K4210),IFERROR(VLOOKUP(I4210,FS_input_data!$C$458:$N$648,Export!J4210,FALSE),""),K4210)</f>
        <v/>
      </c>
      <c r="D4210" s="6"/>
      <c r="E4210" t="s">
        <v>1561</v>
      </c>
      <c r="F4210" s="6"/>
      <c r="G4210" s="115" t="b">
        <f>VLOOKUP(I4202,FS_input_noty,J4202,FALSE)=""</f>
        <v>0</v>
      </c>
      <c r="H4210" s="6" t="s">
        <v>2189</v>
      </c>
      <c r="I4210" t="s">
        <v>1561</v>
      </c>
      <c r="J4210" t="s">
        <v>1561</v>
      </c>
      <c r="L4210">
        <f t="shared" si="230"/>
        <v>1</v>
      </c>
    </row>
    <row r="4211" spans="1:12" x14ac:dyDescent="0.35">
      <c r="A4211" s="9">
        <f t="shared" si="231"/>
        <v>4210</v>
      </c>
      <c r="B4211" t="s">
        <v>749</v>
      </c>
      <c r="C4211" s="109">
        <f>IF(ISBLANK(K4211),IFERROR(VLOOKUP(I4211,FS_input_data!$C$458:$N$648,Export!J4211,FALSE),""),K4211)</f>
        <v>4000</v>
      </c>
      <c r="D4211" s="6" t="b">
        <v>0</v>
      </c>
      <c r="E4211" t="s">
        <v>1561</v>
      </c>
      <c r="F4211" s="6"/>
      <c r="G4211" s="115" t="b">
        <f>VLOOKUP(I4202,FS_input_noty,J4202,FALSE)=""</f>
        <v>0</v>
      </c>
      <c r="H4211" s="6" t="s">
        <v>2189</v>
      </c>
      <c r="I4211" t="s">
        <v>1914</v>
      </c>
      <c r="J4211">
        <v>9</v>
      </c>
      <c r="L4211" s="9" t="e">
        <f t="shared" si="230"/>
        <v>#VALUE!</v>
      </c>
    </row>
    <row r="4212" spans="1:12" x14ac:dyDescent="0.35">
      <c r="A4212">
        <f t="shared" si="231"/>
        <v>4211</v>
      </c>
      <c r="B4212" t="s">
        <v>750</v>
      </c>
      <c r="C4212" s="109" t="str">
        <f>IF(ISBLANK(K4212),IFERROR(VLOOKUP(I4212,FS_input_data!$C$458:$N$648,Export!J4212,FALSE),""),K4212)</f>
        <v/>
      </c>
      <c r="D4212" s="6"/>
      <c r="E4212" t="s">
        <v>1561</v>
      </c>
      <c r="F4212" s="6"/>
      <c r="G4212" s="115" t="b">
        <f>VLOOKUP(I4202,FS_input_noty,J4202,FALSE)=""</f>
        <v>0</v>
      </c>
      <c r="H4212" s="6" t="s">
        <v>2189</v>
      </c>
      <c r="I4212" t="s">
        <v>1561</v>
      </c>
      <c r="J4212" t="s">
        <v>1561</v>
      </c>
      <c r="L4212">
        <f t="shared" si="230"/>
        <v>1</v>
      </c>
    </row>
    <row r="4213" spans="1:12" x14ac:dyDescent="0.35">
      <c r="A4213">
        <f t="shared" si="231"/>
        <v>4212</v>
      </c>
      <c r="B4213" t="s">
        <v>751</v>
      </c>
      <c r="C4213" s="109" t="str">
        <f>IF(ISBLANK(K4213),IFERROR(VLOOKUP(I4213,FS_input_data!$C$458:$N$648,Export!J4213,FALSE),""),K4213)</f>
        <v/>
      </c>
      <c r="D4213" s="6"/>
      <c r="E4213" t="s">
        <v>1561</v>
      </c>
      <c r="F4213" s="6"/>
      <c r="G4213" s="115" t="b">
        <f>VLOOKUP(I4202,FS_input_noty,J4202,FALSE)=""</f>
        <v>0</v>
      </c>
      <c r="H4213" s="6" t="s">
        <v>2189</v>
      </c>
      <c r="I4213" t="s">
        <v>1561</v>
      </c>
      <c r="J4213" t="s">
        <v>1561</v>
      </c>
      <c r="L4213">
        <f t="shared" si="230"/>
        <v>1</v>
      </c>
    </row>
    <row r="4214" spans="1:12" x14ac:dyDescent="0.35">
      <c r="A4214">
        <f t="shared" si="231"/>
        <v>4213</v>
      </c>
      <c r="B4214" t="s">
        <v>754</v>
      </c>
      <c r="C4214" s="109" t="str">
        <f>IF(ISBLANK(K4214),IFERROR(VLOOKUP(I4214,FS_input_data!$C$458:$N$648,Export!J4214,FALSE),""),K4214)</f>
        <v/>
      </c>
      <c r="D4214" s="6"/>
      <c r="E4214" t="s">
        <v>1561</v>
      </c>
      <c r="F4214" s="6"/>
      <c r="G4214" s="115" t="b">
        <f>VLOOKUP(I4202,FS_input_noty,J4202,FALSE)=""</f>
        <v>0</v>
      </c>
      <c r="H4214" s="6" t="s">
        <v>2189</v>
      </c>
      <c r="I4214" t="s">
        <v>1561</v>
      </c>
      <c r="J4214" t="s">
        <v>1561</v>
      </c>
      <c r="L4214" s="9" t="e">
        <f t="shared" si="230"/>
        <v>#VALUE!</v>
      </c>
    </row>
    <row r="4215" spans="1:12" x14ac:dyDescent="0.35">
      <c r="A4215" s="9">
        <f t="shared" si="231"/>
        <v>4214</v>
      </c>
      <c r="B4215" t="s">
        <v>755</v>
      </c>
      <c r="C4215" s="109">
        <f>IF(ISBLANK(K4215),IFERROR(VLOOKUP(I4215,FS_input_data!$C$458:$N$648,Export!J4215,FALSE),""),K4215)</f>
        <v>52</v>
      </c>
      <c r="D4215" s="6" t="b">
        <v>1</v>
      </c>
      <c r="E4215" t="s">
        <v>1561</v>
      </c>
      <c r="F4215" s="6"/>
      <c r="G4215" s="115" t="b">
        <f>VLOOKUP(I4202,FS_input_noty,J4202,FALSE)=""</f>
        <v>0</v>
      </c>
      <c r="H4215" s="6" t="s">
        <v>2189</v>
      </c>
      <c r="I4215" t="s">
        <v>1914</v>
      </c>
      <c r="J4215">
        <v>2</v>
      </c>
      <c r="L4215" s="9" t="e">
        <f t="shared" si="230"/>
        <v>#VALUE!</v>
      </c>
    </row>
    <row r="4216" spans="1:12" x14ac:dyDescent="0.35">
      <c r="A4216">
        <f t="shared" si="231"/>
        <v>4215</v>
      </c>
      <c r="B4216" t="s">
        <v>756</v>
      </c>
      <c r="C4216" s="109" t="str">
        <f>IF(ISBLANK(K4216),IFERROR(VLOOKUP(I4216,FS_input_data!$C$458:$N$648,Export!J4216,FALSE),""),K4216)</f>
        <v/>
      </c>
      <c r="D4216" s="6"/>
      <c r="E4216" t="s">
        <v>1561</v>
      </c>
      <c r="F4216" s="6"/>
      <c r="G4216" s="115" t="b">
        <f>VLOOKUP(I4202,FS_input_noty,J4202,FALSE)=""</f>
        <v>0</v>
      </c>
      <c r="H4216" s="6" t="s">
        <v>2189</v>
      </c>
      <c r="I4216" t="s">
        <v>1561</v>
      </c>
      <c r="J4216" t="s">
        <v>1561</v>
      </c>
      <c r="L4216">
        <f t="shared" si="230"/>
        <v>1</v>
      </c>
    </row>
    <row r="4217" spans="1:12" x14ac:dyDescent="0.35">
      <c r="A4217" s="9">
        <f t="shared" si="231"/>
        <v>4216</v>
      </c>
      <c r="B4217" t="s">
        <v>757</v>
      </c>
      <c r="C4217" s="109">
        <f>IF(ISBLANK(K4217),IFERROR(VLOOKUP(I4217,FS_input_data!$C$458:$N$648,Export!J4217,FALSE),""),K4217)</f>
        <v>152</v>
      </c>
      <c r="D4217" s="6" t="b">
        <v>0</v>
      </c>
      <c r="E4217" t="s">
        <v>1561</v>
      </c>
      <c r="F4217" s="6"/>
      <c r="G4217" s="115" t="b">
        <f>VLOOKUP(I4202,FS_input_noty,J4202,FALSE)=""</f>
        <v>0</v>
      </c>
      <c r="H4217" s="6" t="s">
        <v>2189</v>
      </c>
      <c r="I4217" t="s">
        <v>1914</v>
      </c>
      <c r="J4217">
        <v>3</v>
      </c>
      <c r="L4217" s="9" t="e">
        <f t="shared" si="230"/>
        <v>#VALUE!</v>
      </c>
    </row>
    <row r="4218" spans="1:12" x14ac:dyDescent="0.35">
      <c r="A4218">
        <f t="shared" si="231"/>
        <v>4217</v>
      </c>
      <c r="B4218" t="s">
        <v>758</v>
      </c>
      <c r="C4218" s="109" t="str">
        <f>IF(ISBLANK(K4218),IFERROR(VLOOKUP(I4218,FS_input_data!$C$458:$N$648,Export!J4218,FALSE),""),K4218)</f>
        <v/>
      </c>
      <c r="D4218" s="6"/>
      <c r="E4218" t="s">
        <v>1561</v>
      </c>
      <c r="F4218" s="6"/>
      <c r="G4218" s="115" t="b">
        <f>VLOOKUP(I4202,FS_input_noty,J4202,FALSE)=""</f>
        <v>0</v>
      </c>
      <c r="H4218" s="6" t="s">
        <v>2189</v>
      </c>
      <c r="I4218" t="s">
        <v>1561</v>
      </c>
      <c r="J4218" t="s">
        <v>1561</v>
      </c>
      <c r="L4218">
        <f t="shared" si="230"/>
        <v>1</v>
      </c>
    </row>
    <row r="4219" spans="1:12" x14ac:dyDescent="0.35">
      <c r="A4219" s="9">
        <f t="shared" si="231"/>
        <v>4218</v>
      </c>
      <c r="B4219" t="s">
        <v>759</v>
      </c>
      <c r="C4219" s="109">
        <f>IF(ISBLANK(K4219),IFERROR(VLOOKUP(I4219,FS_input_data!$C$458:$N$648,Export!J4219,FALSE),""),K4219)</f>
        <v>252</v>
      </c>
      <c r="D4219" s="6" t="b">
        <v>0</v>
      </c>
      <c r="E4219" t="s">
        <v>1561</v>
      </c>
      <c r="F4219" s="6"/>
      <c r="G4219" s="115" t="b">
        <f>VLOOKUP(I4202,FS_input_noty,J4202,FALSE)=""</f>
        <v>0</v>
      </c>
      <c r="H4219" s="6" t="s">
        <v>2189</v>
      </c>
      <c r="I4219" t="s">
        <v>1914</v>
      </c>
      <c r="J4219">
        <v>4</v>
      </c>
      <c r="L4219" s="9" t="e">
        <f t="shared" si="230"/>
        <v>#VALUE!</v>
      </c>
    </row>
    <row r="4220" spans="1:12" x14ac:dyDescent="0.35">
      <c r="A4220">
        <f t="shared" si="231"/>
        <v>4219</v>
      </c>
      <c r="B4220" t="s">
        <v>760</v>
      </c>
      <c r="C4220" s="109" t="str">
        <f>IF(ISBLANK(K4220),IFERROR(VLOOKUP(I4220,FS_input_data!$C$458:$N$648,Export!J4220,FALSE),""),K4220)</f>
        <v/>
      </c>
      <c r="D4220" s="6"/>
      <c r="E4220" t="s">
        <v>1561</v>
      </c>
      <c r="F4220" s="6"/>
      <c r="G4220" s="115" t="b">
        <f>VLOOKUP(I4202,FS_input_noty,J4202,FALSE)=""</f>
        <v>0</v>
      </c>
      <c r="H4220" s="6" t="s">
        <v>2189</v>
      </c>
      <c r="I4220" t="s">
        <v>1561</v>
      </c>
      <c r="J4220" t="s">
        <v>1561</v>
      </c>
      <c r="L4220">
        <f t="shared" si="230"/>
        <v>1</v>
      </c>
    </row>
    <row r="4221" spans="1:12" x14ac:dyDescent="0.35">
      <c r="A4221" s="9">
        <f t="shared" si="231"/>
        <v>4220</v>
      </c>
      <c r="B4221" t="s">
        <v>761</v>
      </c>
      <c r="C4221" s="109" t="str">
        <f>IF(ISBLANK(K4221),IFERROR(VLOOKUP(I4221,FS_input_data!$C$458:$N$648,Export!J4221,FALSE),""),K4221)</f>
        <v>f</v>
      </c>
      <c r="D4221" s="6" t="b">
        <v>0</v>
      </c>
      <c r="E4221" t="s">
        <v>1561</v>
      </c>
      <c r="F4221" s="6"/>
      <c r="G4221" s="115" t="b">
        <f>VLOOKUP(I4202,FS_input_noty,J4202,FALSE)=""</f>
        <v>0</v>
      </c>
      <c r="H4221" s="6" t="s">
        <v>2189</v>
      </c>
      <c r="I4221" t="s">
        <v>1914</v>
      </c>
      <c r="J4221">
        <v>5</v>
      </c>
      <c r="L4221" s="9" t="e">
        <f t="shared" si="230"/>
        <v>#VALUE!</v>
      </c>
    </row>
    <row r="4222" spans="1:12" x14ac:dyDescent="0.35">
      <c r="A4222">
        <f t="shared" si="231"/>
        <v>4221</v>
      </c>
      <c r="B4222" t="s">
        <v>762</v>
      </c>
      <c r="C4222" s="109" t="str">
        <f>IF(ISBLANK(K4222),IFERROR(VLOOKUP(I4222,FS_input_data!$C$458:$N$648,Export!J4222,FALSE),""),K4222)</f>
        <v/>
      </c>
      <c r="D4222" s="6"/>
      <c r="E4222" t="s">
        <v>1561</v>
      </c>
      <c r="F4222" s="6"/>
      <c r="G4222" s="115" t="b">
        <f>VLOOKUP(I4202,FS_input_noty,J4202,FALSE)=""</f>
        <v>0</v>
      </c>
      <c r="H4222" s="6" t="s">
        <v>2189</v>
      </c>
      <c r="I4222" t="s">
        <v>1561</v>
      </c>
      <c r="J4222" t="s">
        <v>1561</v>
      </c>
      <c r="L4222">
        <f t="shared" si="230"/>
        <v>1</v>
      </c>
    </row>
    <row r="4223" spans="1:12" x14ac:dyDescent="0.35">
      <c r="A4223">
        <f t="shared" si="231"/>
        <v>4222</v>
      </c>
      <c r="B4223" t="s">
        <v>763</v>
      </c>
      <c r="C4223" s="109" t="str">
        <f>IF(ISBLANK(K4223),IFERROR(VLOOKUP(I4223,FS_input_data!$C$458:$N$648,Export!J4223,FALSE),""),K4223)</f>
        <v/>
      </c>
      <c r="D4223" s="6"/>
      <c r="E4223" t="s">
        <v>1561</v>
      </c>
      <c r="F4223" s="6"/>
      <c r="G4223" s="115" t="b">
        <f>VLOOKUP(I4202,FS_input_noty,J4202,FALSE)=""</f>
        <v>0</v>
      </c>
      <c r="H4223" s="6" t="s">
        <v>2189</v>
      </c>
      <c r="I4223" t="s">
        <v>1561</v>
      </c>
      <c r="J4223" t="s">
        <v>1561</v>
      </c>
      <c r="L4223">
        <f t="shared" si="230"/>
        <v>1</v>
      </c>
    </row>
    <row r="4224" spans="1:12" x14ac:dyDescent="0.35">
      <c r="A4224">
        <f t="shared" si="231"/>
        <v>4223</v>
      </c>
      <c r="B4224" t="s">
        <v>743</v>
      </c>
      <c r="C4224" s="109" t="str">
        <f>IF(ISBLANK(K4224),IFERROR(VLOOKUP(I4224,FS_input_data!$C$458:$N$648,Export!J4224,FALSE),""),K4224)</f>
        <v/>
      </c>
      <c r="D4224" s="6"/>
      <c r="E4224" t="s">
        <v>1561</v>
      </c>
      <c r="F4224" s="6"/>
      <c r="G4224" s="115" t="b">
        <f>VLOOKUP(I4202,FS_input_noty,J4202,FALSE)=""</f>
        <v>0</v>
      </c>
      <c r="H4224" s="6" t="s">
        <v>2189</v>
      </c>
      <c r="I4224" t="s">
        <v>1561</v>
      </c>
      <c r="J4224" t="s">
        <v>1561</v>
      </c>
      <c r="L4224">
        <f t="shared" si="230"/>
        <v>1</v>
      </c>
    </row>
    <row r="4225" spans="1:12" x14ac:dyDescent="0.35">
      <c r="A4225">
        <f t="shared" si="231"/>
        <v>4224</v>
      </c>
      <c r="B4225" t="s">
        <v>744</v>
      </c>
      <c r="C4225" s="109" t="str">
        <f>IF(ISBLANK(K4225),IFERROR(VLOOKUP(I4225,FS_input_data!$C$458:$N$648,Export!J4225,FALSE),""),K4225)</f>
        <v/>
      </c>
      <c r="D4225" s="6"/>
      <c r="E4225" t="s">
        <v>1561</v>
      </c>
      <c r="F4225" s="6"/>
      <c r="G4225" s="115" t="b">
        <f t="shared" ref="G4225:G4232" si="233">RP_tax</f>
        <v>1</v>
      </c>
      <c r="H4225" s="6" t="s">
        <v>2189</v>
      </c>
      <c r="I4225" t="s">
        <v>1561</v>
      </c>
      <c r="J4225" t="s">
        <v>1561</v>
      </c>
      <c r="L4225" s="9" t="e">
        <f t="shared" si="230"/>
        <v>#VALUE!</v>
      </c>
    </row>
    <row r="4226" spans="1:12" x14ac:dyDescent="0.35">
      <c r="A4226" s="9">
        <f t="shared" si="231"/>
        <v>4225</v>
      </c>
      <c r="B4226" t="s">
        <v>109</v>
      </c>
      <c r="C4226" s="109">
        <f>IF(ISBLANK(K4226),IFERROR(VLOOKUP(I4226,FS_input_data!$C$458:$N$648,Export!J4226,FALSE),""),K4226)</f>
        <v>8000</v>
      </c>
      <c r="D4226" s="6" t="b">
        <v>1</v>
      </c>
      <c r="E4226" t="s">
        <v>1561</v>
      </c>
      <c r="F4226" s="6"/>
      <c r="G4226" s="115" t="b">
        <f t="shared" si="233"/>
        <v>1</v>
      </c>
      <c r="H4226" s="6" t="s">
        <v>2189</v>
      </c>
      <c r="I4226" t="s">
        <v>1914</v>
      </c>
      <c r="J4226">
        <v>10</v>
      </c>
      <c r="L4226" s="9" t="e">
        <f t="shared" ref="L4226:L4289" si="234">FIND("/",B4226)</f>
        <v>#VALUE!</v>
      </c>
    </row>
    <row r="4227" spans="1:12" x14ac:dyDescent="0.35">
      <c r="A4227">
        <f t="shared" ref="A4227:A4290" si="235">A4226+1</f>
        <v>4226</v>
      </c>
      <c r="B4227" t="s">
        <v>110</v>
      </c>
      <c r="C4227" s="109" t="str">
        <f>IF(ISBLANK(K4227),IFERROR(VLOOKUP(I4227,FS_input_data!$C$458:$N$648,Export!J4227,FALSE),""),K4227)</f>
        <v/>
      </c>
      <c r="D4227" s="6"/>
      <c r="E4227" t="s">
        <v>1561</v>
      </c>
      <c r="F4227" s="6"/>
      <c r="G4227" s="115" t="b">
        <f t="shared" si="233"/>
        <v>1</v>
      </c>
      <c r="H4227" s="6" t="s">
        <v>2189</v>
      </c>
      <c r="I4227" t="s">
        <v>1561</v>
      </c>
      <c r="J4227" t="s">
        <v>1561</v>
      </c>
      <c r="L4227">
        <f t="shared" si="234"/>
        <v>1</v>
      </c>
    </row>
    <row r="4228" spans="1:12" x14ac:dyDescent="0.35">
      <c r="A4228" s="9">
        <f t="shared" si="235"/>
        <v>4227</v>
      </c>
      <c r="B4228" t="s">
        <v>111</v>
      </c>
      <c r="C4228" s="109">
        <f>IF(ISBLANK(K4228),IFERROR(VLOOKUP(I4228,FS_input_data!$C$458:$N$648,Export!J4228,FALSE),""),K4228)</f>
        <v>4000</v>
      </c>
      <c r="D4228" s="6" t="b">
        <v>0</v>
      </c>
      <c r="E4228" t="s">
        <v>1561</v>
      </c>
      <c r="F4228" s="6"/>
      <c r="G4228" s="115" t="b">
        <f t="shared" si="233"/>
        <v>1</v>
      </c>
      <c r="H4228" s="6" t="s">
        <v>2189</v>
      </c>
      <c r="I4228" t="s">
        <v>1914</v>
      </c>
      <c r="J4228">
        <v>11</v>
      </c>
      <c r="L4228" s="9" t="e">
        <f t="shared" si="234"/>
        <v>#VALUE!</v>
      </c>
    </row>
    <row r="4229" spans="1:12" x14ac:dyDescent="0.35">
      <c r="A4229">
        <f t="shared" si="235"/>
        <v>4228</v>
      </c>
      <c r="B4229" t="s">
        <v>112</v>
      </c>
      <c r="C4229" s="109" t="str">
        <f>IF(ISBLANK(K4229),IFERROR(VLOOKUP(I4229,FS_input_data!$C$458:$N$648,Export!J4229,FALSE),""),K4229)</f>
        <v/>
      </c>
      <c r="D4229" s="6"/>
      <c r="E4229" t="s">
        <v>1561</v>
      </c>
      <c r="F4229" s="6"/>
      <c r="G4229" s="115" t="b">
        <f t="shared" si="233"/>
        <v>1</v>
      </c>
      <c r="H4229" s="6" t="s">
        <v>2189</v>
      </c>
      <c r="I4229" t="s">
        <v>1561</v>
      </c>
      <c r="J4229" t="s">
        <v>1561</v>
      </c>
      <c r="L4229">
        <f t="shared" si="234"/>
        <v>1</v>
      </c>
    </row>
    <row r="4230" spans="1:12" x14ac:dyDescent="0.35">
      <c r="A4230" s="9">
        <f t="shared" si="235"/>
        <v>4229</v>
      </c>
      <c r="B4230" t="s">
        <v>749</v>
      </c>
      <c r="C4230" s="109">
        <f>IF(ISBLANK(K4230),IFERROR(VLOOKUP(I4230,FS_input_data!$C$458:$N$648,Export!J4230,FALSE),""),K4230)</f>
        <v>4000</v>
      </c>
      <c r="D4230" s="6" t="b">
        <v>0</v>
      </c>
      <c r="E4230" t="s">
        <v>1561</v>
      </c>
      <c r="F4230" s="6"/>
      <c r="G4230" s="115" t="b">
        <f t="shared" si="233"/>
        <v>1</v>
      </c>
      <c r="H4230" s="6" t="s">
        <v>2189</v>
      </c>
      <c r="I4230" t="s">
        <v>1914</v>
      </c>
      <c r="J4230">
        <v>12</v>
      </c>
      <c r="L4230" s="9" t="e">
        <f t="shared" si="234"/>
        <v>#VALUE!</v>
      </c>
    </row>
    <row r="4231" spans="1:12" x14ac:dyDescent="0.35">
      <c r="A4231">
        <f t="shared" si="235"/>
        <v>4230</v>
      </c>
      <c r="B4231" t="s">
        <v>750</v>
      </c>
      <c r="C4231" s="109" t="str">
        <f>IF(ISBLANK(K4231),IFERROR(VLOOKUP(I4231,FS_input_data!$C$458:$N$648,Export!J4231,FALSE),""),K4231)</f>
        <v/>
      </c>
      <c r="D4231" s="6"/>
      <c r="E4231" t="s">
        <v>1561</v>
      </c>
      <c r="F4231" s="6"/>
      <c r="G4231" s="115" t="b">
        <f t="shared" si="233"/>
        <v>1</v>
      </c>
      <c r="H4231" s="6" t="s">
        <v>2189</v>
      </c>
      <c r="I4231" t="s">
        <v>1561</v>
      </c>
      <c r="J4231" t="s">
        <v>1561</v>
      </c>
      <c r="L4231">
        <f t="shared" si="234"/>
        <v>1</v>
      </c>
    </row>
    <row r="4232" spans="1:12" x14ac:dyDescent="0.35">
      <c r="A4232">
        <f t="shared" si="235"/>
        <v>4231</v>
      </c>
      <c r="B4232" t="s">
        <v>745</v>
      </c>
      <c r="C4232" s="109" t="str">
        <f>IF(ISBLANK(K4232),IFERROR(VLOOKUP(I4232,FS_input_data!$C$458:$N$648,Export!J4232,FALSE),""),K4232)</f>
        <v/>
      </c>
      <c r="D4232" s="6"/>
      <c r="E4232" t="s">
        <v>1561</v>
      </c>
      <c r="F4232" s="6"/>
      <c r="G4232" s="115" t="b">
        <f t="shared" si="233"/>
        <v>1</v>
      </c>
      <c r="H4232" s="6" t="s">
        <v>2189</v>
      </c>
      <c r="I4232" t="s">
        <v>1561</v>
      </c>
      <c r="J4232" t="s">
        <v>1561</v>
      </c>
      <c r="L4232">
        <f t="shared" si="234"/>
        <v>1</v>
      </c>
    </row>
    <row r="4233" spans="1:12" x14ac:dyDescent="0.35">
      <c r="A4233">
        <f t="shared" si="235"/>
        <v>4232</v>
      </c>
      <c r="B4233" t="s">
        <v>764</v>
      </c>
      <c r="C4233" s="109" t="str">
        <f>IF(ISBLANK(K4233),IFERROR(VLOOKUP(I4233,FS_input_data!$C$458:$N$648,Export!J4233,FALSE),""),K4233)</f>
        <v/>
      </c>
      <c r="D4233" s="6"/>
      <c r="E4233" t="s">
        <v>1561</v>
      </c>
      <c r="F4233" s="6"/>
      <c r="G4233" s="115" t="b">
        <f>VLOOKUP(I4202,FS_input_noty,J4202,FALSE)=""</f>
        <v>0</v>
      </c>
      <c r="H4233" s="6" t="s">
        <v>2189</v>
      </c>
      <c r="I4233" t="s">
        <v>1561</v>
      </c>
      <c r="J4233" t="s">
        <v>1561</v>
      </c>
      <c r="L4233">
        <f t="shared" si="234"/>
        <v>1</v>
      </c>
    </row>
    <row r="4234" spans="1:12" x14ac:dyDescent="0.35">
      <c r="A4234">
        <f t="shared" si="235"/>
        <v>4233</v>
      </c>
      <c r="B4234" t="s">
        <v>765</v>
      </c>
      <c r="C4234" s="109" t="str">
        <f>IF(ISBLANK(K4234),IFERROR(VLOOKUP(I4234,FS_input_data!$C$458:$N$648,Export!J4234,FALSE),""),K4234)</f>
        <v/>
      </c>
      <c r="D4234" s="6"/>
      <c r="E4234" t="s">
        <v>1561</v>
      </c>
      <c r="F4234" s="6"/>
      <c r="G4234" s="115" t="b">
        <f>VLOOKUP(I4202,FS_input_noty,J4202,FALSE)=""</f>
        <v>0</v>
      </c>
      <c r="H4234" s="6" t="s">
        <v>2189</v>
      </c>
      <c r="I4234" t="s">
        <v>1561</v>
      </c>
      <c r="J4234" t="s">
        <v>1561</v>
      </c>
      <c r="L4234">
        <f t="shared" si="234"/>
        <v>1</v>
      </c>
    </row>
    <row r="4235" spans="1:12" x14ac:dyDescent="0.35">
      <c r="A4235">
        <f t="shared" si="235"/>
        <v>4234</v>
      </c>
      <c r="B4235" t="s">
        <v>752</v>
      </c>
      <c r="C4235" s="109" t="str">
        <f>IF(ISBLANK(K4235),IFERROR(VLOOKUP(I4235,FS_input_data!$C$458:$N$648,Export!J4235,FALSE),""),K4235)</f>
        <v/>
      </c>
      <c r="D4235" s="6"/>
      <c r="E4235" t="s">
        <v>1561</v>
      </c>
      <c r="F4235" s="6"/>
      <c r="G4235" s="115" t="b">
        <f>VLOOKUP(I4236,FS_input_noty,J4236,FALSE)=""</f>
        <v>0</v>
      </c>
      <c r="H4235" s="6" t="s">
        <v>2189</v>
      </c>
      <c r="I4235" t="s">
        <v>1561</v>
      </c>
      <c r="J4235" t="s">
        <v>1561</v>
      </c>
      <c r="L4235" s="9" t="e">
        <f t="shared" si="234"/>
        <v>#VALUE!</v>
      </c>
    </row>
    <row r="4236" spans="1:12" x14ac:dyDescent="0.35">
      <c r="A4236" s="9">
        <f t="shared" si="235"/>
        <v>4235</v>
      </c>
      <c r="B4236" t="s">
        <v>101</v>
      </c>
      <c r="C4236" s="109" t="str">
        <f>IF(ISBLANK(K4236),IFERROR(VLOOKUP(I4236,FS_input_data!$C$458:$N$648,Export!J4236,FALSE),""),K4236)</f>
        <v>OC31</v>
      </c>
      <c r="D4236" s="6" t="b">
        <v>1</v>
      </c>
      <c r="E4236" t="s">
        <v>1561</v>
      </c>
      <c r="F4236" s="6"/>
      <c r="G4236" s="115" t="b">
        <f>VLOOKUP(I4236,FS_input_noty,J4236,FALSE)=""</f>
        <v>0</v>
      </c>
      <c r="H4236" s="6" t="s">
        <v>2189</v>
      </c>
      <c r="I4236" t="s">
        <v>1916</v>
      </c>
      <c r="J4236">
        <v>6</v>
      </c>
      <c r="L4236" s="9" t="e">
        <f t="shared" si="234"/>
        <v>#VALUE!</v>
      </c>
    </row>
    <row r="4237" spans="1:12" x14ac:dyDescent="0.35">
      <c r="A4237">
        <f t="shared" si="235"/>
        <v>4236</v>
      </c>
      <c r="B4237" t="s">
        <v>102</v>
      </c>
      <c r="C4237" s="109" t="str">
        <f>IF(ISBLANK(K4237),IFERROR(VLOOKUP(I4237,FS_input_data!$C$458:$N$648,Export!J4237,FALSE),""),K4237)</f>
        <v/>
      </c>
      <c r="D4237" s="6"/>
      <c r="E4237" t="s">
        <v>1561</v>
      </c>
      <c r="F4237" s="6"/>
      <c r="G4237" s="115" t="b">
        <f>VLOOKUP(I4236,FS_input_noty,J4236,FALSE)=""</f>
        <v>0</v>
      </c>
      <c r="H4237" s="6" t="s">
        <v>2189</v>
      </c>
      <c r="I4237" t="s">
        <v>1561</v>
      </c>
      <c r="J4237" t="s">
        <v>1561</v>
      </c>
      <c r="L4237">
        <f t="shared" si="234"/>
        <v>1</v>
      </c>
    </row>
    <row r="4238" spans="1:12" x14ac:dyDescent="0.35">
      <c r="A4238">
        <f t="shared" si="235"/>
        <v>4237</v>
      </c>
      <c r="B4238" t="s">
        <v>753</v>
      </c>
      <c r="C4238" s="109" t="str">
        <f>IF(ISBLANK(K4238),IFERROR(VLOOKUP(I4238,FS_input_data!$C$458:$N$648,Export!J4238,FALSE),""),K4238)</f>
        <v/>
      </c>
      <c r="D4238" s="6"/>
      <c r="E4238" t="s">
        <v>1561</v>
      </c>
      <c r="F4238" s="6"/>
      <c r="G4238" s="115" t="b">
        <f>VLOOKUP(I4236,FS_input_noty,J4236,FALSE)=""</f>
        <v>0</v>
      </c>
      <c r="H4238" s="6" t="s">
        <v>2189</v>
      </c>
      <c r="I4238" t="s">
        <v>1561</v>
      </c>
      <c r="J4238" t="s">
        <v>1561</v>
      </c>
      <c r="L4238" s="9" t="e">
        <f t="shared" si="234"/>
        <v>#VALUE!</v>
      </c>
    </row>
    <row r="4239" spans="1:12" x14ac:dyDescent="0.35">
      <c r="A4239">
        <f t="shared" si="235"/>
        <v>4238</v>
      </c>
      <c r="B4239" t="s">
        <v>742</v>
      </c>
      <c r="C4239" s="109" t="str">
        <f>IF(ISBLANK(K4239),IFERROR(VLOOKUP(I4239,FS_input_data!$C$458:$N$648,Export!J4239,FALSE),""),K4239)</f>
        <v/>
      </c>
      <c r="D4239" s="6"/>
      <c r="E4239" t="s">
        <v>1561</v>
      </c>
      <c r="F4239" s="6"/>
      <c r="G4239" s="115" t="b">
        <f>VLOOKUP(I4236,FS_input_noty,J4236,FALSE)=""</f>
        <v>0</v>
      </c>
      <c r="H4239" s="6" t="s">
        <v>2189</v>
      </c>
      <c r="I4239" t="s">
        <v>1561</v>
      </c>
      <c r="J4239" t="s">
        <v>1561</v>
      </c>
      <c r="L4239" s="9" t="e">
        <f t="shared" si="234"/>
        <v>#VALUE!</v>
      </c>
    </row>
    <row r="4240" spans="1:12" x14ac:dyDescent="0.35">
      <c r="A4240">
        <f t="shared" si="235"/>
        <v>4239</v>
      </c>
      <c r="B4240" t="s">
        <v>748</v>
      </c>
      <c r="C4240" s="109" t="str">
        <f>IF(ISBLANK(K4240),IFERROR(VLOOKUP(I4240,FS_input_data!$C$458:$N$648,Export!J4240,FALSE),""),K4240)</f>
        <v/>
      </c>
      <c r="D4240" s="6"/>
      <c r="E4240" t="s">
        <v>1561</v>
      </c>
      <c r="F4240" s="6"/>
      <c r="G4240" s="115" t="b">
        <f>VLOOKUP(I4236,FS_input_noty,J4236,FALSE)=""</f>
        <v>0</v>
      </c>
      <c r="H4240" s="6" t="s">
        <v>2189</v>
      </c>
      <c r="I4240" t="s">
        <v>1561</v>
      </c>
      <c r="J4240" t="s">
        <v>1561</v>
      </c>
      <c r="L4240" s="9" t="e">
        <f t="shared" si="234"/>
        <v>#VALUE!</v>
      </c>
    </row>
    <row r="4241" spans="1:12" x14ac:dyDescent="0.35">
      <c r="A4241" s="9">
        <f t="shared" si="235"/>
        <v>4240</v>
      </c>
      <c r="B4241" t="s">
        <v>109</v>
      </c>
      <c r="C4241" s="109">
        <f>IF(ISBLANK(K4241),IFERROR(VLOOKUP(I4241,FS_input_data!$C$458:$N$648,Export!J4241,FALSE),""),K4241)</f>
        <v>9000</v>
      </c>
      <c r="D4241" s="6" t="b">
        <v>1</v>
      </c>
      <c r="E4241" t="s">
        <v>1561</v>
      </c>
      <c r="F4241" s="6"/>
      <c r="G4241" s="115" t="b">
        <f>VLOOKUP(I4236,FS_input_noty,J4236,FALSE)=""</f>
        <v>0</v>
      </c>
      <c r="H4241" s="6" t="s">
        <v>2189</v>
      </c>
      <c r="I4241" t="s">
        <v>1916</v>
      </c>
      <c r="J4241">
        <v>7</v>
      </c>
      <c r="L4241" s="9" t="e">
        <f t="shared" si="234"/>
        <v>#VALUE!</v>
      </c>
    </row>
    <row r="4242" spans="1:12" x14ac:dyDescent="0.35">
      <c r="A4242">
        <f t="shared" si="235"/>
        <v>4241</v>
      </c>
      <c r="B4242" t="s">
        <v>110</v>
      </c>
      <c r="C4242" s="109" t="str">
        <f>IF(ISBLANK(K4242),IFERROR(VLOOKUP(I4242,FS_input_data!$C$458:$N$648,Export!J4242,FALSE),""),K4242)</f>
        <v/>
      </c>
      <c r="D4242" s="6"/>
      <c r="E4242" t="s">
        <v>1561</v>
      </c>
      <c r="F4242" s="6"/>
      <c r="G4242" s="115" t="b">
        <f>VLOOKUP(I4236,FS_input_noty,J4236,FALSE)=""</f>
        <v>0</v>
      </c>
      <c r="H4242" s="6" t="s">
        <v>2189</v>
      </c>
      <c r="I4242" t="s">
        <v>1561</v>
      </c>
      <c r="J4242" t="s">
        <v>1561</v>
      </c>
      <c r="L4242">
        <f t="shared" si="234"/>
        <v>1</v>
      </c>
    </row>
    <row r="4243" spans="1:12" x14ac:dyDescent="0.35">
      <c r="A4243" s="9">
        <f t="shared" si="235"/>
        <v>4242</v>
      </c>
      <c r="B4243" t="s">
        <v>111</v>
      </c>
      <c r="C4243" s="109">
        <f>IF(ISBLANK(K4243),IFERROR(VLOOKUP(I4243,FS_input_data!$C$458:$N$648,Export!J4243,FALSE),""),K4243)</f>
        <v>4500</v>
      </c>
      <c r="D4243" s="6" t="b">
        <v>0</v>
      </c>
      <c r="E4243" t="s">
        <v>1561</v>
      </c>
      <c r="F4243" s="6"/>
      <c r="G4243" s="115" t="b">
        <f>VLOOKUP(I4236,FS_input_noty,J4236,TRUE)=""</f>
        <v>0</v>
      </c>
      <c r="H4243" s="6" t="s">
        <v>2189</v>
      </c>
      <c r="I4243" t="s">
        <v>1916</v>
      </c>
      <c r="J4243">
        <v>8</v>
      </c>
      <c r="L4243" s="9" t="e">
        <f t="shared" si="234"/>
        <v>#VALUE!</v>
      </c>
    </row>
    <row r="4244" spans="1:12" x14ac:dyDescent="0.35">
      <c r="A4244">
        <f t="shared" si="235"/>
        <v>4243</v>
      </c>
      <c r="B4244" t="s">
        <v>112</v>
      </c>
      <c r="C4244" s="109" t="str">
        <f>IF(ISBLANK(K4244),IFERROR(VLOOKUP(I4244,FS_input_data!$C$458:$N$648,Export!J4244,FALSE),""),K4244)</f>
        <v/>
      </c>
      <c r="D4244" s="6"/>
      <c r="E4244" t="s">
        <v>1561</v>
      </c>
      <c r="F4244" s="6"/>
      <c r="G4244" s="115" t="b">
        <f>VLOOKUP(I4236,FS_input_noty,J4236,FALSE)=""</f>
        <v>0</v>
      </c>
      <c r="H4244" s="6" t="s">
        <v>2189</v>
      </c>
      <c r="I4244" t="s">
        <v>1561</v>
      </c>
      <c r="J4244" t="s">
        <v>1561</v>
      </c>
      <c r="L4244">
        <f t="shared" si="234"/>
        <v>1</v>
      </c>
    </row>
    <row r="4245" spans="1:12" x14ac:dyDescent="0.35">
      <c r="A4245" s="9">
        <f t="shared" si="235"/>
        <v>4244</v>
      </c>
      <c r="B4245" t="s">
        <v>749</v>
      </c>
      <c r="C4245" s="109">
        <f>IF(ISBLANK(K4245),IFERROR(VLOOKUP(I4245,FS_input_data!$C$458:$N$648,Export!J4245,FALSE),""),K4245)</f>
        <v>4500</v>
      </c>
      <c r="D4245" s="6" t="b">
        <v>0</v>
      </c>
      <c r="E4245" t="s">
        <v>1561</v>
      </c>
      <c r="F4245" s="6"/>
      <c r="G4245" s="115" t="b">
        <f>VLOOKUP(I4236,FS_input_noty,J4236,FALSE)=""</f>
        <v>0</v>
      </c>
      <c r="H4245" s="6" t="s">
        <v>2189</v>
      </c>
      <c r="I4245" t="s">
        <v>1916</v>
      </c>
      <c r="J4245">
        <v>9</v>
      </c>
      <c r="L4245" s="9" t="e">
        <f t="shared" si="234"/>
        <v>#VALUE!</v>
      </c>
    </row>
    <row r="4246" spans="1:12" x14ac:dyDescent="0.35">
      <c r="A4246">
        <f t="shared" si="235"/>
        <v>4245</v>
      </c>
      <c r="B4246" t="s">
        <v>750</v>
      </c>
      <c r="C4246" s="109" t="str">
        <f>IF(ISBLANK(K4246),IFERROR(VLOOKUP(I4246,FS_input_data!$C$458:$N$648,Export!J4246,FALSE),""),K4246)</f>
        <v/>
      </c>
      <c r="D4246" s="6"/>
      <c r="E4246" t="s">
        <v>1561</v>
      </c>
      <c r="F4246" s="6"/>
      <c r="G4246" s="115" t="b">
        <f>VLOOKUP(I4236,FS_input_noty,J4236,FALSE)=""</f>
        <v>0</v>
      </c>
      <c r="H4246" s="6" t="s">
        <v>2189</v>
      </c>
      <c r="I4246" t="s">
        <v>1561</v>
      </c>
      <c r="J4246" t="s">
        <v>1561</v>
      </c>
      <c r="L4246">
        <f t="shared" si="234"/>
        <v>1</v>
      </c>
    </row>
    <row r="4247" spans="1:12" x14ac:dyDescent="0.35">
      <c r="A4247">
        <f t="shared" si="235"/>
        <v>4246</v>
      </c>
      <c r="B4247" t="s">
        <v>751</v>
      </c>
      <c r="C4247" s="109" t="str">
        <f>IF(ISBLANK(K4247),IFERROR(VLOOKUP(I4247,FS_input_data!$C$458:$N$648,Export!J4247,FALSE),""),K4247)</f>
        <v/>
      </c>
      <c r="D4247" s="6"/>
      <c r="E4247" t="s">
        <v>1561</v>
      </c>
      <c r="F4247" s="6"/>
      <c r="G4247" s="115" t="b">
        <f>VLOOKUP(I4236,FS_input_noty,J4236,FALSE)=""</f>
        <v>0</v>
      </c>
      <c r="H4247" s="6" t="s">
        <v>2189</v>
      </c>
      <c r="I4247" t="s">
        <v>1561</v>
      </c>
      <c r="J4247" t="s">
        <v>1561</v>
      </c>
      <c r="L4247">
        <f t="shared" si="234"/>
        <v>1</v>
      </c>
    </row>
    <row r="4248" spans="1:12" x14ac:dyDescent="0.35">
      <c r="A4248">
        <f t="shared" si="235"/>
        <v>4247</v>
      </c>
      <c r="B4248" t="s">
        <v>754</v>
      </c>
      <c r="C4248" s="109" t="str">
        <f>IF(ISBLANK(K4248),IFERROR(VLOOKUP(I4248,FS_input_data!$C$458:$N$648,Export!J4248,FALSE),""),K4248)</f>
        <v/>
      </c>
      <c r="D4248" s="6"/>
      <c r="E4248" t="s">
        <v>1561</v>
      </c>
      <c r="F4248" s="6"/>
      <c r="G4248" s="115" t="b">
        <f>VLOOKUP(I4236,FS_input_noty,J4236,FALSE)=""</f>
        <v>0</v>
      </c>
      <c r="H4248" s="6" t="s">
        <v>2189</v>
      </c>
      <c r="I4248" t="s">
        <v>1561</v>
      </c>
      <c r="J4248" t="s">
        <v>1561</v>
      </c>
      <c r="L4248" s="9" t="e">
        <f t="shared" si="234"/>
        <v>#VALUE!</v>
      </c>
    </row>
    <row r="4249" spans="1:12" x14ac:dyDescent="0.35">
      <c r="A4249" s="9">
        <f t="shared" si="235"/>
        <v>4248</v>
      </c>
      <c r="B4249" t="s">
        <v>755</v>
      </c>
      <c r="C4249" s="109">
        <f>IF(ISBLANK(K4249),IFERROR(VLOOKUP(I4249,FS_input_data!$C$458:$N$648,Export!J4249,FALSE),""),K4249)</f>
        <v>53</v>
      </c>
      <c r="D4249" s="6" t="b">
        <v>1</v>
      </c>
      <c r="E4249" t="s">
        <v>1561</v>
      </c>
      <c r="F4249" s="6"/>
      <c r="G4249" s="115" t="b">
        <f>VLOOKUP(I4236,FS_input_noty,J4236,FALSE)=""</f>
        <v>0</v>
      </c>
      <c r="H4249" s="6" t="s">
        <v>2189</v>
      </c>
      <c r="I4249" t="s">
        <v>1916</v>
      </c>
      <c r="J4249">
        <v>2</v>
      </c>
      <c r="L4249" s="9" t="e">
        <f t="shared" si="234"/>
        <v>#VALUE!</v>
      </c>
    </row>
    <row r="4250" spans="1:12" x14ac:dyDescent="0.35">
      <c r="A4250">
        <f t="shared" si="235"/>
        <v>4249</v>
      </c>
      <c r="B4250" t="s">
        <v>756</v>
      </c>
      <c r="C4250" s="109" t="str">
        <f>IF(ISBLANK(K4250),IFERROR(VLOOKUP(I4250,FS_input_data!$C$458:$N$648,Export!J4250,FALSE),""),K4250)</f>
        <v/>
      </c>
      <c r="D4250" s="6"/>
      <c r="E4250" t="s">
        <v>1561</v>
      </c>
      <c r="F4250" s="6"/>
      <c r="G4250" s="115" t="b">
        <f>VLOOKUP(I4236,FS_input_noty,J4236,FALSE)=""</f>
        <v>0</v>
      </c>
      <c r="H4250" s="6" t="s">
        <v>2189</v>
      </c>
      <c r="I4250" t="s">
        <v>1561</v>
      </c>
      <c r="J4250" t="s">
        <v>1561</v>
      </c>
      <c r="L4250">
        <f t="shared" si="234"/>
        <v>1</v>
      </c>
    </row>
    <row r="4251" spans="1:12" x14ac:dyDescent="0.35">
      <c r="A4251" s="9">
        <f t="shared" si="235"/>
        <v>4250</v>
      </c>
      <c r="B4251" t="s">
        <v>757</v>
      </c>
      <c r="C4251" s="109">
        <f>IF(ISBLANK(K4251),IFERROR(VLOOKUP(I4251,FS_input_data!$C$458:$N$648,Export!J4251,FALSE),""),K4251)</f>
        <v>153</v>
      </c>
      <c r="D4251" s="6" t="b">
        <v>0</v>
      </c>
      <c r="E4251" t="s">
        <v>1561</v>
      </c>
      <c r="F4251" s="6"/>
      <c r="G4251" s="115" t="b">
        <f>VLOOKUP(I4236,FS_input_noty,J4236,FALSE)=""</f>
        <v>0</v>
      </c>
      <c r="H4251" s="6" t="s">
        <v>2189</v>
      </c>
      <c r="I4251" t="s">
        <v>1916</v>
      </c>
      <c r="J4251">
        <v>3</v>
      </c>
      <c r="L4251" s="9" t="e">
        <f t="shared" si="234"/>
        <v>#VALUE!</v>
      </c>
    </row>
    <row r="4252" spans="1:12" x14ac:dyDescent="0.35">
      <c r="A4252">
        <f t="shared" si="235"/>
        <v>4251</v>
      </c>
      <c r="B4252" t="s">
        <v>758</v>
      </c>
      <c r="C4252" s="109" t="str">
        <f>IF(ISBLANK(K4252),IFERROR(VLOOKUP(I4252,FS_input_data!$C$458:$N$648,Export!J4252,FALSE),""),K4252)</f>
        <v/>
      </c>
      <c r="D4252" s="6"/>
      <c r="E4252" t="s">
        <v>1561</v>
      </c>
      <c r="F4252" s="6"/>
      <c r="G4252" s="115" t="b">
        <f>VLOOKUP(I4236,FS_input_noty,J4236,FALSE)=""</f>
        <v>0</v>
      </c>
      <c r="H4252" s="6" t="s">
        <v>2189</v>
      </c>
      <c r="I4252" t="s">
        <v>1561</v>
      </c>
      <c r="J4252" t="s">
        <v>1561</v>
      </c>
      <c r="L4252">
        <f t="shared" si="234"/>
        <v>1</v>
      </c>
    </row>
    <row r="4253" spans="1:12" x14ac:dyDescent="0.35">
      <c r="A4253" s="9">
        <f t="shared" si="235"/>
        <v>4252</v>
      </c>
      <c r="B4253" t="s">
        <v>759</v>
      </c>
      <c r="C4253" s="109">
        <f>IF(ISBLANK(K4253),IFERROR(VLOOKUP(I4253,FS_input_data!$C$458:$N$648,Export!J4253,FALSE),""),K4253)</f>
        <v>253</v>
      </c>
      <c r="D4253" s="6" t="b">
        <v>0</v>
      </c>
      <c r="E4253" t="s">
        <v>1561</v>
      </c>
      <c r="F4253" s="6"/>
      <c r="G4253" s="115" t="b">
        <f>VLOOKUP(I4236,FS_input_noty,J4236,FALSE)=""</f>
        <v>0</v>
      </c>
      <c r="H4253" s="6" t="s">
        <v>2189</v>
      </c>
      <c r="I4253" t="s">
        <v>1916</v>
      </c>
      <c r="J4253">
        <v>4</v>
      </c>
      <c r="L4253" s="9" t="e">
        <f t="shared" si="234"/>
        <v>#VALUE!</v>
      </c>
    </row>
    <row r="4254" spans="1:12" x14ac:dyDescent="0.35">
      <c r="A4254">
        <f t="shared" si="235"/>
        <v>4253</v>
      </c>
      <c r="B4254" t="s">
        <v>760</v>
      </c>
      <c r="C4254" s="109" t="str">
        <f>IF(ISBLANK(K4254),IFERROR(VLOOKUP(I4254,FS_input_data!$C$458:$N$648,Export!J4254,FALSE),""),K4254)</f>
        <v/>
      </c>
      <c r="D4254" s="6"/>
      <c r="E4254" t="s">
        <v>1561</v>
      </c>
      <c r="F4254" s="6"/>
      <c r="G4254" s="115" t="b">
        <f>VLOOKUP(I4236,FS_input_noty,J4236,FALSE)=""</f>
        <v>0</v>
      </c>
      <c r="H4254" s="6" t="s">
        <v>2189</v>
      </c>
      <c r="I4254" t="s">
        <v>1561</v>
      </c>
      <c r="J4254" t="s">
        <v>1561</v>
      </c>
      <c r="L4254">
        <f t="shared" si="234"/>
        <v>1</v>
      </c>
    </row>
    <row r="4255" spans="1:12" x14ac:dyDescent="0.35">
      <c r="A4255" s="9">
        <f t="shared" si="235"/>
        <v>4254</v>
      </c>
      <c r="B4255" t="s">
        <v>761</v>
      </c>
      <c r="C4255" s="109" t="str">
        <f>IF(ISBLANK(K4255),IFERROR(VLOOKUP(I4255,FS_input_data!$C$458:$N$648,Export!J4255,FALSE),""),K4255)</f>
        <v>g</v>
      </c>
      <c r="D4255" s="6" t="b">
        <v>0</v>
      </c>
      <c r="E4255" t="s">
        <v>1561</v>
      </c>
      <c r="F4255" s="6"/>
      <c r="G4255" s="115" t="b">
        <f>VLOOKUP(I4236,FS_input_noty,J4236,FALSE)=""</f>
        <v>0</v>
      </c>
      <c r="H4255" s="6" t="s">
        <v>2189</v>
      </c>
      <c r="I4255" t="s">
        <v>1916</v>
      </c>
      <c r="J4255">
        <v>5</v>
      </c>
      <c r="L4255" s="9" t="e">
        <f t="shared" si="234"/>
        <v>#VALUE!</v>
      </c>
    </row>
    <row r="4256" spans="1:12" x14ac:dyDescent="0.35">
      <c r="A4256">
        <f t="shared" si="235"/>
        <v>4255</v>
      </c>
      <c r="B4256" t="s">
        <v>762</v>
      </c>
      <c r="C4256" s="109" t="str">
        <f>IF(ISBLANK(K4256),IFERROR(VLOOKUP(I4256,FS_input_data!$C$458:$N$648,Export!J4256,FALSE),""),K4256)</f>
        <v/>
      </c>
      <c r="D4256" s="6"/>
      <c r="E4256" t="s">
        <v>1561</v>
      </c>
      <c r="F4256" s="6"/>
      <c r="G4256" s="115" t="b">
        <f>VLOOKUP(I4236,FS_input_noty,J4236,FALSE)=""</f>
        <v>0</v>
      </c>
      <c r="H4256" s="6" t="s">
        <v>2189</v>
      </c>
      <c r="I4256" t="s">
        <v>1561</v>
      </c>
      <c r="J4256" t="s">
        <v>1561</v>
      </c>
      <c r="L4256">
        <f t="shared" si="234"/>
        <v>1</v>
      </c>
    </row>
    <row r="4257" spans="1:12" x14ac:dyDescent="0.35">
      <c r="A4257">
        <f t="shared" si="235"/>
        <v>4256</v>
      </c>
      <c r="B4257" t="s">
        <v>763</v>
      </c>
      <c r="C4257" s="109" t="str">
        <f>IF(ISBLANK(K4257),IFERROR(VLOOKUP(I4257,FS_input_data!$C$458:$N$648,Export!J4257,FALSE),""),K4257)</f>
        <v/>
      </c>
      <c r="D4257" s="6"/>
      <c r="E4257" t="s">
        <v>1561</v>
      </c>
      <c r="F4257" s="6"/>
      <c r="G4257" s="115" t="b">
        <f>VLOOKUP(I4236,FS_input_noty,J4236,FALSE)=""</f>
        <v>0</v>
      </c>
      <c r="H4257" s="6" t="s">
        <v>2189</v>
      </c>
      <c r="I4257" t="s">
        <v>1561</v>
      </c>
      <c r="J4257" t="s">
        <v>1561</v>
      </c>
      <c r="L4257">
        <f t="shared" si="234"/>
        <v>1</v>
      </c>
    </row>
    <row r="4258" spans="1:12" x14ac:dyDescent="0.35">
      <c r="A4258">
        <f t="shared" si="235"/>
        <v>4257</v>
      </c>
      <c r="B4258" t="s">
        <v>743</v>
      </c>
      <c r="C4258" s="109" t="str">
        <f>IF(ISBLANK(K4258),IFERROR(VLOOKUP(I4258,FS_input_data!$C$458:$N$648,Export!J4258,FALSE),""),K4258)</f>
        <v/>
      </c>
      <c r="D4258" s="6"/>
      <c r="E4258" t="s">
        <v>1561</v>
      </c>
      <c r="F4258" s="6"/>
      <c r="G4258" s="115" t="b">
        <f>VLOOKUP(I4236,FS_input_noty,J4236,FALSE)=""</f>
        <v>0</v>
      </c>
      <c r="H4258" s="6" t="s">
        <v>2189</v>
      </c>
      <c r="I4258" t="s">
        <v>1561</v>
      </c>
      <c r="J4258" t="s">
        <v>1561</v>
      </c>
      <c r="L4258">
        <f t="shared" si="234"/>
        <v>1</v>
      </c>
    </row>
    <row r="4259" spans="1:12" x14ac:dyDescent="0.35">
      <c r="A4259">
        <f t="shared" si="235"/>
        <v>4258</v>
      </c>
      <c r="B4259" t="s">
        <v>744</v>
      </c>
      <c r="C4259" s="109" t="str">
        <f>IF(ISBLANK(K4259),IFERROR(VLOOKUP(I4259,FS_input_data!$C$458:$N$648,Export!J4259,FALSE),""),K4259)</f>
        <v/>
      </c>
      <c r="D4259" s="6"/>
      <c r="E4259" t="s">
        <v>1561</v>
      </c>
      <c r="F4259" s="6"/>
      <c r="G4259" s="115" t="b">
        <f t="shared" ref="G4259:G4266" si="236">RP_tax</f>
        <v>1</v>
      </c>
      <c r="H4259" s="6" t="s">
        <v>2189</v>
      </c>
      <c r="I4259" t="s">
        <v>1561</v>
      </c>
      <c r="J4259" t="s">
        <v>1561</v>
      </c>
      <c r="L4259" s="9" t="e">
        <f t="shared" si="234"/>
        <v>#VALUE!</v>
      </c>
    </row>
    <row r="4260" spans="1:12" x14ac:dyDescent="0.35">
      <c r="A4260" s="9">
        <f t="shared" si="235"/>
        <v>4259</v>
      </c>
      <c r="B4260" t="s">
        <v>109</v>
      </c>
      <c r="C4260" s="109">
        <f>IF(ISBLANK(K4260),IFERROR(VLOOKUP(I4260,FS_input_data!$C$458:$N$648,Export!J4260,FALSE),""),K4260)</f>
        <v>9000</v>
      </c>
      <c r="D4260" s="6" t="b">
        <v>1</v>
      </c>
      <c r="E4260" t="s">
        <v>1561</v>
      </c>
      <c r="F4260" s="6"/>
      <c r="G4260" s="115" t="b">
        <f t="shared" si="236"/>
        <v>1</v>
      </c>
      <c r="H4260" s="6" t="s">
        <v>2189</v>
      </c>
      <c r="I4260" t="s">
        <v>1916</v>
      </c>
      <c r="J4260">
        <v>10</v>
      </c>
      <c r="L4260" s="9" t="e">
        <f t="shared" si="234"/>
        <v>#VALUE!</v>
      </c>
    </row>
    <row r="4261" spans="1:12" x14ac:dyDescent="0.35">
      <c r="A4261">
        <f t="shared" si="235"/>
        <v>4260</v>
      </c>
      <c r="B4261" t="s">
        <v>110</v>
      </c>
      <c r="C4261" s="109" t="str">
        <f>IF(ISBLANK(K4261),IFERROR(VLOOKUP(I4261,FS_input_data!$C$458:$N$648,Export!J4261,FALSE),""),K4261)</f>
        <v/>
      </c>
      <c r="D4261" s="6"/>
      <c r="E4261" t="s">
        <v>1561</v>
      </c>
      <c r="F4261" s="6"/>
      <c r="G4261" s="115" t="b">
        <f t="shared" si="236"/>
        <v>1</v>
      </c>
      <c r="H4261" s="6" t="s">
        <v>2189</v>
      </c>
      <c r="I4261" t="s">
        <v>1561</v>
      </c>
      <c r="J4261" t="s">
        <v>1561</v>
      </c>
      <c r="L4261">
        <f t="shared" si="234"/>
        <v>1</v>
      </c>
    </row>
    <row r="4262" spans="1:12" x14ac:dyDescent="0.35">
      <c r="A4262" s="9">
        <f t="shared" si="235"/>
        <v>4261</v>
      </c>
      <c r="B4262" t="s">
        <v>111</v>
      </c>
      <c r="C4262" s="109">
        <f>IF(ISBLANK(K4262),IFERROR(VLOOKUP(I4262,FS_input_data!$C$458:$N$648,Export!J4262,FALSE),""),K4262)</f>
        <v>4500</v>
      </c>
      <c r="D4262" s="6" t="b">
        <v>0</v>
      </c>
      <c r="E4262" t="s">
        <v>1561</v>
      </c>
      <c r="F4262" s="6"/>
      <c r="G4262" s="115" t="b">
        <f t="shared" si="236"/>
        <v>1</v>
      </c>
      <c r="H4262" s="6" t="s">
        <v>2189</v>
      </c>
      <c r="I4262" t="s">
        <v>1916</v>
      </c>
      <c r="J4262">
        <v>11</v>
      </c>
      <c r="L4262" s="9" t="e">
        <f t="shared" si="234"/>
        <v>#VALUE!</v>
      </c>
    </row>
    <row r="4263" spans="1:12" x14ac:dyDescent="0.35">
      <c r="A4263">
        <f t="shared" si="235"/>
        <v>4262</v>
      </c>
      <c r="B4263" t="s">
        <v>112</v>
      </c>
      <c r="C4263" s="109" t="str">
        <f>IF(ISBLANK(K4263),IFERROR(VLOOKUP(I4263,FS_input_data!$C$458:$N$648,Export!J4263,FALSE),""),K4263)</f>
        <v/>
      </c>
      <c r="D4263" s="6"/>
      <c r="E4263" t="s">
        <v>1561</v>
      </c>
      <c r="F4263" s="6"/>
      <c r="G4263" s="115" t="b">
        <f t="shared" si="236"/>
        <v>1</v>
      </c>
      <c r="H4263" s="6" t="s">
        <v>2189</v>
      </c>
      <c r="I4263" t="s">
        <v>1561</v>
      </c>
      <c r="J4263" t="s">
        <v>1561</v>
      </c>
      <c r="L4263">
        <f t="shared" si="234"/>
        <v>1</v>
      </c>
    </row>
    <row r="4264" spans="1:12" x14ac:dyDescent="0.35">
      <c r="A4264" s="9">
        <f t="shared" si="235"/>
        <v>4263</v>
      </c>
      <c r="B4264" t="s">
        <v>749</v>
      </c>
      <c r="C4264" s="109">
        <f>IF(ISBLANK(K4264),IFERROR(VLOOKUP(I4264,FS_input_data!$C$458:$N$648,Export!J4264,FALSE),""),K4264)</f>
        <v>4500</v>
      </c>
      <c r="D4264" s="6" t="b">
        <v>0</v>
      </c>
      <c r="E4264" t="s">
        <v>1561</v>
      </c>
      <c r="F4264" s="6"/>
      <c r="G4264" s="115" t="b">
        <f t="shared" si="236"/>
        <v>1</v>
      </c>
      <c r="H4264" s="6" t="s">
        <v>2189</v>
      </c>
      <c r="I4264" t="s">
        <v>1916</v>
      </c>
      <c r="J4264">
        <v>12</v>
      </c>
      <c r="L4264" s="9" t="e">
        <f t="shared" si="234"/>
        <v>#VALUE!</v>
      </c>
    </row>
    <row r="4265" spans="1:12" x14ac:dyDescent="0.35">
      <c r="A4265">
        <f t="shared" si="235"/>
        <v>4264</v>
      </c>
      <c r="B4265" t="s">
        <v>750</v>
      </c>
      <c r="C4265" s="109" t="str">
        <f>IF(ISBLANK(K4265),IFERROR(VLOOKUP(I4265,FS_input_data!$C$458:$N$648,Export!J4265,FALSE),""),K4265)</f>
        <v/>
      </c>
      <c r="D4265" s="6"/>
      <c r="E4265" t="s">
        <v>1561</v>
      </c>
      <c r="F4265" s="6"/>
      <c r="G4265" s="115" t="b">
        <f t="shared" si="236"/>
        <v>1</v>
      </c>
      <c r="H4265" s="6" t="s">
        <v>2189</v>
      </c>
      <c r="I4265" t="s">
        <v>1561</v>
      </c>
      <c r="J4265" t="s">
        <v>1561</v>
      </c>
      <c r="L4265">
        <f t="shared" si="234"/>
        <v>1</v>
      </c>
    </row>
    <row r="4266" spans="1:12" x14ac:dyDescent="0.35">
      <c r="A4266">
        <f t="shared" si="235"/>
        <v>4265</v>
      </c>
      <c r="B4266" t="s">
        <v>745</v>
      </c>
      <c r="C4266" s="109" t="str">
        <f>IF(ISBLANK(K4266),IFERROR(VLOOKUP(I4266,FS_input_data!$C$458:$N$648,Export!J4266,FALSE),""),K4266)</f>
        <v/>
      </c>
      <c r="D4266" s="6"/>
      <c r="E4266" t="s">
        <v>1561</v>
      </c>
      <c r="F4266" s="6"/>
      <c r="G4266" s="115" t="b">
        <f t="shared" si="236"/>
        <v>1</v>
      </c>
      <c r="H4266" s="6" t="s">
        <v>2189</v>
      </c>
      <c r="I4266" t="s">
        <v>1561</v>
      </c>
      <c r="J4266" t="s">
        <v>1561</v>
      </c>
      <c r="L4266">
        <f t="shared" si="234"/>
        <v>1</v>
      </c>
    </row>
    <row r="4267" spans="1:12" x14ac:dyDescent="0.35">
      <c r="A4267">
        <f t="shared" si="235"/>
        <v>4266</v>
      </c>
      <c r="B4267" t="s">
        <v>764</v>
      </c>
      <c r="C4267" s="109" t="str">
        <f>IF(ISBLANK(K4267),IFERROR(VLOOKUP(I4267,FS_input_data!$C$458:$N$648,Export!J4267,FALSE),""),K4267)</f>
        <v/>
      </c>
      <c r="D4267" s="6"/>
      <c r="E4267" t="s">
        <v>1561</v>
      </c>
      <c r="F4267" s="6"/>
      <c r="G4267" s="115" t="b">
        <f>VLOOKUP(I4236,FS_input_noty,J4236,FALSE)=""</f>
        <v>0</v>
      </c>
      <c r="H4267" s="6" t="s">
        <v>2189</v>
      </c>
      <c r="I4267" t="s">
        <v>1561</v>
      </c>
      <c r="J4267" t="s">
        <v>1561</v>
      </c>
      <c r="L4267">
        <f t="shared" si="234"/>
        <v>1</v>
      </c>
    </row>
    <row r="4268" spans="1:12" x14ac:dyDescent="0.35">
      <c r="A4268">
        <f t="shared" si="235"/>
        <v>4267</v>
      </c>
      <c r="B4268" t="s">
        <v>765</v>
      </c>
      <c r="C4268" s="109" t="str">
        <f>IF(ISBLANK(K4268),IFERROR(VLOOKUP(I4268,FS_input_data!$C$458:$N$648,Export!J4268,FALSE),""),K4268)</f>
        <v/>
      </c>
      <c r="D4268" s="6"/>
      <c r="E4268" t="s">
        <v>1561</v>
      </c>
      <c r="F4268" s="6"/>
      <c r="G4268" s="115" t="b">
        <f>VLOOKUP(I4236,FS_input_noty,J4236,FALSE)=""</f>
        <v>0</v>
      </c>
      <c r="H4268" s="6" t="s">
        <v>2189</v>
      </c>
      <c r="I4268" t="s">
        <v>1561</v>
      </c>
      <c r="J4268" t="s">
        <v>1561</v>
      </c>
      <c r="L4268">
        <f t="shared" si="234"/>
        <v>1</v>
      </c>
    </row>
    <row r="4269" spans="1:12" x14ac:dyDescent="0.35">
      <c r="A4269">
        <f t="shared" si="235"/>
        <v>4268</v>
      </c>
      <c r="B4269" t="s">
        <v>752</v>
      </c>
      <c r="C4269" s="109" t="str">
        <f>IF(ISBLANK(K4269),IFERROR(VLOOKUP(I4269,FS_input_data!$C$458:$N$648,Export!J4269,FALSE),""),K4269)</f>
        <v/>
      </c>
      <c r="D4269" s="6"/>
      <c r="E4269" t="s">
        <v>1561</v>
      </c>
      <c r="F4269" s="6"/>
      <c r="G4269" s="115" t="b">
        <f>VLOOKUP(I4270,FS_input_noty,J4270,FALSE)=""</f>
        <v>0</v>
      </c>
      <c r="H4269" s="6" t="s">
        <v>2189</v>
      </c>
      <c r="I4269" t="s">
        <v>1561</v>
      </c>
      <c r="J4269" t="s">
        <v>1561</v>
      </c>
      <c r="L4269" s="9" t="e">
        <f t="shared" si="234"/>
        <v>#VALUE!</v>
      </c>
    </row>
    <row r="4270" spans="1:12" x14ac:dyDescent="0.35">
      <c r="A4270" s="9">
        <f t="shared" si="235"/>
        <v>4269</v>
      </c>
      <c r="B4270" t="s">
        <v>101</v>
      </c>
      <c r="C4270" s="109" t="str">
        <f>IF(ISBLANK(K4270),IFERROR(VLOOKUP(I4270,FS_input_data!$C$458:$N$648,Export!J4270,FALSE),""),K4270)</f>
        <v>OC32</v>
      </c>
      <c r="D4270" s="6" t="b">
        <v>1</v>
      </c>
      <c r="E4270" t="s">
        <v>1561</v>
      </c>
      <c r="F4270" s="6"/>
      <c r="G4270" s="115" t="b">
        <f>VLOOKUP(I4270,FS_input_noty,J4270,FALSE)=""</f>
        <v>0</v>
      </c>
      <c r="H4270" s="6" t="s">
        <v>2189</v>
      </c>
      <c r="I4270" t="s">
        <v>1918</v>
      </c>
      <c r="J4270">
        <v>6</v>
      </c>
      <c r="L4270" s="9" t="e">
        <f t="shared" si="234"/>
        <v>#VALUE!</v>
      </c>
    </row>
    <row r="4271" spans="1:12" x14ac:dyDescent="0.35">
      <c r="A4271">
        <f t="shared" si="235"/>
        <v>4270</v>
      </c>
      <c r="B4271" t="s">
        <v>102</v>
      </c>
      <c r="C4271" s="109" t="str">
        <f>IF(ISBLANK(K4271),IFERROR(VLOOKUP(I4271,FS_input_data!$C$458:$N$648,Export!J4271,FALSE),""),K4271)</f>
        <v/>
      </c>
      <c r="D4271" s="6"/>
      <c r="E4271" t="s">
        <v>1561</v>
      </c>
      <c r="F4271" s="6"/>
      <c r="G4271" s="115" t="b">
        <f>VLOOKUP(I4270,FS_input_noty,J4270,FALSE)=""</f>
        <v>0</v>
      </c>
      <c r="H4271" s="6" t="s">
        <v>2189</v>
      </c>
      <c r="I4271" t="s">
        <v>1561</v>
      </c>
      <c r="J4271" t="s">
        <v>1561</v>
      </c>
      <c r="L4271">
        <f t="shared" si="234"/>
        <v>1</v>
      </c>
    </row>
    <row r="4272" spans="1:12" x14ac:dyDescent="0.35">
      <c r="A4272">
        <f t="shared" si="235"/>
        <v>4271</v>
      </c>
      <c r="B4272" t="s">
        <v>753</v>
      </c>
      <c r="C4272" s="109" t="str">
        <f>IF(ISBLANK(K4272),IFERROR(VLOOKUP(I4272,FS_input_data!$C$458:$N$648,Export!J4272,FALSE),""),K4272)</f>
        <v/>
      </c>
      <c r="D4272" s="6"/>
      <c r="E4272" t="s">
        <v>1561</v>
      </c>
      <c r="F4272" s="6"/>
      <c r="G4272" s="115" t="b">
        <f>VLOOKUP(I4270,FS_input_noty,J4270,FALSE)=""</f>
        <v>0</v>
      </c>
      <c r="H4272" s="6" t="s">
        <v>2189</v>
      </c>
      <c r="I4272" t="s">
        <v>1561</v>
      </c>
      <c r="J4272" t="s">
        <v>1561</v>
      </c>
      <c r="L4272" s="9" t="e">
        <f t="shared" si="234"/>
        <v>#VALUE!</v>
      </c>
    </row>
    <row r="4273" spans="1:12" x14ac:dyDescent="0.35">
      <c r="A4273">
        <f t="shared" si="235"/>
        <v>4272</v>
      </c>
      <c r="B4273" t="s">
        <v>742</v>
      </c>
      <c r="C4273" s="109" t="str">
        <f>IF(ISBLANK(K4273),IFERROR(VLOOKUP(I4273,FS_input_data!$C$458:$N$648,Export!J4273,FALSE),""),K4273)</f>
        <v/>
      </c>
      <c r="D4273" s="6"/>
      <c r="E4273" t="s">
        <v>1561</v>
      </c>
      <c r="F4273" s="6"/>
      <c r="G4273" s="115" t="b">
        <f>VLOOKUP(I4270,FS_input_noty,J4270,FALSE)=""</f>
        <v>0</v>
      </c>
      <c r="H4273" s="6" t="s">
        <v>2189</v>
      </c>
      <c r="I4273" t="s">
        <v>1561</v>
      </c>
      <c r="J4273" t="s">
        <v>1561</v>
      </c>
      <c r="L4273" s="9" t="e">
        <f t="shared" si="234"/>
        <v>#VALUE!</v>
      </c>
    </row>
    <row r="4274" spans="1:12" x14ac:dyDescent="0.35">
      <c r="A4274">
        <f t="shared" si="235"/>
        <v>4273</v>
      </c>
      <c r="B4274" t="s">
        <v>748</v>
      </c>
      <c r="C4274" s="109" t="str">
        <f>IF(ISBLANK(K4274),IFERROR(VLOOKUP(I4274,FS_input_data!$C$458:$N$648,Export!J4274,FALSE),""),K4274)</f>
        <v/>
      </c>
      <c r="D4274" s="6"/>
      <c r="E4274" t="s">
        <v>1561</v>
      </c>
      <c r="F4274" s="6"/>
      <c r="G4274" s="115" t="b">
        <f>VLOOKUP(I4270,FS_input_noty,J4270,FALSE)=""</f>
        <v>0</v>
      </c>
      <c r="H4274" s="6" t="s">
        <v>2189</v>
      </c>
      <c r="I4274" t="s">
        <v>1561</v>
      </c>
      <c r="J4274" t="s">
        <v>1561</v>
      </c>
      <c r="L4274" s="9" t="e">
        <f t="shared" si="234"/>
        <v>#VALUE!</v>
      </c>
    </row>
    <row r="4275" spans="1:12" x14ac:dyDescent="0.35">
      <c r="A4275" s="9">
        <f t="shared" si="235"/>
        <v>4274</v>
      </c>
      <c r="B4275" t="s">
        <v>109</v>
      </c>
      <c r="C4275" s="109">
        <f>IF(ISBLANK(K4275),IFERROR(VLOOKUP(I4275,FS_input_data!$C$458:$N$648,Export!J4275,FALSE),""),K4275)</f>
        <v>10000</v>
      </c>
      <c r="D4275" s="6" t="b">
        <v>1</v>
      </c>
      <c r="E4275" t="s">
        <v>1561</v>
      </c>
      <c r="F4275" s="6"/>
      <c r="G4275" s="115" t="b">
        <f>VLOOKUP(I4270,FS_input_noty,J4270,FALSE)=""</f>
        <v>0</v>
      </c>
      <c r="H4275" s="6" t="s">
        <v>2189</v>
      </c>
      <c r="I4275" t="s">
        <v>1918</v>
      </c>
      <c r="J4275">
        <v>7</v>
      </c>
      <c r="L4275" s="9" t="e">
        <f t="shared" si="234"/>
        <v>#VALUE!</v>
      </c>
    </row>
    <row r="4276" spans="1:12" x14ac:dyDescent="0.35">
      <c r="A4276">
        <f t="shared" si="235"/>
        <v>4275</v>
      </c>
      <c r="B4276" t="s">
        <v>110</v>
      </c>
      <c r="C4276" s="109" t="str">
        <f>IF(ISBLANK(K4276),IFERROR(VLOOKUP(I4276,FS_input_data!$C$458:$N$648,Export!J4276,FALSE),""),K4276)</f>
        <v/>
      </c>
      <c r="D4276" s="6"/>
      <c r="E4276" t="s">
        <v>1561</v>
      </c>
      <c r="F4276" s="6"/>
      <c r="G4276" s="115" t="b">
        <f>VLOOKUP(I4270,FS_input_noty,J4270,FALSE)=""</f>
        <v>0</v>
      </c>
      <c r="H4276" s="6" t="s">
        <v>2189</v>
      </c>
      <c r="I4276" t="s">
        <v>1561</v>
      </c>
      <c r="J4276" t="s">
        <v>1561</v>
      </c>
      <c r="L4276">
        <f t="shared" si="234"/>
        <v>1</v>
      </c>
    </row>
    <row r="4277" spans="1:12" x14ac:dyDescent="0.35">
      <c r="A4277" s="9">
        <f t="shared" si="235"/>
        <v>4276</v>
      </c>
      <c r="B4277" t="s">
        <v>111</v>
      </c>
      <c r="C4277" s="109">
        <f>IF(ISBLANK(K4277),IFERROR(VLOOKUP(I4277,FS_input_data!$C$458:$N$648,Export!J4277,FALSE),""),K4277)</f>
        <v>5000</v>
      </c>
      <c r="D4277" s="6" t="b">
        <v>0</v>
      </c>
      <c r="E4277" t="s">
        <v>1561</v>
      </c>
      <c r="F4277" s="6"/>
      <c r="G4277" s="115" t="b">
        <f>VLOOKUP(I4270,FS_input_noty,J4270,TRUE)=""</f>
        <v>0</v>
      </c>
      <c r="H4277" s="6" t="s">
        <v>2189</v>
      </c>
      <c r="I4277" t="s">
        <v>1918</v>
      </c>
      <c r="J4277">
        <v>8</v>
      </c>
      <c r="L4277" s="9" t="e">
        <f t="shared" si="234"/>
        <v>#VALUE!</v>
      </c>
    </row>
    <row r="4278" spans="1:12" x14ac:dyDescent="0.35">
      <c r="A4278">
        <f t="shared" si="235"/>
        <v>4277</v>
      </c>
      <c r="B4278" t="s">
        <v>112</v>
      </c>
      <c r="C4278" s="109" t="str">
        <f>IF(ISBLANK(K4278),IFERROR(VLOOKUP(I4278,FS_input_data!$C$458:$N$648,Export!J4278,FALSE),""),K4278)</f>
        <v/>
      </c>
      <c r="D4278" s="6"/>
      <c r="E4278" t="s">
        <v>1561</v>
      </c>
      <c r="F4278" s="6"/>
      <c r="G4278" s="115" t="b">
        <f>VLOOKUP(I4270,FS_input_noty,J4270,FALSE)=""</f>
        <v>0</v>
      </c>
      <c r="H4278" s="6" t="s">
        <v>2189</v>
      </c>
      <c r="I4278" t="s">
        <v>1561</v>
      </c>
      <c r="J4278" t="s">
        <v>1561</v>
      </c>
      <c r="L4278">
        <f t="shared" si="234"/>
        <v>1</v>
      </c>
    </row>
    <row r="4279" spans="1:12" x14ac:dyDescent="0.35">
      <c r="A4279" s="9">
        <f t="shared" si="235"/>
        <v>4278</v>
      </c>
      <c r="B4279" t="s">
        <v>749</v>
      </c>
      <c r="C4279" s="109">
        <f>IF(ISBLANK(K4279),IFERROR(VLOOKUP(I4279,FS_input_data!$C$458:$N$648,Export!J4279,FALSE),""),K4279)</f>
        <v>5000</v>
      </c>
      <c r="D4279" s="6" t="b">
        <v>0</v>
      </c>
      <c r="E4279" t="s">
        <v>1561</v>
      </c>
      <c r="F4279" s="6"/>
      <c r="G4279" s="115" t="b">
        <f>VLOOKUP(I4270,FS_input_noty,J4270,FALSE)=""</f>
        <v>0</v>
      </c>
      <c r="H4279" s="6" t="s">
        <v>2189</v>
      </c>
      <c r="I4279" t="s">
        <v>1918</v>
      </c>
      <c r="J4279">
        <v>9</v>
      </c>
      <c r="L4279" s="9" t="e">
        <f t="shared" si="234"/>
        <v>#VALUE!</v>
      </c>
    </row>
    <row r="4280" spans="1:12" x14ac:dyDescent="0.35">
      <c r="A4280">
        <f t="shared" si="235"/>
        <v>4279</v>
      </c>
      <c r="B4280" t="s">
        <v>750</v>
      </c>
      <c r="C4280" s="109" t="str">
        <f>IF(ISBLANK(K4280),IFERROR(VLOOKUP(I4280,FS_input_data!$C$458:$N$648,Export!J4280,FALSE),""),K4280)</f>
        <v/>
      </c>
      <c r="D4280" s="6"/>
      <c r="E4280" t="s">
        <v>1561</v>
      </c>
      <c r="F4280" s="6"/>
      <c r="G4280" s="115" t="b">
        <f>VLOOKUP(I4270,FS_input_noty,J4270,FALSE)=""</f>
        <v>0</v>
      </c>
      <c r="H4280" s="6" t="s">
        <v>2189</v>
      </c>
      <c r="I4280" t="s">
        <v>1561</v>
      </c>
      <c r="J4280" t="s">
        <v>1561</v>
      </c>
      <c r="L4280">
        <f t="shared" si="234"/>
        <v>1</v>
      </c>
    </row>
    <row r="4281" spans="1:12" x14ac:dyDescent="0.35">
      <c r="A4281">
        <f t="shared" si="235"/>
        <v>4280</v>
      </c>
      <c r="B4281" t="s">
        <v>751</v>
      </c>
      <c r="C4281" s="109" t="str">
        <f>IF(ISBLANK(K4281),IFERROR(VLOOKUP(I4281,FS_input_data!$C$458:$N$648,Export!J4281,FALSE),""),K4281)</f>
        <v/>
      </c>
      <c r="D4281" s="6"/>
      <c r="E4281" t="s">
        <v>1561</v>
      </c>
      <c r="F4281" s="6"/>
      <c r="G4281" s="115" t="b">
        <f>VLOOKUP(I4270,FS_input_noty,J4270,FALSE)=""</f>
        <v>0</v>
      </c>
      <c r="H4281" s="6" t="s">
        <v>2189</v>
      </c>
      <c r="I4281" t="s">
        <v>1561</v>
      </c>
      <c r="J4281" t="s">
        <v>1561</v>
      </c>
      <c r="L4281">
        <f t="shared" si="234"/>
        <v>1</v>
      </c>
    </row>
    <row r="4282" spans="1:12" x14ac:dyDescent="0.35">
      <c r="A4282">
        <f t="shared" si="235"/>
        <v>4281</v>
      </c>
      <c r="B4282" t="s">
        <v>754</v>
      </c>
      <c r="C4282" s="109" t="str">
        <f>IF(ISBLANK(K4282),IFERROR(VLOOKUP(I4282,FS_input_data!$C$458:$N$648,Export!J4282,FALSE),""),K4282)</f>
        <v/>
      </c>
      <c r="D4282" s="6"/>
      <c r="E4282" t="s">
        <v>1561</v>
      </c>
      <c r="F4282" s="6"/>
      <c r="G4282" s="115" t="b">
        <f>VLOOKUP(I4270,FS_input_noty,J4270,FALSE)=""</f>
        <v>0</v>
      </c>
      <c r="H4282" s="6" t="s">
        <v>2189</v>
      </c>
      <c r="I4282" t="s">
        <v>1561</v>
      </c>
      <c r="J4282" t="s">
        <v>1561</v>
      </c>
      <c r="L4282" s="9" t="e">
        <f t="shared" si="234"/>
        <v>#VALUE!</v>
      </c>
    </row>
    <row r="4283" spans="1:12" x14ac:dyDescent="0.35">
      <c r="A4283" s="9">
        <f t="shared" si="235"/>
        <v>4282</v>
      </c>
      <c r="B4283" t="s">
        <v>755</v>
      </c>
      <c r="C4283" s="109">
        <f>IF(ISBLANK(K4283),IFERROR(VLOOKUP(I4283,FS_input_data!$C$458:$N$648,Export!J4283,FALSE),""),K4283)</f>
        <v>54</v>
      </c>
      <c r="D4283" s="6" t="b">
        <v>1</v>
      </c>
      <c r="E4283" t="s">
        <v>1561</v>
      </c>
      <c r="F4283" s="6"/>
      <c r="G4283" s="115" t="b">
        <f>VLOOKUP(I4270,FS_input_noty,J4270,FALSE)=""</f>
        <v>0</v>
      </c>
      <c r="H4283" s="6" t="s">
        <v>2189</v>
      </c>
      <c r="I4283" t="s">
        <v>1918</v>
      </c>
      <c r="J4283">
        <v>2</v>
      </c>
      <c r="L4283" s="9" t="e">
        <f t="shared" si="234"/>
        <v>#VALUE!</v>
      </c>
    </row>
    <row r="4284" spans="1:12" x14ac:dyDescent="0.35">
      <c r="A4284">
        <f t="shared" si="235"/>
        <v>4283</v>
      </c>
      <c r="B4284" t="s">
        <v>756</v>
      </c>
      <c r="C4284" s="109" t="str">
        <f>IF(ISBLANK(K4284),IFERROR(VLOOKUP(I4284,FS_input_data!$C$458:$N$648,Export!J4284,FALSE),""),K4284)</f>
        <v/>
      </c>
      <c r="D4284" s="6"/>
      <c r="E4284" t="s">
        <v>1561</v>
      </c>
      <c r="F4284" s="6"/>
      <c r="G4284" s="115" t="b">
        <f>VLOOKUP(I4270,FS_input_noty,J4270,FALSE)=""</f>
        <v>0</v>
      </c>
      <c r="H4284" s="6" t="s">
        <v>2189</v>
      </c>
      <c r="I4284" t="s">
        <v>1561</v>
      </c>
      <c r="J4284" t="s">
        <v>1561</v>
      </c>
      <c r="L4284">
        <f t="shared" si="234"/>
        <v>1</v>
      </c>
    </row>
    <row r="4285" spans="1:12" x14ac:dyDescent="0.35">
      <c r="A4285" s="9">
        <f t="shared" si="235"/>
        <v>4284</v>
      </c>
      <c r="B4285" t="s">
        <v>757</v>
      </c>
      <c r="C4285" s="109">
        <f>IF(ISBLANK(K4285),IFERROR(VLOOKUP(I4285,FS_input_data!$C$458:$N$648,Export!J4285,FALSE),""),K4285)</f>
        <v>154</v>
      </c>
      <c r="D4285" s="6" t="b">
        <v>0</v>
      </c>
      <c r="E4285" t="s">
        <v>1561</v>
      </c>
      <c r="F4285" s="6"/>
      <c r="G4285" s="115" t="b">
        <f>VLOOKUP(I4270,FS_input_noty,J4270,FALSE)=""</f>
        <v>0</v>
      </c>
      <c r="H4285" s="6" t="s">
        <v>2189</v>
      </c>
      <c r="I4285" t="s">
        <v>1918</v>
      </c>
      <c r="J4285">
        <v>3</v>
      </c>
      <c r="L4285" s="9" t="e">
        <f t="shared" si="234"/>
        <v>#VALUE!</v>
      </c>
    </row>
    <row r="4286" spans="1:12" x14ac:dyDescent="0.35">
      <c r="A4286">
        <f t="shared" si="235"/>
        <v>4285</v>
      </c>
      <c r="B4286" t="s">
        <v>758</v>
      </c>
      <c r="C4286" s="109" t="str">
        <f>IF(ISBLANK(K4286),IFERROR(VLOOKUP(I4286,FS_input_data!$C$458:$N$648,Export!J4286,FALSE),""),K4286)</f>
        <v/>
      </c>
      <c r="D4286" s="6"/>
      <c r="E4286" t="s">
        <v>1561</v>
      </c>
      <c r="F4286" s="6"/>
      <c r="G4286" s="115" t="b">
        <f>VLOOKUP(I4270,FS_input_noty,J4270,FALSE)=""</f>
        <v>0</v>
      </c>
      <c r="H4286" s="6" t="s">
        <v>2189</v>
      </c>
      <c r="I4286" t="s">
        <v>1561</v>
      </c>
      <c r="J4286" t="s">
        <v>1561</v>
      </c>
      <c r="L4286">
        <f t="shared" si="234"/>
        <v>1</v>
      </c>
    </row>
    <row r="4287" spans="1:12" x14ac:dyDescent="0.35">
      <c r="A4287" s="9">
        <f t="shared" si="235"/>
        <v>4286</v>
      </c>
      <c r="B4287" t="s">
        <v>759</v>
      </c>
      <c r="C4287" s="109">
        <f>IF(ISBLANK(K4287),IFERROR(VLOOKUP(I4287,FS_input_data!$C$458:$N$648,Export!J4287,FALSE),""),K4287)</f>
        <v>254</v>
      </c>
      <c r="D4287" s="6" t="b">
        <v>0</v>
      </c>
      <c r="E4287" t="s">
        <v>1561</v>
      </c>
      <c r="F4287" s="6"/>
      <c r="G4287" s="115" t="b">
        <f>VLOOKUP(I4270,FS_input_noty,J4270,FALSE)=""</f>
        <v>0</v>
      </c>
      <c r="H4287" s="6" t="s">
        <v>2189</v>
      </c>
      <c r="I4287" t="s">
        <v>1918</v>
      </c>
      <c r="J4287">
        <v>4</v>
      </c>
      <c r="L4287" s="9" t="e">
        <f t="shared" si="234"/>
        <v>#VALUE!</v>
      </c>
    </row>
    <row r="4288" spans="1:12" x14ac:dyDescent="0.35">
      <c r="A4288">
        <f t="shared" si="235"/>
        <v>4287</v>
      </c>
      <c r="B4288" t="s">
        <v>760</v>
      </c>
      <c r="C4288" s="109" t="str">
        <f>IF(ISBLANK(K4288),IFERROR(VLOOKUP(I4288,FS_input_data!$C$458:$N$648,Export!J4288,FALSE),""),K4288)</f>
        <v/>
      </c>
      <c r="D4288" s="6"/>
      <c r="E4288" t="s">
        <v>1561</v>
      </c>
      <c r="F4288" s="6"/>
      <c r="G4288" s="115" t="b">
        <f>VLOOKUP(I4270,FS_input_noty,J4270,FALSE)=""</f>
        <v>0</v>
      </c>
      <c r="H4288" s="6" t="s">
        <v>2189</v>
      </c>
      <c r="I4288" t="s">
        <v>1561</v>
      </c>
      <c r="J4288" t="s">
        <v>1561</v>
      </c>
      <c r="L4288">
        <f t="shared" si="234"/>
        <v>1</v>
      </c>
    </row>
    <row r="4289" spans="1:12" x14ac:dyDescent="0.35">
      <c r="A4289" s="9">
        <f t="shared" si="235"/>
        <v>4288</v>
      </c>
      <c r="B4289" t="s">
        <v>761</v>
      </c>
      <c r="C4289" s="109" t="str">
        <f>IF(ISBLANK(K4289),IFERROR(VLOOKUP(I4289,FS_input_data!$C$458:$N$648,Export!J4289,FALSE),""),K4289)</f>
        <v>h</v>
      </c>
      <c r="D4289" s="6" t="b">
        <v>0</v>
      </c>
      <c r="E4289" t="s">
        <v>1561</v>
      </c>
      <c r="F4289" s="6"/>
      <c r="G4289" s="115" t="b">
        <f>VLOOKUP(I4270,FS_input_noty,J4270,FALSE)=""</f>
        <v>0</v>
      </c>
      <c r="H4289" s="6" t="s">
        <v>2189</v>
      </c>
      <c r="I4289" t="s">
        <v>1918</v>
      </c>
      <c r="J4289">
        <v>5</v>
      </c>
      <c r="L4289" s="9" t="e">
        <f t="shared" si="234"/>
        <v>#VALUE!</v>
      </c>
    </row>
    <row r="4290" spans="1:12" x14ac:dyDescent="0.35">
      <c r="A4290">
        <f t="shared" si="235"/>
        <v>4289</v>
      </c>
      <c r="B4290" t="s">
        <v>762</v>
      </c>
      <c r="C4290" s="109" t="str">
        <f>IF(ISBLANK(K4290),IFERROR(VLOOKUP(I4290,FS_input_data!$C$458:$N$648,Export!J4290,FALSE),""),K4290)</f>
        <v/>
      </c>
      <c r="D4290" s="6"/>
      <c r="E4290" t="s">
        <v>1561</v>
      </c>
      <c r="F4290" s="6"/>
      <c r="G4290" s="115" t="b">
        <f>VLOOKUP(I4270,FS_input_noty,J4270,FALSE)=""</f>
        <v>0</v>
      </c>
      <c r="H4290" s="6" t="s">
        <v>2189</v>
      </c>
      <c r="I4290" t="s">
        <v>1561</v>
      </c>
      <c r="J4290" t="s">
        <v>1561</v>
      </c>
      <c r="L4290">
        <f t="shared" ref="L4290:L4353" si="237">FIND("/",B4290)</f>
        <v>1</v>
      </c>
    </row>
    <row r="4291" spans="1:12" x14ac:dyDescent="0.35">
      <c r="A4291">
        <f t="shared" ref="A4291:A4354" si="238">A4290+1</f>
        <v>4290</v>
      </c>
      <c r="B4291" t="s">
        <v>763</v>
      </c>
      <c r="C4291" s="109" t="str">
        <f>IF(ISBLANK(K4291),IFERROR(VLOOKUP(I4291,FS_input_data!$C$458:$N$648,Export!J4291,FALSE),""),K4291)</f>
        <v/>
      </c>
      <c r="D4291" s="6"/>
      <c r="E4291" t="s">
        <v>1561</v>
      </c>
      <c r="F4291" s="6"/>
      <c r="G4291" s="115" t="b">
        <f>VLOOKUP(I4270,FS_input_noty,J4270,FALSE)=""</f>
        <v>0</v>
      </c>
      <c r="H4291" s="6" t="s">
        <v>2189</v>
      </c>
      <c r="I4291" t="s">
        <v>1561</v>
      </c>
      <c r="J4291" t="s">
        <v>1561</v>
      </c>
      <c r="L4291">
        <f t="shared" si="237"/>
        <v>1</v>
      </c>
    </row>
    <row r="4292" spans="1:12" x14ac:dyDescent="0.35">
      <c r="A4292">
        <f t="shared" si="238"/>
        <v>4291</v>
      </c>
      <c r="B4292" t="s">
        <v>743</v>
      </c>
      <c r="C4292" s="109" t="str">
        <f>IF(ISBLANK(K4292),IFERROR(VLOOKUP(I4292,FS_input_data!$C$458:$N$648,Export!J4292,FALSE),""),K4292)</f>
        <v/>
      </c>
      <c r="D4292" s="6"/>
      <c r="E4292" t="s">
        <v>1561</v>
      </c>
      <c r="F4292" s="6"/>
      <c r="G4292" s="115" t="b">
        <f>VLOOKUP(I4270,FS_input_noty,J4270,FALSE)=""</f>
        <v>0</v>
      </c>
      <c r="H4292" s="6" t="s">
        <v>2189</v>
      </c>
      <c r="I4292" t="s">
        <v>1561</v>
      </c>
      <c r="J4292" t="s">
        <v>1561</v>
      </c>
      <c r="L4292">
        <f t="shared" si="237"/>
        <v>1</v>
      </c>
    </row>
    <row r="4293" spans="1:12" x14ac:dyDescent="0.35">
      <c r="A4293">
        <f t="shared" si="238"/>
        <v>4292</v>
      </c>
      <c r="B4293" t="s">
        <v>744</v>
      </c>
      <c r="C4293" s="109" t="str">
        <f>IF(ISBLANK(K4293),IFERROR(VLOOKUP(I4293,FS_input_data!$C$458:$N$648,Export!J4293,FALSE),""),K4293)</f>
        <v/>
      </c>
      <c r="D4293" s="6"/>
      <c r="E4293" t="s">
        <v>1561</v>
      </c>
      <c r="F4293" s="6"/>
      <c r="G4293" s="115" t="b">
        <f t="shared" ref="G4293:G4300" si="239">RP_tax</f>
        <v>1</v>
      </c>
      <c r="H4293" s="6" t="s">
        <v>2189</v>
      </c>
      <c r="I4293" t="s">
        <v>1561</v>
      </c>
      <c r="J4293" t="s">
        <v>1561</v>
      </c>
      <c r="L4293" s="9" t="e">
        <f t="shared" si="237"/>
        <v>#VALUE!</v>
      </c>
    </row>
    <row r="4294" spans="1:12" x14ac:dyDescent="0.35">
      <c r="A4294" s="9">
        <f t="shared" si="238"/>
        <v>4293</v>
      </c>
      <c r="B4294" t="s">
        <v>109</v>
      </c>
      <c r="C4294" s="109">
        <f>IF(ISBLANK(K4294),IFERROR(VLOOKUP(I4294,FS_input_data!$C$458:$N$648,Export!J4294,FALSE),""),K4294)</f>
        <v>10000</v>
      </c>
      <c r="D4294" s="6" t="b">
        <v>1</v>
      </c>
      <c r="E4294" t="s">
        <v>1561</v>
      </c>
      <c r="F4294" s="6"/>
      <c r="G4294" s="115" t="b">
        <f t="shared" si="239"/>
        <v>1</v>
      </c>
      <c r="H4294" s="6" t="s">
        <v>2189</v>
      </c>
      <c r="I4294" t="s">
        <v>1918</v>
      </c>
      <c r="J4294">
        <v>10</v>
      </c>
      <c r="L4294" s="9" t="e">
        <f t="shared" si="237"/>
        <v>#VALUE!</v>
      </c>
    </row>
    <row r="4295" spans="1:12" x14ac:dyDescent="0.35">
      <c r="A4295">
        <f t="shared" si="238"/>
        <v>4294</v>
      </c>
      <c r="B4295" t="s">
        <v>110</v>
      </c>
      <c r="C4295" s="109" t="str">
        <f>IF(ISBLANK(K4295),IFERROR(VLOOKUP(I4295,FS_input_data!$C$458:$N$648,Export!J4295,FALSE),""),K4295)</f>
        <v/>
      </c>
      <c r="D4295" s="6"/>
      <c r="E4295" t="s">
        <v>1561</v>
      </c>
      <c r="F4295" s="6"/>
      <c r="G4295" s="115" t="b">
        <f t="shared" si="239"/>
        <v>1</v>
      </c>
      <c r="H4295" s="6" t="s">
        <v>2189</v>
      </c>
      <c r="I4295" t="s">
        <v>1561</v>
      </c>
      <c r="J4295" t="s">
        <v>1561</v>
      </c>
      <c r="L4295">
        <f t="shared" si="237"/>
        <v>1</v>
      </c>
    </row>
    <row r="4296" spans="1:12" x14ac:dyDescent="0.35">
      <c r="A4296" s="9">
        <f t="shared" si="238"/>
        <v>4295</v>
      </c>
      <c r="B4296" t="s">
        <v>111</v>
      </c>
      <c r="C4296" s="109">
        <f>IF(ISBLANK(K4296),IFERROR(VLOOKUP(I4296,FS_input_data!$C$458:$N$648,Export!J4296,FALSE),""),K4296)</f>
        <v>5000</v>
      </c>
      <c r="D4296" s="6" t="b">
        <v>0</v>
      </c>
      <c r="E4296" t="s">
        <v>1561</v>
      </c>
      <c r="F4296" s="6"/>
      <c r="G4296" s="115" t="b">
        <f t="shared" si="239"/>
        <v>1</v>
      </c>
      <c r="H4296" s="6" t="s">
        <v>2189</v>
      </c>
      <c r="I4296" t="s">
        <v>1918</v>
      </c>
      <c r="J4296">
        <v>11</v>
      </c>
      <c r="L4296" s="9" t="e">
        <f t="shared" si="237"/>
        <v>#VALUE!</v>
      </c>
    </row>
    <row r="4297" spans="1:12" x14ac:dyDescent="0.35">
      <c r="A4297">
        <f t="shared" si="238"/>
        <v>4296</v>
      </c>
      <c r="B4297" t="s">
        <v>112</v>
      </c>
      <c r="C4297" s="109" t="str">
        <f>IF(ISBLANK(K4297),IFERROR(VLOOKUP(I4297,FS_input_data!$C$458:$N$648,Export!J4297,FALSE),""),K4297)</f>
        <v/>
      </c>
      <c r="D4297" s="6"/>
      <c r="E4297" t="s">
        <v>1561</v>
      </c>
      <c r="F4297" s="6"/>
      <c r="G4297" s="115" t="b">
        <f t="shared" si="239"/>
        <v>1</v>
      </c>
      <c r="H4297" s="6" t="s">
        <v>2189</v>
      </c>
      <c r="I4297" t="s">
        <v>1561</v>
      </c>
      <c r="J4297" t="s">
        <v>1561</v>
      </c>
      <c r="L4297">
        <f t="shared" si="237"/>
        <v>1</v>
      </c>
    </row>
    <row r="4298" spans="1:12" x14ac:dyDescent="0.35">
      <c r="A4298" s="9">
        <f t="shared" si="238"/>
        <v>4297</v>
      </c>
      <c r="B4298" t="s">
        <v>749</v>
      </c>
      <c r="C4298" s="109">
        <f>IF(ISBLANK(K4298),IFERROR(VLOOKUP(I4298,FS_input_data!$C$458:$N$648,Export!J4298,FALSE),""),K4298)</f>
        <v>5000</v>
      </c>
      <c r="D4298" s="6" t="b">
        <v>0</v>
      </c>
      <c r="E4298" t="s">
        <v>1561</v>
      </c>
      <c r="F4298" s="6"/>
      <c r="G4298" s="115" t="b">
        <f t="shared" si="239"/>
        <v>1</v>
      </c>
      <c r="H4298" s="6" t="s">
        <v>2189</v>
      </c>
      <c r="I4298" t="s">
        <v>1918</v>
      </c>
      <c r="J4298">
        <v>12</v>
      </c>
      <c r="L4298" s="9" t="e">
        <f t="shared" si="237"/>
        <v>#VALUE!</v>
      </c>
    </row>
    <row r="4299" spans="1:12" x14ac:dyDescent="0.35">
      <c r="A4299">
        <f t="shared" si="238"/>
        <v>4298</v>
      </c>
      <c r="B4299" t="s">
        <v>750</v>
      </c>
      <c r="C4299" s="109" t="str">
        <f>IF(ISBLANK(K4299),IFERROR(VLOOKUP(I4299,FS_input_data!$C$458:$N$648,Export!J4299,FALSE),""),K4299)</f>
        <v/>
      </c>
      <c r="D4299" s="6"/>
      <c r="E4299" t="s">
        <v>1561</v>
      </c>
      <c r="F4299" s="6"/>
      <c r="G4299" s="115" t="b">
        <f t="shared" si="239"/>
        <v>1</v>
      </c>
      <c r="H4299" s="6" t="s">
        <v>2189</v>
      </c>
      <c r="I4299" t="s">
        <v>1561</v>
      </c>
      <c r="J4299" t="s">
        <v>1561</v>
      </c>
      <c r="L4299">
        <f t="shared" si="237"/>
        <v>1</v>
      </c>
    </row>
    <row r="4300" spans="1:12" x14ac:dyDescent="0.35">
      <c r="A4300">
        <f t="shared" si="238"/>
        <v>4299</v>
      </c>
      <c r="B4300" t="s">
        <v>745</v>
      </c>
      <c r="C4300" s="109" t="str">
        <f>IF(ISBLANK(K4300),IFERROR(VLOOKUP(I4300,FS_input_data!$C$458:$N$648,Export!J4300,FALSE),""),K4300)</f>
        <v/>
      </c>
      <c r="D4300" s="6"/>
      <c r="E4300" t="s">
        <v>1561</v>
      </c>
      <c r="F4300" s="6"/>
      <c r="G4300" s="115" t="b">
        <f t="shared" si="239"/>
        <v>1</v>
      </c>
      <c r="H4300" s="6" t="s">
        <v>2189</v>
      </c>
      <c r="I4300" t="s">
        <v>1561</v>
      </c>
      <c r="J4300" t="s">
        <v>1561</v>
      </c>
      <c r="L4300">
        <f t="shared" si="237"/>
        <v>1</v>
      </c>
    </row>
    <row r="4301" spans="1:12" x14ac:dyDescent="0.35">
      <c r="A4301">
        <f t="shared" si="238"/>
        <v>4300</v>
      </c>
      <c r="B4301" t="s">
        <v>764</v>
      </c>
      <c r="C4301" s="109" t="str">
        <f>IF(ISBLANK(K4301),IFERROR(VLOOKUP(I4301,FS_input_data!$C$458:$N$648,Export!J4301,FALSE),""),K4301)</f>
        <v/>
      </c>
      <c r="D4301" s="6"/>
      <c r="E4301" t="s">
        <v>1561</v>
      </c>
      <c r="F4301" s="6"/>
      <c r="G4301" s="115" t="b">
        <f>VLOOKUP(I4270,FS_input_noty,J4270,FALSE)=""</f>
        <v>0</v>
      </c>
      <c r="H4301" s="6" t="s">
        <v>2189</v>
      </c>
      <c r="I4301" t="s">
        <v>1561</v>
      </c>
      <c r="J4301" t="s">
        <v>1561</v>
      </c>
      <c r="L4301">
        <f t="shared" si="237"/>
        <v>1</v>
      </c>
    </row>
    <row r="4302" spans="1:12" x14ac:dyDescent="0.35">
      <c r="A4302">
        <f t="shared" si="238"/>
        <v>4301</v>
      </c>
      <c r="B4302" t="s">
        <v>765</v>
      </c>
      <c r="C4302" s="109" t="str">
        <f>IF(ISBLANK(K4302),IFERROR(VLOOKUP(I4302,FS_input_data!$C$458:$N$648,Export!J4302,FALSE),""),K4302)</f>
        <v/>
      </c>
      <c r="D4302" s="6"/>
      <c r="E4302" t="s">
        <v>1561</v>
      </c>
      <c r="F4302" s="6"/>
      <c r="G4302" s="115" t="b">
        <f>VLOOKUP(I4270,FS_input_noty,J4270,FALSE)=""</f>
        <v>0</v>
      </c>
      <c r="H4302" s="6" t="s">
        <v>2189</v>
      </c>
      <c r="I4302" t="s">
        <v>1561</v>
      </c>
      <c r="J4302" t="s">
        <v>1561</v>
      </c>
      <c r="L4302">
        <f t="shared" si="237"/>
        <v>1</v>
      </c>
    </row>
    <row r="4303" spans="1:12" x14ac:dyDescent="0.35">
      <c r="A4303">
        <f t="shared" si="238"/>
        <v>4302</v>
      </c>
      <c r="B4303" t="s">
        <v>752</v>
      </c>
      <c r="C4303" s="109" t="str">
        <f>IF(ISBLANK(K4303),IFERROR(VLOOKUP(I4303,FS_input_data!$C$458:$N$648,Export!J4303,FALSE),""),K4303)</f>
        <v/>
      </c>
      <c r="D4303" s="6"/>
      <c r="E4303" t="s">
        <v>1561</v>
      </c>
      <c r="F4303" s="6"/>
      <c r="G4303" s="115" t="b">
        <f>VLOOKUP(I4304,FS_input_noty,J4304,FALSE)=""</f>
        <v>0</v>
      </c>
      <c r="H4303" s="6" t="s">
        <v>2189</v>
      </c>
      <c r="I4303" t="s">
        <v>1561</v>
      </c>
      <c r="J4303" t="s">
        <v>1561</v>
      </c>
      <c r="L4303" s="9" t="e">
        <f t="shared" si="237"/>
        <v>#VALUE!</v>
      </c>
    </row>
    <row r="4304" spans="1:12" x14ac:dyDescent="0.35">
      <c r="A4304" s="9">
        <f t="shared" si="238"/>
        <v>4303</v>
      </c>
      <c r="B4304" t="s">
        <v>101</v>
      </c>
      <c r="C4304" s="109" t="str">
        <f>IF(ISBLANK(K4304),IFERROR(VLOOKUP(I4304,FS_input_data!$C$458:$N$648,Export!J4304,FALSE),""),K4304)</f>
        <v>OC33</v>
      </c>
      <c r="D4304" s="6" t="b">
        <v>1</v>
      </c>
      <c r="E4304" t="s">
        <v>1561</v>
      </c>
      <c r="F4304" s="6"/>
      <c r="G4304" s="115" t="b">
        <f>VLOOKUP(I4304,FS_input_noty,J4304,FALSE)=""</f>
        <v>0</v>
      </c>
      <c r="H4304" s="6" t="s">
        <v>2189</v>
      </c>
      <c r="I4304" t="s">
        <v>1920</v>
      </c>
      <c r="J4304">
        <v>6</v>
      </c>
      <c r="L4304" s="9" t="e">
        <f t="shared" si="237"/>
        <v>#VALUE!</v>
      </c>
    </row>
    <row r="4305" spans="1:12" x14ac:dyDescent="0.35">
      <c r="A4305">
        <f t="shared" si="238"/>
        <v>4304</v>
      </c>
      <c r="B4305" t="s">
        <v>102</v>
      </c>
      <c r="C4305" s="109" t="str">
        <f>IF(ISBLANK(K4305),IFERROR(VLOOKUP(I4305,FS_input_data!$C$458:$N$648,Export!J4305,FALSE),""),K4305)</f>
        <v/>
      </c>
      <c r="D4305" s="6"/>
      <c r="E4305" t="s">
        <v>1561</v>
      </c>
      <c r="F4305" s="6"/>
      <c r="G4305" s="115" t="b">
        <f>VLOOKUP(I4304,FS_input_noty,J4304,FALSE)=""</f>
        <v>0</v>
      </c>
      <c r="H4305" s="6" t="s">
        <v>2189</v>
      </c>
      <c r="I4305" t="s">
        <v>1561</v>
      </c>
      <c r="J4305" t="s">
        <v>1561</v>
      </c>
      <c r="L4305">
        <f t="shared" si="237"/>
        <v>1</v>
      </c>
    </row>
    <row r="4306" spans="1:12" x14ac:dyDescent="0.35">
      <c r="A4306">
        <f t="shared" si="238"/>
        <v>4305</v>
      </c>
      <c r="B4306" t="s">
        <v>753</v>
      </c>
      <c r="C4306" s="109" t="str">
        <f>IF(ISBLANK(K4306),IFERROR(VLOOKUP(I4306,FS_input_data!$C$458:$N$648,Export!J4306,FALSE),""),K4306)</f>
        <v/>
      </c>
      <c r="D4306" s="6"/>
      <c r="E4306" t="s">
        <v>1561</v>
      </c>
      <c r="F4306" s="6"/>
      <c r="G4306" s="115" t="b">
        <f>VLOOKUP(I4304,FS_input_noty,J4304,FALSE)=""</f>
        <v>0</v>
      </c>
      <c r="H4306" s="6" t="s">
        <v>2189</v>
      </c>
      <c r="I4306" t="s">
        <v>1561</v>
      </c>
      <c r="J4306" t="s">
        <v>1561</v>
      </c>
      <c r="L4306" s="9" t="e">
        <f t="shared" si="237"/>
        <v>#VALUE!</v>
      </c>
    </row>
    <row r="4307" spans="1:12" x14ac:dyDescent="0.35">
      <c r="A4307">
        <f t="shared" si="238"/>
        <v>4306</v>
      </c>
      <c r="B4307" t="s">
        <v>742</v>
      </c>
      <c r="C4307" s="109" t="str">
        <f>IF(ISBLANK(K4307),IFERROR(VLOOKUP(I4307,FS_input_data!$C$458:$N$648,Export!J4307,FALSE),""),K4307)</f>
        <v/>
      </c>
      <c r="D4307" s="6"/>
      <c r="E4307" t="s">
        <v>1561</v>
      </c>
      <c r="F4307" s="6"/>
      <c r="G4307" s="115" t="b">
        <f>VLOOKUP(I4304,FS_input_noty,J4304,FALSE)=""</f>
        <v>0</v>
      </c>
      <c r="H4307" s="6" t="s">
        <v>2189</v>
      </c>
      <c r="I4307" t="s">
        <v>1561</v>
      </c>
      <c r="J4307" t="s">
        <v>1561</v>
      </c>
      <c r="L4307" s="9" t="e">
        <f t="shared" si="237"/>
        <v>#VALUE!</v>
      </c>
    </row>
    <row r="4308" spans="1:12" x14ac:dyDescent="0.35">
      <c r="A4308">
        <f t="shared" si="238"/>
        <v>4307</v>
      </c>
      <c r="B4308" t="s">
        <v>748</v>
      </c>
      <c r="C4308" s="109" t="str">
        <f>IF(ISBLANK(K4308),IFERROR(VLOOKUP(I4308,FS_input_data!$C$458:$N$648,Export!J4308,FALSE),""),K4308)</f>
        <v/>
      </c>
      <c r="D4308" s="6"/>
      <c r="E4308" t="s">
        <v>1561</v>
      </c>
      <c r="F4308" s="6"/>
      <c r="G4308" s="115" t="b">
        <f>VLOOKUP(I4304,FS_input_noty,J4304,FALSE)=""</f>
        <v>0</v>
      </c>
      <c r="H4308" s="6" t="s">
        <v>2189</v>
      </c>
      <c r="I4308" t="s">
        <v>1561</v>
      </c>
      <c r="J4308" t="s">
        <v>1561</v>
      </c>
      <c r="L4308" s="9" t="e">
        <f t="shared" si="237"/>
        <v>#VALUE!</v>
      </c>
    </row>
    <row r="4309" spans="1:12" x14ac:dyDescent="0.35">
      <c r="A4309" s="9">
        <f t="shared" si="238"/>
        <v>4308</v>
      </c>
      <c r="B4309" t="s">
        <v>109</v>
      </c>
      <c r="C4309" s="109">
        <f>IF(ISBLANK(K4309),IFERROR(VLOOKUP(I4309,FS_input_data!$C$458:$N$648,Export!J4309,FALSE),""),K4309)</f>
        <v>11000</v>
      </c>
      <c r="D4309" s="6" t="b">
        <v>1</v>
      </c>
      <c r="E4309" t="s">
        <v>1561</v>
      </c>
      <c r="F4309" s="6"/>
      <c r="G4309" s="115" t="b">
        <f>VLOOKUP(I4304,FS_input_noty,J4304,FALSE)=""</f>
        <v>0</v>
      </c>
      <c r="H4309" s="6" t="s">
        <v>2189</v>
      </c>
      <c r="I4309" t="s">
        <v>1920</v>
      </c>
      <c r="J4309">
        <v>7</v>
      </c>
      <c r="L4309" s="9" t="e">
        <f t="shared" si="237"/>
        <v>#VALUE!</v>
      </c>
    </row>
    <row r="4310" spans="1:12" x14ac:dyDescent="0.35">
      <c r="A4310">
        <f t="shared" si="238"/>
        <v>4309</v>
      </c>
      <c r="B4310" t="s">
        <v>110</v>
      </c>
      <c r="C4310" s="109" t="str">
        <f>IF(ISBLANK(K4310),IFERROR(VLOOKUP(I4310,FS_input_data!$C$458:$N$648,Export!J4310,FALSE),""),K4310)</f>
        <v/>
      </c>
      <c r="D4310" s="6"/>
      <c r="E4310" t="s">
        <v>1561</v>
      </c>
      <c r="F4310" s="6"/>
      <c r="G4310" s="115" t="b">
        <f>VLOOKUP(I4304,FS_input_noty,J4304,FALSE)=""</f>
        <v>0</v>
      </c>
      <c r="H4310" s="6" t="s">
        <v>2189</v>
      </c>
      <c r="I4310" t="s">
        <v>1561</v>
      </c>
      <c r="J4310" t="s">
        <v>1561</v>
      </c>
      <c r="L4310">
        <f t="shared" si="237"/>
        <v>1</v>
      </c>
    </row>
    <row r="4311" spans="1:12" x14ac:dyDescent="0.35">
      <c r="A4311" s="9">
        <f t="shared" si="238"/>
        <v>4310</v>
      </c>
      <c r="B4311" t="s">
        <v>111</v>
      </c>
      <c r="C4311" s="109">
        <f>IF(ISBLANK(K4311),IFERROR(VLOOKUP(I4311,FS_input_data!$C$458:$N$648,Export!J4311,FALSE),""),K4311)</f>
        <v>5500</v>
      </c>
      <c r="D4311" s="6" t="b">
        <v>0</v>
      </c>
      <c r="E4311" t="s">
        <v>1561</v>
      </c>
      <c r="F4311" s="6"/>
      <c r="G4311" s="115" t="b">
        <f>VLOOKUP(I4304,FS_input_noty,J4304,TRUE)=""</f>
        <v>0</v>
      </c>
      <c r="H4311" s="6" t="s">
        <v>2189</v>
      </c>
      <c r="I4311" t="s">
        <v>1920</v>
      </c>
      <c r="J4311">
        <v>8</v>
      </c>
      <c r="L4311" s="9" t="e">
        <f t="shared" si="237"/>
        <v>#VALUE!</v>
      </c>
    </row>
    <row r="4312" spans="1:12" x14ac:dyDescent="0.35">
      <c r="A4312">
        <f t="shared" si="238"/>
        <v>4311</v>
      </c>
      <c r="B4312" t="s">
        <v>112</v>
      </c>
      <c r="C4312" s="109" t="str">
        <f>IF(ISBLANK(K4312),IFERROR(VLOOKUP(I4312,FS_input_data!$C$458:$N$648,Export!J4312,FALSE),""),K4312)</f>
        <v/>
      </c>
      <c r="D4312" s="6"/>
      <c r="E4312" t="s">
        <v>1561</v>
      </c>
      <c r="F4312" s="6"/>
      <c r="G4312" s="115" t="b">
        <f>VLOOKUP(I4304,FS_input_noty,J4304,FALSE)=""</f>
        <v>0</v>
      </c>
      <c r="H4312" s="6" t="s">
        <v>2189</v>
      </c>
      <c r="I4312" t="s">
        <v>1561</v>
      </c>
      <c r="J4312" t="s">
        <v>1561</v>
      </c>
      <c r="L4312">
        <f t="shared" si="237"/>
        <v>1</v>
      </c>
    </row>
    <row r="4313" spans="1:12" x14ac:dyDescent="0.35">
      <c r="A4313" s="9">
        <f t="shared" si="238"/>
        <v>4312</v>
      </c>
      <c r="B4313" t="s">
        <v>749</v>
      </c>
      <c r="C4313" s="109">
        <f>IF(ISBLANK(K4313),IFERROR(VLOOKUP(I4313,FS_input_data!$C$458:$N$648,Export!J4313,FALSE),""),K4313)</f>
        <v>5500</v>
      </c>
      <c r="D4313" s="6" t="b">
        <v>0</v>
      </c>
      <c r="E4313" t="s">
        <v>1561</v>
      </c>
      <c r="F4313" s="6"/>
      <c r="G4313" s="115" t="b">
        <f>VLOOKUP(I4304,FS_input_noty,J4304,FALSE)=""</f>
        <v>0</v>
      </c>
      <c r="H4313" s="6" t="s">
        <v>2189</v>
      </c>
      <c r="I4313" t="s">
        <v>1920</v>
      </c>
      <c r="J4313">
        <v>9</v>
      </c>
      <c r="L4313" s="9" t="e">
        <f t="shared" si="237"/>
        <v>#VALUE!</v>
      </c>
    </row>
    <row r="4314" spans="1:12" x14ac:dyDescent="0.35">
      <c r="A4314">
        <f t="shared" si="238"/>
        <v>4313</v>
      </c>
      <c r="B4314" t="s">
        <v>750</v>
      </c>
      <c r="C4314" s="109" t="str">
        <f>IF(ISBLANK(K4314),IFERROR(VLOOKUP(I4314,FS_input_data!$C$458:$N$648,Export!J4314,FALSE),""),K4314)</f>
        <v/>
      </c>
      <c r="D4314" s="6"/>
      <c r="E4314" t="s">
        <v>1561</v>
      </c>
      <c r="F4314" s="6"/>
      <c r="G4314" s="115" t="b">
        <f>VLOOKUP(I4304,FS_input_noty,J4304,FALSE)=""</f>
        <v>0</v>
      </c>
      <c r="H4314" s="6" t="s">
        <v>2189</v>
      </c>
      <c r="I4314" t="s">
        <v>1561</v>
      </c>
      <c r="J4314" t="s">
        <v>1561</v>
      </c>
      <c r="L4314">
        <f t="shared" si="237"/>
        <v>1</v>
      </c>
    </row>
    <row r="4315" spans="1:12" x14ac:dyDescent="0.35">
      <c r="A4315">
        <f t="shared" si="238"/>
        <v>4314</v>
      </c>
      <c r="B4315" t="s">
        <v>751</v>
      </c>
      <c r="C4315" s="109" t="str">
        <f>IF(ISBLANK(K4315),IFERROR(VLOOKUP(I4315,FS_input_data!$C$458:$N$648,Export!J4315,FALSE),""),K4315)</f>
        <v/>
      </c>
      <c r="D4315" s="6"/>
      <c r="E4315" t="s">
        <v>1561</v>
      </c>
      <c r="F4315" s="6"/>
      <c r="G4315" s="115" t="b">
        <f>VLOOKUP(I4304,FS_input_noty,J4304,FALSE)=""</f>
        <v>0</v>
      </c>
      <c r="H4315" s="6" t="s">
        <v>2189</v>
      </c>
      <c r="I4315" t="s">
        <v>1561</v>
      </c>
      <c r="J4315" t="s">
        <v>1561</v>
      </c>
      <c r="L4315">
        <f t="shared" si="237"/>
        <v>1</v>
      </c>
    </row>
    <row r="4316" spans="1:12" x14ac:dyDescent="0.35">
      <c r="A4316">
        <f t="shared" si="238"/>
        <v>4315</v>
      </c>
      <c r="B4316" t="s">
        <v>754</v>
      </c>
      <c r="C4316" s="109" t="str">
        <f>IF(ISBLANK(K4316),IFERROR(VLOOKUP(I4316,FS_input_data!$C$458:$N$648,Export!J4316,FALSE),""),K4316)</f>
        <v/>
      </c>
      <c r="D4316" s="6"/>
      <c r="E4316" t="s">
        <v>1561</v>
      </c>
      <c r="F4316" s="6"/>
      <c r="G4316" s="115" t="b">
        <f>VLOOKUP(I4304,FS_input_noty,J4304,FALSE)=""</f>
        <v>0</v>
      </c>
      <c r="H4316" s="6" t="s">
        <v>2189</v>
      </c>
      <c r="I4316" t="s">
        <v>1561</v>
      </c>
      <c r="J4316" t="s">
        <v>1561</v>
      </c>
      <c r="L4316" s="9" t="e">
        <f t="shared" si="237"/>
        <v>#VALUE!</v>
      </c>
    </row>
    <row r="4317" spans="1:12" x14ac:dyDescent="0.35">
      <c r="A4317" s="9">
        <f t="shared" si="238"/>
        <v>4316</v>
      </c>
      <c r="B4317" t="s">
        <v>755</v>
      </c>
      <c r="C4317" s="109">
        <f>IF(ISBLANK(K4317),IFERROR(VLOOKUP(I4317,FS_input_data!$C$458:$N$648,Export!J4317,FALSE),""),K4317)</f>
        <v>55</v>
      </c>
      <c r="D4317" s="6" t="b">
        <v>1</v>
      </c>
      <c r="E4317" t="s">
        <v>1561</v>
      </c>
      <c r="F4317" s="6"/>
      <c r="G4317" s="115" t="b">
        <f>VLOOKUP(I4304,FS_input_noty,J4304,FALSE)=""</f>
        <v>0</v>
      </c>
      <c r="H4317" s="6" t="s">
        <v>2189</v>
      </c>
      <c r="I4317" t="s">
        <v>1920</v>
      </c>
      <c r="J4317">
        <v>2</v>
      </c>
      <c r="L4317" s="9" t="e">
        <f t="shared" si="237"/>
        <v>#VALUE!</v>
      </c>
    </row>
    <row r="4318" spans="1:12" x14ac:dyDescent="0.35">
      <c r="A4318">
        <f t="shared" si="238"/>
        <v>4317</v>
      </c>
      <c r="B4318" t="s">
        <v>756</v>
      </c>
      <c r="C4318" s="109" t="str">
        <f>IF(ISBLANK(K4318),IFERROR(VLOOKUP(I4318,FS_input_data!$C$458:$N$648,Export!J4318,FALSE),""),K4318)</f>
        <v/>
      </c>
      <c r="D4318" s="6"/>
      <c r="E4318" t="s">
        <v>1561</v>
      </c>
      <c r="F4318" s="6"/>
      <c r="G4318" s="115" t="b">
        <f>VLOOKUP(I4304,FS_input_noty,J4304,FALSE)=""</f>
        <v>0</v>
      </c>
      <c r="H4318" s="6" t="s">
        <v>2189</v>
      </c>
      <c r="I4318" t="s">
        <v>1561</v>
      </c>
      <c r="J4318" t="s">
        <v>1561</v>
      </c>
      <c r="L4318">
        <f t="shared" si="237"/>
        <v>1</v>
      </c>
    </row>
    <row r="4319" spans="1:12" x14ac:dyDescent="0.35">
      <c r="A4319" s="9">
        <f t="shared" si="238"/>
        <v>4318</v>
      </c>
      <c r="B4319" t="s">
        <v>757</v>
      </c>
      <c r="C4319" s="109">
        <f>IF(ISBLANK(K4319),IFERROR(VLOOKUP(I4319,FS_input_data!$C$458:$N$648,Export!J4319,FALSE),""),K4319)</f>
        <v>155</v>
      </c>
      <c r="D4319" s="6" t="b">
        <v>0</v>
      </c>
      <c r="E4319" t="s">
        <v>1561</v>
      </c>
      <c r="F4319" s="6"/>
      <c r="G4319" s="115" t="b">
        <f>VLOOKUP(I4304,FS_input_noty,J4304,FALSE)=""</f>
        <v>0</v>
      </c>
      <c r="H4319" s="6" t="s">
        <v>2189</v>
      </c>
      <c r="I4319" t="s">
        <v>1920</v>
      </c>
      <c r="J4319">
        <v>3</v>
      </c>
      <c r="L4319" s="9" t="e">
        <f t="shared" si="237"/>
        <v>#VALUE!</v>
      </c>
    </row>
    <row r="4320" spans="1:12" x14ac:dyDescent="0.35">
      <c r="A4320">
        <f t="shared" si="238"/>
        <v>4319</v>
      </c>
      <c r="B4320" t="s">
        <v>758</v>
      </c>
      <c r="C4320" s="109" t="str">
        <f>IF(ISBLANK(K4320),IFERROR(VLOOKUP(I4320,FS_input_data!$C$458:$N$648,Export!J4320,FALSE),""),K4320)</f>
        <v/>
      </c>
      <c r="D4320" s="6"/>
      <c r="E4320" t="s">
        <v>1561</v>
      </c>
      <c r="F4320" s="6"/>
      <c r="G4320" s="115" t="b">
        <f>VLOOKUP(I4304,FS_input_noty,J4304,FALSE)=""</f>
        <v>0</v>
      </c>
      <c r="H4320" s="6" t="s">
        <v>2189</v>
      </c>
      <c r="I4320" t="s">
        <v>1561</v>
      </c>
      <c r="J4320" t="s">
        <v>1561</v>
      </c>
      <c r="L4320">
        <f t="shared" si="237"/>
        <v>1</v>
      </c>
    </row>
    <row r="4321" spans="1:12" x14ac:dyDescent="0.35">
      <c r="A4321" s="9">
        <f t="shared" si="238"/>
        <v>4320</v>
      </c>
      <c r="B4321" t="s">
        <v>759</v>
      </c>
      <c r="C4321" s="109">
        <f>IF(ISBLANK(K4321),IFERROR(VLOOKUP(I4321,FS_input_data!$C$458:$N$648,Export!J4321,FALSE),""),K4321)</f>
        <v>255</v>
      </c>
      <c r="D4321" s="6" t="b">
        <v>0</v>
      </c>
      <c r="E4321" t="s">
        <v>1561</v>
      </c>
      <c r="F4321" s="6"/>
      <c r="G4321" s="115" t="b">
        <f>VLOOKUP(I4304,FS_input_noty,J4304,FALSE)=""</f>
        <v>0</v>
      </c>
      <c r="H4321" s="6" t="s">
        <v>2189</v>
      </c>
      <c r="I4321" t="s">
        <v>1920</v>
      </c>
      <c r="J4321">
        <v>4</v>
      </c>
      <c r="L4321" s="9" t="e">
        <f t="shared" si="237"/>
        <v>#VALUE!</v>
      </c>
    </row>
    <row r="4322" spans="1:12" x14ac:dyDescent="0.35">
      <c r="A4322">
        <f t="shared" si="238"/>
        <v>4321</v>
      </c>
      <c r="B4322" t="s">
        <v>760</v>
      </c>
      <c r="C4322" s="109" t="str">
        <f>IF(ISBLANK(K4322),IFERROR(VLOOKUP(I4322,FS_input_data!$C$458:$N$648,Export!J4322,FALSE),""),K4322)</f>
        <v/>
      </c>
      <c r="D4322" s="6"/>
      <c r="E4322" t="s">
        <v>1561</v>
      </c>
      <c r="F4322" s="6"/>
      <c r="G4322" s="115" t="b">
        <f>VLOOKUP(I4304,FS_input_noty,J4304,FALSE)=""</f>
        <v>0</v>
      </c>
      <c r="H4322" s="6" t="s">
        <v>2189</v>
      </c>
      <c r="I4322" t="s">
        <v>1561</v>
      </c>
      <c r="J4322" t="s">
        <v>1561</v>
      </c>
      <c r="L4322">
        <f t="shared" si="237"/>
        <v>1</v>
      </c>
    </row>
    <row r="4323" spans="1:12" x14ac:dyDescent="0.35">
      <c r="A4323" s="9">
        <f t="shared" si="238"/>
        <v>4322</v>
      </c>
      <c r="B4323" t="s">
        <v>761</v>
      </c>
      <c r="C4323" s="109" t="str">
        <f>IF(ISBLANK(K4323),IFERROR(VLOOKUP(I4323,FS_input_data!$C$458:$N$648,Export!J4323,FALSE),""),K4323)</f>
        <v>i</v>
      </c>
      <c r="D4323" s="6" t="b">
        <v>0</v>
      </c>
      <c r="E4323" t="s">
        <v>1561</v>
      </c>
      <c r="F4323" s="6"/>
      <c r="G4323" s="115" t="b">
        <f>VLOOKUP(I4304,FS_input_noty,J4304,FALSE)=""</f>
        <v>0</v>
      </c>
      <c r="H4323" s="6" t="s">
        <v>2189</v>
      </c>
      <c r="I4323" t="s">
        <v>1920</v>
      </c>
      <c r="J4323">
        <v>5</v>
      </c>
      <c r="L4323" s="9" t="e">
        <f t="shared" si="237"/>
        <v>#VALUE!</v>
      </c>
    </row>
    <row r="4324" spans="1:12" x14ac:dyDescent="0.35">
      <c r="A4324">
        <f t="shared" si="238"/>
        <v>4323</v>
      </c>
      <c r="B4324" t="s">
        <v>762</v>
      </c>
      <c r="C4324" s="109" t="str">
        <f>IF(ISBLANK(K4324),IFERROR(VLOOKUP(I4324,FS_input_data!$C$458:$N$648,Export!J4324,FALSE),""),K4324)</f>
        <v/>
      </c>
      <c r="D4324" s="6"/>
      <c r="E4324" t="s">
        <v>1561</v>
      </c>
      <c r="F4324" s="6"/>
      <c r="G4324" s="115" t="b">
        <f>VLOOKUP(I4304,FS_input_noty,J4304,FALSE)=""</f>
        <v>0</v>
      </c>
      <c r="H4324" s="6" t="s">
        <v>2189</v>
      </c>
      <c r="I4324" t="s">
        <v>1561</v>
      </c>
      <c r="J4324" t="s">
        <v>1561</v>
      </c>
      <c r="L4324">
        <f t="shared" si="237"/>
        <v>1</v>
      </c>
    </row>
    <row r="4325" spans="1:12" x14ac:dyDescent="0.35">
      <c r="A4325">
        <f t="shared" si="238"/>
        <v>4324</v>
      </c>
      <c r="B4325" t="s">
        <v>763</v>
      </c>
      <c r="C4325" s="109" t="str">
        <f>IF(ISBLANK(K4325),IFERROR(VLOOKUP(I4325,FS_input_data!$C$458:$N$648,Export!J4325,FALSE),""),K4325)</f>
        <v/>
      </c>
      <c r="D4325" s="6"/>
      <c r="E4325" t="s">
        <v>1561</v>
      </c>
      <c r="F4325" s="6"/>
      <c r="G4325" s="115" t="b">
        <f>VLOOKUP(I4304,FS_input_noty,J4304,FALSE)=""</f>
        <v>0</v>
      </c>
      <c r="H4325" s="6" t="s">
        <v>2189</v>
      </c>
      <c r="I4325" t="s">
        <v>1561</v>
      </c>
      <c r="J4325" t="s">
        <v>1561</v>
      </c>
      <c r="L4325">
        <f t="shared" si="237"/>
        <v>1</v>
      </c>
    </row>
    <row r="4326" spans="1:12" x14ac:dyDescent="0.35">
      <c r="A4326">
        <f t="shared" si="238"/>
        <v>4325</v>
      </c>
      <c r="B4326" t="s">
        <v>743</v>
      </c>
      <c r="C4326" s="109" t="str">
        <f>IF(ISBLANK(K4326),IFERROR(VLOOKUP(I4326,FS_input_data!$C$458:$N$648,Export!J4326,FALSE),""),K4326)</f>
        <v/>
      </c>
      <c r="D4326" s="6"/>
      <c r="E4326" t="s">
        <v>1561</v>
      </c>
      <c r="F4326" s="6"/>
      <c r="G4326" s="115" t="b">
        <f>VLOOKUP(I4304,FS_input_noty,J4304,FALSE)=""</f>
        <v>0</v>
      </c>
      <c r="H4326" s="6" t="s">
        <v>2189</v>
      </c>
      <c r="I4326" t="s">
        <v>1561</v>
      </c>
      <c r="J4326" t="s">
        <v>1561</v>
      </c>
      <c r="L4326">
        <f t="shared" si="237"/>
        <v>1</v>
      </c>
    </row>
    <row r="4327" spans="1:12" x14ac:dyDescent="0.35">
      <c r="A4327">
        <f t="shared" si="238"/>
        <v>4326</v>
      </c>
      <c r="B4327" t="s">
        <v>744</v>
      </c>
      <c r="C4327" s="109" t="str">
        <f>IF(ISBLANK(K4327),IFERROR(VLOOKUP(I4327,FS_input_data!$C$458:$N$648,Export!J4327,FALSE),""),K4327)</f>
        <v/>
      </c>
      <c r="D4327" s="6"/>
      <c r="E4327" t="s">
        <v>1561</v>
      </c>
      <c r="F4327" s="6"/>
      <c r="G4327" s="115" t="b">
        <f t="shared" ref="G4327:G4334" si="240">RP_tax</f>
        <v>1</v>
      </c>
      <c r="H4327" s="6" t="s">
        <v>2189</v>
      </c>
      <c r="I4327" t="s">
        <v>1561</v>
      </c>
      <c r="J4327" t="s">
        <v>1561</v>
      </c>
      <c r="L4327" s="9" t="e">
        <f t="shared" si="237"/>
        <v>#VALUE!</v>
      </c>
    </row>
    <row r="4328" spans="1:12" x14ac:dyDescent="0.35">
      <c r="A4328" s="9">
        <f t="shared" si="238"/>
        <v>4327</v>
      </c>
      <c r="B4328" t="s">
        <v>109</v>
      </c>
      <c r="C4328" s="109">
        <f>IF(ISBLANK(K4328),IFERROR(VLOOKUP(I4328,FS_input_data!$C$458:$N$648,Export!J4328,FALSE),""),K4328)</f>
        <v>11000</v>
      </c>
      <c r="D4328" s="6" t="b">
        <v>1</v>
      </c>
      <c r="E4328" t="s">
        <v>1561</v>
      </c>
      <c r="F4328" s="6"/>
      <c r="G4328" s="115" t="b">
        <f t="shared" si="240"/>
        <v>1</v>
      </c>
      <c r="H4328" s="6" t="s">
        <v>2189</v>
      </c>
      <c r="I4328" t="s">
        <v>1920</v>
      </c>
      <c r="J4328">
        <v>10</v>
      </c>
      <c r="L4328" s="9" t="e">
        <f t="shared" si="237"/>
        <v>#VALUE!</v>
      </c>
    </row>
    <row r="4329" spans="1:12" x14ac:dyDescent="0.35">
      <c r="A4329">
        <f t="shared" si="238"/>
        <v>4328</v>
      </c>
      <c r="B4329" t="s">
        <v>110</v>
      </c>
      <c r="C4329" s="109" t="str">
        <f>IF(ISBLANK(K4329),IFERROR(VLOOKUP(I4329,FS_input_data!$C$458:$N$648,Export!J4329,FALSE),""),K4329)</f>
        <v/>
      </c>
      <c r="D4329" s="6"/>
      <c r="E4329" t="s">
        <v>1561</v>
      </c>
      <c r="F4329" s="6"/>
      <c r="G4329" s="115" t="b">
        <f t="shared" si="240"/>
        <v>1</v>
      </c>
      <c r="H4329" s="6" t="s">
        <v>2189</v>
      </c>
      <c r="I4329" t="s">
        <v>1561</v>
      </c>
      <c r="J4329" t="s">
        <v>1561</v>
      </c>
      <c r="L4329">
        <f t="shared" si="237"/>
        <v>1</v>
      </c>
    </row>
    <row r="4330" spans="1:12" x14ac:dyDescent="0.35">
      <c r="A4330" s="9">
        <f t="shared" si="238"/>
        <v>4329</v>
      </c>
      <c r="B4330" t="s">
        <v>111</v>
      </c>
      <c r="C4330" s="109">
        <f>IF(ISBLANK(K4330),IFERROR(VLOOKUP(I4330,FS_input_data!$C$458:$N$648,Export!J4330,FALSE),""),K4330)</f>
        <v>5500</v>
      </c>
      <c r="D4330" s="6" t="b">
        <v>0</v>
      </c>
      <c r="E4330" t="s">
        <v>1561</v>
      </c>
      <c r="F4330" s="6"/>
      <c r="G4330" s="115" t="b">
        <f t="shared" si="240"/>
        <v>1</v>
      </c>
      <c r="H4330" s="6" t="s">
        <v>2189</v>
      </c>
      <c r="I4330" t="s">
        <v>1920</v>
      </c>
      <c r="J4330">
        <v>11</v>
      </c>
      <c r="L4330" s="9" t="e">
        <f t="shared" si="237"/>
        <v>#VALUE!</v>
      </c>
    </row>
    <row r="4331" spans="1:12" x14ac:dyDescent="0.35">
      <c r="A4331">
        <f t="shared" si="238"/>
        <v>4330</v>
      </c>
      <c r="B4331" t="s">
        <v>112</v>
      </c>
      <c r="C4331" s="109" t="str">
        <f>IF(ISBLANK(K4331),IFERROR(VLOOKUP(I4331,FS_input_data!$C$458:$N$648,Export!J4331,FALSE),""),K4331)</f>
        <v/>
      </c>
      <c r="D4331" s="6"/>
      <c r="E4331" t="s">
        <v>1561</v>
      </c>
      <c r="F4331" s="6"/>
      <c r="G4331" s="115" t="b">
        <f t="shared" si="240"/>
        <v>1</v>
      </c>
      <c r="H4331" s="6" t="s">
        <v>2189</v>
      </c>
      <c r="I4331" t="s">
        <v>1561</v>
      </c>
      <c r="J4331" t="s">
        <v>1561</v>
      </c>
      <c r="L4331">
        <f t="shared" si="237"/>
        <v>1</v>
      </c>
    </row>
    <row r="4332" spans="1:12" x14ac:dyDescent="0.35">
      <c r="A4332" s="9">
        <f t="shared" si="238"/>
        <v>4331</v>
      </c>
      <c r="B4332" t="s">
        <v>749</v>
      </c>
      <c r="C4332" s="109">
        <f>IF(ISBLANK(K4332),IFERROR(VLOOKUP(I4332,FS_input_data!$C$458:$N$648,Export!J4332,FALSE),""),K4332)</f>
        <v>5500</v>
      </c>
      <c r="D4332" s="6" t="b">
        <v>0</v>
      </c>
      <c r="E4332" t="s">
        <v>1561</v>
      </c>
      <c r="F4332" s="6"/>
      <c r="G4332" s="115" t="b">
        <f t="shared" si="240"/>
        <v>1</v>
      </c>
      <c r="H4332" s="6" t="s">
        <v>2189</v>
      </c>
      <c r="I4332" t="s">
        <v>1920</v>
      </c>
      <c r="J4332">
        <v>12</v>
      </c>
      <c r="L4332" s="9" t="e">
        <f t="shared" si="237"/>
        <v>#VALUE!</v>
      </c>
    </row>
    <row r="4333" spans="1:12" x14ac:dyDescent="0.35">
      <c r="A4333">
        <f t="shared" si="238"/>
        <v>4332</v>
      </c>
      <c r="B4333" t="s">
        <v>750</v>
      </c>
      <c r="C4333" s="109" t="str">
        <f>IF(ISBLANK(K4333),IFERROR(VLOOKUP(I4333,FS_input_data!$C$458:$N$648,Export!J4333,FALSE),""),K4333)</f>
        <v/>
      </c>
      <c r="D4333" s="6"/>
      <c r="E4333" t="s">
        <v>1561</v>
      </c>
      <c r="F4333" s="6"/>
      <c r="G4333" s="115" t="b">
        <f t="shared" si="240"/>
        <v>1</v>
      </c>
      <c r="H4333" s="6" t="s">
        <v>2189</v>
      </c>
      <c r="I4333" t="s">
        <v>1561</v>
      </c>
      <c r="J4333" t="s">
        <v>1561</v>
      </c>
      <c r="L4333">
        <f t="shared" si="237"/>
        <v>1</v>
      </c>
    </row>
    <row r="4334" spans="1:12" x14ac:dyDescent="0.35">
      <c r="A4334">
        <f t="shared" si="238"/>
        <v>4333</v>
      </c>
      <c r="B4334" t="s">
        <v>745</v>
      </c>
      <c r="C4334" s="109" t="str">
        <f>IF(ISBLANK(K4334),IFERROR(VLOOKUP(I4334,FS_input_data!$C$458:$N$648,Export!J4334,FALSE),""),K4334)</f>
        <v/>
      </c>
      <c r="D4334" s="6"/>
      <c r="E4334" t="s">
        <v>1561</v>
      </c>
      <c r="F4334" s="6"/>
      <c r="G4334" s="115" t="b">
        <f t="shared" si="240"/>
        <v>1</v>
      </c>
      <c r="H4334" s="6" t="s">
        <v>2189</v>
      </c>
      <c r="I4334" t="s">
        <v>1561</v>
      </c>
      <c r="J4334" t="s">
        <v>1561</v>
      </c>
      <c r="L4334">
        <f t="shared" si="237"/>
        <v>1</v>
      </c>
    </row>
    <row r="4335" spans="1:12" x14ac:dyDescent="0.35">
      <c r="A4335">
        <f t="shared" si="238"/>
        <v>4334</v>
      </c>
      <c r="B4335" t="s">
        <v>764</v>
      </c>
      <c r="C4335" s="109" t="str">
        <f>IF(ISBLANK(K4335),IFERROR(VLOOKUP(I4335,FS_input_data!$C$458:$N$648,Export!J4335,FALSE),""),K4335)</f>
        <v/>
      </c>
      <c r="D4335" s="6"/>
      <c r="E4335" t="s">
        <v>1561</v>
      </c>
      <c r="F4335" s="6"/>
      <c r="G4335" s="115" t="b">
        <f>VLOOKUP(I4304,FS_input_noty,J4304,FALSE)=""</f>
        <v>0</v>
      </c>
      <c r="H4335" s="6" t="s">
        <v>2189</v>
      </c>
      <c r="I4335" t="s">
        <v>1561</v>
      </c>
      <c r="J4335" t="s">
        <v>1561</v>
      </c>
      <c r="L4335">
        <f t="shared" si="237"/>
        <v>1</v>
      </c>
    </row>
    <row r="4336" spans="1:12" x14ac:dyDescent="0.35">
      <c r="A4336">
        <f t="shared" si="238"/>
        <v>4335</v>
      </c>
      <c r="B4336" t="s">
        <v>765</v>
      </c>
      <c r="C4336" s="109" t="str">
        <f>IF(ISBLANK(K4336),IFERROR(VLOOKUP(I4336,FS_input_data!$C$458:$N$648,Export!J4336,FALSE),""),K4336)</f>
        <v/>
      </c>
      <c r="D4336" s="6"/>
      <c r="E4336" t="s">
        <v>1561</v>
      </c>
      <c r="F4336" s="6"/>
      <c r="G4336" s="115" t="b">
        <f>VLOOKUP(I4304,FS_input_noty,J4304,FALSE)=""</f>
        <v>0</v>
      </c>
      <c r="H4336" s="6" t="s">
        <v>2189</v>
      </c>
      <c r="I4336" t="s">
        <v>1561</v>
      </c>
      <c r="J4336" t="s">
        <v>1561</v>
      </c>
      <c r="L4336">
        <f t="shared" si="237"/>
        <v>1</v>
      </c>
    </row>
    <row r="4337" spans="1:12" x14ac:dyDescent="0.35">
      <c r="A4337">
        <f t="shared" si="238"/>
        <v>4336</v>
      </c>
      <c r="B4337" t="s">
        <v>752</v>
      </c>
      <c r="C4337" s="109" t="str">
        <f>IF(ISBLANK(K4337),IFERROR(VLOOKUP(I4337,FS_input_data!$C$458:$N$648,Export!J4337,FALSE),""),K4337)</f>
        <v/>
      </c>
      <c r="D4337" s="6"/>
      <c r="E4337" t="s">
        <v>1561</v>
      </c>
      <c r="F4337" s="6"/>
      <c r="G4337" s="115" t="b">
        <f>VLOOKUP(I4338,FS_input_noty,J4338,FALSE)=""</f>
        <v>0</v>
      </c>
      <c r="H4337" s="6" t="s">
        <v>2189</v>
      </c>
      <c r="I4337" t="s">
        <v>1561</v>
      </c>
      <c r="J4337" t="s">
        <v>1561</v>
      </c>
      <c r="L4337" s="9" t="e">
        <f t="shared" si="237"/>
        <v>#VALUE!</v>
      </c>
    </row>
    <row r="4338" spans="1:12" x14ac:dyDescent="0.35">
      <c r="A4338" s="9">
        <f t="shared" si="238"/>
        <v>4337</v>
      </c>
      <c r="B4338" t="s">
        <v>101</v>
      </c>
      <c r="C4338" s="109" t="str">
        <f>IF(ISBLANK(K4338),IFERROR(VLOOKUP(I4338,FS_input_data!$C$458:$N$648,Export!J4338,FALSE),""),K4338)</f>
        <v>OC34</v>
      </c>
      <c r="D4338" s="6" t="b">
        <v>1</v>
      </c>
      <c r="E4338" t="s">
        <v>1561</v>
      </c>
      <c r="F4338" s="6"/>
      <c r="G4338" s="115" t="b">
        <f>VLOOKUP(I4338,FS_input_noty,J4338,FALSE)=""</f>
        <v>0</v>
      </c>
      <c r="H4338" s="6" t="s">
        <v>2189</v>
      </c>
      <c r="I4338" t="s">
        <v>1922</v>
      </c>
      <c r="J4338">
        <v>6</v>
      </c>
      <c r="L4338" s="9" t="e">
        <f t="shared" si="237"/>
        <v>#VALUE!</v>
      </c>
    </row>
    <row r="4339" spans="1:12" x14ac:dyDescent="0.35">
      <c r="A4339">
        <f t="shared" si="238"/>
        <v>4338</v>
      </c>
      <c r="B4339" t="s">
        <v>102</v>
      </c>
      <c r="C4339" s="109" t="str">
        <f>IF(ISBLANK(K4339),IFERROR(VLOOKUP(I4339,FS_input_data!$C$458:$N$648,Export!J4339,FALSE),""),K4339)</f>
        <v/>
      </c>
      <c r="D4339" s="6"/>
      <c r="E4339" t="s">
        <v>1561</v>
      </c>
      <c r="F4339" s="6"/>
      <c r="G4339" s="115" t="b">
        <f>VLOOKUP(I4338,FS_input_noty,J4338,FALSE)=""</f>
        <v>0</v>
      </c>
      <c r="H4339" s="6" t="s">
        <v>2189</v>
      </c>
      <c r="I4339" t="s">
        <v>1561</v>
      </c>
      <c r="J4339" t="s">
        <v>1561</v>
      </c>
      <c r="L4339">
        <f t="shared" si="237"/>
        <v>1</v>
      </c>
    </row>
    <row r="4340" spans="1:12" x14ac:dyDescent="0.35">
      <c r="A4340">
        <f t="shared" si="238"/>
        <v>4339</v>
      </c>
      <c r="B4340" t="s">
        <v>753</v>
      </c>
      <c r="C4340" s="109" t="str">
        <f>IF(ISBLANK(K4340),IFERROR(VLOOKUP(I4340,FS_input_data!$C$458:$N$648,Export!J4340,FALSE),""),K4340)</f>
        <v/>
      </c>
      <c r="D4340" s="6"/>
      <c r="E4340" t="s">
        <v>1561</v>
      </c>
      <c r="F4340" s="6"/>
      <c r="G4340" s="115" t="b">
        <f>VLOOKUP(I4338,FS_input_noty,J4338,FALSE)=""</f>
        <v>0</v>
      </c>
      <c r="H4340" s="6" t="s">
        <v>2189</v>
      </c>
      <c r="I4340" t="s">
        <v>1561</v>
      </c>
      <c r="J4340" t="s">
        <v>1561</v>
      </c>
      <c r="L4340" s="9" t="e">
        <f t="shared" si="237"/>
        <v>#VALUE!</v>
      </c>
    </row>
    <row r="4341" spans="1:12" x14ac:dyDescent="0.35">
      <c r="A4341">
        <f t="shared" si="238"/>
        <v>4340</v>
      </c>
      <c r="B4341" t="s">
        <v>742</v>
      </c>
      <c r="C4341" s="109" t="str">
        <f>IF(ISBLANK(K4341),IFERROR(VLOOKUP(I4341,FS_input_data!$C$458:$N$648,Export!J4341,FALSE),""),K4341)</f>
        <v/>
      </c>
      <c r="D4341" s="6"/>
      <c r="E4341" t="s">
        <v>1561</v>
      </c>
      <c r="F4341" s="6"/>
      <c r="G4341" s="115" t="b">
        <f>VLOOKUP(I4338,FS_input_noty,J4338,FALSE)=""</f>
        <v>0</v>
      </c>
      <c r="H4341" s="6" t="s">
        <v>2189</v>
      </c>
      <c r="I4341" t="s">
        <v>1561</v>
      </c>
      <c r="J4341" t="s">
        <v>1561</v>
      </c>
      <c r="L4341" s="9" t="e">
        <f t="shared" si="237"/>
        <v>#VALUE!</v>
      </c>
    </row>
    <row r="4342" spans="1:12" x14ac:dyDescent="0.35">
      <c r="A4342">
        <f t="shared" si="238"/>
        <v>4341</v>
      </c>
      <c r="B4342" t="s">
        <v>748</v>
      </c>
      <c r="C4342" s="109" t="str">
        <f>IF(ISBLANK(K4342),IFERROR(VLOOKUP(I4342,FS_input_data!$C$458:$N$648,Export!J4342,FALSE),""),K4342)</f>
        <v/>
      </c>
      <c r="D4342" s="6"/>
      <c r="E4342" t="s">
        <v>1561</v>
      </c>
      <c r="F4342" s="6"/>
      <c r="G4342" s="115" t="b">
        <f>VLOOKUP(I4338,FS_input_noty,J4338,FALSE)=""</f>
        <v>0</v>
      </c>
      <c r="H4342" s="6" t="s">
        <v>2189</v>
      </c>
      <c r="I4342" t="s">
        <v>1561</v>
      </c>
      <c r="J4342" t="s">
        <v>1561</v>
      </c>
      <c r="L4342" s="9" t="e">
        <f t="shared" si="237"/>
        <v>#VALUE!</v>
      </c>
    </row>
    <row r="4343" spans="1:12" x14ac:dyDescent="0.35">
      <c r="A4343" s="9">
        <f t="shared" si="238"/>
        <v>4342</v>
      </c>
      <c r="B4343" t="s">
        <v>109</v>
      </c>
      <c r="C4343" s="109">
        <f>IF(ISBLANK(K4343),IFERROR(VLOOKUP(I4343,FS_input_data!$C$458:$N$648,Export!J4343,FALSE),""),K4343)</f>
        <v>12000</v>
      </c>
      <c r="D4343" s="6" t="b">
        <v>1</v>
      </c>
      <c r="E4343" t="s">
        <v>1561</v>
      </c>
      <c r="F4343" s="6"/>
      <c r="G4343" s="115" t="b">
        <f>VLOOKUP(I4338,FS_input_noty,J4338,FALSE)=""</f>
        <v>0</v>
      </c>
      <c r="H4343" s="6" t="s">
        <v>2189</v>
      </c>
      <c r="I4343" t="s">
        <v>1922</v>
      </c>
      <c r="J4343">
        <v>7</v>
      </c>
      <c r="L4343" s="9" t="e">
        <f t="shared" si="237"/>
        <v>#VALUE!</v>
      </c>
    </row>
    <row r="4344" spans="1:12" x14ac:dyDescent="0.35">
      <c r="A4344">
        <f t="shared" si="238"/>
        <v>4343</v>
      </c>
      <c r="B4344" t="s">
        <v>110</v>
      </c>
      <c r="C4344" s="109" t="str">
        <f>IF(ISBLANK(K4344),IFERROR(VLOOKUP(I4344,FS_input_data!$C$458:$N$648,Export!J4344,FALSE),""),K4344)</f>
        <v/>
      </c>
      <c r="D4344" s="6"/>
      <c r="E4344" t="s">
        <v>1561</v>
      </c>
      <c r="F4344" s="6"/>
      <c r="G4344" s="115" t="b">
        <f>VLOOKUP(I4338,FS_input_noty,J4338,FALSE)=""</f>
        <v>0</v>
      </c>
      <c r="H4344" s="6" t="s">
        <v>2189</v>
      </c>
      <c r="I4344" t="s">
        <v>1561</v>
      </c>
      <c r="J4344" t="s">
        <v>1561</v>
      </c>
      <c r="L4344">
        <f t="shared" si="237"/>
        <v>1</v>
      </c>
    </row>
    <row r="4345" spans="1:12" x14ac:dyDescent="0.35">
      <c r="A4345" s="9">
        <f t="shared" si="238"/>
        <v>4344</v>
      </c>
      <c r="B4345" t="s">
        <v>111</v>
      </c>
      <c r="C4345" s="109">
        <f>IF(ISBLANK(K4345),IFERROR(VLOOKUP(I4345,FS_input_data!$C$458:$N$648,Export!J4345,FALSE),""),K4345)</f>
        <v>6000</v>
      </c>
      <c r="D4345" s="6" t="b">
        <v>0</v>
      </c>
      <c r="E4345" t="s">
        <v>1561</v>
      </c>
      <c r="F4345" s="6"/>
      <c r="G4345" s="115" t="b">
        <f>VLOOKUP(I4338,FS_input_noty,J4338,TRUE)=""</f>
        <v>0</v>
      </c>
      <c r="H4345" s="6" t="s">
        <v>2189</v>
      </c>
      <c r="I4345" t="s">
        <v>1922</v>
      </c>
      <c r="J4345">
        <v>8</v>
      </c>
      <c r="L4345" s="9" t="e">
        <f t="shared" si="237"/>
        <v>#VALUE!</v>
      </c>
    </row>
    <row r="4346" spans="1:12" x14ac:dyDescent="0.35">
      <c r="A4346">
        <f t="shared" si="238"/>
        <v>4345</v>
      </c>
      <c r="B4346" t="s">
        <v>112</v>
      </c>
      <c r="C4346" s="109" t="str">
        <f>IF(ISBLANK(K4346),IFERROR(VLOOKUP(I4346,FS_input_data!$C$458:$N$648,Export!J4346,FALSE),""),K4346)</f>
        <v/>
      </c>
      <c r="D4346" s="6"/>
      <c r="E4346" t="s">
        <v>1561</v>
      </c>
      <c r="F4346" s="6"/>
      <c r="G4346" s="115" t="b">
        <f>VLOOKUP(I4338,FS_input_noty,J4338,FALSE)=""</f>
        <v>0</v>
      </c>
      <c r="H4346" s="6" t="s">
        <v>2189</v>
      </c>
      <c r="I4346" t="s">
        <v>1561</v>
      </c>
      <c r="J4346" t="s">
        <v>1561</v>
      </c>
      <c r="L4346">
        <f t="shared" si="237"/>
        <v>1</v>
      </c>
    </row>
    <row r="4347" spans="1:12" x14ac:dyDescent="0.35">
      <c r="A4347" s="9">
        <f t="shared" si="238"/>
        <v>4346</v>
      </c>
      <c r="B4347" t="s">
        <v>749</v>
      </c>
      <c r="C4347" s="109">
        <f>IF(ISBLANK(K4347),IFERROR(VLOOKUP(I4347,FS_input_data!$C$458:$N$648,Export!J4347,FALSE),""),K4347)</f>
        <v>6000</v>
      </c>
      <c r="D4347" s="6" t="b">
        <v>0</v>
      </c>
      <c r="E4347" t="s">
        <v>1561</v>
      </c>
      <c r="F4347" s="6"/>
      <c r="G4347" s="115" t="b">
        <f>VLOOKUP(I4338,FS_input_noty,J4338,FALSE)=""</f>
        <v>0</v>
      </c>
      <c r="H4347" s="6" t="s">
        <v>2189</v>
      </c>
      <c r="I4347" t="s">
        <v>1922</v>
      </c>
      <c r="J4347">
        <v>9</v>
      </c>
      <c r="L4347" s="9" t="e">
        <f t="shared" si="237"/>
        <v>#VALUE!</v>
      </c>
    </row>
    <row r="4348" spans="1:12" x14ac:dyDescent="0.35">
      <c r="A4348">
        <f t="shared" si="238"/>
        <v>4347</v>
      </c>
      <c r="B4348" t="s">
        <v>750</v>
      </c>
      <c r="C4348" s="109" t="str">
        <f>IF(ISBLANK(K4348),IFERROR(VLOOKUP(I4348,FS_input_data!$C$458:$N$648,Export!J4348,FALSE),""),K4348)</f>
        <v/>
      </c>
      <c r="D4348" s="6"/>
      <c r="E4348" t="s">
        <v>1561</v>
      </c>
      <c r="F4348" s="6"/>
      <c r="G4348" s="115" t="b">
        <f>VLOOKUP(I4338,FS_input_noty,J4338,FALSE)=""</f>
        <v>0</v>
      </c>
      <c r="H4348" s="6" t="s">
        <v>2189</v>
      </c>
      <c r="I4348" t="s">
        <v>1561</v>
      </c>
      <c r="J4348" t="s">
        <v>1561</v>
      </c>
      <c r="L4348">
        <f t="shared" si="237"/>
        <v>1</v>
      </c>
    </row>
    <row r="4349" spans="1:12" x14ac:dyDescent="0.35">
      <c r="A4349">
        <f t="shared" si="238"/>
        <v>4348</v>
      </c>
      <c r="B4349" t="s">
        <v>751</v>
      </c>
      <c r="C4349" s="109" t="str">
        <f>IF(ISBLANK(K4349),IFERROR(VLOOKUP(I4349,FS_input_data!$C$458:$N$648,Export!J4349,FALSE),""),K4349)</f>
        <v/>
      </c>
      <c r="D4349" s="6"/>
      <c r="E4349" t="s">
        <v>1561</v>
      </c>
      <c r="F4349" s="6"/>
      <c r="G4349" s="115" t="b">
        <f>VLOOKUP(I4338,FS_input_noty,J4338,FALSE)=""</f>
        <v>0</v>
      </c>
      <c r="H4349" s="6" t="s">
        <v>2189</v>
      </c>
      <c r="I4349" t="s">
        <v>1561</v>
      </c>
      <c r="J4349" t="s">
        <v>1561</v>
      </c>
      <c r="L4349">
        <f t="shared" si="237"/>
        <v>1</v>
      </c>
    </row>
    <row r="4350" spans="1:12" x14ac:dyDescent="0.35">
      <c r="A4350">
        <f t="shared" si="238"/>
        <v>4349</v>
      </c>
      <c r="B4350" t="s">
        <v>754</v>
      </c>
      <c r="C4350" s="109" t="str">
        <f>IF(ISBLANK(K4350),IFERROR(VLOOKUP(I4350,FS_input_data!$C$458:$N$648,Export!J4350,FALSE),""),K4350)</f>
        <v/>
      </c>
      <c r="D4350" s="6"/>
      <c r="E4350" t="s">
        <v>1561</v>
      </c>
      <c r="F4350" s="6"/>
      <c r="G4350" s="115" t="b">
        <f>VLOOKUP(I4338,FS_input_noty,J4338,FALSE)=""</f>
        <v>0</v>
      </c>
      <c r="H4350" s="6" t="s">
        <v>2189</v>
      </c>
      <c r="I4350" t="s">
        <v>1561</v>
      </c>
      <c r="J4350" t="s">
        <v>1561</v>
      </c>
      <c r="L4350" s="9" t="e">
        <f t="shared" si="237"/>
        <v>#VALUE!</v>
      </c>
    </row>
    <row r="4351" spans="1:12" x14ac:dyDescent="0.35">
      <c r="A4351" s="9">
        <f t="shared" si="238"/>
        <v>4350</v>
      </c>
      <c r="B4351" t="s">
        <v>755</v>
      </c>
      <c r="C4351" s="109">
        <f>IF(ISBLANK(K4351),IFERROR(VLOOKUP(I4351,FS_input_data!$C$458:$N$648,Export!J4351,FALSE),""),K4351)</f>
        <v>56</v>
      </c>
      <c r="D4351" s="6" t="b">
        <v>1</v>
      </c>
      <c r="E4351" t="s">
        <v>1561</v>
      </c>
      <c r="F4351" s="6"/>
      <c r="G4351" s="115" t="b">
        <f>VLOOKUP(I4338,FS_input_noty,J4338,FALSE)=""</f>
        <v>0</v>
      </c>
      <c r="H4351" s="6" t="s">
        <v>2189</v>
      </c>
      <c r="I4351" t="s">
        <v>1922</v>
      </c>
      <c r="J4351">
        <v>2</v>
      </c>
      <c r="L4351" s="9" t="e">
        <f t="shared" si="237"/>
        <v>#VALUE!</v>
      </c>
    </row>
    <row r="4352" spans="1:12" x14ac:dyDescent="0.35">
      <c r="A4352">
        <f t="shared" si="238"/>
        <v>4351</v>
      </c>
      <c r="B4352" t="s">
        <v>756</v>
      </c>
      <c r="C4352" s="109" t="str">
        <f>IF(ISBLANK(K4352),IFERROR(VLOOKUP(I4352,FS_input_data!$C$458:$N$648,Export!J4352,FALSE),""),K4352)</f>
        <v/>
      </c>
      <c r="D4352" s="6"/>
      <c r="E4352" t="s">
        <v>1561</v>
      </c>
      <c r="F4352" s="6"/>
      <c r="G4352" s="115" t="b">
        <f>VLOOKUP(I4338,FS_input_noty,J4338,FALSE)=""</f>
        <v>0</v>
      </c>
      <c r="H4352" s="6" t="s">
        <v>2189</v>
      </c>
      <c r="I4352" t="s">
        <v>1561</v>
      </c>
      <c r="J4352" t="s">
        <v>1561</v>
      </c>
      <c r="L4352">
        <f t="shared" si="237"/>
        <v>1</v>
      </c>
    </row>
    <row r="4353" spans="1:12" x14ac:dyDescent="0.35">
      <c r="A4353" s="9">
        <f t="shared" si="238"/>
        <v>4352</v>
      </c>
      <c r="B4353" t="s">
        <v>757</v>
      </c>
      <c r="C4353" s="109">
        <f>IF(ISBLANK(K4353),IFERROR(VLOOKUP(I4353,FS_input_data!$C$458:$N$648,Export!J4353,FALSE),""),K4353)</f>
        <v>156</v>
      </c>
      <c r="D4353" s="6" t="b">
        <v>0</v>
      </c>
      <c r="E4353" t="s">
        <v>1561</v>
      </c>
      <c r="F4353" s="6"/>
      <c r="G4353" s="115" t="b">
        <f>VLOOKUP(I4338,FS_input_noty,J4338,FALSE)=""</f>
        <v>0</v>
      </c>
      <c r="H4353" s="6" t="s">
        <v>2189</v>
      </c>
      <c r="I4353" t="s">
        <v>1922</v>
      </c>
      <c r="J4353">
        <v>3</v>
      </c>
      <c r="L4353" s="9" t="e">
        <f t="shared" si="237"/>
        <v>#VALUE!</v>
      </c>
    </row>
    <row r="4354" spans="1:12" x14ac:dyDescent="0.35">
      <c r="A4354">
        <f t="shared" si="238"/>
        <v>4353</v>
      </c>
      <c r="B4354" t="s">
        <v>758</v>
      </c>
      <c r="C4354" s="109" t="str">
        <f>IF(ISBLANK(K4354),IFERROR(VLOOKUP(I4354,FS_input_data!$C$458:$N$648,Export!J4354,FALSE),""),K4354)</f>
        <v/>
      </c>
      <c r="D4354" s="6"/>
      <c r="E4354" t="s">
        <v>1561</v>
      </c>
      <c r="F4354" s="6"/>
      <c r="G4354" s="115" t="b">
        <f>VLOOKUP(I4338,FS_input_noty,J4338,FALSE)=""</f>
        <v>0</v>
      </c>
      <c r="H4354" s="6" t="s">
        <v>2189</v>
      </c>
      <c r="I4354" t="s">
        <v>1561</v>
      </c>
      <c r="J4354" t="s">
        <v>1561</v>
      </c>
      <c r="L4354">
        <f t="shared" ref="L4354:L4417" si="241">FIND("/",B4354)</f>
        <v>1</v>
      </c>
    </row>
    <row r="4355" spans="1:12" x14ac:dyDescent="0.35">
      <c r="A4355" s="9">
        <f t="shared" ref="A4355:A4418" si="242">A4354+1</f>
        <v>4354</v>
      </c>
      <c r="B4355" t="s">
        <v>759</v>
      </c>
      <c r="C4355" s="109">
        <f>IF(ISBLANK(K4355),IFERROR(VLOOKUP(I4355,FS_input_data!$C$458:$N$648,Export!J4355,FALSE),""),K4355)</f>
        <v>256</v>
      </c>
      <c r="D4355" s="6" t="b">
        <v>0</v>
      </c>
      <c r="E4355" t="s">
        <v>1561</v>
      </c>
      <c r="F4355" s="6"/>
      <c r="G4355" s="115" t="b">
        <f>VLOOKUP(I4338,FS_input_noty,J4338,FALSE)=""</f>
        <v>0</v>
      </c>
      <c r="H4355" s="6" t="s">
        <v>2189</v>
      </c>
      <c r="I4355" t="s">
        <v>1922</v>
      </c>
      <c r="J4355">
        <v>4</v>
      </c>
      <c r="L4355" s="9" t="e">
        <f t="shared" si="241"/>
        <v>#VALUE!</v>
      </c>
    </row>
    <row r="4356" spans="1:12" x14ac:dyDescent="0.35">
      <c r="A4356">
        <f t="shared" si="242"/>
        <v>4355</v>
      </c>
      <c r="B4356" t="s">
        <v>760</v>
      </c>
      <c r="C4356" s="109" t="str">
        <f>IF(ISBLANK(K4356),IFERROR(VLOOKUP(I4356,FS_input_data!$C$458:$N$648,Export!J4356,FALSE),""),K4356)</f>
        <v/>
      </c>
      <c r="D4356" s="6"/>
      <c r="E4356" t="s">
        <v>1561</v>
      </c>
      <c r="F4356" s="6"/>
      <c r="G4356" s="115" t="b">
        <f>VLOOKUP(I4338,FS_input_noty,J4338,FALSE)=""</f>
        <v>0</v>
      </c>
      <c r="H4356" s="6" t="s">
        <v>2189</v>
      </c>
      <c r="I4356" t="s">
        <v>1561</v>
      </c>
      <c r="J4356" t="s">
        <v>1561</v>
      </c>
      <c r="L4356">
        <f t="shared" si="241"/>
        <v>1</v>
      </c>
    </row>
    <row r="4357" spans="1:12" x14ac:dyDescent="0.35">
      <c r="A4357" s="9">
        <f t="shared" si="242"/>
        <v>4356</v>
      </c>
      <c r="B4357" t="s">
        <v>761</v>
      </c>
      <c r="C4357" s="109" t="str">
        <f>IF(ISBLANK(K4357),IFERROR(VLOOKUP(I4357,FS_input_data!$C$458:$N$648,Export!J4357,FALSE),""),K4357)</f>
        <v>j</v>
      </c>
      <c r="D4357" s="6" t="b">
        <v>0</v>
      </c>
      <c r="E4357" t="s">
        <v>1561</v>
      </c>
      <c r="F4357" s="6"/>
      <c r="G4357" s="115" t="b">
        <f>VLOOKUP(I4338,FS_input_noty,J4338,FALSE)=""</f>
        <v>0</v>
      </c>
      <c r="H4357" s="6" t="s">
        <v>2189</v>
      </c>
      <c r="I4357" t="s">
        <v>1922</v>
      </c>
      <c r="J4357">
        <v>5</v>
      </c>
      <c r="L4357" s="9" t="e">
        <f t="shared" si="241"/>
        <v>#VALUE!</v>
      </c>
    </row>
    <row r="4358" spans="1:12" x14ac:dyDescent="0.35">
      <c r="A4358">
        <f t="shared" si="242"/>
        <v>4357</v>
      </c>
      <c r="B4358" t="s">
        <v>762</v>
      </c>
      <c r="C4358" s="109" t="str">
        <f>IF(ISBLANK(K4358),IFERROR(VLOOKUP(I4358,FS_input_data!$C$458:$N$648,Export!J4358,FALSE),""),K4358)</f>
        <v/>
      </c>
      <c r="D4358" s="6"/>
      <c r="E4358" t="s">
        <v>1561</v>
      </c>
      <c r="F4358" s="6"/>
      <c r="G4358" s="115" t="b">
        <f>VLOOKUP(I4338,FS_input_noty,J4338,FALSE)=""</f>
        <v>0</v>
      </c>
      <c r="H4358" s="6" t="s">
        <v>2189</v>
      </c>
      <c r="I4358" t="s">
        <v>1561</v>
      </c>
      <c r="J4358" t="s">
        <v>1561</v>
      </c>
      <c r="L4358">
        <f t="shared" si="241"/>
        <v>1</v>
      </c>
    </row>
    <row r="4359" spans="1:12" x14ac:dyDescent="0.35">
      <c r="A4359">
        <f t="shared" si="242"/>
        <v>4358</v>
      </c>
      <c r="B4359" t="s">
        <v>763</v>
      </c>
      <c r="C4359" s="109" t="str">
        <f>IF(ISBLANK(K4359),IFERROR(VLOOKUP(I4359,FS_input_data!$C$458:$N$648,Export!J4359,FALSE),""),K4359)</f>
        <v/>
      </c>
      <c r="D4359" s="6"/>
      <c r="E4359" t="s">
        <v>1561</v>
      </c>
      <c r="F4359" s="6"/>
      <c r="G4359" s="115" t="b">
        <f>VLOOKUP(I4338,FS_input_noty,J4338,FALSE)=""</f>
        <v>0</v>
      </c>
      <c r="H4359" s="6" t="s">
        <v>2189</v>
      </c>
      <c r="I4359" t="s">
        <v>1561</v>
      </c>
      <c r="J4359" t="s">
        <v>1561</v>
      </c>
      <c r="L4359">
        <f t="shared" si="241"/>
        <v>1</v>
      </c>
    </row>
    <row r="4360" spans="1:12" x14ac:dyDescent="0.35">
      <c r="A4360">
        <f t="shared" si="242"/>
        <v>4359</v>
      </c>
      <c r="B4360" t="s">
        <v>743</v>
      </c>
      <c r="C4360" s="109" t="str">
        <f>IF(ISBLANK(K4360),IFERROR(VLOOKUP(I4360,FS_input_data!$C$458:$N$648,Export!J4360,FALSE),""),K4360)</f>
        <v/>
      </c>
      <c r="D4360" s="6"/>
      <c r="E4360" t="s">
        <v>1561</v>
      </c>
      <c r="F4360" s="6"/>
      <c r="G4360" s="115" t="b">
        <f>VLOOKUP(I4338,FS_input_noty,J4338,FALSE)=""</f>
        <v>0</v>
      </c>
      <c r="H4360" s="6" t="s">
        <v>2189</v>
      </c>
      <c r="I4360" t="s">
        <v>1561</v>
      </c>
      <c r="J4360" t="s">
        <v>1561</v>
      </c>
      <c r="L4360">
        <f t="shared" si="241"/>
        <v>1</v>
      </c>
    </row>
    <row r="4361" spans="1:12" x14ac:dyDescent="0.35">
      <c r="A4361">
        <f t="shared" si="242"/>
        <v>4360</v>
      </c>
      <c r="B4361" t="s">
        <v>744</v>
      </c>
      <c r="C4361" s="109" t="str">
        <f>IF(ISBLANK(K4361),IFERROR(VLOOKUP(I4361,FS_input_data!$C$458:$N$648,Export!J4361,FALSE),""),K4361)</f>
        <v/>
      </c>
      <c r="D4361" s="6"/>
      <c r="E4361" t="s">
        <v>1561</v>
      </c>
      <c r="F4361" s="6"/>
      <c r="G4361" s="115" t="b">
        <f t="shared" ref="G4361:G4368" si="243">RP_tax</f>
        <v>1</v>
      </c>
      <c r="H4361" s="6" t="s">
        <v>2189</v>
      </c>
      <c r="I4361" t="s">
        <v>1561</v>
      </c>
      <c r="J4361" t="s">
        <v>1561</v>
      </c>
      <c r="L4361" s="9" t="e">
        <f t="shared" si="241"/>
        <v>#VALUE!</v>
      </c>
    </row>
    <row r="4362" spans="1:12" x14ac:dyDescent="0.35">
      <c r="A4362" s="9">
        <f t="shared" si="242"/>
        <v>4361</v>
      </c>
      <c r="B4362" t="s">
        <v>109</v>
      </c>
      <c r="C4362" s="109">
        <f>IF(ISBLANK(K4362),IFERROR(VLOOKUP(I4362,FS_input_data!$C$458:$N$648,Export!J4362,FALSE),""),K4362)</f>
        <v>12000</v>
      </c>
      <c r="D4362" s="6" t="b">
        <v>1</v>
      </c>
      <c r="E4362" t="s">
        <v>1561</v>
      </c>
      <c r="F4362" s="6"/>
      <c r="G4362" s="115" t="b">
        <f t="shared" si="243"/>
        <v>1</v>
      </c>
      <c r="H4362" s="6" t="s">
        <v>2189</v>
      </c>
      <c r="I4362" t="s">
        <v>1922</v>
      </c>
      <c r="J4362">
        <v>10</v>
      </c>
      <c r="L4362" s="9" t="e">
        <f t="shared" si="241"/>
        <v>#VALUE!</v>
      </c>
    </row>
    <row r="4363" spans="1:12" x14ac:dyDescent="0.35">
      <c r="A4363">
        <f t="shared" si="242"/>
        <v>4362</v>
      </c>
      <c r="B4363" t="s">
        <v>110</v>
      </c>
      <c r="C4363" s="109" t="str">
        <f>IF(ISBLANK(K4363),IFERROR(VLOOKUP(I4363,FS_input_data!$C$458:$N$648,Export!J4363,FALSE),""),K4363)</f>
        <v/>
      </c>
      <c r="D4363" s="6"/>
      <c r="E4363" t="s">
        <v>1561</v>
      </c>
      <c r="F4363" s="6"/>
      <c r="G4363" s="115" t="b">
        <f t="shared" si="243"/>
        <v>1</v>
      </c>
      <c r="H4363" s="6" t="s">
        <v>2189</v>
      </c>
      <c r="I4363" t="s">
        <v>1561</v>
      </c>
      <c r="J4363" t="s">
        <v>1561</v>
      </c>
      <c r="L4363">
        <f t="shared" si="241"/>
        <v>1</v>
      </c>
    </row>
    <row r="4364" spans="1:12" x14ac:dyDescent="0.35">
      <c r="A4364" s="9">
        <f t="shared" si="242"/>
        <v>4363</v>
      </c>
      <c r="B4364" t="s">
        <v>111</v>
      </c>
      <c r="C4364" s="109">
        <f>IF(ISBLANK(K4364),IFERROR(VLOOKUP(I4364,FS_input_data!$C$458:$N$648,Export!J4364,FALSE),""),K4364)</f>
        <v>6000</v>
      </c>
      <c r="D4364" s="6" t="b">
        <v>0</v>
      </c>
      <c r="E4364" t="s">
        <v>1561</v>
      </c>
      <c r="F4364" s="6"/>
      <c r="G4364" s="115" t="b">
        <f t="shared" si="243"/>
        <v>1</v>
      </c>
      <c r="H4364" s="6" t="s">
        <v>2189</v>
      </c>
      <c r="I4364" t="s">
        <v>1922</v>
      </c>
      <c r="J4364">
        <v>11</v>
      </c>
      <c r="L4364" s="9" t="e">
        <f t="shared" si="241"/>
        <v>#VALUE!</v>
      </c>
    </row>
    <row r="4365" spans="1:12" x14ac:dyDescent="0.35">
      <c r="A4365">
        <f t="shared" si="242"/>
        <v>4364</v>
      </c>
      <c r="B4365" t="s">
        <v>112</v>
      </c>
      <c r="C4365" s="109" t="str">
        <f>IF(ISBLANK(K4365),IFERROR(VLOOKUP(I4365,FS_input_data!$C$458:$N$648,Export!J4365,FALSE),""),K4365)</f>
        <v/>
      </c>
      <c r="D4365" s="6"/>
      <c r="E4365" t="s">
        <v>1561</v>
      </c>
      <c r="F4365" s="6"/>
      <c r="G4365" s="115" t="b">
        <f t="shared" si="243"/>
        <v>1</v>
      </c>
      <c r="H4365" s="6" t="s">
        <v>2189</v>
      </c>
      <c r="I4365" t="s">
        <v>1561</v>
      </c>
      <c r="J4365" t="s">
        <v>1561</v>
      </c>
      <c r="L4365">
        <f t="shared" si="241"/>
        <v>1</v>
      </c>
    </row>
    <row r="4366" spans="1:12" x14ac:dyDescent="0.35">
      <c r="A4366" s="9">
        <f t="shared" si="242"/>
        <v>4365</v>
      </c>
      <c r="B4366" t="s">
        <v>749</v>
      </c>
      <c r="C4366" s="109">
        <f>IF(ISBLANK(K4366),IFERROR(VLOOKUP(I4366,FS_input_data!$C$458:$N$648,Export!J4366,FALSE),""),K4366)</f>
        <v>6000</v>
      </c>
      <c r="D4366" s="6" t="b">
        <v>0</v>
      </c>
      <c r="E4366" t="s">
        <v>1561</v>
      </c>
      <c r="F4366" s="6"/>
      <c r="G4366" s="115" t="b">
        <f t="shared" si="243"/>
        <v>1</v>
      </c>
      <c r="H4366" s="6" t="s">
        <v>2189</v>
      </c>
      <c r="I4366" t="s">
        <v>1922</v>
      </c>
      <c r="J4366">
        <v>12</v>
      </c>
      <c r="L4366" s="9" t="e">
        <f t="shared" si="241"/>
        <v>#VALUE!</v>
      </c>
    </row>
    <row r="4367" spans="1:12" x14ac:dyDescent="0.35">
      <c r="A4367">
        <f t="shared" si="242"/>
        <v>4366</v>
      </c>
      <c r="B4367" t="s">
        <v>750</v>
      </c>
      <c r="C4367" s="109" t="str">
        <f>IF(ISBLANK(K4367),IFERROR(VLOOKUP(I4367,FS_input_data!$C$458:$N$648,Export!J4367,FALSE),""),K4367)</f>
        <v/>
      </c>
      <c r="D4367" s="6"/>
      <c r="E4367" t="s">
        <v>1561</v>
      </c>
      <c r="F4367" s="6"/>
      <c r="G4367" s="115" t="b">
        <f t="shared" si="243"/>
        <v>1</v>
      </c>
      <c r="H4367" s="6" t="s">
        <v>2189</v>
      </c>
      <c r="I4367" t="s">
        <v>1561</v>
      </c>
      <c r="J4367" t="s">
        <v>1561</v>
      </c>
      <c r="L4367">
        <f t="shared" si="241"/>
        <v>1</v>
      </c>
    </row>
    <row r="4368" spans="1:12" x14ac:dyDescent="0.35">
      <c r="A4368">
        <f t="shared" si="242"/>
        <v>4367</v>
      </c>
      <c r="B4368" t="s">
        <v>745</v>
      </c>
      <c r="C4368" s="109" t="str">
        <f>IF(ISBLANK(K4368),IFERROR(VLOOKUP(I4368,FS_input_data!$C$458:$N$648,Export!J4368,FALSE),""),K4368)</f>
        <v/>
      </c>
      <c r="D4368" s="6"/>
      <c r="E4368" t="s">
        <v>1561</v>
      </c>
      <c r="F4368" s="6"/>
      <c r="G4368" s="115" t="b">
        <f t="shared" si="243"/>
        <v>1</v>
      </c>
      <c r="H4368" s="6" t="s">
        <v>2189</v>
      </c>
      <c r="I4368" t="s">
        <v>1561</v>
      </c>
      <c r="J4368" t="s">
        <v>1561</v>
      </c>
      <c r="L4368">
        <f t="shared" si="241"/>
        <v>1</v>
      </c>
    </row>
    <row r="4369" spans="1:12" x14ac:dyDescent="0.35">
      <c r="A4369">
        <f t="shared" si="242"/>
        <v>4368</v>
      </c>
      <c r="B4369" t="s">
        <v>764</v>
      </c>
      <c r="C4369" s="109" t="str">
        <f>IF(ISBLANK(K4369),IFERROR(VLOOKUP(I4369,FS_input_data!$C$458:$N$648,Export!J4369,FALSE),""),K4369)</f>
        <v/>
      </c>
      <c r="D4369" s="6"/>
      <c r="E4369" t="s">
        <v>1561</v>
      </c>
      <c r="F4369" s="6"/>
      <c r="G4369" s="115" t="b">
        <f>VLOOKUP(I4338,FS_input_noty,J4338,FALSE)=""</f>
        <v>0</v>
      </c>
      <c r="H4369" s="6" t="s">
        <v>2189</v>
      </c>
      <c r="I4369" t="s">
        <v>1561</v>
      </c>
      <c r="J4369" t="s">
        <v>1561</v>
      </c>
      <c r="L4369">
        <f t="shared" si="241"/>
        <v>1</v>
      </c>
    </row>
    <row r="4370" spans="1:12" x14ac:dyDescent="0.35">
      <c r="A4370">
        <f t="shared" si="242"/>
        <v>4369</v>
      </c>
      <c r="B4370" t="s">
        <v>765</v>
      </c>
      <c r="C4370" s="109" t="str">
        <f>IF(ISBLANK(K4370),IFERROR(VLOOKUP(I4370,FS_input_data!$C$458:$N$648,Export!J4370,FALSE),""),K4370)</f>
        <v/>
      </c>
      <c r="D4370" s="6"/>
      <c r="E4370" t="s">
        <v>1561</v>
      </c>
      <c r="F4370" s="6"/>
      <c r="G4370" s="115" t="b">
        <f>VLOOKUP(I4338,FS_input_noty,J4338,FALSE)=""</f>
        <v>0</v>
      </c>
      <c r="H4370" s="6" t="s">
        <v>2189</v>
      </c>
      <c r="I4370" t="s">
        <v>1561</v>
      </c>
      <c r="J4370" t="s">
        <v>1561</v>
      </c>
      <c r="L4370">
        <f t="shared" si="241"/>
        <v>1</v>
      </c>
    </row>
    <row r="4371" spans="1:12" x14ac:dyDescent="0.35">
      <c r="A4371">
        <f t="shared" si="242"/>
        <v>4370</v>
      </c>
      <c r="B4371" t="s">
        <v>752</v>
      </c>
      <c r="C4371" s="109" t="str">
        <f>IF(ISBLANK(K4371),IFERROR(VLOOKUP(I4371,FS_input_data!$C$458:$N$648,Export!J4371,FALSE),""),K4371)</f>
        <v/>
      </c>
      <c r="D4371" s="6"/>
      <c r="E4371" t="s">
        <v>1561</v>
      </c>
      <c r="F4371" s="6"/>
      <c r="G4371" s="115" t="b">
        <f>VLOOKUP(I4372,FS_input_noty,J4372,FALSE)=""</f>
        <v>0</v>
      </c>
      <c r="H4371" s="6" t="s">
        <v>2189</v>
      </c>
      <c r="I4371" t="s">
        <v>1561</v>
      </c>
      <c r="J4371" t="s">
        <v>1561</v>
      </c>
      <c r="L4371" s="9" t="e">
        <f t="shared" si="241"/>
        <v>#VALUE!</v>
      </c>
    </row>
    <row r="4372" spans="1:12" x14ac:dyDescent="0.35">
      <c r="A4372" s="9">
        <f t="shared" si="242"/>
        <v>4371</v>
      </c>
      <c r="B4372" t="s">
        <v>101</v>
      </c>
      <c r="C4372" s="109" t="str">
        <f>IF(ISBLANK(K4372),IFERROR(VLOOKUP(I4372,FS_input_data!$C$458:$N$648,Export!J4372,FALSE),""),K4372)</f>
        <v>OC35</v>
      </c>
      <c r="D4372" s="6" t="b">
        <v>1</v>
      </c>
      <c r="E4372" t="s">
        <v>1561</v>
      </c>
      <c r="F4372" s="6"/>
      <c r="G4372" s="115" t="b">
        <f>VLOOKUP(I4372,FS_input_noty,J4372,FALSE)=""</f>
        <v>0</v>
      </c>
      <c r="H4372" s="6" t="s">
        <v>2189</v>
      </c>
      <c r="I4372" t="s">
        <v>1924</v>
      </c>
      <c r="J4372">
        <v>6</v>
      </c>
      <c r="L4372" s="9" t="e">
        <f t="shared" si="241"/>
        <v>#VALUE!</v>
      </c>
    </row>
    <row r="4373" spans="1:12" x14ac:dyDescent="0.35">
      <c r="A4373">
        <f t="shared" si="242"/>
        <v>4372</v>
      </c>
      <c r="B4373" t="s">
        <v>102</v>
      </c>
      <c r="C4373" s="109" t="str">
        <f>IF(ISBLANK(K4373),IFERROR(VLOOKUP(I4373,FS_input_data!$C$458:$N$648,Export!J4373,FALSE),""),K4373)</f>
        <v/>
      </c>
      <c r="D4373" s="6"/>
      <c r="E4373" t="s">
        <v>1561</v>
      </c>
      <c r="F4373" s="6"/>
      <c r="G4373" s="115" t="b">
        <f>VLOOKUP(I4372,FS_input_noty,J4372,FALSE)=""</f>
        <v>0</v>
      </c>
      <c r="H4373" s="6" t="s">
        <v>2189</v>
      </c>
      <c r="I4373" t="s">
        <v>1561</v>
      </c>
      <c r="J4373" t="s">
        <v>1561</v>
      </c>
      <c r="L4373">
        <f t="shared" si="241"/>
        <v>1</v>
      </c>
    </row>
    <row r="4374" spans="1:12" x14ac:dyDescent="0.35">
      <c r="A4374">
        <f t="shared" si="242"/>
        <v>4373</v>
      </c>
      <c r="B4374" t="s">
        <v>753</v>
      </c>
      <c r="C4374" s="109" t="str">
        <f>IF(ISBLANK(K4374),IFERROR(VLOOKUP(I4374,FS_input_data!$C$458:$N$648,Export!J4374,FALSE),""),K4374)</f>
        <v/>
      </c>
      <c r="D4374" s="6"/>
      <c r="E4374" t="s">
        <v>1561</v>
      </c>
      <c r="F4374" s="6"/>
      <c r="G4374" s="115" t="b">
        <f>VLOOKUP(I4372,FS_input_noty,J4372,FALSE)=""</f>
        <v>0</v>
      </c>
      <c r="H4374" s="6" t="s">
        <v>2189</v>
      </c>
      <c r="I4374" t="s">
        <v>1561</v>
      </c>
      <c r="J4374" t="s">
        <v>1561</v>
      </c>
      <c r="L4374" s="9" t="e">
        <f t="shared" si="241"/>
        <v>#VALUE!</v>
      </c>
    </row>
    <row r="4375" spans="1:12" x14ac:dyDescent="0.35">
      <c r="A4375">
        <f t="shared" si="242"/>
        <v>4374</v>
      </c>
      <c r="B4375" t="s">
        <v>742</v>
      </c>
      <c r="C4375" s="109" t="str">
        <f>IF(ISBLANK(K4375),IFERROR(VLOOKUP(I4375,FS_input_data!$C$458:$N$648,Export!J4375,FALSE),""),K4375)</f>
        <v/>
      </c>
      <c r="D4375" s="6"/>
      <c r="E4375" t="s">
        <v>1561</v>
      </c>
      <c r="F4375" s="6"/>
      <c r="G4375" s="115" t="b">
        <f>VLOOKUP(I4372,FS_input_noty,J4372,FALSE)=""</f>
        <v>0</v>
      </c>
      <c r="H4375" s="6" t="s">
        <v>2189</v>
      </c>
      <c r="I4375" t="s">
        <v>1561</v>
      </c>
      <c r="J4375" t="s">
        <v>1561</v>
      </c>
      <c r="L4375" s="9" t="e">
        <f t="shared" si="241"/>
        <v>#VALUE!</v>
      </c>
    </row>
    <row r="4376" spans="1:12" x14ac:dyDescent="0.35">
      <c r="A4376">
        <f t="shared" si="242"/>
        <v>4375</v>
      </c>
      <c r="B4376" t="s">
        <v>748</v>
      </c>
      <c r="C4376" s="109" t="str">
        <f>IF(ISBLANK(K4376),IFERROR(VLOOKUP(I4376,FS_input_data!$C$458:$N$648,Export!J4376,FALSE),""),K4376)</f>
        <v/>
      </c>
      <c r="D4376" s="6"/>
      <c r="E4376" t="s">
        <v>1561</v>
      </c>
      <c r="F4376" s="6"/>
      <c r="G4376" s="115" t="b">
        <f>VLOOKUP(I4372,FS_input_noty,J4372,FALSE)=""</f>
        <v>0</v>
      </c>
      <c r="H4376" s="6" t="s">
        <v>2189</v>
      </c>
      <c r="I4376" t="s">
        <v>1561</v>
      </c>
      <c r="J4376" t="s">
        <v>1561</v>
      </c>
      <c r="L4376" s="9" t="e">
        <f t="shared" si="241"/>
        <v>#VALUE!</v>
      </c>
    </row>
    <row r="4377" spans="1:12" x14ac:dyDescent="0.35">
      <c r="A4377" s="9">
        <f t="shared" si="242"/>
        <v>4376</v>
      </c>
      <c r="B4377" t="s">
        <v>109</v>
      </c>
      <c r="C4377" s="109">
        <f>IF(ISBLANK(K4377),IFERROR(VLOOKUP(I4377,FS_input_data!$C$458:$N$648,Export!J4377,FALSE),""),K4377)</f>
        <v>13000</v>
      </c>
      <c r="D4377" s="6" t="b">
        <v>1</v>
      </c>
      <c r="E4377" t="s">
        <v>1561</v>
      </c>
      <c r="F4377" s="6"/>
      <c r="G4377" s="115" t="b">
        <f>VLOOKUP(I4372,FS_input_noty,J4372,FALSE)=""</f>
        <v>0</v>
      </c>
      <c r="H4377" s="6" t="s">
        <v>2189</v>
      </c>
      <c r="I4377" t="s">
        <v>1924</v>
      </c>
      <c r="J4377">
        <v>7</v>
      </c>
      <c r="L4377" s="9" t="e">
        <f t="shared" si="241"/>
        <v>#VALUE!</v>
      </c>
    </row>
    <row r="4378" spans="1:12" x14ac:dyDescent="0.35">
      <c r="A4378">
        <f t="shared" si="242"/>
        <v>4377</v>
      </c>
      <c r="B4378" t="s">
        <v>110</v>
      </c>
      <c r="C4378" s="109" t="str">
        <f>IF(ISBLANK(K4378),IFERROR(VLOOKUP(I4378,FS_input_data!$C$458:$N$648,Export!J4378,FALSE),""),K4378)</f>
        <v/>
      </c>
      <c r="D4378" s="6"/>
      <c r="E4378" t="s">
        <v>1561</v>
      </c>
      <c r="F4378" s="6"/>
      <c r="G4378" s="115" t="b">
        <f>VLOOKUP(I4372,FS_input_noty,J4372,FALSE)=""</f>
        <v>0</v>
      </c>
      <c r="H4378" s="6" t="s">
        <v>2189</v>
      </c>
      <c r="I4378" t="s">
        <v>1561</v>
      </c>
      <c r="J4378" t="s">
        <v>1561</v>
      </c>
      <c r="L4378">
        <f t="shared" si="241"/>
        <v>1</v>
      </c>
    </row>
    <row r="4379" spans="1:12" x14ac:dyDescent="0.35">
      <c r="A4379" s="9">
        <f t="shared" si="242"/>
        <v>4378</v>
      </c>
      <c r="B4379" t="s">
        <v>111</v>
      </c>
      <c r="C4379" s="109">
        <f>IF(ISBLANK(K4379),IFERROR(VLOOKUP(I4379,FS_input_data!$C$458:$N$648,Export!J4379,FALSE),""),K4379)</f>
        <v>6500</v>
      </c>
      <c r="D4379" s="6" t="b">
        <v>0</v>
      </c>
      <c r="E4379" t="s">
        <v>1561</v>
      </c>
      <c r="F4379" s="6"/>
      <c r="G4379" s="115" t="b">
        <f>VLOOKUP(I4372,FS_input_noty,J4372,TRUE)=""</f>
        <v>0</v>
      </c>
      <c r="H4379" s="6" t="s">
        <v>2189</v>
      </c>
      <c r="I4379" t="s">
        <v>1924</v>
      </c>
      <c r="J4379">
        <v>8</v>
      </c>
      <c r="L4379" s="9" t="e">
        <f t="shared" si="241"/>
        <v>#VALUE!</v>
      </c>
    </row>
    <row r="4380" spans="1:12" x14ac:dyDescent="0.35">
      <c r="A4380">
        <f t="shared" si="242"/>
        <v>4379</v>
      </c>
      <c r="B4380" t="s">
        <v>112</v>
      </c>
      <c r="C4380" s="109" t="str">
        <f>IF(ISBLANK(K4380),IFERROR(VLOOKUP(I4380,FS_input_data!$C$458:$N$648,Export!J4380,FALSE),""),K4380)</f>
        <v/>
      </c>
      <c r="D4380" s="6"/>
      <c r="E4380" t="s">
        <v>1561</v>
      </c>
      <c r="F4380" s="6"/>
      <c r="G4380" s="115" t="b">
        <f>VLOOKUP(I4372,FS_input_noty,J4372,FALSE)=""</f>
        <v>0</v>
      </c>
      <c r="H4380" s="6" t="s">
        <v>2189</v>
      </c>
      <c r="I4380" t="s">
        <v>1561</v>
      </c>
      <c r="J4380" t="s">
        <v>1561</v>
      </c>
      <c r="L4380">
        <f t="shared" si="241"/>
        <v>1</v>
      </c>
    </row>
    <row r="4381" spans="1:12" x14ac:dyDescent="0.35">
      <c r="A4381" s="9">
        <f t="shared" si="242"/>
        <v>4380</v>
      </c>
      <c r="B4381" t="s">
        <v>749</v>
      </c>
      <c r="C4381" s="109">
        <f>IF(ISBLANK(K4381),IFERROR(VLOOKUP(I4381,FS_input_data!$C$458:$N$648,Export!J4381,FALSE),""),K4381)</f>
        <v>6500</v>
      </c>
      <c r="D4381" s="6" t="b">
        <v>0</v>
      </c>
      <c r="E4381" t="s">
        <v>1561</v>
      </c>
      <c r="F4381" s="6"/>
      <c r="G4381" s="115" t="b">
        <f>VLOOKUP(I4372,FS_input_noty,J4372,FALSE)=""</f>
        <v>0</v>
      </c>
      <c r="H4381" s="6" t="s">
        <v>2189</v>
      </c>
      <c r="I4381" t="s">
        <v>1924</v>
      </c>
      <c r="J4381">
        <v>9</v>
      </c>
      <c r="L4381" s="9" t="e">
        <f t="shared" si="241"/>
        <v>#VALUE!</v>
      </c>
    </row>
    <row r="4382" spans="1:12" x14ac:dyDescent="0.35">
      <c r="A4382">
        <f t="shared" si="242"/>
        <v>4381</v>
      </c>
      <c r="B4382" t="s">
        <v>750</v>
      </c>
      <c r="C4382" s="109" t="str">
        <f>IF(ISBLANK(K4382),IFERROR(VLOOKUP(I4382,FS_input_data!$C$458:$N$648,Export!J4382,FALSE),""),K4382)</f>
        <v/>
      </c>
      <c r="D4382" s="6"/>
      <c r="E4382" t="s">
        <v>1561</v>
      </c>
      <c r="F4382" s="6"/>
      <c r="G4382" s="115" t="b">
        <f>VLOOKUP(I4372,FS_input_noty,J4372,FALSE)=""</f>
        <v>0</v>
      </c>
      <c r="H4382" s="6" t="s">
        <v>2189</v>
      </c>
      <c r="I4382" t="s">
        <v>1561</v>
      </c>
      <c r="J4382" t="s">
        <v>1561</v>
      </c>
      <c r="L4382">
        <f t="shared" si="241"/>
        <v>1</v>
      </c>
    </row>
    <row r="4383" spans="1:12" x14ac:dyDescent="0.35">
      <c r="A4383">
        <f t="shared" si="242"/>
        <v>4382</v>
      </c>
      <c r="B4383" t="s">
        <v>751</v>
      </c>
      <c r="C4383" s="109" t="str">
        <f>IF(ISBLANK(K4383),IFERROR(VLOOKUP(I4383,FS_input_data!$C$458:$N$648,Export!J4383,FALSE),""),K4383)</f>
        <v/>
      </c>
      <c r="D4383" s="6"/>
      <c r="E4383" t="s">
        <v>1561</v>
      </c>
      <c r="F4383" s="6"/>
      <c r="G4383" s="115" t="b">
        <f>VLOOKUP(I4372,FS_input_noty,J4372,FALSE)=""</f>
        <v>0</v>
      </c>
      <c r="H4383" s="6" t="s">
        <v>2189</v>
      </c>
      <c r="I4383" t="s">
        <v>1561</v>
      </c>
      <c r="J4383" t="s">
        <v>1561</v>
      </c>
      <c r="L4383">
        <f t="shared" si="241"/>
        <v>1</v>
      </c>
    </row>
    <row r="4384" spans="1:12" x14ac:dyDescent="0.35">
      <c r="A4384">
        <f t="shared" si="242"/>
        <v>4383</v>
      </c>
      <c r="B4384" t="s">
        <v>754</v>
      </c>
      <c r="C4384" s="109" t="str">
        <f>IF(ISBLANK(K4384),IFERROR(VLOOKUP(I4384,FS_input_data!$C$458:$N$648,Export!J4384,FALSE),""),K4384)</f>
        <v/>
      </c>
      <c r="D4384" s="6"/>
      <c r="E4384" t="s">
        <v>1561</v>
      </c>
      <c r="F4384" s="6"/>
      <c r="G4384" s="115" t="b">
        <f>VLOOKUP(I4372,FS_input_noty,J4372,FALSE)=""</f>
        <v>0</v>
      </c>
      <c r="H4384" s="6" t="s">
        <v>2189</v>
      </c>
      <c r="I4384" t="s">
        <v>1561</v>
      </c>
      <c r="J4384" t="s">
        <v>1561</v>
      </c>
      <c r="L4384" s="9" t="e">
        <f t="shared" si="241"/>
        <v>#VALUE!</v>
      </c>
    </row>
    <row r="4385" spans="1:12" x14ac:dyDescent="0.35">
      <c r="A4385" s="9">
        <f t="shared" si="242"/>
        <v>4384</v>
      </c>
      <c r="B4385" t="s">
        <v>755</v>
      </c>
      <c r="C4385" s="109">
        <f>IF(ISBLANK(K4385),IFERROR(VLOOKUP(I4385,FS_input_data!$C$458:$N$648,Export!J4385,FALSE),""),K4385)</f>
        <v>57</v>
      </c>
      <c r="D4385" s="6" t="b">
        <v>1</v>
      </c>
      <c r="E4385" t="s">
        <v>1561</v>
      </c>
      <c r="F4385" s="6"/>
      <c r="G4385" s="115" t="b">
        <f>VLOOKUP(I4372,FS_input_noty,J4372,FALSE)=""</f>
        <v>0</v>
      </c>
      <c r="H4385" s="6" t="s">
        <v>2189</v>
      </c>
      <c r="I4385" t="s">
        <v>1924</v>
      </c>
      <c r="J4385">
        <v>2</v>
      </c>
      <c r="L4385" s="9" t="e">
        <f t="shared" si="241"/>
        <v>#VALUE!</v>
      </c>
    </row>
    <row r="4386" spans="1:12" x14ac:dyDescent="0.35">
      <c r="A4386">
        <f t="shared" si="242"/>
        <v>4385</v>
      </c>
      <c r="B4386" t="s">
        <v>756</v>
      </c>
      <c r="C4386" s="109" t="str">
        <f>IF(ISBLANK(K4386),IFERROR(VLOOKUP(I4386,FS_input_data!$C$458:$N$648,Export!J4386,FALSE),""),K4386)</f>
        <v/>
      </c>
      <c r="D4386" s="6"/>
      <c r="E4386" t="s">
        <v>1561</v>
      </c>
      <c r="F4386" s="6"/>
      <c r="G4386" s="115" t="b">
        <f>VLOOKUP(I4372,FS_input_noty,J4372,FALSE)=""</f>
        <v>0</v>
      </c>
      <c r="H4386" s="6" t="s">
        <v>2189</v>
      </c>
      <c r="I4386" t="s">
        <v>1561</v>
      </c>
      <c r="J4386" t="s">
        <v>1561</v>
      </c>
      <c r="L4386">
        <f t="shared" si="241"/>
        <v>1</v>
      </c>
    </row>
    <row r="4387" spans="1:12" x14ac:dyDescent="0.35">
      <c r="A4387" s="9">
        <f t="shared" si="242"/>
        <v>4386</v>
      </c>
      <c r="B4387" t="s">
        <v>757</v>
      </c>
      <c r="C4387" s="109">
        <f>IF(ISBLANK(K4387),IFERROR(VLOOKUP(I4387,FS_input_data!$C$458:$N$648,Export!J4387,FALSE),""),K4387)</f>
        <v>157</v>
      </c>
      <c r="D4387" s="6" t="b">
        <v>0</v>
      </c>
      <c r="E4387" t="s">
        <v>1561</v>
      </c>
      <c r="F4387" s="6"/>
      <c r="G4387" s="115" t="b">
        <f>VLOOKUP(I4372,FS_input_noty,J4372,FALSE)=""</f>
        <v>0</v>
      </c>
      <c r="H4387" s="6" t="s">
        <v>2189</v>
      </c>
      <c r="I4387" t="s">
        <v>1924</v>
      </c>
      <c r="J4387">
        <v>3</v>
      </c>
      <c r="L4387" s="9" t="e">
        <f t="shared" si="241"/>
        <v>#VALUE!</v>
      </c>
    </row>
    <row r="4388" spans="1:12" x14ac:dyDescent="0.35">
      <c r="A4388">
        <f t="shared" si="242"/>
        <v>4387</v>
      </c>
      <c r="B4388" t="s">
        <v>758</v>
      </c>
      <c r="C4388" s="109" t="str">
        <f>IF(ISBLANK(K4388),IFERROR(VLOOKUP(I4388,FS_input_data!$C$458:$N$648,Export!J4388,FALSE),""),K4388)</f>
        <v/>
      </c>
      <c r="D4388" s="6"/>
      <c r="E4388" t="s">
        <v>1561</v>
      </c>
      <c r="F4388" s="6"/>
      <c r="G4388" s="115" t="b">
        <f>VLOOKUP(I4372,FS_input_noty,J4372,FALSE)=""</f>
        <v>0</v>
      </c>
      <c r="H4388" s="6" t="s">
        <v>2189</v>
      </c>
      <c r="I4388" t="s">
        <v>1561</v>
      </c>
      <c r="J4388" t="s">
        <v>1561</v>
      </c>
      <c r="L4388">
        <f t="shared" si="241"/>
        <v>1</v>
      </c>
    </row>
    <row r="4389" spans="1:12" x14ac:dyDescent="0.35">
      <c r="A4389" s="9">
        <f t="shared" si="242"/>
        <v>4388</v>
      </c>
      <c r="B4389" t="s">
        <v>759</v>
      </c>
      <c r="C4389" s="109">
        <f>IF(ISBLANK(K4389),IFERROR(VLOOKUP(I4389,FS_input_data!$C$458:$N$648,Export!J4389,FALSE),""),K4389)</f>
        <v>257</v>
      </c>
      <c r="D4389" s="6" t="b">
        <v>0</v>
      </c>
      <c r="E4389" t="s">
        <v>1561</v>
      </c>
      <c r="F4389" s="6"/>
      <c r="G4389" s="115" t="b">
        <f>VLOOKUP(I4372,FS_input_noty,J4372,FALSE)=""</f>
        <v>0</v>
      </c>
      <c r="H4389" s="6" t="s">
        <v>2189</v>
      </c>
      <c r="I4389" t="s">
        <v>1924</v>
      </c>
      <c r="J4389">
        <v>4</v>
      </c>
      <c r="L4389" s="9" t="e">
        <f t="shared" si="241"/>
        <v>#VALUE!</v>
      </c>
    </row>
    <row r="4390" spans="1:12" x14ac:dyDescent="0.35">
      <c r="A4390">
        <f t="shared" si="242"/>
        <v>4389</v>
      </c>
      <c r="B4390" t="s">
        <v>760</v>
      </c>
      <c r="C4390" s="109" t="str">
        <f>IF(ISBLANK(K4390),IFERROR(VLOOKUP(I4390,FS_input_data!$C$458:$N$648,Export!J4390,FALSE),""),K4390)</f>
        <v/>
      </c>
      <c r="D4390" s="6"/>
      <c r="E4390" t="s">
        <v>1561</v>
      </c>
      <c r="F4390" s="6"/>
      <c r="G4390" s="115" t="b">
        <f>VLOOKUP(I4372,FS_input_noty,J4372,FALSE)=""</f>
        <v>0</v>
      </c>
      <c r="H4390" s="6" t="s">
        <v>2189</v>
      </c>
      <c r="I4390" t="s">
        <v>1561</v>
      </c>
      <c r="J4390" t="s">
        <v>1561</v>
      </c>
      <c r="L4390">
        <f t="shared" si="241"/>
        <v>1</v>
      </c>
    </row>
    <row r="4391" spans="1:12" x14ac:dyDescent="0.35">
      <c r="A4391" s="9">
        <f t="shared" si="242"/>
        <v>4390</v>
      </c>
      <c r="B4391" t="s">
        <v>761</v>
      </c>
      <c r="C4391" s="109" t="str">
        <f>IF(ISBLANK(K4391),IFERROR(VLOOKUP(I4391,FS_input_data!$C$458:$N$648,Export!J4391,FALSE),""),K4391)</f>
        <v>a</v>
      </c>
      <c r="D4391" s="6" t="b">
        <v>0</v>
      </c>
      <c r="E4391" t="s">
        <v>1561</v>
      </c>
      <c r="F4391" s="6"/>
      <c r="G4391" s="115" t="b">
        <f>VLOOKUP(I4372,FS_input_noty,J4372,FALSE)=""</f>
        <v>0</v>
      </c>
      <c r="H4391" s="6" t="s">
        <v>2189</v>
      </c>
      <c r="I4391" t="s">
        <v>1924</v>
      </c>
      <c r="J4391">
        <v>5</v>
      </c>
      <c r="L4391" s="9" t="e">
        <f t="shared" si="241"/>
        <v>#VALUE!</v>
      </c>
    </row>
    <row r="4392" spans="1:12" x14ac:dyDescent="0.35">
      <c r="A4392">
        <f t="shared" si="242"/>
        <v>4391</v>
      </c>
      <c r="B4392" t="s">
        <v>762</v>
      </c>
      <c r="C4392" s="109" t="str">
        <f>IF(ISBLANK(K4392),IFERROR(VLOOKUP(I4392,FS_input_data!$C$458:$N$648,Export!J4392,FALSE),""),K4392)</f>
        <v/>
      </c>
      <c r="D4392" s="6"/>
      <c r="E4392" t="s">
        <v>1561</v>
      </c>
      <c r="F4392" s="6"/>
      <c r="G4392" s="115" t="b">
        <f>VLOOKUP(I4372,FS_input_noty,J4372,FALSE)=""</f>
        <v>0</v>
      </c>
      <c r="H4392" s="6" t="s">
        <v>2189</v>
      </c>
      <c r="I4392" t="s">
        <v>1561</v>
      </c>
      <c r="J4392" t="s">
        <v>1561</v>
      </c>
      <c r="L4392">
        <f t="shared" si="241"/>
        <v>1</v>
      </c>
    </row>
    <row r="4393" spans="1:12" x14ac:dyDescent="0.35">
      <c r="A4393">
        <f t="shared" si="242"/>
        <v>4392</v>
      </c>
      <c r="B4393" t="s">
        <v>763</v>
      </c>
      <c r="C4393" s="109" t="str">
        <f>IF(ISBLANK(K4393),IFERROR(VLOOKUP(I4393,FS_input_data!$C$458:$N$648,Export!J4393,FALSE),""),K4393)</f>
        <v/>
      </c>
      <c r="D4393" s="6"/>
      <c r="E4393" t="s">
        <v>1561</v>
      </c>
      <c r="F4393" s="6"/>
      <c r="G4393" s="115" t="b">
        <f>VLOOKUP(I4372,FS_input_noty,J4372,FALSE)=""</f>
        <v>0</v>
      </c>
      <c r="H4393" s="6" t="s">
        <v>2189</v>
      </c>
      <c r="I4393" t="s">
        <v>1561</v>
      </c>
      <c r="J4393" t="s">
        <v>1561</v>
      </c>
      <c r="L4393">
        <f t="shared" si="241"/>
        <v>1</v>
      </c>
    </row>
    <row r="4394" spans="1:12" x14ac:dyDescent="0.35">
      <c r="A4394">
        <f t="shared" si="242"/>
        <v>4393</v>
      </c>
      <c r="B4394" t="s">
        <v>743</v>
      </c>
      <c r="C4394" s="109" t="str">
        <f>IF(ISBLANK(K4394),IFERROR(VLOOKUP(I4394,FS_input_data!$C$458:$N$648,Export!J4394,FALSE),""),K4394)</f>
        <v/>
      </c>
      <c r="D4394" s="6"/>
      <c r="E4394" t="s">
        <v>1561</v>
      </c>
      <c r="F4394" s="6"/>
      <c r="G4394" s="115" t="b">
        <f>VLOOKUP(I4372,FS_input_noty,J4372,FALSE)=""</f>
        <v>0</v>
      </c>
      <c r="H4394" s="6" t="s">
        <v>2189</v>
      </c>
      <c r="I4394" t="s">
        <v>1561</v>
      </c>
      <c r="J4394" t="s">
        <v>1561</v>
      </c>
      <c r="L4394">
        <f t="shared" si="241"/>
        <v>1</v>
      </c>
    </row>
    <row r="4395" spans="1:12" x14ac:dyDescent="0.35">
      <c r="A4395">
        <f t="shared" si="242"/>
        <v>4394</v>
      </c>
      <c r="B4395" t="s">
        <v>744</v>
      </c>
      <c r="C4395" s="109" t="str">
        <f>IF(ISBLANK(K4395),IFERROR(VLOOKUP(I4395,FS_input_data!$C$458:$N$648,Export!J4395,FALSE),""),K4395)</f>
        <v/>
      </c>
      <c r="D4395" s="6"/>
      <c r="E4395" t="s">
        <v>1561</v>
      </c>
      <c r="F4395" s="6"/>
      <c r="G4395" s="115" t="b">
        <f t="shared" ref="G4395:G4402" si="244">RP_tax</f>
        <v>1</v>
      </c>
      <c r="H4395" s="6" t="s">
        <v>2189</v>
      </c>
      <c r="I4395" t="s">
        <v>1561</v>
      </c>
      <c r="J4395" t="s">
        <v>1561</v>
      </c>
      <c r="L4395" s="9" t="e">
        <f t="shared" si="241"/>
        <v>#VALUE!</v>
      </c>
    </row>
    <row r="4396" spans="1:12" x14ac:dyDescent="0.35">
      <c r="A4396" s="9">
        <f t="shared" si="242"/>
        <v>4395</v>
      </c>
      <c r="B4396" t="s">
        <v>109</v>
      </c>
      <c r="C4396" s="109">
        <f>IF(ISBLANK(K4396),IFERROR(VLOOKUP(I4396,FS_input_data!$C$458:$N$648,Export!J4396,FALSE),""),K4396)</f>
        <v>13000</v>
      </c>
      <c r="D4396" s="6" t="b">
        <v>1</v>
      </c>
      <c r="E4396" t="s">
        <v>1561</v>
      </c>
      <c r="F4396" s="6"/>
      <c r="G4396" s="115" t="b">
        <f t="shared" si="244"/>
        <v>1</v>
      </c>
      <c r="H4396" s="6" t="s">
        <v>2189</v>
      </c>
      <c r="I4396" t="s">
        <v>1924</v>
      </c>
      <c r="J4396">
        <v>10</v>
      </c>
      <c r="L4396" s="9" t="e">
        <f t="shared" si="241"/>
        <v>#VALUE!</v>
      </c>
    </row>
    <row r="4397" spans="1:12" x14ac:dyDescent="0.35">
      <c r="A4397">
        <f t="shared" si="242"/>
        <v>4396</v>
      </c>
      <c r="B4397" t="s">
        <v>110</v>
      </c>
      <c r="C4397" s="109" t="str">
        <f>IF(ISBLANK(K4397),IFERROR(VLOOKUP(I4397,FS_input_data!$C$458:$N$648,Export!J4397,FALSE),""),K4397)</f>
        <v/>
      </c>
      <c r="D4397" s="6"/>
      <c r="E4397" t="s">
        <v>1561</v>
      </c>
      <c r="F4397" s="6"/>
      <c r="G4397" s="115" t="b">
        <f t="shared" si="244"/>
        <v>1</v>
      </c>
      <c r="H4397" s="6" t="s">
        <v>2189</v>
      </c>
      <c r="I4397" t="s">
        <v>1561</v>
      </c>
      <c r="J4397" t="s">
        <v>1561</v>
      </c>
      <c r="L4397">
        <f t="shared" si="241"/>
        <v>1</v>
      </c>
    </row>
    <row r="4398" spans="1:12" x14ac:dyDescent="0.35">
      <c r="A4398" s="9">
        <f t="shared" si="242"/>
        <v>4397</v>
      </c>
      <c r="B4398" t="s">
        <v>111</v>
      </c>
      <c r="C4398" s="109">
        <f>IF(ISBLANK(K4398),IFERROR(VLOOKUP(I4398,FS_input_data!$C$458:$N$648,Export!J4398,FALSE),""),K4398)</f>
        <v>6500</v>
      </c>
      <c r="D4398" s="6" t="b">
        <v>0</v>
      </c>
      <c r="E4398" t="s">
        <v>1561</v>
      </c>
      <c r="F4398" s="6"/>
      <c r="G4398" s="115" t="b">
        <f t="shared" si="244"/>
        <v>1</v>
      </c>
      <c r="H4398" s="6" t="s">
        <v>2189</v>
      </c>
      <c r="I4398" t="s">
        <v>1924</v>
      </c>
      <c r="J4398">
        <v>11</v>
      </c>
      <c r="L4398" s="9" t="e">
        <f t="shared" si="241"/>
        <v>#VALUE!</v>
      </c>
    </row>
    <row r="4399" spans="1:12" x14ac:dyDescent="0.35">
      <c r="A4399">
        <f t="shared" si="242"/>
        <v>4398</v>
      </c>
      <c r="B4399" t="s">
        <v>112</v>
      </c>
      <c r="C4399" s="109" t="str">
        <f>IF(ISBLANK(K4399),IFERROR(VLOOKUP(I4399,FS_input_data!$C$458:$N$648,Export!J4399,FALSE),""),K4399)</f>
        <v/>
      </c>
      <c r="D4399" s="6"/>
      <c r="E4399" t="s">
        <v>1561</v>
      </c>
      <c r="F4399" s="6"/>
      <c r="G4399" s="115" t="b">
        <f t="shared" si="244"/>
        <v>1</v>
      </c>
      <c r="H4399" s="6" t="s">
        <v>2189</v>
      </c>
      <c r="I4399" t="s">
        <v>1561</v>
      </c>
      <c r="J4399" t="s">
        <v>1561</v>
      </c>
      <c r="L4399">
        <f t="shared" si="241"/>
        <v>1</v>
      </c>
    </row>
    <row r="4400" spans="1:12" x14ac:dyDescent="0.35">
      <c r="A4400" s="9">
        <f t="shared" si="242"/>
        <v>4399</v>
      </c>
      <c r="B4400" t="s">
        <v>749</v>
      </c>
      <c r="C4400" s="109">
        <f>IF(ISBLANK(K4400),IFERROR(VLOOKUP(I4400,FS_input_data!$C$458:$N$648,Export!J4400,FALSE),""),K4400)</f>
        <v>6500</v>
      </c>
      <c r="D4400" s="6" t="b">
        <v>0</v>
      </c>
      <c r="E4400" t="s">
        <v>1561</v>
      </c>
      <c r="F4400" s="6"/>
      <c r="G4400" s="115" t="b">
        <f t="shared" si="244"/>
        <v>1</v>
      </c>
      <c r="H4400" s="6" t="s">
        <v>2189</v>
      </c>
      <c r="I4400" t="s">
        <v>1924</v>
      </c>
      <c r="J4400">
        <v>12</v>
      </c>
      <c r="L4400" s="9" t="e">
        <f t="shared" si="241"/>
        <v>#VALUE!</v>
      </c>
    </row>
    <row r="4401" spans="1:12" x14ac:dyDescent="0.35">
      <c r="A4401">
        <f t="shared" si="242"/>
        <v>4400</v>
      </c>
      <c r="B4401" t="s">
        <v>750</v>
      </c>
      <c r="C4401" s="109" t="str">
        <f>IF(ISBLANK(K4401),IFERROR(VLOOKUP(I4401,FS_input_data!$C$458:$N$648,Export!J4401,FALSE),""),K4401)</f>
        <v/>
      </c>
      <c r="D4401" s="6"/>
      <c r="E4401" t="s">
        <v>1561</v>
      </c>
      <c r="F4401" s="6"/>
      <c r="G4401" s="115" t="b">
        <f t="shared" si="244"/>
        <v>1</v>
      </c>
      <c r="H4401" s="6" t="s">
        <v>2189</v>
      </c>
      <c r="I4401" t="s">
        <v>1561</v>
      </c>
      <c r="J4401" t="s">
        <v>1561</v>
      </c>
      <c r="L4401">
        <f t="shared" si="241"/>
        <v>1</v>
      </c>
    </row>
    <row r="4402" spans="1:12" x14ac:dyDescent="0.35">
      <c r="A4402">
        <f t="shared" si="242"/>
        <v>4401</v>
      </c>
      <c r="B4402" t="s">
        <v>745</v>
      </c>
      <c r="C4402" s="109" t="str">
        <f>IF(ISBLANK(K4402),IFERROR(VLOOKUP(I4402,FS_input_data!$C$458:$N$648,Export!J4402,FALSE),""),K4402)</f>
        <v/>
      </c>
      <c r="D4402" s="6"/>
      <c r="E4402" t="s">
        <v>1561</v>
      </c>
      <c r="F4402" s="6"/>
      <c r="G4402" s="115" t="b">
        <f t="shared" si="244"/>
        <v>1</v>
      </c>
      <c r="H4402" s="6" t="s">
        <v>2189</v>
      </c>
      <c r="I4402" t="s">
        <v>1561</v>
      </c>
      <c r="J4402" t="s">
        <v>1561</v>
      </c>
      <c r="L4402">
        <f t="shared" si="241"/>
        <v>1</v>
      </c>
    </row>
    <row r="4403" spans="1:12" x14ac:dyDescent="0.35">
      <c r="A4403">
        <f t="shared" si="242"/>
        <v>4402</v>
      </c>
      <c r="B4403" t="s">
        <v>764</v>
      </c>
      <c r="C4403" s="109" t="str">
        <f>IF(ISBLANK(K4403),IFERROR(VLOOKUP(I4403,FS_input_data!$C$458:$N$648,Export!J4403,FALSE),""),K4403)</f>
        <v/>
      </c>
      <c r="D4403" s="6"/>
      <c r="E4403" t="s">
        <v>1561</v>
      </c>
      <c r="F4403" s="6"/>
      <c r="G4403" s="115" t="b">
        <f>VLOOKUP(I4372,FS_input_noty,J4372,FALSE)=""</f>
        <v>0</v>
      </c>
      <c r="H4403" s="6" t="s">
        <v>2189</v>
      </c>
      <c r="I4403" t="s">
        <v>1561</v>
      </c>
      <c r="J4403" t="s">
        <v>1561</v>
      </c>
      <c r="L4403">
        <f t="shared" si="241"/>
        <v>1</v>
      </c>
    </row>
    <row r="4404" spans="1:12" x14ac:dyDescent="0.35">
      <c r="A4404">
        <f t="shared" si="242"/>
        <v>4403</v>
      </c>
      <c r="B4404" t="s">
        <v>765</v>
      </c>
      <c r="C4404" s="109" t="str">
        <f>IF(ISBLANK(K4404),IFERROR(VLOOKUP(I4404,FS_input_data!$C$458:$N$648,Export!J4404,FALSE),""),K4404)</f>
        <v/>
      </c>
      <c r="D4404" s="6"/>
      <c r="E4404" t="s">
        <v>1561</v>
      </c>
      <c r="F4404" s="6"/>
      <c r="G4404" s="115" t="b">
        <f>VLOOKUP(I4372,FS_input_noty,J4372,FALSE)=""</f>
        <v>0</v>
      </c>
      <c r="H4404" s="6" t="s">
        <v>2189</v>
      </c>
      <c r="I4404" t="s">
        <v>1561</v>
      </c>
      <c r="J4404" t="s">
        <v>1561</v>
      </c>
      <c r="L4404">
        <f t="shared" si="241"/>
        <v>1</v>
      </c>
    </row>
    <row r="4405" spans="1:12" x14ac:dyDescent="0.35">
      <c r="A4405">
        <f t="shared" si="242"/>
        <v>4404</v>
      </c>
      <c r="B4405" t="s">
        <v>752</v>
      </c>
      <c r="C4405" s="109" t="str">
        <f>IF(ISBLANK(K4405),IFERROR(VLOOKUP(I4405,FS_input_data!$C$458:$N$648,Export!J4405,FALSE),""),K4405)</f>
        <v/>
      </c>
      <c r="D4405" s="6"/>
      <c r="E4405" t="s">
        <v>1561</v>
      </c>
      <c r="F4405" s="6"/>
      <c r="G4405" s="115" t="b">
        <f>VLOOKUP(I4406,FS_input_noty,J4406,FALSE)=""</f>
        <v>0</v>
      </c>
      <c r="H4405" s="6" t="s">
        <v>2189</v>
      </c>
      <c r="I4405" t="s">
        <v>1561</v>
      </c>
      <c r="J4405" t="s">
        <v>1561</v>
      </c>
      <c r="L4405" s="9" t="e">
        <f t="shared" si="241"/>
        <v>#VALUE!</v>
      </c>
    </row>
    <row r="4406" spans="1:12" x14ac:dyDescent="0.35">
      <c r="A4406" s="9">
        <f t="shared" si="242"/>
        <v>4405</v>
      </c>
      <c r="B4406" t="s">
        <v>101</v>
      </c>
      <c r="C4406" s="109" t="str">
        <f>IF(ISBLANK(K4406),IFERROR(VLOOKUP(I4406,FS_input_data!$C$458:$N$648,Export!J4406,FALSE),""),K4406)</f>
        <v>OC36</v>
      </c>
      <c r="D4406" s="6" t="b">
        <v>1</v>
      </c>
      <c r="E4406" t="s">
        <v>1561</v>
      </c>
      <c r="F4406" s="6"/>
      <c r="G4406" s="115" t="b">
        <f>VLOOKUP(I4406,FS_input_noty,J4406,FALSE)=""</f>
        <v>0</v>
      </c>
      <c r="H4406" s="6" t="s">
        <v>2189</v>
      </c>
      <c r="I4406" t="s">
        <v>1926</v>
      </c>
      <c r="J4406">
        <v>6</v>
      </c>
      <c r="L4406" s="9" t="e">
        <f t="shared" si="241"/>
        <v>#VALUE!</v>
      </c>
    </row>
    <row r="4407" spans="1:12" x14ac:dyDescent="0.35">
      <c r="A4407">
        <f t="shared" si="242"/>
        <v>4406</v>
      </c>
      <c r="B4407" t="s">
        <v>102</v>
      </c>
      <c r="C4407" s="109" t="str">
        <f>IF(ISBLANK(K4407),IFERROR(VLOOKUP(I4407,FS_input_data!$C$458:$N$648,Export!J4407,FALSE),""),K4407)</f>
        <v/>
      </c>
      <c r="D4407" s="6"/>
      <c r="E4407" t="s">
        <v>1561</v>
      </c>
      <c r="F4407" s="6"/>
      <c r="G4407" s="115" t="b">
        <f>VLOOKUP(I4406,FS_input_noty,J4406,FALSE)=""</f>
        <v>0</v>
      </c>
      <c r="H4407" s="6" t="s">
        <v>2189</v>
      </c>
      <c r="I4407" t="s">
        <v>1561</v>
      </c>
      <c r="J4407" t="s">
        <v>1561</v>
      </c>
      <c r="L4407">
        <f t="shared" si="241"/>
        <v>1</v>
      </c>
    </row>
    <row r="4408" spans="1:12" x14ac:dyDescent="0.35">
      <c r="A4408">
        <f t="shared" si="242"/>
        <v>4407</v>
      </c>
      <c r="B4408" t="s">
        <v>753</v>
      </c>
      <c r="C4408" s="109" t="str">
        <f>IF(ISBLANK(K4408),IFERROR(VLOOKUP(I4408,FS_input_data!$C$458:$N$648,Export!J4408,FALSE),""),K4408)</f>
        <v/>
      </c>
      <c r="D4408" s="6"/>
      <c r="E4408" t="s">
        <v>1561</v>
      </c>
      <c r="F4408" s="6"/>
      <c r="G4408" s="115" t="b">
        <f>VLOOKUP(I4406,FS_input_noty,J4406,FALSE)=""</f>
        <v>0</v>
      </c>
      <c r="H4408" s="6" t="s">
        <v>2189</v>
      </c>
      <c r="I4408" t="s">
        <v>1561</v>
      </c>
      <c r="J4408" t="s">
        <v>1561</v>
      </c>
      <c r="L4408" s="9" t="e">
        <f t="shared" si="241"/>
        <v>#VALUE!</v>
      </c>
    </row>
    <row r="4409" spans="1:12" x14ac:dyDescent="0.35">
      <c r="A4409">
        <f t="shared" si="242"/>
        <v>4408</v>
      </c>
      <c r="B4409" t="s">
        <v>742</v>
      </c>
      <c r="C4409" s="109" t="str">
        <f>IF(ISBLANK(K4409),IFERROR(VLOOKUP(I4409,FS_input_data!$C$458:$N$648,Export!J4409,FALSE),""),K4409)</f>
        <v/>
      </c>
      <c r="D4409" s="6"/>
      <c r="E4409" t="s">
        <v>1561</v>
      </c>
      <c r="F4409" s="6"/>
      <c r="G4409" s="115" t="b">
        <f>VLOOKUP(I4406,FS_input_noty,J4406,FALSE)=""</f>
        <v>0</v>
      </c>
      <c r="H4409" s="6" t="s">
        <v>2189</v>
      </c>
      <c r="I4409" t="s">
        <v>1561</v>
      </c>
      <c r="J4409" t="s">
        <v>1561</v>
      </c>
      <c r="L4409" s="9" t="e">
        <f t="shared" si="241"/>
        <v>#VALUE!</v>
      </c>
    </row>
    <row r="4410" spans="1:12" x14ac:dyDescent="0.35">
      <c r="A4410">
        <f t="shared" si="242"/>
        <v>4409</v>
      </c>
      <c r="B4410" t="s">
        <v>748</v>
      </c>
      <c r="C4410" s="109" t="str">
        <f>IF(ISBLANK(K4410),IFERROR(VLOOKUP(I4410,FS_input_data!$C$458:$N$648,Export!J4410,FALSE),""),K4410)</f>
        <v/>
      </c>
      <c r="D4410" s="6"/>
      <c r="E4410" t="s">
        <v>1561</v>
      </c>
      <c r="F4410" s="6"/>
      <c r="G4410" s="115" t="b">
        <f>VLOOKUP(I4406,FS_input_noty,J4406,FALSE)=""</f>
        <v>0</v>
      </c>
      <c r="H4410" s="6" t="s">
        <v>2189</v>
      </c>
      <c r="I4410" t="s">
        <v>1561</v>
      </c>
      <c r="J4410" t="s">
        <v>1561</v>
      </c>
      <c r="L4410" s="9" t="e">
        <f t="shared" si="241"/>
        <v>#VALUE!</v>
      </c>
    </row>
    <row r="4411" spans="1:12" x14ac:dyDescent="0.35">
      <c r="A4411" s="9">
        <f t="shared" si="242"/>
        <v>4410</v>
      </c>
      <c r="B4411" t="s">
        <v>109</v>
      </c>
      <c r="C4411" s="109">
        <f>IF(ISBLANK(K4411),IFERROR(VLOOKUP(I4411,FS_input_data!$C$458:$N$648,Export!J4411,FALSE),""),K4411)</f>
        <v>14000</v>
      </c>
      <c r="D4411" s="6" t="b">
        <v>1</v>
      </c>
      <c r="E4411" t="s">
        <v>1561</v>
      </c>
      <c r="F4411" s="6"/>
      <c r="G4411" s="115" t="b">
        <f>VLOOKUP(I4406,FS_input_noty,J4406,FALSE)=""</f>
        <v>0</v>
      </c>
      <c r="H4411" s="6" t="s">
        <v>2189</v>
      </c>
      <c r="I4411" t="s">
        <v>1926</v>
      </c>
      <c r="J4411">
        <v>7</v>
      </c>
      <c r="L4411" s="26" t="e">
        <f t="shared" si="241"/>
        <v>#VALUE!</v>
      </c>
    </row>
    <row r="4412" spans="1:12" x14ac:dyDescent="0.35">
      <c r="A4412">
        <f t="shared" si="242"/>
        <v>4411</v>
      </c>
      <c r="B4412" t="s">
        <v>110</v>
      </c>
      <c r="C4412" s="109" t="str">
        <f>IF(ISBLANK(K4412),IFERROR(VLOOKUP(I4412,FS_input_data!$C$458:$N$648,Export!J4412,FALSE),""),K4412)</f>
        <v/>
      </c>
      <c r="D4412" s="6"/>
      <c r="E4412" t="s">
        <v>1561</v>
      </c>
      <c r="F4412" s="6"/>
      <c r="G4412" s="115" t="b">
        <f>VLOOKUP(I4406,FS_input_noty,J4406,FALSE)=""</f>
        <v>0</v>
      </c>
      <c r="H4412" s="6" t="s">
        <v>2189</v>
      </c>
      <c r="I4412" t="s">
        <v>1561</v>
      </c>
      <c r="J4412" t="s">
        <v>1561</v>
      </c>
      <c r="L4412">
        <f t="shared" si="241"/>
        <v>1</v>
      </c>
    </row>
    <row r="4413" spans="1:12" x14ac:dyDescent="0.35">
      <c r="A4413" s="9">
        <f t="shared" si="242"/>
        <v>4412</v>
      </c>
      <c r="B4413" t="s">
        <v>111</v>
      </c>
      <c r="C4413" s="109">
        <f>IF(ISBLANK(K4413),IFERROR(VLOOKUP(I4413,FS_input_data!$C$458:$N$648,Export!J4413,FALSE),""),K4413)</f>
        <v>7000</v>
      </c>
      <c r="D4413" s="6" t="b">
        <v>0</v>
      </c>
      <c r="E4413" t="s">
        <v>1561</v>
      </c>
      <c r="F4413" s="6"/>
      <c r="G4413" s="115" t="b">
        <f>VLOOKUP(I4406,FS_input_noty,J4406,TRUE)=""</f>
        <v>0</v>
      </c>
      <c r="H4413" s="6" t="s">
        <v>2189</v>
      </c>
      <c r="I4413" t="s">
        <v>1926</v>
      </c>
      <c r="J4413">
        <v>8</v>
      </c>
      <c r="L4413" s="26" t="e">
        <f t="shared" si="241"/>
        <v>#VALUE!</v>
      </c>
    </row>
    <row r="4414" spans="1:12" x14ac:dyDescent="0.35">
      <c r="A4414">
        <f t="shared" si="242"/>
        <v>4413</v>
      </c>
      <c r="B4414" t="s">
        <v>112</v>
      </c>
      <c r="C4414" s="109" t="str">
        <f>IF(ISBLANK(K4414),IFERROR(VLOOKUP(I4414,FS_input_data!$C$458:$N$648,Export!J4414,FALSE),""),K4414)</f>
        <v/>
      </c>
      <c r="D4414" s="6"/>
      <c r="E4414" t="s">
        <v>1561</v>
      </c>
      <c r="F4414" s="6"/>
      <c r="G4414" s="115" t="b">
        <f>VLOOKUP(I4406,FS_input_noty,J4406,FALSE)=""</f>
        <v>0</v>
      </c>
      <c r="H4414" s="6" t="s">
        <v>2189</v>
      </c>
      <c r="I4414" t="s">
        <v>1561</v>
      </c>
      <c r="J4414" t="s">
        <v>1561</v>
      </c>
      <c r="L4414">
        <f t="shared" si="241"/>
        <v>1</v>
      </c>
    </row>
    <row r="4415" spans="1:12" x14ac:dyDescent="0.35">
      <c r="A4415" s="9">
        <f t="shared" si="242"/>
        <v>4414</v>
      </c>
      <c r="B4415" t="s">
        <v>749</v>
      </c>
      <c r="C4415" s="109">
        <f>IF(ISBLANK(K4415),IFERROR(VLOOKUP(I4415,FS_input_data!$C$458:$N$648,Export!J4415,FALSE),""),K4415)</f>
        <v>7000</v>
      </c>
      <c r="D4415" s="6" t="b">
        <v>0</v>
      </c>
      <c r="E4415" t="s">
        <v>1561</v>
      </c>
      <c r="F4415" s="6"/>
      <c r="G4415" s="115" t="b">
        <f>VLOOKUP(I4406,FS_input_noty,J4406,FALSE)=""</f>
        <v>0</v>
      </c>
      <c r="H4415" s="6" t="s">
        <v>2189</v>
      </c>
      <c r="I4415" t="s">
        <v>1926</v>
      </c>
      <c r="J4415">
        <v>9</v>
      </c>
      <c r="L4415" s="26" t="e">
        <f t="shared" si="241"/>
        <v>#VALUE!</v>
      </c>
    </row>
    <row r="4416" spans="1:12" x14ac:dyDescent="0.35">
      <c r="A4416">
        <f t="shared" si="242"/>
        <v>4415</v>
      </c>
      <c r="B4416" t="s">
        <v>750</v>
      </c>
      <c r="C4416" s="109" t="str">
        <f>IF(ISBLANK(K4416),IFERROR(VLOOKUP(I4416,FS_input_data!$C$458:$N$648,Export!J4416,FALSE),""),K4416)</f>
        <v/>
      </c>
      <c r="D4416" s="6"/>
      <c r="E4416" t="s">
        <v>1561</v>
      </c>
      <c r="F4416" s="6"/>
      <c r="G4416" s="115" t="b">
        <f>VLOOKUP(I4406,FS_input_noty,J4406,FALSE)=""</f>
        <v>0</v>
      </c>
      <c r="H4416" s="6" t="s">
        <v>2189</v>
      </c>
      <c r="I4416" t="s">
        <v>1561</v>
      </c>
      <c r="J4416" t="s">
        <v>1561</v>
      </c>
      <c r="L4416">
        <f t="shared" si="241"/>
        <v>1</v>
      </c>
    </row>
    <row r="4417" spans="1:12" x14ac:dyDescent="0.35">
      <c r="A4417">
        <f t="shared" si="242"/>
        <v>4416</v>
      </c>
      <c r="B4417" t="s">
        <v>751</v>
      </c>
      <c r="C4417" s="109" t="str">
        <f>IF(ISBLANK(K4417),IFERROR(VLOOKUP(I4417,FS_input_data!$C$458:$N$648,Export!J4417,FALSE),""),K4417)</f>
        <v/>
      </c>
      <c r="D4417" s="6"/>
      <c r="E4417" t="s">
        <v>1561</v>
      </c>
      <c r="F4417" s="6"/>
      <c r="G4417" s="115" t="b">
        <f>VLOOKUP(I4406,FS_input_noty,J4406,FALSE)=""</f>
        <v>0</v>
      </c>
      <c r="H4417" s="6" t="s">
        <v>2189</v>
      </c>
      <c r="I4417" t="s">
        <v>1561</v>
      </c>
      <c r="J4417" t="s">
        <v>1561</v>
      </c>
      <c r="L4417">
        <f t="shared" si="241"/>
        <v>1</v>
      </c>
    </row>
    <row r="4418" spans="1:12" x14ac:dyDescent="0.35">
      <c r="A4418">
        <f t="shared" si="242"/>
        <v>4417</v>
      </c>
      <c r="B4418" t="s">
        <v>754</v>
      </c>
      <c r="C4418" s="109" t="str">
        <f>IF(ISBLANK(K4418),IFERROR(VLOOKUP(I4418,FS_input_data!$C$458:$N$648,Export!J4418,FALSE),""),K4418)</f>
        <v/>
      </c>
      <c r="D4418" s="6"/>
      <c r="E4418" t="s">
        <v>1561</v>
      </c>
      <c r="F4418" s="6"/>
      <c r="G4418" s="115" t="b">
        <f>VLOOKUP(I4406,FS_input_noty,J4406,FALSE)=""</f>
        <v>0</v>
      </c>
      <c r="H4418" s="6" t="s">
        <v>2189</v>
      </c>
      <c r="I4418" t="s">
        <v>1561</v>
      </c>
      <c r="J4418" t="s">
        <v>1561</v>
      </c>
      <c r="L4418" s="26" t="e">
        <f t="shared" ref="L4418:L4481" si="245">FIND("/",B4418)</f>
        <v>#VALUE!</v>
      </c>
    </row>
    <row r="4419" spans="1:12" x14ac:dyDescent="0.35">
      <c r="A4419" s="9">
        <f t="shared" ref="A4419:A4482" si="246">A4418+1</f>
        <v>4418</v>
      </c>
      <c r="B4419" t="s">
        <v>755</v>
      </c>
      <c r="C4419" s="109">
        <f>IF(ISBLANK(K4419),IFERROR(VLOOKUP(I4419,FS_input_data!$C$458:$N$648,Export!J4419,FALSE),""),K4419)</f>
        <v>58</v>
      </c>
      <c r="D4419" s="6" t="b">
        <v>1</v>
      </c>
      <c r="E4419" t="s">
        <v>1561</v>
      </c>
      <c r="F4419" s="6"/>
      <c r="G4419" s="115" t="b">
        <f>VLOOKUP(I4406,FS_input_noty,J4406,FALSE)=""</f>
        <v>0</v>
      </c>
      <c r="H4419" s="6" t="s">
        <v>2189</v>
      </c>
      <c r="I4419" t="s">
        <v>1926</v>
      </c>
      <c r="J4419">
        <v>2</v>
      </c>
      <c r="L4419" s="26" t="e">
        <f t="shared" si="245"/>
        <v>#VALUE!</v>
      </c>
    </row>
    <row r="4420" spans="1:12" x14ac:dyDescent="0.35">
      <c r="A4420">
        <f t="shared" si="246"/>
        <v>4419</v>
      </c>
      <c r="B4420" t="s">
        <v>756</v>
      </c>
      <c r="C4420" s="109" t="str">
        <f>IF(ISBLANK(K4420),IFERROR(VLOOKUP(I4420,FS_input_data!$C$458:$N$648,Export!J4420,FALSE),""),K4420)</f>
        <v/>
      </c>
      <c r="D4420" s="6"/>
      <c r="E4420" t="s">
        <v>1561</v>
      </c>
      <c r="F4420" s="6"/>
      <c r="G4420" s="115" t="b">
        <f>VLOOKUP(I4406,FS_input_noty,J4406,FALSE)=""</f>
        <v>0</v>
      </c>
      <c r="H4420" s="6" t="s">
        <v>2189</v>
      </c>
      <c r="I4420" t="s">
        <v>1561</v>
      </c>
      <c r="J4420" t="s">
        <v>1561</v>
      </c>
      <c r="L4420">
        <f t="shared" si="245"/>
        <v>1</v>
      </c>
    </row>
    <row r="4421" spans="1:12" x14ac:dyDescent="0.35">
      <c r="A4421" s="9">
        <f t="shared" si="246"/>
        <v>4420</v>
      </c>
      <c r="B4421" t="s">
        <v>757</v>
      </c>
      <c r="C4421" s="109">
        <f>IF(ISBLANK(K4421),IFERROR(VLOOKUP(I4421,FS_input_data!$C$458:$N$648,Export!J4421,FALSE),""),K4421)</f>
        <v>158</v>
      </c>
      <c r="D4421" s="6" t="b">
        <v>0</v>
      </c>
      <c r="E4421" t="s">
        <v>1561</v>
      </c>
      <c r="F4421" s="6"/>
      <c r="G4421" s="115" t="b">
        <f>VLOOKUP(I4406,FS_input_noty,J4406,FALSE)=""</f>
        <v>0</v>
      </c>
      <c r="H4421" s="6" t="s">
        <v>2189</v>
      </c>
      <c r="I4421" t="s">
        <v>1926</v>
      </c>
      <c r="J4421">
        <v>3</v>
      </c>
      <c r="L4421" s="26" t="e">
        <f t="shared" si="245"/>
        <v>#VALUE!</v>
      </c>
    </row>
    <row r="4422" spans="1:12" x14ac:dyDescent="0.35">
      <c r="A4422">
        <f t="shared" si="246"/>
        <v>4421</v>
      </c>
      <c r="B4422" t="s">
        <v>758</v>
      </c>
      <c r="C4422" s="109" t="str">
        <f>IF(ISBLANK(K4422),IFERROR(VLOOKUP(I4422,FS_input_data!$C$458:$N$648,Export!J4422,FALSE),""),K4422)</f>
        <v/>
      </c>
      <c r="D4422" s="6"/>
      <c r="E4422" t="s">
        <v>1561</v>
      </c>
      <c r="F4422" s="6"/>
      <c r="G4422" s="115" t="b">
        <f>VLOOKUP(I4406,FS_input_noty,J4406,FALSE)=""</f>
        <v>0</v>
      </c>
      <c r="H4422" s="6" t="s">
        <v>2189</v>
      </c>
      <c r="I4422" t="s">
        <v>1561</v>
      </c>
      <c r="J4422" t="s">
        <v>1561</v>
      </c>
      <c r="L4422">
        <f t="shared" si="245"/>
        <v>1</v>
      </c>
    </row>
    <row r="4423" spans="1:12" x14ac:dyDescent="0.35">
      <c r="A4423" s="9">
        <f t="shared" si="246"/>
        <v>4422</v>
      </c>
      <c r="B4423" t="s">
        <v>759</v>
      </c>
      <c r="C4423" s="109">
        <f>IF(ISBLANK(K4423),IFERROR(VLOOKUP(I4423,FS_input_data!$C$458:$N$648,Export!J4423,FALSE),""),K4423)</f>
        <v>258</v>
      </c>
      <c r="D4423" s="6" t="b">
        <v>0</v>
      </c>
      <c r="E4423" t="s">
        <v>1561</v>
      </c>
      <c r="F4423" s="6"/>
      <c r="G4423" s="115" t="b">
        <f>VLOOKUP(I4406,FS_input_noty,J4406,FALSE)=""</f>
        <v>0</v>
      </c>
      <c r="H4423" s="6" t="s">
        <v>2189</v>
      </c>
      <c r="I4423" t="s">
        <v>1926</v>
      </c>
      <c r="J4423">
        <v>4</v>
      </c>
      <c r="L4423" s="26" t="e">
        <f t="shared" si="245"/>
        <v>#VALUE!</v>
      </c>
    </row>
    <row r="4424" spans="1:12" x14ac:dyDescent="0.35">
      <c r="A4424">
        <f t="shared" si="246"/>
        <v>4423</v>
      </c>
      <c r="B4424" t="s">
        <v>760</v>
      </c>
      <c r="C4424" s="109" t="str">
        <f>IF(ISBLANK(K4424),IFERROR(VLOOKUP(I4424,FS_input_data!$C$458:$N$648,Export!J4424,FALSE),""),K4424)</f>
        <v/>
      </c>
      <c r="D4424" s="6"/>
      <c r="E4424" t="s">
        <v>1561</v>
      </c>
      <c r="F4424" s="6"/>
      <c r="G4424" s="115" t="b">
        <f>VLOOKUP(I4406,FS_input_noty,J4406,FALSE)=""</f>
        <v>0</v>
      </c>
      <c r="H4424" s="6" t="s">
        <v>2189</v>
      </c>
      <c r="I4424" t="s">
        <v>1561</v>
      </c>
      <c r="J4424" t="s">
        <v>1561</v>
      </c>
      <c r="L4424">
        <f t="shared" si="245"/>
        <v>1</v>
      </c>
    </row>
    <row r="4425" spans="1:12" x14ac:dyDescent="0.35">
      <c r="A4425" s="9">
        <f t="shared" si="246"/>
        <v>4424</v>
      </c>
      <c r="B4425" t="s">
        <v>761</v>
      </c>
      <c r="C4425" s="109" t="str">
        <f>IF(ISBLANK(K4425),IFERROR(VLOOKUP(I4425,FS_input_data!$C$458:$N$648,Export!J4425,FALSE),""),K4425)</f>
        <v>b</v>
      </c>
      <c r="D4425" s="6" t="b">
        <v>0</v>
      </c>
      <c r="E4425" t="s">
        <v>1561</v>
      </c>
      <c r="F4425" s="6"/>
      <c r="G4425" s="115" t="b">
        <f>VLOOKUP(I4406,FS_input_noty,J4406,FALSE)=""</f>
        <v>0</v>
      </c>
      <c r="H4425" s="6" t="s">
        <v>2189</v>
      </c>
      <c r="I4425" t="s">
        <v>1926</v>
      </c>
      <c r="J4425">
        <v>5</v>
      </c>
      <c r="L4425" s="26" t="e">
        <f t="shared" si="245"/>
        <v>#VALUE!</v>
      </c>
    </row>
    <row r="4426" spans="1:12" x14ac:dyDescent="0.35">
      <c r="A4426">
        <f t="shared" si="246"/>
        <v>4425</v>
      </c>
      <c r="B4426" t="s">
        <v>762</v>
      </c>
      <c r="C4426" s="109" t="str">
        <f>IF(ISBLANK(K4426),IFERROR(VLOOKUP(I4426,FS_input_data!$C$458:$N$648,Export!J4426,FALSE),""),K4426)</f>
        <v/>
      </c>
      <c r="D4426" s="6"/>
      <c r="E4426" t="s">
        <v>1561</v>
      </c>
      <c r="F4426" s="6"/>
      <c r="G4426" s="115" t="b">
        <f>VLOOKUP(I4406,FS_input_noty,J4406,FALSE)=""</f>
        <v>0</v>
      </c>
      <c r="H4426" s="6" t="s">
        <v>2189</v>
      </c>
      <c r="I4426" t="s">
        <v>1561</v>
      </c>
      <c r="J4426" t="s">
        <v>1561</v>
      </c>
      <c r="L4426">
        <f t="shared" si="245"/>
        <v>1</v>
      </c>
    </row>
    <row r="4427" spans="1:12" x14ac:dyDescent="0.35">
      <c r="A4427">
        <f t="shared" si="246"/>
        <v>4426</v>
      </c>
      <c r="B4427" t="s">
        <v>763</v>
      </c>
      <c r="C4427" s="109" t="str">
        <f>IF(ISBLANK(K4427),IFERROR(VLOOKUP(I4427,FS_input_data!$C$458:$N$648,Export!J4427,FALSE),""),K4427)</f>
        <v/>
      </c>
      <c r="D4427" s="6"/>
      <c r="E4427" t="s">
        <v>1561</v>
      </c>
      <c r="F4427" s="6"/>
      <c r="G4427" s="115" t="b">
        <f>VLOOKUP(I4406,FS_input_noty,J4406,FALSE)=""</f>
        <v>0</v>
      </c>
      <c r="H4427" s="6" t="s">
        <v>2189</v>
      </c>
      <c r="I4427" t="s">
        <v>1561</v>
      </c>
      <c r="J4427" t="s">
        <v>1561</v>
      </c>
      <c r="L4427">
        <f t="shared" si="245"/>
        <v>1</v>
      </c>
    </row>
    <row r="4428" spans="1:12" x14ac:dyDescent="0.35">
      <c r="A4428">
        <f t="shared" si="246"/>
        <v>4427</v>
      </c>
      <c r="B4428" t="s">
        <v>743</v>
      </c>
      <c r="C4428" s="109" t="str">
        <f>IF(ISBLANK(K4428),IFERROR(VLOOKUP(I4428,FS_input_data!$C$458:$N$648,Export!J4428,FALSE),""),K4428)</f>
        <v/>
      </c>
      <c r="D4428" s="6"/>
      <c r="E4428" t="s">
        <v>1561</v>
      </c>
      <c r="F4428" s="6"/>
      <c r="G4428" s="115" t="b">
        <f>VLOOKUP(I4406,FS_input_noty,J4406,FALSE)=""</f>
        <v>0</v>
      </c>
      <c r="H4428" s="6" t="s">
        <v>2189</v>
      </c>
      <c r="I4428" t="s">
        <v>1561</v>
      </c>
      <c r="J4428" t="s">
        <v>1561</v>
      </c>
      <c r="L4428">
        <f t="shared" si="245"/>
        <v>1</v>
      </c>
    </row>
    <row r="4429" spans="1:12" x14ac:dyDescent="0.35">
      <c r="A4429">
        <f t="shared" si="246"/>
        <v>4428</v>
      </c>
      <c r="B4429" t="s">
        <v>744</v>
      </c>
      <c r="C4429" s="109" t="str">
        <f>IF(ISBLANK(K4429),IFERROR(VLOOKUP(I4429,FS_input_data!$C$458:$N$648,Export!J4429,FALSE),""),K4429)</f>
        <v/>
      </c>
      <c r="D4429" s="6"/>
      <c r="E4429" t="s">
        <v>1561</v>
      </c>
      <c r="F4429" s="6"/>
      <c r="G4429" s="115" t="b">
        <f t="shared" ref="G4429:G4436" si="247">RP_tax</f>
        <v>1</v>
      </c>
      <c r="H4429" s="6" t="s">
        <v>2189</v>
      </c>
      <c r="I4429" t="s">
        <v>1561</v>
      </c>
      <c r="J4429" t="s">
        <v>1561</v>
      </c>
      <c r="L4429" s="26" t="e">
        <f t="shared" si="245"/>
        <v>#VALUE!</v>
      </c>
    </row>
    <row r="4430" spans="1:12" x14ac:dyDescent="0.35">
      <c r="A4430" s="9">
        <f t="shared" si="246"/>
        <v>4429</v>
      </c>
      <c r="B4430" t="s">
        <v>109</v>
      </c>
      <c r="C4430" s="109">
        <f>IF(ISBLANK(K4430),IFERROR(VLOOKUP(I4430,FS_input_data!$C$458:$N$648,Export!J4430,FALSE),""),K4430)</f>
        <v>14000</v>
      </c>
      <c r="D4430" s="6" t="b">
        <v>1</v>
      </c>
      <c r="E4430" t="s">
        <v>1561</v>
      </c>
      <c r="F4430" s="6"/>
      <c r="G4430" s="115" t="b">
        <f t="shared" si="247"/>
        <v>1</v>
      </c>
      <c r="H4430" s="6" t="s">
        <v>2189</v>
      </c>
      <c r="I4430" t="s">
        <v>1926</v>
      </c>
      <c r="J4430">
        <v>10</v>
      </c>
      <c r="L4430" s="26" t="e">
        <f t="shared" si="245"/>
        <v>#VALUE!</v>
      </c>
    </row>
    <row r="4431" spans="1:12" x14ac:dyDescent="0.35">
      <c r="A4431">
        <f t="shared" si="246"/>
        <v>4430</v>
      </c>
      <c r="B4431" t="s">
        <v>110</v>
      </c>
      <c r="C4431" s="109" t="str">
        <f>IF(ISBLANK(K4431),IFERROR(VLOOKUP(I4431,FS_input_data!$C$458:$N$648,Export!J4431,FALSE),""),K4431)</f>
        <v/>
      </c>
      <c r="D4431" s="6"/>
      <c r="E4431" t="s">
        <v>1561</v>
      </c>
      <c r="F4431" s="6"/>
      <c r="G4431" s="115" t="b">
        <f t="shared" si="247"/>
        <v>1</v>
      </c>
      <c r="H4431" s="6" t="s">
        <v>2189</v>
      </c>
      <c r="I4431" t="s">
        <v>1561</v>
      </c>
      <c r="J4431" t="s">
        <v>1561</v>
      </c>
      <c r="L4431">
        <f t="shared" si="245"/>
        <v>1</v>
      </c>
    </row>
    <row r="4432" spans="1:12" x14ac:dyDescent="0.35">
      <c r="A4432" s="9">
        <f t="shared" si="246"/>
        <v>4431</v>
      </c>
      <c r="B4432" t="s">
        <v>111</v>
      </c>
      <c r="C4432" s="109">
        <f>IF(ISBLANK(K4432),IFERROR(VLOOKUP(I4432,FS_input_data!$C$458:$N$648,Export!J4432,FALSE),""),K4432)</f>
        <v>7000</v>
      </c>
      <c r="D4432" s="6" t="b">
        <v>0</v>
      </c>
      <c r="E4432" t="s">
        <v>1561</v>
      </c>
      <c r="F4432" s="6"/>
      <c r="G4432" s="115" t="b">
        <f t="shared" si="247"/>
        <v>1</v>
      </c>
      <c r="H4432" s="6" t="s">
        <v>2189</v>
      </c>
      <c r="I4432" t="s">
        <v>1926</v>
      </c>
      <c r="J4432">
        <v>11</v>
      </c>
      <c r="L4432" s="26" t="e">
        <f t="shared" si="245"/>
        <v>#VALUE!</v>
      </c>
    </row>
    <row r="4433" spans="1:12" x14ac:dyDescent="0.35">
      <c r="A4433">
        <f t="shared" si="246"/>
        <v>4432</v>
      </c>
      <c r="B4433" t="s">
        <v>112</v>
      </c>
      <c r="C4433" s="109" t="str">
        <f>IF(ISBLANK(K4433),IFERROR(VLOOKUP(I4433,FS_input_data!$C$458:$N$648,Export!J4433,FALSE),""),K4433)</f>
        <v/>
      </c>
      <c r="D4433" s="6"/>
      <c r="E4433" t="s">
        <v>1561</v>
      </c>
      <c r="F4433" s="6"/>
      <c r="G4433" s="115" t="b">
        <f t="shared" si="247"/>
        <v>1</v>
      </c>
      <c r="H4433" s="6" t="s">
        <v>2189</v>
      </c>
      <c r="I4433" t="s">
        <v>1561</v>
      </c>
      <c r="J4433" t="s">
        <v>1561</v>
      </c>
      <c r="L4433">
        <f t="shared" si="245"/>
        <v>1</v>
      </c>
    </row>
    <row r="4434" spans="1:12" x14ac:dyDescent="0.35">
      <c r="A4434" s="9">
        <f t="shared" si="246"/>
        <v>4433</v>
      </c>
      <c r="B4434" t="s">
        <v>749</v>
      </c>
      <c r="C4434" s="109">
        <f>IF(ISBLANK(K4434),IFERROR(VLOOKUP(I4434,FS_input_data!$C$458:$N$648,Export!J4434,FALSE),""),K4434)</f>
        <v>7000</v>
      </c>
      <c r="D4434" s="6" t="b">
        <v>0</v>
      </c>
      <c r="E4434" t="s">
        <v>1561</v>
      </c>
      <c r="F4434" s="6"/>
      <c r="G4434" s="115" t="b">
        <f t="shared" si="247"/>
        <v>1</v>
      </c>
      <c r="H4434" s="6" t="s">
        <v>2189</v>
      </c>
      <c r="I4434" t="s">
        <v>1926</v>
      </c>
      <c r="J4434">
        <v>12</v>
      </c>
      <c r="L4434" s="26" t="e">
        <f t="shared" si="245"/>
        <v>#VALUE!</v>
      </c>
    </row>
    <row r="4435" spans="1:12" x14ac:dyDescent="0.35">
      <c r="A4435">
        <f t="shared" si="246"/>
        <v>4434</v>
      </c>
      <c r="B4435" t="s">
        <v>750</v>
      </c>
      <c r="C4435" s="109" t="str">
        <f>IF(ISBLANK(K4435),IFERROR(VLOOKUP(I4435,FS_input_data!$C$458:$N$648,Export!J4435,FALSE),""),K4435)</f>
        <v/>
      </c>
      <c r="D4435" s="6"/>
      <c r="E4435" t="s">
        <v>1561</v>
      </c>
      <c r="F4435" s="6"/>
      <c r="G4435" s="115" t="b">
        <f t="shared" si="247"/>
        <v>1</v>
      </c>
      <c r="H4435" s="6" t="s">
        <v>2189</v>
      </c>
      <c r="I4435" t="s">
        <v>1561</v>
      </c>
      <c r="J4435" t="s">
        <v>1561</v>
      </c>
      <c r="L4435">
        <f t="shared" si="245"/>
        <v>1</v>
      </c>
    </row>
    <row r="4436" spans="1:12" x14ac:dyDescent="0.35">
      <c r="A4436">
        <f t="shared" si="246"/>
        <v>4435</v>
      </c>
      <c r="B4436" t="s">
        <v>745</v>
      </c>
      <c r="C4436" s="109" t="str">
        <f>IF(ISBLANK(K4436),IFERROR(VLOOKUP(I4436,FS_input_data!$C$458:$N$648,Export!J4436,FALSE),""),K4436)</f>
        <v/>
      </c>
      <c r="D4436" s="6"/>
      <c r="E4436" t="s">
        <v>1561</v>
      </c>
      <c r="F4436" s="6"/>
      <c r="G4436" s="115" t="b">
        <f t="shared" si="247"/>
        <v>1</v>
      </c>
      <c r="H4436" s="6" t="s">
        <v>2189</v>
      </c>
      <c r="I4436" t="s">
        <v>1561</v>
      </c>
      <c r="J4436" t="s">
        <v>1561</v>
      </c>
      <c r="L4436">
        <f t="shared" si="245"/>
        <v>1</v>
      </c>
    </row>
    <row r="4437" spans="1:12" x14ac:dyDescent="0.35">
      <c r="A4437">
        <f t="shared" si="246"/>
        <v>4436</v>
      </c>
      <c r="B4437" t="s">
        <v>764</v>
      </c>
      <c r="C4437" s="109" t="str">
        <f>IF(ISBLANK(K4437),IFERROR(VLOOKUP(I4437,FS_input_data!$C$458:$N$648,Export!J4437,FALSE),""),K4437)</f>
        <v/>
      </c>
      <c r="D4437" s="6"/>
      <c r="E4437" t="s">
        <v>1561</v>
      </c>
      <c r="F4437" s="6"/>
      <c r="G4437" s="115" t="b">
        <f>VLOOKUP(I4406,FS_input_noty,J4406,FALSE)=""</f>
        <v>0</v>
      </c>
      <c r="H4437" s="6" t="s">
        <v>2189</v>
      </c>
      <c r="I4437" t="s">
        <v>1561</v>
      </c>
      <c r="J4437" t="s">
        <v>1561</v>
      </c>
      <c r="L4437">
        <f t="shared" si="245"/>
        <v>1</v>
      </c>
    </row>
    <row r="4438" spans="1:12" x14ac:dyDescent="0.35">
      <c r="A4438">
        <f t="shared" si="246"/>
        <v>4437</v>
      </c>
      <c r="B4438" t="s">
        <v>765</v>
      </c>
      <c r="C4438" s="109" t="str">
        <f>IF(ISBLANK(K4438),IFERROR(VLOOKUP(I4438,FS_input_data!$C$458:$N$648,Export!J4438,FALSE),""),K4438)</f>
        <v/>
      </c>
      <c r="D4438" s="6"/>
      <c r="E4438" t="s">
        <v>1561</v>
      </c>
      <c r="F4438" s="6"/>
      <c r="G4438" s="115" t="b">
        <f>VLOOKUP(I4406,FS_input_noty,J4406,FALSE)=""</f>
        <v>0</v>
      </c>
      <c r="H4438" s="6" t="s">
        <v>2189</v>
      </c>
      <c r="I4438" t="s">
        <v>1561</v>
      </c>
      <c r="J4438" t="s">
        <v>1561</v>
      </c>
      <c r="L4438">
        <f t="shared" si="245"/>
        <v>1</v>
      </c>
    </row>
    <row r="4439" spans="1:12" x14ac:dyDescent="0.35">
      <c r="A4439">
        <f t="shared" si="246"/>
        <v>4438</v>
      </c>
      <c r="B4439" t="s">
        <v>752</v>
      </c>
      <c r="C4439" s="109" t="str">
        <f>IF(ISBLANK(K4439),IFERROR(VLOOKUP(I4439,FS_input_data!$C$458:$N$648,Export!J4439,FALSE),""),K4439)</f>
        <v/>
      </c>
      <c r="D4439" s="6"/>
      <c r="E4439" t="s">
        <v>1561</v>
      </c>
      <c r="F4439" s="6"/>
      <c r="G4439" s="115" t="b">
        <f>VLOOKUP(I4440,FS_input_noty,J4440,FALSE)=""</f>
        <v>0</v>
      </c>
      <c r="H4439" s="6" t="s">
        <v>2189</v>
      </c>
      <c r="I4439" t="s">
        <v>1561</v>
      </c>
      <c r="J4439" t="s">
        <v>1561</v>
      </c>
      <c r="L4439" s="26" t="e">
        <f t="shared" si="245"/>
        <v>#VALUE!</v>
      </c>
    </row>
    <row r="4440" spans="1:12" x14ac:dyDescent="0.35">
      <c r="A4440" s="9">
        <f t="shared" si="246"/>
        <v>4439</v>
      </c>
      <c r="B4440" t="s">
        <v>101</v>
      </c>
      <c r="C4440" s="109" t="str">
        <f>IF(ISBLANK(K4440),IFERROR(VLOOKUP(I4440,FS_input_data!$C$458:$N$648,Export!J4440,FALSE),""),K4440)</f>
        <v>OC37</v>
      </c>
      <c r="D4440" s="6" t="b">
        <v>1</v>
      </c>
      <c r="E4440" t="s">
        <v>1561</v>
      </c>
      <c r="F4440" s="6"/>
      <c r="G4440" s="115" t="b">
        <f>VLOOKUP(I4440,FS_input_noty,J4440,FALSE)=""</f>
        <v>0</v>
      </c>
      <c r="H4440" s="6" t="s">
        <v>2189</v>
      </c>
      <c r="I4440" t="s">
        <v>1928</v>
      </c>
      <c r="J4440">
        <v>6</v>
      </c>
      <c r="L4440" s="26" t="e">
        <f t="shared" si="245"/>
        <v>#VALUE!</v>
      </c>
    </row>
    <row r="4441" spans="1:12" x14ac:dyDescent="0.35">
      <c r="A4441">
        <f t="shared" si="246"/>
        <v>4440</v>
      </c>
      <c r="B4441" t="s">
        <v>102</v>
      </c>
      <c r="C4441" s="109" t="str">
        <f>IF(ISBLANK(K4441),IFERROR(VLOOKUP(I4441,FS_input_data!$C$458:$N$648,Export!J4441,FALSE),""),K4441)</f>
        <v/>
      </c>
      <c r="D4441" s="6"/>
      <c r="E4441" t="s">
        <v>1561</v>
      </c>
      <c r="F4441" s="6"/>
      <c r="G4441" s="115" t="b">
        <f>VLOOKUP(I4440,FS_input_noty,J4440,FALSE)=""</f>
        <v>0</v>
      </c>
      <c r="H4441" s="6" t="s">
        <v>2189</v>
      </c>
      <c r="I4441" t="s">
        <v>1561</v>
      </c>
      <c r="J4441" t="s">
        <v>1561</v>
      </c>
      <c r="L4441">
        <f t="shared" si="245"/>
        <v>1</v>
      </c>
    </row>
    <row r="4442" spans="1:12" x14ac:dyDescent="0.35">
      <c r="A4442">
        <f t="shared" si="246"/>
        <v>4441</v>
      </c>
      <c r="B4442" t="s">
        <v>753</v>
      </c>
      <c r="C4442" s="109" t="str">
        <f>IF(ISBLANK(K4442),IFERROR(VLOOKUP(I4442,FS_input_data!$C$458:$N$648,Export!J4442,FALSE),""),K4442)</f>
        <v/>
      </c>
      <c r="D4442" s="6"/>
      <c r="E4442" t="s">
        <v>1561</v>
      </c>
      <c r="F4442" s="6"/>
      <c r="G4442" s="115" t="b">
        <f>VLOOKUP(I4440,FS_input_noty,J4440,FALSE)=""</f>
        <v>0</v>
      </c>
      <c r="H4442" s="6" t="s">
        <v>2189</v>
      </c>
      <c r="I4442" t="s">
        <v>1561</v>
      </c>
      <c r="J4442" t="s">
        <v>1561</v>
      </c>
      <c r="L4442" s="26" t="e">
        <f t="shared" si="245"/>
        <v>#VALUE!</v>
      </c>
    </row>
    <row r="4443" spans="1:12" x14ac:dyDescent="0.35">
      <c r="A4443">
        <f t="shared" si="246"/>
        <v>4442</v>
      </c>
      <c r="B4443" t="s">
        <v>742</v>
      </c>
      <c r="C4443" s="109" t="str">
        <f>IF(ISBLANK(K4443),IFERROR(VLOOKUP(I4443,FS_input_data!$C$458:$N$648,Export!J4443,FALSE),""),K4443)</f>
        <v/>
      </c>
      <c r="D4443" s="6"/>
      <c r="E4443" t="s">
        <v>1561</v>
      </c>
      <c r="F4443" s="6"/>
      <c r="G4443" s="115" t="b">
        <f>VLOOKUP(I4440,FS_input_noty,J4440,FALSE)=""</f>
        <v>0</v>
      </c>
      <c r="H4443" s="6" t="s">
        <v>2189</v>
      </c>
      <c r="I4443" t="s">
        <v>1561</v>
      </c>
      <c r="J4443" t="s">
        <v>1561</v>
      </c>
      <c r="L4443" s="26" t="e">
        <f t="shared" si="245"/>
        <v>#VALUE!</v>
      </c>
    </row>
    <row r="4444" spans="1:12" x14ac:dyDescent="0.35">
      <c r="A4444">
        <f t="shared" si="246"/>
        <v>4443</v>
      </c>
      <c r="B4444" t="s">
        <v>748</v>
      </c>
      <c r="C4444" s="109" t="str">
        <f>IF(ISBLANK(K4444),IFERROR(VLOOKUP(I4444,FS_input_data!$C$458:$N$648,Export!J4444,FALSE),""),K4444)</f>
        <v/>
      </c>
      <c r="D4444" s="6"/>
      <c r="E4444" t="s">
        <v>1561</v>
      </c>
      <c r="F4444" s="6"/>
      <c r="G4444" s="115" t="b">
        <f>VLOOKUP(I4440,FS_input_noty,J4440,FALSE)=""</f>
        <v>0</v>
      </c>
      <c r="H4444" s="6" t="s">
        <v>2189</v>
      </c>
      <c r="I4444" t="s">
        <v>1561</v>
      </c>
      <c r="J4444" t="s">
        <v>1561</v>
      </c>
      <c r="L4444" s="26" t="e">
        <f t="shared" si="245"/>
        <v>#VALUE!</v>
      </c>
    </row>
    <row r="4445" spans="1:12" x14ac:dyDescent="0.35">
      <c r="A4445" s="9">
        <f t="shared" si="246"/>
        <v>4444</v>
      </c>
      <c r="B4445" t="s">
        <v>109</v>
      </c>
      <c r="C4445" s="109">
        <f>IF(ISBLANK(K4445),IFERROR(VLOOKUP(I4445,FS_input_data!$C$458:$N$648,Export!J4445,FALSE),""),K4445)</f>
        <v>15000</v>
      </c>
      <c r="D4445" s="6" t="b">
        <v>1</v>
      </c>
      <c r="E4445" t="s">
        <v>1561</v>
      </c>
      <c r="F4445" s="6"/>
      <c r="G4445" s="115" t="b">
        <f>VLOOKUP(I4440,FS_input_noty,J4440,FALSE)=""</f>
        <v>0</v>
      </c>
      <c r="H4445" s="6" t="s">
        <v>2189</v>
      </c>
      <c r="I4445" t="s">
        <v>1928</v>
      </c>
      <c r="J4445">
        <v>7</v>
      </c>
      <c r="L4445" s="26" t="e">
        <f t="shared" si="245"/>
        <v>#VALUE!</v>
      </c>
    </row>
    <row r="4446" spans="1:12" x14ac:dyDescent="0.35">
      <c r="A4446">
        <f t="shared" si="246"/>
        <v>4445</v>
      </c>
      <c r="B4446" t="s">
        <v>110</v>
      </c>
      <c r="C4446" s="109" t="str">
        <f>IF(ISBLANK(K4446),IFERROR(VLOOKUP(I4446,FS_input_data!$C$458:$N$648,Export!J4446,FALSE),""),K4446)</f>
        <v/>
      </c>
      <c r="D4446" s="6"/>
      <c r="E4446" t="s">
        <v>1561</v>
      </c>
      <c r="F4446" s="6"/>
      <c r="G4446" s="115" t="b">
        <f>VLOOKUP(I4440,FS_input_noty,J4440,FALSE)=""</f>
        <v>0</v>
      </c>
      <c r="H4446" s="6" t="s">
        <v>2189</v>
      </c>
      <c r="I4446" t="s">
        <v>1561</v>
      </c>
      <c r="J4446" t="s">
        <v>1561</v>
      </c>
      <c r="L4446">
        <f t="shared" si="245"/>
        <v>1</v>
      </c>
    </row>
    <row r="4447" spans="1:12" x14ac:dyDescent="0.35">
      <c r="A4447" s="9">
        <f t="shared" si="246"/>
        <v>4446</v>
      </c>
      <c r="B4447" t="s">
        <v>111</v>
      </c>
      <c r="C4447" s="109">
        <f>IF(ISBLANK(K4447),IFERROR(VLOOKUP(I4447,FS_input_data!$C$458:$N$648,Export!J4447,FALSE),""),K4447)</f>
        <v>7500</v>
      </c>
      <c r="D4447" s="6" t="b">
        <v>0</v>
      </c>
      <c r="E4447" t="s">
        <v>1561</v>
      </c>
      <c r="F4447" s="6"/>
      <c r="G4447" s="115" t="b">
        <f>VLOOKUP(I4440,FS_input_noty,J4440,TRUE)=""</f>
        <v>0</v>
      </c>
      <c r="H4447" s="6" t="s">
        <v>2189</v>
      </c>
      <c r="I4447" t="s">
        <v>1928</v>
      </c>
      <c r="J4447">
        <v>8</v>
      </c>
      <c r="L4447" s="26" t="e">
        <f t="shared" si="245"/>
        <v>#VALUE!</v>
      </c>
    </row>
    <row r="4448" spans="1:12" x14ac:dyDescent="0.35">
      <c r="A4448">
        <f t="shared" si="246"/>
        <v>4447</v>
      </c>
      <c r="B4448" t="s">
        <v>112</v>
      </c>
      <c r="C4448" s="109" t="str">
        <f>IF(ISBLANK(K4448),IFERROR(VLOOKUP(I4448,FS_input_data!$C$458:$N$648,Export!J4448,FALSE),""),K4448)</f>
        <v/>
      </c>
      <c r="D4448" s="6"/>
      <c r="E4448" t="s">
        <v>1561</v>
      </c>
      <c r="F4448" s="6"/>
      <c r="G4448" s="115" t="b">
        <f>VLOOKUP(I4440,FS_input_noty,J4440,FALSE)=""</f>
        <v>0</v>
      </c>
      <c r="H4448" s="6" t="s">
        <v>2189</v>
      </c>
      <c r="I4448" t="s">
        <v>1561</v>
      </c>
      <c r="J4448" t="s">
        <v>1561</v>
      </c>
      <c r="L4448">
        <f t="shared" si="245"/>
        <v>1</v>
      </c>
    </row>
    <row r="4449" spans="1:12" x14ac:dyDescent="0.35">
      <c r="A4449" s="9">
        <f t="shared" si="246"/>
        <v>4448</v>
      </c>
      <c r="B4449" t="s">
        <v>749</v>
      </c>
      <c r="C4449" s="109">
        <f>IF(ISBLANK(K4449),IFERROR(VLOOKUP(I4449,FS_input_data!$C$458:$N$648,Export!J4449,FALSE),""),K4449)</f>
        <v>7500</v>
      </c>
      <c r="D4449" s="6" t="b">
        <v>0</v>
      </c>
      <c r="E4449" t="s">
        <v>1561</v>
      </c>
      <c r="F4449" s="6"/>
      <c r="G4449" s="115" t="b">
        <f>VLOOKUP(I4440,FS_input_noty,J4440,FALSE)=""</f>
        <v>0</v>
      </c>
      <c r="H4449" s="6" t="s">
        <v>2189</v>
      </c>
      <c r="I4449" t="s">
        <v>1928</v>
      </c>
      <c r="J4449">
        <v>9</v>
      </c>
      <c r="L4449" s="26" t="e">
        <f t="shared" si="245"/>
        <v>#VALUE!</v>
      </c>
    </row>
    <row r="4450" spans="1:12" x14ac:dyDescent="0.35">
      <c r="A4450">
        <f t="shared" si="246"/>
        <v>4449</v>
      </c>
      <c r="B4450" t="s">
        <v>750</v>
      </c>
      <c r="C4450" s="109" t="str">
        <f>IF(ISBLANK(K4450),IFERROR(VLOOKUP(I4450,FS_input_data!$C$458:$N$648,Export!J4450,FALSE),""),K4450)</f>
        <v/>
      </c>
      <c r="D4450" s="6"/>
      <c r="E4450" t="s">
        <v>1561</v>
      </c>
      <c r="F4450" s="6"/>
      <c r="G4450" s="115" t="b">
        <f>VLOOKUP(I4440,FS_input_noty,J4440,FALSE)=""</f>
        <v>0</v>
      </c>
      <c r="H4450" s="6" t="s">
        <v>2189</v>
      </c>
      <c r="I4450" t="s">
        <v>1561</v>
      </c>
      <c r="J4450" t="s">
        <v>1561</v>
      </c>
      <c r="L4450">
        <f t="shared" si="245"/>
        <v>1</v>
      </c>
    </row>
    <row r="4451" spans="1:12" x14ac:dyDescent="0.35">
      <c r="A4451">
        <f t="shared" si="246"/>
        <v>4450</v>
      </c>
      <c r="B4451" t="s">
        <v>751</v>
      </c>
      <c r="C4451" s="109" t="str">
        <f>IF(ISBLANK(K4451),IFERROR(VLOOKUP(I4451,FS_input_data!$C$458:$N$648,Export!J4451,FALSE),""),K4451)</f>
        <v/>
      </c>
      <c r="D4451" s="6"/>
      <c r="E4451" t="s">
        <v>1561</v>
      </c>
      <c r="F4451" s="6"/>
      <c r="G4451" s="115" t="b">
        <f>VLOOKUP(I4440,FS_input_noty,J4440,FALSE)=""</f>
        <v>0</v>
      </c>
      <c r="H4451" s="6" t="s">
        <v>2189</v>
      </c>
      <c r="I4451" t="s">
        <v>1561</v>
      </c>
      <c r="J4451" t="s">
        <v>1561</v>
      </c>
      <c r="L4451">
        <f t="shared" si="245"/>
        <v>1</v>
      </c>
    </row>
    <row r="4452" spans="1:12" x14ac:dyDescent="0.35">
      <c r="A4452">
        <f t="shared" si="246"/>
        <v>4451</v>
      </c>
      <c r="B4452" t="s">
        <v>754</v>
      </c>
      <c r="C4452" s="109" t="str">
        <f>IF(ISBLANK(K4452),IFERROR(VLOOKUP(I4452,FS_input_data!$C$458:$N$648,Export!J4452,FALSE),""),K4452)</f>
        <v/>
      </c>
      <c r="D4452" s="6"/>
      <c r="E4452" t="s">
        <v>1561</v>
      </c>
      <c r="F4452" s="6"/>
      <c r="G4452" s="115" t="b">
        <f>VLOOKUP(I4440,FS_input_noty,J4440,FALSE)=""</f>
        <v>0</v>
      </c>
      <c r="H4452" s="6" t="s">
        <v>2189</v>
      </c>
      <c r="I4452" t="s">
        <v>1561</v>
      </c>
      <c r="J4452" t="s">
        <v>1561</v>
      </c>
      <c r="L4452" s="26" t="e">
        <f t="shared" si="245"/>
        <v>#VALUE!</v>
      </c>
    </row>
    <row r="4453" spans="1:12" x14ac:dyDescent="0.35">
      <c r="A4453" s="9">
        <f t="shared" si="246"/>
        <v>4452</v>
      </c>
      <c r="B4453" t="s">
        <v>755</v>
      </c>
      <c r="C4453" s="109">
        <f>IF(ISBLANK(K4453),IFERROR(VLOOKUP(I4453,FS_input_data!$C$458:$N$648,Export!J4453,FALSE),""),K4453)</f>
        <v>59</v>
      </c>
      <c r="D4453" s="6" t="b">
        <v>1</v>
      </c>
      <c r="E4453" t="s">
        <v>1561</v>
      </c>
      <c r="F4453" s="6"/>
      <c r="G4453" s="115" t="b">
        <f>VLOOKUP(I4440,FS_input_noty,J4440,FALSE)=""</f>
        <v>0</v>
      </c>
      <c r="H4453" s="6" t="s">
        <v>2189</v>
      </c>
      <c r="I4453" t="s">
        <v>1928</v>
      </c>
      <c r="J4453">
        <v>2</v>
      </c>
      <c r="L4453" s="26" t="e">
        <f t="shared" si="245"/>
        <v>#VALUE!</v>
      </c>
    </row>
    <row r="4454" spans="1:12" x14ac:dyDescent="0.35">
      <c r="A4454">
        <f t="shared" si="246"/>
        <v>4453</v>
      </c>
      <c r="B4454" t="s">
        <v>756</v>
      </c>
      <c r="C4454" s="109" t="str">
        <f>IF(ISBLANK(K4454),IFERROR(VLOOKUP(I4454,FS_input_data!$C$458:$N$648,Export!J4454,FALSE),""),K4454)</f>
        <v/>
      </c>
      <c r="D4454" s="6"/>
      <c r="E4454" t="s">
        <v>1561</v>
      </c>
      <c r="F4454" s="6"/>
      <c r="G4454" s="115" t="b">
        <f>VLOOKUP(I4440,FS_input_noty,J4440,FALSE)=""</f>
        <v>0</v>
      </c>
      <c r="H4454" s="6" t="s">
        <v>2189</v>
      </c>
      <c r="I4454" t="s">
        <v>1561</v>
      </c>
      <c r="J4454" t="s">
        <v>1561</v>
      </c>
      <c r="L4454">
        <f t="shared" si="245"/>
        <v>1</v>
      </c>
    </row>
    <row r="4455" spans="1:12" x14ac:dyDescent="0.35">
      <c r="A4455" s="9">
        <f t="shared" si="246"/>
        <v>4454</v>
      </c>
      <c r="B4455" t="s">
        <v>757</v>
      </c>
      <c r="C4455" s="109">
        <f>IF(ISBLANK(K4455),IFERROR(VLOOKUP(I4455,FS_input_data!$C$458:$N$648,Export!J4455,FALSE),""),K4455)</f>
        <v>159</v>
      </c>
      <c r="D4455" s="6" t="b">
        <v>0</v>
      </c>
      <c r="E4455" t="s">
        <v>1561</v>
      </c>
      <c r="F4455" s="6"/>
      <c r="G4455" s="115" t="b">
        <f>VLOOKUP(I4440,FS_input_noty,J4440,FALSE)=""</f>
        <v>0</v>
      </c>
      <c r="H4455" s="6" t="s">
        <v>2189</v>
      </c>
      <c r="I4455" t="s">
        <v>1928</v>
      </c>
      <c r="J4455">
        <v>3</v>
      </c>
      <c r="L4455" s="26" t="e">
        <f t="shared" si="245"/>
        <v>#VALUE!</v>
      </c>
    </row>
    <row r="4456" spans="1:12" x14ac:dyDescent="0.35">
      <c r="A4456">
        <f t="shared" si="246"/>
        <v>4455</v>
      </c>
      <c r="B4456" t="s">
        <v>758</v>
      </c>
      <c r="C4456" s="109" t="str">
        <f>IF(ISBLANK(K4456),IFERROR(VLOOKUP(I4456,FS_input_data!$C$458:$N$648,Export!J4456,FALSE),""),K4456)</f>
        <v/>
      </c>
      <c r="D4456" s="6"/>
      <c r="E4456" t="s">
        <v>1561</v>
      </c>
      <c r="F4456" s="6"/>
      <c r="G4456" s="115" t="b">
        <f>VLOOKUP(I4440,FS_input_noty,J4440,FALSE)=""</f>
        <v>0</v>
      </c>
      <c r="H4456" s="6" t="s">
        <v>2189</v>
      </c>
      <c r="I4456" t="s">
        <v>1561</v>
      </c>
      <c r="J4456" t="s">
        <v>1561</v>
      </c>
      <c r="L4456">
        <f t="shared" si="245"/>
        <v>1</v>
      </c>
    </row>
    <row r="4457" spans="1:12" x14ac:dyDescent="0.35">
      <c r="A4457" s="9">
        <f t="shared" si="246"/>
        <v>4456</v>
      </c>
      <c r="B4457" t="s">
        <v>759</v>
      </c>
      <c r="C4457" s="109">
        <f>IF(ISBLANK(K4457),IFERROR(VLOOKUP(I4457,FS_input_data!$C$458:$N$648,Export!J4457,FALSE),""),K4457)</f>
        <v>259</v>
      </c>
      <c r="D4457" s="6" t="b">
        <v>0</v>
      </c>
      <c r="E4457" t="s">
        <v>1561</v>
      </c>
      <c r="F4457" s="6"/>
      <c r="G4457" s="115" t="b">
        <f>VLOOKUP(I4440,FS_input_noty,J4440,FALSE)=""</f>
        <v>0</v>
      </c>
      <c r="H4457" s="6" t="s">
        <v>2189</v>
      </c>
      <c r="I4457" t="s">
        <v>1928</v>
      </c>
      <c r="J4457">
        <v>4</v>
      </c>
      <c r="L4457" s="26" t="e">
        <f t="shared" si="245"/>
        <v>#VALUE!</v>
      </c>
    </row>
    <row r="4458" spans="1:12" x14ac:dyDescent="0.35">
      <c r="A4458">
        <f t="shared" si="246"/>
        <v>4457</v>
      </c>
      <c r="B4458" t="s">
        <v>760</v>
      </c>
      <c r="C4458" s="109" t="str">
        <f>IF(ISBLANK(K4458),IFERROR(VLOOKUP(I4458,FS_input_data!$C$458:$N$648,Export!J4458,FALSE),""),K4458)</f>
        <v/>
      </c>
      <c r="D4458" s="6"/>
      <c r="E4458" t="s">
        <v>1561</v>
      </c>
      <c r="F4458" s="6"/>
      <c r="G4458" s="115" t="b">
        <f>VLOOKUP(I4440,FS_input_noty,J4440,FALSE)=""</f>
        <v>0</v>
      </c>
      <c r="H4458" s="6" t="s">
        <v>2189</v>
      </c>
      <c r="I4458" t="s">
        <v>1561</v>
      </c>
      <c r="J4458" t="s">
        <v>1561</v>
      </c>
      <c r="L4458">
        <f t="shared" si="245"/>
        <v>1</v>
      </c>
    </row>
    <row r="4459" spans="1:12" x14ac:dyDescent="0.35">
      <c r="A4459" s="9">
        <f t="shared" si="246"/>
        <v>4458</v>
      </c>
      <c r="B4459" t="s">
        <v>761</v>
      </c>
      <c r="C4459" s="109" t="str">
        <f>IF(ISBLANK(K4459),IFERROR(VLOOKUP(I4459,FS_input_data!$C$458:$N$648,Export!J4459,FALSE),""),K4459)</f>
        <v>c</v>
      </c>
      <c r="D4459" s="6" t="b">
        <v>0</v>
      </c>
      <c r="E4459" t="s">
        <v>1561</v>
      </c>
      <c r="F4459" s="6"/>
      <c r="G4459" s="115" t="b">
        <f>VLOOKUP(I4440,FS_input_noty,J4440,FALSE)=""</f>
        <v>0</v>
      </c>
      <c r="H4459" s="6" t="s">
        <v>2189</v>
      </c>
      <c r="I4459" t="s">
        <v>1928</v>
      </c>
      <c r="J4459">
        <v>5</v>
      </c>
      <c r="L4459" s="26" t="e">
        <f t="shared" si="245"/>
        <v>#VALUE!</v>
      </c>
    </row>
    <row r="4460" spans="1:12" x14ac:dyDescent="0.35">
      <c r="A4460">
        <f t="shared" si="246"/>
        <v>4459</v>
      </c>
      <c r="B4460" t="s">
        <v>762</v>
      </c>
      <c r="C4460" s="109" t="str">
        <f>IF(ISBLANK(K4460),IFERROR(VLOOKUP(I4460,FS_input_data!$C$458:$N$648,Export!J4460,FALSE),""),K4460)</f>
        <v/>
      </c>
      <c r="D4460" s="6"/>
      <c r="E4460" t="s">
        <v>1561</v>
      </c>
      <c r="F4460" s="6"/>
      <c r="G4460" s="115" t="b">
        <f>VLOOKUP(I4440,FS_input_noty,J4440,FALSE)=""</f>
        <v>0</v>
      </c>
      <c r="H4460" s="6" t="s">
        <v>2189</v>
      </c>
      <c r="I4460" t="s">
        <v>1561</v>
      </c>
      <c r="J4460" t="s">
        <v>1561</v>
      </c>
      <c r="L4460">
        <f t="shared" si="245"/>
        <v>1</v>
      </c>
    </row>
    <row r="4461" spans="1:12" x14ac:dyDescent="0.35">
      <c r="A4461">
        <f t="shared" si="246"/>
        <v>4460</v>
      </c>
      <c r="B4461" t="s">
        <v>763</v>
      </c>
      <c r="C4461" s="109" t="str">
        <f>IF(ISBLANK(K4461),IFERROR(VLOOKUP(I4461,FS_input_data!$C$458:$N$648,Export!J4461,FALSE),""),K4461)</f>
        <v/>
      </c>
      <c r="D4461" s="6"/>
      <c r="E4461" t="s">
        <v>1561</v>
      </c>
      <c r="F4461" s="6"/>
      <c r="G4461" s="115" t="b">
        <f>VLOOKUP(I4440,FS_input_noty,J4440,FALSE)=""</f>
        <v>0</v>
      </c>
      <c r="H4461" s="6" t="s">
        <v>2189</v>
      </c>
      <c r="I4461" t="s">
        <v>1561</v>
      </c>
      <c r="J4461" t="s">
        <v>1561</v>
      </c>
      <c r="L4461">
        <f t="shared" si="245"/>
        <v>1</v>
      </c>
    </row>
    <row r="4462" spans="1:12" x14ac:dyDescent="0.35">
      <c r="A4462">
        <f t="shared" si="246"/>
        <v>4461</v>
      </c>
      <c r="B4462" t="s">
        <v>743</v>
      </c>
      <c r="C4462" s="109" t="str">
        <f>IF(ISBLANK(K4462),IFERROR(VLOOKUP(I4462,FS_input_data!$C$458:$N$648,Export!J4462,FALSE),""),K4462)</f>
        <v/>
      </c>
      <c r="D4462" s="6"/>
      <c r="E4462" t="s">
        <v>1561</v>
      </c>
      <c r="F4462" s="6"/>
      <c r="G4462" s="115" t="b">
        <f>VLOOKUP(I4440,FS_input_noty,J4440,FALSE)=""</f>
        <v>0</v>
      </c>
      <c r="H4462" s="6" t="s">
        <v>2189</v>
      </c>
      <c r="I4462" t="s">
        <v>1561</v>
      </c>
      <c r="J4462" t="s">
        <v>1561</v>
      </c>
      <c r="L4462">
        <f t="shared" si="245"/>
        <v>1</v>
      </c>
    </row>
    <row r="4463" spans="1:12" x14ac:dyDescent="0.35">
      <c r="A4463">
        <f t="shared" si="246"/>
        <v>4462</v>
      </c>
      <c r="B4463" t="s">
        <v>744</v>
      </c>
      <c r="C4463" s="109" t="str">
        <f>IF(ISBLANK(K4463),IFERROR(VLOOKUP(I4463,FS_input_data!$C$458:$N$648,Export!J4463,FALSE),""),K4463)</f>
        <v/>
      </c>
      <c r="D4463" s="6"/>
      <c r="E4463" t="s">
        <v>1561</v>
      </c>
      <c r="F4463" s="6"/>
      <c r="G4463" s="115" t="b">
        <f t="shared" ref="G4463:G4470" si="248">RP_tax</f>
        <v>1</v>
      </c>
      <c r="H4463" s="6" t="s">
        <v>2189</v>
      </c>
      <c r="I4463" t="s">
        <v>1561</v>
      </c>
      <c r="J4463" t="s">
        <v>1561</v>
      </c>
      <c r="L4463" s="26" t="e">
        <f t="shared" si="245"/>
        <v>#VALUE!</v>
      </c>
    </row>
    <row r="4464" spans="1:12" x14ac:dyDescent="0.35">
      <c r="A4464" s="9">
        <f t="shared" si="246"/>
        <v>4463</v>
      </c>
      <c r="B4464" t="s">
        <v>109</v>
      </c>
      <c r="C4464" s="109">
        <f>IF(ISBLANK(K4464),IFERROR(VLOOKUP(I4464,FS_input_data!$C$458:$N$648,Export!J4464,FALSE),""),K4464)</f>
        <v>15000</v>
      </c>
      <c r="D4464" s="6" t="b">
        <v>1</v>
      </c>
      <c r="E4464" t="s">
        <v>1561</v>
      </c>
      <c r="F4464" s="6"/>
      <c r="G4464" s="115" t="b">
        <f t="shared" si="248"/>
        <v>1</v>
      </c>
      <c r="H4464" s="6" t="s">
        <v>2189</v>
      </c>
      <c r="I4464" t="s">
        <v>1928</v>
      </c>
      <c r="J4464">
        <v>10</v>
      </c>
      <c r="L4464" s="26" t="e">
        <f t="shared" si="245"/>
        <v>#VALUE!</v>
      </c>
    </row>
    <row r="4465" spans="1:12" x14ac:dyDescent="0.35">
      <c r="A4465">
        <f t="shared" si="246"/>
        <v>4464</v>
      </c>
      <c r="B4465" t="s">
        <v>110</v>
      </c>
      <c r="C4465" s="109" t="str">
        <f>IF(ISBLANK(K4465),IFERROR(VLOOKUP(I4465,FS_input_data!$C$458:$N$648,Export!J4465,FALSE),""),K4465)</f>
        <v/>
      </c>
      <c r="D4465" s="6"/>
      <c r="E4465" t="s">
        <v>1561</v>
      </c>
      <c r="F4465" s="6"/>
      <c r="G4465" s="115" t="b">
        <f t="shared" si="248"/>
        <v>1</v>
      </c>
      <c r="H4465" s="6" t="s">
        <v>2189</v>
      </c>
      <c r="I4465" t="s">
        <v>1561</v>
      </c>
      <c r="J4465" t="s">
        <v>1561</v>
      </c>
      <c r="L4465">
        <f t="shared" si="245"/>
        <v>1</v>
      </c>
    </row>
    <row r="4466" spans="1:12" x14ac:dyDescent="0.35">
      <c r="A4466" s="9">
        <f t="shared" si="246"/>
        <v>4465</v>
      </c>
      <c r="B4466" t="s">
        <v>111</v>
      </c>
      <c r="C4466" s="109">
        <f>IF(ISBLANK(K4466),IFERROR(VLOOKUP(I4466,FS_input_data!$C$458:$N$648,Export!J4466,FALSE),""),K4466)</f>
        <v>7500</v>
      </c>
      <c r="D4466" s="6" t="b">
        <v>0</v>
      </c>
      <c r="E4466" t="s">
        <v>1561</v>
      </c>
      <c r="F4466" s="6"/>
      <c r="G4466" s="115" t="b">
        <f t="shared" si="248"/>
        <v>1</v>
      </c>
      <c r="H4466" s="6" t="s">
        <v>2189</v>
      </c>
      <c r="I4466" t="s">
        <v>1928</v>
      </c>
      <c r="J4466">
        <v>11</v>
      </c>
      <c r="L4466" s="26" t="e">
        <f t="shared" si="245"/>
        <v>#VALUE!</v>
      </c>
    </row>
    <row r="4467" spans="1:12" x14ac:dyDescent="0.35">
      <c r="A4467">
        <f t="shared" si="246"/>
        <v>4466</v>
      </c>
      <c r="B4467" t="s">
        <v>112</v>
      </c>
      <c r="C4467" s="109" t="str">
        <f>IF(ISBLANK(K4467),IFERROR(VLOOKUP(I4467,FS_input_data!$C$458:$N$648,Export!J4467,FALSE),""),K4467)</f>
        <v/>
      </c>
      <c r="D4467" s="6"/>
      <c r="E4467" t="s">
        <v>1561</v>
      </c>
      <c r="F4467" s="6"/>
      <c r="G4467" s="115" t="b">
        <f t="shared" si="248"/>
        <v>1</v>
      </c>
      <c r="H4467" s="6" t="s">
        <v>2189</v>
      </c>
      <c r="I4467" t="s">
        <v>1561</v>
      </c>
      <c r="J4467" t="s">
        <v>1561</v>
      </c>
      <c r="L4467">
        <f t="shared" si="245"/>
        <v>1</v>
      </c>
    </row>
    <row r="4468" spans="1:12" x14ac:dyDescent="0.35">
      <c r="A4468" s="9">
        <f t="shared" si="246"/>
        <v>4467</v>
      </c>
      <c r="B4468" t="s">
        <v>749</v>
      </c>
      <c r="C4468" s="109">
        <f>IF(ISBLANK(K4468),IFERROR(VLOOKUP(I4468,FS_input_data!$C$458:$N$648,Export!J4468,FALSE),""),K4468)</f>
        <v>7500</v>
      </c>
      <c r="D4468" s="6" t="b">
        <v>0</v>
      </c>
      <c r="E4468" t="s">
        <v>1561</v>
      </c>
      <c r="F4468" s="6"/>
      <c r="G4468" s="115" t="b">
        <f t="shared" si="248"/>
        <v>1</v>
      </c>
      <c r="H4468" s="6" t="s">
        <v>2189</v>
      </c>
      <c r="I4468" t="s">
        <v>1928</v>
      </c>
      <c r="J4468">
        <v>12</v>
      </c>
      <c r="L4468" s="26" t="e">
        <f t="shared" si="245"/>
        <v>#VALUE!</v>
      </c>
    </row>
    <row r="4469" spans="1:12" x14ac:dyDescent="0.35">
      <c r="A4469">
        <f t="shared" si="246"/>
        <v>4468</v>
      </c>
      <c r="B4469" t="s">
        <v>750</v>
      </c>
      <c r="C4469" s="109" t="str">
        <f>IF(ISBLANK(K4469),IFERROR(VLOOKUP(I4469,FS_input_data!$C$458:$N$648,Export!J4469,FALSE),""),K4469)</f>
        <v/>
      </c>
      <c r="D4469" s="6"/>
      <c r="E4469" t="s">
        <v>1561</v>
      </c>
      <c r="F4469" s="6"/>
      <c r="G4469" s="115" t="b">
        <f t="shared" si="248"/>
        <v>1</v>
      </c>
      <c r="H4469" s="6" t="s">
        <v>2189</v>
      </c>
      <c r="I4469" t="s">
        <v>1561</v>
      </c>
      <c r="J4469" t="s">
        <v>1561</v>
      </c>
      <c r="L4469">
        <f t="shared" si="245"/>
        <v>1</v>
      </c>
    </row>
    <row r="4470" spans="1:12" x14ac:dyDescent="0.35">
      <c r="A4470">
        <f t="shared" si="246"/>
        <v>4469</v>
      </c>
      <c r="B4470" t="s">
        <v>745</v>
      </c>
      <c r="C4470" s="109" t="str">
        <f>IF(ISBLANK(K4470),IFERROR(VLOOKUP(I4470,FS_input_data!$C$458:$N$648,Export!J4470,FALSE),""),K4470)</f>
        <v/>
      </c>
      <c r="D4470" s="6"/>
      <c r="E4470" t="s">
        <v>1561</v>
      </c>
      <c r="F4470" s="6"/>
      <c r="G4470" s="115" t="b">
        <f t="shared" si="248"/>
        <v>1</v>
      </c>
      <c r="H4470" s="6" t="s">
        <v>2189</v>
      </c>
      <c r="I4470" t="s">
        <v>1561</v>
      </c>
      <c r="J4470" t="s">
        <v>1561</v>
      </c>
      <c r="L4470">
        <f t="shared" si="245"/>
        <v>1</v>
      </c>
    </row>
    <row r="4471" spans="1:12" x14ac:dyDescent="0.35">
      <c r="A4471">
        <f t="shared" si="246"/>
        <v>4470</v>
      </c>
      <c r="B4471" t="s">
        <v>764</v>
      </c>
      <c r="C4471" s="109" t="str">
        <f>IF(ISBLANK(K4471),IFERROR(VLOOKUP(I4471,FS_input_data!$C$458:$N$648,Export!J4471,FALSE),""),K4471)</f>
        <v/>
      </c>
      <c r="D4471" s="6"/>
      <c r="E4471" t="s">
        <v>1561</v>
      </c>
      <c r="F4471" s="6"/>
      <c r="G4471" s="115" t="b">
        <f>VLOOKUP(I4440,FS_input_noty,J4440,FALSE)=""</f>
        <v>0</v>
      </c>
      <c r="H4471" s="6" t="s">
        <v>2189</v>
      </c>
      <c r="I4471" t="s">
        <v>1561</v>
      </c>
      <c r="J4471" t="s">
        <v>1561</v>
      </c>
      <c r="L4471">
        <f t="shared" si="245"/>
        <v>1</v>
      </c>
    </row>
    <row r="4472" spans="1:12" x14ac:dyDescent="0.35">
      <c r="A4472">
        <f t="shared" si="246"/>
        <v>4471</v>
      </c>
      <c r="B4472" t="s">
        <v>765</v>
      </c>
      <c r="C4472" s="109" t="str">
        <f>IF(ISBLANK(K4472),IFERROR(VLOOKUP(I4472,FS_input_data!$C$458:$N$648,Export!J4472,FALSE),""),K4472)</f>
        <v/>
      </c>
      <c r="D4472" s="6"/>
      <c r="E4472" t="s">
        <v>1561</v>
      </c>
      <c r="F4472" s="6"/>
      <c r="G4472" s="115" t="b">
        <f>VLOOKUP(I4440,FS_input_noty,J4440,FALSE)=""</f>
        <v>0</v>
      </c>
      <c r="H4472" s="6" t="s">
        <v>2189</v>
      </c>
      <c r="I4472" t="s">
        <v>1561</v>
      </c>
      <c r="J4472" t="s">
        <v>1561</v>
      </c>
      <c r="L4472">
        <f t="shared" si="245"/>
        <v>1</v>
      </c>
    </row>
    <row r="4473" spans="1:12" x14ac:dyDescent="0.35">
      <c r="A4473">
        <f t="shared" si="246"/>
        <v>4472</v>
      </c>
      <c r="B4473" t="s">
        <v>752</v>
      </c>
      <c r="C4473" s="109" t="str">
        <f>IF(ISBLANK(K4473),IFERROR(VLOOKUP(I4473,FS_input_data!$C$458:$N$648,Export!J4473,FALSE),""),K4473)</f>
        <v/>
      </c>
      <c r="D4473" s="6"/>
      <c r="E4473" t="s">
        <v>1561</v>
      </c>
      <c r="F4473" s="6"/>
      <c r="G4473" s="115" t="b">
        <f>VLOOKUP(I4474,FS_input_noty,J4474,FALSE)=""</f>
        <v>0</v>
      </c>
      <c r="H4473" s="6" t="s">
        <v>2189</v>
      </c>
      <c r="I4473" t="s">
        <v>1561</v>
      </c>
      <c r="J4473" t="s">
        <v>1561</v>
      </c>
      <c r="L4473" s="26" t="e">
        <f t="shared" si="245"/>
        <v>#VALUE!</v>
      </c>
    </row>
    <row r="4474" spans="1:12" x14ac:dyDescent="0.35">
      <c r="A4474" s="9">
        <f t="shared" si="246"/>
        <v>4473</v>
      </c>
      <c r="B4474" t="s">
        <v>101</v>
      </c>
      <c r="C4474" s="109" t="str">
        <f>IF(ISBLANK(K4474),IFERROR(VLOOKUP(I4474,FS_input_data!$C$458:$N$648,Export!J4474,FALSE),""),K4474)</f>
        <v>OC38</v>
      </c>
      <c r="D4474" s="6" t="b">
        <v>1</v>
      </c>
      <c r="E4474" s="6"/>
      <c r="F4474" s="6"/>
      <c r="G4474" s="115" t="b">
        <f>VLOOKUP(I4474,FS_input_noty,J4474,FALSE)=""</f>
        <v>0</v>
      </c>
      <c r="H4474" s="6" t="s">
        <v>2189</v>
      </c>
      <c r="I4474" t="s">
        <v>1930</v>
      </c>
      <c r="J4474">
        <v>6</v>
      </c>
      <c r="L4474" s="26" t="e">
        <f t="shared" si="245"/>
        <v>#VALUE!</v>
      </c>
    </row>
    <row r="4475" spans="1:12" x14ac:dyDescent="0.35">
      <c r="A4475">
        <f t="shared" si="246"/>
        <v>4474</v>
      </c>
      <c r="B4475" t="s">
        <v>102</v>
      </c>
      <c r="C4475" s="109" t="str">
        <f>IF(ISBLANK(K4475),IFERROR(VLOOKUP(I4475,FS_input_data!$C$458:$N$648,Export!J4475,FALSE),""),K4475)</f>
        <v/>
      </c>
      <c r="D4475" s="6"/>
      <c r="E4475" s="6"/>
      <c r="F4475" s="6"/>
      <c r="G4475" s="115" t="b">
        <f>VLOOKUP(I4474,FS_input_noty,J4474,FALSE)=""</f>
        <v>0</v>
      </c>
      <c r="H4475" s="6" t="s">
        <v>2189</v>
      </c>
      <c r="I4475" t="s">
        <v>1561</v>
      </c>
      <c r="J4475" t="s">
        <v>1561</v>
      </c>
      <c r="L4475">
        <f t="shared" si="245"/>
        <v>1</v>
      </c>
    </row>
    <row r="4476" spans="1:12" x14ac:dyDescent="0.35">
      <c r="A4476">
        <f t="shared" si="246"/>
        <v>4475</v>
      </c>
      <c r="B4476" t="s">
        <v>753</v>
      </c>
      <c r="C4476" s="109" t="str">
        <f>IF(ISBLANK(K4476),IFERROR(VLOOKUP(I4476,FS_input_data!$C$458:$N$648,Export!J4476,FALSE),""),K4476)</f>
        <v/>
      </c>
      <c r="D4476" s="6"/>
      <c r="E4476" s="6"/>
      <c r="F4476" s="6"/>
      <c r="G4476" s="115" t="b">
        <f>VLOOKUP(I4474,FS_input_noty,J4474,FALSE)=""</f>
        <v>0</v>
      </c>
      <c r="H4476" s="6" t="s">
        <v>2189</v>
      </c>
      <c r="I4476" t="s">
        <v>1561</v>
      </c>
      <c r="J4476" t="s">
        <v>1561</v>
      </c>
      <c r="L4476" s="26" t="e">
        <f t="shared" si="245"/>
        <v>#VALUE!</v>
      </c>
    </row>
    <row r="4477" spans="1:12" x14ac:dyDescent="0.35">
      <c r="A4477">
        <f t="shared" si="246"/>
        <v>4476</v>
      </c>
      <c r="B4477" t="s">
        <v>742</v>
      </c>
      <c r="C4477" s="109" t="str">
        <f>IF(ISBLANK(K4477),IFERROR(VLOOKUP(I4477,FS_input_data!$C$458:$N$648,Export!J4477,FALSE),""),K4477)</f>
        <v/>
      </c>
      <c r="D4477" s="6"/>
      <c r="E4477" s="6"/>
      <c r="F4477" s="6"/>
      <c r="G4477" s="115" t="b">
        <f>VLOOKUP(I4474,FS_input_noty,J4474,FALSE)=""</f>
        <v>0</v>
      </c>
      <c r="H4477" s="6" t="s">
        <v>2189</v>
      </c>
      <c r="I4477" t="s">
        <v>1561</v>
      </c>
      <c r="J4477" t="s">
        <v>1561</v>
      </c>
      <c r="L4477" s="26" t="e">
        <f t="shared" si="245"/>
        <v>#VALUE!</v>
      </c>
    </row>
    <row r="4478" spans="1:12" x14ac:dyDescent="0.35">
      <c r="A4478">
        <f t="shared" si="246"/>
        <v>4477</v>
      </c>
      <c r="B4478" t="s">
        <v>748</v>
      </c>
      <c r="C4478" s="109" t="str">
        <f>IF(ISBLANK(K4478),IFERROR(VLOOKUP(I4478,FS_input_data!$C$458:$N$648,Export!J4478,FALSE),""),K4478)</f>
        <v/>
      </c>
      <c r="D4478" s="6"/>
      <c r="E4478" s="6"/>
      <c r="F4478" s="6"/>
      <c r="G4478" s="115" t="b">
        <f>VLOOKUP(I4474,FS_input_noty,J4474,FALSE)=""</f>
        <v>0</v>
      </c>
      <c r="H4478" s="6" t="s">
        <v>2189</v>
      </c>
      <c r="I4478" t="s">
        <v>1561</v>
      </c>
      <c r="J4478" t="s">
        <v>1561</v>
      </c>
      <c r="L4478" s="26" t="e">
        <f t="shared" si="245"/>
        <v>#VALUE!</v>
      </c>
    </row>
    <row r="4479" spans="1:12" x14ac:dyDescent="0.35">
      <c r="A4479" s="9">
        <f t="shared" si="246"/>
        <v>4478</v>
      </c>
      <c r="B4479" t="s">
        <v>109</v>
      </c>
      <c r="C4479" s="109">
        <f>IF(ISBLANK(K4479),IFERROR(VLOOKUP(I4479,FS_input_data!$C$458:$N$648,Export!J4479,FALSE),""),K4479)</f>
        <v>16000</v>
      </c>
      <c r="D4479" s="6" t="b">
        <v>1</v>
      </c>
      <c r="E4479" s="6"/>
      <c r="F4479" s="6"/>
      <c r="G4479" s="115" t="b">
        <f>VLOOKUP(I4474,FS_input_noty,J4474,FALSE)=""</f>
        <v>0</v>
      </c>
      <c r="H4479" s="6" t="s">
        <v>2189</v>
      </c>
      <c r="I4479" t="s">
        <v>1930</v>
      </c>
      <c r="J4479">
        <v>7</v>
      </c>
      <c r="L4479" s="26" t="e">
        <f t="shared" si="245"/>
        <v>#VALUE!</v>
      </c>
    </row>
    <row r="4480" spans="1:12" x14ac:dyDescent="0.35">
      <c r="A4480">
        <f t="shared" si="246"/>
        <v>4479</v>
      </c>
      <c r="B4480" t="s">
        <v>110</v>
      </c>
      <c r="C4480" s="109" t="str">
        <f>IF(ISBLANK(K4480),IFERROR(VLOOKUP(I4480,FS_input_data!$C$458:$N$648,Export!J4480,FALSE),""),K4480)</f>
        <v/>
      </c>
      <c r="D4480" s="6"/>
      <c r="E4480" s="6"/>
      <c r="F4480" s="6"/>
      <c r="G4480" s="115" t="b">
        <f>VLOOKUP(I4474,FS_input_noty,J4474,FALSE)=""</f>
        <v>0</v>
      </c>
      <c r="H4480" s="6" t="s">
        <v>2189</v>
      </c>
      <c r="I4480" t="s">
        <v>1561</v>
      </c>
      <c r="J4480" t="s">
        <v>1561</v>
      </c>
      <c r="L4480">
        <f t="shared" si="245"/>
        <v>1</v>
      </c>
    </row>
    <row r="4481" spans="1:12" x14ac:dyDescent="0.35">
      <c r="A4481" s="9">
        <f t="shared" si="246"/>
        <v>4480</v>
      </c>
      <c r="B4481" t="s">
        <v>111</v>
      </c>
      <c r="C4481" s="109">
        <f>IF(ISBLANK(K4481),IFERROR(VLOOKUP(I4481,FS_input_data!$C$458:$N$648,Export!J4481,FALSE),""),K4481)</f>
        <v>8000</v>
      </c>
      <c r="D4481" s="6" t="b">
        <v>0</v>
      </c>
      <c r="E4481" s="6"/>
      <c r="F4481" s="6"/>
      <c r="G4481" s="115" t="b">
        <f>VLOOKUP(I4474,FS_input_noty,J4474,TRUE)=""</f>
        <v>0</v>
      </c>
      <c r="H4481" s="6" t="s">
        <v>2189</v>
      </c>
      <c r="I4481" t="s">
        <v>1930</v>
      </c>
      <c r="J4481">
        <v>8</v>
      </c>
      <c r="L4481" s="26" t="e">
        <f t="shared" si="245"/>
        <v>#VALUE!</v>
      </c>
    </row>
    <row r="4482" spans="1:12" x14ac:dyDescent="0.35">
      <c r="A4482">
        <f t="shared" si="246"/>
        <v>4481</v>
      </c>
      <c r="B4482" t="s">
        <v>112</v>
      </c>
      <c r="C4482" s="109" t="str">
        <f>IF(ISBLANK(K4482),IFERROR(VLOOKUP(I4482,FS_input_data!$C$458:$N$648,Export!J4482,FALSE),""),K4482)</f>
        <v/>
      </c>
      <c r="D4482" s="6"/>
      <c r="E4482" s="6"/>
      <c r="F4482" s="6"/>
      <c r="G4482" s="115" t="b">
        <f>VLOOKUP(I4474,FS_input_noty,J4474,FALSE)=""</f>
        <v>0</v>
      </c>
      <c r="H4482" s="6" t="s">
        <v>2189</v>
      </c>
      <c r="I4482" t="s">
        <v>1561</v>
      </c>
      <c r="J4482" t="s">
        <v>1561</v>
      </c>
      <c r="L4482">
        <f t="shared" ref="L4482:L4545" si="249">FIND("/",B4482)</f>
        <v>1</v>
      </c>
    </row>
    <row r="4483" spans="1:12" x14ac:dyDescent="0.35">
      <c r="A4483" s="9">
        <f t="shared" ref="A4483:A4546" si="250">A4482+1</f>
        <v>4482</v>
      </c>
      <c r="B4483" t="s">
        <v>749</v>
      </c>
      <c r="C4483" s="109">
        <f>IF(ISBLANK(K4483),IFERROR(VLOOKUP(I4483,FS_input_data!$C$458:$N$648,Export!J4483,FALSE),""),K4483)</f>
        <v>8000</v>
      </c>
      <c r="D4483" s="6" t="b">
        <v>0</v>
      </c>
      <c r="E4483" s="6"/>
      <c r="F4483" s="6"/>
      <c r="G4483" s="115" t="b">
        <f>VLOOKUP(I4474,FS_input_noty,J4474,FALSE)=""</f>
        <v>0</v>
      </c>
      <c r="H4483" s="6" t="s">
        <v>2189</v>
      </c>
      <c r="I4483" t="s">
        <v>1930</v>
      </c>
      <c r="J4483">
        <v>9</v>
      </c>
      <c r="L4483" s="26" t="e">
        <f t="shared" si="249"/>
        <v>#VALUE!</v>
      </c>
    </row>
    <row r="4484" spans="1:12" x14ac:dyDescent="0.35">
      <c r="A4484">
        <f t="shared" si="250"/>
        <v>4483</v>
      </c>
      <c r="B4484" t="s">
        <v>750</v>
      </c>
      <c r="C4484" s="109" t="str">
        <f>IF(ISBLANK(K4484),IFERROR(VLOOKUP(I4484,FS_input_data!$C$458:$N$648,Export!J4484,FALSE),""),K4484)</f>
        <v/>
      </c>
      <c r="D4484" s="6"/>
      <c r="E4484" s="6"/>
      <c r="F4484" s="6"/>
      <c r="G4484" s="115" t="b">
        <f>VLOOKUP(I4474,FS_input_noty,J4474,FALSE)=""</f>
        <v>0</v>
      </c>
      <c r="H4484" s="6" t="s">
        <v>2189</v>
      </c>
      <c r="I4484" t="s">
        <v>1561</v>
      </c>
      <c r="J4484" t="s">
        <v>1561</v>
      </c>
      <c r="L4484">
        <f t="shared" si="249"/>
        <v>1</v>
      </c>
    </row>
    <row r="4485" spans="1:12" x14ac:dyDescent="0.35">
      <c r="A4485">
        <f t="shared" si="250"/>
        <v>4484</v>
      </c>
      <c r="B4485" t="s">
        <v>751</v>
      </c>
      <c r="C4485" s="109" t="str">
        <f>IF(ISBLANK(K4485),IFERROR(VLOOKUP(I4485,FS_input_data!$C$458:$N$648,Export!J4485,FALSE),""),K4485)</f>
        <v/>
      </c>
      <c r="D4485" s="6"/>
      <c r="E4485" s="6"/>
      <c r="F4485" s="6"/>
      <c r="G4485" s="115" t="b">
        <f>VLOOKUP(I4474,FS_input_noty,J4474,FALSE)=""</f>
        <v>0</v>
      </c>
      <c r="H4485" s="6" t="s">
        <v>2189</v>
      </c>
      <c r="I4485" t="s">
        <v>1561</v>
      </c>
      <c r="J4485" t="s">
        <v>1561</v>
      </c>
      <c r="L4485">
        <f t="shared" si="249"/>
        <v>1</v>
      </c>
    </row>
    <row r="4486" spans="1:12" x14ac:dyDescent="0.35">
      <c r="A4486">
        <f t="shared" si="250"/>
        <v>4485</v>
      </c>
      <c r="B4486" t="s">
        <v>754</v>
      </c>
      <c r="C4486" s="109" t="str">
        <f>IF(ISBLANK(K4486),IFERROR(VLOOKUP(I4486,FS_input_data!$C$458:$N$648,Export!J4486,FALSE),""),K4486)</f>
        <v/>
      </c>
      <c r="D4486" s="6"/>
      <c r="E4486" s="6"/>
      <c r="F4486" s="6"/>
      <c r="G4486" s="115" t="b">
        <f>VLOOKUP(I4474,FS_input_noty,J4474,FALSE)=""</f>
        <v>0</v>
      </c>
      <c r="H4486" s="6" t="s">
        <v>2189</v>
      </c>
      <c r="I4486" t="s">
        <v>1561</v>
      </c>
      <c r="J4486" t="s">
        <v>1561</v>
      </c>
      <c r="L4486" s="26" t="e">
        <f t="shared" si="249"/>
        <v>#VALUE!</v>
      </c>
    </row>
    <row r="4487" spans="1:12" x14ac:dyDescent="0.35">
      <c r="A4487" s="9">
        <f t="shared" si="250"/>
        <v>4486</v>
      </c>
      <c r="B4487" t="s">
        <v>755</v>
      </c>
      <c r="C4487" s="109">
        <f>IF(ISBLANK(K4487),IFERROR(VLOOKUP(I4487,FS_input_data!$C$458:$N$648,Export!J4487,FALSE),""),K4487)</f>
        <v>60</v>
      </c>
      <c r="D4487" s="6" t="b">
        <v>1</v>
      </c>
      <c r="E4487" s="6"/>
      <c r="F4487" s="6"/>
      <c r="G4487" s="115" t="b">
        <f>VLOOKUP(I4474,FS_input_noty,J4474,FALSE)=""</f>
        <v>0</v>
      </c>
      <c r="H4487" s="6" t="s">
        <v>2189</v>
      </c>
      <c r="I4487" t="s">
        <v>1930</v>
      </c>
      <c r="J4487">
        <v>2</v>
      </c>
      <c r="L4487" s="26" t="e">
        <f t="shared" si="249"/>
        <v>#VALUE!</v>
      </c>
    </row>
    <row r="4488" spans="1:12" x14ac:dyDescent="0.35">
      <c r="A4488">
        <f t="shared" si="250"/>
        <v>4487</v>
      </c>
      <c r="B4488" t="s">
        <v>756</v>
      </c>
      <c r="C4488" s="109" t="str">
        <f>IF(ISBLANK(K4488),IFERROR(VLOOKUP(I4488,FS_input_data!$C$458:$N$648,Export!J4488,FALSE),""),K4488)</f>
        <v/>
      </c>
      <c r="D4488" s="6"/>
      <c r="E4488" s="6"/>
      <c r="F4488" s="6"/>
      <c r="G4488" s="115" t="b">
        <f>VLOOKUP(I4474,FS_input_noty,J4474,FALSE)=""</f>
        <v>0</v>
      </c>
      <c r="H4488" s="6" t="s">
        <v>2189</v>
      </c>
      <c r="I4488" t="s">
        <v>1561</v>
      </c>
      <c r="J4488" t="s">
        <v>1561</v>
      </c>
      <c r="L4488">
        <f t="shared" si="249"/>
        <v>1</v>
      </c>
    </row>
    <row r="4489" spans="1:12" x14ac:dyDescent="0.35">
      <c r="A4489" s="9">
        <f t="shared" si="250"/>
        <v>4488</v>
      </c>
      <c r="B4489" t="s">
        <v>757</v>
      </c>
      <c r="C4489" s="109">
        <f>IF(ISBLANK(K4489),IFERROR(VLOOKUP(I4489,FS_input_data!$C$458:$N$648,Export!J4489,FALSE),""),K4489)</f>
        <v>160</v>
      </c>
      <c r="D4489" s="6" t="b">
        <v>0</v>
      </c>
      <c r="E4489" s="6"/>
      <c r="F4489" s="6"/>
      <c r="G4489" s="115" t="b">
        <f>VLOOKUP(I4474,FS_input_noty,J4474,FALSE)=""</f>
        <v>0</v>
      </c>
      <c r="H4489" s="6" t="s">
        <v>2189</v>
      </c>
      <c r="I4489" t="s">
        <v>1930</v>
      </c>
      <c r="J4489">
        <v>3</v>
      </c>
      <c r="L4489" s="26" t="e">
        <f t="shared" si="249"/>
        <v>#VALUE!</v>
      </c>
    </row>
    <row r="4490" spans="1:12" x14ac:dyDescent="0.35">
      <c r="A4490">
        <f t="shared" si="250"/>
        <v>4489</v>
      </c>
      <c r="B4490" t="s">
        <v>758</v>
      </c>
      <c r="C4490" s="109" t="str">
        <f>IF(ISBLANK(K4490),IFERROR(VLOOKUP(I4490,FS_input_data!$C$458:$N$648,Export!J4490,FALSE),""),K4490)</f>
        <v/>
      </c>
      <c r="D4490" s="6"/>
      <c r="E4490" s="6"/>
      <c r="F4490" s="6"/>
      <c r="G4490" s="115" t="b">
        <f>VLOOKUP(I4474,FS_input_noty,J4474,FALSE)=""</f>
        <v>0</v>
      </c>
      <c r="H4490" s="6" t="s">
        <v>2189</v>
      </c>
      <c r="I4490" t="s">
        <v>1561</v>
      </c>
      <c r="J4490" t="s">
        <v>1561</v>
      </c>
      <c r="L4490">
        <f t="shared" si="249"/>
        <v>1</v>
      </c>
    </row>
    <row r="4491" spans="1:12" x14ac:dyDescent="0.35">
      <c r="A4491" s="9">
        <f t="shared" si="250"/>
        <v>4490</v>
      </c>
      <c r="B4491" t="s">
        <v>759</v>
      </c>
      <c r="C4491" s="109">
        <f>IF(ISBLANK(K4491),IFERROR(VLOOKUP(I4491,FS_input_data!$C$458:$N$648,Export!J4491,FALSE),""),K4491)</f>
        <v>260</v>
      </c>
      <c r="D4491" s="6" t="b">
        <v>0</v>
      </c>
      <c r="E4491" s="6"/>
      <c r="F4491" s="6"/>
      <c r="G4491" s="115" t="b">
        <f>VLOOKUP(I4474,FS_input_noty,J4474,FALSE)=""</f>
        <v>0</v>
      </c>
      <c r="H4491" s="6" t="s">
        <v>2189</v>
      </c>
      <c r="I4491" t="s">
        <v>1930</v>
      </c>
      <c r="J4491">
        <v>4</v>
      </c>
      <c r="L4491" s="26" t="e">
        <f t="shared" si="249"/>
        <v>#VALUE!</v>
      </c>
    </row>
    <row r="4492" spans="1:12" x14ac:dyDescent="0.35">
      <c r="A4492">
        <f t="shared" si="250"/>
        <v>4491</v>
      </c>
      <c r="B4492" t="s">
        <v>760</v>
      </c>
      <c r="C4492" s="109" t="str">
        <f>IF(ISBLANK(K4492),IFERROR(VLOOKUP(I4492,FS_input_data!$C$458:$N$648,Export!J4492,FALSE),""),K4492)</f>
        <v/>
      </c>
      <c r="D4492" s="6"/>
      <c r="E4492" s="6"/>
      <c r="F4492" s="6"/>
      <c r="G4492" s="115" t="b">
        <f>VLOOKUP(I4474,FS_input_noty,J4474,FALSE)=""</f>
        <v>0</v>
      </c>
      <c r="H4492" s="6" t="s">
        <v>2189</v>
      </c>
      <c r="I4492" t="s">
        <v>1561</v>
      </c>
      <c r="J4492" t="s">
        <v>1561</v>
      </c>
      <c r="L4492">
        <f t="shared" si="249"/>
        <v>1</v>
      </c>
    </row>
    <row r="4493" spans="1:12" x14ac:dyDescent="0.35">
      <c r="A4493" s="9">
        <f t="shared" si="250"/>
        <v>4492</v>
      </c>
      <c r="B4493" t="s">
        <v>761</v>
      </c>
      <c r="C4493" s="109" t="str">
        <f>IF(ISBLANK(K4493),IFERROR(VLOOKUP(I4493,FS_input_data!$C$458:$N$648,Export!J4493,FALSE),""),K4493)</f>
        <v>d</v>
      </c>
      <c r="D4493" s="6" t="b">
        <v>0</v>
      </c>
      <c r="E4493" s="6"/>
      <c r="F4493" s="6"/>
      <c r="G4493" s="115" t="b">
        <f>VLOOKUP(I4474,FS_input_noty,J4474,FALSE)=""</f>
        <v>0</v>
      </c>
      <c r="H4493" s="6" t="s">
        <v>2189</v>
      </c>
      <c r="I4493" t="s">
        <v>1930</v>
      </c>
      <c r="J4493">
        <v>5</v>
      </c>
      <c r="L4493" s="26" t="e">
        <f t="shared" si="249"/>
        <v>#VALUE!</v>
      </c>
    </row>
    <row r="4494" spans="1:12" x14ac:dyDescent="0.35">
      <c r="A4494">
        <f t="shared" si="250"/>
        <v>4493</v>
      </c>
      <c r="B4494" t="s">
        <v>762</v>
      </c>
      <c r="C4494" s="109" t="str">
        <f>IF(ISBLANK(K4494),IFERROR(VLOOKUP(I4494,FS_input_data!$C$458:$N$648,Export!J4494,FALSE),""),K4494)</f>
        <v/>
      </c>
      <c r="D4494" s="6"/>
      <c r="E4494" s="6"/>
      <c r="F4494" s="6"/>
      <c r="G4494" s="115" t="b">
        <f>VLOOKUP(I4474,FS_input_noty,J4474,FALSE)=""</f>
        <v>0</v>
      </c>
      <c r="H4494" s="6" t="s">
        <v>2189</v>
      </c>
      <c r="I4494" t="s">
        <v>1561</v>
      </c>
      <c r="J4494" t="s">
        <v>1561</v>
      </c>
      <c r="L4494">
        <f t="shared" si="249"/>
        <v>1</v>
      </c>
    </row>
    <row r="4495" spans="1:12" x14ac:dyDescent="0.35">
      <c r="A4495">
        <f t="shared" si="250"/>
        <v>4494</v>
      </c>
      <c r="B4495" t="s">
        <v>763</v>
      </c>
      <c r="C4495" s="109" t="str">
        <f>IF(ISBLANK(K4495),IFERROR(VLOOKUP(I4495,FS_input_data!$C$458:$N$648,Export!J4495,FALSE),""),K4495)</f>
        <v/>
      </c>
      <c r="D4495" s="6"/>
      <c r="E4495" s="6"/>
      <c r="F4495" s="6"/>
      <c r="G4495" s="115" t="b">
        <f>VLOOKUP(I4474,FS_input_noty,J4474,FALSE)=""</f>
        <v>0</v>
      </c>
      <c r="H4495" s="6" t="s">
        <v>2189</v>
      </c>
      <c r="I4495" t="s">
        <v>1561</v>
      </c>
      <c r="J4495" t="s">
        <v>1561</v>
      </c>
      <c r="L4495">
        <f t="shared" si="249"/>
        <v>1</v>
      </c>
    </row>
    <row r="4496" spans="1:12" x14ac:dyDescent="0.35">
      <c r="A4496">
        <f t="shared" si="250"/>
        <v>4495</v>
      </c>
      <c r="B4496" t="s">
        <v>743</v>
      </c>
      <c r="C4496" s="109" t="str">
        <f>IF(ISBLANK(K4496),IFERROR(VLOOKUP(I4496,FS_input_data!$C$458:$N$648,Export!J4496,FALSE),""),K4496)</f>
        <v/>
      </c>
      <c r="D4496" s="6"/>
      <c r="E4496" s="6"/>
      <c r="F4496" s="6"/>
      <c r="G4496" s="115" t="b">
        <f>VLOOKUP(I4474,FS_input_noty,J4474,FALSE)=""</f>
        <v>0</v>
      </c>
      <c r="H4496" s="6" t="s">
        <v>2189</v>
      </c>
      <c r="I4496" t="s">
        <v>1561</v>
      </c>
      <c r="J4496" t="s">
        <v>1561</v>
      </c>
      <c r="L4496">
        <f t="shared" si="249"/>
        <v>1</v>
      </c>
    </row>
    <row r="4497" spans="1:12" x14ac:dyDescent="0.35">
      <c r="A4497">
        <f t="shared" si="250"/>
        <v>4496</v>
      </c>
      <c r="B4497" t="s">
        <v>744</v>
      </c>
      <c r="C4497" s="109" t="str">
        <f>IF(ISBLANK(K4497),IFERROR(VLOOKUP(I4497,FS_input_data!$C$458:$N$648,Export!J4497,FALSE),""),K4497)</f>
        <v/>
      </c>
      <c r="D4497" s="6"/>
      <c r="E4497" s="6"/>
      <c r="F4497" s="6"/>
      <c r="G4497" s="115" t="b">
        <f t="shared" ref="G4497:G4504" si="251">RP_tax</f>
        <v>1</v>
      </c>
      <c r="H4497" s="6" t="s">
        <v>2189</v>
      </c>
      <c r="I4497" t="s">
        <v>1561</v>
      </c>
      <c r="J4497" t="s">
        <v>1561</v>
      </c>
      <c r="L4497" s="26" t="e">
        <f t="shared" si="249"/>
        <v>#VALUE!</v>
      </c>
    </row>
    <row r="4498" spans="1:12" x14ac:dyDescent="0.35">
      <c r="A4498" s="9">
        <f t="shared" si="250"/>
        <v>4497</v>
      </c>
      <c r="B4498" t="s">
        <v>109</v>
      </c>
      <c r="C4498" s="109">
        <f>IF(ISBLANK(K4498),IFERROR(VLOOKUP(I4498,FS_input_data!$C$458:$N$648,Export!J4498,FALSE),""),K4498)</f>
        <v>16000</v>
      </c>
      <c r="D4498" s="6" t="b">
        <v>1</v>
      </c>
      <c r="E4498" s="6"/>
      <c r="F4498" s="6"/>
      <c r="G4498" s="115" t="b">
        <f t="shared" si="251"/>
        <v>1</v>
      </c>
      <c r="H4498" s="6" t="s">
        <v>2189</v>
      </c>
      <c r="I4498" t="s">
        <v>1930</v>
      </c>
      <c r="J4498">
        <v>10</v>
      </c>
      <c r="L4498" s="26" t="e">
        <f t="shared" si="249"/>
        <v>#VALUE!</v>
      </c>
    </row>
    <row r="4499" spans="1:12" x14ac:dyDescent="0.35">
      <c r="A4499">
        <f t="shared" si="250"/>
        <v>4498</v>
      </c>
      <c r="B4499" t="s">
        <v>110</v>
      </c>
      <c r="C4499" s="109" t="str">
        <f>IF(ISBLANK(K4499),IFERROR(VLOOKUP(I4499,FS_input_data!$C$458:$N$648,Export!J4499,FALSE),""),K4499)</f>
        <v/>
      </c>
      <c r="D4499" s="6"/>
      <c r="E4499" s="6"/>
      <c r="F4499" s="6"/>
      <c r="G4499" s="115" t="b">
        <f t="shared" si="251"/>
        <v>1</v>
      </c>
      <c r="H4499" s="6" t="s">
        <v>2189</v>
      </c>
      <c r="I4499" t="s">
        <v>1561</v>
      </c>
      <c r="J4499" t="s">
        <v>1561</v>
      </c>
      <c r="L4499">
        <f t="shared" si="249"/>
        <v>1</v>
      </c>
    </row>
    <row r="4500" spans="1:12" x14ac:dyDescent="0.35">
      <c r="A4500" s="9">
        <f t="shared" si="250"/>
        <v>4499</v>
      </c>
      <c r="B4500" t="s">
        <v>111</v>
      </c>
      <c r="C4500" s="109">
        <f>IF(ISBLANK(K4500),IFERROR(VLOOKUP(I4500,FS_input_data!$C$458:$N$648,Export!J4500,FALSE),""),K4500)</f>
        <v>8000</v>
      </c>
      <c r="D4500" s="6" t="b">
        <v>0</v>
      </c>
      <c r="E4500" s="6"/>
      <c r="F4500" s="6"/>
      <c r="G4500" s="115" t="b">
        <f t="shared" si="251"/>
        <v>1</v>
      </c>
      <c r="H4500" s="6" t="s">
        <v>2189</v>
      </c>
      <c r="I4500" t="s">
        <v>1930</v>
      </c>
      <c r="J4500">
        <v>11</v>
      </c>
      <c r="L4500" s="26" t="e">
        <f t="shared" si="249"/>
        <v>#VALUE!</v>
      </c>
    </row>
    <row r="4501" spans="1:12" x14ac:dyDescent="0.35">
      <c r="A4501">
        <f t="shared" si="250"/>
        <v>4500</v>
      </c>
      <c r="B4501" t="s">
        <v>112</v>
      </c>
      <c r="C4501" s="109" t="str">
        <f>IF(ISBLANK(K4501),IFERROR(VLOOKUP(I4501,FS_input_data!$C$458:$N$648,Export!J4501,FALSE),""),K4501)</f>
        <v/>
      </c>
      <c r="D4501" s="6"/>
      <c r="E4501" s="6"/>
      <c r="F4501" s="6"/>
      <c r="G4501" s="115" t="b">
        <f t="shared" si="251"/>
        <v>1</v>
      </c>
      <c r="H4501" s="6" t="s">
        <v>2189</v>
      </c>
      <c r="I4501" t="s">
        <v>1561</v>
      </c>
      <c r="J4501" t="s">
        <v>1561</v>
      </c>
      <c r="L4501">
        <f t="shared" si="249"/>
        <v>1</v>
      </c>
    </row>
    <row r="4502" spans="1:12" x14ac:dyDescent="0.35">
      <c r="A4502" s="9">
        <f t="shared" si="250"/>
        <v>4501</v>
      </c>
      <c r="B4502" t="s">
        <v>749</v>
      </c>
      <c r="C4502" s="109">
        <f>IF(ISBLANK(K4502),IFERROR(VLOOKUP(I4502,FS_input_data!$C$458:$N$648,Export!J4502,FALSE),""),K4502)</f>
        <v>8000</v>
      </c>
      <c r="D4502" s="6" t="b">
        <v>0</v>
      </c>
      <c r="E4502" s="6"/>
      <c r="F4502" s="6"/>
      <c r="G4502" s="115" t="b">
        <f t="shared" si="251"/>
        <v>1</v>
      </c>
      <c r="H4502" s="6" t="s">
        <v>2189</v>
      </c>
      <c r="I4502" t="s">
        <v>1930</v>
      </c>
      <c r="J4502">
        <v>12</v>
      </c>
      <c r="L4502" s="26" t="e">
        <f t="shared" si="249"/>
        <v>#VALUE!</v>
      </c>
    </row>
    <row r="4503" spans="1:12" x14ac:dyDescent="0.35">
      <c r="A4503">
        <f t="shared" si="250"/>
        <v>4502</v>
      </c>
      <c r="B4503" t="s">
        <v>750</v>
      </c>
      <c r="C4503" s="109" t="str">
        <f>IF(ISBLANK(K4503),IFERROR(VLOOKUP(I4503,FS_input_data!$C$458:$N$648,Export!J4503,FALSE),""),K4503)</f>
        <v/>
      </c>
      <c r="D4503" s="6"/>
      <c r="E4503" s="6"/>
      <c r="F4503" s="6"/>
      <c r="G4503" s="115" t="b">
        <f t="shared" si="251"/>
        <v>1</v>
      </c>
      <c r="H4503" s="6" t="s">
        <v>2189</v>
      </c>
      <c r="I4503" t="s">
        <v>1561</v>
      </c>
      <c r="J4503" t="s">
        <v>1561</v>
      </c>
      <c r="L4503">
        <f t="shared" si="249"/>
        <v>1</v>
      </c>
    </row>
    <row r="4504" spans="1:12" x14ac:dyDescent="0.35">
      <c r="A4504">
        <f t="shared" si="250"/>
        <v>4503</v>
      </c>
      <c r="B4504" t="s">
        <v>745</v>
      </c>
      <c r="C4504" s="109" t="str">
        <f>IF(ISBLANK(K4504),IFERROR(VLOOKUP(I4504,FS_input_data!$C$458:$N$648,Export!J4504,FALSE),""),K4504)</f>
        <v/>
      </c>
      <c r="D4504" s="6"/>
      <c r="E4504" s="6"/>
      <c r="F4504" s="6"/>
      <c r="G4504" s="115" t="b">
        <f t="shared" si="251"/>
        <v>1</v>
      </c>
      <c r="H4504" s="6" t="s">
        <v>2189</v>
      </c>
      <c r="I4504" t="s">
        <v>1561</v>
      </c>
      <c r="J4504" t="s">
        <v>1561</v>
      </c>
      <c r="L4504">
        <f t="shared" si="249"/>
        <v>1</v>
      </c>
    </row>
    <row r="4505" spans="1:12" x14ac:dyDescent="0.35">
      <c r="A4505">
        <f t="shared" si="250"/>
        <v>4504</v>
      </c>
      <c r="B4505" t="s">
        <v>764</v>
      </c>
      <c r="C4505" s="109" t="str">
        <f>IF(ISBLANK(K4505),IFERROR(VLOOKUP(I4505,FS_input_data!$C$458:$N$648,Export!J4505,FALSE),""),K4505)</f>
        <v/>
      </c>
      <c r="D4505" s="6"/>
      <c r="E4505" s="6"/>
      <c r="F4505" s="6"/>
      <c r="G4505" s="115" t="b">
        <f>VLOOKUP(I4474,FS_input_noty,J4474,FALSE)=""</f>
        <v>0</v>
      </c>
      <c r="H4505" s="6" t="s">
        <v>2189</v>
      </c>
      <c r="I4505" t="s">
        <v>1561</v>
      </c>
      <c r="J4505" t="s">
        <v>1561</v>
      </c>
      <c r="L4505">
        <f t="shared" si="249"/>
        <v>1</v>
      </c>
    </row>
    <row r="4506" spans="1:12" x14ac:dyDescent="0.35">
      <c r="A4506">
        <f t="shared" si="250"/>
        <v>4505</v>
      </c>
      <c r="B4506" t="s">
        <v>765</v>
      </c>
      <c r="C4506" s="109" t="str">
        <f>IF(ISBLANK(K4506),IFERROR(VLOOKUP(I4506,FS_input_data!$C$458:$N$648,Export!J4506,FALSE),""),K4506)</f>
        <v/>
      </c>
      <c r="D4506" s="6"/>
      <c r="E4506" s="6"/>
      <c r="F4506" s="6"/>
      <c r="G4506" s="115" t="b">
        <f>VLOOKUP(I4474,FS_input_noty,J4474,FALSE)=""</f>
        <v>0</v>
      </c>
      <c r="H4506" s="6" t="s">
        <v>2189</v>
      </c>
      <c r="I4506" t="s">
        <v>1561</v>
      </c>
      <c r="J4506" t="s">
        <v>1561</v>
      </c>
      <c r="L4506">
        <f t="shared" si="249"/>
        <v>1</v>
      </c>
    </row>
    <row r="4507" spans="1:12" x14ac:dyDescent="0.35">
      <c r="A4507">
        <f t="shared" si="250"/>
        <v>4506</v>
      </c>
      <c r="B4507" t="s">
        <v>752</v>
      </c>
      <c r="C4507" s="109" t="str">
        <f>IF(ISBLANK(K4507),IFERROR(VLOOKUP(I4507,FS_input_data!$C$458:$N$648,Export!J4507,FALSE),""),K4507)</f>
        <v/>
      </c>
      <c r="D4507" s="6"/>
      <c r="E4507" s="6"/>
      <c r="F4507" s="6"/>
      <c r="G4507" s="115" t="b">
        <f>VLOOKUP(I4508,FS_input_noty,J4508,FALSE)=""</f>
        <v>0</v>
      </c>
      <c r="H4507" s="6" t="s">
        <v>2189</v>
      </c>
      <c r="I4507" t="s">
        <v>1561</v>
      </c>
      <c r="J4507" t="s">
        <v>1561</v>
      </c>
      <c r="L4507" s="26" t="e">
        <f t="shared" si="249"/>
        <v>#VALUE!</v>
      </c>
    </row>
    <row r="4508" spans="1:12" x14ac:dyDescent="0.35">
      <c r="A4508" s="9">
        <f t="shared" si="250"/>
        <v>4507</v>
      </c>
      <c r="B4508" t="s">
        <v>101</v>
      </c>
      <c r="C4508" s="109" t="str">
        <f>IF(ISBLANK(K4508),IFERROR(VLOOKUP(I4508,FS_input_data!$C$458:$N$648,Export!J4508,FALSE),""),K4508)</f>
        <v>OC39</v>
      </c>
      <c r="D4508" s="6" t="b">
        <v>1</v>
      </c>
      <c r="E4508" s="6"/>
      <c r="F4508" s="6"/>
      <c r="G4508" s="115" t="b">
        <f>VLOOKUP(I4508,FS_input_noty,J4508,FALSE)=""</f>
        <v>0</v>
      </c>
      <c r="H4508" s="6" t="s">
        <v>2189</v>
      </c>
      <c r="I4508" t="s">
        <v>1932</v>
      </c>
      <c r="J4508">
        <v>6</v>
      </c>
      <c r="L4508" s="26" t="e">
        <f t="shared" si="249"/>
        <v>#VALUE!</v>
      </c>
    </row>
    <row r="4509" spans="1:12" x14ac:dyDescent="0.35">
      <c r="A4509">
        <f t="shared" si="250"/>
        <v>4508</v>
      </c>
      <c r="B4509" t="s">
        <v>102</v>
      </c>
      <c r="C4509" s="109" t="str">
        <f>IF(ISBLANK(K4509),IFERROR(VLOOKUP(I4509,FS_input_data!$C$458:$N$648,Export!J4509,FALSE),""),K4509)</f>
        <v/>
      </c>
      <c r="D4509" s="6"/>
      <c r="E4509" s="6"/>
      <c r="F4509" s="6"/>
      <c r="G4509" s="115" t="b">
        <f>VLOOKUP(I4508,FS_input_noty,J4508,FALSE)=""</f>
        <v>0</v>
      </c>
      <c r="H4509" s="6" t="s">
        <v>2189</v>
      </c>
      <c r="I4509" t="s">
        <v>1561</v>
      </c>
      <c r="J4509" t="s">
        <v>1561</v>
      </c>
      <c r="L4509">
        <f t="shared" si="249"/>
        <v>1</v>
      </c>
    </row>
    <row r="4510" spans="1:12" x14ac:dyDescent="0.35">
      <c r="A4510">
        <f t="shared" si="250"/>
        <v>4509</v>
      </c>
      <c r="B4510" t="s">
        <v>753</v>
      </c>
      <c r="C4510" s="109" t="str">
        <f>IF(ISBLANK(K4510),IFERROR(VLOOKUP(I4510,FS_input_data!$C$458:$N$648,Export!J4510,FALSE),""),K4510)</f>
        <v/>
      </c>
      <c r="D4510" s="6"/>
      <c r="E4510" s="6"/>
      <c r="F4510" s="6"/>
      <c r="G4510" s="115" t="b">
        <f>VLOOKUP(I4508,FS_input_noty,J4508,FALSE)=""</f>
        <v>0</v>
      </c>
      <c r="H4510" s="6" t="s">
        <v>2189</v>
      </c>
      <c r="I4510" t="s">
        <v>1561</v>
      </c>
      <c r="J4510" t="s">
        <v>1561</v>
      </c>
      <c r="L4510" s="26" t="e">
        <f t="shared" si="249"/>
        <v>#VALUE!</v>
      </c>
    </row>
    <row r="4511" spans="1:12" x14ac:dyDescent="0.35">
      <c r="A4511">
        <f t="shared" si="250"/>
        <v>4510</v>
      </c>
      <c r="B4511" t="s">
        <v>742</v>
      </c>
      <c r="C4511" s="109" t="str">
        <f>IF(ISBLANK(K4511),IFERROR(VLOOKUP(I4511,FS_input_data!$C$458:$N$648,Export!J4511,FALSE),""),K4511)</f>
        <v/>
      </c>
      <c r="D4511" s="6"/>
      <c r="E4511" s="6"/>
      <c r="F4511" s="6"/>
      <c r="G4511" s="115" t="b">
        <f>VLOOKUP(I4508,FS_input_noty,J4508,FALSE)=""</f>
        <v>0</v>
      </c>
      <c r="H4511" s="6" t="s">
        <v>2189</v>
      </c>
      <c r="I4511" t="s">
        <v>1561</v>
      </c>
      <c r="J4511" t="s">
        <v>1561</v>
      </c>
      <c r="L4511" s="26" t="e">
        <f t="shared" si="249"/>
        <v>#VALUE!</v>
      </c>
    </row>
    <row r="4512" spans="1:12" x14ac:dyDescent="0.35">
      <c r="A4512">
        <f t="shared" si="250"/>
        <v>4511</v>
      </c>
      <c r="B4512" t="s">
        <v>748</v>
      </c>
      <c r="C4512" s="109" t="str">
        <f>IF(ISBLANK(K4512),IFERROR(VLOOKUP(I4512,FS_input_data!$C$458:$N$648,Export!J4512,FALSE),""),K4512)</f>
        <v/>
      </c>
      <c r="D4512" s="6"/>
      <c r="E4512" s="6"/>
      <c r="F4512" s="6"/>
      <c r="G4512" s="115" t="b">
        <f>VLOOKUP(I4508,FS_input_noty,J4508,FALSE)=""</f>
        <v>0</v>
      </c>
      <c r="H4512" s="6" t="s">
        <v>2189</v>
      </c>
      <c r="I4512" t="s">
        <v>1561</v>
      </c>
      <c r="J4512" t="s">
        <v>1561</v>
      </c>
      <c r="L4512" s="26" t="e">
        <f t="shared" si="249"/>
        <v>#VALUE!</v>
      </c>
    </row>
    <row r="4513" spans="1:12" x14ac:dyDescent="0.35">
      <c r="A4513" s="9">
        <f t="shared" si="250"/>
        <v>4512</v>
      </c>
      <c r="B4513" t="s">
        <v>109</v>
      </c>
      <c r="C4513" s="109">
        <f>IF(ISBLANK(K4513),IFERROR(VLOOKUP(I4513,FS_input_data!$C$458:$N$648,Export!J4513,FALSE),""),K4513)</f>
        <v>17000</v>
      </c>
      <c r="D4513" s="6" t="b">
        <v>1</v>
      </c>
      <c r="E4513" s="6"/>
      <c r="F4513" s="6"/>
      <c r="G4513" s="115" t="b">
        <f>VLOOKUP(I4508,FS_input_noty,J4508,FALSE)=""</f>
        <v>0</v>
      </c>
      <c r="H4513" s="6" t="s">
        <v>2189</v>
      </c>
      <c r="I4513" t="s">
        <v>1932</v>
      </c>
      <c r="J4513">
        <v>7</v>
      </c>
      <c r="L4513" s="26" t="e">
        <f t="shared" si="249"/>
        <v>#VALUE!</v>
      </c>
    </row>
    <row r="4514" spans="1:12" x14ac:dyDescent="0.35">
      <c r="A4514">
        <f t="shared" si="250"/>
        <v>4513</v>
      </c>
      <c r="B4514" t="s">
        <v>110</v>
      </c>
      <c r="C4514" s="109" t="str">
        <f>IF(ISBLANK(K4514),IFERROR(VLOOKUP(I4514,FS_input_data!$C$458:$N$648,Export!J4514,FALSE),""),K4514)</f>
        <v/>
      </c>
      <c r="D4514" s="6"/>
      <c r="E4514" s="6"/>
      <c r="F4514" s="6"/>
      <c r="G4514" s="115" t="b">
        <f>VLOOKUP(I4508,FS_input_noty,J4508,FALSE)=""</f>
        <v>0</v>
      </c>
      <c r="H4514" s="6" t="s">
        <v>2189</v>
      </c>
      <c r="I4514" t="s">
        <v>1561</v>
      </c>
      <c r="J4514" t="s">
        <v>1561</v>
      </c>
      <c r="L4514">
        <f t="shared" si="249"/>
        <v>1</v>
      </c>
    </row>
    <row r="4515" spans="1:12" x14ac:dyDescent="0.35">
      <c r="A4515" s="9">
        <f t="shared" si="250"/>
        <v>4514</v>
      </c>
      <c r="B4515" t="s">
        <v>111</v>
      </c>
      <c r="C4515" s="109">
        <f>IF(ISBLANK(K4515),IFERROR(VLOOKUP(I4515,FS_input_data!$C$458:$N$648,Export!J4515,FALSE),""),K4515)</f>
        <v>8500</v>
      </c>
      <c r="D4515" s="6" t="b">
        <v>0</v>
      </c>
      <c r="E4515" s="6"/>
      <c r="F4515" s="6"/>
      <c r="G4515" s="115" t="b">
        <f>VLOOKUP(I4508,FS_input_noty,J4508,TRUE)=""</f>
        <v>0</v>
      </c>
      <c r="H4515" s="6" t="s">
        <v>2189</v>
      </c>
      <c r="I4515" t="s">
        <v>1932</v>
      </c>
      <c r="J4515">
        <v>8</v>
      </c>
      <c r="L4515" s="26" t="e">
        <f t="shared" si="249"/>
        <v>#VALUE!</v>
      </c>
    </row>
    <row r="4516" spans="1:12" x14ac:dyDescent="0.35">
      <c r="A4516">
        <f t="shared" si="250"/>
        <v>4515</v>
      </c>
      <c r="B4516" t="s">
        <v>112</v>
      </c>
      <c r="C4516" s="109" t="str">
        <f>IF(ISBLANK(K4516),IFERROR(VLOOKUP(I4516,FS_input_data!$C$458:$N$648,Export!J4516,FALSE),""),K4516)</f>
        <v/>
      </c>
      <c r="D4516" s="6"/>
      <c r="E4516" s="6"/>
      <c r="F4516" s="6"/>
      <c r="G4516" s="115" t="b">
        <f>VLOOKUP(I4508,FS_input_noty,J4508,FALSE)=""</f>
        <v>0</v>
      </c>
      <c r="H4516" s="6" t="s">
        <v>2189</v>
      </c>
      <c r="I4516" t="s">
        <v>1561</v>
      </c>
      <c r="J4516" t="s">
        <v>1561</v>
      </c>
      <c r="L4516">
        <f t="shared" si="249"/>
        <v>1</v>
      </c>
    </row>
    <row r="4517" spans="1:12" x14ac:dyDescent="0.35">
      <c r="A4517" s="9">
        <f t="shared" si="250"/>
        <v>4516</v>
      </c>
      <c r="B4517" t="s">
        <v>749</v>
      </c>
      <c r="C4517" s="109">
        <f>IF(ISBLANK(K4517),IFERROR(VLOOKUP(I4517,FS_input_data!$C$458:$N$648,Export!J4517,FALSE),""),K4517)</f>
        <v>8500</v>
      </c>
      <c r="D4517" s="6" t="b">
        <v>0</v>
      </c>
      <c r="E4517" s="6"/>
      <c r="F4517" s="6"/>
      <c r="G4517" s="115" t="b">
        <f>VLOOKUP(I4508,FS_input_noty,J4508,FALSE)=""</f>
        <v>0</v>
      </c>
      <c r="H4517" s="6" t="s">
        <v>2189</v>
      </c>
      <c r="I4517" t="s">
        <v>1932</v>
      </c>
      <c r="J4517">
        <v>9</v>
      </c>
      <c r="L4517" s="26" t="e">
        <f t="shared" si="249"/>
        <v>#VALUE!</v>
      </c>
    </row>
    <row r="4518" spans="1:12" x14ac:dyDescent="0.35">
      <c r="A4518">
        <f t="shared" si="250"/>
        <v>4517</v>
      </c>
      <c r="B4518" t="s">
        <v>750</v>
      </c>
      <c r="C4518" s="109" t="str">
        <f>IF(ISBLANK(K4518),IFERROR(VLOOKUP(I4518,FS_input_data!$C$458:$N$648,Export!J4518,FALSE),""),K4518)</f>
        <v/>
      </c>
      <c r="D4518" s="6"/>
      <c r="E4518" s="6"/>
      <c r="F4518" s="6"/>
      <c r="G4518" s="115" t="b">
        <f>VLOOKUP(I4508,FS_input_noty,J4508,FALSE)=""</f>
        <v>0</v>
      </c>
      <c r="H4518" s="6" t="s">
        <v>2189</v>
      </c>
      <c r="I4518" t="s">
        <v>1561</v>
      </c>
      <c r="J4518" t="s">
        <v>1561</v>
      </c>
      <c r="L4518">
        <f t="shared" si="249"/>
        <v>1</v>
      </c>
    </row>
    <row r="4519" spans="1:12" x14ac:dyDescent="0.35">
      <c r="A4519">
        <f t="shared" si="250"/>
        <v>4518</v>
      </c>
      <c r="B4519" t="s">
        <v>751</v>
      </c>
      <c r="C4519" s="109" t="str">
        <f>IF(ISBLANK(K4519),IFERROR(VLOOKUP(I4519,FS_input_data!$C$458:$N$648,Export!J4519,FALSE),""),K4519)</f>
        <v/>
      </c>
      <c r="D4519" s="6"/>
      <c r="E4519" s="6"/>
      <c r="F4519" s="6"/>
      <c r="G4519" s="115" t="b">
        <f>VLOOKUP(I4508,FS_input_noty,J4508,FALSE)=""</f>
        <v>0</v>
      </c>
      <c r="H4519" s="6" t="s">
        <v>2189</v>
      </c>
      <c r="I4519" t="s">
        <v>1561</v>
      </c>
      <c r="J4519" t="s">
        <v>1561</v>
      </c>
      <c r="L4519">
        <f t="shared" si="249"/>
        <v>1</v>
      </c>
    </row>
    <row r="4520" spans="1:12" x14ac:dyDescent="0.35">
      <c r="A4520">
        <f t="shared" si="250"/>
        <v>4519</v>
      </c>
      <c r="B4520" t="s">
        <v>754</v>
      </c>
      <c r="C4520" s="109" t="str">
        <f>IF(ISBLANK(K4520),IFERROR(VLOOKUP(I4520,FS_input_data!$C$458:$N$648,Export!J4520,FALSE),""),K4520)</f>
        <v/>
      </c>
      <c r="D4520" s="6"/>
      <c r="E4520" s="6"/>
      <c r="F4520" s="6"/>
      <c r="G4520" s="115" t="b">
        <f>VLOOKUP(I4508,FS_input_noty,J4508,FALSE)=""</f>
        <v>0</v>
      </c>
      <c r="H4520" s="6" t="s">
        <v>2189</v>
      </c>
      <c r="I4520" t="s">
        <v>1561</v>
      </c>
      <c r="J4520" t="s">
        <v>1561</v>
      </c>
      <c r="L4520" s="26" t="e">
        <f t="shared" si="249"/>
        <v>#VALUE!</v>
      </c>
    </row>
    <row r="4521" spans="1:12" x14ac:dyDescent="0.35">
      <c r="A4521" s="9">
        <f t="shared" si="250"/>
        <v>4520</v>
      </c>
      <c r="B4521" t="s">
        <v>755</v>
      </c>
      <c r="C4521" s="109">
        <f>IF(ISBLANK(K4521),IFERROR(VLOOKUP(I4521,FS_input_data!$C$458:$N$648,Export!J4521,FALSE),""),K4521)</f>
        <v>61</v>
      </c>
      <c r="D4521" s="6" t="b">
        <v>1</v>
      </c>
      <c r="E4521" s="6"/>
      <c r="F4521" s="6"/>
      <c r="G4521" s="115" t="b">
        <f>VLOOKUP(I4508,FS_input_noty,J4508,FALSE)=""</f>
        <v>0</v>
      </c>
      <c r="H4521" s="6" t="s">
        <v>2189</v>
      </c>
      <c r="I4521" t="s">
        <v>1932</v>
      </c>
      <c r="J4521">
        <v>2</v>
      </c>
      <c r="L4521" s="26" t="e">
        <f t="shared" si="249"/>
        <v>#VALUE!</v>
      </c>
    </row>
    <row r="4522" spans="1:12" x14ac:dyDescent="0.35">
      <c r="A4522">
        <f t="shared" si="250"/>
        <v>4521</v>
      </c>
      <c r="B4522" t="s">
        <v>756</v>
      </c>
      <c r="C4522" s="109" t="str">
        <f>IF(ISBLANK(K4522),IFERROR(VLOOKUP(I4522,FS_input_data!$C$458:$N$648,Export!J4522,FALSE),""),K4522)</f>
        <v/>
      </c>
      <c r="D4522" s="6"/>
      <c r="E4522" s="6"/>
      <c r="F4522" s="6"/>
      <c r="G4522" s="115" t="b">
        <f>VLOOKUP(I4508,FS_input_noty,J4508,FALSE)=""</f>
        <v>0</v>
      </c>
      <c r="H4522" s="6" t="s">
        <v>2189</v>
      </c>
      <c r="I4522" t="s">
        <v>1561</v>
      </c>
      <c r="J4522" t="s">
        <v>1561</v>
      </c>
      <c r="L4522">
        <f t="shared" si="249"/>
        <v>1</v>
      </c>
    </row>
    <row r="4523" spans="1:12" x14ac:dyDescent="0.35">
      <c r="A4523" s="9">
        <f t="shared" si="250"/>
        <v>4522</v>
      </c>
      <c r="B4523" t="s">
        <v>757</v>
      </c>
      <c r="C4523" s="109">
        <f>IF(ISBLANK(K4523),IFERROR(VLOOKUP(I4523,FS_input_data!$C$458:$N$648,Export!J4523,FALSE),""),K4523)</f>
        <v>161</v>
      </c>
      <c r="D4523" s="6" t="b">
        <v>0</v>
      </c>
      <c r="E4523" s="6"/>
      <c r="F4523" s="6"/>
      <c r="G4523" s="115" t="b">
        <f>VLOOKUP(I4508,FS_input_noty,J4508,FALSE)=""</f>
        <v>0</v>
      </c>
      <c r="H4523" s="6" t="s">
        <v>2189</v>
      </c>
      <c r="I4523" t="s">
        <v>1932</v>
      </c>
      <c r="J4523">
        <v>3</v>
      </c>
      <c r="L4523" s="26" t="e">
        <f t="shared" si="249"/>
        <v>#VALUE!</v>
      </c>
    </row>
    <row r="4524" spans="1:12" x14ac:dyDescent="0.35">
      <c r="A4524">
        <f t="shared" si="250"/>
        <v>4523</v>
      </c>
      <c r="B4524" t="s">
        <v>758</v>
      </c>
      <c r="C4524" s="109" t="str">
        <f>IF(ISBLANK(K4524),IFERROR(VLOOKUP(I4524,FS_input_data!$C$458:$N$648,Export!J4524,FALSE),""),K4524)</f>
        <v/>
      </c>
      <c r="D4524" s="6"/>
      <c r="E4524" s="6"/>
      <c r="F4524" s="6"/>
      <c r="G4524" s="115" t="b">
        <f>VLOOKUP(I4508,FS_input_noty,J4508,FALSE)=""</f>
        <v>0</v>
      </c>
      <c r="H4524" s="6" t="s">
        <v>2189</v>
      </c>
      <c r="I4524" t="s">
        <v>1561</v>
      </c>
      <c r="J4524" t="s">
        <v>1561</v>
      </c>
      <c r="L4524">
        <f t="shared" si="249"/>
        <v>1</v>
      </c>
    </row>
    <row r="4525" spans="1:12" x14ac:dyDescent="0.35">
      <c r="A4525" s="9">
        <f t="shared" si="250"/>
        <v>4524</v>
      </c>
      <c r="B4525" t="s">
        <v>759</v>
      </c>
      <c r="C4525" s="109">
        <f>IF(ISBLANK(K4525),IFERROR(VLOOKUP(I4525,FS_input_data!$C$458:$N$648,Export!J4525,FALSE),""),K4525)</f>
        <v>261</v>
      </c>
      <c r="D4525" s="6" t="b">
        <v>0</v>
      </c>
      <c r="E4525" s="6"/>
      <c r="F4525" s="6"/>
      <c r="G4525" s="115" t="b">
        <f>VLOOKUP(I4508,FS_input_noty,J4508,FALSE)=""</f>
        <v>0</v>
      </c>
      <c r="H4525" s="6" t="s">
        <v>2189</v>
      </c>
      <c r="I4525" t="s">
        <v>1932</v>
      </c>
      <c r="J4525">
        <v>4</v>
      </c>
      <c r="L4525" s="26" t="e">
        <f t="shared" si="249"/>
        <v>#VALUE!</v>
      </c>
    </row>
    <row r="4526" spans="1:12" x14ac:dyDescent="0.35">
      <c r="A4526">
        <f t="shared" si="250"/>
        <v>4525</v>
      </c>
      <c r="B4526" t="s">
        <v>760</v>
      </c>
      <c r="C4526" s="109" t="str">
        <f>IF(ISBLANK(K4526),IFERROR(VLOOKUP(I4526,FS_input_data!$C$458:$N$648,Export!J4526,FALSE),""),K4526)</f>
        <v/>
      </c>
      <c r="D4526" s="6"/>
      <c r="E4526" s="6"/>
      <c r="F4526" s="6"/>
      <c r="G4526" s="115" t="b">
        <f>VLOOKUP(I4508,FS_input_noty,J4508,FALSE)=""</f>
        <v>0</v>
      </c>
      <c r="H4526" s="6" t="s">
        <v>2189</v>
      </c>
      <c r="I4526" t="s">
        <v>1561</v>
      </c>
      <c r="J4526" t="s">
        <v>1561</v>
      </c>
      <c r="L4526">
        <f t="shared" si="249"/>
        <v>1</v>
      </c>
    </row>
    <row r="4527" spans="1:12" x14ac:dyDescent="0.35">
      <c r="A4527" s="9">
        <f t="shared" si="250"/>
        <v>4526</v>
      </c>
      <c r="B4527" t="s">
        <v>761</v>
      </c>
      <c r="C4527" s="109" t="str">
        <f>IF(ISBLANK(K4527),IFERROR(VLOOKUP(I4527,FS_input_data!$C$458:$N$648,Export!J4527,FALSE),""),K4527)</f>
        <v>e</v>
      </c>
      <c r="D4527" s="6" t="b">
        <v>0</v>
      </c>
      <c r="E4527" s="6"/>
      <c r="F4527" s="6"/>
      <c r="G4527" s="115" t="b">
        <f>VLOOKUP(I4508,FS_input_noty,J4508,FALSE)=""</f>
        <v>0</v>
      </c>
      <c r="H4527" s="6" t="s">
        <v>2189</v>
      </c>
      <c r="I4527" t="s">
        <v>1932</v>
      </c>
      <c r="J4527">
        <v>5</v>
      </c>
      <c r="L4527" s="26" t="e">
        <f t="shared" si="249"/>
        <v>#VALUE!</v>
      </c>
    </row>
    <row r="4528" spans="1:12" x14ac:dyDescent="0.35">
      <c r="A4528">
        <f t="shared" si="250"/>
        <v>4527</v>
      </c>
      <c r="B4528" t="s">
        <v>762</v>
      </c>
      <c r="C4528" s="109" t="str">
        <f>IF(ISBLANK(K4528),IFERROR(VLOOKUP(I4528,FS_input_data!$C$458:$N$648,Export!J4528,FALSE),""),K4528)</f>
        <v/>
      </c>
      <c r="D4528" s="6"/>
      <c r="E4528" s="6"/>
      <c r="F4528" s="6"/>
      <c r="G4528" s="115" t="b">
        <f>VLOOKUP(I4508,FS_input_noty,J4508,FALSE)=""</f>
        <v>0</v>
      </c>
      <c r="H4528" s="6" t="s">
        <v>2189</v>
      </c>
      <c r="I4528" t="s">
        <v>1561</v>
      </c>
      <c r="J4528" t="s">
        <v>1561</v>
      </c>
      <c r="L4528">
        <f t="shared" si="249"/>
        <v>1</v>
      </c>
    </row>
    <row r="4529" spans="1:12" x14ac:dyDescent="0.35">
      <c r="A4529">
        <f t="shared" si="250"/>
        <v>4528</v>
      </c>
      <c r="B4529" t="s">
        <v>763</v>
      </c>
      <c r="C4529" s="109" t="str">
        <f>IF(ISBLANK(K4529),IFERROR(VLOOKUP(I4529,FS_input_data!$C$458:$N$648,Export!J4529,FALSE),""),K4529)</f>
        <v/>
      </c>
      <c r="D4529" s="6"/>
      <c r="E4529" s="6"/>
      <c r="F4529" s="6"/>
      <c r="G4529" s="115" t="b">
        <f>VLOOKUP(I4508,FS_input_noty,J4508,FALSE)=""</f>
        <v>0</v>
      </c>
      <c r="H4529" s="6" t="s">
        <v>2189</v>
      </c>
      <c r="I4529" t="s">
        <v>1561</v>
      </c>
      <c r="J4529" t="s">
        <v>1561</v>
      </c>
      <c r="L4529">
        <f t="shared" si="249"/>
        <v>1</v>
      </c>
    </row>
    <row r="4530" spans="1:12" x14ac:dyDescent="0.35">
      <c r="A4530">
        <f t="shared" si="250"/>
        <v>4529</v>
      </c>
      <c r="B4530" t="s">
        <v>743</v>
      </c>
      <c r="C4530" s="109" t="str">
        <f>IF(ISBLANK(K4530),IFERROR(VLOOKUP(I4530,FS_input_data!$C$458:$N$648,Export!J4530,FALSE),""),K4530)</f>
        <v/>
      </c>
      <c r="D4530" s="6"/>
      <c r="E4530" s="6"/>
      <c r="F4530" s="6"/>
      <c r="G4530" s="115" t="b">
        <f>VLOOKUP(I4508,FS_input_noty,J4508,FALSE)=""</f>
        <v>0</v>
      </c>
      <c r="H4530" s="6" t="s">
        <v>2189</v>
      </c>
      <c r="I4530" t="s">
        <v>1561</v>
      </c>
      <c r="J4530" t="s">
        <v>1561</v>
      </c>
      <c r="L4530">
        <f t="shared" si="249"/>
        <v>1</v>
      </c>
    </row>
    <row r="4531" spans="1:12" x14ac:dyDescent="0.35">
      <c r="A4531">
        <f t="shared" si="250"/>
        <v>4530</v>
      </c>
      <c r="B4531" t="s">
        <v>744</v>
      </c>
      <c r="C4531" s="109" t="str">
        <f>IF(ISBLANK(K4531),IFERROR(VLOOKUP(I4531,FS_input_data!$C$458:$N$648,Export!J4531,FALSE),""),K4531)</f>
        <v/>
      </c>
      <c r="D4531" s="6"/>
      <c r="E4531" s="6"/>
      <c r="F4531" s="6"/>
      <c r="G4531" s="115" t="b">
        <f t="shared" ref="G4531:G4538" si="252">RP_tax</f>
        <v>1</v>
      </c>
      <c r="H4531" s="6" t="s">
        <v>2189</v>
      </c>
      <c r="I4531" t="s">
        <v>1561</v>
      </c>
      <c r="J4531" t="s">
        <v>1561</v>
      </c>
      <c r="L4531" s="26" t="e">
        <f t="shared" si="249"/>
        <v>#VALUE!</v>
      </c>
    </row>
    <row r="4532" spans="1:12" x14ac:dyDescent="0.35">
      <c r="A4532" s="9">
        <f t="shared" si="250"/>
        <v>4531</v>
      </c>
      <c r="B4532" t="s">
        <v>109</v>
      </c>
      <c r="C4532" s="109">
        <f>IF(ISBLANK(K4532),IFERROR(VLOOKUP(I4532,FS_input_data!$C$458:$N$648,Export!J4532,FALSE),""),K4532)</f>
        <v>17000</v>
      </c>
      <c r="D4532" s="6" t="b">
        <v>1</v>
      </c>
      <c r="E4532" s="6"/>
      <c r="F4532" s="6"/>
      <c r="G4532" s="115" t="b">
        <f t="shared" si="252"/>
        <v>1</v>
      </c>
      <c r="H4532" s="6" t="s">
        <v>2189</v>
      </c>
      <c r="I4532" t="s">
        <v>1932</v>
      </c>
      <c r="J4532">
        <v>10</v>
      </c>
      <c r="L4532" s="26" t="e">
        <f t="shared" si="249"/>
        <v>#VALUE!</v>
      </c>
    </row>
    <row r="4533" spans="1:12" x14ac:dyDescent="0.35">
      <c r="A4533">
        <f t="shared" si="250"/>
        <v>4532</v>
      </c>
      <c r="B4533" t="s">
        <v>110</v>
      </c>
      <c r="C4533" s="109" t="str">
        <f>IF(ISBLANK(K4533),IFERROR(VLOOKUP(I4533,FS_input_data!$C$458:$N$648,Export!J4533,FALSE),""),K4533)</f>
        <v/>
      </c>
      <c r="D4533" s="6"/>
      <c r="E4533" s="6"/>
      <c r="F4533" s="6"/>
      <c r="G4533" s="115" t="b">
        <f t="shared" si="252"/>
        <v>1</v>
      </c>
      <c r="H4533" s="6" t="s">
        <v>2189</v>
      </c>
      <c r="I4533" t="s">
        <v>1561</v>
      </c>
      <c r="J4533" t="s">
        <v>1561</v>
      </c>
      <c r="L4533">
        <f t="shared" si="249"/>
        <v>1</v>
      </c>
    </row>
    <row r="4534" spans="1:12" x14ac:dyDescent="0.35">
      <c r="A4534" s="9">
        <f t="shared" si="250"/>
        <v>4533</v>
      </c>
      <c r="B4534" t="s">
        <v>111</v>
      </c>
      <c r="C4534" s="109">
        <f>IF(ISBLANK(K4534),IFERROR(VLOOKUP(I4534,FS_input_data!$C$458:$N$648,Export!J4534,FALSE),""),K4534)</f>
        <v>8500</v>
      </c>
      <c r="D4534" s="6" t="b">
        <v>0</v>
      </c>
      <c r="E4534" s="6"/>
      <c r="F4534" s="6"/>
      <c r="G4534" s="115" t="b">
        <f t="shared" si="252"/>
        <v>1</v>
      </c>
      <c r="H4534" s="6" t="s">
        <v>2189</v>
      </c>
      <c r="I4534" t="s">
        <v>1932</v>
      </c>
      <c r="J4534">
        <v>11</v>
      </c>
      <c r="L4534" s="26" t="e">
        <f t="shared" si="249"/>
        <v>#VALUE!</v>
      </c>
    </row>
    <row r="4535" spans="1:12" x14ac:dyDescent="0.35">
      <c r="A4535">
        <f t="shared" si="250"/>
        <v>4534</v>
      </c>
      <c r="B4535" t="s">
        <v>112</v>
      </c>
      <c r="C4535" s="109" t="str">
        <f>IF(ISBLANK(K4535),IFERROR(VLOOKUP(I4535,FS_input_data!$C$458:$N$648,Export!J4535,FALSE),""),K4535)</f>
        <v/>
      </c>
      <c r="D4535" s="6"/>
      <c r="E4535" s="6"/>
      <c r="F4535" s="6"/>
      <c r="G4535" s="115" t="b">
        <f t="shared" si="252"/>
        <v>1</v>
      </c>
      <c r="H4535" s="6" t="s">
        <v>2189</v>
      </c>
      <c r="I4535" t="s">
        <v>1561</v>
      </c>
      <c r="J4535" t="s">
        <v>1561</v>
      </c>
      <c r="L4535">
        <f t="shared" si="249"/>
        <v>1</v>
      </c>
    </row>
    <row r="4536" spans="1:12" x14ac:dyDescent="0.35">
      <c r="A4536" s="9">
        <f t="shared" si="250"/>
        <v>4535</v>
      </c>
      <c r="B4536" t="s">
        <v>749</v>
      </c>
      <c r="C4536" s="109">
        <f>IF(ISBLANK(K4536),IFERROR(VLOOKUP(I4536,FS_input_data!$C$458:$N$648,Export!J4536,FALSE),""),K4536)</f>
        <v>8500</v>
      </c>
      <c r="D4536" s="6" t="b">
        <v>0</v>
      </c>
      <c r="E4536" s="6"/>
      <c r="F4536" s="6"/>
      <c r="G4536" s="115" t="b">
        <f t="shared" si="252"/>
        <v>1</v>
      </c>
      <c r="H4536" s="6" t="s">
        <v>2189</v>
      </c>
      <c r="I4536" t="s">
        <v>1932</v>
      </c>
      <c r="J4536">
        <v>12</v>
      </c>
      <c r="L4536" s="26" t="e">
        <f t="shared" si="249"/>
        <v>#VALUE!</v>
      </c>
    </row>
    <row r="4537" spans="1:12" x14ac:dyDescent="0.35">
      <c r="A4537">
        <f t="shared" si="250"/>
        <v>4536</v>
      </c>
      <c r="B4537" t="s">
        <v>750</v>
      </c>
      <c r="C4537" s="109" t="str">
        <f>IF(ISBLANK(K4537),IFERROR(VLOOKUP(I4537,FS_input_data!$C$458:$N$648,Export!J4537,FALSE),""),K4537)</f>
        <v/>
      </c>
      <c r="D4537" s="6"/>
      <c r="E4537" s="6"/>
      <c r="F4537" s="6"/>
      <c r="G4537" s="115" t="b">
        <f t="shared" si="252"/>
        <v>1</v>
      </c>
      <c r="H4537" s="6" t="s">
        <v>2189</v>
      </c>
      <c r="I4537" t="s">
        <v>1561</v>
      </c>
      <c r="J4537" t="s">
        <v>1561</v>
      </c>
      <c r="L4537">
        <f t="shared" si="249"/>
        <v>1</v>
      </c>
    </row>
    <row r="4538" spans="1:12" x14ac:dyDescent="0.35">
      <c r="A4538">
        <f t="shared" si="250"/>
        <v>4537</v>
      </c>
      <c r="B4538" t="s">
        <v>745</v>
      </c>
      <c r="C4538" s="109" t="str">
        <f>IF(ISBLANK(K4538),IFERROR(VLOOKUP(I4538,FS_input_data!$C$458:$N$648,Export!J4538,FALSE),""),K4538)</f>
        <v/>
      </c>
      <c r="D4538" s="6"/>
      <c r="E4538" s="6"/>
      <c r="F4538" s="6"/>
      <c r="G4538" s="115" t="b">
        <f t="shared" si="252"/>
        <v>1</v>
      </c>
      <c r="H4538" s="6" t="s">
        <v>2189</v>
      </c>
      <c r="I4538" t="s">
        <v>1561</v>
      </c>
      <c r="J4538" t="s">
        <v>1561</v>
      </c>
      <c r="L4538">
        <f t="shared" si="249"/>
        <v>1</v>
      </c>
    </row>
    <row r="4539" spans="1:12" x14ac:dyDescent="0.35">
      <c r="A4539">
        <f t="shared" si="250"/>
        <v>4538</v>
      </c>
      <c r="B4539" t="s">
        <v>764</v>
      </c>
      <c r="C4539" s="109" t="str">
        <f>IF(ISBLANK(K4539),IFERROR(VLOOKUP(I4539,FS_input_data!$C$458:$N$648,Export!J4539,FALSE),""),K4539)</f>
        <v/>
      </c>
      <c r="D4539" s="6"/>
      <c r="E4539" s="6"/>
      <c r="F4539" s="6"/>
      <c r="G4539" s="115" t="b">
        <f>VLOOKUP(I4508,FS_input_noty,J4508,FALSE)=""</f>
        <v>0</v>
      </c>
      <c r="H4539" s="6" t="s">
        <v>2189</v>
      </c>
      <c r="I4539" t="s">
        <v>1561</v>
      </c>
      <c r="J4539" t="s">
        <v>1561</v>
      </c>
      <c r="L4539">
        <f t="shared" si="249"/>
        <v>1</v>
      </c>
    </row>
    <row r="4540" spans="1:12" x14ac:dyDescent="0.35">
      <c r="A4540">
        <f t="shared" si="250"/>
        <v>4539</v>
      </c>
      <c r="B4540" t="s">
        <v>765</v>
      </c>
      <c r="C4540" s="109" t="str">
        <f>IF(ISBLANK(K4540),IFERROR(VLOOKUP(I4540,FS_input_data!$C$458:$N$648,Export!J4540,FALSE),""),K4540)</f>
        <v/>
      </c>
      <c r="D4540" s="6"/>
      <c r="E4540" s="6"/>
      <c r="F4540" s="6"/>
      <c r="G4540" s="115" t="b">
        <f>VLOOKUP(I4508,FS_input_noty,J4508,FALSE)=""</f>
        <v>0</v>
      </c>
      <c r="H4540" s="6" t="s">
        <v>2189</v>
      </c>
      <c r="I4540" t="s">
        <v>1561</v>
      </c>
      <c r="J4540" t="s">
        <v>1561</v>
      </c>
      <c r="L4540">
        <f t="shared" si="249"/>
        <v>1</v>
      </c>
    </row>
    <row r="4541" spans="1:12" x14ac:dyDescent="0.35">
      <c r="A4541">
        <f t="shared" si="250"/>
        <v>4540</v>
      </c>
      <c r="B4541" t="s">
        <v>752</v>
      </c>
      <c r="C4541" s="109" t="str">
        <f>IF(ISBLANK(K4541),IFERROR(VLOOKUP(I4541,FS_input_data!$C$458:$N$648,Export!J4541,FALSE),""),K4541)</f>
        <v/>
      </c>
      <c r="D4541" s="6"/>
      <c r="E4541" s="6"/>
      <c r="F4541" s="6"/>
      <c r="G4541" s="115" t="b">
        <f>VLOOKUP(I4542,FS_input_noty,J4542,FALSE)=""</f>
        <v>0</v>
      </c>
      <c r="H4541" s="6" t="s">
        <v>2189</v>
      </c>
      <c r="I4541" t="s">
        <v>1561</v>
      </c>
      <c r="J4541" t="s">
        <v>1561</v>
      </c>
      <c r="L4541" s="26" t="e">
        <f t="shared" si="249"/>
        <v>#VALUE!</v>
      </c>
    </row>
    <row r="4542" spans="1:12" x14ac:dyDescent="0.35">
      <c r="A4542" s="9">
        <f t="shared" si="250"/>
        <v>4541</v>
      </c>
      <c r="B4542" t="s">
        <v>101</v>
      </c>
      <c r="C4542" s="109" t="str">
        <f>IF(ISBLANK(K4542),IFERROR(VLOOKUP(I4542,FS_input_data!$C$458:$N$648,Export!J4542,FALSE),""),K4542)</f>
        <v>OC40</v>
      </c>
      <c r="D4542" s="6" t="b">
        <v>1</v>
      </c>
      <c r="E4542" s="6"/>
      <c r="F4542" s="6"/>
      <c r="G4542" s="115" t="b">
        <f>VLOOKUP(I4542,FS_input_noty,J4542,FALSE)=""</f>
        <v>0</v>
      </c>
      <c r="H4542" s="6" t="s">
        <v>2189</v>
      </c>
      <c r="I4542" t="s">
        <v>1934</v>
      </c>
      <c r="J4542">
        <v>6</v>
      </c>
      <c r="L4542" s="26" t="e">
        <f t="shared" si="249"/>
        <v>#VALUE!</v>
      </c>
    </row>
    <row r="4543" spans="1:12" x14ac:dyDescent="0.35">
      <c r="A4543">
        <f t="shared" si="250"/>
        <v>4542</v>
      </c>
      <c r="B4543" t="s">
        <v>102</v>
      </c>
      <c r="C4543" s="109" t="str">
        <f>IF(ISBLANK(K4543),IFERROR(VLOOKUP(I4543,FS_input_data!$C$458:$N$648,Export!J4543,FALSE),""),K4543)</f>
        <v/>
      </c>
      <c r="D4543" s="6"/>
      <c r="E4543" s="6"/>
      <c r="F4543" s="6"/>
      <c r="G4543" s="115" t="b">
        <f>VLOOKUP(I4542,FS_input_noty,J4542,FALSE)=""</f>
        <v>0</v>
      </c>
      <c r="H4543" s="6" t="s">
        <v>2189</v>
      </c>
      <c r="I4543" t="s">
        <v>1561</v>
      </c>
      <c r="J4543" t="s">
        <v>1561</v>
      </c>
      <c r="L4543">
        <f t="shared" si="249"/>
        <v>1</v>
      </c>
    </row>
    <row r="4544" spans="1:12" x14ac:dyDescent="0.35">
      <c r="A4544">
        <f t="shared" si="250"/>
        <v>4543</v>
      </c>
      <c r="B4544" t="s">
        <v>753</v>
      </c>
      <c r="C4544" s="109" t="str">
        <f>IF(ISBLANK(K4544),IFERROR(VLOOKUP(I4544,FS_input_data!$C$458:$N$648,Export!J4544,FALSE),""),K4544)</f>
        <v/>
      </c>
      <c r="D4544" s="6"/>
      <c r="E4544" s="6"/>
      <c r="F4544" s="6"/>
      <c r="G4544" s="115" t="b">
        <f>VLOOKUP(I4542,FS_input_noty,J4542,FALSE)=""</f>
        <v>0</v>
      </c>
      <c r="H4544" s="6" t="s">
        <v>2189</v>
      </c>
      <c r="I4544" t="s">
        <v>1561</v>
      </c>
      <c r="J4544" t="s">
        <v>1561</v>
      </c>
      <c r="L4544" s="26" t="e">
        <f t="shared" si="249"/>
        <v>#VALUE!</v>
      </c>
    </row>
    <row r="4545" spans="1:12" x14ac:dyDescent="0.35">
      <c r="A4545">
        <f t="shared" si="250"/>
        <v>4544</v>
      </c>
      <c r="B4545" t="s">
        <v>742</v>
      </c>
      <c r="C4545" s="109" t="str">
        <f>IF(ISBLANK(K4545),IFERROR(VLOOKUP(I4545,FS_input_data!$C$458:$N$648,Export!J4545,FALSE),""),K4545)</f>
        <v/>
      </c>
      <c r="D4545" s="6"/>
      <c r="E4545" s="6"/>
      <c r="F4545" s="6"/>
      <c r="G4545" s="115" t="b">
        <f>VLOOKUP(I4542,FS_input_noty,J4542,FALSE)=""</f>
        <v>0</v>
      </c>
      <c r="H4545" s="6" t="s">
        <v>2189</v>
      </c>
      <c r="I4545" t="s">
        <v>1561</v>
      </c>
      <c r="J4545" t="s">
        <v>1561</v>
      </c>
      <c r="L4545" s="26" t="e">
        <f t="shared" si="249"/>
        <v>#VALUE!</v>
      </c>
    </row>
    <row r="4546" spans="1:12" x14ac:dyDescent="0.35">
      <c r="A4546">
        <f t="shared" si="250"/>
        <v>4545</v>
      </c>
      <c r="B4546" t="s">
        <v>748</v>
      </c>
      <c r="C4546" s="109" t="str">
        <f>IF(ISBLANK(K4546),IFERROR(VLOOKUP(I4546,FS_input_data!$C$458:$N$648,Export!J4546,FALSE),""),K4546)</f>
        <v/>
      </c>
      <c r="D4546" s="6"/>
      <c r="E4546" s="6"/>
      <c r="F4546" s="6"/>
      <c r="G4546" s="115" t="b">
        <f>VLOOKUP(I4542,FS_input_noty,J4542,FALSE)=""</f>
        <v>0</v>
      </c>
      <c r="H4546" s="6" t="s">
        <v>2189</v>
      </c>
      <c r="I4546" t="s">
        <v>1561</v>
      </c>
      <c r="J4546" t="s">
        <v>1561</v>
      </c>
      <c r="L4546" s="26" t="e">
        <f t="shared" ref="L4546:L4609" si="253">FIND("/",B4546)</f>
        <v>#VALUE!</v>
      </c>
    </row>
    <row r="4547" spans="1:12" x14ac:dyDescent="0.35">
      <c r="A4547" s="9">
        <f t="shared" ref="A4547:A4610" si="254">A4546+1</f>
        <v>4546</v>
      </c>
      <c r="B4547" t="s">
        <v>109</v>
      </c>
      <c r="C4547" s="109">
        <f>IF(ISBLANK(K4547),IFERROR(VLOOKUP(I4547,FS_input_data!$C$458:$N$648,Export!J4547,FALSE),""),K4547)</f>
        <v>18000</v>
      </c>
      <c r="D4547" s="6" t="b">
        <v>1</v>
      </c>
      <c r="E4547" s="6"/>
      <c r="F4547" s="6"/>
      <c r="G4547" s="115" t="b">
        <f>VLOOKUP(I4542,FS_input_noty,J4542,FALSE)=""</f>
        <v>0</v>
      </c>
      <c r="H4547" s="6" t="s">
        <v>2189</v>
      </c>
      <c r="I4547" t="s">
        <v>1934</v>
      </c>
      <c r="J4547">
        <v>7</v>
      </c>
      <c r="L4547" s="26" t="e">
        <f t="shared" si="253"/>
        <v>#VALUE!</v>
      </c>
    </row>
    <row r="4548" spans="1:12" x14ac:dyDescent="0.35">
      <c r="A4548">
        <f t="shared" si="254"/>
        <v>4547</v>
      </c>
      <c r="B4548" t="s">
        <v>110</v>
      </c>
      <c r="C4548" s="109" t="str">
        <f>IF(ISBLANK(K4548),IFERROR(VLOOKUP(I4548,FS_input_data!$C$458:$N$648,Export!J4548,FALSE),""),K4548)</f>
        <v/>
      </c>
      <c r="D4548" s="6"/>
      <c r="E4548" s="6"/>
      <c r="F4548" s="6"/>
      <c r="G4548" s="115" t="b">
        <f>VLOOKUP(I4542,FS_input_noty,J4542,FALSE)=""</f>
        <v>0</v>
      </c>
      <c r="H4548" s="6" t="s">
        <v>2189</v>
      </c>
      <c r="I4548" t="s">
        <v>1561</v>
      </c>
      <c r="J4548" t="s">
        <v>1561</v>
      </c>
      <c r="L4548">
        <f t="shared" si="253"/>
        <v>1</v>
      </c>
    </row>
    <row r="4549" spans="1:12" x14ac:dyDescent="0.35">
      <c r="A4549" s="9">
        <f t="shared" si="254"/>
        <v>4548</v>
      </c>
      <c r="B4549" t="s">
        <v>111</v>
      </c>
      <c r="C4549" s="109">
        <f>IF(ISBLANK(K4549),IFERROR(VLOOKUP(I4549,FS_input_data!$C$458:$N$648,Export!J4549,FALSE),""),K4549)</f>
        <v>9000</v>
      </c>
      <c r="D4549" s="6" t="b">
        <v>0</v>
      </c>
      <c r="E4549" s="6"/>
      <c r="F4549" s="6"/>
      <c r="G4549" s="115" t="b">
        <f>VLOOKUP(I4542,FS_input_noty,J4542,TRUE)=""</f>
        <v>0</v>
      </c>
      <c r="H4549" s="6" t="s">
        <v>2189</v>
      </c>
      <c r="I4549" t="s">
        <v>1934</v>
      </c>
      <c r="J4549">
        <v>8</v>
      </c>
      <c r="L4549" s="26" t="e">
        <f t="shared" si="253"/>
        <v>#VALUE!</v>
      </c>
    </row>
    <row r="4550" spans="1:12" x14ac:dyDescent="0.35">
      <c r="A4550">
        <f t="shared" si="254"/>
        <v>4549</v>
      </c>
      <c r="B4550" t="s">
        <v>112</v>
      </c>
      <c r="C4550" s="109" t="str">
        <f>IF(ISBLANK(K4550),IFERROR(VLOOKUP(I4550,FS_input_data!$C$458:$N$648,Export!J4550,FALSE),""),K4550)</f>
        <v/>
      </c>
      <c r="D4550" s="6"/>
      <c r="E4550" s="6"/>
      <c r="F4550" s="6"/>
      <c r="G4550" s="115" t="b">
        <f>VLOOKUP(I4542,FS_input_noty,J4542,FALSE)=""</f>
        <v>0</v>
      </c>
      <c r="H4550" s="6" t="s">
        <v>2189</v>
      </c>
      <c r="I4550" t="s">
        <v>1561</v>
      </c>
      <c r="J4550" t="s">
        <v>1561</v>
      </c>
      <c r="L4550">
        <f t="shared" si="253"/>
        <v>1</v>
      </c>
    </row>
    <row r="4551" spans="1:12" x14ac:dyDescent="0.35">
      <c r="A4551" s="9">
        <f t="shared" si="254"/>
        <v>4550</v>
      </c>
      <c r="B4551" t="s">
        <v>749</v>
      </c>
      <c r="C4551" s="109">
        <f>IF(ISBLANK(K4551),IFERROR(VLOOKUP(I4551,FS_input_data!$C$458:$N$648,Export!J4551,FALSE),""),K4551)</f>
        <v>9000</v>
      </c>
      <c r="D4551" s="6" t="b">
        <v>0</v>
      </c>
      <c r="E4551" s="6"/>
      <c r="F4551" s="6"/>
      <c r="G4551" s="115" t="b">
        <f>VLOOKUP(I4542,FS_input_noty,J4542,FALSE)=""</f>
        <v>0</v>
      </c>
      <c r="H4551" s="6" t="s">
        <v>2189</v>
      </c>
      <c r="I4551" t="s">
        <v>1934</v>
      </c>
      <c r="J4551">
        <v>9</v>
      </c>
      <c r="L4551" s="26" t="e">
        <f t="shared" si="253"/>
        <v>#VALUE!</v>
      </c>
    </row>
    <row r="4552" spans="1:12" x14ac:dyDescent="0.35">
      <c r="A4552">
        <f t="shared" si="254"/>
        <v>4551</v>
      </c>
      <c r="B4552" t="s">
        <v>750</v>
      </c>
      <c r="C4552" s="109" t="str">
        <f>IF(ISBLANK(K4552),IFERROR(VLOOKUP(I4552,FS_input_data!$C$458:$N$648,Export!J4552,FALSE),""),K4552)</f>
        <v/>
      </c>
      <c r="D4552" s="6"/>
      <c r="E4552" s="6"/>
      <c r="F4552" s="6"/>
      <c r="G4552" s="115" t="b">
        <f>VLOOKUP(I4542,FS_input_noty,J4542,FALSE)=""</f>
        <v>0</v>
      </c>
      <c r="H4552" s="6" t="s">
        <v>2189</v>
      </c>
      <c r="I4552" t="s">
        <v>1561</v>
      </c>
      <c r="J4552" t="s">
        <v>1561</v>
      </c>
      <c r="L4552">
        <f t="shared" si="253"/>
        <v>1</v>
      </c>
    </row>
    <row r="4553" spans="1:12" x14ac:dyDescent="0.35">
      <c r="A4553">
        <f t="shared" si="254"/>
        <v>4552</v>
      </c>
      <c r="B4553" t="s">
        <v>751</v>
      </c>
      <c r="C4553" s="109" t="str">
        <f>IF(ISBLANK(K4553),IFERROR(VLOOKUP(I4553,FS_input_data!$C$458:$N$648,Export!J4553,FALSE),""),K4553)</f>
        <v/>
      </c>
      <c r="D4553" s="6"/>
      <c r="E4553" s="6"/>
      <c r="F4553" s="6"/>
      <c r="G4553" s="115" t="b">
        <f>VLOOKUP(I4542,FS_input_noty,J4542,FALSE)=""</f>
        <v>0</v>
      </c>
      <c r="H4553" s="6" t="s">
        <v>2189</v>
      </c>
      <c r="I4553" t="s">
        <v>1561</v>
      </c>
      <c r="J4553" t="s">
        <v>1561</v>
      </c>
      <c r="L4553">
        <f t="shared" si="253"/>
        <v>1</v>
      </c>
    </row>
    <row r="4554" spans="1:12" x14ac:dyDescent="0.35">
      <c r="A4554">
        <f t="shared" si="254"/>
        <v>4553</v>
      </c>
      <c r="B4554" t="s">
        <v>754</v>
      </c>
      <c r="C4554" s="109" t="str">
        <f>IF(ISBLANK(K4554),IFERROR(VLOOKUP(I4554,FS_input_data!$C$458:$N$648,Export!J4554,FALSE),""),K4554)</f>
        <v/>
      </c>
      <c r="D4554" s="6"/>
      <c r="E4554" s="6"/>
      <c r="F4554" s="6"/>
      <c r="G4554" s="115" t="b">
        <f>VLOOKUP(I4542,FS_input_noty,J4542,FALSE)=""</f>
        <v>0</v>
      </c>
      <c r="H4554" s="6" t="s">
        <v>2189</v>
      </c>
      <c r="I4554" t="s">
        <v>1561</v>
      </c>
      <c r="J4554" t="s">
        <v>1561</v>
      </c>
      <c r="L4554" s="26" t="e">
        <f t="shared" si="253"/>
        <v>#VALUE!</v>
      </c>
    </row>
    <row r="4555" spans="1:12" x14ac:dyDescent="0.35">
      <c r="A4555" s="9">
        <f t="shared" si="254"/>
        <v>4554</v>
      </c>
      <c r="B4555" t="s">
        <v>755</v>
      </c>
      <c r="C4555" s="109">
        <f>IF(ISBLANK(K4555),IFERROR(VLOOKUP(I4555,FS_input_data!$C$458:$N$648,Export!J4555,FALSE),""),K4555)</f>
        <v>62</v>
      </c>
      <c r="D4555" s="6" t="b">
        <v>1</v>
      </c>
      <c r="E4555" s="6"/>
      <c r="F4555" s="6"/>
      <c r="G4555" s="115" t="b">
        <f>VLOOKUP(I4542,FS_input_noty,J4542,FALSE)=""</f>
        <v>0</v>
      </c>
      <c r="H4555" s="6" t="s">
        <v>2189</v>
      </c>
      <c r="I4555" t="s">
        <v>1934</v>
      </c>
      <c r="J4555">
        <v>2</v>
      </c>
      <c r="L4555" s="26" t="e">
        <f t="shared" si="253"/>
        <v>#VALUE!</v>
      </c>
    </row>
    <row r="4556" spans="1:12" x14ac:dyDescent="0.35">
      <c r="A4556">
        <f t="shared" si="254"/>
        <v>4555</v>
      </c>
      <c r="B4556" t="s">
        <v>756</v>
      </c>
      <c r="C4556" s="109" t="str">
        <f>IF(ISBLANK(K4556),IFERROR(VLOOKUP(I4556,FS_input_data!$C$458:$N$648,Export!J4556,FALSE),""),K4556)</f>
        <v/>
      </c>
      <c r="D4556" s="6"/>
      <c r="E4556" s="6"/>
      <c r="F4556" s="6"/>
      <c r="G4556" s="115" t="b">
        <f>VLOOKUP(I4542,FS_input_noty,J4542,FALSE)=""</f>
        <v>0</v>
      </c>
      <c r="H4556" s="6" t="s">
        <v>2189</v>
      </c>
      <c r="I4556" t="s">
        <v>1561</v>
      </c>
      <c r="J4556" t="s">
        <v>1561</v>
      </c>
      <c r="L4556">
        <f t="shared" si="253"/>
        <v>1</v>
      </c>
    </row>
    <row r="4557" spans="1:12" x14ac:dyDescent="0.35">
      <c r="A4557" s="9">
        <f t="shared" si="254"/>
        <v>4556</v>
      </c>
      <c r="B4557" t="s">
        <v>757</v>
      </c>
      <c r="C4557" s="109">
        <f>IF(ISBLANK(K4557),IFERROR(VLOOKUP(I4557,FS_input_data!$C$458:$N$648,Export!J4557,FALSE),""),K4557)</f>
        <v>162</v>
      </c>
      <c r="D4557" s="6" t="b">
        <v>0</v>
      </c>
      <c r="E4557" s="6"/>
      <c r="F4557" s="6"/>
      <c r="G4557" s="115" t="b">
        <f>VLOOKUP(I4542,FS_input_noty,J4542,FALSE)=""</f>
        <v>0</v>
      </c>
      <c r="H4557" s="6" t="s">
        <v>2189</v>
      </c>
      <c r="I4557" t="s">
        <v>1934</v>
      </c>
      <c r="J4557">
        <v>3</v>
      </c>
      <c r="L4557" s="26" t="e">
        <f t="shared" si="253"/>
        <v>#VALUE!</v>
      </c>
    </row>
    <row r="4558" spans="1:12" x14ac:dyDescent="0.35">
      <c r="A4558">
        <f t="shared" si="254"/>
        <v>4557</v>
      </c>
      <c r="B4558" t="s">
        <v>758</v>
      </c>
      <c r="C4558" s="109" t="str">
        <f>IF(ISBLANK(K4558),IFERROR(VLOOKUP(I4558,FS_input_data!$C$458:$N$648,Export!J4558,FALSE),""),K4558)</f>
        <v/>
      </c>
      <c r="D4558" s="6"/>
      <c r="E4558" s="6"/>
      <c r="F4558" s="6"/>
      <c r="G4558" s="115" t="b">
        <f>VLOOKUP(I4542,FS_input_noty,J4542,FALSE)=""</f>
        <v>0</v>
      </c>
      <c r="H4558" s="6" t="s">
        <v>2189</v>
      </c>
      <c r="I4558" t="s">
        <v>1561</v>
      </c>
      <c r="J4558" t="s">
        <v>1561</v>
      </c>
      <c r="L4558">
        <f t="shared" si="253"/>
        <v>1</v>
      </c>
    </row>
    <row r="4559" spans="1:12" x14ac:dyDescent="0.35">
      <c r="A4559" s="9">
        <f t="shared" si="254"/>
        <v>4558</v>
      </c>
      <c r="B4559" t="s">
        <v>759</v>
      </c>
      <c r="C4559" s="109">
        <f>IF(ISBLANK(K4559),IFERROR(VLOOKUP(I4559,FS_input_data!$C$458:$N$648,Export!J4559,FALSE),""),K4559)</f>
        <v>262</v>
      </c>
      <c r="D4559" s="6" t="b">
        <v>0</v>
      </c>
      <c r="E4559" s="6"/>
      <c r="F4559" s="6"/>
      <c r="G4559" s="115" t="b">
        <f>VLOOKUP(I4542,FS_input_noty,J4542,FALSE)=""</f>
        <v>0</v>
      </c>
      <c r="H4559" s="6" t="s">
        <v>2189</v>
      </c>
      <c r="I4559" t="s">
        <v>1934</v>
      </c>
      <c r="J4559">
        <v>4</v>
      </c>
      <c r="L4559" s="26" t="e">
        <f t="shared" si="253"/>
        <v>#VALUE!</v>
      </c>
    </row>
    <row r="4560" spans="1:12" x14ac:dyDescent="0.35">
      <c r="A4560">
        <f t="shared" si="254"/>
        <v>4559</v>
      </c>
      <c r="B4560" t="s">
        <v>760</v>
      </c>
      <c r="C4560" s="109" t="str">
        <f>IF(ISBLANK(K4560),IFERROR(VLOOKUP(I4560,FS_input_data!$C$458:$N$648,Export!J4560,FALSE),""),K4560)</f>
        <v/>
      </c>
      <c r="D4560" s="6"/>
      <c r="E4560" s="6"/>
      <c r="F4560" s="6"/>
      <c r="G4560" s="115" t="b">
        <f>VLOOKUP(I4542,FS_input_noty,J4542,FALSE)=""</f>
        <v>0</v>
      </c>
      <c r="H4560" s="6" t="s">
        <v>2189</v>
      </c>
      <c r="I4560" t="s">
        <v>1561</v>
      </c>
      <c r="J4560" t="s">
        <v>1561</v>
      </c>
      <c r="L4560">
        <f t="shared" si="253"/>
        <v>1</v>
      </c>
    </row>
    <row r="4561" spans="1:12" x14ac:dyDescent="0.35">
      <c r="A4561" s="9">
        <f t="shared" si="254"/>
        <v>4560</v>
      </c>
      <c r="B4561" t="s">
        <v>761</v>
      </c>
      <c r="C4561" s="109" t="str">
        <f>IF(ISBLANK(K4561),IFERROR(VLOOKUP(I4561,FS_input_data!$C$458:$N$648,Export!J4561,FALSE),""),K4561)</f>
        <v>f</v>
      </c>
      <c r="D4561" s="6" t="b">
        <v>0</v>
      </c>
      <c r="E4561" s="6"/>
      <c r="F4561" s="6"/>
      <c r="G4561" s="115" t="b">
        <f>VLOOKUP(I4542,FS_input_noty,J4542,FALSE)=""</f>
        <v>0</v>
      </c>
      <c r="H4561" s="6" t="s">
        <v>2189</v>
      </c>
      <c r="I4561" t="s">
        <v>1934</v>
      </c>
      <c r="J4561">
        <v>5</v>
      </c>
      <c r="L4561" s="26" t="e">
        <f t="shared" si="253"/>
        <v>#VALUE!</v>
      </c>
    </row>
    <row r="4562" spans="1:12" x14ac:dyDescent="0.35">
      <c r="A4562">
        <f t="shared" si="254"/>
        <v>4561</v>
      </c>
      <c r="B4562" t="s">
        <v>762</v>
      </c>
      <c r="C4562" s="109" t="str">
        <f>IF(ISBLANK(K4562),IFERROR(VLOOKUP(I4562,FS_input_data!$C$458:$N$648,Export!J4562,FALSE),""),K4562)</f>
        <v/>
      </c>
      <c r="D4562" s="6"/>
      <c r="E4562" s="6"/>
      <c r="F4562" s="6"/>
      <c r="G4562" s="115" t="b">
        <f>VLOOKUP(I4542,FS_input_noty,J4542,FALSE)=""</f>
        <v>0</v>
      </c>
      <c r="H4562" s="6" t="s">
        <v>2189</v>
      </c>
      <c r="I4562" t="s">
        <v>1561</v>
      </c>
      <c r="J4562" t="s">
        <v>1561</v>
      </c>
      <c r="L4562">
        <f t="shared" si="253"/>
        <v>1</v>
      </c>
    </row>
    <row r="4563" spans="1:12" x14ac:dyDescent="0.35">
      <c r="A4563">
        <f t="shared" si="254"/>
        <v>4562</v>
      </c>
      <c r="B4563" t="s">
        <v>763</v>
      </c>
      <c r="C4563" s="109" t="str">
        <f>IF(ISBLANK(K4563),IFERROR(VLOOKUP(I4563,FS_input_data!$C$458:$N$648,Export!J4563,FALSE),""),K4563)</f>
        <v/>
      </c>
      <c r="D4563" s="6"/>
      <c r="E4563" s="6"/>
      <c r="F4563" s="6"/>
      <c r="G4563" s="115" t="b">
        <f>VLOOKUP(I4542,FS_input_noty,J4542,FALSE)=""</f>
        <v>0</v>
      </c>
      <c r="H4563" s="6" t="s">
        <v>2189</v>
      </c>
      <c r="I4563" t="s">
        <v>1561</v>
      </c>
      <c r="J4563" t="s">
        <v>1561</v>
      </c>
      <c r="L4563">
        <f t="shared" si="253"/>
        <v>1</v>
      </c>
    </row>
    <row r="4564" spans="1:12" x14ac:dyDescent="0.35">
      <c r="A4564">
        <f t="shared" si="254"/>
        <v>4563</v>
      </c>
      <c r="B4564" t="s">
        <v>743</v>
      </c>
      <c r="C4564" s="109" t="str">
        <f>IF(ISBLANK(K4564),IFERROR(VLOOKUP(I4564,FS_input_data!$C$458:$N$648,Export!J4564,FALSE),""),K4564)</f>
        <v/>
      </c>
      <c r="D4564" s="6"/>
      <c r="E4564" s="6"/>
      <c r="F4564" s="6"/>
      <c r="G4564" s="115" t="b">
        <f>VLOOKUP(I4542,FS_input_noty,J4542,FALSE)=""</f>
        <v>0</v>
      </c>
      <c r="H4564" s="6" t="s">
        <v>2189</v>
      </c>
      <c r="I4564" t="s">
        <v>1561</v>
      </c>
      <c r="J4564" t="s">
        <v>1561</v>
      </c>
      <c r="L4564">
        <f t="shared" si="253"/>
        <v>1</v>
      </c>
    </row>
    <row r="4565" spans="1:12" x14ac:dyDescent="0.35">
      <c r="A4565">
        <f t="shared" si="254"/>
        <v>4564</v>
      </c>
      <c r="B4565" t="s">
        <v>744</v>
      </c>
      <c r="C4565" s="109" t="str">
        <f>IF(ISBLANK(K4565),IFERROR(VLOOKUP(I4565,FS_input_data!$C$458:$N$648,Export!J4565,FALSE),""),K4565)</f>
        <v/>
      </c>
      <c r="D4565" s="6"/>
      <c r="E4565" s="6"/>
      <c r="F4565" s="6"/>
      <c r="G4565" s="115" t="b">
        <f t="shared" ref="G4565:G4572" si="255">RP_tax</f>
        <v>1</v>
      </c>
      <c r="H4565" s="6" t="s">
        <v>2189</v>
      </c>
      <c r="I4565" t="s">
        <v>1561</v>
      </c>
      <c r="J4565" t="s">
        <v>1561</v>
      </c>
      <c r="L4565" s="26" t="e">
        <f t="shared" si="253"/>
        <v>#VALUE!</v>
      </c>
    </row>
    <row r="4566" spans="1:12" x14ac:dyDescent="0.35">
      <c r="A4566" s="9">
        <f t="shared" si="254"/>
        <v>4565</v>
      </c>
      <c r="B4566" t="s">
        <v>109</v>
      </c>
      <c r="C4566" s="109">
        <f>IF(ISBLANK(K4566),IFERROR(VLOOKUP(I4566,FS_input_data!$C$458:$N$648,Export!J4566,FALSE),""),K4566)</f>
        <v>18000</v>
      </c>
      <c r="D4566" s="6" t="b">
        <v>1</v>
      </c>
      <c r="E4566" s="6"/>
      <c r="F4566" s="6"/>
      <c r="G4566" s="115" t="b">
        <f t="shared" si="255"/>
        <v>1</v>
      </c>
      <c r="H4566" s="6" t="s">
        <v>2189</v>
      </c>
      <c r="I4566" t="s">
        <v>1934</v>
      </c>
      <c r="J4566">
        <v>10</v>
      </c>
      <c r="L4566" s="26" t="e">
        <f t="shared" si="253"/>
        <v>#VALUE!</v>
      </c>
    </row>
    <row r="4567" spans="1:12" x14ac:dyDescent="0.35">
      <c r="A4567">
        <f t="shared" si="254"/>
        <v>4566</v>
      </c>
      <c r="B4567" t="s">
        <v>110</v>
      </c>
      <c r="C4567" s="109" t="str">
        <f>IF(ISBLANK(K4567),IFERROR(VLOOKUP(I4567,FS_input_data!$C$458:$N$648,Export!J4567,FALSE),""),K4567)</f>
        <v/>
      </c>
      <c r="D4567" s="6"/>
      <c r="E4567" s="6"/>
      <c r="F4567" s="6"/>
      <c r="G4567" s="115" t="b">
        <f t="shared" si="255"/>
        <v>1</v>
      </c>
      <c r="H4567" s="6" t="s">
        <v>2189</v>
      </c>
      <c r="I4567" t="s">
        <v>1561</v>
      </c>
      <c r="J4567" t="s">
        <v>1561</v>
      </c>
      <c r="L4567">
        <f t="shared" si="253"/>
        <v>1</v>
      </c>
    </row>
    <row r="4568" spans="1:12" x14ac:dyDescent="0.35">
      <c r="A4568" s="9">
        <f t="shared" si="254"/>
        <v>4567</v>
      </c>
      <c r="B4568" t="s">
        <v>111</v>
      </c>
      <c r="C4568" s="109">
        <f>IF(ISBLANK(K4568),IFERROR(VLOOKUP(I4568,FS_input_data!$C$458:$N$648,Export!J4568,FALSE),""),K4568)</f>
        <v>9000</v>
      </c>
      <c r="D4568" s="6" t="b">
        <v>0</v>
      </c>
      <c r="E4568" s="6"/>
      <c r="F4568" s="6"/>
      <c r="G4568" s="115" t="b">
        <f t="shared" si="255"/>
        <v>1</v>
      </c>
      <c r="H4568" s="6" t="s">
        <v>2189</v>
      </c>
      <c r="I4568" t="s">
        <v>1934</v>
      </c>
      <c r="J4568">
        <v>11</v>
      </c>
      <c r="L4568" s="26" t="e">
        <f t="shared" si="253"/>
        <v>#VALUE!</v>
      </c>
    </row>
    <row r="4569" spans="1:12" x14ac:dyDescent="0.35">
      <c r="A4569">
        <f t="shared" si="254"/>
        <v>4568</v>
      </c>
      <c r="B4569" t="s">
        <v>112</v>
      </c>
      <c r="C4569" s="109" t="str">
        <f>IF(ISBLANK(K4569),IFERROR(VLOOKUP(I4569,FS_input_data!$C$458:$N$648,Export!J4569,FALSE),""),K4569)</f>
        <v/>
      </c>
      <c r="D4569" s="6"/>
      <c r="E4569" s="6"/>
      <c r="F4569" s="6"/>
      <c r="G4569" s="115" t="b">
        <f t="shared" si="255"/>
        <v>1</v>
      </c>
      <c r="H4569" s="6" t="s">
        <v>2189</v>
      </c>
      <c r="I4569" t="s">
        <v>1561</v>
      </c>
      <c r="J4569" t="s">
        <v>1561</v>
      </c>
      <c r="L4569">
        <f t="shared" si="253"/>
        <v>1</v>
      </c>
    </row>
    <row r="4570" spans="1:12" x14ac:dyDescent="0.35">
      <c r="A4570" s="9">
        <f t="shared" si="254"/>
        <v>4569</v>
      </c>
      <c r="B4570" t="s">
        <v>749</v>
      </c>
      <c r="C4570" s="109">
        <f>IF(ISBLANK(K4570),IFERROR(VLOOKUP(I4570,FS_input_data!$C$458:$N$648,Export!J4570,FALSE),""),K4570)</f>
        <v>9000</v>
      </c>
      <c r="D4570" s="6" t="b">
        <v>0</v>
      </c>
      <c r="E4570" s="6"/>
      <c r="F4570" s="6"/>
      <c r="G4570" s="115" t="b">
        <f t="shared" si="255"/>
        <v>1</v>
      </c>
      <c r="H4570" s="6" t="s">
        <v>2189</v>
      </c>
      <c r="I4570" t="s">
        <v>1934</v>
      </c>
      <c r="J4570">
        <v>12</v>
      </c>
      <c r="L4570" s="26" t="e">
        <f t="shared" si="253"/>
        <v>#VALUE!</v>
      </c>
    </row>
    <row r="4571" spans="1:12" x14ac:dyDescent="0.35">
      <c r="A4571">
        <f t="shared" si="254"/>
        <v>4570</v>
      </c>
      <c r="B4571" t="s">
        <v>750</v>
      </c>
      <c r="C4571" s="109" t="str">
        <f>IF(ISBLANK(K4571),IFERROR(VLOOKUP(I4571,FS_input_data!$C$458:$N$648,Export!J4571,FALSE),""),K4571)</f>
        <v/>
      </c>
      <c r="D4571" s="6"/>
      <c r="E4571" s="6"/>
      <c r="F4571" s="6"/>
      <c r="G4571" s="115" t="b">
        <f t="shared" si="255"/>
        <v>1</v>
      </c>
      <c r="H4571" s="6" t="s">
        <v>2189</v>
      </c>
      <c r="I4571" t="s">
        <v>1561</v>
      </c>
      <c r="J4571" t="s">
        <v>1561</v>
      </c>
      <c r="L4571">
        <f t="shared" si="253"/>
        <v>1</v>
      </c>
    </row>
    <row r="4572" spans="1:12" x14ac:dyDescent="0.35">
      <c r="A4572">
        <f t="shared" si="254"/>
        <v>4571</v>
      </c>
      <c r="B4572" t="s">
        <v>745</v>
      </c>
      <c r="C4572" s="109" t="str">
        <f>IF(ISBLANK(K4572),IFERROR(VLOOKUP(I4572,FS_input_data!$C$458:$N$648,Export!J4572,FALSE),""),K4572)</f>
        <v/>
      </c>
      <c r="D4572" s="6"/>
      <c r="E4572" s="6"/>
      <c r="F4572" s="6"/>
      <c r="G4572" s="115" t="b">
        <f t="shared" si="255"/>
        <v>1</v>
      </c>
      <c r="H4572" s="6" t="s">
        <v>2189</v>
      </c>
      <c r="I4572" t="s">
        <v>1561</v>
      </c>
      <c r="J4572" t="s">
        <v>1561</v>
      </c>
      <c r="L4572">
        <f t="shared" si="253"/>
        <v>1</v>
      </c>
    </row>
    <row r="4573" spans="1:12" x14ac:dyDescent="0.35">
      <c r="A4573">
        <f t="shared" si="254"/>
        <v>4572</v>
      </c>
      <c r="B4573" t="s">
        <v>764</v>
      </c>
      <c r="C4573" s="109" t="str">
        <f>IF(ISBLANK(K4573),IFERROR(VLOOKUP(I4573,FS_input_data!$C$458:$N$648,Export!J4573,FALSE),""),K4573)</f>
        <v/>
      </c>
      <c r="D4573" s="6"/>
      <c r="E4573" s="6"/>
      <c r="F4573" s="6"/>
      <c r="G4573" s="115" t="b">
        <f>VLOOKUP(I4542,FS_input_noty,J4542,FALSE)=""</f>
        <v>0</v>
      </c>
      <c r="H4573" s="6" t="s">
        <v>2189</v>
      </c>
      <c r="I4573" t="s">
        <v>1561</v>
      </c>
      <c r="J4573" t="s">
        <v>1561</v>
      </c>
      <c r="L4573">
        <f t="shared" si="253"/>
        <v>1</v>
      </c>
    </row>
    <row r="4574" spans="1:12" x14ac:dyDescent="0.35">
      <c r="A4574">
        <f t="shared" si="254"/>
        <v>4573</v>
      </c>
      <c r="B4574" t="s">
        <v>765</v>
      </c>
      <c r="C4574" s="109" t="str">
        <f>IF(ISBLANK(K4574),IFERROR(VLOOKUP(I4574,FS_input_data!$C$458:$N$648,Export!J4574,FALSE),""),K4574)</f>
        <v/>
      </c>
      <c r="D4574" s="6"/>
      <c r="E4574" s="6"/>
      <c r="F4574" s="6"/>
      <c r="G4574" s="115" t="b">
        <f>VLOOKUP(I4542,FS_input_noty,J4542,FALSE)=""</f>
        <v>0</v>
      </c>
      <c r="H4574" s="6" t="s">
        <v>2189</v>
      </c>
      <c r="I4574" t="s">
        <v>1561</v>
      </c>
      <c r="J4574" t="s">
        <v>1561</v>
      </c>
      <c r="L4574">
        <f t="shared" si="253"/>
        <v>1</v>
      </c>
    </row>
    <row r="4575" spans="1:12" x14ac:dyDescent="0.35">
      <c r="A4575">
        <f t="shared" si="254"/>
        <v>4574</v>
      </c>
      <c r="B4575" t="s">
        <v>752</v>
      </c>
      <c r="C4575" s="109" t="str">
        <f>IF(ISBLANK(K4575),IFERROR(VLOOKUP(I4575,FS_input_data!$C$458:$N$648,Export!J4575,FALSE),""),K4575)</f>
        <v/>
      </c>
      <c r="D4575" s="6"/>
      <c r="E4575" s="6"/>
      <c r="F4575" s="6"/>
      <c r="G4575" s="115" t="b">
        <f>VLOOKUP(I4576,FS_input_noty,J4576,FALSE)=""</f>
        <v>0</v>
      </c>
      <c r="H4575" s="6" t="s">
        <v>2189</v>
      </c>
      <c r="I4575" t="s">
        <v>1561</v>
      </c>
      <c r="J4575" t="s">
        <v>1561</v>
      </c>
      <c r="L4575" s="26" t="e">
        <f t="shared" si="253"/>
        <v>#VALUE!</v>
      </c>
    </row>
    <row r="4576" spans="1:12" x14ac:dyDescent="0.35">
      <c r="A4576" s="9">
        <f t="shared" si="254"/>
        <v>4575</v>
      </c>
      <c r="B4576" t="s">
        <v>101</v>
      </c>
      <c r="C4576" s="109" t="str">
        <f>IF(ISBLANK(K4576),IFERROR(VLOOKUP(I4576,FS_input_data!$C$458:$N$648,Export!J4576,FALSE),""),K4576)</f>
        <v>OC41</v>
      </c>
      <c r="D4576" s="6" t="b">
        <v>1</v>
      </c>
      <c r="E4576" s="6"/>
      <c r="F4576" s="6"/>
      <c r="G4576" s="115" t="b">
        <f>VLOOKUP(I4576,FS_input_noty,J4576,FALSE)=""</f>
        <v>0</v>
      </c>
      <c r="H4576" s="6" t="s">
        <v>2189</v>
      </c>
      <c r="I4576" t="s">
        <v>1936</v>
      </c>
      <c r="J4576">
        <v>6</v>
      </c>
      <c r="L4576" s="26" t="e">
        <f t="shared" si="253"/>
        <v>#VALUE!</v>
      </c>
    </row>
    <row r="4577" spans="1:12" x14ac:dyDescent="0.35">
      <c r="A4577">
        <f t="shared" si="254"/>
        <v>4576</v>
      </c>
      <c r="B4577" t="s">
        <v>102</v>
      </c>
      <c r="C4577" s="109" t="str">
        <f>IF(ISBLANK(K4577),IFERROR(VLOOKUP(I4577,FS_input_data!$C$458:$N$648,Export!J4577,FALSE),""),K4577)</f>
        <v/>
      </c>
      <c r="D4577" s="6"/>
      <c r="E4577" s="6"/>
      <c r="F4577" s="6"/>
      <c r="G4577" s="115" t="b">
        <f>VLOOKUP(I4576,FS_input_noty,J4576,FALSE)=""</f>
        <v>0</v>
      </c>
      <c r="H4577" s="6" t="s">
        <v>2189</v>
      </c>
      <c r="I4577" t="s">
        <v>1561</v>
      </c>
      <c r="J4577" t="s">
        <v>1561</v>
      </c>
      <c r="L4577">
        <f t="shared" si="253"/>
        <v>1</v>
      </c>
    </row>
    <row r="4578" spans="1:12" x14ac:dyDescent="0.35">
      <c r="A4578">
        <f t="shared" si="254"/>
        <v>4577</v>
      </c>
      <c r="B4578" t="s">
        <v>753</v>
      </c>
      <c r="C4578" s="109" t="str">
        <f>IF(ISBLANK(K4578),IFERROR(VLOOKUP(I4578,FS_input_data!$C$458:$N$648,Export!J4578,FALSE),""),K4578)</f>
        <v/>
      </c>
      <c r="D4578" s="6"/>
      <c r="E4578" s="6"/>
      <c r="F4578" s="6"/>
      <c r="G4578" s="115" t="b">
        <f>VLOOKUP(I4576,FS_input_noty,J4576,FALSE)=""</f>
        <v>0</v>
      </c>
      <c r="H4578" s="6" t="s">
        <v>2189</v>
      </c>
      <c r="I4578" t="s">
        <v>1561</v>
      </c>
      <c r="J4578" t="s">
        <v>1561</v>
      </c>
      <c r="L4578" s="26" t="e">
        <f t="shared" si="253"/>
        <v>#VALUE!</v>
      </c>
    </row>
    <row r="4579" spans="1:12" x14ac:dyDescent="0.35">
      <c r="A4579">
        <f t="shared" si="254"/>
        <v>4578</v>
      </c>
      <c r="B4579" t="s">
        <v>742</v>
      </c>
      <c r="C4579" s="109" t="str">
        <f>IF(ISBLANK(K4579),IFERROR(VLOOKUP(I4579,FS_input_data!$C$458:$N$648,Export!J4579,FALSE),""),K4579)</f>
        <v/>
      </c>
      <c r="D4579" s="6"/>
      <c r="E4579" s="6"/>
      <c r="F4579" s="6"/>
      <c r="G4579" s="115" t="b">
        <f>VLOOKUP(I4576,FS_input_noty,J4576,FALSE)=""</f>
        <v>0</v>
      </c>
      <c r="H4579" s="6" t="s">
        <v>2189</v>
      </c>
      <c r="I4579" t="s">
        <v>1561</v>
      </c>
      <c r="J4579" t="s">
        <v>1561</v>
      </c>
      <c r="L4579" s="26" t="e">
        <f t="shared" si="253"/>
        <v>#VALUE!</v>
      </c>
    </row>
    <row r="4580" spans="1:12" x14ac:dyDescent="0.35">
      <c r="A4580">
        <f t="shared" si="254"/>
        <v>4579</v>
      </c>
      <c r="B4580" t="s">
        <v>748</v>
      </c>
      <c r="C4580" s="109" t="str">
        <f>IF(ISBLANK(K4580),IFERROR(VLOOKUP(I4580,FS_input_data!$C$458:$N$648,Export!J4580,FALSE),""),K4580)</f>
        <v/>
      </c>
      <c r="D4580" s="6"/>
      <c r="E4580" s="6"/>
      <c r="F4580" s="6"/>
      <c r="G4580" s="115" t="b">
        <f>VLOOKUP(I4576,FS_input_noty,J4576,FALSE)=""</f>
        <v>0</v>
      </c>
      <c r="H4580" s="6" t="s">
        <v>2189</v>
      </c>
      <c r="I4580" t="s">
        <v>1561</v>
      </c>
      <c r="J4580" t="s">
        <v>1561</v>
      </c>
      <c r="L4580" s="26" t="e">
        <f t="shared" si="253"/>
        <v>#VALUE!</v>
      </c>
    </row>
    <row r="4581" spans="1:12" x14ac:dyDescent="0.35">
      <c r="A4581" s="9">
        <f t="shared" si="254"/>
        <v>4580</v>
      </c>
      <c r="B4581" t="s">
        <v>109</v>
      </c>
      <c r="C4581" s="109">
        <f>IF(ISBLANK(K4581),IFERROR(VLOOKUP(I4581,FS_input_data!$C$458:$N$648,Export!J4581,FALSE),""),K4581)</f>
        <v>19000</v>
      </c>
      <c r="D4581" s="6" t="b">
        <v>1</v>
      </c>
      <c r="E4581" s="6"/>
      <c r="F4581" s="6"/>
      <c r="G4581" s="115" t="b">
        <f>VLOOKUP(I4576,FS_input_noty,J4576,FALSE)=""</f>
        <v>0</v>
      </c>
      <c r="H4581" s="6" t="s">
        <v>2189</v>
      </c>
      <c r="I4581" t="s">
        <v>1936</v>
      </c>
      <c r="J4581">
        <v>7</v>
      </c>
      <c r="L4581" s="26" t="e">
        <f t="shared" si="253"/>
        <v>#VALUE!</v>
      </c>
    </row>
    <row r="4582" spans="1:12" x14ac:dyDescent="0.35">
      <c r="A4582">
        <f t="shared" si="254"/>
        <v>4581</v>
      </c>
      <c r="B4582" t="s">
        <v>110</v>
      </c>
      <c r="C4582" s="109" t="str">
        <f>IF(ISBLANK(K4582),IFERROR(VLOOKUP(I4582,FS_input_data!$C$458:$N$648,Export!J4582,FALSE),""),K4582)</f>
        <v/>
      </c>
      <c r="D4582" s="6"/>
      <c r="E4582" s="6"/>
      <c r="F4582" s="6"/>
      <c r="G4582" s="115" t="b">
        <f>VLOOKUP(I4576,FS_input_noty,J4576,FALSE)=""</f>
        <v>0</v>
      </c>
      <c r="H4582" s="6" t="s">
        <v>2189</v>
      </c>
      <c r="I4582" t="s">
        <v>1561</v>
      </c>
      <c r="J4582" t="s">
        <v>1561</v>
      </c>
      <c r="L4582">
        <f t="shared" si="253"/>
        <v>1</v>
      </c>
    </row>
    <row r="4583" spans="1:12" x14ac:dyDescent="0.35">
      <c r="A4583" s="9">
        <f t="shared" si="254"/>
        <v>4582</v>
      </c>
      <c r="B4583" t="s">
        <v>111</v>
      </c>
      <c r="C4583" s="109">
        <f>IF(ISBLANK(K4583),IFERROR(VLOOKUP(I4583,FS_input_data!$C$458:$N$648,Export!J4583,FALSE),""),K4583)</f>
        <v>9500</v>
      </c>
      <c r="D4583" s="6" t="b">
        <v>0</v>
      </c>
      <c r="E4583" s="6"/>
      <c r="F4583" s="6"/>
      <c r="G4583" s="115" t="b">
        <f>VLOOKUP(I4576,FS_input_noty,J4576,TRUE)=""</f>
        <v>0</v>
      </c>
      <c r="H4583" s="6" t="s">
        <v>2189</v>
      </c>
      <c r="I4583" t="s">
        <v>1936</v>
      </c>
      <c r="J4583">
        <v>8</v>
      </c>
      <c r="L4583" s="26" t="e">
        <f t="shared" si="253"/>
        <v>#VALUE!</v>
      </c>
    </row>
    <row r="4584" spans="1:12" x14ac:dyDescent="0.35">
      <c r="A4584">
        <f t="shared" si="254"/>
        <v>4583</v>
      </c>
      <c r="B4584" t="s">
        <v>112</v>
      </c>
      <c r="C4584" s="109" t="str">
        <f>IF(ISBLANK(K4584),IFERROR(VLOOKUP(I4584,FS_input_data!$C$458:$N$648,Export!J4584,FALSE),""),K4584)</f>
        <v/>
      </c>
      <c r="D4584" s="6"/>
      <c r="E4584" s="6"/>
      <c r="F4584" s="6"/>
      <c r="G4584" s="115" t="b">
        <f>VLOOKUP(I4576,FS_input_noty,J4576,FALSE)=""</f>
        <v>0</v>
      </c>
      <c r="H4584" s="6" t="s">
        <v>2189</v>
      </c>
      <c r="I4584" t="s">
        <v>1561</v>
      </c>
      <c r="J4584" t="s">
        <v>1561</v>
      </c>
      <c r="L4584">
        <f t="shared" si="253"/>
        <v>1</v>
      </c>
    </row>
    <row r="4585" spans="1:12" x14ac:dyDescent="0.35">
      <c r="A4585" s="9">
        <f t="shared" si="254"/>
        <v>4584</v>
      </c>
      <c r="B4585" t="s">
        <v>749</v>
      </c>
      <c r="C4585" s="109">
        <f>IF(ISBLANK(K4585),IFERROR(VLOOKUP(I4585,FS_input_data!$C$458:$N$648,Export!J4585,FALSE),""),K4585)</f>
        <v>9500</v>
      </c>
      <c r="D4585" s="6" t="b">
        <v>0</v>
      </c>
      <c r="E4585" s="6"/>
      <c r="F4585" s="6"/>
      <c r="G4585" s="115" t="b">
        <f>VLOOKUP(I4576,FS_input_noty,J4576,FALSE)=""</f>
        <v>0</v>
      </c>
      <c r="H4585" s="6" t="s">
        <v>2189</v>
      </c>
      <c r="I4585" t="s">
        <v>1936</v>
      </c>
      <c r="J4585">
        <v>9</v>
      </c>
      <c r="L4585" s="26" t="e">
        <f t="shared" si="253"/>
        <v>#VALUE!</v>
      </c>
    </row>
    <row r="4586" spans="1:12" x14ac:dyDescent="0.35">
      <c r="A4586">
        <f t="shared" si="254"/>
        <v>4585</v>
      </c>
      <c r="B4586" t="s">
        <v>750</v>
      </c>
      <c r="C4586" s="109" t="str">
        <f>IF(ISBLANK(K4586),IFERROR(VLOOKUP(I4586,FS_input_data!$C$458:$N$648,Export!J4586,FALSE),""),K4586)</f>
        <v/>
      </c>
      <c r="D4586" s="6"/>
      <c r="E4586" s="6"/>
      <c r="F4586" s="6"/>
      <c r="G4586" s="115" t="b">
        <f>VLOOKUP(I4576,FS_input_noty,J4576,FALSE)=""</f>
        <v>0</v>
      </c>
      <c r="H4586" s="6" t="s">
        <v>2189</v>
      </c>
      <c r="I4586" t="s">
        <v>1561</v>
      </c>
      <c r="J4586" t="s">
        <v>1561</v>
      </c>
      <c r="L4586">
        <f t="shared" si="253"/>
        <v>1</v>
      </c>
    </row>
    <row r="4587" spans="1:12" x14ac:dyDescent="0.35">
      <c r="A4587">
        <f t="shared" si="254"/>
        <v>4586</v>
      </c>
      <c r="B4587" t="s">
        <v>751</v>
      </c>
      <c r="C4587" s="109" t="str">
        <f>IF(ISBLANK(K4587),IFERROR(VLOOKUP(I4587,FS_input_data!$C$458:$N$648,Export!J4587,FALSE),""),K4587)</f>
        <v/>
      </c>
      <c r="D4587" s="6"/>
      <c r="E4587" s="6"/>
      <c r="F4587" s="6"/>
      <c r="G4587" s="115" t="b">
        <f>VLOOKUP(I4576,FS_input_noty,J4576,FALSE)=""</f>
        <v>0</v>
      </c>
      <c r="H4587" s="6" t="s">
        <v>2189</v>
      </c>
      <c r="I4587" t="s">
        <v>1561</v>
      </c>
      <c r="J4587" t="s">
        <v>1561</v>
      </c>
      <c r="L4587">
        <f t="shared" si="253"/>
        <v>1</v>
      </c>
    </row>
    <row r="4588" spans="1:12" x14ac:dyDescent="0.35">
      <c r="A4588">
        <f t="shared" si="254"/>
        <v>4587</v>
      </c>
      <c r="B4588" t="s">
        <v>754</v>
      </c>
      <c r="C4588" s="109" t="str">
        <f>IF(ISBLANK(K4588),IFERROR(VLOOKUP(I4588,FS_input_data!$C$458:$N$648,Export!J4588,FALSE),""),K4588)</f>
        <v/>
      </c>
      <c r="D4588" s="6"/>
      <c r="E4588" s="6"/>
      <c r="F4588" s="6"/>
      <c r="G4588" s="115" t="b">
        <f>VLOOKUP(I4576,FS_input_noty,J4576,FALSE)=""</f>
        <v>0</v>
      </c>
      <c r="H4588" s="6" t="s">
        <v>2189</v>
      </c>
      <c r="I4588" t="s">
        <v>1561</v>
      </c>
      <c r="J4588" t="s">
        <v>1561</v>
      </c>
      <c r="L4588" s="26" t="e">
        <f t="shared" si="253"/>
        <v>#VALUE!</v>
      </c>
    </row>
    <row r="4589" spans="1:12" x14ac:dyDescent="0.35">
      <c r="A4589" s="9">
        <f t="shared" si="254"/>
        <v>4588</v>
      </c>
      <c r="B4589" t="s">
        <v>755</v>
      </c>
      <c r="C4589" s="109">
        <f>IF(ISBLANK(K4589),IFERROR(VLOOKUP(I4589,FS_input_data!$C$458:$N$648,Export!J4589,FALSE),""),K4589)</f>
        <v>63</v>
      </c>
      <c r="D4589" s="6" t="b">
        <v>1</v>
      </c>
      <c r="E4589" s="6"/>
      <c r="F4589" s="6"/>
      <c r="G4589" s="115" t="b">
        <f>VLOOKUP(I4576,FS_input_noty,J4576,FALSE)=""</f>
        <v>0</v>
      </c>
      <c r="H4589" s="6" t="s">
        <v>2189</v>
      </c>
      <c r="I4589" t="s">
        <v>1936</v>
      </c>
      <c r="J4589">
        <v>2</v>
      </c>
      <c r="L4589" s="26" t="e">
        <f t="shared" si="253"/>
        <v>#VALUE!</v>
      </c>
    </row>
    <row r="4590" spans="1:12" x14ac:dyDescent="0.35">
      <c r="A4590">
        <f t="shared" si="254"/>
        <v>4589</v>
      </c>
      <c r="B4590" t="s">
        <v>756</v>
      </c>
      <c r="C4590" s="109" t="str">
        <f>IF(ISBLANK(K4590),IFERROR(VLOOKUP(I4590,FS_input_data!$C$458:$N$648,Export!J4590,FALSE),""),K4590)</f>
        <v/>
      </c>
      <c r="D4590" s="6"/>
      <c r="E4590" s="6"/>
      <c r="F4590" s="6"/>
      <c r="G4590" s="115" t="b">
        <f>VLOOKUP(I4576,FS_input_noty,J4576,FALSE)=""</f>
        <v>0</v>
      </c>
      <c r="H4590" s="6" t="s">
        <v>2189</v>
      </c>
      <c r="I4590" t="s">
        <v>1561</v>
      </c>
      <c r="J4590" t="s">
        <v>1561</v>
      </c>
      <c r="L4590">
        <f t="shared" si="253"/>
        <v>1</v>
      </c>
    </row>
    <row r="4591" spans="1:12" x14ac:dyDescent="0.35">
      <c r="A4591" s="9">
        <f t="shared" si="254"/>
        <v>4590</v>
      </c>
      <c r="B4591" t="s">
        <v>757</v>
      </c>
      <c r="C4591" s="109">
        <f>IF(ISBLANK(K4591),IFERROR(VLOOKUP(I4591,FS_input_data!$C$458:$N$648,Export!J4591,FALSE),""),K4591)</f>
        <v>163</v>
      </c>
      <c r="D4591" s="6" t="b">
        <v>0</v>
      </c>
      <c r="E4591" s="6"/>
      <c r="F4591" s="6"/>
      <c r="G4591" s="115" t="b">
        <f>VLOOKUP(I4576,FS_input_noty,J4576,FALSE)=""</f>
        <v>0</v>
      </c>
      <c r="H4591" s="6" t="s">
        <v>2189</v>
      </c>
      <c r="I4591" t="s">
        <v>1936</v>
      </c>
      <c r="J4591">
        <v>3</v>
      </c>
      <c r="L4591" s="26" t="e">
        <f t="shared" si="253"/>
        <v>#VALUE!</v>
      </c>
    </row>
    <row r="4592" spans="1:12" x14ac:dyDescent="0.35">
      <c r="A4592">
        <f t="shared" si="254"/>
        <v>4591</v>
      </c>
      <c r="B4592" t="s">
        <v>758</v>
      </c>
      <c r="C4592" s="109" t="str">
        <f>IF(ISBLANK(K4592),IFERROR(VLOOKUP(I4592,FS_input_data!$C$458:$N$648,Export!J4592,FALSE),""),K4592)</f>
        <v/>
      </c>
      <c r="D4592" s="6"/>
      <c r="E4592" s="6"/>
      <c r="F4592" s="6"/>
      <c r="G4592" s="115" t="b">
        <f>VLOOKUP(I4576,FS_input_noty,J4576,FALSE)=""</f>
        <v>0</v>
      </c>
      <c r="H4592" s="6" t="s">
        <v>2189</v>
      </c>
      <c r="I4592" t="s">
        <v>1561</v>
      </c>
      <c r="J4592" t="s">
        <v>1561</v>
      </c>
      <c r="L4592">
        <f t="shared" si="253"/>
        <v>1</v>
      </c>
    </row>
    <row r="4593" spans="1:12" x14ac:dyDescent="0.35">
      <c r="A4593" s="9">
        <f t="shared" si="254"/>
        <v>4592</v>
      </c>
      <c r="B4593" t="s">
        <v>759</v>
      </c>
      <c r="C4593" s="109">
        <f>IF(ISBLANK(K4593),IFERROR(VLOOKUP(I4593,FS_input_data!$C$458:$N$648,Export!J4593,FALSE),""),K4593)</f>
        <v>263</v>
      </c>
      <c r="D4593" s="6" t="b">
        <v>0</v>
      </c>
      <c r="E4593" s="6"/>
      <c r="F4593" s="6"/>
      <c r="G4593" s="115" t="b">
        <f>VLOOKUP(I4576,FS_input_noty,J4576,FALSE)=""</f>
        <v>0</v>
      </c>
      <c r="H4593" s="6" t="s">
        <v>2189</v>
      </c>
      <c r="I4593" t="s">
        <v>1936</v>
      </c>
      <c r="J4593">
        <v>4</v>
      </c>
      <c r="L4593" s="26" t="e">
        <f t="shared" si="253"/>
        <v>#VALUE!</v>
      </c>
    </row>
    <row r="4594" spans="1:12" x14ac:dyDescent="0.35">
      <c r="A4594">
        <f t="shared" si="254"/>
        <v>4593</v>
      </c>
      <c r="B4594" t="s">
        <v>760</v>
      </c>
      <c r="C4594" s="109" t="str">
        <f>IF(ISBLANK(K4594),IFERROR(VLOOKUP(I4594,FS_input_data!$C$458:$N$648,Export!J4594,FALSE),""),K4594)</f>
        <v/>
      </c>
      <c r="D4594" s="6"/>
      <c r="E4594" s="6"/>
      <c r="F4594" s="6"/>
      <c r="G4594" s="115" t="b">
        <f>VLOOKUP(I4576,FS_input_noty,J4576,FALSE)=""</f>
        <v>0</v>
      </c>
      <c r="H4594" s="6" t="s">
        <v>2189</v>
      </c>
      <c r="I4594" t="s">
        <v>1561</v>
      </c>
      <c r="J4594" t="s">
        <v>1561</v>
      </c>
      <c r="L4594">
        <f t="shared" si="253"/>
        <v>1</v>
      </c>
    </row>
    <row r="4595" spans="1:12" x14ac:dyDescent="0.35">
      <c r="A4595" s="9">
        <f t="shared" si="254"/>
        <v>4594</v>
      </c>
      <c r="B4595" t="s">
        <v>761</v>
      </c>
      <c r="C4595" s="109" t="str">
        <f>IF(ISBLANK(K4595),IFERROR(VLOOKUP(I4595,FS_input_data!$C$458:$N$648,Export!J4595,FALSE),""),K4595)</f>
        <v>g</v>
      </c>
      <c r="D4595" s="6" t="b">
        <v>0</v>
      </c>
      <c r="E4595" s="6"/>
      <c r="F4595" s="6"/>
      <c r="G4595" s="115" t="b">
        <f>VLOOKUP(I4576,FS_input_noty,J4576,FALSE)=""</f>
        <v>0</v>
      </c>
      <c r="H4595" s="6" t="s">
        <v>2189</v>
      </c>
      <c r="I4595" t="s">
        <v>1936</v>
      </c>
      <c r="J4595">
        <v>5</v>
      </c>
      <c r="L4595" s="26" t="e">
        <f t="shared" si="253"/>
        <v>#VALUE!</v>
      </c>
    </row>
    <row r="4596" spans="1:12" x14ac:dyDescent="0.35">
      <c r="A4596">
        <f t="shared" si="254"/>
        <v>4595</v>
      </c>
      <c r="B4596" t="s">
        <v>762</v>
      </c>
      <c r="C4596" s="109" t="str">
        <f>IF(ISBLANK(K4596),IFERROR(VLOOKUP(I4596,FS_input_data!$C$458:$N$648,Export!J4596,FALSE),""),K4596)</f>
        <v/>
      </c>
      <c r="D4596" s="6"/>
      <c r="E4596" s="6"/>
      <c r="F4596" s="6"/>
      <c r="G4596" s="115" t="b">
        <f>VLOOKUP(I4576,FS_input_noty,J4576,FALSE)=""</f>
        <v>0</v>
      </c>
      <c r="H4596" s="6" t="s">
        <v>2189</v>
      </c>
      <c r="I4596" t="s">
        <v>1561</v>
      </c>
      <c r="J4596" t="s">
        <v>1561</v>
      </c>
      <c r="L4596">
        <f t="shared" si="253"/>
        <v>1</v>
      </c>
    </row>
    <row r="4597" spans="1:12" x14ac:dyDescent="0.35">
      <c r="A4597">
        <f t="shared" si="254"/>
        <v>4596</v>
      </c>
      <c r="B4597" t="s">
        <v>763</v>
      </c>
      <c r="C4597" s="109" t="str">
        <f>IF(ISBLANK(K4597),IFERROR(VLOOKUP(I4597,FS_input_data!$C$458:$N$648,Export!J4597,FALSE),""),K4597)</f>
        <v/>
      </c>
      <c r="D4597" s="6"/>
      <c r="E4597" s="6"/>
      <c r="F4597" s="6"/>
      <c r="G4597" s="115" t="b">
        <f>VLOOKUP(I4576,FS_input_noty,J4576,FALSE)=""</f>
        <v>0</v>
      </c>
      <c r="H4597" s="6" t="s">
        <v>2189</v>
      </c>
      <c r="I4597" t="s">
        <v>1561</v>
      </c>
      <c r="J4597" t="s">
        <v>1561</v>
      </c>
      <c r="L4597">
        <f t="shared" si="253"/>
        <v>1</v>
      </c>
    </row>
    <row r="4598" spans="1:12" x14ac:dyDescent="0.35">
      <c r="A4598">
        <f t="shared" si="254"/>
        <v>4597</v>
      </c>
      <c r="B4598" t="s">
        <v>743</v>
      </c>
      <c r="C4598" s="109" t="str">
        <f>IF(ISBLANK(K4598),IFERROR(VLOOKUP(I4598,FS_input_data!$C$458:$N$648,Export!J4598,FALSE),""),K4598)</f>
        <v/>
      </c>
      <c r="D4598" s="6"/>
      <c r="E4598" s="6"/>
      <c r="F4598" s="6"/>
      <c r="G4598" s="115" t="b">
        <f>VLOOKUP(I4576,FS_input_noty,J4576,FALSE)=""</f>
        <v>0</v>
      </c>
      <c r="H4598" s="6" t="s">
        <v>2189</v>
      </c>
      <c r="I4598" t="s">
        <v>1561</v>
      </c>
      <c r="J4598" t="s">
        <v>1561</v>
      </c>
      <c r="L4598">
        <f t="shared" si="253"/>
        <v>1</v>
      </c>
    </row>
    <row r="4599" spans="1:12" x14ac:dyDescent="0.35">
      <c r="A4599">
        <f t="shared" si="254"/>
        <v>4598</v>
      </c>
      <c r="B4599" t="s">
        <v>744</v>
      </c>
      <c r="C4599" s="109" t="str">
        <f>IF(ISBLANK(K4599),IFERROR(VLOOKUP(I4599,FS_input_data!$C$458:$N$648,Export!J4599,FALSE),""),K4599)</f>
        <v/>
      </c>
      <c r="D4599" s="6"/>
      <c r="E4599" s="6"/>
      <c r="F4599" s="6"/>
      <c r="G4599" s="115" t="b">
        <f t="shared" ref="G4599:G4606" si="256">RP_tax</f>
        <v>1</v>
      </c>
      <c r="H4599" s="6" t="s">
        <v>2189</v>
      </c>
      <c r="I4599" t="s">
        <v>1561</v>
      </c>
      <c r="J4599" t="s">
        <v>1561</v>
      </c>
      <c r="L4599" s="26" t="e">
        <f t="shared" si="253"/>
        <v>#VALUE!</v>
      </c>
    </row>
    <row r="4600" spans="1:12" x14ac:dyDescent="0.35">
      <c r="A4600" s="9">
        <f t="shared" si="254"/>
        <v>4599</v>
      </c>
      <c r="B4600" t="s">
        <v>109</v>
      </c>
      <c r="C4600" s="109">
        <f>IF(ISBLANK(K4600),IFERROR(VLOOKUP(I4600,FS_input_data!$C$458:$N$648,Export!J4600,FALSE),""),K4600)</f>
        <v>19000</v>
      </c>
      <c r="D4600" s="6" t="b">
        <v>1</v>
      </c>
      <c r="E4600" s="6"/>
      <c r="F4600" s="6"/>
      <c r="G4600" s="115" t="b">
        <f t="shared" si="256"/>
        <v>1</v>
      </c>
      <c r="H4600" s="6" t="s">
        <v>2189</v>
      </c>
      <c r="I4600" t="s">
        <v>1936</v>
      </c>
      <c r="J4600">
        <v>10</v>
      </c>
      <c r="L4600" s="26" t="e">
        <f t="shared" si="253"/>
        <v>#VALUE!</v>
      </c>
    </row>
    <row r="4601" spans="1:12" x14ac:dyDescent="0.35">
      <c r="A4601">
        <f t="shared" si="254"/>
        <v>4600</v>
      </c>
      <c r="B4601" t="s">
        <v>110</v>
      </c>
      <c r="C4601" s="109" t="str">
        <f>IF(ISBLANK(K4601),IFERROR(VLOOKUP(I4601,FS_input_data!$C$458:$N$648,Export!J4601,FALSE),""),K4601)</f>
        <v/>
      </c>
      <c r="D4601" s="6"/>
      <c r="E4601" s="6"/>
      <c r="F4601" s="6"/>
      <c r="G4601" s="115" t="b">
        <f t="shared" si="256"/>
        <v>1</v>
      </c>
      <c r="H4601" s="6" t="s">
        <v>2189</v>
      </c>
      <c r="I4601" t="s">
        <v>1561</v>
      </c>
      <c r="J4601" t="s">
        <v>1561</v>
      </c>
      <c r="L4601">
        <f t="shared" si="253"/>
        <v>1</v>
      </c>
    </row>
    <row r="4602" spans="1:12" x14ac:dyDescent="0.35">
      <c r="A4602" s="9">
        <f t="shared" si="254"/>
        <v>4601</v>
      </c>
      <c r="B4602" t="s">
        <v>111</v>
      </c>
      <c r="C4602" s="109">
        <f>IF(ISBLANK(K4602),IFERROR(VLOOKUP(I4602,FS_input_data!$C$458:$N$648,Export!J4602,FALSE),""),K4602)</f>
        <v>9500</v>
      </c>
      <c r="D4602" s="6" t="b">
        <v>0</v>
      </c>
      <c r="E4602" s="6"/>
      <c r="F4602" s="6"/>
      <c r="G4602" s="115" t="b">
        <f t="shared" si="256"/>
        <v>1</v>
      </c>
      <c r="H4602" s="6" t="s">
        <v>2189</v>
      </c>
      <c r="I4602" t="s">
        <v>1936</v>
      </c>
      <c r="J4602">
        <v>11</v>
      </c>
      <c r="L4602" s="26" t="e">
        <f t="shared" si="253"/>
        <v>#VALUE!</v>
      </c>
    </row>
    <row r="4603" spans="1:12" x14ac:dyDescent="0.35">
      <c r="A4603">
        <f t="shared" si="254"/>
        <v>4602</v>
      </c>
      <c r="B4603" t="s">
        <v>112</v>
      </c>
      <c r="C4603" s="109" t="str">
        <f>IF(ISBLANK(K4603),IFERROR(VLOOKUP(I4603,FS_input_data!$C$458:$N$648,Export!J4603,FALSE),""),K4603)</f>
        <v/>
      </c>
      <c r="D4603" s="6"/>
      <c r="E4603" s="6"/>
      <c r="F4603" s="6"/>
      <c r="G4603" s="115" t="b">
        <f t="shared" si="256"/>
        <v>1</v>
      </c>
      <c r="H4603" s="6" t="s">
        <v>2189</v>
      </c>
      <c r="I4603" t="s">
        <v>1561</v>
      </c>
      <c r="J4603" t="s">
        <v>1561</v>
      </c>
      <c r="L4603">
        <f t="shared" si="253"/>
        <v>1</v>
      </c>
    </row>
    <row r="4604" spans="1:12" x14ac:dyDescent="0.35">
      <c r="A4604" s="9">
        <f t="shared" si="254"/>
        <v>4603</v>
      </c>
      <c r="B4604" t="s">
        <v>749</v>
      </c>
      <c r="C4604" s="109">
        <f>IF(ISBLANK(K4604),IFERROR(VLOOKUP(I4604,FS_input_data!$C$458:$N$648,Export!J4604,FALSE),""),K4604)</f>
        <v>9500</v>
      </c>
      <c r="D4604" s="6" t="b">
        <v>0</v>
      </c>
      <c r="E4604" s="6"/>
      <c r="F4604" s="6"/>
      <c r="G4604" s="115" t="b">
        <f t="shared" si="256"/>
        <v>1</v>
      </c>
      <c r="H4604" s="6" t="s">
        <v>2189</v>
      </c>
      <c r="I4604" t="s">
        <v>1936</v>
      </c>
      <c r="J4604">
        <v>12</v>
      </c>
      <c r="L4604" s="26" t="e">
        <f t="shared" si="253"/>
        <v>#VALUE!</v>
      </c>
    </row>
    <row r="4605" spans="1:12" x14ac:dyDescent="0.35">
      <c r="A4605">
        <f t="shared" si="254"/>
        <v>4604</v>
      </c>
      <c r="B4605" t="s">
        <v>750</v>
      </c>
      <c r="C4605" s="109" t="str">
        <f>IF(ISBLANK(K4605),IFERROR(VLOOKUP(I4605,FS_input_data!$C$458:$N$648,Export!J4605,FALSE),""),K4605)</f>
        <v/>
      </c>
      <c r="D4605" s="6"/>
      <c r="E4605" s="6"/>
      <c r="F4605" s="6"/>
      <c r="G4605" s="115" t="b">
        <f t="shared" si="256"/>
        <v>1</v>
      </c>
      <c r="H4605" s="6" t="s">
        <v>2189</v>
      </c>
      <c r="I4605" t="s">
        <v>1561</v>
      </c>
      <c r="J4605" t="s">
        <v>1561</v>
      </c>
      <c r="L4605">
        <f t="shared" si="253"/>
        <v>1</v>
      </c>
    </row>
    <row r="4606" spans="1:12" x14ac:dyDescent="0.35">
      <c r="A4606">
        <f t="shared" si="254"/>
        <v>4605</v>
      </c>
      <c r="B4606" t="s">
        <v>745</v>
      </c>
      <c r="C4606" s="109" t="str">
        <f>IF(ISBLANK(K4606),IFERROR(VLOOKUP(I4606,FS_input_data!$C$458:$N$648,Export!J4606,FALSE),""),K4606)</f>
        <v/>
      </c>
      <c r="D4606" s="6"/>
      <c r="E4606" s="6"/>
      <c r="F4606" s="6"/>
      <c r="G4606" s="115" t="b">
        <f t="shared" si="256"/>
        <v>1</v>
      </c>
      <c r="H4606" s="6" t="s">
        <v>2189</v>
      </c>
      <c r="I4606" t="s">
        <v>1561</v>
      </c>
      <c r="J4606" t="s">
        <v>1561</v>
      </c>
      <c r="L4606">
        <f t="shared" si="253"/>
        <v>1</v>
      </c>
    </row>
    <row r="4607" spans="1:12" x14ac:dyDescent="0.35">
      <c r="A4607">
        <f t="shared" si="254"/>
        <v>4606</v>
      </c>
      <c r="B4607" t="s">
        <v>764</v>
      </c>
      <c r="C4607" s="109" t="str">
        <f>IF(ISBLANK(K4607),IFERROR(VLOOKUP(I4607,FS_input_data!$C$458:$N$648,Export!J4607,FALSE),""),K4607)</f>
        <v/>
      </c>
      <c r="D4607" s="6"/>
      <c r="E4607" s="6"/>
      <c r="F4607" s="6"/>
      <c r="G4607" s="115" t="b">
        <f>VLOOKUP(I4576,FS_input_noty,J4576,FALSE)=""</f>
        <v>0</v>
      </c>
      <c r="H4607" s="6" t="s">
        <v>2189</v>
      </c>
      <c r="I4607" t="s">
        <v>1561</v>
      </c>
      <c r="J4607" t="s">
        <v>1561</v>
      </c>
      <c r="L4607">
        <f t="shared" si="253"/>
        <v>1</v>
      </c>
    </row>
    <row r="4608" spans="1:12" x14ac:dyDescent="0.35">
      <c r="A4608">
        <f t="shared" si="254"/>
        <v>4607</v>
      </c>
      <c r="B4608" t="s">
        <v>765</v>
      </c>
      <c r="C4608" s="109" t="str">
        <f>IF(ISBLANK(K4608),IFERROR(VLOOKUP(I4608,FS_input_data!$C$458:$N$648,Export!J4608,FALSE),""),K4608)</f>
        <v/>
      </c>
      <c r="D4608" s="6"/>
      <c r="E4608" s="6"/>
      <c r="F4608" s="6"/>
      <c r="G4608" s="115" t="b">
        <f>VLOOKUP(I4576,FS_input_noty,J4576,FALSE)=""</f>
        <v>0</v>
      </c>
      <c r="H4608" s="6" t="s">
        <v>2189</v>
      </c>
      <c r="I4608" t="s">
        <v>1561</v>
      </c>
      <c r="J4608" t="s">
        <v>1561</v>
      </c>
      <c r="L4608">
        <f t="shared" si="253"/>
        <v>1</v>
      </c>
    </row>
    <row r="4609" spans="1:12" x14ac:dyDescent="0.35">
      <c r="A4609">
        <f t="shared" si="254"/>
        <v>4608</v>
      </c>
      <c r="B4609" t="s">
        <v>752</v>
      </c>
      <c r="C4609" s="109" t="str">
        <f>IF(ISBLANK(K4609),IFERROR(VLOOKUP(I4609,FS_input_data!$C$458:$N$648,Export!J4609,FALSE),""),K4609)</f>
        <v/>
      </c>
      <c r="D4609" s="6"/>
      <c r="E4609" s="6"/>
      <c r="F4609" s="6"/>
      <c r="G4609" s="115" t="b">
        <f>VLOOKUP(I4610,FS_input_noty,J4610,FALSE)=""</f>
        <v>0</v>
      </c>
      <c r="H4609" s="6" t="s">
        <v>2189</v>
      </c>
      <c r="I4609" t="s">
        <v>1561</v>
      </c>
      <c r="J4609" t="s">
        <v>1561</v>
      </c>
      <c r="L4609" s="26" t="e">
        <f t="shared" si="253"/>
        <v>#VALUE!</v>
      </c>
    </row>
    <row r="4610" spans="1:12" x14ac:dyDescent="0.35">
      <c r="A4610" s="9">
        <f t="shared" si="254"/>
        <v>4609</v>
      </c>
      <c r="B4610" t="s">
        <v>101</v>
      </c>
      <c r="C4610" s="109" t="str">
        <f>IF(ISBLANK(K4610),IFERROR(VLOOKUP(I4610,FS_input_data!$C$458:$N$648,Export!J4610,FALSE),""),K4610)</f>
        <v>OC42</v>
      </c>
      <c r="D4610" s="6" t="b">
        <v>1</v>
      </c>
      <c r="E4610" s="6"/>
      <c r="F4610" s="6"/>
      <c r="G4610" s="115" t="b">
        <f>VLOOKUP(I4610,FS_input_noty,J4610,FALSE)=""</f>
        <v>0</v>
      </c>
      <c r="H4610" s="6" t="s">
        <v>2189</v>
      </c>
      <c r="I4610" t="s">
        <v>1938</v>
      </c>
      <c r="J4610">
        <v>6</v>
      </c>
      <c r="L4610" s="26" t="e">
        <f t="shared" ref="L4610:L4673" si="257">FIND("/",B4610)</f>
        <v>#VALUE!</v>
      </c>
    </row>
    <row r="4611" spans="1:12" x14ac:dyDescent="0.35">
      <c r="A4611">
        <f t="shared" ref="A4611:A4674" si="258">A4610+1</f>
        <v>4610</v>
      </c>
      <c r="B4611" t="s">
        <v>102</v>
      </c>
      <c r="C4611" s="109" t="str">
        <f>IF(ISBLANK(K4611),IFERROR(VLOOKUP(I4611,FS_input_data!$C$458:$N$648,Export!J4611,FALSE),""),K4611)</f>
        <v/>
      </c>
      <c r="D4611" s="6"/>
      <c r="E4611" s="6"/>
      <c r="F4611" s="6"/>
      <c r="G4611" s="115" t="b">
        <f>VLOOKUP(I4610,FS_input_noty,J4610,FALSE)=""</f>
        <v>0</v>
      </c>
      <c r="H4611" s="6" t="s">
        <v>2189</v>
      </c>
      <c r="I4611" t="s">
        <v>1561</v>
      </c>
      <c r="J4611" t="s">
        <v>1561</v>
      </c>
      <c r="L4611">
        <f t="shared" si="257"/>
        <v>1</v>
      </c>
    </row>
    <row r="4612" spans="1:12" x14ac:dyDescent="0.35">
      <c r="A4612">
        <f t="shared" si="258"/>
        <v>4611</v>
      </c>
      <c r="B4612" t="s">
        <v>753</v>
      </c>
      <c r="C4612" s="109" t="str">
        <f>IF(ISBLANK(K4612),IFERROR(VLOOKUP(I4612,FS_input_data!$C$458:$N$648,Export!J4612,FALSE),""),K4612)</f>
        <v/>
      </c>
      <c r="D4612" s="6"/>
      <c r="E4612" s="6"/>
      <c r="F4612" s="6"/>
      <c r="G4612" s="115" t="b">
        <f>VLOOKUP(I4610,FS_input_noty,J4610,FALSE)=""</f>
        <v>0</v>
      </c>
      <c r="H4612" s="6" t="s">
        <v>2189</v>
      </c>
      <c r="I4612" t="s">
        <v>1561</v>
      </c>
      <c r="J4612" t="s">
        <v>1561</v>
      </c>
      <c r="L4612" s="26" t="e">
        <f t="shared" si="257"/>
        <v>#VALUE!</v>
      </c>
    </row>
    <row r="4613" spans="1:12" x14ac:dyDescent="0.35">
      <c r="A4613">
        <f t="shared" si="258"/>
        <v>4612</v>
      </c>
      <c r="B4613" t="s">
        <v>742</v>
      </c>
      <c r="C4613" s="109" t="str">
        <f>IF(ISBLANK(K4613),IFERROR(VLOOKUP(I4613,FS_input_data!$C$458:$N$648,Export!J4613,FALSE),""),K4613)</f>
        <v/>
      </c>
      <c r="D4613" s="6"/>
      <c r="E4613" s="6"/>
      <c r="F4613" s="6"/>
      <c r="G4613" s="115" t="b">
        <f>VLOOKUP(I4610,FS_input_noty,J4610,FALSE)=""</f>
        <v>0</v>
      </c>
      <c r="H4613" s="6" t="s">
        <v>2189</v>
      </c>
      <c r="I4613" t="s">
        <v>1561</v>
      </c>
      <c r="J4613" t="s">
        <v>1561</v>
      </c>
      <c r="L4613" s="26" t="e">
        <f t="shared" si="257"/>
        <v>#VALUE!</v>
      </c>
    </row>
    <row r="4614" spans="1:12" x14ac:dyDescent="0.35">
      <c r="A4614">
        <f t="shared" si="258"/>
        <v>4613</v>
      </c>
      <c r="B4614" t="s">
        <v>748</v>
      </c>
      <c r="C4614" s="109" t="str">
        <f>IF(ISBLANK(K4614),IFERROR(VLOOKUP(I4614,FS_input_data!$C$458:$N$648,Export!J4614,FALSE),""),K4614)</f>
        <v/>
      </c>
      <c r="D4614" s="6"/>
      <c r="E4614" s="6"/>
      <c r="F4614" s="6"/>
      <c r="G4614" s="115" t="b">
        <f>VLOOKUP(I4610,FS_input_noty,J4610,FALSE)=""</f>
        <v>0</v>
      </c>
      <c r="H4614" s="6" t="s">
        <v>2189</v>
      </c>
      <c r="I4614" t="s">
        <v>1561</v>
      </c>
      <c r="J4614" t="s">
        <v>1561</v>
      </c>
      <c r="L4614" s="26" t="e">
        <f t="shared" si="257"/>
        <v>#VALUE!</v>
      </c>
    </row>
    <row r="4615" spans="1:12" x14ac:dyDescent="0.35">
      <c r="A4615" s="9">
        <f t="shared" si="258"/>
        <v>4614</v>
      </c>
      <c r="B4615" t="s">
        <v>109</v>
      </c>
      <c r="C4615" s="109">
        <f>IF(ISBLANK(K4615),IFERROR(VLOOKUP(I4615,FS_input_data!$C$458:$N$648,Export!J4615,FALSE),""),K4615)</f>
        <v>20000</v>
      </c>
      <c r="D4615" s="6" t="b">
        <v>1</v>
      </c>
      <c r="E4615" s="6"/>
      <c r="F4615" s="6"/>
      <c r="G4615" s="115" t="b">
        <f>VLOOKUP(I4610,FS_input_noty,J4610,FALSE)=""</f>
        <v>0</v>
      </c>
      <c r="H4615" s="6" t="s">
        <v>2189</v>
      </c>
      <c r="I4615" t="s">
        <v>1938</v>
      </c>
      <c r="J4615">
        <v>7</v>
      </c>
      <c r="L4615" s="26" t="e">
        <f t="shared" si="257"/>
        <v>#VALUE!</v>
      </c>
    </row>
    <row r="4616" spans="1:12" x14ac:dyDescent="0.35">
      <c r="A4616">
        <f t="shared" si="258"/>
        <v>4615</v>
      </c>
      <c r="B4616" t="s">
        <v>110</v>
      </c>
      <c r="C4616" s="109" t="str">
        <f>IF(ISBLANK(K4616),IFERROR(VLOOKUP(I4616,FS_input_data!$C$458:$N$648,Export!J4616,FALSE),""),K4616)</f>
        <v/>
      </c>
      <c r="D4616" s="6"/>
      <c r="E4616" s="6"/>
      <c r="F4616" s="6"/>
      <c r="G4616" s="115" t="b">
        <f>VLOOKUP(I4610,FS_input_noty,J4610,FALSE)=""</f>
        <v>0</v>
      </c>
      <c r="H4616" s="6" t="s">
        <v>2189</v>
      </c>
      <c r="I4616" t="s">
        <v>1561</v>
      </c>
      <c r="J4616" t="s">
        <v>1561</v>
      </c>
      <c r="L4616">
        <f t="shared" si="257"/>
        <v>1</v>
      </c>
    </row>
    <row r="4617" spans="1:12" x14ac:dyDescent="0.35">
      <c r="A4617" s="9">
        <f t="shared" si="258"/>
        <v>4616</v>
      </c>
      <c r="B4617" t="s">
        <v>111</v>
      </c>
      <c r="C4617" s="109">
        <f>IF(ISBLANK(K4617),IFERROR(VLOOKUP(I4617,FS_input_data!$C$458:$N$648,Export!J4617,FALSE),""),K4617)</f>
        <v>10000</v>
      </c>
      <c r="D4617" s="6" t="b">
        <v>0</v>
      </c>
      <c r="E4617" s="6"/>
      <c r="F4617" s="6"/>
      <c r="G4617" s="115" t="b">
        <f>VLOOKUP(I4610,FS_input_noty,J4610,TRUE)=""</f>
        <v>0</v>
      </c>
      <c r="H4617" s="6" t="s">
        <v>2189</v>
      </c>
      <c r="I4617" t="s">
        <v>1938</v>
      </c>
      <c r="J4617">
        <v>8</v>
      </c>
      <c r="L4617" s="26" t="e">
        <f t="shared" si="257"/>
        <v>#VALUE!</v>
      </c>
    </row>
    <row r="4618" spans="1:12" x14ac:dyDescent="0.35">
      <c r="A4618">
        <f t="shared" si="258"/>
        <v>4617</v>
      </c>
      <c r="B4618" t="s">
        <v>112</v>
      </c>
      <c r="C4618" s="109" t="str">
        <f>IF(ISBLANK(K4618),IFERROR(VLOOKUP(I4618,FS_input_data!$C$458:$N$648,Export!J4618,FALSE),""),K4618)</f>
        <v/>
      </c>
      <c r="D4618" s="6"/>
      <c r="E4618" s="6"/>
      <c r="F4618" s="6"/>
      <c r="G4618" s="115" t="b">
        <f>VLOOKUP(I4610,FS_input_noty,J4610,FALSE)=""</f>
        <v>0</v>
      </c>
      <c r="H4618" s="6" t="s">
        <v>2189</v>
      </c>
      <c r="I4618" t="s">
        <v>1561</v>
      </c>
      <c r="J4618" t="s">
        <v>1561</v>
      </c>
      <c r="L4618">
        <f t="shared" si="257"/>
        <v>1</v>
      </c>
    </row>
    <row r="4619" spans="1:12" x14ac:dyDescent="0.35">
      <c r="A4619" s="9">
        <f t="shared" si="258"/>
        <v>4618</v>
      </c>
      <c r="B4619" t="s">
        <v>749</v>
      </c>
      <c r="C4619" s="109">
        <f>IF(ISBLANK(K4619),IFERROR(VLOOKUP(I4619,FS_input_data!$C$458:$N$648,Export!J4619,FALSE),""),K4619)</f>
        <v>10000</v>
      </c>
      <c r="D4619" s="6" t="b">
        <v>0</v>
      </c>
      <c r="E4619" s="6"/>
      <c r="F4619" s="6"/>
      <c r="G4619" s="115" t="b">
        <f>VLOOKUP(I4610,FS_input_noty,J4610,FALSE)=""</f>
        <v>0</v>
      </c>
      <c r="H4619" s="6" t="s">
        <v>2189</v>
      </c>
      <c r="I4619" t="s">
        <v>1938</v>
      </c>
      <c r="J4619">
        <v>9</v>
      </c>
      <c r="L4619" s="26" t="e">
        <f t="shared" si="257"/>
        <v>#VALUE!</v>
      </c>
    </row>
    <row r="4620" spans="1:12" x14ac:dyDescent="0.35">
      <c r="A4620">
        <f t="shared" si="258"/>
        <v>4619</v>
      </c>
      <c r="B4620" t="s">
        <v>750</v>
      </c>
      <c r="C4620" s="109" t="str">
        <f>IF(ISBLANK(K4620),IFERROR(VLOOKUP(I4620,FS_input_data!$C$458:$N$648,Export!J4620,FALSE),""),K4620)</f>
        <v/>
      </c>
      <c r="D4620" s="6"/>
      <c r="E4620" s="6"/>
      <c r="F4620" s="6"/>
      <c r="G4620" s="115" t="b">
        <f>VLOOKUP(I4610,FS_input_noty,J4610,FALSE)=""</f>
        <v>0</v>
      </c>
      <c r="H4620" s="6" t="s">
        <v>2189</v>
      </c>
      <c r="I4620" t="s">
        <v>1561</v>
      </c>
      <c r="J4620" t="s">
        <v>1561</v>
      </c>
      <c r="L4620">
        <f t="shared" si="257"/>
        <v>1</v>
      </c>
    </row>
    <row r="4621" spans="1:12" x14ac:dyDescent="0.35">
      <c r="A4621">
        <f t="shared" si="258"/>
        <v>4620</v>
      </c>
      <c r="B4621" t="s">
        <v>751</v>
      </c>
      <c r="C4621" s="109" t="str">
        <f>IF(ISBLANK(K4621),IFERROR(VLOOKUP(I4621,FS_input_data!$C$458:$N$648,Export!J4621,FALSE),""),K4621)</f>
        <v/>
      </c>
      <c r="D4621" s="6"/>
      <c r="E4621" s="6"/>
      <c r="F4621" s="6"/>
      <c r="G4621" s="115" t="b">
        <f>VLOOKUP(I4610,FS_input_noty,J4610,FALSE)=""</f>
        <v>0</v>
      </c>
      <c r="H4621" s="6" t="s">
        <v>2189</v>
      </c>
      <c r="I4621" t="s">
        <v>1561</v>
      </c>
      <c r="J4621" t="s">
        <v>1561</v>
      </c>
      <c r="L4621">
        <f t="shared" si="257"/>
        <v>1</v>
      </c>
    </row>
    <row r="4622" spans="1:12" x14ac:dyDescent="0.35">
      <c r="A4622">
        <f t="shared" si="258"/>
        <v>4621</v>
      </c>
      <c r="B4622" t="s">
        <v>754</v>
      </c>
      <c r="C4622" s="109" t="str">
        <f>IF(ISBLANK(K4622),IFERROR(VLOOKUP(I4622,FS_input_data!$C$458:$N$648,Export!J4622,FALSE),""),K4622)</f>
        <v/>
      </c>
      <c r="D4622" s="6"/>
      <c r="E4622" s="6"/>
      <c r="F4622" s="6"/>
      <c r="G4622" s="115" t="b">
        <f>VLOOKUP(I4610,FS_input_noty,J4610,FALSE)=""</f>
        <v>0</v>
      </c>
      <c r="H4622" s="6" t="s">
        <v>2189</v>
      </c>
      <c r="I4622" t="s">
        <v>1561</v>
      </c>
      <c r="J4622" t="s">
        <v>1561</v>
      </c>
      <c r="L4622" s="26" t="e">
        <f t="shared" si="257"/>
        <v>#VALUE!</v>
      </c>
    </row>
    <row r="4623" spans="1:12" x14ac:dyDescent="0.35">
      <c r="A4623" s="9">
        <f t="shared" si="258"/>
        <v>4622</v>
      </c>
      <c r="B4623" t="s">
        <v>755</v>
      </c>
      <c r="C4623" s="109">
        <f>IF(ISBLANK(K4623),IFERROR(VLOOKUP(I4623,FS_input_data!$C$458:$N$648,Export!J4623,FALSE),""),K4623)</f>
        <v>64</v>
      </c>
      <c r="D4623" s="6" t="b">
        <v>1</v>
      </c>
      <c r="E4623" s="6"/>
      <c r="F4623" s="6"/>
      <c r="G4623" s="115" t="b">
        <f>VLOOKUP(I4610,FS_input_noty,J4610,FALSE)=""</f>
        <v>0</v>
      </c>
      <c r="H4623" s="6" t="s">
        <v>2189</v>
      </c>
      <c r="I4623" t="s">
        <v>1938</v>
      </c>
      <c r="J4623">
        <v>2</v>
      </c>
      <c r="L4623" s="26" t="e">
        <f t="shared" si="257"/>
        <v>#VALUE!</v>
      </c>
    </row>
    <row r="4624" spans="1:12" x14ac:dyDescent="0.35">
      <c r="A4624">
        <f t="shared" si="258"/>
        <v>4623</v>
      </c>
      <c r="B4624" t="s">
        <v>756</v>
      </c>
      <c r="C4624" s="109" t="str">
        <f>IF(ISBLANK(K4624),IFERROR(VLOOKUP(I4624,FS_input_data!$C$458:$N$648,Export!J4624,FALSE),""),K4624)</f>
        <v/>
      </c>
      <c r="D4624" s="6"/>
      <c r="E4624" s="6"/>
      <c r="F4624" s="6"/>
      <c r="G4624" s="115" t="b">
        <f>VLOOKUP(I4610,FS_input_noty,J4610,FALSE)=""</f>
        <v>0</v>
      </c>
      <c r="H4624" s="6" t="s">
        <v>2189</v>
      </c>
      <c r="I4624" t="s">
        <v>1561</v>
      </c>
      <c r="J4624" t="s">
        <v>1561</v>
      </c>
      <c r="L4624">
        <f t="shared" si="257"/>
        <v>1</v>
      </c>
    </row>
    <row r="4625" spans="1:12" x14ac:dyDescent="0.35">
      <c r="A4625" s="9">
        <f t="shared" si="258"/>
        <v>4624</v>
      </c>
      <c r="B4625" t="s">
        <v>757</v>
      </c>
      <c r="C4625" s="109">
        <f>IF(ISBLANK(K4625),IFERROR(VLOOKUP(I4625,FS_input_data!$C$458:$N$648,Export!J4625,FALSE),""),K4625)</f>
        <v>164</v>
      </c>
      <c r="D4625" s="6" t="b">
        <v>0</v>
      </c>
      <c r="E4625" s="6"/>
      <c r="F4625" s="6"/>
      <c r="G4625" s="115" t="b">
        <f>VLOOKUP(I4610,FS_input_noty,J4610,FALSE)=""</f>
        <v>0</v>
      </c>
      <c r="H4625" s="6" t="s">
        <v>2189</v>
      </c>
      <c r="I4625" t="s">
        <v>1938</v>
      </c>
      <c r="J4625">
        <v>3</v>
      </c>
      <c r="L4625" s="26" t="e">
        <f t="shared" si="257"/>
        <v>#VALUE!</v>
      </c>
    </row>
    <row r="4626" spans="1:12" x14ac:dyDescent="0.35">
      <c r="A4626">
        <f t="shared" si="258"/>
        <v>4625</v>
      </c>
      <c r="B4626" t="s">
        <v>758</v>
      </c>
      <c r="C4626" s="109" t="str">
        <f>IF(ISBLANK(K4626),IFERROR(VLOOKUP(I4626,FS_input_data!$C$458:$N$648,Export!J4626,FALSE),""),K4626)</f>
        <v/>
      </c>
      <c r="D4626" s="6"/>
      <c r="E4626" s="6"/>
      <c r="F4626" s="6"/>
      <c r="G4626" s="115" t="b">
        <f>VLOOKUP(I4610,FS_input_noty,J4610,FALSE)=""</f>
        <v>0</v>
      </c>
      <c r="H4626" s="6" t="s">
        <v>2189</v>
      </c>
      <c r="I4626" t="s">
        <v>1561</v>
      </c>
      <c r="J4626" t="s">
        <v>1561</v>
      </c>
      <c r="L4626">
        <f t="shared" si="257"/>
        <v>1</v>
      </c>
    </row>
    <row r="4627" spans="1:12" x14ac:dyDescent="0.35">
      <c r="A4627" s="9">
        <f t="shared" si="258"/>
        <v>4626</v>
      </c>
      <c r="B4627" t="s">
        <v>759</v>
      </c>
      <c r="C4627" s="109">
        <f>IF(ISBLANK(K4627),IFERROR(VLOOKUP(I4627,FS_input_data!$C$458:$N$648,Export!J4627,FALSE),""),K4627)</f>
        <v>264</v>
      </c>
      <c r="D4627" s="6" t="b">
        <v>0</v>
      </c>
      <c r="E4627" s="6"/>
      <c r="F4627" s="6"/>
      <c r="G4627" s="115" t="b">
        <f>VLOOKUP(I4610,FS_input_noty,J4610,FALSE)=""</f>
        <v>0</v>
      </c>
      <c r="H4627" s="6" t="s">
        <v>2189</v>
      </c>
      <c r="I4627" t="s">
        <v>1938</v>
      </c>
      <c r="J4627">
        <v>4</v>
      </c>
      <c r="L4627" s="26" t="e">
        <f t="shared" si="257"/>
        <v>#VALUE!</v>
      </c>
    </row>
    <row r="4628" spans="1:12" x14ac:dyDescent="0.35">
      <c r="A4628">
        <f t="shared" si="258"/>
        <v>4627</v>
      </c>
      <c r="B4628" t="s">
        <v>760</v>
      </c>
      <c r="C4628" s="109" t="str">
        <f>IF(ISBLANK(K4628),IFERROR(VLOOKUP(I4628,FS_input_data!$C$458:$N$648,Export!J4628,FALSE),""),K4628)</f>
        <v/>
      </c>
      <c r="D4628" s="6"/>
      <c r="E4628" s="6"/>
      <c r="F4628" s="6"/>
      <c r="G4628" s="115" t="b">
        <f>VLOOKUP(I4610,FS_input_noty,J4610,FALSE)=""</f>
        <v>0</v>
      </c>
      <c r="H4628" s="6" t="s">
        <v>2189</v>
      </c>
      <c r="I4628" t="s">
        <v>1561</v>
      </c>
      <c r="J4628" t="s">
        <v>1561</v>
      </c>
      <c r="L4628">
        <f t="shared" si="257"/>
        <v>1</v>
      </c>
    </row>
    <row r="4629" spans="1:12" x14ac:dyDescent="0.35">
      <c r="A4629" s="9">
        <f t="shared" si="258"/>
        <v>4628</v>
      </c>
      <c r="B4629" t="s">
        <v>761</v>
      </c>
      <c r="C4629" s="109" t="str">
        <f>IF(ISBLANK(K4629),IFERROR(VLOOKUP(I4629,FS_input_data!$C$458:$N$648,Export!J4629,FALSE),""),K4629)</f>
        <v>h</v>
      </c>
      <c r="D4629" s="6" t="b">
        <v>0</v>
      </c>
      <c r="E4629" s="6"/>
      <c r="F4629" s="6"/>
      <c r="G4629" s="115" t="b">
        <f>VLOOKUP(I4610,FS_input_noty,J4610,FALSE)=""</f>
        <v>0</v>
      </c>
      <c r="H4629" s="6" t="s">
        <v>2189</v>
      </c>
      <c r="I4629" t="s">
        <v>1938</v>
      </c>
      <c r="J4629">
        <v>5</v>
      </c>
      <c r="L4629" s="26" t="e">
        <f t="shared" si="257"/>
        <v>#VALUE!</v>
      </c>
    </row>
    <row r="4630" spans="1:12" x14ac:dyDescent="0.35">
      <c r="A4630">
        <f t="shared" si="258"/>
        <v>4629</v>
      </c>
      <c r="B4630" t="s">
        <v>762</v>
      </c>
      <c r="C4630" s="109" t="str">
        <f>IF(ISBLANK(K4630),IFERROR(VLOOKUP(I4630,FS_input_data!$C$458:$N$648,Export!J4630,FALSE),""),K4630)</f>
        <v/>
      </c>
      <c r="D4630" s="6"/>
      <c r="E4630" s="6"/>
      <c r="F4630" s="6"/>
      <c r="G4630" s="115" t="b">
        <f>VLOOKUP(I4610,FS_input_noty,J4610,FALSE)=""</f>
        <v>0</v>
      </c>
      <c r="H4630" s="6" t="s">
        <v>2189</v>
      </c>
      <c r="I4630" t="s">
        <v>1561</v>
      </c>
      <c r="J4630" t="s">
        <v>1561</v>
      </c>
      <c r="L4630">
        <f t="shared" si="257"/>
        <v>1</v>
      </c>
    </row>
    <row r="4631" spans="1:12" x14ac:dyDescent="0.35">
      <c r="A4631">
        <f t="shared" si="258"/>
        <v>4630</v>
      </c>
      <c r="B4631" t="s">
        <v>763</v>
      </c>
      <c r="C4631" s="109" t="str">
        <f>IF(ISBLANK(K4631),IFERROR(VLOOKUP(I4631,FS_input_data!$C$458:$N$648,Export!J4631,FALSE),""),K4631)</f>
        <v/>
      </c>
      <c r="D4631" s="6"/>
      <c r="E4631" s="6"/>
      <c r="F4631" s="6"/>
      <c r="G4631" s="115" t="b">
        <f>VLOOKUP(I4610,FS_input_noty,J4610,FALSE)=""</f>
        <v>0</v>
      </c>
      <c r="H4631" s="6" t="s">
        <v>2189</v>
      </c>
      <c r="I4631" t="s">
        <v>1561</v>
      </c>
      <c r="J4631" t="s">
        <v>1561</v>
      </c>
      <c r="L4631">
        <f t="shared" si="257"/>
        <v>1</v>
      </c>
    </row>
    <row r="4632" spans="1:12" x14ac:dyDescent="0.35">
      <c r="A4632">
        <f t="shared" si="258"/>
        <v>4631</v>
      </c>
      <c r="B4632" t="s">
        <v>743</v>
      </c>
      <c r="C4632" s="109" t="str">
        <f>IF(ISBLANK(K4632),IFERROR(VLOOKUP(I4632,FS_input_data!$C$458:$N$648,Export!J4632,FALSE),""),K4632)</f>
        <v/>
      </c>
      <c r="D4632" s="6"/>
      <c r="E4632" s="6"/>
      <c r="F4632" s="6"/>
      <c r="G4632" s="115" t="b">
        <f>VLOOKUP(I4610,FS_input_noty,J4610,FALSE)=""</f>
        <v>0</v>
      </c>
      <c r="H4632" s="6" t="s">
        <v>2189</v>
      </c>
      <c r="I4632" t="s">
        <v>1561</v>
      </c>
      <c r="J4632" t="s">
        <v>1561</v>
      </c>
      <c r="L4632">
        <f t="shared" si="257"/>
        <v>1</v>
      </c>
    </row>
    <row r="4633" spans="1:12" x14ac:dyDescent="0.35">
      <c r="A4633">
        <f t="shared" si="258"/>
        <v>4632</v>
      </c>
      <c r="B4633" t="s">
        <v>744</v>
      </c>
      <c r="C4633" s="109" t="str">
        <f>IF(ISBLANK(K4633),IFERROR(VLOOKUP(I4633,FS_input_data!$C$458:$N$648,Export!J4633,FALSE),""),K4633)</f>
        <v/>
      </c>
      <c r="D4633" s="6"/>
      <c r="E4633" s="6"/>
      <c r="F4633" s="6"/>
      <c r="G4633" s="115" t="b">
        <f t="shared" ref="G4633:G4640" si="259">RP_tax</f>
        <v>1</v>
      </c>
      <c r="H4633" s="6" t="s">
        <v>2189</v>
      </c>
      <c r="I4633" t="s">
        <v>1561</v>
      </c>
      <c r="J4633" t="s">
        <v>1561</v>
      </c>
      <c r="L4633" s="26" t="e">
        <f t="shared" si="257"/>
        <v>#VALUE!</v>
      </c>
    </row>
    <row r="4634" spans="1:12" x14ac:dyDescent="0.35">
      <c r="A4634" s="9">
        <f t="shared" si="258"/>
        <v>4633</v>
      </c>
      <c r="B4634" t="s">
        <v>109</v>
      </c>
      <c r="C4634" s="109">
        <f>IF(ISBLANK(K4634),IFERROR(VLOOKUP(I4634,FS_input_data!$C$458:$N$648,Export!J4634,FALSE),""),K4634)</f>
        <v>20000</v>
      </c>
      <c r="D4634" s="6" t="b">
        <v>1</v>
      </c>
      <c r="E4634" s="6"/>
      <c r="F4634" s="6"/>
      <c r="G4634" s="115" t="b">
        <f t="shared" si="259"/>
        <v>1</v>
      </c>
      <c r="H4634" s="6" t="s">
        <v>2189</v>
      </c>
      <c r="I4634" t="s">
        <v>1938</v>
      </c>
      <c r="J4634">
        <v>10</v>
      </c>
      <c r="L4634" s="26" t="e">
        <f t="shared" si="257"/>
        <v>#VALUE!</v>
      </c>
    </row>
    <row r="4635" spans="1:12" x14ac:dyDescent="0.35">
      <c r="A4635">
        <f t="shared" si="258"/>
        <v>4634</v>
      </c>
      <c r="B4635" t="s">
        <v>110</v>
      </c>
      <c r="C4635" s="109" t="str">
        <f>IF(ISBLANK(K4635),IFERROR(VLOOKUP(I4635,FS_input_data!$C$458:$N$648,Export!J4635,FALSE),""),K4635)</f>
        <v/>
      </c>
      <c r="D4635" s="6"/>
      <c r="E4635" s="6"/>
      <c r="F4635" s="6"/>
      <c r="G4635" s="115" t="b">
        <f t="shared" si="259"/>
        <v>1</v>
      </c>
      <c r="H4635" s="6" t="s">
        <v>2189</v>
      </c>
      <c r="I4635" t="s">
        <v>1561</v>
      </c>
      <c r="J4635" t="s">
        <v>1561</v>
      </c>
      <c r="L4635">
        <f t="shared" si="257"/>
        <v>1</v>
      </c>
    </row>
    <row r="4636" spans="1:12" x14ac:dyDescent="0.35">
      <c r="A4636" s="9">
        <f t="shared" si="258"/>
        <v>4635</v>
      </c>
      <c r="B4636" t="s">
        <v>111</v>
      </c>
      <c r="C4636" s="109">
        <f>IF(ISBLANK(K4636),IFERROR(VLOOKUP(I4636,FS_input_data!$C$458:$N$648,Export!J4636,FALSE),""),K4636)</f>
        <v>10000</v>
      </c>
      <c r="D4636" s="6" t="b">
        <v>0</v>
      </c>
      <c r="E4636" s="6"/>
      <c r="F4636" s="6"/>
      <c r="G4636" s="115" t="b">
        <f t="shared" si="259"/>
        <v>1</v>
      </c>
      <c r="H4636" s="6" t="s">
        <v>2189</v>
      </c>
      <c r="I4636" t="s">
        <v>1938</v>
      </c>
      <c r="J4636">
        <v>11</v>
      </c>
      <c r="L4636" s="26" t="e">
        <f t="shared" si="257"/>
        <v>#VALUE!</v>
      </c>
    </row>
    <row r="4637" spans="1:12" x14ac:dyDescent="0.35">
      <c r="A4637">
        <f t="shared" si="258"/>
        <v>4636</v>
      </c>
      <c r="B4637" t="s">
        <v>112</v>
      </c>
      <c r="C4637" s="109" t="str">
        <f>IF(ISBLANK(K4637),IFERROR(VLOOKUP(I4637,FS_input_data!$C$458:$N$648,Export!J4637,FALSE),""),K4637)</f>
        <v/>
      </c>
      <c r="D4637" s="6"/>
      <c r="E4637" s="6"/>
      <c r="F4637" s="6"/>
      <c r="G4637" s="115" t="b">
        <f t="shared" si="259"/>
        <v>1</v>
      </c>
      <c r="H4637" s="6" t="s">
        <v>2189</v>
      </c>
      <c r="I4637" t="s">
        <v>1561</v>
      </c>
      <c r="J4637" t="s">
        <v>1561</v>
      </c>
      <c r="L4637">
        <f t="shared" si="257"/>
        <v>1</v>
      </c>
    </row>
    <row r="4638" spans="1:12" x14ac:dyDescent="0.35">
      <c r="A4638" s="9">
        <f t="shared" si="258"/>
        <v>4637</v>
      </c>
      <c r="B4638" t="s">
        <v>749</v>
      </c>
      <c r="C4638" s="109">
        <f>IF(ISBLANK(K4638),IFERROR(VLOOKUP(I4638,FS_input_data!$C$458:$N$648,Export!J4638,FALSE),""),K4638)</f>
        <v>10000</v>
      </c>
      <c r="D4638" s="6" t="b">
        <v>0</v>
      </c>
      <c r="E4638" s="6"/>
      <c r="F4638" s="6"/>
      <c r="G4638" s="115" t="b">
        <f t="shared" si="259"/>
        <v>1</v>
      </c>
      <c r="H4638" s="6" t="s">
        <v>2189</v>
      </c>
      <c r="I4638" t="s">
        <v>1938</v>
      </c>
      <c r="J4638">
        <v>12</v>
      </c>
      <c r="L4638" s="26" t="e">
        <f t="shared" si="257"/>
        <v>#VALUE!</v>
      </c>
    </row>
    <row r="4639" spans="1:12" x14ac:dyDescent="0.35">
      <c r="A4639">
        <f t="shared" si="258"/>
        <v>4638</v>
      </c>
      <c r="B4639" t="s">
        <v>750</v>
      </c>
      <c r="C4639" s="109" t="str">
        <f>IF(ISBLANK(K4639),IFERROR(VLOOKUP(I4639,FS_input_data!$C$458:$N$648,Export!J4639,FALSE),""),K4639)</f>
        <v/>
      </c>
      <c r="D4639" s="6"/>
      <c r="E4639" s="6"/>
      <c r="F4639" s="6"/>
      <c r="G4639" s="115" t="b">
        <f t="shared" si="259"/>
        <v>1</v>
      </c>
      <c r="H4639" s="6" t="s">
        <v>2189</v>
      </c>
      <c r="I4639" t="s">
        <v>1561</v>
      </c>
      <c r="J4639" t="s">
        <v>1561</v>
      </c>
      <c r="L4639">
        <f t="shared" si="257"/>
        <v>1</v>
      </c>
    </row>
    <row r="4640" spans="1:12" x14ac:dyDescent="0.35">
      <c r="A4640">
        <f t="shared" si="258"/>
        <v>4639</v>
      </c>
      <c r="B4640" t="s">
        <v>745</v>
      </c>
      <c r="C4640" s="109" t="str">
        <f>IF(ISBLANK(K4640),IFERROR(VLOOKUP(I4640,FS_input_data!$C$458:$N$648,Export!J4640,FALSE),""),K4640)</f>
        <v/>
      </c>
      <c r="D4640" s="6"/>
      <c r="E4640" s="6"/>
      <c r="F4640" s="6"/>
      <c r="G4640" s="115" t="b">
        <f t="shared" si="259"/>
        <v>1</v>
      </c>
      <c r="H4640" s="6" t="s">
        <v>2189</v>
      </c>
      <c r="I4640" t="s">
        <v>1561</v>
      </c>
      <c r="J4640" t="s">
        <v>1561</v>
      </c>
      <c r="L4640">
        <f t="shared" si="257"/>
        <v>1</v>
      </c>
    </row>
    <row r="4641" spans="1:12" x14ac:dyDescent="0.35">
      <c r="A4641">
        <f t="shared" si="258"/>
        <v>4640</v>
      </c>
      <c r="B4641" t="s">
        <v>764</v>
      </c>
      <c r="C4641" s="109" t="str">
        <f>IF(ISBLANK(K4641),IFERROR(VLOOKUP(I4641,FS_input_data!$C$458:$N$648,Export!J4641,FALSE),""),K4641)</f>
        <v/>
      </c>
      <c r="D4641" s="6"/>
      <c r="E4641" s="6"/>
      <c r="F4641" s="6"/>
      <c r="G4641" s="115" t="b">
        <f>VLOOKUP(I4610,FS_input_noty,J4610,FALSE)=""</f>
        <v>0</v>
      </c>
      <c r="H4641" s="6" t="s">
        <v>2189</v>
      </c>
      <c r="I4641" t="s">
        <v>1561</v>
      </c>
      <c r="J4641" t="s">
        <v>1561</v>
      </c>
      <c r="L4641">
        <f t="shared" si="257"/>
        <v>1</v>
      </c>
    </row>
    <row r="4642" spans="1:12" x14ac:dyDescent="0.35">
      <c r="A4642">
        <f t="shared" si="258"/>
        <v>4641</v>
      </c>
      <c r="B4642" t="s">
        <v>765</v>
      </c>
      <c r="C4642" s="109" t="str">
        <f>IF(ISBLANK(K4642),IFERROR(VLOOKUP(I4642,FS_input_data!$C$458:$N$648,Export!J4642,FALSE),""),K4642)</f>
        <v/>
      </c>
      <c r="D4642" s="6"/>
      <c r="E4642" s="6"/>
      <c r="F4642" s="6"/>
      <c r="G4642" s="115" t="b">
        <f>VLOOKUP(I4610,FS_input_noty,J4610,FALSE)=""</f>
        <v>0</v>
      </c>
      <c r="H4642" s="6" t="s">
        <v>2189</v>
      </c>
      <c r="I4642" t="s">
        <v>1561</v>
      </c>
      <c r="J4642" t="s">
        <v>1561</v>
      </c>
      <c r="L4642">
        <f t="shared" si="257"/>
        <v>1</v>
      </c>
    </row>
    <row r="4643" spans="1:12" x14ac:dyDescent="0.35">
      <c r="A4643">
        <f t="shared" si="258"/>
        <v>4642</v>
      </c>
      <c r="B4643" t="s">
        <v>766</v>
      </c>
      <c r="C4643" s="109" t="str">
        <f>IF(ISBLANK(K4643),IFERROR(VLOOKUP(I4643,FS_input_data!$C$458:$N$648,Export!J4643,FALSE),""),K4643)</f>
        <v/>
      </c>
      <c r="D4643" s="6"/>
      <c r="E4643" s="6"/>
      <c r="F4643" s="6"/>
      <c r="G4643" s="119" t="b">
        <f t="shared" ref="G4643:G4651" si="260">VLOOKUP($I$4645,FS_input_noty,$J$4645,FALSE)=""</f>
        <v>0</v>
      </c>
      <c r="H4643" s="6" t="s">
        <v>2189</v>
      </c>
      <c r="I4643" t="s">
        <v>1561</v>
      </c>
      <c r="J4643" t="s">
        <v>1561</v>
      </c>
      <c r="L4643" s="26" t="e">
        <f t="shared" si="257"/>
        <v>#VALUE!</v>
      </c>
    </row>
    <row r="4644" spans="1:12" x14ac:dyDescent="0.35">
      <c r="A4644">
        <f t="shared" si="258"/>
        <v>4643</v>
      </c>
      <c r="B4644" t="s">
        <v>742</v>
      </c>
      <c r="C4644" s="109" t="str">
        <f>IF(ISBLANK(K4644),IFERROR(VLOOKUP(I4644,FS_input_data!$C$458:$N$648,Export!J4644,FALSE),""),K4644)</f>
        <v/>
      </c>
      <c r="D4644" s="6"/>
      <c r="E4644" s="6"/>
      <c r="F4644" s="6"/>
      <c r="G4644" s="119" t="b">
        <f t="shared" si="260"/>
        <v>0</v>
      </c>
      <c r="H4644" s="6" t="s">
        <v>2189</v>
      </c>
      <c r="I4644" t="s">
        <v>1561</v>
      </c>
      <c r="J4644" t="s">
        <v>1561</v>
      </c>
      <c r="L4644" s="26" t="e">
        <f t="shared" si="257"/>
        <v>#VALUE!</v>
      </c>
    </row>
    <row r="4645" spans="1:12" x14ac:dyDescent="0.35">
      <c r="A4645" s="9">
        <f t="shared" si="258"/>
        <v>4644</v>
      </c>
      <c r="B4645" t="s">
        <v>109</v>
      </c>
      <c r="C4645" s="109">
        <f>IF(ISBLANK(K4645),IFERROR(VLOOKUP(I4645,FS_input_data!$C$458:$N$648,Export!J4645,FALSE),""),K4645)</f>
        <v>21000</v>
      </c>
      <c r="D4645" s="6" t="b">
        <v>1</v>
      </c>
      <c r="E4645" s="6"/>
      <c r="F4645" s="6"/>
      <c r="G4645" s="119" t="b">
        <f t="shared" si="260"/>
        <v>0</v>
      </c>
      <c r="H4645" s="6" t="s">
        <v>2189</v>
      </c>
      <c r="I4645" t="s">
        <v>2192</v>
      </c>
      <c r="J4645">
        <v>7</v>
      </c>
      <c r="L4645" s="26" t="e">
        <f t="shared" si="257"/>
        <v>#VALUE!</v>
      </c>
    </row>
    <row r="4646" spans="1:12" x14ac:dyDescent="0.35">
      <c r="A4646">
        <f t="shared" si="258"/>
        <v>4645</v>
      </c>
      <c r="B4646" t="s">
        <v>110</v>
      </c>
      <c r="C4646" s="109" t="str">
        <f>IF(ISBLANK(K4646),IFERROR(VLOOKUP(I4646,FS_input_data!$C$458:$N$648,Export!J4646,FALSE),""),K4646)</f>
        <v/>
      </c>
      <c r="D4646" s="6"/>
      <c r="E4646" s="6"/>
      <c r="F4646" s="6"/>
      <c r="G4646" s="119" t="b">
        <f t="shared" si="260"/>
        <v>0</v>
      </c>
      <c r="H4646" s="6" t="s">
        <v>2189</v>
      </c>
      <c r="I4646" t="s">
        <v>1561</v>
      </c>
      <c r="J4646" t="s">
        <v>1561</v>
      </c>
      <c r="L4646">
        <f t="shared" si="257"/>
        <v>1</v>
      </c>
    </row>
    <row r="4647" spans="1:12" x14ac:dyDescent="0.35">
      <c r="A4647" s="9">
        <f t="shared" si="258"/>
        <v>4646</v>
      </c>
      <c r="B4647" t="s">
        <v>111</v>
      </c>
      <c r="C4647" s="109">
        <f>IF(ISBLANK(K4647),IFERROR(VLOOKUP(I4647,FS_input_data!$C$458:$N$648,Export!J4647,FALSE),""),K4647)</f>
        <v>10500</v>
      </c>
      <c r="D4647" s="6" t="b">
        <v>0</v>
      </c>
      <c r="E4647" s="6"/>
      <c r="F4647" s="6"/>
      <c r="G4647" s="119" t="b">
        <f t="shared" si="260"/>
        <v>0</v>
      </c>
      <c r="H4647" s="6" t="s">
        <v>2189</v>
      </c>
      <c r="I4647" t="s">
        <v>2192</v>
      </c>
      <c r="J4647">
        <v>8</v>
      </c>
      <c r="L4647" s="26" t="e">
        <f t="shared" si="257"/>
        <v>#VALUE!</v>
      </c>
    </row>
    <row r="4648" spans="1:12" x14ac:dyDescent="0.35">
      <c r="A4648">
        <f t="shared" si="258"/>
        <v>4647</v>
      </c>
      <c r="B4648" t="s">
        <v>112</v>
      </c>
      <c r="C4648" s="109" t="str">
        <f>IF(ISBLANK(K4648),IFERROR(VLOOKUP(I4648,FS_input_data!$C$458:$N$648,Export!J4648,FALSE),""),K4648)</f>
        <v/>
      </c>
      <c r="D4648" s="6"/>
      <c r="E4648" s="6"/>
      <c r="F4648" s="6"/>
      <c r="G4648" s="119" t="b">
        <f t="shared" si="260"/>
        <v>0</v>
      </c>
      <c r="H4648" s="6" t="s">
        <v>2189</v>
      </c>
      <c r="I4648" t="s">
        <v>1561</v>
      </c>
      <c r="J4648" t="s">
        <v>1561</v>
      </c>
      <c r="L4648">
        <f t="shared" si="257"/>
        <v>1</v>
      </c>
    </row>
    <row r="4649" spans="1:12" x14ac:dyDescent="0.35">
      <c r="A4649" s="9">
        <f t="shared" si="258"/>
        <v>4648</v>
      </c>
      <c r="B4649" t="s">
        <v>749</v>
      </c>
      <c r="C4649" s="109">
        <f>IF(ISBLANK(K4649),IFERROR(VLOOKUP(I4649,FS_input_data!$C$458:$N$648,Export!J4649,FALSE),""),K4649)</f>
        <v>10500</v>
      </c>
      <c r="D4649" s="6" t="b">
        <v>0</v>
      </c>
      <c r="E4649" s="6"/>
      <c r="F4649" s="6"/>
      <c r="G4649" s="119" t="b">
        <f t="shared" si="260"/>
        <v>0</v>
      </c>
      <c r="H4649" s="6" t="s">
        <v>2189</v>
      </c>
      <c r="I4649" t="s">
        <v>2192</v>
      </c>
      <c r="J4649">
        <v>9</v>
      </c>
      <c r="L4649" s="26" t="e">
        <f t="shared" si="257"/>
        <v>#VALUE!</v>
      </c>
    </row>
    <row r="4650" spans="1:12" x14ac:dyDescent="0.35">
      <c r="A4650">
        <f t="shared" si="258"/>
        <v>4649</v>
      </c>
      <c r="B4650" t="s">
        <v>750</v>
      </c>
      <c r="C4650" s="109" t="str">
        <f>IF(ISBLANK(K4650),IFERROR(VLOOKUP(I4650,FS_input_data!$C$458:$N$648,Export!J4650,FALSE),""),K4650)</f>
        <v/>
      </c>
      <c r="D4650" s="6"/>
      <c r="E4650" s="6"/>
      <c r="F4650" s="6"/>
      <c r="G4650" s="119" t="b">
        <f t="shared" si="260"/>
        <v>0</v>
      </c>
      <c r="H4650" s="6" t="s">
        <v>2189</v>
      </c>
      <c r="I4650" t="s">
        <v>1561</v>
      </c>
      <c r="J4650" t="s">
        <v>1561</v>
      </c>
      <c r="L4650">
        <f t="shared" si="257"/>
        <v>1</v>
      </c>
    </row>
    <row r="4651" spans="1:12" x14ac:dyDescent="0.35">
      <c r="A4651">
        <f t="shared" si="258"/>
        <v>4650</v>
      </c>
      <c r="B4651" t="s">
        <v>743</v>
      </c>
      <c r="C4651" s="109" t="str">
        <f>IF(ISBLANK(K4651),IFERROR(VLOOKUP(I4651,FS_input_data!$C$458:$N$648,Export!J4651,FALSE),""),K4651)</f>
        <v/>
      </c>
      <c r="D4651" s="6"/>
      <c r="E4651" s="6"/>
      <c r="F4651" s="6"/>
      <c r="G4651" s="119" t="b">
        <f t="shared" si="260"/>
        <v>0</v>
      </c>
      <c r="H4651" s="6" t="s">
        <v>2189</v>
      </c>
      <c r="I4651" t="s">
        <v>1561</v>
      </c>
      <c r="J4651" t="s">
        <v>1561</v>
      </c>
      <c r="L4651">
        <f t="shared" si="257"/>
        <v>1</v>
      </c>
    </row>
    <row r="4652" spans="1:12" x14ac:dyDescent="0.35">
      <c r="A4652">
        <f t="shared" si="258"/>
        <v>4651</v>
      </c>
      <c r="B4652" t="s">
        <v>744</v>
      </c>
      <c r="C4652" s="109" t="str">
        <f>IF(ISBLANK(K4652),IFERROR(VLOOKUP(I4652,FS_input_data!$C$458:$N$648,Export!J4652,FALSE),""),K4652)</f>
        <v/>
      </c>
      <c r="D4652" s="6"/>
      <c r="E4652" s="6"/>
      <c r="F4652" s="6"/>
      <c r="G4652" s="119" t="b">
        <f t="shared" ref="G4652:G4659" si="261">RP_tax</f>
        <v>1</v>
      </c>
      <c r="H4652" s="6" t="s">
        <v>2189</v>
      </c>
      <c r="I4652" t="s">
        <v>1561</v>
      </c>
      <c r="J4652" t="s">
        <v>1561</v>
      </c>
      <c r="L4652" s="26" t="e">
        <f t="shared" si="257"/>
        <v>#VALUE!</v>
      </c>
    </row>
    <row r="4653" spans="1:12" x14ac:dyDescent="0.35">
      <c r="A4653" s="9">
        <f t="shared" si="258"/>
        <v>4652</v>
      </c>
      <c r="B4653" t="s">
        <v>109</v>
      </c>
      <c r="C4653" s="109">
        <f>IF(ISBLANK(K4653),IFERROR(VLOOKUP(I4653,FS_input_data!$C$458:$N$648,Export!J4653,FALSE),""),K4653)</f>
        <v>21000</v>
      </c>
      <c r="D4653" s="6" t="b">
        <v>1</v>
      </c>
      <c r="E4653" s="6"/>
      <c r="F4653" s="6"/>
      <c r="G4653" s="119" t="b">
        <f t="shared" si="261"/>
        <v>1</v>
      </c>
      <c r="H4653" s="6" t="s">
        <v>2189</v>
      </c>
      <c r="I4653" t="s">
        <v>2192</v>
      </c>
      <c r="J4653">
        <v>10</v>
      </c>
      <c r="L4653" s="26" t="e">
        <f t="shared" si="257"/>
        <v>#VALUE!</v>
      </c>
    </row>
    <row r="4654" spans="1:12" x14ac:dyDescent="0.35">
      <c r="A4654">
        <f t="shared" si="258"/>
        <v>4653</v>
      </c>
      <c r="B4654" t="s">
        <v>110</v>
      </c>
      <c r="C4654" s="109" t="str">
        <f>IF(ISBLANK(K4654),IFERROR(VLOOKUP(I4654,FS_input_data!$C$458:$N$648,Export!J4654,FALSE),""),K4654)</f>
        <v/>
      </c>
      <c r="D4654" s="6"/>
      <c r="E4654" s="6"/>
      <c r="F4654" s="6"/>
      <c r="G4654" s="119" t="b">
        <f t="shared" si="261"/>
        <v>1</v>
      </c>
      <c r="H4654" s="6" t="s">
        <v>2189</v>
      </c>
      <c r="I4654" t="s">
        <v>1561</v>
      </c>
      <c r="J4654" t="s">
        <v>1561</v>
      </c>
      <c r="L4654">
        <f t="shared" si="257"/>
        <v>1</v>
      </c>
    </row>
    <row r="4655" spans="1:12" x14ac:dyDescent="0.35">
      <c r="A4655" s="9">
        <f t="shared" si="258"/>
        <v>4654</v>
      </c>
      <c r="B4655" t="s">
        <v>111</v>
      </c>
      <c r="C4655" s="109">
        <f>IF(ISBLANK(K4655),IFERROR(VLOOKUP(I4655,FS_input_data!$C$458:$N$648,Export!J4655,FALSE),""),K4655)</f>
        <v>10500</v>
      </c>
      <c r="D4655" s="6" t="b">
        <v>0</v>
      </c>
      <c r="E4655" s="6"/>
      <c r="F4655" s="6"/>
      <c r="G4655" s="119" t="b">
        <f t="shared" si="261"/>
        <v>1</v>
      </c>
      <c r="H4655" s="6" t="s">
        <v>2189</v>
      </c>
      <c r="I4655" t="s">
        <v>2192</v>
      </c>
      <c r="J4655">
        <v>11</v>
      </c>
      <c r="L4655" s="26" t="e">
        <f t="shared" si="257"/>
        <v>#VALUE!</v>
      </c>
    </row>
    <row r="4656" spans="1:12" x14ac:dyDescent="0.35">
      <c r="A4656">
        <f t="shared" si="258"/>
        <v>4655</v>
      </c>
      <c r="B4656" t="s">
        <v>112</v>
      </c>
      <c r="C4656" s="109" t="str">
        <f>IF(ISBLANK(K4656),IFERROR(VLOOKUP(I4656,FS_input_data!$C$458:$N$648,Export!J4656,FALSE),""),K4656)</f>
        <v/>
      </c>
      <c r="D4656" s="6"/>
      <c r="E4656" s="6"/>
      <c r="F4656" s="6"/>
      <c r="G4656" s="119" t="b">
        <f t="shared" si="261"/>
        <v>1</v>
      </c>
      <c r="H4656" s="6" t="s">
        <v>2189</v>
      </c>
      <c r="I4656" t="s">
        <v>1561</v>
      </c>
      <c r="J4656" t="s">
        <v>1561</v>
      </c>
      <c r="L4656">
        <f t="shared" si="257"/>
        <v>1</v>
      </c>
    </row>
    <row r="4657" spans="1:12" x14ac:dyDescent="0.35">
      <c r="A4657" s="9">
        <f t="shared" si="258"/>
        <v>4656</v>
      </c>
      <c r="B4657" t="s">
        <v>749</v>
      </c>
      <c r="C4657" s="109">
        <f>IF(ISBLANK(K4657),IFERROR(VLOOKUP(I4657,FS_input_data!$C$458:$N$648,Export!J4657,FALSE),""),K4657)</f>
        <v>10500</v>
      </c>
      <c r="D4657" s="6" t="b">
        <v>0</v>
      </c>
      <c r="E4657" s="6"/>
      <c r="F4657" s="6"/>
      <c r="G4657" s="119" t="b">
        <f t="shared" si="261"/>
        <v>1</v>
      </c>
      <c r="H4657" s="6" t="s">
        <v>2189</v>
      </c>
      <c r="I4657" t="s">
        <v>2192</v>
      </c>
      <c r="J4657">
        <v>12</v>
      </c>
      <c r="L4657" s="26" t="e">
        <f t="shared" si="257"/>
        <v>#VALUE!</v>
      </c>
    </row>
    <row r="4658" spans="1:12" x14ac:dyDescent="0.35">
      <c r="A4658">
        <f t="shared" si="258"/>
        <v>4657</v>
      </c>
      <c r="B4658" t="s">
        <v>750</v>
      </c>
      <c r="C4658" s="109" t="str">
        <f>IF(ISBLANK(K4658),IFERROR(VLOOKUP(I4658,FS_input_data!$C$458:$N$648,Export!J4658,FALSE),""),K4658)</f>
        <v/>
      </c>
      <c r="D4658" s="6"/>
      <c r="E4658" s="6"/>
      <c r="F4658" s="6"/>
      <c r="G4658" s="119" t="b">
        <f t="shared" si="261"/>
        <v>1</v>
      </c>
      <c r="H4658" s="6" t="s">
        <v>2189</v>
      </c>
      <c r="I4658" t="s">
        <v>1561</v>
      </c>
      <c r="J4658" t="s">
        <v>1561</v>
      </c>
      <c r="L4658">
        <f t="shared" si="257"/>
        <v>1</v>
      </c>
    </row>
    <row r="4659" spans="1:12" x14ac:dyDescent="0.35">
      <c r="A4659">
        <f t="shared" si="258"/>
        <v>4658</v>
      </c>
      <c r="B4659" t="s">
        <v>745</v>
      </c>
      <c r="C4659" s="109" t="str">
        <f>IF(ISBLANK(K4659),IFERROR(VLOOKUP(I4659,FS_input_data!$C$458:$N$648,Export!J4659,FALSE),""),K4659)</f>
        <v/>
      </c>
      <c r="D4659" s="6"/>
      <c r="E4659" s="6"/>
      <c r="F4659" s="6"/>
      <c r="G4659" s="119" t="b">
        <f t="shared" si="261"/>
        <v>1</v>
      </c>
      <c r="H4659" s="6" t="s">
        <v>2189</v>
      </c>
      <c r="I4659" t="s">
        <v>1561</v>
      </c>
      <c r="J4659" t="s">
        <v>1561</v>
      </c>
      <c r="L4659">
        <f t="shared" si="257"/>
        <v>1</v>
      </c>
    </row>
    <row r="4660" spans="1:12" x14ac:dyDescent="0.35">
      <c r="A4660">
        <f t="shared" si="258"/>
        <v>4659</v>
      </c>
      <c r="B4660" t="s">
        <v>767</v>
      </c>
      <c r="C4660" s="109" t="str">
        <f>IF(ISBLANK(K4660),IFERROR(VLOOKUP(I4660,FS_input_data!$C$458:$N$648,Export!J4660,FALSE),""),K4660)</f>
        <v/>
      </c>
      <c r="D4660" s="6"/>
      <c r="E4660" s="6"/>
      <c r="F4660" s="6"/>
      <c r="G4660" s="119" t="b">
        <f t="shared" ref="G4660:G4671" si="262">VLOOKUP($I$4645,FS_input_noty,$J$4645,FALSE)=""</f>
        <v>0</v>
      </c>
      <c r="H4660" s="6" t="s">
        <v>2189</v>
      </c>
      <c r="I4660" t="s">
        <v>1561</v>
      </c>
      <c r="J4660" t="s">
        <v>1561</v>
      </c>
      <c r="L4660">
        <f t="shared" si="257"/>
        <v>1</v>
      </c>
    </row>
    <row r="4661" spans="1:12" x14ac:dyDescent="0.35">
      <c r="A4661">
        <f t="shared" si="258"/>
        <v>4660</v>
      </c>
      <c r="B4661" t="s">
        <v>772</v>
      </c>
      <c r="C4661" s="109" t="str">
        <f>IF(ISBLANK(K4661),IFERROR(VLOOKUP(I4661,FS_input_data!$C$458:$N$648,Export!J4661,FALSE),""),K4661)</f>
        <v/>
      </c>
      <c r="D4661" s="6"/>
      <c r="E4661" s="6"/>
      <c r="F4661" s="6"/>
      <c r="G4661" s="119" t="b">
        <f t="shared" si="262"/>
        <v>0</v>
      </c>
      <c r="H4661" s="6" t="s">
        <v>2189</v>
      </c>
      <c r="I4661" t="s">
        <v>1561</v>
      </c>
      <c r="J4661" t="s">
        <v>1561</v>
      </c>
      <c r="L4661">
        <f t="shared" si="257"/>
        <v>1</v>
      </c>
    </row>
    <row r="4662" spans="1:12" x14ac:dyDescent="0.35">
      <c r="A4662">
        <f t="shared" si="258"/>
        <v>4661</v>
      </c>
      <c r="B4662" t="s">
        <v>773</v>
      </c>
      <c r="C4662" s="109" t="str">
        <f>IF(ISBLANK(K4662),IFERROR(VLOOKUP(I4662,FS_input_data!$C$458:$N$648,Export!J4662,FALSE),""),K4662)</f>
        <v/>
      </c>
      <c r="D4662" s="6"/>
      <c r="E4662" s="43" t="s">
        <v>2233</v>
      </c>
      <c r="F4662" s="6"/>
      <c r="G4662" s="119" t="b">
        <f t="shared" si="262"/>
        <v>0</v>
      </c>
      <c r="H4662" s="6" t="s">
        <v>2189</v>
      </c>
      <c r="I4662" t="s">
        <v>1561</v>
      </c>
      <c r="J4662" t="s">
        <v>1561</v>
      </c>
      <c r="L4662" s="26" t="e">
        <f t="shared" si="257"/>
        <v>#VALUE!</v>
      </c>
    </row>
    <row r="4663" spans="1:12" x14ac:dyDescent="0.35">
      <c r="A4663">
        <f t="shared" si="258"/>
        <v>4662</v>
      </c>
      <c r="B4663" t="s">
        <v>748</v>
      </c>
      <c r="C4663" s="109" t="str">
        <f>IF(ISBLANK(K4663),IFERROR(VLOOKUP(I4663,FS_input_data!$C$458:$N$648,Export!J4663,FALSE),""),K4663)</f>
        <v/>
      </c>
      <c r="D4663" s="6"/>
      <c r="E4663" s="6"/>
      <c r="F4663" s="6"/>
      <c r="G4663" s="119" t="b">
        <f t="shared" si="262"/>
        <v>0</v>
      </c>
      <c r="H4663" s="6" t="s">
        <v>2189</v>
      </c>
      <c r="I4663" t="s">
        <v>1561</v>
      </c>
      <c r="J4663" t="s">
        <v>1561</v>
      </c>
      <c r="L4663" s="26" t="e">
        <f t="shared" si="257"/>
        <v>#VALUE!</v>
      </c>
    </row>
    <row r="4664" spans="1:12" x14ac:dyDescent="0.35">
      <c r="A4664">
        <f t="shared" si="258"/>
        <v>4663</v>
      </c>
      <c r="B4664" t="s">
        <v>742</v>
      </c>
      <c r="C4664" s="109" t="str">
        <f>IF(ISBLANK(K4664),IFERROR(VLOOKUP(I4664,FS_input_data!$C$458:$N$648,Export!J4664,FALSE),""),K4664)</f>
        <v/>
      </c>
      <c r="E4664" s="6"/>
      <c r="F4664" s="6"/>
      <c r="G4664" s="119" t="b">
        <f t="shared" si="262"/>
        <v>0</v>
      </c>
      <c r="H4664" s="6" t="s">
        <v>2189</v>
      </c>
      <c r="I4664" t="s">
        <v>1561</v>
      </c>
      <c r="J4664" t="s">
        <v>1561</v>
      </c>
      <c r="L4664" s="26" t="e">
        <f t="shared" si="257"/>
        <v>#VALUE!</v>
      </c>
    </row>
    <row r="4665" spans="1:12" x14ac:dyDescent="0.35">
      <c r="A4665" s="9">
        <f t="shared" si="258"/>
        <v>4664</v>
      </c>
      <c r="B4665" t="s">
        <v>109</v>
      </c>
      <c r="C4665" s="109">
        <f>IF(ISBLANK(K4665),IFERROR(VLOOKUP(I4665,FS_input_data!$C$458:$N$648,Export!J4665,FALSE),""),K4665)</f>
        <v>98000</v>
      </c>
      <c r="D4665" s="6" t="b">
        <v>1</v>
      </c>
      <c r="E4665" s="6"/>
      <c r="F4665" s="6"/>
      <c r="G4665" s="119" t="b">
        <f t="shared" si="262"/>
        <v>0</v>
      </c>
      <c r="H4665" s="6" t="s">
        <v>2189</v>
      </c>
      <c r="I4665" t="s">
        <v>2196</v>
      </c>
      <c r="J4665">
        <v>7</v>
      </c>
      <c r="L4665" s="26" t="e">
        <f t="shared" si="257"/>
        <v>#VALUE!</v>
      </c>
    </row>
    <row r="4666" spans="1:12" x14ac:dyDescent="0.35">
      <c r="A4666">
        <f t="shared" si="258"/>
        <v>4665</v>
      </c>
      <c r="B4666" t="s">
        <v>110</v>
      </c>
      <c r="C4666" s="109" t="str">
        <f>IF(ISBLANK(K4666),IFERROR(VLOOKUP(I4666,FS_input_data!$C$458:$N$648,Export!J4666,FALSE),""),K4666)</f>
        <v/>
      </c>
      <c r="D4666" s="6"/>
      <c r="E4666" s="6"/>
      <c r="F4666" s="6"/>
      <c r="G4666" s="119" t="b">
        <f t="shared" si="262"/>
        <v>0</v>
      </c>
      <c r="H4666" s="6" t="s">
        <v>2189</v>
      </c>
      <c r="I4666" t="s">
        <v>1561</v>
      </c>
      <c r="J4666" t="s">
        <v>1561</v>
      </c>
      <c r="L4666">
        <f t="shared" si="257"/>
        <v>1</v>
      </c>
    </row>
    <row r="4667" spans="1:12" x14ac:dyDescent="0.35">
      <c r="A4667" s="9">
        <f t="shared" si="258"/>
        <v>4666</v>
      </c>
      <c r="B4667" t="s">
        <v>111</v>
      </c>
      <c r="C4667" s="109">
        <f>IF(ISBLANK(K4667),IFERROR(VLOOKUP(I4667,FS_input_data!$C$458:$N$648,Export!J4667,FALSE),""),K4667)</f>
        <v>49000</v>
      </c>
      <c r="D4667" s="6" t="b">
        <v>0</v>
      </c>
      <c r="E4667" s="6"/>
      <c r="F4667" s="6"/>
      <c r="G4667" s="119" t="b">
        <f t="shared" si="262"/>
        <v>0</v>
      </c>
      <c r="H4667" s="6" t="s">
        <v>2189</v>
      </c>
      <c r="I4667" t="s">
        <v>2196</v>
      </c>
      <c r="J4667">
        <v>8</v>
      </c>
      <c r="L4667" s="26" t="e">
        <f t="shared" si="257"/>
        <v>#VALUE!</v>
      </c>
    </row>
    <row r="4668" spans="1:12" x14ac:dyDescent="0.35">
      <c r="A4668">
        <f t="shared" si="258"/>
        <v>4667</v>
      </c>
      <c r="B4668" t="s">
        <v>112</v>
      </c>
      <c r="C4668" s="109" t="str">
        <f>IF(ISBLANK(K4668),IFERROR(VLOOKUP(I4668,FS_input_data!$C$458:$N$648,Export!J4668,FALSE),""),K4668)</f>
        <v/>
      </c>
      <c r="D4668" s="6"/>
      <c r="E4668" s="6"/>
      <c r="F4668" s="6"/>
      <c r="G4668" s="119" t="b">
        <f t="shared" si="262"/>
        <v>0</v>
      </c>
      <c r="H4668" s="6" t="s">
        <v>2189</v>
      </c>
      <c r="I4668" t="s">
        <v>1561</v>
      </c>
      <c r="J4668" t="s">
        <v>1561</v>
      </c>
      <c r="L4668">
        <f t="shared" si="257"/>
        <v>1</v>
      </c>
    </row>
    <row r="4669" spans="1:12" x14ac:dyDescent="0.35">
      <c r="A4669" s="9">
        <f t="shared" si="258"/>
        <v>4668</v>
      </c>
      <c r="B4669" t="s">
        <v>749</v>
      </c>
      <c r="C4669" s="109">
        <f>IF(ISBLANK(K4669),IFERROR(VLOOKUP(I4669,FS_input_data!$C$458:$N$648,Export!J4669,FALSE),""),K4669)</f>
        <v>49000</v>
      </c>
      <c r="D4669" s="6" t="b">
        <v>1</v>
      </c>
      <c r="E4669" s="6"/>
      <c r="F4669" s="6"/>
      <c r="G4669" s="119" t="b">
        <f t="shared" si="262"/>
        <v>0</v>
      </c>
      <c r="H4669" s="6" t="s">
        <v>2189</v>
      </c>
      <c r="I4669" t="s">
        <v>2196</v>
      </c>
      <c r="J4669">
        <v>9</v>
      </c>
      <c r="L4669" s="26" t="e">
        <f t="shared" si="257"/>
        <v>#VALUE!</v>
      </c>
    </row>
    <row r="4670" spans="1:12" x14ac:dyDescent="0.35">
      <c r="A4670">
        <f t="shared" si="258"/>
        <v>4669</v>
      </c>
      <c r="B4670" t="s">
        <v>750</v>
      </c>
      <c r="C4670" s="109" t="str">
        <f>IF(ISBLANK(K4670),IFERROR(VLOOKUP(I4670,FS_input_data!$C$458:$N$648,Export!J4670,FALSE),""),K4670)</f>
        <v/>
      </c>
      <c r="E4670" s="6"/>
      <c r="F4670" s="6"/>
      <c r="G4670" s="119" t="b">
        <f t="shared" si="262"/>
        <v>0</v>
      </c>
      <c r="H4670" s="6" t="s">
        <v>2189</v>
      </c>
      <c r="I4670" t="s">
        <v>1561</v>
      </c>
      <c r="J4670" t="s">
        <v>1561</v>
      </c>
      <c r="L4670">
        <f t="shared" si="257"/>
        <v>1</v>
      </c>
    </row>
    <row r="4671" spans="1:12" x14ac:dyDescent="0.35">
      <c r="A4671">
        <f t="shared" si="258"/>
        <v>4670</v>
      </c>
      <c r="B4671" t="s">
        <v>743</v>
      </c>
      <c r="C4671" s="109" t="str">
        <f>IF(ISBLANK(K4671),IFERROR(VLOOKUP(I4671,FS_input_data!$C$458:$N$648,Export!J4671,FALSE),""),K4671)</f>
        <v/>
      </c>
      <c r="E4671" s="6"/>
      <c r="F4671" s="6"/>
      <c r="G4671" s="119" t="b">
        <f t="shared" si="262"/>
        <v>0</v>
      </c>
      <c r="H4671" s="6" t="s">
        <v>2189</v>
      </c>
      <c r="I4671" t="s">
        <v>1561</v>
      </c>
      <c r="J4671" t="s">
        <v>1561</v>
      </c>
      <c r="L4671">
        <f t="shared" si="257"/>
        <v>1</v>
      </c>
    </row>
    <row r="4672" spans="1:12" x14ac:dyDescent="0.35">
      <c r="A4672">
        <f t="shared" si="258"/>
        <v>4671</v>
      </c>
      <c r="B4672" t="s">
        <v>744</v>
      </c>
      <c r="C4672" s="109" t="str">
        <f>IF(ISBLANK(K4672),IFERROR(VLOOKUP(I4672,FS_input_data!$C$458:$N$648,Export!J4672,FALSE),""),K4672)</f>
        <v/>
      </c>
      <c r="E4672" s="6"/>
      <c r="F4672" s="6"/>
      <c r="G4672" s="119" t="b">
        <f t="shared" ref="G4672:G4679" si="263">RP_tax</f>
        <v>1</v>
      </c>
      <c r="H4672" s="6" t="s">
        <v>2189</v>
      </c>
      <c r="I4672" t="s">
        <v>1561</v>
      </c>
      <c r="J4672" t="s">
        <v>1561</v>
      </c>
      <c r="L4672" s="26" t="e">
        <f t="shared" si="257"/>
        <v>#VALUE!</v>
      </c>
    </row>
    <row r="4673" spans="1:12" x14ac:dyDescent="0.35">
      <c r="A4673" s="9">
        <f t="shared" si="258"/>
        <v>4672</v>
      </c>
      <c r="B4673" t="s">
        <v>109</v>
      </c>
      <c r="C4673" s="109">
        <f>IF(ISBLANK(K4673),IFERROR(VLOOKUP(I4673,FS_input_data!$C$458:$N$648,Export!J4673,FALSE),""),K4673)</f>
        <v>98000</v>
      </c>
      <c r="D4673" s="6" t="b">
        <v>1</v>
      </c>
      <c r="E4673" s="6"/>
      <c r="F4673" s="6"/>
      <c r="G4673" s="119" t="b">
        <f t="shared" si="263"/>
        <v>1</v>
      </c>
      <c r="H4673" s="6" t="s">
        <v>2189</v>
      </c>
      <c r="I4673" t="s">
        <v>2196</v>
      </c>
      <c r="J4673">
        <v>10</v>
      </c>
      <c r="L4673" s="26" t="e">
        <f t="shared" si="257"/>
        <v>#VALUE!</v>
      </c>
    </row>
    <row r="4674" spans="1:12" x14ac:dyDescent="0.35">
      <c r="A4674">
        <f t="shared" si="258"/>
        <v>4673</v>
      </c>
      <c r="B4674" t="s">
        <v>110</v>
      </c>
      <c r="C4674" s="109" t="str">
        <f>IF(ISBLANK(K4674),IFERROR(VLOOKUP(I4674,FS_input_data!$C$458:$N$648,Export!J4674,FALSE),""),K4674)</f>
        <v/>
      </c>
      <c r="D4674" s="6"/>
      <c r="E4674" s="6"/>
      <c r="F4674" s="6"/>
      <c r="G4674" s="119" t="b">
        <f t="shared" si="263"/>
        <v>1</v>
      </c>
      <c r="H4674" s="6" t="s">
        <v>2189</v>
      </c>
      <c r="I4674" t="s">
        <v>1561</v>
      </c>
      <c r="J4674" t="s">
        <v>1561</v>
      </c>
      <c r="L4674">
        <f t="shared" ref="L4674:L4737" si="264">FIND("/",B4674)</f>
        <v>1</v>
      </c>
    </row>
    <row r="4675" spans="1:12" x14ac:dyDescent="0.35">
      <c r="A4675" s="9">
        <f t="shared" ref="A4675:A4738" si="265">A4674+1</f>
        <v>4674</v>
      </c>
      <c r="B4675" t="s">
        <v>111</v>
      </c>
      <c r="C4675" s="109">
        <f>IF(ISBLANK(K4675),IFERROR(VLOOKUP(I4675,FS_input_data!$C$458:$N$648,Export!J4675,FALSE),""),K4675)</f>
        <v>49000</v>
      </c>
      <c r="D4675" s="6" t="b">
        <v>0</v>
      </c>
      <c r="E4675" s="6"/>
      <c r="F4675" s="6"/>
      <c r="G4675" s="119" t="b">
        <f t="shared" si="263"/>
        <v>1</v>
      </c>
      <c r="H4675" s="6" t="s">
        <v>2189</v>
      </c>
      <c r="I4675" t="s">
        <v>2196</v>
      </c>
      <c r="J4675">
        <v>11</v>
      </c>
      <c r="L4675" s="26" t="e">
        <f t="shared" si="264"/>
        <v>#VALUE!</v>
      </c>
    </row>
    <row r="4676" spans="1:12" x14ac:dyDescent="0.35">
      <c r="A4676">
        <f t="shared" si="265"/>
        <v>4675</v>
      </c>
      <c r="B4676" t="s">
        <v>112</v>
      </c>
      <c r="C4676" s="109" t="str">
        <f>IF(ISBLANK(K4676),IFERROR(VLOOKUP(I4676,FS_input_data!$C$458:$N$648,Export!J4676,FALSE),""),K4676)</f>
        <v/>
      </c>
      <c r="D4676" s="6"/>
      <c r="E4676" s="6"/>
      <c r="F4676" s="6"/>
      <c r="G4676" s="119" t="b">
        <f t="shared" si="263"/>
        <v>1</v>
      </c>
      <c r="H4676" s="6" t="s">
        <v>2189</v>
      </c>
      <c r="I4676" t="s">
        <v>1561</v>
      </c>
      <c r="J4676" t="s">
        <v>1561</v>
      </c>
      <c r="L4676">
        <f t="shared" si="264"/>
        <v>1</v>
      </c>
    </row>
    <row r="4677" spans="1:12" x14ac:dyDescent="0.35">
      <c r="A4677" s="9">
        <f t="shared" si="265"/>
        <v>4676</v>
      </c>
      <c r="B4677" t="s">
        <v>749</v>
      </c>
      <c r="C4677" s="109">
        <f>IF(ISBLANK(K4677),IFERROR(VLOOKUP(I4677,FS_input_data!$C$458:$N$648,Export!J4677,FALSE),""),K4677)</f>
        <v>49000</v>
      </c>
      <c r="D4677" s="6" t="b">
        <v>1</v>
      </c>
      <c r="E4677" s="6"/>
      <c r="F4677" s="6"/>
      <c r="G4677" s="119" t="b">
        <f t="shared" si="263"/>
        <v>1</v>
      </c>
      <c r="H4677" s="6" t="s">
        <v>2189</v>
      </c>
      <c r="I4677" t="s">
        <v>2196</v>
      </c>
      <c r="J4677">
        <v>12</v>
      </c>
      <c r="L4677" s="26" t="e">
        <f t="shared" si="264"/>
        <v>#VALUE!</v>
      </c>
    </row>
    <row r="4678" spans="1:12" x14ac:dyDescent="0.35">
      <c r="A4678">
        <f t="shared" si="265"/>
        <v>4677</v>
      </c>
      <c r="B4678" t="s">
        <v>750</v>
      </c>
      <c r="C4678" s="109" t="str">
        <f>IF(ISBLANK(K4678),IFERROR(VLOOKUP(I4678,FS_input_data!$C$458:$N$648,Export!J4678,FALSE),""),K4678)</f>
        <v/>
      </c>
      <c r="D4678" s="6"/>
      <c r="E4678" s="6"/>
      <c r="F4678" s="6"/>
      <c r="G4678" s="119" t="b">
        <f t="shared" si="263"/>
        <v>1</v>
      </c>
      <c r="H4678" s="6" t="s">
        <v>2189</v>
      </c>
      <c r="I4678" t="s">
        <v>1561</v>
      </c>
      <c r="J4678" t="s">
        <v>1561</v>
      </c>
      <c r="L4678">
        <f t="shared" si="264"/>
        <v>1</v>
      </c>
    </row>
    <row r="4679" spans="1:12" x14ac:dyDescent="0.35">
      <c r="A4679">
        <f t="shared" si="265"/>
        <v>4678</v>
      </c>
      <c r="B4679" t="s">
        <v>745</v>
      </c>
      <c r="C4679" s="109" t="str">
        <f>IF(ISBLANK(K4679),IFERROR(VLOOKUP(I4679,FS_input_data!$C$458:$N$648,Export!J4679,FALSE),""),K4679)</f>
        <v/>
      </c>
      <c r="D4679" s="6"/>
      <c r="E4679" s="6"/>
      <c r="F4679" s="6"/>
      <c r="G4679" s="119" t="b">
        <f t="shared" si="263"/>
        <v>1</v>
      </c>
      <c r="H4679" s="6" t="s">
        <v>2189</v>
      </c>
      <c r="I4679" t="s">
        <v>1561</v>
      </c>
      <c r="J4679" t="s">
        <v>1561</v>
      </c>
      <c r="L4679">
        <f t="shared" si="264"/>
        <v>1</v>
      </c>
    </row>
    <row r="4680" spans="1:12" x14ac:dyDescent="0.35">
      <c r="A4680">
        <f t="shared" si="265"/>
        <v>4679</v>
      </c>
      <c r="B4680" t="s">
        <v>751</v>
      </c>
      <c r="C4680" s="109" t="str">
        <f>IF(ISBLANK(K4680),IFERROR(VLOOKUP(I4680,FS_input_data!$C$458:$N$648,Export!J4680,FALSE),""),K4680)</f>
        <v/>
      </c>
      <c r="D4680" s="6"/>
      <c r="E4680" s="6"/>
      <c r="F4680" s="6"/>
      <c r="G4680" s="119" t="b">
        <f t="shared" ref="G4680:G4704" si="266">VLOOKUP($I$4645,FS_input_noty,$J$4645,FALSE)=""</f>
        <v>0</v>
      </c>
      <c r="H4680" s="6" t="s">
        <v>2189</v>
      </c>
      <c r="I4680" t="s">
        <v>1561</v>
      </c>
      <c r="J4680" t="s">
        <v>1561</v>
      </c>
      <c r="L4680">
        <f t="shared" si="264"/>
        <v>1</v>
      </c>
    </row>
    <row r="4681" spans="1:12" x14ac:dyDescent="0.35">
      <c r="A4681">
        <f t="shared" si="265"/>
        <v>4680</v>
      </c>
      <c r="B4681" t="s">
        <v>752</v>
      </c>
      <c r="C4681" s="109" t="str">
        <f>IF(ISBLANK(K4681),IFERROR(VLOOKUP(I4681,FS_input_data!$C$458:$N$648,Export!J4681,FALSE),""),K4681)</f>
        <v/>
      </c>
      <c r="D4681" s="6"/>
      <c r="E4681" s="6"/>
      <c r="F4681" s="6"/>
      <c r="G4681" s="119" t="b">
        <f t="shared" si="266"/>
        <v>0</v>
      </c>
      <c r="H4681" s="6" t="s">
        <v>2189</v>
      </c>
      <c r="I4681" t="s">
        <v>1561</v>
      </c>
      <c r="J4681" t="s">
        <v>1561</v>
      </c>
      <c r="L4681" s="26" t="e">
        <f t="shared" si="264"/>
        <v>#VALUE!</v>
      </c>
    </row>
    <row r="4682" spans="1:12" x14ac:dyDescent="0.35">
      <c r="A4682" s="9">
        <f t="shared" si="265"/>
        <v>4681</v>
      </c>
      <c r="B4682" t="s">
        <v>101</v>
      </c>
      <c r="C4682" s="109" t="str">
        <f>IF(ISBLANK(K4682),IFERROR(VLOOKUP(I4682,FS_input_data!$C$458:$N$648,Export!J4682,FALSE),""),K4682)</f>
        <v>Odsetki od zobowiązań budżetowych</v>
      </c>
      <c r="D4682" s="6"/>
      <c r="E4682" s="6"/>
      <c r="F4682" s="6"/>
      <c r="G4682" s="119" t="b">
        <f t="shared" si="266"/>
        <v>0</v>
      </c>
      <c r="H4682" s="6" t="s">
        <v>2189</v>
      </c>
      <c r="I4682" t="s">
        <v>1944</v>
      </c>
      <c r="J4682">
        <v>6</v>
      </c>
      <c r="L4682" s="26" t="e">
        <f t="shared" si="264"/>
        <v>#VALUE!</v>
      </c>
    </row>
    <row r="4683" spans="1:12" x14ac:dyDescent="0.35">
      <c r="A4683">
        <f t="shared" si="265"/>
        <v>4682</v>
      </c>
      <c r="B4683" t="s">
        <v>102</v>
      </c>
      <c r="C4683" s="109" t="str">
        <f>IF(ISBLANK(K4683),IFERROR(VLOOKUP(I4683,FS_input_data!$C$458:$N$648,Export!J4683,FALSE),""),K4683)</f>
        <v/>
      </c>
      <c r="E4683" s="6"/>
      <c r="F4683" s="6"/>
      <c r="G4683" s="119" t="b">
        <f t="shared" si="266"/>
        <v>0</v>
      </c>
      <c r="H4683" s="6" t="s">
        <v>2189</v>
      </c>
      <c r="I4683" t="s">
        <v>1561</v>
      </c>
      <c r="J4683" t="s">
        <v>1561</v>
      </c>
      <c r="L4683">
        <f t="shared" si="264"/>
        <v>1</v>
      </c>
    </row>
    <row r="4684" spans="1:12" x14ac:dyDescent="0.35">
      <c r="A4684">
        <f t="shared" si="265"/>
        <v>4683</v>
      </c>
      <c r="B4684" t="s">
        <v>753</v>
      </c>
      <c r="C4684" s="109" t="str">
        <f>IF(ISBLANK(K4684),IFERROR(VLOOKUP(I4684,FS_input_data!$C$458:$N$648,Export!J4684,FALSE),""),K4684)</f>
        <v/>
      </c>
      <c r="E4684" s="6"/>
      <c r="F4684" s="6"/>
      <c r="G4684" s="119" t="b">
        <f t="shared" si="266"/>
        <v>0</v>
      </c>
      <c r="H4684" s="6" t="s">
        <v>2189</v>
      </c>
      <c r="I4684" t="s">
        <v>1561</v>
      </c>
      <c r="J4684" t="s">
        <v>1561</v>
      </c>
      <c r="L4684" s="26" t="e">
        <f t="shared" si="264"/>
        <v>#VALUE!</v>
      </c>
    </row>
    <row r="4685" spans="1:12" x14ac:dyDescent="0.35">
      <c r="A4685">
        <f t="shared" si="265"/>
        <v>4684</v>
      </c>
      <c r="B4685" t="s">
        <v>742</v>
      </c>
      <c r="C4685" s="109" t="str">
        <f>IF(ISBLANK(K4685),IFERROR(VLOOKUP(I4685,FS_input_data!$C$458:$N$648,Export!J4685,FALSE),""),K4685)</f>
        <v/>
      </c>
      <c r="E4685" s="6"/>
      <c r="F4685" s="6"/>
      <c r="G4685" s="119" t="b">
        <f t="shared" si="266"/>
        <v>0</v>
      </c>
      <c r="H4685" s="6" t="s">
        <v>2189</v>
      </c>
      <c r="I4685" t="s">
        <v>1561</v>
      </c>
      <c r="J4685" t="s">
        <v>1561</v>
      </c>
      <c r="L4685" s="26" t="e">
        <f t="shared" si="264"/>
        <v>#VALUE!</v>
      </c>
    </row>
    <row r="4686" spans="1:12" x14ac:dyDescent="0.35">
      <c r="A4686">
        <f t="shared" si="265"/>
        <v>4685</v>
      </c>
      <c r="B4686" t="s">
        <v>748</v>
      </c>
      <c r="C4686" s="109" t="str">
        <f>IF(ISBLANK(K4686),IFERROR(VLOOKUP(I4686,FS_input_data!$C$458:$N$648,Export!J4686,FALSE),""),K4686)</f>
        <v/>
      </c>
      <c r="E4686" s="6"/>
      <c r="F4686" s="6"/>
      <c r="G4686" s="119" t="b">
        <f t="shared" si="266"/>
        <v>0</v>
      </c>
      <c r="H4686" s="6" t="s">
        <v>2189</v>
      </c>
      <c r="I4686" t="s">
        <v>1561</v>
      </c>
      <c r="J4686" t="s">
        <v>1561</v>
      </c>
      <c r="L4686" s="26" t="e">
        <f t="shared" si="264"/>
        <v>#VALUE!</v>
      </c>
    </row>
    <row r="4687" spans="1:12" x14ac:dyDescent="0.35">
      <c r="A4687" s="9">
        <f t="shared" si="265"/>
        <v>4686</v>
      </c>
      <c r="B4687" t="s">
        <v>109</v>
      </c>
      <c r="C4687" s="109">
        <f>IF(ISBLANK(K4687),IFERROR(VLOOKUP(I4687,FS_input_data!$C$458:$N$648,Export!J4687,FALSE),""),K4687)</f>
        <v>-1453000</v>
      </c>
      <c r="D4687" s="6" t="b">
        <v>1</v>
      </c>
      <c r="E4687" s="6"/>
      <c r="F4687" s="6"/>
      <c r="G4687" s="119" t="b">
        <f t="shared" si="266"/>
        <v>0</v>
      </c>
      <c r="H4687" s="6" t="s">
        <v>2189</v>
      </c>
      <c r="I4687" t="s">
        <v>1944</v>
      </c>
      <c r="J4687">
        <v>7</v>
      </c>
      <c r="L4687" s="26" t="e">
        <f t="shared" si="264"/>
        <v>#VALUE!</v>
      </c>
    </row>
    <row r="4688" spans="1:12" x14ac:dyDescent="0.35">
      <c r="A4688">
        <f t="shared" si="265"/>
        <v>4687</v>
      </c>
      <c r="B4688" t="s">
        <v>110</v>
      </c>
      <c r="C4688" s="109" t="str">
        <f>IF(ISBLANK(K4688),IFERROR(VLOOKUP(I4688,FS_input_data!$C$458:$N$648,Export!J4688,FALSE),""),K4688)</f>
        <v/>
      </c>
      <c r="D4688" s="6"/>
      <c r="E4688" s="6"/>
      <c r="F4688" s="6"/>
      <c r="G4688" s="119" t="b">
        <f t="shared" si="266"/>
        <v>0</v>
      </c>
      <c r="H4688" s="6" t="s">
        <v>2189</v>
      </c>
      <c r="I4688" t="s">
        <v>1561</v>
      </c>
      <c r="J4688" t="s">
        <v>1561</v>
      </c>
      <c r="L4688">
        <f t="shared" si="264"/>
        <v>1</v>
      </c>
    </row>
    <row r="4689" spans="1:12" x14ac:dyDescent="0.35">
      <c r="A4689" s="9">
        <f t="shared" si="265"/>
        <v>4688</v>
      </c>
      <c r="B4689" t="s">
        <v>111</v>
      </c>
      <c r="C4689" s="109">
        <f>IF(ISBLANK(K4689),IFERROR(VLOOKUP(I4689,FS_input_data!$C$458:$N$648,Export!J4689,FALSE),""),K4689)</f>
        <v>-726500</v>
      </c>
      <c r="D4689" s="6" t="b">
        <v>0</v>
      </c>
      <c r="E4689" s="6"/>
      <c r="F4689" s="6"/>
      <c r="G4689" s="119" t="b">
        <f t="shared" si="266"/>
        <v>0</v>
      </c>
      <c r="H4689" s="6" t="s">
        <v>2189</v>
      </c>
      <c r="I4689" t="s">
        <v>1944</v>
      </c>
      <c r="J4689">
        <v>8</v>
      </c>
      <c r="L4689" s="26" t="e">
        <f t="shared" si="264"/>
        <v>#VALUE!</v>
      </c>
    </row>
    <row r="4690" spans="1:12" x14ac:dyDescent="0.35">
      <c r="A4690">
        <f t="shared" si="265"/>
        <v>4689</v>
      </c>
      <c r="B4690" t="s">
        <v>112</v>
      </c>
      <c r="C4690" s="109" t="str">
        <f>IF(ISBLANK(K4690),IFERROR(VLOOKUP(I4690,FS_input_data!$C$458:$N$648,Export!J4690,FALSE),""),K4690)</f>
        <v/>
      </c>
      <c r="D4690" s="6"/>
      <c r="E4690" s="6"/>
      <c r="F4690" s="6"/>
      <c r="G4690" s="119" t="b">
        <f t="shared" si="266"/>
        <v>0</v>
      </c>
      <c r="H4690" s="6" t="s">
        <v>2189</v>
      </c>
      <c r="I4690" t="s">
        <v>1561</v>
      </c>
      <c r="J4690" t="s">
        <v>1561</v>
      </c>
      <c r="L4690">
        <f t="shared" si="264"/>
        <v>1</v>
      </c>
    </row>
    <row r="4691" spans="1:12" x14ac:dyDescent="0.35">
      <c r="A4691" s="9">
        <f t="shared" si="265"/>
        <v>4690</v>
      </c>
      <c r="B4691" t="s">
        <v>749</v>
      </c>
      <c r="C4691" s="109">
        <f>IF(ISBLANK(K4691),IFERROR(VLOOKUP(I4691,FS_input_data!$C$458:$N$648,Export!J4691,FALSE),""),K4691)</f>
        <v>-726500</v>
      </c>
      <c r="D4691" s="6" t="b">
        <v>0</v>
      </c>
      <c r="E4691" s="6"/>
      <c r="F4691" s="6"/>
      <c r="G4691" s="119" t="b">
        <f t="shared" si="266"/>
        <v>0</v>
      </c>
      <c r="H4691" s="6" t="s">
        <v>2189</v>
      </c>
      <c r="I4691" t="s">
        <v>1944</v>
      </c>
      <c r="J4691">
        <v>9</v>
      </c>
      <c r="L4691" s="26" t="e">
        <f t="shared" si="264"/>
        <v>#VALUE!</v>
      </c>
    </row>
    <row r="4692" spans="1:12" x14ac:dyDescent="0.35">
      <c r="A4692">
        <f t="shared" si="265"/>
        <v>4691</v>
      </c>
      <c r="B4692" t="s">
        <v>750</v>
      </c>
      <c r="C4692" s="109" t="str">
        <f>IF(ISBLANK(K4692),IFERROR(VLOOKUP(I4692,FS_input_data!$C$458:$N$648,Export!J4692,FALSE),""),K4692)</f>
        <v/>
      </c>
      <c r="D4692" s="6"/>
      <c r="E4692" s="6"/>
      <c r="F4692" s="6"/>
      <c r="G4692" s="119" t="b">
        <f t="shared" si="266"/>
        <v>0</v>
      </c>
      <c r="H4692" s="6" t="s">
        <v>2189</v>
      </c>
      <c r="I4692" t="s">
        <v>1561</v>
      </c>
      <c r="J4692" t="s">
        <v>1561</v>
      </c>
      <c r="L4692">
        <f t="shared" si="264"/>
        <v>1</v>
      </c>
    </row>
    <row r="4693" spans="1:12" x14ac:dyDescent="0.35">
      <c r="A4693">
        <f t="shared" si="265"/>
        <v>4692</v>
      </c>
      <c r="B4693" t="s">
        <v>751</v>
      </c>
      <c r="C4693" s="109" t="str">
        <f>IF(ISBLANK(K4693),IFERROR(VLOOKUP(I4693,FS_input_data!$C$458:$N$648,Export!J4693,FALSE),""),K4693)</f>
        <v/>
      </c>
      <c r="D4693" s="6"/>
      <c r="E4693" s="6"/>
      <c r="F4693" s="6"/>
      <c r="G4693" s="119" t="b">
        <f t="shared" si="266"/>
        <v>0</v>
      </c>
      <c r="H4693" s="6" t="s">
        <v>2189</v>
      </c>
      <c r="I4693" t="s">
        <v>1561</v>
      </c>
      <c r="J4693" t="s">
        <v>1561</v>
      </c>
      <c r="L4693">
        <f t="shared" si="264"/>
        <v>1</v>
      </c>
    </row>
    <row r="4694" spans="1:12" x14ac:dyDescent="0.35">
      <c r="A4694">
        <f t="shared" si="265"/>
        <v>4693</v>
      </c>
      <c r="B4694" t="s">
        <v>754</v>
      </c>
      <c r="C4694" s="109" t="str">
        <f>IF(ISBLANK(K4694),IFERROR(VLOOKUP(I4694,FS_input_data!$C$458:$N$648,Export!J4694,FALSE),""),K4694)</f>
        <v/>
      </c>
      <c r="D4694" s="6"/>
      <c r="E4694" s="6"/>
      <c r="F4694" s="6"/>
      <c r="G4694" s="119" t="b">
        <f t="shared" si="266"/>
        <v>0</v>
      </c>
      <c r="H4694" s="6" t="s">
        <v>2189</v>
      </c>
      <c r="I4694" t="s">
        <v>1561</v>
      </c>
      <c r="J4694" t="s">
        <v>1561</v>
      </c>
      <c r="L4694" s="26" t="e">
        <f t="shared" si="264"/>
        <v>#VALUE!</v>
      </c>
    </row>
    <row r="4695" spans="1:12" x14ac:dyDescent="0.35">
      <c r="A4695" s="9">
        <f t="shared" si="265"/>
        <v>4694</v>
      </c>
      <c r="B4695" t="s">
        <v>755</v>
      </c>
      <c r="C4695" s="109">
        <f>IF(ISBLANK(K4695),IFERROR(VLOOKUP(I4695,FS_input_data!$C$458:$N$648,Export!J4695,FALSE),""),K4695)</f>
        <v>67</v>
      </c>
      <c r="D4695" s="6" t="b">
        <v>1</v>
      </c>
      <c r="E4695" s="6"/>
      <c r="F4695" s="6"/>
      <c r="G4695" s="119" t="b">
        <f t="shared" si="266"/>
        <v>0</v>
      </c>
      <c r="H4695" s="6" t="s">
        <v>2189</v>
      </c>
      <c r="I4695" t="s">
        <v>1944</v>
      </c>
      <c r="J4695">
        <v>2</v>
      </c>
      <c r="L4695" s="26" t="e">
        <f t="shared" si="264"/>
        <v>#VALUE!</v>
      </c>
    </row>
    <row r="4696" spans="1:12" x14ac:dyDescent="0.35">
      <c r="A4696">
        <f t="shared" si="265"/>
        <v>4695</v>
      </c>
      <c r="B4696" t="s">
        <v>756</v>
      </c>
      <c r="C4696" s="109" t="str">
        <f>IF(ISBLANK(K4696),IFERROR(VLOOKUP(I4696,FS_input_data!$C$458:$N$648,Export!J4696,FALSE),""),K4696)</f>
        <v/>
      </c>
      <c r="D4696" s="6"/>
      <c r="E4696" s="6"/>
      <c r="F4696" s="6"/>
      <c r="G4696" s="119" t="b">
        <f t="shared" si="266"/>
        <v>0</v>
      </c>
      <c r="H4696" s="6" t="s">
        <v>2189</v>
      </c>
      <c r="I4696" t="s">
        <v>1561</v>
      </c>
      <c r="J4696" t="s">
        <v>1561</v>
      </c>
      <c r="L4696">
        <f t="shared" si="264"/>
        <v>1</v>
      </c>
    </row>
    <row r="4697" spans="1:12" x14ac:dyDescent="0.35">
      <c r="A4697" s="9">
        <f t="shared" si="265"/>
        <v>4696</v>
      </c>
      <c r="B4697" t="s">
        <v>757</v>
      </c>
      <c r="C4697" s="109">
        <f>IF(ISBLANK(K4697),IFERROR(VLOOKUP(I4697,FS_input_data!$C$458:$N$648,Export!J4697,FALSE),""),K4697)</f>
        <v>167</v>
      </c>
      <c r="D4697" s="6" t="b">
        <v>0</v>
      </c>
      <c r="E4697" s="6"/>
      <c r="F4697" s="6"/>
      <c r="G4697" s="119" t="b">
        <f t="shared" si="266"/>
        <v>0</v>
      </c>
      <c r="H4697" s="6" t="s">
        <v>2189</v>
      </c>
      <c r="I4697" t="s">
        <v>1944</v>
      </c>
      <c r="J4697">
        <v>3</v>
      </c>
      <c r="L4697" s="26" t="e">
        <f t="shared" si="264"/>
        <v>#VALUE!</v>
      </c>
    </row>
    <row r="4698" spans="1:12" x14ac:dyDescent="0.35">
      <c r="A4698">
        <f t="shared" si="265"/>
        <v>4697</v>
      </c>
      <c r="B4698" t="s">
        <v>758</v>
      </c>
      <c r="C4698" s="109" t="str">
        <f>IF(ISBLANK(K4698),IFERROR(VLOOKUP(I4698,FS_input_data!$C$458:$N$648,Export!J4698,FALSE),""),K4698)</f>
        <v/>
      </c>
      <c r="D4698" s="6"/>
      <c r="E4698" s="6"/>
      <c r="F4698" s="6"/>
      <c r="G4698" s="119" t="b">
        <f t="shared" si="266"/>
        <v>0</v>
      </c>
      <c r="H4698" s="6" t="s">
        <v>2189</v>
      </c>
      <c r="I4698" t="s">
        <v>1561</v>
      </c>
      <c r="J4698" t="s">
        <v>1561</v>
      </c>
      <c r="L4698">
        <f t="shared" si="264"/>
        <v>1</v>
      </c>
    </row>
    <row r="4699" spans="1:12" x14ac:dyDescent="0.35">
      <c r="A4699" s="9">
        <f t="shared" si="265"/>
        <v>4698</v>
      </c>
      <c r="B4699" t="s">
        <v>759</v>
      </c>
      <c r="C4699" s="109">
        <f>IF(ISBLANK(K4699),IFERROR(VLOOKUP(I4699,FS_input_data!$C$458:$N$648,Export!J4699,FALSE),""),K4699)</f>
        <v>267</v>
      </c>
      <c r="D4699" s="6" t="b">
        <v>0</v>
      </c>
      <c r="E4699" s="6"/>
      <c r="F4699" s="6"/>
      <c r="G4699" s="119" t="b">
        <f t="shared" si="266"/>
        <v>0</v>
      </c>
      <c r="H4699" s="6" t="s">
        <v>2189</v>
      </c>
      <c r="I4699" t="s">
        <v>1944</v>
      </c>
      <c r="J4699">
        <v>4</v>
      </c>
      <c r="L4699" s="26" t="e">
        <f t="shared" si="264"/>
        <v>#VALUE!</v>
      </c>
    </row>
    <row r="4700" spans="1:12" x14ac:dyDescent="0.35">
      <c r="A4700">
        <f t="shared" si="265"/>
        <v>4699</v>
      </c>
      <c r="B4700" t="s">
        <v>760</v>
      </c>
      <c r="C4700" s="109" t="str">
        <f>IF(ISBLANK(K4700),IFERROR(VLOOKUP(I4700,FS_input_data!$C$458:$N$648,Export!J4700,FALSE),""),K4700)</f>
        <v/>
      </c>
      <c r="D4700" s="6"/>
      <c r="E4700" s="6"/>
      <c r="F4700" s="6"/>
      <c r="G4700" s="119" t="b">
        <f t="shared" si="266"/>
        <v>0</v>
      </c>
      <c r="H4700" s="6" t="s">
        <v>2189</v>
      </c>
      <c r="I4700" t="s">
        <v>1561</v>
      </c>
      <c r="J4700" t="s">
        <v>1561</v>
      </c>
      <c r="L4700">
        <f t="shared" si="264"/>
        <v>1</v>
      </c>
    </row>
    <row r="4701" spans="1:12" x14ac:dyDescent="0.35">
      <c r="A4701" s="9">
        <f t="shared" si="265"/>
        <v>4700</v>
      </c>
      <c r="B4701" t="s">
        <v>761</v>
      </c>
      <c r="C4701" s="109" t="str">
        <f>IF(ISBLANK(K4701),IFERROR(VLOOKUP(I4701,FS_input_data!$C$458:$N$648,Export!J4701,FALSE),""),K4701)</f>
        <v>a</v>
      </c>
      <c r="D4701" s="6"/>
      <c r="E4701" s="6"/>
      <c r="F4701" s="6"/>
      <c r="G4701" s="119" t="b">
        <f t="shared" si="266"/>
        <v>0</v>
      </c>
      <c r="H4701" s="6" t="s">
        <v>2189</v>
      </c>
      <c r="I4701" t="s">
        <v>1944</v>
      </c>
      <c r="J4701">
        <v>5</v>
      </c>
      <c r="L4701" s="26" t="e">
        <f t="shared" si="264"/>
        <v>#VALUE!</v>
      </c>
    </row>
    <row r="4702" spans="1:12" x14ac:dyDescent="0.35">
      <c r="A4702">
        <f t="shared" si="265"/>
        <v>4701</v>
      </c>
      <c r="B4702" t="s">
        <v>762</v>
      </c>
      <c r="C4702" s="109" t="str">
        <f>IF(ISBLANK(K4702),IFERROR(VLOOKUP(I4702,FS_input_data!$C$458:$N$648,Export!J4702,FALSE),""),K4702)</f>
        <v/>
      </c>
      <c r="D4702" s="6"/>
      <c r="E4702" s="6"/>
      <c r="F4702" s="6"/>
      <c r="G4702" s="119" t="b">
        <f t="shared" si="266"/>
        <v>0</v>
      </c>
      <c r="H4702" s="6" t="s">
        <v>2189</v>
      </c>
      <c r="I4702" t="s">
        <v>1561</v>
      </c>
      <c r="J4702" t="s">
        <v>1561</v>
      </c>
      <c r="L4702">
        <f t="shared" si="264"/>
        <v>1</v>
      </c>
    </row>
    <row r="4703" spans="1:12" x14ac:dyDescent="0.35">
      <c r="A4703">
        <f t="shared" si="265"/>
        <v>4702</v>
      </c>
      <c r="B4703" t="s">
        <v>763</v>
      </c>
      <c r="C4703" s="109" t="str">
        <f>IF(ISBLANK(K4703),IFERROR(VLOOKUP(I4703,FS_input_data!$C$458:$N$648,Export!J4703,FALSE),""),K4703)</f>
        <v/>
      </c>
      <c r="D4703" s="6"/>
      <c r="E4703" s="6"/>
      <c r="F4703" s="6"/>
      <c r="G4703" s="119" t="b">
        <f t="shared" si="266"/>
        <v>0</v>
      </c>
      <c r="H4703" s="6" t="s">
        <v>2189</v>
      </c>
      <c r="I4703" t="s">
        <v>1561</v>
      </c>
      <c r="J4703" t="s">
        <v>1561</v>
      </c>
      <c r="L4703">
        <f t="shared" si="264"/>
        <v>1</v>
      </c>
    </row>
    <row r="4704" spans="1:12" x14ac:dyDescent="0.35">
      <c r="A4704">
        <f t="shared" si="265"/>
        <v>4703</v>
      </c>
      <c r="B4704" t="s">
        <v>743</v>
      </c>
      <c r="C4704" s="109" t="str">
        <f>IF(ISBLANK(K4704),IFERROR(VLOOKUP(I4704,FS_input_data!$C$458:$N$648,Export!J4704,FALSE),""),K4704)</f>
        <v/>
      </c>
      <c r="D4704" s="6"/>
      <c r="E4704" s="6"/>
      <c r="F4704" s="6"/>
      <c r="G4704" s="119" t="b">
        <f t="shared" si="266"/>
        <v>0</v>
      </c>
      <c r="H4704" s="6" t="s">
        <v>2189</v>
      </c>
      <c r="I4704" t="s">
        <v>1561</v>
      </c>
      <c r="J4704" t="s">
        <v>1561</v>
      </c>
      <c r="L4704">
        <f t="shared" si="264"/>
        <v>1</v>
      </c>
    </row>
    <row r="4705" spans="1:12" x14ac:dyDescent="0.35">
      <c r="A4705">
        <f t="shared" si="265"/>
        <v>4704</v>
      </c>
      <c r="B4705" t="s">
        <v>744</v>
      </c>
      <c r="C4705" s="109" t="str">
        <f>IF(ISBLANK(K4705),IFERROR(VLOOKUP(I4705,FS_input_data!$C$458:$N$648,Export!J4705,FALSE),""),K4705)</f>
        <v/>
      </c>
      <c r="D4705" s="6"/>
      <c r="E4705" s="6"/>
      <c r="F4705" s="6"/>
      <c r="G4705" s="119" t="b">
        <f t="shared" ref="G4705:G4712" si="267">RP_tax</f>
        <v>1</v>
      </c>
      <c r="H4705" s="6" t="s">
        <v>2189</v>
      </c>
      <c r="I4705" t="s">
        <v>1561</v>
      </c>
      <c r="J4705" t="s">
        <v>1561</v>
      </c>
      <c r="L4705" s="26" t="e">
        <f t="shared" si="264"/>
        <v>#VALUE!</v>
      </c>
    </row>
    <row r="4706" spans="1:12" x14ac:dyDescent="0.35">
      <c r="A4706" s="9">
        <f t="shared" si="265"/>
        <v>4705</v>
      </c>
      <c r="B4706" t="s">
        <v>109</v>
      </c>
      <c r="C4706" s="109">
        <f>IF(ISBLANK(K4706),IFERROR(VLOOKUP(I4706,FS_input_data!$C$458:$N$648,Export!J4706,FALSE),""),K4706)</f>
        <v>-1453000</v>
      </c>
      <c r="D4706" s="6" t="b">
        <v>1</v>
      </c>
      <c r="E4706" s="6"/>
      <c r="F4706" s="6"/>
      <c r="G4706" s="119" t="b">
        <f t="shared" si="267"/>
        <v>1</v>
      </c>
      <c r="H4706" s="6" t="s">
        <v>2189</v>
      </c>
      <c r="I4706" t="s">
        <v>1944</v>
      </c>
      <c r="J4706">
        <v>10</v>
      </c>
      <c r="L4706" s="26" t="e">
        <f t="shared" si="264"/>
        <v>#VALUE!</v>
      </c>
    </row>
    <row r="4707" spans="1:12" x14ac:dyDescent="0.35">
      <c r="A4707">
        <f t="shared" si="265"/>
        <v>4706</v>
      </c>
      <c r="B4707" t="s">
        <v>110</v>
      </c>
      <c r="C4707" s="109" t="str">
        <f>IF(ISBLANK(K4707),IFERROR(VLOOKUP(I4707,FS_input_data!$C$458:$N$648,Export!J4707,FALSE),""),K4707)</f>
        <v/>
      </c>
      <c r="D4707" s="6"/>
      <c r="E4707" s="6"/>
      <c r="F4707" s="6"/>
      <c r="G4707" s="119" t="b">
        <f t="shared" si="267"/>
        <v>1</v>
      </c>
      <c r="H4707" s="6" t="s">
        <v>2189</v>
      </c>
      <c r="I4707" t="s">
        <v>1561</v>
      </c>
      <c r="J4707" t="s">
        <v>1561</v>
      </c>
      <c r="L4707">
        <f t="shared" si="264"/>
        <v>1</v>
      </c>
    </row>
    <row r="4708" spans="1:12" x14ac:dyDescent="0.35">
      <c r="A4708" s="9">
        <f t="shared" si="265"/>
        <v>4707</v>
      </c>
      <c r="B4708" t="s">
        <v>111</v>
      </c>
      <c r="C4708" s="109">
        <f>IF(ISBLANK(K4708),IFERROR(VLOOKUP(I4708,FS_input_data!$C$458:$N$648,Export!J4708,FALSE),""),K4708)</f>
        <v>-726500</v>
      </c>
      <c r="D4708" s="6" t="b">
        <v>0</v>
      </c>
      <c r="E4708" s="6"/>
      <c r="F4708" s="6"/>
      <c r="G4708" s="119" t="b">
        <f t="shared" si="267"/>
        <v>1</v>
      </c>
      <c r="H4708" s="6" t="s">
        <v>2189</v>
      </c>
      <c r="I4708" t="s">
        <v>1944</v>
      </c>
      <c r="J4708">
        <v>11</v>
      </c>
      <c r="L4708" s="26" t="e">
        <f t="shared" si="264"/>
        <v>#VALUE!</v>
      </c>
    </row>
    <row r="4709" spans="1:12" x14ac:dyDescent="0.35">
      <c r="A4709">
        <f t="shared" si="265"/>
        <v>4708</v>
      </c>
      <c r="B4709" t="s">
        <v>112</v>
      </c>
      <c r="C4709" s="109" t="str">
        <f>IF(ISBLANK(K4709),IFERROR(VLOOKUP(I4709,FS_input_data!$C$458:$N$648,Export!J4709,FALSE),""),K4709)</f>
        <v/>
      </c>
      <c r="D4709" s="6"/>
      <c r="E4709" s="6"/>
      <c r="F4709" s="6"/>
      <c r="G4709" s="119" t="b">
        <f t="shared" si="267"/>
        <v>1</v>
      </c>
      <c r="H4709" s="6" t="s">
        <v>2189</v>
      </c>
      <c r="I4709" t="s">
        <v>1561</v>
      </c>
      <c r="J4709" t="s">
        <v>1561</v>
      </c>
      <c r="L4709">
        <f t="shared" si="264"/>
        <v>1</v>
      </c>
    </row>
    <row r="4710" spans="1:12" x14ac:dyDescent="0.35">
      <c r="A4710" s="9">
        <f t="shared" si="265"/>
        <v>4709</v>
      </c>
      <c r="B4710" t="s">
        <v>749</v>
      </c>
      <c r="C4710" s="109">
        <f>IF(ISBLANK(K4710),IFERROR(VLOOKUP(I4710,FS_input_data!$C$458:$N$648,Export!J4710,FALSE),""),K4710)</f>
        <v>-726500</v>
      </c>
      <c r="D4710" s="6" t="b">
        <v>0</v>
      </c>
      <c r="E4710" s="6"/>
      <c r="F4710" s="6"/>
      <c r="G4710" s="119" t="b">
        <f t="shared" si="267"/>
        <v>1</v>
      </c>
      <c r="H4710" s="6" t="s">
        <v>2189</v>
      </c>
      <c r="I4710" t="s">
        <v>1944</v>
      </c>
      <c r="J4710">
        <v>12</v>
      </c>
      <c r="L4710" s="26" t="e">
        <f t="shared" si="264"/>
        <v>#VALUE!</v>
      </c>
    </row>
    <row r="4711" spans="1:12" x14ac:dyDescent="0.35">
      <c r="A4711">
        <f t="shared" si="265"/>
        <v>4710</v>
      </c>
      <c r="B4711" t="s">
        <v>750</v>
      </c>
      <c r="C4711" s="109" t="str">
        <f>IF(ISBLANK(K4711),IFERROR(VLOOKUP(I4711,FS_input_data!$C$458:$N$648,Export!J4711,FALSE),""),K4711)</f>
        <v/>
      </c>
      <c r="D4711" s="6"/>
      <c r="E4711" s="6"/>
      <c r="F4711" s="6"/>
      <c r="G4711" s="119" t="b">
        <f t="shared" si="267"/>
        <v>1</v>
      </c>
      <c r="H4711" s="6" t="s">
        <v>2189</v>
      </c>
      <c r="I4711" t="s">
        <v>1561</v>
      </c>
      <c r="J4711" t="s">
        <v>1561</v>
      </c>
      <c r="L4711">
        <f t="shared" si="264"/>
        <v>1</v>
      </c>
    </row>
    <row r="4712" spans="1:12" x14ac:dyDescent="0.35">
      <c r="A4712">
        <f t="shared" si="265"/>
        <v>4711</v>
      </c>
      <c r="B4712" t="s">
        <v>745</v>
      </c>
      <c r="C4712" s="109" t="str">
        <f>IF(ISBLANK(K4712),IFERROR(VLOOKUP(I4712,FS_input_data!$C$458:$N$648,Export!J4712,FALSE),""),K4712)</f>
        <v/>
      </c>
      <c r="D4712" s="6"/>
      <c r="E4712" s="6"/>
      <c r="F4712" s="6"/>
      <c r="G4712" s="119" t="b">
        <f t="shared" si="267"/>
        <v>1</v>
      </c>
      <c r="H4712" s="6" t="s">
        <v>2189</v>
      </c>
      <c r="I4712" t="s">
        <v>1561</v>
      </c>
      <c r="J4712" t="s">
        <v>1561</v>
      </c>
      <c r="L4712">
        <f t="shared" si="264"/>
        <v>1</v>
      </c>
    </row>
    <row r="4713" spans="1:12" x14ac:dyDescent="0.35">
      <c r="A4713">
        <f t="shared" si="265"/>
        <v>4712</v>
      </c>
      <c r="B4713" t="s">
        <v>764</v>
      </c>
      <c r="C4713" s="109" t="str">
        <f>IF(ISBLANK(K4713),IFERROR(VLOOKUP(I4713,FS_input_data!$C$458:$N$648,Export!J4713,FALSE),""),K4713)</f>
        <v/>
      </c>
      <c r="D4713" s="6"/>
      <c r="E4713" s="6"/>
      <c r="F4713" s="6"/>
      <c r="G4713" s="119" t="b">
        <f>VLOOKUP($I$4645,FS_input_noty,$J$4645,FALSE)=""</f>
        <v>0</v>
      </c>
      <c r="H4713" s="6" t="s">
        <v>2189</v>
      </c>
      <c r="I4713" t="s">
        <v>1561</v>
      </c>
      <c r="J4713" t="s">
        <v>1561</v>
      </c>
      <c r="L4713">
        <f t="shared" si="264"/>
        <v>1</v>
      </c>
    </row>
    <row r="4714" spans="1:12" x14ac:dyDescent="0.35">
      <c r="A4714">
        <f t="shared" si="265"/>
        <v>4713</v>
      </c>
      <c r="B4714" t="s">
        <v>765</v>
      </c>
      <c r="C4714" s="109" t="str">
        <f>IF(ISBLANK(K4714),IFERROR(VLOOKUP(I4714,FS_input_data!$C$458:$N$648,Export!J4714,FALSE),""),K4714)</f>
        <v/>
      </c>
      <c r="D4714" s="6"/>
      <c r="E4714" s="6"/>
      <c r="F4714" s="6"/>
      <c r="G4714" s="119" t="b">
        <f>VLOOKUP($I$4645,FS_input_noty,$J$4645,FALSE)=""</f>
        <v>0</v>
      </c>
      <c r="H4714" s="6" t="s">
        <v>2189</v>
      </c>
      <c r="I4714" t="s">
        <v>1561</v>
      </c>
      <c r="J4714" t="s">
        <v>1561</v>
      </c>
      <c r="L4714">
        <f t="shared" si="264"/>
        <v>1</v>
      </c>
    </row>
    <row r="4715" spans="1:12" x14ac:dyDescent="0.35">
      <c r="A4715">
        <f t="shared" si="265"/>
        <v>4714</v>
      </c>
      <c r="B4715" t="s">
        <v>752</v>
      </c>
      <c r="C4715" s="109" t="str">
        <f>IF(ISBLANK(K4715),IFERROR(VLOOKUP(I4715,FS_input_data!$C$458:$N$648,Export!J4715,FALSE),""),K4715)</f>
        <v/>
      </c>
      <c r="D4715" s="6"/>
      <c r="E4715" s="6"/>
      <c r="F4715" s="6"/>
      <c r="G4715" s="115" t="b">
        <f>VLOOKUP(I4716,FS_input_noty,J4716,FALSE)=""</f>
        <v>0</v>
      </c>
      <c r="H4715" s="6" t="s">
        <v>2189</v>
      </c>
      <c r="I4715" t="s">
        <v>1561</v>
      </c>
      <c r="J4715" t="s">
        <v>1561</v>
      </c>
      <c r="L4715" s="26" t="e">
        <f t="shared" si="264"/>
        <v>#VALUE!</v>
      </c>
    </row>
    <row r="4716" spans="1:12" x14ac:dyDescent="0.35">
      <c r="A4716" s="9">
        <f t="shared" si="265"/>
        <v>4715</v>
      </c>
      <c r="B4716" t="s">
        <v>101</v>
      </c>
      <c r="C4716" s="109" t="str">
        <f>IF(ISBLANK(K4716),IFERROR(VLOOKUP(I4716,FS_input_data!$C$458:$N$648,Export!J4716,FALSE),""),K4716)</f>
        <v>OC45</v>
      </c>
      <c r="D4716" s="6" t="b">
        <v>1</v>
      </c>
      <c r="E4716" s="6"/>
      <c r="F4716" s="6"/>
      <c r="G4716" s="115" t="b">
        <f>VLOOKUP(I4716,FS_input_noty,J4716,FALSE)=""</f>
        <v>0</v>
      </c>
      <c r="H4716" s="6" t="s">
        <v>2189</v>
      </c>
      <c r="I4716" t="s">
        <v>1946</v>
      </c>
      <c r="J4716">
        <v>6</v>
      </c>
      <c r="L4716" s="26" t="e">
        <f t="shared" si="264"/>
        <v>#VALUE!</v>
      </c>
    </row>
    <row r="4717" spans="1:12" x14ac:dyDescent="0.35">
      <c r="A4717">
        <f t="shared" si="265"/>
        <v>4716</v>
      </c>
      <c r="B4717" t="s">
        <v>102</v>
      </c>
      <c r="C4717" s="109" t="str">
        <f>IF(ISBLANK(K4717),IFERROR(VLOOKUP(I4717,FS_input_data!$C$458:$N$648,Export!J4717,FALSE),""),K4717)</f>
        <v/>
      </c>
      <c r="D4717" s="6"/>
      <c r="E4717" s="6"/>
      <c r="F4717" s="6"/>
      <c r="G4717" s="115" t="b">
        <f>VLOOKUP(I4716,FS_input_noty,J4716,FALSE)=""</f>
        <v>0</v>
      </c>
      <c r="H4717" s="6" t="s">
        <v>2189</v>
      </c>
      <c r="I4717" t="s">
        <v>1561</v>
      </c>
      <c r="J4717" t="s">
        <v>1561</v>
      </c>
      <c r="L4717">
        <f t="shared" si="264"/>
        <v>1</v>
      </c>
    </row>
    <row r="4718" spans="1:12" x14ac:dyDescent="0.35">
      <c r="A4718">
        <f t="shared" si="265"/>
        <v>4717</v>
      </c>
      <c r="B4718" t="s">
        <v>753</v>
      </c>
      <c r="C4718" s="109" t="str">
        <f>IF(ISBLANK(K4718),IFERROR(VLOOKUP(I4718,FS_input_data!$C$458:$N$648,Export!J4718,FALSE),""),K4718)</f>
        <v/>
      </c>
      <c r="D4718" s="6"/>
      <c r="E4718" s="6"/>
      <c r="F4718" s="6"/>
      <c r="G4718" s="115" t="b">
        <f>VLOOKUP(I4716,FS_input_noty,J4716,FALSE)=""</f>
        <v>0</v>
      </c>
      <c r="H4718" s="6" t="s">
        <v>2189</v>
      </c>
      <c r="I4718" t="s">
        <v>1561</v>
      </c>
      <c r="J4718" t="s">
        <v>1561</v>
      </c>
      <c r="L4718" s="26" t="e">
        <f t="shared" si="264"/>
        <v>#VALUE!</v>
      </c>
    </row>
    <row r="4719" spans="1:12" x14ac:dyDescent="0.35">
      <c r="A4719">
        <f t="shared" si="265"/>
        <v>4718</v>
      </c>
      <c r="B4719" t="s">
        <v>742</v>
      </c>
      <c r="C4719" s="109" t="str">
        <f>IF(ISBLANK(K4719),IFERROR(VLOOKUP(I4719,FS_input_data!$C$458:$N$648,Export!J4719,FALSE),""),K4719)</f>
        <v/>
      </c>
      <c r="D4719" s="6"/>
      <c r="E4719" s="6"/>
      <c r="F4719" s="6"/>
      <c r="G4719" s="115" t="b">
        <f>VLOOKUP(I4716,FS_input_noty,J4716,FALSE)=""</f>
        <v>0</v>
      </c>
      <c r="H4719" s="6" t="s">
        <v>2189</v>
      </c>
      <c r="I4719" t="s">
        <v>1561</v>
      </c>
      <c r="J4719" t="s">
        <v>1561</v>
      </c>
      <c r="L4719" s="26" t="e">
        <f t="shared" si="264"/>
        <v>#VALUE!</v>
      </c>
    </row>
    <row r="4720" spans="1:12" x14ac:dyDescent="0.35">
      <c r="A4720">
        <f t="shared" si="265"/>
        <v>4719</v>
      </c>
      <c r="B4720" t="s">
        <v>748</v>
      </c>
      <c r="C4720" s="109" t="str">
        <f>IF(ISBLANK(K4720),IFERROR(VLOOKUP(I4720,FS_input_data!$C$458:$N$648,Export!J4720,FALSE),""),K4720)</f>
        <v/>
      </c>
      <c r="D4720" s="6"/>
      <c r="E4720" s="6"/>
      <c r="F4720" s="6"/>
      <c r="G4720" s="115" t="b">
        <f>VLOOKUP(I4716,FS_input_noty,J4716,FALSE)=""</f>
        <v>0</v>
      </c>
      <c r="H4720" s="6" t="s">
        <v>2189</v>
      </c>
      <c r="I4720" t="s">
        <v>1561</v>
      </c>
      <c r="J4720" t="s">
        <v>1561</v>
      </c>
      <c r="L4720" s="26" t="e">
        <f t="shared" si="264"/>
        <v>#VALUE!</v>
      </c>
    </row>
    <row r="4721" spans="1:12" x14ac:dyDescent="0.35">
      <c r="A4721" s="9">
        <f t="shared" si="265"/>
        <v>4720</v>
      </c>
      <c r="B4721" t="s">
        <v>109</v>
      </c>
      <c r="C4721" s="109">
        <f>IF(ISBLANK(K4721),IFERROR(VLOOKUP(I4721,FS_input_data!$C$458:$N$648,Export!J4721,FALSE),""),K4721)</f>
        <v>24000</v>
      </c>
      <c r="D4721" s="6" t="b">
        <v>1</v>
      </c>
      <c r="E4721" s="6"/>
      <c r="F4721" s="6"/>
      <c r="G4721" s="115" t="b">
        <f>VLOOKUP(I4716,FS_input_noty,J4716,FALSE)=""</f>
        <v>0</v>
      </c>
      <c r="H4721" s="6" t="s">
        <v>2189</v>
      </c>
      <c r="I4721" t="s">
        <v>1946</v>
      </c>
      <c r="J4721">
        <v>7</v>
      </c>
      <c r="L4721" s="26" t="e">
        <f t="shared" si="264"/>
        <v>#VALUE!</v>
      </c>
    </row>
    <row r="4722" spans="1:12" x14ac:dyDescent="0.35">
      <c r="A4722">
        <f t="shared" si="265"/>
        <v>4721</v>
      </c>
      <c r="B4722" t="s">
        <v>110</v>
      </c>
      <c r="C4722" s="109" t="str">
        <f>IF(ISBLANK(K4722),IFERROR(VLOOKUP(I4722,FS_input_data!$C$458:$N$648,Export!J4722,FALSE),""),K4722)</f>
        <v/>
      </c>
      <c r="D4722" s="6"/>
      <c r="E4722" s="6"/>
      <c r="F4722" s="6"/>
      <c r="G4722" s="115" t="b">
        <f>VLOOKUP(I4716,FS_input_noty,J4716,FALSE)=""</f>
        <v>0</v>
      </c>
      <c r="H4722" s="6" t="s">
        <v>2189</v>
      </c>
      <c r="I4722" t="s">
        <v>1561</v>
      </c>
      <c r="J4722" t="s">
        <v>1561</v>
      </c>
      <c r="L4722">
        <f t="shared" si="264"/>
        <v>1</v>
      </c>
    </row>
    <row r="4723" spans="1:12" x14ac:dyDescent="0.35">
      <c r="A4723" s="9">
        <f t="shared" si="265"/>
        <v>4722</v>
      </c>
      <c r="B4723" t="s">
        <v>111</v>
      </c>
      <c r="C4723" s="109">
        <f>IF(ISBLANK(K4723),IFERROR(VLOOKUP(I4723,FS_input_data!$C$458:$N$648,Export!J4723,FALSE),""),K4723)</f>
        <v>12000</v>
      </c>
      <c r="D4723" s="6" t="b">
        <v>0</v>
      </c>
      <c r="E4723" s="6"/>
      <c r="F4723" s="6"/>
      <c r="G4723" s="115" t="b">
        <f>VLOOKUP(I4716,FS_input_noty,J4716,TRUE)=""</f>
        <v>0</v>
      </c>
      <c r="H4723" s="6" t="s">
        <v>2189</v>
      </c>
      <c r="I4723" t="s">
        <v>1946</v>
      </c>
      <c r="J4723">
        <v>8</v>
      </c>
      <c r="L4723" s="26" t="e">
        <f t="shared" si="264"/>
        <v>#VALUE!</v>
      </c>
    </row>
    <row r="4724" spans="1:12" x14ac:dyDescent="0.35">
      <c r="A4724">
        <f t="shared" si="265"/>
        <v>4723</v>
      </c>
      <c r="B4724" t="s">
        <v>112</v>
      </c>
      <c r="C4724" s="109" t="str">
        <f>IF(ISBLANK(K4724),IFERROR(VLOOKUP(I4724,FS_input_data!$C$458:$N$648,Export!J4724,FALSE),""),K4724)</f>
        <v/>
      </c>
      <c r="D4724" s="6"/>
      <c r="E4724" s="6"/>
      <c r="F4724" s="6"/>
      <c r="G4724" s="115" t="b">
        <f>VLOOKUP(I4716,FS_input_noty,J4716,FALSE)=""</f>
        <v>0</v>
      </c>
      <c r="H4724" s="6" t="s">
        <v>2189</v>
      </c>
      <c r="I4724" t="s">
        <v>1561</v>
      </c>
      <c r="J4724" t="s">
        <v>1561</v>
      </c>
      <c r="L4724">
        <f t="shared" si="264"/>
        <v>1</v>
      </c>
    </row>
    <row r="4725" spans="1:12" x14ac:dyDescent="0.35">
      <c r="A4725" s="9">
        <f t="shared" si="265"/>
        <v>4724</v>
      </c>
      <c r="B4725" t="s">
        <v>749</v>
      </c>
      <c r="C4725" s="109">
        <f>IF(ISBLANK(K4725),IFERROR(VLOOKUP(I4725,FS_input_data!$C$458:$N$648,Export!J4725,FALSE),""),K4725)</f>
        <v>12000</v>
      </c>
      <c r="D4725" s="6" t="b">
        <v>0</v>
      </c>
      <c r="E4725" s="6"/>
      <c r="F4725" s="6"/>
      <c r="G4725" s="115" t="b">
        <f>VLOOKUP(I4716,FS_input_noty,J4716,FALSE)=""</f>
        <v>0</v>
      </c>
      <c r="H4725" s="6" t="s">
        <v>2189</v>
      </c>
      <c r="I4725" t="s">
        <v>1946</v>
      </c>
      <c r="J4725">
        <v>9</v>
      </c>
      <c r="L4725" s="26" t="e">
        <f t="shared" si="264"/>
        <v>#VALUE!</v>
      </c>
    </row>
    <row r="4726" spans="1:12" x14ac:dyDescent="0.35">
      <c r="A4726">
        <f t="shared" si="265"/>
        <v>4725</v>
      </c>
      <c r="B4726" t="s">
        <v>750</v>
      </c>
      <c r="C4726" s="109" t="str">
        <f>IF(ISBLANK(K4726),IFERROR(VLOOKUP(I4726,FS_input_data!$C$458:$N$648,Export!J4726,FALSE),""),K4726)</f>
        <v/>
      </c>
      <c r="D4726" s="6"/>
      <c r="E4726" s="6"/>
      <c r="F4726" s="6"/>
      <c r="G4726" s="115" t="b">
        <f>VLOOKUP(I4716,FS_input_noty,J4716,FALSE)=""</f>
        <v>0</v>
      </c>
      <c r="H4726" s="6" t="s">
        <v>2189</v>
      </c>
      <c r="I4726" t="s">
        <v>1561</v>
      </c>
      <c r="J4726" t="s">
        <v>1561</v>
      </c>
      <c r="L4726">
        <f t="shared" si="264"/>
        <v>1</v>
      </c>
    </row>
    <row r="4727" spans="1:12" x14ac:dyDescent="0.35">
      <c r="A4727">
        <f t="shared" si="265"/>
        <v>4726</v>
      </c>
      <c r="B4727" t="s">
        <v>751</v>
      </c>
      <c r="C4727" s="109" t="str">
        <f>IF(ISBLANK(K4727),IFERROR(VLOOKUP(I4727,FS_input_data!$C$458:$N$648,Export!J4727,FALSE),""),K4727)</f>
        <v/>
      </c>
      <c r="D4727" s="6"/>
      <c r="E4727" s="6"/>
      <c r="F4727" s="6"/>
      <c r="G4727" s="115" t="b">
        <f>VLOOKUP(I4716,FS_input_noty,J4716,FALSE)=""</f>
        <v>0</v>
      </c>
      <c r="H4727" s="6" t="s">
        <v>2189</v>
      </c>
      <c r="I4727" t="s">
        <v>1561</v>
      </c>
      <c r="J4727" t="s">
        <v>1561</v>
      </c>
      <c r="L4727">
        <f t="shared" si="264"/>
        <v>1</v>
      </c>
    </row>
    <row r="4728" spans="1:12" x14ac:dyDescent="0.35">
      <c r="A4728">
        <f t="shared" si="265"/>
        <v>4727</v>
      </c>
      <c r="B4728" t="s">
        <v>754</v>
      </c>
      <c r="C4728" s="109" t="str">
        <f>IF(ISBLANK(K4728),IFERROR(VLOOKUP(I4728,FS_input_data!$C$458:$N$648,Export!J4728,FALSE),""),K4728)</f>
        <v/>
      </c>
      <c r="D4728" s="6"/>
      <c r="E4728" s="6"/>
      <c r="F4728" s="6"/>
      <c r="G4728" s="115" t="b">
        <f>VLOOKUP(I4716,FS_input_noty,J4716,FALSE)=""</f>
        <v>0</v>
      </c>
      <c r="H4728" s="6" t="s">
        <v>2189</v>
      </c>
      <c r="I4728" t="s">
        <v>1561</v>
      </c>
      <c r="J4728" t="s">
        <v>1561</v>
      </c>
      <c r="L4728" s="26" t="e">
        <f t="shared" si="264"/>
        <v>#VALUE!</v>
      </c>
    </row>
    <row r="4729" spans="1:12" x14ac:dyDescent="0.35">
      <c r="A4729" s="9">
        <f t="shared" si="265"/>
        <v>4728</v>
      </c>
      <c r="B4729" t="s">
        <v>755</v>
      </c>
      <c r="C4729" s="109">
        <f>IF(ISBLANK(K4729),IFERROR(VLOOKUP(I4729,FS_input_data!$C$458:$N$648,Export!J4729,FALSE),""),K4729)</f>
        <v>68</v>
      </c>
      <c r="D4729" s="6" t="b">
        <v>1</v>
      </c>
      <c r="E4729" s="6"/>
      <c r="F4729" s="6"/>
      <c r="G4729" s="115" t="b">
        <f>VLOOKUP(I4716,FS_input_noty,J4716,FALSE)=""</f>
        <v>0</v>
      </c>
      <c r="H4729" s="6" t="s">
        <v>2189</v>
      </c>
      <c r="I4729" t="s">
        <v>1946</v>
      </c>
      <c r="J4729">
        <v>2</v>
      </c>
      <c r="L4729" s="26" t="e">
        <f t="shared" si="264"/>
        <v>#VALUE!</v>
      </c>
    </row>
    <row r="4730" spans="1:12" x14ac:dyDescent="0.35">
      <c r="A4730">
        <f t="shared" si="265"/>
        <v>4729</v>
      </c>
      <c r="B4730" t="s">
        <v>756</v>
      </c>
      <c r="C4730" s="109" t="str">
        <f>IF(ISBLANK(K4730),IFERROR(VLOOKUP(I4730,FS_input_data!$C$458:$N$648,Export!J4730,FALSE),""),K4730)</f>
        <v/>
      </c>
      <c r="D4730" s="6"/>
      <c r="E4730" s="6"/>
      <c r="F4730" s="6"/>
      <c r="G4730" s="115" t="b">
        <f>VLOOKUP(I4716,FS_input_noty,J4716,FALSE)=""</f>
        <v>0</v>
      </c>
      <c r="H4730" s="6" t="s">
        <v>2189</v>
      </c>
      <c r="I4730" t="s">
        <v>1561</v>
      </c>
      <c r="J4730" t="s">
        <v>1561</v>
      </c>
      <c r="L4730">
        <f t="shared" si="264"/>
        <v>1</v>
      </c>
    </row>
    <row r="4731" spans="1:12" x14ac:dyDescent="0.35">
      <c r="A4731" s="9">
        <f t="shared" si="265"/>
        <v>4730</v>
      </c>
      <c r="B4731" t="s">
        <v>757</v>
      </c>
      <c r="C4731" s="109">
        <f>IF(ISBLANK(K4731),IFERROR(VLOOKUP(I4731,FS_input_data!$C$458:$N$648,Export!J4731,FALSE),""),K4731)</f>
        <v>168</v>
      </c>
      <c r="D4731" s="6" t="b">
        <v>0</v>
      </c>
      <c r="E4731" s="6"/>
      <c r="F4731" s="6"/>
      <c r="G4731" s="115" t="b">
        <f>VLOOKUP(I4716,FS_input_noty,J4716,FALSE)=""</f>
        <v>0</v>
      </c>
      <c r="H4731" s="6" t="s">
        <v>2189</v>
      </c>
      <c r="I4731" t="s">
        <v>1946</v>
      </c>
      <c r="J4731">
        <v>3</v>
      </c>
      <c r="L4731" s="26" t="e">
        <f t="shared" si="264"/>
        <v>#VALUE!</v>
      </c>
    </row>
    <row r="4732" spans="1:12" x14ac:dyDescent="0.35">
      <c r="A4732">
        <f t="shared" si="265"/>
        <v>4731</v>
      </c>
      <c r="B4732" t="s">
        <v>758</v>
      </c>
      <c r="C4732" s="109" t="str">
        <f>IF(ISBLANK(K4732),IFERROR(VLOOKUP(I4732,FS_input_data!$C$458:$N$648,Export!J4732,FALSE),""),K4732)</f>
        <v/>
      </c>
      <c r="D4732" s="6"/>
      <c r="E4732" s="6"/>
      <c r="F4732" s="6"/>
      <c r="G4732" s="115" t="b">
        <f>VLOOKUP(I4716,FS_input_noty,J4716,FALSE)=""</f>
        <v>0</v>
      </c>
      <c r="H4732" s="6" t="s">
        <v>2189</v>
      </c>
      <c r="I4732" t="s">
        <v>1561</v>
      </c>
      <c r="J4732" t="s">
        <v>1561</v>
      </c>
      <c r="L4732">
        <f t="shared" si="264"/>
        <v>1</v>
      </c>
    </row>
    <row r="4733" spans="1:12" x14ac:dyDescent="0.35">
      <c r="A4733" s="9">
        <f t="shared" si="265"/>
        <v>4732</v>
      </c>
      <c r="B4733" t="s">
        <v>759</v>
      </c>
      <c r="C4733" s="109">
        <f>IF(ISBLANK(K4733),IFERROR(VLOOKUP(I4733,FS_input_data!$C$458:$N$648,Export!J4733,FALSE),""),K4733)</f>
        <v>268</v>
      </c>
      <c r="D4733" s="6" t="b">
        <v>0</v>
      </c>
      <c r="E4733" s="6"/>
      <c r="F4733" s="6"/>
      <c r="G4733" s="115" t="b">
        <f>VLOOKUP(I4716,FS_input_noty,J4716,FALSE)=""</f>
        <v>0</v>
      </c>
      <c r="H4733" s="6" t="s">
        <v>2189</v>
      </c>
      <c r="I4733" t="s">
        <v>1946</v>
      </c>
      <c r="J4733">
        <v>4</v>
      </c>
      <c r="L4733" s="26" t="e">
        <f t="shared" si="264"/>
        <v>#VALUE!</v>
      </c>
    </row>
    <row r="4734" spans="1:12" x14ac:dyDescent="0.35">
      <c r="A4734">
        <f t="shared" si="265"/>
        <v>4733</v>
      </c>
      <c r="B4734" t="s">
        <v>760</v>
      </c>
      <c r="C4734" s="109" t="str">
        <f>IF(ISBLANK(K4734),IFERROR(VLOOKUP(I4734,FS_input_data!$C$458:$N$648,Export!J4734,FALSE),""),K4734)</f>
        <v/>
      </c>
      <c r="D4734" s="6"/>
      <c r="E4734" s="6"/>
      <c r="F4734" s="6"/>
      <c r="G4734" s="115" t="b">
        <f>VLOOKUP(I4716,FS_input_noty,J4716,FALSE)=""</f>
        <v>0</v>
      </c>
      <c r="H4734" s="6" t="s">
        <v>2189</v>
      </c>
      <c r="I4734" t="s">
        <v>1561</v>
      </c>
      <c r="J4734" t="s">
        <v>1561</v>
      </c>
      <c r="L4734">
        <f t="shared" si="264"/>
        <v>1</v>
      </c>
    </row>
    <row r="4735" spans="1:12" x14ac:dyDescent="0.35">
      <c r="A4735" s="9">
        <f t="shared" si="265"/>
        <v>4734</v>
      </c>
      <c r="B4735" t="s">
        <v>761</v>
      </c>
      <c r="C4735" s="109" t="str">
        <f>IF(ISBLANK(K4735),IFERROR(VLOOKUP(I4735,FS_input_data!$C$458:$N$648,Export!J4735,FALSE),""),K4735)</f>
        <v>b</v>
      </c>
      <c r="D4735" s="6" t="b">
        <v>0</v>
      </c>
      <c r="E4735" s="6"/>
      <c r="F4735" s="6"/>
      <c r="G4735" s="115" t="b">
        <f>VLOOKUP(I4716,FS_input_noty,J4716,FALSE)=""</f>
        <v>0</v>
      </c>
      <c r="H4735" s="6" t="s">
        <v>2189</v>
      </c>
      <c r="I4735" t="s">
        <v>1946</v>
      </c>
      <c r="J4735">
        <v>5</v>
      </c>
      <c r="L4735" s="26" t="e">
        <f t="shared" si="264"/>
        <v>#VALUE!</v>
      </c>
    </row>
    <row r="4736" spans="1:12" x14ac:dyDescent="0.35">
      <c r="A4736">
        <f t="shared" si="265"/>
        <v>4735</v>
      </c>
      <c r="B4736" t="s">
        <v>762</v>
      </c>
      <c r="C4736" s="109" t="str">
        <f>IF(ISBLANK(K4736),IFERROR(VLOOKUP(I4736,FS_input_data!$C$458:$N$648,Export!J4736,FALSE),""),K4736)</f>
        <v/>
      </c>
      <c r="D4736" s="6"/>
      <c r="E4736" s="6"/>
      <c r="F4736" s="6"/>
      <c r="G4736" s="115" t="b">
        <f>VLOOKUP(I4716,FS_input_noty,J4716,FALSE)=""</f>
        <v>0</v>
      </c>
      <c r="H4736" s="6" t="s">
        <v>2189</v>
      </c>
      <c r="I4736" t="s">
        <v>1561</v>
      </c>
      <c r="J4736" t="s">
        <v>1561</v>
      </c>
      <c r="L4736">
        <f t="shared" si="264"/>
        <v>1</v>
      </c>
    </row>
    <row r="4737" spans="1:12" x14ac:dyDescent="0.35">
      <c r="A4737">
        <f t="shared" si="265"/>
        <v>4736</v>
      </c>
      <c r="B4737" t="s">
        <v>763</v>
      </c>
      <c r="C4737" s="109" t="str">
        <f>IF(ISBLANK(K4737),IFERROR(VLOOKUP(I4737,FS_input_data!$C$458:$N$648,Export!J4737,FALSE),""),K4737)</f>
        <v/>
      </c>
      <c r="D4737" s="6"/>
      <c r="E4737" s="6"/>
      <c r="F4737" s="6"/>
      <c r="G4737" s="115" t="b">
        <f>VLOOKUP(I4716,FS_input_noty,J4716,FALSE)=""</f>
        <v>0</v>
      </c>
      <c r="H4737" s="6" t="s">
        <v>2189</v>
      </c>
      <c r="I4737" t="s">
        <v>1561</v>
      </c>
      <c r="J4737" t="s">
        <v>1561</v>
      </c>
      <c r="L4737">
        <f t="shared" si="264"/>
        <v>1</v>
      </c>
    </row>
    <row r="4738" spans="1:12" x14ac:dyDescent="0.35">
      <c r="A4738">
        <f t="shared" si="265"/>
        <v>4737</v>
      </c>
      <c r="B4738" t="s">
        <v>743</v>
      </c>
      <c r="C4738" s="109" t="str">
        <f>IF(ISBLANK(K4738),IFERROR(VLOOKUP(I4738,FS_input_data!$C$458:$N$648,Export!J4738,FALSE),""),K4738)</f>
        <v/>
      </c>
      <c r="D4738" s="6"/>
      <c r="E4738" s="6"/>
      <c r="F4738" s="6"/>
      <c r="G4738" s="115" t="b">
        <f>VLOOKUP(I4716,FS_input_noty,J4716,FALSE)=""</f>
        <v>0</v>
      </c>
      <c r="H4738" s="6" t="s">
        <v>2189</v>
      </c>
      <c r="I4738" t="s">
        <v>1561</v>
      </c>
      <c r="J4738" t="s">
        <v>1561</v>
      </c>
      <c r="L4738">
        <f t="shared" ref="L4738:L4801" si="268">FIND("/",B4738)</f>
        <v>1</v>
      </c>
    </row>
    <row r="4739" spans="1:12" x14ac:dyDescent="0.35">
      <c r="A4739">
        <f t="shared" ref="A4739:A4802" si="269">A4738+1</f>
        <v>4738</v>
      </c>
      <c r="B4739" t="s">
        <v>744</v>
      </c>
      <c r="C4739" s="109" t="str">
        <f>IF(ISBLANK(K4739),IFERROR(VLOOKUP(I4739,FS_input_data!$C$458:$N$648,Export!J4739,FALSE),""),K4739)</f>
        <v/>
      </c>
      <c r="D4739" s="6"/>
      <c r="E4739" s="6"/>
      <c r="F4739" s="6"/>
      <c r="G4739" s="115" t="b">
        <f t="shared" ref="G4739:G4746" si="270">RP_tax</f>
        <v>1</v>
      </c>
      <c r="H4739" s="6" t="s">
        <v>2189</v>
      </c>
      <c r="I4739" t="s">
        <v>1561</v>
      </c>
      <c r="J4739" t="s">
        <v>1561</v>
      </c>
      <c r="L4739" s="26" t="e">
        <f t="shared" si="268"/>
        <v>#VALUE!</v>
      </c>
    </row>
    <row r="4740" spans="1:12" x14ac:dyDescent="0.35">
      <c r="A4740" s="9">
        <f t="shared" si="269"/>
        <v>4739</v>
      </c>
      <c r="B4740" t="s">
        <v>109</v>
      </c>
      <c r="C4740" s="109">
        <f>IF(ISBLANK(K4740),IFERROR(VLOOKUP(I4740,FS_input_data!$C$458:$N$648,Export!J4740,FALSE),""),K4740)</f>
        <v>24000</v>
      </c>
      <c r="D4740" s="6" t="b">
        <v>1</v>
      </c>
      <c r="E4740" s="6"/>
      <c r="F4740" s="6"/>
      <c r="G4740" s="115" t="b">
        <f t="shared" si="270"/>
        <v>1</v>
      </c>
      <c r="H4740" s="6" t="s">
        <v>2189</v>
      </c>
      <c r="I4740" t="s">
        <v>1946</v>
      </c>
      <c r="J4740">
        <v>10</v>
      </c>
      <c r="L4740" s="26" t="e">
        <f t="shared" si="268"/>
        <v>#VALUE!</v>
      </c>
    </row>
    <row r="4741" spans="1:12" x14ac:dyDescent="0.35">
      <c r="A4741">
        <f t="shared" si="269"/>
        <v>4740</v>
      </c>
      <c r="B4741" t="s">
        <v>110</v>
      </c>
      <c r="C4741" s="109" t="str">
        <f>IF(ISBLANK(K4741),IFERROR(VLOOKUP(I4741,FS_input_data!$C$458:$N$648,Export!J4741,FALSE),""),K4741)</f>
        <v/>
      </c>
      <c r="D4741" s="6"/>
      <c r="E4741" s="6"/>
      <c r="F4741" s="6"/>
      <c r="G4741" s="115" t="b">
        <f t="shared" si="270"/>
        <v>1</v>
      </c>
      <c r="H4741" s="6" t="s">
        <v>2189</v>
      </c>
      <c r="I4741" t="s">
        <v>1561</v>
      </c>
      <c r="J4741" t="s">
        <v>1561</v>
      </c>
      <c r="L4741">
        <f t="shared" si="268"/>
        <v>1</v>
      </c>
    </row>
    <row r="4742" spans="1:12" x14ac:dyDescent="0.35">
      <c r="A4742" s="9">
        <f t="shared" si="269"/>
        <v>4741</v>
      </c>
      <c r="B4742" t="s">
        <v>111</v>
      </c>
      <c r="C4742" s="109">
        <f>IF(ISBLANK(K4742),IFERROR(VLOOKUP(I4742,FS_input_data!$C$458:$N$648,Export!J4742,FALSE),""),K4742)</f>
        <v>12000</v>
      </c>
      <c r="D4742" s="6" t="b">
        <v>0</v>
      </c>
      <c r="E4742" s="6"/>
      <c r="F4742" s="6"/>
      <c r="G4742" s="115" t="b">
        <f t="shared" si="270"/>
        <v>1</v>
      </c>
      <c r="H4742" s="6" t="s">
        <v>2189</v>
      </c>
      <c r="I4742" t="s">
        <v>1946</v>
      </c>
      <c r="J4742">
        <v>11</v>
      </c>
      <c r="L4742" s="26" t="e">
        <f t="shared" si="268"/>
        <v>#VALUE!</v>
      </c>
    </row>
    <row r="4743" spans="1:12" x14ac:dyDescent="0.35">
      <c r="A4743">
        <f t="shared" si="269"/>
        <v>4742</v>
      </c>
      <c r="B4743" t="s">
        <v>112</v>
      </c>
      <c r="C4743" s="109" t="str">
        <f>IF(ISBLANK(K4743),IFERROR(VLOOKUP(I4743,FS_input_data!$C$458:$N$648,Export!J4743,FALSE),""),K4743)</f>
        <v/>
      </c>
      <c r="D4743" s="6"/>
      <c r="E4743" s="6"/>
      <c r="F4743" s="6"/>
      <c r="G4743" s="115" t="b">
        <f t="shared" si="270"/>
        <v>1</v>
      </c>
      <c r="H4743" s="6" t="s">
        <v>2189</v>
      </c>
      <c r="I4743" t="s">
        <v>1561</v>
      </c>
      <c r="J4743" t="s">
        <v>1561</v>
      </c>
      <c r="L4743">
        <f t="shared" si="268"/>
        <v>1</v>
      </c>
    </row>
    <row r="4744" spans="1:12" x14ac:dyDescent="0.35">
      <c r="A4744" s="9">
        <f t="shared" si="269"/>
        <v>4743</v>
      </c>
      <c r="B4744" t="s">
        <v>749</v>
      </c>
      <c r="C4744" s="109">
        <f>IF(ISBLANK(K4744),IFERROR(VLOOKUP(I4744,FS_input_data!$C$458:$N$648,Export!J4744,FALSE),""),K4744)</f>
        <v>12000</v>
      </c>
      <c r="D4744" s="6" t="b">
        <v>0</v>
      </c>
      <c r="E4744" s="6"/>
      <c r="F4744" s="6"/>
      <c r="G4744" s="115" t="b">
        <f t="shared" si="270"/>
        <v>1</v>
      </c>
      <c r="H4744" s="6" t="s">
        <v>2189</v>
      </c>
      <c r="I4744" t="s">
        <v>1946</v>
      </c>
      <c r="J4744">
        <v>12</v>
      </c>
      <c r="L4744" s="26" t="e">
        <f t="shared" si="268"/>
        <v>#VALUE!</v>
      </c>
    </row>
    <row r="4745" spans="1:12" x14ac:dyDescent="0.35">
      <c r="A4745">
        <f t="shared" si="269"/>
        <v>4744</v>
      </c>
      <c r="B4745" t="s">
        <v>750</v>
      </c>
      <c r="C4745" s="109" t="str">
        <f>IF(ISBLANK(K4745),IFERROR(VLOOKUP(I4745,FS_input_data!$C$458:$N$648,Export!J4745,FALSE),""),K4745)</f>
        <v/>
      </c>
      <c r="D4745" s="6"/>
      <c r="E4745" s="6"/>
      <c r="F4745" s="6"/>
      <c r="G4745" s="115" t="b">
        <f t="shared" si="270"/>
        <v>1</v>
      </c>
      <c r="H4745" s="6" t="s">
        <v>2189</v>
      </c>
      <c r="I4745" t="s">
        <v>1561</v>
      </c>
      <c r="J4745" t="s">
        <v>1561</v>
      </c>
      <c r="L4745">
        <f t="shared" si="268"/>
        <v>1</v>
      </c>
    </row>
    <row r="4746" spans="1:12" x14ac:dyDescent="0.35">
      <c r="A4746">
        <f t="shared" si="269"/>
        <v>4745</v>
      </c>
      <c r="B4746" t="s">
        <v>745</v>
      </c>
      <c r="C4746" s="109" t="str">
        <f>IF(ISBLANK(K4746),IFERROR(VLOOKUP(I4746,FS_input_data!$C$458:$N$648,Export!J4746,FALSE),""),K4746)</f>
        <v/>
      </c>
      <c r="D4746" s="6"/>
      <c r="E4746" s="6"/>
      <c r="F4746" s="6"/>
      <c r="G4746" s="115" t="b">
        <f t="shared" si="270"/>
        <v>1</v>
      </c>
      <c r="H4746" s="6" t="s">
        <v>2189</v>
      </c>
      <c r="I4746" t="s">
        <v>1561</v>
      </c>
      <c r="J4746" t="s">
        <v>1561</v>
      </c>
      <c r="L4746">
        <f t="shared" si="268"/>
        <v>1</v>
      </c>
    </row>
    <row r="4747" spans="1:12" x14ac:dyDescent="0.35">
      <c r="A4747">
        <f t="shared" si="269"/>
        <v>4746</v>
      </c>
      <c r="B4747" t="s">
        <v>764</v>
      </c>
      <c r="C4747" s="109" t="str">
        <f>IF(ISBLANK(K4747),IFERROR(VLOOKUP(I4747,FS_input_data!$C$458:$N$648,Export!J4747,FALSE),""),K4747)</f>
        <v/>
      </c>
      <c r="D4747" s="6"/>
      <c r="E4747" s="6"/>
      <c r="F4747" s="6"/>
      <c r="G4747" s="116" t="b">
        <f>VLOOKUP(I4716,FS_input_noty,J4716,FALSE)=""</f>
        <v>0</v>
      </c>
      <c r="H4747" s="6" t="s">
        <v>2189</v>
      </c>
      <c r="I4747" t="s">
        <v>1561</v>
      </c>
      <c r="J4747" t="s">
        <v>1561</v>
      </c>
      <c r="L4747">
        <f t="shared" si="268"/>
        <v>1</v>
      </c>
    </row>
    <row r="4748" spans="1:12" x14ac:dyDescent="0.35">
      <c r="A4748">
        <f t="shared" si="269"/>
        <v>4747</v>
      </c>
      <c r="B4748" t="s">
        <v>765</v>
      </c>
      <c r="C4748" s="109" t="str">
        <f>IF(ISBLANK(K4748),IFERROR(VLOOKUP(I4748,FS_input_data!$C$458:$N$648,Export!J4748,FALSE),""),K4748)</f>
        <v/>
      </c>
      <c r="D4748" s="6"/>
      <c r="E4748" s="6"/>
      <c r="F4748" s="6"/>
      <c r="G4748" s="115" t="b">
        <f>VLOOKUP(I4716,FS_input_noty,J4716,FALSE)=""</f>
        <v>0</v>
      </c>
      <c r="H4748" s="6" t="s">
        <v>2189</v>
      </c>
      <c r="I4748" t="s">
        <v>1561</v>
      </c>
      <c r="J4748" t="s">
        <v>1561</v>
      </c>
      <c r="L4748">
        <f t="shared" si="268"/>
        <v>1</v>
      </c>
    </row>
    <row r="4749" spans="1:12" x14ac:dyDescent="0.35">
      <c r="A4749">
        <f t="shared" si="269"/>
        <v>4748</v>
      </c>
      <c r="B4749" t="s">
        <v>752</v>
      </c>
      <c r="C4749" s="109" t="str">
        <f>IF(ISBLANK(K4749),IFERROR(VLOOKUP(I4749,FS_input_data!$C$458:$N$648,Export!J4749,FALSE),""),K4749)</f>
        <v/>
      </c>
      <c r="D4749" s="6"/>
      <c r="E4749" s="6"/>
      <c r="F4749" s="6"/>
      <c r="G4749" s="115" t="b">
        <f>VLOOKUP(I4750,FS_input_noty,J4750,FALSE)=""</f>
        <v>0</v>
      </c>
      <c r="H4749" s="6" t="s">
        <v>2189</v>
      </c>
      <c r="I4749" t="s">
        <v>1561</v>
      </c>
      <c r="J4749" t="s">
        <v>1561</v>
      </c>
      <c r="L4749" s="26" t="e">
        <f t="shared" si="268"/>
        <v>#VALUE!</v>
      </c>
    </row>
    <row r="4750" spans="1:12" x14ac:dyDescent="0.35">
      <c r="A4750" s="9">
        <f t="shared" si="269"/>
        <v>4749</v>
      </c>
      <c r="B4750" t="s">
        <v>101</v>
      </c>
      <c r="C4750" s="109" t="str">
        <f>IF(ISBLANK(K4750),IFERROR(VLOOKUP(I4750,FS_input_data!$C$458:$N$648,Export!J4750,FALSE),""),K4750)</f>
        <v>OC46</v>
      </c>
      <c r="D4750" s="6" t="b">
        <v>1</v>
      </c>
      <c r="E4750" s="6"/>
      <c r="F4750" s="6"/>
      <c r="G4750" s="115" t="b">
        <f>VLOOKUP(I4750,FS_input_noty,J4750,FALSE)=""</f>
        <v>0</v>
      </c>
      <c r="H4750" s="6" t="s">
        <v>2189</v>
      </c>
      <c r="I4750" t="s">
        <v>1948</v>
      </c>
      <c r="J4750">
        <v>6</v>
      </c>
      <c r="L4750" s="26" t="e">
        <f t="shared" si="268"/>
        <v>#VALUE!</v>
      </c>
    </row>
    <row r="4751" spans="1:12" x14ac:dyDescent="0.35">
      <c r="A4751">
        <f t="shared" si="269"/>
        <v>4750</v>
      </c>
      <c r="B4751" t="s">
        <v>102</v>
      </c>
      <c r="C4751" s="109" t="str">
        <f>IF(ISBLANK(K4751),IFERROR(VLOOKUP(I4751,FS_input_data!$C$458:$N$648,Export!J4751,FALSE),""),K4751)</f>
        <v/>
      </c>
      <c r="D4751" s="6"/>
      <c r="E4751" s="6"/>
      <c r="F4751" s="6"/>
      <c r="G4751" s="115" t="b">
        <f>VLOOKUP(I4750,FS_input_noty,J4750,FALSE)=""</f>
        <v>0</v>
      </c>
      <c r="H4751" s="6" t="s">
        <v>2189</v>
      </c>
      <c r="I4751" t="s">
        <v>1561</v>
      </c>
      <c r="J4751" t="s">
        <v>1561</v>
      </c>
      <c r="L4751">
        <f t="shared" si="268"/>
        <v>1</v>
      </c>
    </row>
    <row r="4752" spans="1:12" x14ac:dyDescent="0.35">
      <c r="A4752">
        <f t="shared" si="269"/>
        <v>4751</v>
      </c>
      <c r="B4752" t="s">
        <v>753</v>
      </c>
      <c r="C4752" s="109" t="str">
        <f>IF(ISBLANK(K4752),IFERROR(VLOOKUP(I4752,FS_input_data!$C$458:$N$648,Export!J4752,FALSE),""),K4752)</f>
        <v/>
      </c>
      <c r="D4752" s="6"/>
      <c r="E4752" s="6"/>
      <c r="F4752" s="6"/>
      <c r="G4752" s="115" t="b">
        <f>VLOOKUP(I4750,FS_input_noty,J4750,FALSE)=""</f>
        <v>0</v>
      </c>
      <c r="H4752" s="6" t="s">
        <v>2189</v>
      </c>
      <c r="I4752" t="s">
        <v>1561</v>
      </c>
      <c r="J4752" t="s">
        <v>1561</v>
      </c>
      <c r="L4752" s="26" t="e">
        <f t="shared" si="268"/>
        <v>#VALUE!</v>
      </c>
    </row>
    <row r="4753" spans="1:12" x14ac:dyDescent="0.35">
      <c r="A4753">
        <f t="shared" si="269"/>
        <v>4752</v>
      </c>
      <c r="B4753" t="s">
        <v>742</v>
      </c>
      <c r="C4753" s="109" t="str">
        <f>IF(ISBLANK(K4753),IFERROR(VLOOKUP(I4753,FS_input_data!$C$458:$N$648,Export!J4753,FALSE),""),K4753)</f>
        <v/>
      </c>
      <c r="D4753" s="6"/>
      <c r="E4753" s="6"/>
      <c r="F4753" s="6"/>
      <c r="G4753" s="115" t="b">
        <f>VLOOKUP(I4750,FS_input_noty,J4750,FALSE)=""</f>
        <v>0</v>
      </c>
      <c r="H4753" s="6" t="s">
        <v>2189</v>
      </c>
      <c r="I4753" t="s">
        <v>1561</v>
      </c>
      <c r="J4753" t="s">
        <v>1561</v>
      </c>
      <c r="L4753" s="26" t="e">
        <f t="shared" si="268"/>
        <v>#VALUE!</v>
      </c>
    </row>
    <row r="4754" spans="1:12" x14ac:dyDescent="0.35">
      <c r="A4754">
        <f t="shared" si="269"/>
        <v>4753</v>
      </c>
      <c r="B4754" t="s">
        <v>748</v>
      </c>
      <c r="C4754" s="109" t="str">
        <f>IF(ISBLANK(K4754),IFERROR(VLOOKUP(I4754,FS_input_data!$C$458:$N$648,Export!J4754,FALSE),""),K4754)</f>
        <v/>
      </c>
      <c r="D4754" s="6"/>
      <c r="E4754" s="6"/>
      <c r="F4754" s="6"/>
      <c r="G4754" s="115" t="b">
        <f>VLOOKUP(I4750,FS_input_noty,J4750,FALSE)=""</f>
        <v>0</v>
      </c>
      <c r="H4754" s="6" t="s">
        <v>2189</v>
      </c>
      <c r="I4754" t="s">
        <v>1561</v>
      </c>
      <c r="J4754" t="s">
        <v>1561</v>
      </c>
      <c r="L4754" s="26" t="e">
        <f t="shared" si="268"/>
        <v>#VALUE!</v>
      </c>
    </row>
    <row r="4755" spans="1:12" x14ac:dyDescent="0.35">
      <c r="A4755" s="9">
        <f t="shared" si="269"/>
        <v>4754</v>
      </c>
      <c r="B4755" t="s">
        <v>109</v>
      </c>
      <c r="C4755" s="109">
        <f>IF(ISBLANK(K4755),IFERROR(VLOOKUP(I4755,FS_input_data!$C$458:$N$648,Export!J4755,FALSE),""),K4755)</f>
        <v>25000</v>
      </c>
      <c r="D4755" s="6" t="b">
        <v>1</v>
      </c>
      <c r="E4755" s="6"/>
      <c r="F4755" s="6"/>
      <c r="G4755" s="115" t="b">
        <f>VLOOKUP(I4750,FS_input_noty,J4750,FALSE)=""</f>
        <v>0</v>
      </c>
      <c r="H4755" s="6" t="s">
        <v>2189</v>
      </c>
      <c r="I4755" t="s">
        <v>1948</v>
      </c>
      <c r="J4755">
        <v>7</v>
      </c>
      <c r="L4755" s="26" t="e">
        <f t="shared" si="268"/>
        <v>#VALUE!</v>
      </c>
    </row>
    <row r="4756" spans="1:12" x14ac:dyDescent="0.35">
      <c r="A4756">
        <f t="shared" si="269"/>
        <v>4755</v>
      </c>
      <c r="B4756" t="s">
        <v>110</v>
      </c>
      <c r="C4756" s="109" t="str">
        <f>IF(ISBLANK(K4756),IFERROR(VLOOKUP(I4756,FS_input_data!$C$458:$N$648,Export!J4756,FALSE),""),K4756)</f>
        <v/>
      </c>
      <c r="D4756" s="6"/>
      <c r="E4756" s="6"/>
      <c r="F4756" s="6"/>
      <c r="G4756" s="115" t="b">
        <f>VLOOKUP(I4750,FS_input_noty,J4750,FALSE)=""</f>
        <v>0</v>
      </c>
      <c r="H4756" s="6" t="s">
        <v>2189</v>
      </c>
      <c r="I4756" t="s">
        <v>1561</v>
      </c>
      <c r="J4756" t="s">
        <v>1561</v>
      </c>
      <c r="L4756">
        <f t="shared" si="268"/>
        <v>1</v>
      </c>
    </row>
    <row r="4757" spans="1:12" x14ac:dyDescent="0.35">
      <c r="A4757" s="9">
        <f t="shared" si="269"/>
        <v>4756</v>
      </c>
      <c r="B4757" t="s">
        <v>111</v>
      </c>
      <c r="C4757" s="109">
        <f>IF(ISBLANK(K4757),IFERROR(VLOOKUP(I4757,FS_input_data!$C$458:$N$648,Export!J4757,FALSE),""),K4757)</f>
        <v>12500</v>
      </c>
      <c r="D4757" s="6" t="b">
        <v>0</v>
      </c>
      <c r="E4757" s="6"/>
      <c r="F4757" s="6"/>
      <c r="G4757" s="115" t="b">
        <f>VLOOKUP(I4750,FS_input_noty,J4750,TRUE)=""</f>
        <v>0</v>
      </c>
      <c r="H4757" s="6" t="s">
        <v>2189</v>
      </c>
      <c r="I4757" t="s">
        <v>1948</v>
      </c>
      <c r="J4757">
        <v>8</v>
      </c>
      <c r="L4757" s="26" t="e">
        <f t="shared" si="268"/>
        <v>#VALUE!</v>
      </c>
    </row>
    <row r="4758" spans="1:12" x14ac:dyDescent="0.35">
      <c r="A4758">
        <f t="shared" si="269"/>
        <v>4757</v>
      </c>
      <c r="B4758" t="s">
        <v>112</v>
      </c>
      <c r="C4758" s="109" t="str">
        <f>IF(ISBLANK(K4758),IFERROR(VLOOKUP(I4758,FS_input_data!$C$458:$N$648,Export!J4758,FALSE),""),K4758)</f>
        <v/>
      </c>
      <c r="D4758" s="6"/>
      <c r="E4758" s="6"/>
      <c r="F4758" s="6"/>
      <c r="G4758" s="115" t="b">
        <f>VLOOKUP(I4750,FS_input_noty,J4750,FALSE)=""</f>
        <v>0</v>
      </c>
      <c r="H4758" s="6" t="s">
        <v>2189</v>
      </c>
      <c r="I4758" t="s">
        <v>1561</v>
      </c>
      <c r="J4758" t="s">
        <v>1561</v>
      </c>
      <c r="L4758">
        <f t="shared" si="268"/>
        <v>1</v>
      </c>
    </row>
    <row r="4759" spans="1:12" x14ac:dyDescent="0.35">
      <c r="A4759" s="9">
        <f t="shared" si="269"/>
        <v>4758</v>
      </c>
      <c r="B4759" t="s">
        <v>749</v>
      </c>
      <c r="C4759" s="109">
        <f>IF(ISBLANK(K4759),IFERROR(VLOOKUP(I4759,FS_input_data!$C$458:$N$648,Export!J4759,FALSE),""),K4759)</f>
        <v>12500</v>
      </c>
      <c r="D4759" s="6" t="b">
        <v>0</v>
      </c>
      <c r="E4759" s="6"/>
      <c r="F4759" s="6"/>
      <c r="G4759" s="115" t="b">
        <f>VLOOKUP(I4750,FS_input_noty,J4750,FALSE)=""</f>
        <v>0</v>
      </c>
      <c r="H4759" s="6" t="s">
        <v>2189</v>
      </c>
      <c r="I4759" t="s">
        <v>1948</v>
      </c>
      <c r="J4759">
        <v>9</v>
      </c>
      <c r="L4759" s="26" t="e">
        <f t="shared" si="268"/>
        <v>#VALUE!</v>
      </c>
    </row>
    <row r="4760" spans="1:12" x14ac:dyDescent="0.35">
      <c r="A4760">
        <f t="shared" si="269"/>
        <v>4759</v>
      </c>
      <c r="B4760" t="s">
        <v>750</v>
      </c>
      <c r="C4760" s="109" t="str">
        <f>IF(ISBLANK(K4760),IFERROR(VLOOKUP(I4760,FS_input_data!$C$458:$N$648,Export!J4760,FALSE),""),K4760)</f>
        <v/>
      </c>
      <c r="D4760" s="6"/>
      <c r="E4760" s="6"/>
      <c r="F4760" s="6"/>
      <c r="G4760" s="115" t="b">
        <f>VLOOKUP(I4750,FS_input_noty,J4750,FALSE)=""</f>
        <v>0</v>
      </c>
      <c r="H4760" s="6" t="s">
        <v>2189</v>
      </c>
      <c r="I4760" t="s">
        <v>1561</v>
      </c>
      <c r="J4760" t="s">
        <v>1561</v>
      </c>
      <c r="L4760">
        <f t="shared" si="268"/>
        <v>1</v>
      </c>
    </row>
    <row r="4761" spans="1:12" x14ac:dyDescent="0.35">
      <c r="A4761">
        <f t="shared" si="269"/>
        <v>4760</v>
      </c>
      <c r="B4761" t="s">
        <v>751</v>
      </c>
      <c r="C4761" s="109" t="str">
        <f>IF(ISBLANK(K4761),IFERROR(VLOOKUP(I4761,FS_input_data!$C$458:$N$648,Export!J4761,FALSE),""),K4761)</f>
        <v/>
      </c>
      <c r="D4761" s="6"/>
      <c r="E4761" s="6"/>
      <c r="F4761" s="6"/>
      <c r="G4761" s="115" t="b">
        <f>VLOOKUP(I4750,FS_input_noty,J4750,FALSE)=""</f>
        <v>0</v>
      </c>
      <c r="H4761" s="6" t="s">
        <v>2189</v>
      </c>
      <c r="I4761" t="s">
        <v>1561</v>
      </c>
      <c r="J4761" t="s">
        <v>1561</v>
      </c>
      <c r="L4761">
        <f t="shared" si="268"/>
        <v>1</v>
      </c>
    </row>
    <row r="4762" spans="1:12" x14ac:dyDescent="0.35">
      <c r="A4762">
        <f t="shared" si="269"/>
        <v>4761</v>
      </c>
      <c r="B4762" t="s">
        <v>754</v>
      </c>
      <c r="C4762" s="109" t="str">
        <f>IF(ISBLANK(K4762),IFERROR(VLOOKUP(I4762,FS_input_data!$C$458:$N$648,Export!J4762,FALSE),""),K4762)</f>
        <v/>
      </c>
      <c r="D4762" s="6"/>
      <c r="E4762" s="6"/>
      <c r="F4762" s="6"/>
      <c r="G4762" s="115" t="b">
        <f>VLOOKUP(I4750,FS_input_noty,J4750,FALSE)=""</f>
        <v>0</v>
      </c>
      <c r="H4762" s="6" t="s">
        <v>2189</v>
      </c>
      <c r="I4762" t="s">
        <v>1561</v>
      </c>
      <c r="J4762" t="s">
        <v>1561</v>
      </c>
      <c r="L4762" s="26" t="e">
        <f t="shared" si="268"/>
        <v>#VALUE!</v>
      </c>
    </row>
    <row r="4763" spans="1:12" x14ac:dyDescent="0.35">
      <c r="A4763" s="9">
        <f t="shared" si="269"/>
        <v>4762</v>
      </c>
      <c r="B4763" t="s">
        <v>755</v>
      </c>
      <c r="C4763" s="109">
        <f>IF(ISBLANK(K4763),IFERROR(VLOOKUP(I4763,FS_input_data!$C$458:$N$648,Export!J4763,FALSE),""),K4763)</f>
        <v>69</v>
      </c>
      <c r="D4763" s="6" t="b">
        <v>1</v>
      </c>
      <c r="E4763" s="6"/>
      <c r="F4763" s="6"/>
      <c r="G4763" s="115" t="b">
        <f>VLOOKUP(I4750,FS_input_noty,J4750,FALSE)=""</f>
        <v>0</v>
      </c>
      <c r="H4763" s="6" t="s">
        <v>2189</v>
      </c>
      <c r="I4763" t="s">
        <v>1948</v>
      </c>
      <c r="J4763">
        <v>2</v>
      </c>
      <c r="L4763" s="26" t="e">
        <f t="shared" si="268"/>
        <v>#VALUE!</v>
      </c>
    </row>
    <row r="4764" spans="1:12" x14ac:dyDescent="0.35">
      <c r="A4764">
        <f t="shared" si="269"/>
        <v>4763</v>
      </c>
      <c r="B4764" t="s">
        <v>756</v>
      </c>
      <c r="C4764" s="109" t="str">
        <f>IF(ISBLANK(K4764),IFERROR(VLOOKUP(I4764,FS_input_data!$C$458:$N$648,Export!J4764,FALSE),""),K4764)</f>
        <v/>
      </c>
      <c r="D4764" s="6"/>
      <c r="E4764" s="6"/>
      <c r="F4764" s="6"/>
      <c r="G4764" s="115" t="b">
        <f>VLOOKUP(I4750,FS_input_noty,J4750,FALSE)=""</f>
        <v>0</v>
      </c>
      <c r="H4764" s="6" t="s">
        <v>2189</v>
      </c>
      <c r="I4764" t="s">
        <v>1561</v>
      </c>
      <c r="J4764" t="s">
        <v>1561</v>
      </c>
      <c r="L4764">
        <f t="shared" si="268"/>
        <v>1</v>
      </c>
    </row>
    <row r="4765" spans="1:12" x14ac:dyDescent="0.35">
      <c r="A4765" s="9">
        <f t="shared" si="269"/>
        <v>4764</v>
      </c>
      <c r="B4765" t="s">
        <v>757</v>
      </c>
      <c r="C4765" s="109">
        <f>IF(ISBLANK(K4765),IFERROR(VLOOKUP(I4765,FS_input_data!$C$458:$N$648,Export!J4765,FALSE),""),K4765)</f>
        <v>169</v>
      </c>
      <c r="D4765" s="6" t="b">
        <v>0</v>
      </c>
      <c r="E4765" s="6"/>
      <c r="F4765" s="6"/>
      <c r="G4765" s="115" t="b">
        <f>VLOOKUP(I4750,FS_input_noty,J4750,FALSE)=""</f>
        <v>0</v>
      </c>
      <c r="H4765" s="6" t="s">
        <v>2189</v>
      </c>
      <c r="I4765" t="s">
        <v>1948</v>
      </c>
      <c r="J4765">
        <v>3</v>
      </c>
      <c r="L4765" s="26" t="e">
        <f t="shared" si="268"/>
        <v>#VALUE!</v>
      </c>
    </row>
    <row r="4766" spans="1:12" x14ac:dyDescent="0.35">
      <c r="A4766">
        <f t="shared" si="269"/>
        <v>4765</v>
      </c>
      <c r="B4766" t="s">
        <v>758</v>
      </c>
      <c r="C4766" s="109" t="str">
        <f>IF(ISBLANK(K4766),IFERROR(VLOOKUP(I4766,FS_input_data!$C$458:$N$648,Export!J4766,FALSE),""),K4766)</f>
        <v/>
      </c>
      <c r="D4766" s="6"/>
      <c r="E4766" s="6"/>
      <c r="F4766" s="6"/>
      <c r="G4766" s="115" t="b">
        <f>VLOOKUP(I4750,FS_input_noty,J4750,FALSE)=""</f>
        <v>0</v>
      </c>
      <c r="H4766" s="6" t="s">
        <v>2189</v>
      </c>
      <c r="I4766" t="s">
        <v>1561</v>
      </c>
      <c r="J4766" t="s">
        <v>1561</v>
      </c>
      <c r="L4766">
        <f t="shared" si="268"/>
        <v>1</v>
      </c>
    </row>
    <row r="4767" spans="1:12" x14ac:dyDescent="0.35">
      <c r="A4767" s="9">
        <f t="shared" si="269"/>
        <v>4766</v>
      </c>
      <c r="B4767" t="s">
        <v>759</v>
      </c>
      <c r="C4767" s="109">
        <f>IF(ISBLANK(K4767),IFERROR(VLOOKUP(I4767,FS_input_data!$C$458:$N$648,Export!J4767,FALSE),""),K4767)</f>
        <v>269</v>
      </c>
      <c r="D4767" s="6" t="b">
        <v>0</v>
      </c>
      <c r="E4767" s="6"/>
      <c r="F4767" s="6"/>
      <c r="G4767" s="115" t="b">
        <f>VLOOKUP(I4750,FS_input_noty,J4750,FALSE)=""</f>
        <v>0</v>
      </c>
      <c r="H4767" s="6" t="s">
        <v>2189</v>
      </c>
      <c r="I4767" t="s">
        <v>1948</v>
      </c>
      <c r="J4767">
        <v>4</v>
      </c>
      <c r="L4767" s="26" t="e">
        <f t="shared" si="268"/>
        <v>#VALUE!</v>
      </c>
    </row>
    <row r="4768" spans="1:12" x14ac:dyDescent="0.35">
      <c r="A4768">
        <f t="shared" si="269"/>
        <v>4767</v>
      </c>
      <c r="B4768" t="s">
        <v>760</v>
      </c>
      <c r="C4768" s="109" t="str">
        <f>IF(ISBLANK(K4768),IFERROR(VLOOKUP(I4768,FS_input_data!$C$458:$N$648,Export!J4768,FALSE),""),K4768)</f>
        <v/>
      </c>
      <c r="D4768" s="6"/>
      <c r="E4768" s="6"/>
      <c r="F4768" s="6"/>
      <c r="G4768" s="115" t="b">
        <f>VLOOKUP(I4750,FS_input_noty,J4750,FALSE)=""</f>
        <v>0</v>
      </c>
      <c r="H4768" s="6" t="s">
        <v>2189</v>
      </c>
      <c r="I4768" t="s">
        <v>1561</v>
      </c>
      <c r="J4768" t="s">
        <v>1561</v>
      </c>
      <c r="L4768">
        <f t="shared" si="268"/>
        <v>1</v>
      </c>
    </row>
    <row r="4769" spans="1:12" x14ac:dyDescent="0.35">
      <c r="A4769" s="9">
        <f t="shared" si="269"/>
        <v>4768</v>
      </c>
      <c r="B4769" t="s">
        <v>761</v>
      </c>
      <c r="C4769" s="109" t="str">
        <f>IF(ISBLANK(K4769),IFERROR(VLOOKUP(I4769,FS_input_data!$C$458:$N$648,Export!J4769,FALSE),""),K4769)</f>
        <v>c</v>
      </c>
      <c r="D4769" s="6" t="b">
        <v>0</v>
      </c>
      <c r="E4769" s="6"/>
      <c r="F4769" s="6"/>
      <c r="G4769" s="115" t="b">
        <f>VLOOKUP(I4750,FS_input_noty,J4750,FALSE)=""</f>
        <v>0</v>
      </c>
      <c r="H4769" s="6" t="s">
        <v>2189</v>
      </c>
      <c r="I4769" t="s">
        <v>1948</v>
      </c>
      <c r="J4769">
        <v>5</v>
      </c>
      <c r="L4769" s="26" t="e">
        <f t="shared" si="268"/>
        <v>#VALUE!</v>
      </c>
    </row>
    <row r="4770" spans="1:12" x14ac:dyDescent="0.35">
      <c r="A4770">
        <f t="shared" si="269"/>
        <v>4769</v>
      </c>
      <c r="B4770" t="s">
        <v>762</v>
      </c>
      <c r="C4770" s="109" t="str">
        <f>IF(ISBLANK(K4770),IFERROR(VLOOKUP(I4770,FS_input_data!$C$458:$N$648,Export!J4770,FALSE),""),K4770)</f>
        <v/>
      </c>
      <c r="D4770" s="6"/>
      <c r="E4770" s="6"/>
      <c r="F4770" s="6"/>
      <c r="G4770" s="115" t="b">
        <f>VLOOKUP(I4750,FS_input_noty,J4750,FALSE)=""</f>
        <v>0</v>
      </c>
      <c r="H4770" s="6" t="s">
        <v>2189</v>
      </c>
      <c r="I4770" t="s">
        <v>1561</v>
      </c>
      <c r="J4770" t="s">
        <v>1561</v>
      </c>
      <c r="L4770">
        <f t="shared" si="268"/>
        <v>1</v>
      </c>
    </row>
    <row r="4771" spans="1:12" x14ac:dyDescent="0.35">
      <c r="A4771">
        <f t="shared" si="269"/>
        <v>4770</v>
      </c>
      <c r="B4771" t="s">
        <v>763</v>
      </c>
      <c r="C4771" s="109" t="str">
        <f>IF(ISBLANK(K4771),IFERROR(VLOOKUP(I4771,FS_input_data!$C$458:$N$648,Export!J4771,FALSE),""),K4771)</f>
        <v/>
      </c>
      <c r="D4771" s="6"/>
      <c r="E4771" s="6"/>
      <c r="F4771" s="6"/>
      <c r="G4771" s="115" t="b">
        <f>VLOOKUP(I4750,FS_input_noty,J4750,FALSE)=""</f>
        <v>0</v>
      </c>
      <c r="H4771" s="6" t="s">
        <v>2189</v>
      </c>
      <c r="I4771" t="s">
        <v>1561</v>
      </c>
      <c r="J4771" t="s">
        <v>1561</v>
      </c>
      <c r="L4771">
        <f t="shared" si="268"/>
        <v>1</v>
      </c>
    </row>
    <row r="4772" spans="1:12" x14ac:dyDescent="0.35">
      <c r="A4772">
        <f t="shared" si="269"/>
        <v>4771</v>
      </c>
      <c r="B4772" t="s">
        <v>743</v>
      </c>
      <c r="C4772" s="109" t="str">
        <f>IF(ISBLANK(K4772),IFERROR(VLOOKUP(I4772,FS_input_data!$C$458:$N$648,Export!J4772,FALSE),""),K4772)</f>
        <v/>
      </c>
      <c r="D4772" s="6"/>
      <c r="E4772" s="6"/>
      <c r="F4772" s="6"/>
      <c r="G4772" s="115" t="b">
        <f>VLOOKUP(I4750,FS_input_noty,J4750,FALSE)=""</f>
        <v>0</v>
      </c>
      <c r="H4772" s="6" t="s">
        <v>2189</v>
      </c>
      <c r="I4772" t="s">
        <v>1561</v>
      </c>
      <c r="J4772" t="s">
        <v>1561</v>
      </c>
      <c r="L4772">
        <f t="shared" si="268"/>
        <v>1</v>
      </c>
    </row>
    <row r="4773" spans="1:12" x14ac:dyDescent="0.35">
      <c r="A4773">
        <f t="shared" si="269"/>
        <v>4772</v>
      </c>
      <c r="B4773" t="s">
        <v>744</v>
      </c>
      <c r="C4773" s="109" t="str">
        <f>IF(ISBLANK(K4773),IFERROR(VLOOKUP(I4773,FS_input_data!$C$458:$N$648,Export!J4773,FALSE),""),K4773)</f>
        <v/>
      </c>
      <c r="D4773" s="6"/>
      <c r="E4773" s="6"/>
      <c r="F4773" s="6"/>
      <c r="G4773" s="115" t="b">
        <f t="shared" ref="G4773:G4780" si="271">RP_tax</f>
        <v>1</v>
      </c>
      <c r="H4773" s="6" t="s">
        <v>2189</v>
      </c>
      <c r="I4773" t="s">
        <v>1561</v>
      </c>
      <c r="J4773" t="s">
        <v>1561</v>
      </c>
      <c r="L4773" s="26" t="e">
        <f t="shared" si="268"/>
        <v>#VALUE!</v>
      </c>
    </row>
    <row r="4774" spans="1:12" x14ac:dyDescent="0.35">
      <c r="A4774" s="9">
        <f t="shared" si="269"/>
        <v>4773</v>
      </c>
      <c r="B4774" t="s">
        <v>109</v>
      </c>
      <c r="C4774" s="109">
        <f>IF(ISBLANK(K4774),IFERROR(VLOOKUP(I4774,FS_input_data!$C$458:$N$648,Export!J4774,FALSE),""),K4774)</f>
        <v>25000</v>
      </c>
      <c r="D4774" s="6" t="b">
        <v>1</v>
      </c>
      <c r="E4774" s="6"/>
      <c r="F4774" s="6"/>
      <c r="G4774" s="115" t="b">
        <f t="shared" si="271"/>
        <v>1</v>
      </c>
      <c r="H4774" s="6" t="s">
        <v>2189</v>
      </c>
      <c r="I4774" t="s">
        <v>1948</v>
      </c>
      <c r="J4774">
        <v>10</v>
      </c>
      <c r="L4774" s="26" t="e">
        <f t="shared" si="268"/>
        <v>#VALUE!</v>
      </c>
    </row>
    <row r="4775" spans="1:12" x14ac:dyDescent="0.35">
      <c r="A4775">
        <f t="shared" si="269"/>
        <v>4774</v>
      </c>
      <c r="B4775" t="s">
        <v>110</v>
      </c>
      <c r="C4775" s="109" t="str">
        <f>IF(ISBLANK(K4775),IFERROR(VLOOKUP(I4775,FS_input_data!$C$458:$N$648,Export!J4775,FALSE),""),K4775)</f>
        <v/>
      </c>
      <c r="D4775" s="6"/>
      <c r="E4775" s="6"/>
      <c r="F4775" s="6"/>
      <c r="G4775" s="115" t="b">
        <f t="shared" si="271"/>
        <v>1</v>
      </c>
      <c r="H4775" s="6" t="s">
        <v>2189</v>
      </c>
      <c r="I4775" t="s">
        <v>1561</v>
      </c>
      <c r="J4775" t="s">
        <v>1561</v>
      </c>
      <c r="L4775">
        <f t="shared" si="268"/>
        <v>1</v>
      </c>
    </row>
    <row r="4776" spans="1:12" x14ac:dyDescent="0.35">
      <c r="A4776" s="9">
        <f t="shared" si="269"/>
        <v>4775</v>
      </c>
      <c r="B4776" t="s">
        <v>111</v>
      </c>
      <c r="C4776" s="109">
        <f>IF(ISBLANK(K4776),IFERROR(VLOOKUP(I4776,FS_input_data!$C$458:$N$648,Export!J4776,FALSE),""),K4776)</f>
        <v>12500</v>
      </c>
      <c r="D4776" s="6" t="b">
        <v>0</v>
      </c>
      <c r="E4776" s="6"/>
      <c r="F4776" s="6"/>
      <c r="G4776" s="115" t="b">
        <f t="shared" si="271"/>
        <v>1</v>
      </c>
      <c r="H4776" s="6" t="s">
        <v>2189</v>
      </c>
      <c r="I4776" t="s">
        <v>1948</v>
      </c>
      <c r="J4776">
        <v>11</v>
      </c>
      <c r="L4776" s="26" t="e">
        <f t="shared" si="268"/>
        <v>#VALUE!</v>
      </c>
    </row>
    <row r="4777" spans="1:12" x14ac:dyDescent="0.35">
      <c r="A4777">
        <f t="shared" si="269"/>
        <v>4776</v>
      </c>
      <c r="B4777" t="s">
        <v>112</v>
      </c>
      <c r="C4777" s="109" t="str">
        <f>IF(ISBLANK(K4777),IFERROR(VLOOKUP(I4777,FS_input_data!$C$458:$N$648,Export!J4777,FALSE),""),K4777)</f>
        <v/>
      </c>
      <c r="D4777" s="6"/>
      <c r="E4777" s="6"/>
      <c r="F4777" s="6"/>
      <c r="G4777" s="115" t="b">
        <f t="shared" si="271"/>
        <v>1</v>
      </c>
      <c r="H4777" s="6" t="s">
        <v>2189</v>
      </c>
      <c r="I4777" t="s">
        <v>1561</v>
      </c>
      <c r="J4777" t="s">
        <v>1561</v>
      </c>
      <c r="L4777">
        <f t="shared" si="268"/>
        <v>1</v>
      </c>
    </row>
    <row r="4778" spans="1:12" x14ac:dyDescent="0.35">
      <c r="A4778" s="9">
        <f t="shared" si="269"/>
        <v>4777</v>
      </c>
      <c r="B4778" t="s">
        <v>749</v>
      </c>
      <c r="C4778" s="109">
        <f>IF(ISBLANK(K4778),IFERROR(VLOOKUP(I4778,FS_input_data!$C$458:$N$648,Export!J4778,FALSE),""),K4778)</f>
        <v>12500</v>
      </c>
      <c r="D4778" s="6" t="b">
        <v>0</v>
      </c>
      <c r="E4778" s="6"/>
      <c r="F4778" s="6"/>
      <c r="G4778" s="115" t="b">
        <f t="shared" si="271"/>
        <v>1</v>
      </c>
      <c r="H4778" s="6" t="s">
        <v>2189</v>
      </c>
      <c r="I4778" t="s">
        <v>1948</v>
      </c>
      <c r="J4778">
        <v>12</v>
      </c>
      <c r="L4778" s="26" t="e">
        <f t="shared" si="268"/>
        <v>#VALUE!</v>
      </c>
    </row>
    <row r="4779" spans="1:12" x14ac:dyDescent="0.35">
      <c r="A4779">
        <f t="shared" si="269"/>
        <v>4778</v>
      </c>
      <c r="B4779" t="s">
        <v>750</v>
      </c>
      <c r="C4779" s="109" t="str">
        <f>IF(ISBLANK(K4779),IFERROR(VLOOKUP(I4779,FS_input_data!$C$458:$N$648,Export!J4779,FALSE),""),K4779)</f>
        <v/>
      </c>
      <c r="D4779" s="6"/>
      <c r="E4779" s="6"/>
      <c r="F4779" s="6"/>
      <c r="G4779" s="115" t="b">
        <f t="shared" si="271"/>
        <v>1</v>
      </c>
      <c r="H4779" s="6" t="s">
        <v>2189</v>
      </c>
      <c r="I4779" t="s">
        <v>1561</v>
      </c>
      <c r="J4779" t="s">
        <v>1561</v>
      </c>
      <c r="L4779">
        <f t="shared" si="268"/>
        <v>1</v>
      </c>
    </row>
    <row r="4780" spans="1:12" x14ac:dyDescent="0.35">
      <c r="A4780">
        <f t="shared" si="269"/>
        <v>4779</v>
      </c>
      <c r="B4780" t="s">
        <v>745</v>
      </c>
      <c r="C4780" s="109" t="str">
        <f>IF(ISBLANK(K4780),IFERROR(VLOOKUP(I4780,FS_input_data!$C$458:$N$648,Export!J4780,FALSE),""),K4780)</f>
        <v/>
      </c>
      <c r="D4780" s="6"/>
      <c r="E4780" s="6"/>
      <c r="F4780" s="6"/>
      <c r="G4780" s="115" t="b">
        <f t="shared" si="271"/>
        <v>1</v>
      </c>
      <c r="H4780" s="6" t="s">
        <v>2189</v>
      </c>
      <c r="I4780" t="s">
        <v>1561</v>
      </c>
      <c r="J4780" t="s">
        <v>1561</v>
      </c>
      <c r="L4780">
        <f t="shared" si="268"/>
        <v>1</v>
      </c>
    </row>
    <row r="4781" spans="1:12" x14ac:dyDescent="0.35">
      <c r="A4781">
        <f t="shared" si="269"/>
        <v>4780</v>
      </c>
      <c r="B4781" t="s">
        <v>764</v>
      </c>
      <c r="C4781" s="109" t="str">
        <f>IF(ISBLANK(K4781),IFERROR(VLOOKUP(I4781,FS_input_data!$C$458:$N$648,Export!J4781,FALSE),""),K4781)</f>
        <v/>
      </c>
      <c r="D4781" s="6"/>
      <c r="E4781" s="6"/>
      <c r="F4781" s="6"/>
      <c r="G4781" s="116" t="b">
        <f>VLOOKUP(I4750,FS_input_noty,J4750,FALSE)=""</f>
        <v>0</v>
      </c>
      <c r="H4781" s="6" t="s">
        <v>2189</v>
      </c>
      <c r="I4781" t="s">
        <v>1561</v>
      </c>
      <c r="J4781" t="s">
        <v>1561</v>
      </c>
      <c r="L4781">
        <f t="shared" si="268"/>
        <v>1</v>
      </c>
    </row>
    <row r="4782" spans="1:12" x14ac:dyDescent="0.35">
      <c r="A4782">
        <f t="shared" si="269"/>
        <v>4781</v>
      </c>
      <c r="B4782" t="s">
        <v>765</v>
      </c>
      <c r="C4782" s="109" t="str">
        <f>IF(ISBLANK(K4782),IFERROR(VLOOKUP(I4782,FS_input_data!$C$458:$N$648,Export!J4782,FALSE),""),K4782)</f>
        <v/>
      </c>
      <c r="D4782" s="6"/>
      <c r="E4782" s="6"/>
      <c r="F4782" s="6"/>
      <c r="G4782" s="116" t="b">
        <f>VLOOKUP(I4750,FS_input_noty,J4750,FALSE)=""</f>
        <v>0</v>
      </c>
      <c r="H4782" s="6" t="s">
        <v>2189</v>
      </c>
      <c r="I4782" t="s">
        <v>1561</v>
      </c>
      <c r="J4782" t="s">
        <v>1561</v>
      </c>
      <c r="L4782">
        <f t="shared" si="268"/>
        <v>1</v>
      </c>
    </row>
    <row r="4783" spans="1:12" x14ac:dyDescent="0.35">
      <c r="A4783">
        <f t="shared" si="269"/>
        <v>4782</v>
      </c>
      <c r="B4783" t="s">
        <v>752</v>
      </c>
      <c r="C4783" s="109" t="str">
        <f>IF(ISBLANK(K4783),IFERROR(VLOOKUP(I4783,FS_input_data!$C$458:$N$648,Export!J4783,FALSE),""),K4783)</f>
        <v/>
      </c>
      <c r="D4783" s="6"/>
      <c r="E4783" s="6"/>
      <c r="F4783" s="6"/>
      <c r="G4783" s="116" t="b">
        <f>VLOOKUP(I4784,FS_input_noty,J4784,FALSE)=""</f>
        <v>0</v>
      </c>
      <c r="H4783" s="6" t="s">
        <v>2189</v>
      </c>
      <c r="I4783" t="s">
        <v>1561</v>
      </c>
      <c r="J4783" t="s">
        <v>1561</v>
      </c>
      <c r="L4783" s="26" t="e">
        <f t="shared" si="268"/>
        <v>#VALUE!</v>
      </c>
    </row>
    <row r="4784" spans="1:12" x14ac:dyDescent="0.35">
      <c r="A4784" s="9">
        <f t="shared" si="269"/>
        <v>4783</v>
      </c>
      <c r="B4784" t="s">
        <v>101</v>
      </c>
      <c r="C4784" s="109" t="str">
        <f>IF(ISBLANK(K4784),IFERROR(VLOOKUP(I4784,FS_input_data!$C$458:$N$648,Export!J4784,FALSE),""),K4784)</f>
        <v>OC47</v>
      </c>
      <c r="D4784" s="6" t="b">
        <v>1</v>
      </c>
      <c r="E4784" s="6"/>
      <c r="F4784" s="6"/>
      <c r="G4784" s="116" t="b">
        <f>VLOOKUP(I4784,FS_input_noty,J4784,FALSE)=""</f>
        <v>0</v>
      </c>
      <c r="H4784" s="6" t="s">
        <v>2189</v>
      </c>
      <c r="I4784" t="s">
        <v>1950</v>
      </c>
      <c r="J4784">
        <v>6</v>
      </c>
      <c r="L4784" s="26" t="e">
        <f t="shared" si="268"/>
        <v>#VALUE!</v>
      </c>
    </row>
    <row r="4785" spans="1:12" x14ac:dyDescent="0.35">
      <c r="A4785">
        <f t="shared" si="269"/>
        <v>4784</v>
      </c>
      <c r="B4785" t="s">
        <v>102</v>
      </c>
      <c r="C4785" s="109" t="str">
        <f>IF(ISBLANK(K4785),IFERROR(VLOOKUP(I4785,FS_input_data!$C$458:$N$648,Export!J4785,FALSE),""),K4785)</f>
        <v/>
      </c>
      <c r="E4785" s="6"/>
      <c r="F4785" s="6"/>
      <c r="G4785" s="116" t="b">
        <f>VLOOKUP(I4784,FS_input_noty,J4784,FALSE)=""</f>
        <v>0</v>
      </c>
      <c r="H4785" s="6" t="s">
        <v>2189</v>
      </c>
      <c r="I4785" t="s">
        <v>1561</v>
      </c>
      <c r="J4785" t="s">
        <v>1561</v>
      </c>
      <c r="L4785">
        <f t="shared" si="268"/>
        <v>1</v>
      </c>
    </row>
    <row r="4786" spans="1:12" x14ac:dyDescent="0.35">
      <c r="A4786">
        <f t="shared" si="269"/>
        <v>4785</v>
      </c>
      <c r="B4786" t="s">
        <v>753</v>
      </c>
      <c r="C4786" s="109" t="str">
        <f>IF(ISBLANK(K4786),IFERROR(VLOOKUP(I4786,FS_input_data!$C$458:$N$648,Export!J4786,FALSE),""),K4786)</f>
        <v/>
      </c>
      <c r="E4786" s="6"/>
      <c r="F4786" s="6"/>
      <c r="G4786" s="116" t="b">
        <f>VLOOKUP(I4784,FS_input_noty,J4784,FALSE)=""</f>
        <v>0</v>
      </c>
      <c r="H4786" s="6" t="s">
        <v>2189</v>
      </c>
      <c r="I4786" t="s">
        <v>1561</v>
      </c>
      <c r="J4786" t="s">
        <v>1561</v>
      </c>
      <c r="L4786" s="26" t="e">
        <f t="shared" si="268"/>
        <v>#VALUE!</v>
      </c>
    </row>
    <row r="4787" spans="1:12" x14ac:dyDescent="0.35">
      <c r="A4787">
        <f t="shared" si="269"/>
        <v>4786</v>
      </c>
      <c r="B4787" t="s">
        <v>742</v>
      </c>
      <c r="C4787" s="109" t="str">
        <f>IF(ISBLANK(K4787),IFERROR(VLOOKUP(I4787,FS_input_data!$C$458:$N$648,Export!J4787,FALSE),""),K4787)</f>
        <v/>
      </c>
      <c r="E4787" s="6"/>
      <c r="F4787" s="6"/>
      <c r="G4787" s="116" t="b">
        <f>VLOOKUP(I4784,FS_input_noty,J4784,FALSE)=""</f>
        <v>0</v>
      </c>
      <c r="H4787" s="6" t="s">
        <v>2189</v>
      </c>
      <c r="I4787" t="s">
        <v>1561</v>
      </c>
      <c r="J4787" t="s">
        <v>1561</v>
      </c>
      <c r="L4787" s="26" t="e">
        <f t="shared" si="268"/>
        <v>#VALUE!</v>
      </c>
    </row>
    <row r="4788" spans="1:12" x14ac:dyDescent="0.35">
      <c r="A4788">
        <f t="shared" si="269"/>
        <v>4787</v>
      </c>
      <c r="B4788" t="s">
        <v>748</v>
      </c>
      <c r="C4788" s="109" t="str">
        <f>IF(ISBLANK(K4788),IFERROR(VLOOKUP(I4788,FS_input_data!$C$458:$N$648,Export!J4788,FALSE),""),K4788)</f>
        <v/>
      </c>
      <c r="E4788" s="6"/>
      <c r="F4788" s="6"/>
      <c r="G4788" s="116" t="b">
        <f>VLOOKUP(I4784,FS_input_noty,J4784,FALSE)=""</f>
        <v>0</v>
      </c>
      <c r="H4788" s="6" t="s">
        <v>2189</v>
      </c>
      <c r="I4788" t="s">
        <v>1561</v>
      </c>
      <c r="J4788" t="s">
        <v>1561</v>
      </c>
      <c r="L4788" s="26" t="e">
        <f t="shared" si="268"/>
        <v>#VALUE!</v>
      </c>
    </row>
    <row r="4789" spans="1:12" x14ac:dyDescent="0.35">
      <c r="A4789" s="9">
        <f t="shared" si="269"/>
        <v>4788</v>
      </c>
      <c r="B4789" t="s">
        <v>109</v>
      </c>
      <c r="C4789" s="109">
        <f>IF(ISBLANK(K4789),IFERROR(VLOOKUP(I4789,FS_input_data!$C$458:$N$648,Export!J4789,FALSE),""),K4789)</f>
        <v>26000</v>
      </c>
      <c r="D4789" s="6" t="b">
        <v>1</v>
      </c>
      <c r="E4789" s="6"/>
      <c r="F4789" s="6"/>
      <c r="G4789" s="116" t="b">
        <f>VLOOKUP(I4784,FS_input_noty,J4784,FALSE)=""</f>
        <v>0</v>
      </c>
      <c r="H4789" s="6" t="s">
        <v>2189</v>
      </c>
      <c r="I4789" t="s">
        <v>1950</v>
      </c>
      <c r="J4789">
        <v>7</v>
      </c>
      <c r="L4789" s="26" t="e">
        <f t="shared" si="268"/>
        <v>#VALUE!</v>
      </c>
    </row>
    <row r="4790" spans="1:12" x14ac:dyDescent="0.35">
      <c r="A4790">
        <f t="shared" si="269"/>
        <v>4789</v>
      </c>
      <c r="B4790" t="s">
        <v>110</v>
      </c>
      <c r="C4790" s="109" t="str">
        <f>IF(ISBLANK(K4790),IFERROR(VLOOKUP(I4790,FS_input_data!$C$458:$N$648,Export!J4790,FALSE),""),K4790)</f>
        <v/>
      </c>
      <c r="D4790" s="6"/>
      <c r="E4790" s="6"/>
      <c r="F4790" s="6"/>
      <c r="G4790" s="116" t="b">
        <f>VLOOKUP(I4784,FS_input_noty,J4784,FALSE)=""</f>
        <v>0</v>
      </c>
      <c r="H4790" s="6" t="s">
        <v>2189</v>
      </c>
      <c r="I4790" t="s">
        <v>1561</v>
      </c>
      <c r="J4790" t="s">
        <v>1561</v>
      </c>
      <c r="L4790">
        <f t="shared" si="268"/>
        <v>1</v>
      </c>
    </row>
    <row r="4791" spans="1:12" x14ac:dyDescent="0.35">
      <c r="A4791" s="9">
        <f t="shared" si="269"/>
        <v>4790</v>
      </c>
      <c r="B4791" t="s">
        <v>111</v>
      </c>
      <c r="C4791" s="109">
        <f>IF(ISBLANK(K4791),IFERROR(VLOOKUP(I4791,FS_input_data!$C$458:$N$648,Export!J4791,FALSE),""),K4791)</f>
        <v>13000</v>
      </c>
      <c r="D4791" s="6" t="b">
        <v>0</v>
      </c>
      <c r="E4791" s="6"/>
      <c r="F4791" s="6"/>
      <c r="G4791" s="116" t="b">
        <f>VLOOKUP(I4784,FS_input_noty,J4784,TRUE)=""</f>
        <v>0</v>
      </c>
      <c r="H4791" s="6" t="s">
        <v>2189</v>
      </c>
      <c r="I4791" t="s">
        <v>1950</v>
      </c>
      <c r="J4791">
        <v>8</v>
      </c>
      <c r="L4791" s="26" t="e">
        <f t="shared" si="268"/>
        <v>#VALUE!</v>
      </c>
    </row>
    <row r="4792" spans="1:12" x14ac:dyDescent="0.35">
      <c r="A4792">
        <f t="shared" si="269"/>
        <v>4791</v>
      </c>
      <c r="B4792" t="s">
        <v>112</v>
      </c>
      <c r="C4792" s="109" t="str">
        <f>IF(ISBLANK(K4792),IFERROR(VLOOKUP(I4792,FS_input_data!$C$458:$N$648,Export!J4792,FALSE),""),K4792)</f>
        <v/>
      </c>
      <c r="D4792" s="6"/>
      <c r="E4792" s="6"/>
      <c r="F4792" s="6"/>
      <c r="G4792" s="116" t="b">
        <f>VLOOKUP(I4784,FS_input_noty,J4784,FALSE)=""</f>
        <v>0</v>
      </c>
      <c r="H4792" s="6" t="s">
        <v>2189</v>
      </c>
      <c r="I4792" t="s">
        <v>1561</v>
      </c>
      <c r="J4792" t="s">
        <v>1561</v>
      </c>
      <c r="L4792">
        <f t="shared" si="268"/>
        <v>1</v>
      </c>
    </row>
    <row r="4793" spans="1:12" x14ac:dyDescent="0.35">
      <c r="A4793" s="9">
        <f t="shared" si="269"/>
        <v>4792</v>
      </c>
      <c r="B4793" t="s">
        <v>749</v>
      </c>
      <c r="C4793" s="109">
        <f>IF(ISBLANK(K4793),IFERROR(VLOOKUP(I4793,FS_input_data!$C$458:$N$648,Export!J4793,FALSE),""),K4793)</f>
        <v>13000</v>
      </c>
      <c r="D4793" s="6" t="b">
        <v>0</v>
      </c>
      <c r="E4793" s="6"/>
      <c r="F4793" s="6"/>
      <c r="G4793" s="116" t="b">
        <f>VLOOKUP(I4784,FS_input_noty,J4784,FALSE)=""</f>
        <v>0</v>
      </c>
      <c r="H4793" s="6" t="s">
        <v>2189</v>
      </c>
      <c r="I4793" t="s">
        <v>1950</v>
      </c>
      <c r="J4793">
        <v>9</v>
      </c>
      <c r="L4793" s="26" t="e">
        <f t="shared" si="268"/>
        <v>#VALUE!</v>
      </c>
    </row>
    <row r="4794" spans="1:12" x14ac:dyDescent="0.35">
      <c r="A4794">
        <f t="shared" si="269"/>
        <v>4793</v>
      </c>
      <c r="B4794" t="s">
        <v>750</v>
      </c>
      <c r="C4794" s="109" t="str">
        <f>IF(ISBLANK(K4794),IFERROR(VLOOKUP(I4794,FS_input_data!$C$458:$N$648,Export!J4794,FALSE),""),K4794)</f>
        <v/>
      </c>
      <c r="D4794" s="6"/>
      <c r="E4794" s="6"/>
      <c r="F4794" s="6"/>
      <c r="G4794" s="116" t="b">
        <f>VLOOKUP(I4784,FS_input_noty,J4784,FALSE)=""</f>
        <v>0</v>
      </c>
      <c r="H4794" s="6" t="s">
        <v>2189</v>
      </c>
      <c r="I4794" t="s">
        <v>1561</v>
      </c>
      <c r="J4794" t="s">
        <v>1561</v>
      </c>
      <c r="L4794">
        <f t="shared" si="268"/>
        <v>1</v>
      </c>
    </row>
    <row r="4795" spans="1:12" x14ac:dyDescent="0.35">
      <c r="A4795">
        <f t="shared" si="269"/>
        <v>4794</v>
      </c>
      <c r="B4795" t="s">
        <v>751</v>
      </c>
      <c r="C4795" s="109" t="str">
        <f>IF(ISBLANK(K4795),IFERROR(VLOOKUP(I4795,FS_input_data!$C$458:$N$648,Export!J4795,FALSE),""),K4795)</f>
        <v/>
      </c>
      <c r="D4795" s="6"/>
      <c r="E4795" s="6"/>
      <c r="F4795" s="6"/>
      <c r="G4795" s="116" t="b">
        <f>VLOOKUP(I4784,FS_input_noty,J4784,FALSE)=""</f>
        <v>0</v>
      </c>
      <c r="H4795" s="6" t="s">
        <v>2189</v>
      </c>
      <c r="I4795" t="s">
        <v>1561</v>
      </c>
      <c r="J4795" t="s">
        <v>1561</v>
      </c>
      <c r="L4795">
        <f t="shared" si="268"/>
        <v>1</v>
      </c>
    </row>
    <row r="4796" spans="1:12" x14ac:dyDescent="0.35">
      <c r="A4796">
        <f t="shared" si="269"/>
        <v>4795</v>
      </c>
      <c r="B4796" t="s">
        <v>754</v>
      </c>
      <c r="C4796" s="109" t="str">
        <f>IF(ISBLANK(K4796),IFERROR(VLOOKUP(I4796,FS_input_data!$C$458:$N$648,Export!J4796,FALSE),""),K4796)</f>
        <v/>
      </c>
      <c r="D4796" s="6"/>
      <c r="E4796" s="6"/>
      <c r="F4796" s="6"/>
      <c r="G4796" s="115" t="b">
        <f>VLOOKUP(I4784,FS_input_noty,J4784,FALSE)=""</f>
        <v>0</v>
      </c>
      <c r="H4796" s="6" t="s">
        <v>2189</v>
      </c>
      <c r="I4796" t="s">
        <v>1561</v>
      </c>
      <c r="J4796" t="s">
        <v>1561</v>
      </c>
      <c r="L4796" s="26" t="e">
        <f t="shared" si="268"/>
        <v>#VALUE!</v>
      </c>
    </row>
    <row r="4797" spans="1:12" x14ac:dyDescent="0.35">
      <c r="A4797" s="9">
        <f t="shared" si="269"/>
        <v>4796</v>
      </c>
      <c r="B4797" t="s">
        <v>755</v>
      </c>
      <c r="C4797" s="109">
        <f>IF(ISBLANK(K4797),IFERROR(VLOOKUP(I4797,FS_input_data!$C$458:$N$648,Export!J4797,FALSE),""),K4797)</f>
        <v>70</v>
      </c>
      <c r="D4797" s="6" t="b">
        <v>1</v>
      </c>
      <c r="E4797" s="6"/>
      <c r="F4797" s="6"/>
      <c r="G4797" s="115" t="b">
        <f>VLOOKUP(I4784,FS_input_noty,J4784,FALSE)=""</f>
        <v>0</v>
      </c>
      <c r="H4797" s="6" t="s">
        <v>2189</v>
      </c>
      <c r="I4797" t="s">
        <v>1950</v>
      </c>
      <c r="J4797">
        <v>2</v>
      </c>
      <c r="L4797" s="26" t="e">
        <f t="shared" si="268"/>
        <v>#VALUE!</v>
      </c>
    </row>
    <row r="4798" spans="1:12" x14ac:dyDescent="0.35">
      <c r="A4798">
        <f t="shared" si="269"/>
        <v>4797</v>
      </c>
      <c r="B4798" t="s">
        <v>756</v>
      </c>
      <c r="C4798" s="109" t="str">
        <f>IF(ISBLANK(K4798),IFERROR(VLOOKUP(I4798,FS_input_data!$C$458:$N$648,Export!J4798,FALSE),""),K4798)</f>
        <v/>
      </c>
      <c r="D4798" s="6"/>
      <c r="E4798" s="6"/>
      <c r="F4798" s="6"/>
      <c r="G4798" s="115" t="b">
        <f>VLOOKUP(I4784,FS_input_noty,J4784,FALSE)=""</f>
        <v>0</v>
      </c>
      <c r="H4798" s="6" t="s">
        <v>2189</v>
      </c>
      <c r="I4798" t="s">
        <v>1561</v>
      </c>
      <c r="J4798" t="s">
        <v>1561</v>
      </c>
      <c r="L4798">
        <f t="shared" si="268"/>
        <v>1</v>
      </c>
    </row>
    <row r="4799" spans="1:12" x14ac:dyDescent="0.35">
      <c r="A4799" s="9">
        <f t="shared" si="269"/>
        <v>4798</v>
      </c>
      <c r="B4799" t="s">
        <v>757</v>
      </c>
      <c r="C4799" s="109">
        <f>IF(ISBLANK(K4799),IFERROR(VLOOKUP(I4799,FS_input_data!$C$458:$N$648,Export!J4799,FALSE),""),K4799)</f>
        <v>170</v>
      </c>
      <c r="D4799" s="6" t="b">
        <v>0</v>
      </c>
      <c r="E4799" s="6"/>
      <c r="F4799" s="6"/>
      <c r="G4799" s="115" t="b">
        <f>VLOOKUP(I4784,FS_input_noty,J4784,FALSE)=""</f>
        <v>0</v>
      </c>
      <c r="H4799" s="6" t="s">
        <v>2189</v>
      </c>
      <c r="I4799" t="s">
        <v>1950</v>
      </c>
      <c r="J4799">
        <v>3</v>
      </c>
      <c r="L4799" s="26" t="e">
        <f t="shared" si="268"/>
        <v>#VALUE!</v>
      </c>
    </row>
    <row r="4800" spans="1:12" x14ac:dyDescent="0.35">
      <c r="A4800">
        <f t="shared" si="269"/>
        <v>4799</v>
      </c>
      <c r="B4800" t="s">
        <v>758</v>
      </c>
      <c r="C4800" s="109" t="str">
        <f>IF(ISBLANK(K4800),IFERROR(VLOOKUP(I4800,FS_input_data!$C$458:$N$648,Export!J4800,FALSE),""),K4800)</f>
        <v/>
      </c>
      <c r="D4800" s="6"/>
      <c r="E4800" s="6"/>
      <c r="F4800" s="6"/>
      <c r="G4800" s="115" t="b">
        <f>VLOOKUP(I4784,FS_input_noty,J4784,FALSE)=""</f>
        <v>0</v>
      </c>
      <c r="H4800" s="6" t="s">
        <v>2189</v>
      </c>
      <c r="I4800" t="s">
        <v>1561</v>
      </c>
      <c r="J4800" t="s">
        <v>1561</v>
      </c>
      <c r="L4800">
        <f t="shared" si="268"/>
        <v>1</v>
      </c>
    </row>
    <row r="4801" spans="1:12" x14ac:dyDescent="0.35">
      <c r="A4801" s="9">
        <f t="shared" si="269"/>
        <v>4800</v>
      </c>
      <c r="B4801" t="s">
        <v>759</v>
      </c>
      <c r="C4801" s="109">
        <f>IF(ISBLANK(K4801),IFERROR(VLOOKUP(I4801,FS_input_data!$C$458:$N$648,Export!J4801,FALSE),""),K4801)</f>
        <v>270</v>
      </c>
      <c r="D4801" s="6" t="b">
        <v>0</v>
      </c>
      <c r="E4801" s="6"/>
      <c r="F4801" s="6"/>
      <c r="G4801" s="115" t="b">
        <f>VLOOKUP(I4784,FS_input_noty,J4784,FALSE)=""</f>
        <v>0</v>
      </c>
      <c r="H4801" s="6" t="s">
        <v>2189</v>
      </c>
      <c r="I4801" t="s">
        <v>1950</v>
      </c>
      <c r="J4801">
        <v>4</v>
      </c>
      <c r="L4801" s="26" t="e">
        <f t="shared" si="268"/>
        <v>#VALUE!</v>
      </c>
    </row>
    <row r="4802" spans="1:12" x14ac:dyDescent="0.35">
      <c r="A4802">
        <f t="shared" si="269"/>
        <v>4801</v>
      </c>
      <c r="B4802" t="s">
        <v>760</v>
      </c>
      <c r="C4802" s="109" t="str">
        <f>IF(ISBLANK(K4802),IFERROR(VLOOKUP(I4802,FS_input_data!$C$458:$N$648,Export!J4802,FALSE),""),K4802)</f>
        <v/>
      </c>
      <c r="D4802" s="6"/>
      <c r="E4802" s="6"/>
      <c r="F4802" s="6"/>
      <c r="G4802" s="115" t="b">
        <f>VLOOKUP(I4784,FS_input_noty,J4784,FALSE)=""</f>
        <v>0</v>
      </c>
      <c r="H4802" s="6" t="s">
        <v>2189</v>
      </c>
      <c r="I4802" t="s">
        <v>1561</v>
      </c>
      <c r="J4802" t="s">
        <v>1561</v>
      </c>
      <c r="L4802">
        <f t="shared" ref="L4802:L4865" si="272">FIND("/",B4802)</f>
        <v>1</v>
      </c>
    </row>
    <row r="4803" spans="1:12" x14ac:dyDescent="0.35">
      <c r="A4803" s="9">
        <f t="shared" ref="A4803:A4866" si="273">A4802+1</f>
        <v>4802</v>
      </c>
      <c r="B4803" t="s">
        <v>761</v>
      </c>
      <c r="C4803" s="109" t="str">
        <f>IF(ISBLANK(K4803),IFERROR(VLOOKUP(I4803,FS_input_data!$C$458:$N$648,Export!J4803,FALSE),""),K4803)</f>
        <v>d</v>
      </c>
      <c r="D4803" s="6" t="b">
        <v>0</v>
      </c>
      <c r="E4803" s="6"/>
      <c r="F4803" s="6"/>
      <c r="G4803" s="115" t="b">
        <f>VLOOKUP(I4784,FS_input_noty,J4784,FALSE)=""</f>
        <v>0</v>
      </c>
      <c r="H4803" s="6" t="s">
        <v>2189</v>
      </c>
      <c r="I4803" t="s">
        <v>1950</v>
      </c>
      <c r="J4803">
        <v>5</v>
      </c>
      <c r="L4803" s="26" t="e">
        <f t="shared" si="272"/>
        <v>#VALUE!</v>
      </c>
    </row>
    <row r="4804" spans="1:12" x14ac:dyDescent="0.35">
      <c r="A4804">
        <f t="shared" si="273"/>
        <v>4803</v>
      </c>
      <c r="B4804" t="s">
        <v>762</v>
      </c>
      <c r="C4804" s="109" t="str">
        <f>IF(ISBLANK(K4804),IFERROR(VLOOKUP(I4804,FS_input_data!$C$458:$N$648,Export!J4804,FALSE),""),K4804)</f>
        <v/>
      </c>
      <c r="D4804" s="6"/>
      <c r="E4804" s="6"/>
      <c r="F4804" s="6"/>
      <c r="G4804" s="115" t="b">
        <f>VLOOKUP(I4784,FS_input_noty,J4784,FALSE)=""</f>
        <v>0</v>
      </c>
      <c r="H4804" s="6" t="s">
        <v>2189</v>
      </c>
      <c r="I4804" t="s">
        <v>1561</v>
      </c>
      <c r="J4804" t="s">
        <v>1561</v>
      </c>
      <c r="L4804">
        <f t="shared" si="272"/>
        <v>1</v>
      </c>
    </row>
    <row r="4805" spans="1:12" x14ac:dyDescent="0.35">
      <c r="A4805">
        <f t="shared" si="273"/>
        <v>4804</v>
      </c>
      <c r="B4805" t="s">
        <v>763</v>
      </c>
      <c r="C4805" s="109" t="str">
        <f>IF(ISBLANK(K4805),IFERROR(VLOOKUP(I4805,FS_input_data!$C$458:$N$648,Export!J4805,FALSE),""),K4805)</f>
        <v/>
      </c>
      <c r="D4805" s="6"/>
      <c r="E4805" s="6"/>
      <c r="F4805" s="6"/>
      <c r="G4805" s="115" t="b">
        <f>VLOOKUP(I4784,FS_input_noty,J4784,FALSE)=""</f>
        <v>0</v>
      </c>
      <c r="H4805" s="6" t="s">
        <v>2189</v>
      </c>
      <c r="I4805" t="s">
        <v>1561</v>
      </c>
      <c r="J4805" t="s">
        <v>1561</v>
      </c>
      <c r="L4805">
        <f t="shared" si="272"/>
        <v>1</v>
      </c>
    </row>
    <row r="4806" spans="1:12" x14ac:dyDescent="0.35">
      <c r="A4806">
        <f t="shared" si="273"/>
        <v>4805</v>
      </c>
      <c r="B4806" t="s">
        <v>743</v>
      </c>
      <c r="C4806" s="109" t="str">
        <f>IF(ISBLANK(K4806),IFERROR(VLOOKUP(I4806,FS_input_data!$C$458:$N$648,Export!J4806,FALSE),""),K4806)</f>
        <v/>
      </c>
      <c r="D4806" s="6"/>
      <c r="E4806" s="6"/>
      <c r="F4806" s="6"/>
      <c r="G4806" s="115" t="b">
        <f>VLOOKUP(I4784,FS_input_noty,J4784,FALSE)=""</f>
        <v>0</v>
      </c>
      <c r="H4806" s="6" t="s">
        <v>2189</v>
      </c>
      <c r="I4806" t="s">
        <v>1561</v>
      </c>
      <c r="J4806" t="s">
        <v>1561</v>
      </c>
      <c r="L4806">
        <f t="shared" si="272"/>
        <v>1</v>
      </c>
    </row>
    <row r="4807" spans="1:12" x14ac:dyDescent="0.35">
      <c r="A4807">
        <f t="shared" si="273"/>
        <v>4806</v>
      </c>
      <c r="B4807" t="s">
        <v>744</v>
      </c>
      <c r="C4807" s="109" t="str">
        <f>IF(ISBLANK(K4807),IFERROR(VLOOKUP(I4807,FS_input_data!$C$458:$N$648,Export!J4807,FALSE),""),K4807)</f>
        <v/>
      </c>
      <c r="D4807" s="6"/>
      <c r="E4807" s="6"/>
      <c r="F4807" s="6"/>
      <c r="G4807" s="115" t="b">
        <f t="shared" ref="G4807:G4814" si="274">RP_tax</f>
        <v>1</v>
      </c>
      <c r="H4807" s="6" t="s">
        <v>2189</v>
      </c>
      <c r="I4807" t="s">
        <v>1561</v>
      </c>
      <c r="J4807" t="s">
        <v>1561</v>
      </c>
      <c r="L4807" s="26" t="e">
        <f t="shared" si="272"/>
        <v>#VALUE!</v>
      </c>
    </row>
    <row r="4808" spans="1:12" x14ac:dyDescent="0.35">
      <c r="A4808" s="9">
        <f t="shared" si="273"/>
        <v>4807</v>
      </c>
      <c r="B4808" t="s">
        <v>109</v>
      </c>
      <c r="C4808" s="109">
        <f>IF(ISBLANK(K4808),IFERROR(VLOOKUP(I4808,FS_input_data!$C$458:$N$648,Export!J4808,FALSE),""),K4808)</f>
        <v>26000</v>
      </c>
      <c r="D4808" s="6" t="b">
        <v>1</v>
      </c>
      <c r="E4808" s="6"/>
      <c r="F4808" s="6"/>
      <c r="G4808" s="115" t="b">
        <f t="shared" si="274"/>
        <v>1</v>
      </c>
      <c r="H4808" s="6" t="s">
        <v>2189</v>
      </c>
      <c r="I4808" t="s">
        <v>1950</v>
      </c>
      <c r="J4808">
        <v>10</v>
      </c>
      <c r="L4808" s="26" t="e">
        <f t="shared" si="272"/>
        <v>#VALUE!</v>
      </c>
    </row>
    <row r="4809" spans="1:12" x14ac:dyDescent="0.35">
      <c r="A4809">
        <f t="shared" si="273"/>
        <v>4808</v>
      </c>
      <c r="B4809" t="s">
        <v>110</v>
      </c>
      <c r="C4809" s="109" t="str">
        <f>IF(ISBLANK(K4809),IFERROR(VLOOKUP(I4809,FS_input_data!$C$458:$N$648,Export!J4809,FALSE),""),K4809)</f>
        <v/>
      </c>
      <c r="D4809" s="6"/>
      <c r="E4809" s="6"/>
      <c r="F4809" s="6"/>
      <c r="G4809" s="115" t="b">
        <f t="shared" si="274"/>
        <v>1</v>
      </c>
      <c r="H4809" s="6" t="s">
        <v>2189</v>
      </c>
      <c r="I4809" t="s">
        <v>1561</v>
      </c>
      <c r="J4809" t="s">
        <v>1561</v>
      </c>
      <c r="L4809">
        <f t="shared" si="272"/>
        <v>1</v>
      </c>
    </row>
    <row r="4810" spans="1:12" x14ac:dyDescent="0.35">
      <c r="A4810" s="9">
        <f t="shared" si="273"/>
        <v>4809</v>
      </c>
      <c r="B4810" t="s">
        <v>111</v>
      </c>
      <c r="C4810" s="109">
        <f>IF(ISBLANK(K4810),IFERROR(VLOOKUP(I4810,FS_input_data!$C$458:$N$648,Export!J4810,FALSE),""),K4810)</f>
        <v>13000</v>
      </c>
      <c r="D4810" s="6" t="b">
        <v>0</v>
      </c>
      <c r="E4810" s="6"/>
      <c r="F4810" s="6"/>
      <c r="G4810" s="115" t="b">
        <f t="shared" si="274"/>
        <v>1</v>
      </c>
      <c r="H4810" s="6" t="s">
        <v>2189</v>
      </c>
      <c r="I4810" t="s">
        <v>1950</v>
      </c>
      <c r="J4810">
        <v>11</v>
      </c>
      <c r="L4810" s="26" t="e">
        <f t="shared" si="272"/>
        <v>#VALUE!</v>
      </c>
    </row>
    <row r="4811" spans="1:12" x14ac:dyDescent="0.35">
      <c r="A4811">
        <f t="shared" si="273"/>
        <v>4810</v>
      </c>
      <c r="B4811" t="s">
        <v>112</v>
      </c>
      <c r="C4811" s="109" t="str">
        <f>IF(ISBLANK(K4811),IFERROR(VLOOKUP(I4811,FS_input_data!$C$458:$N$648,Export!J4811,FALSE),""),K4811)</f>
        <v/>
      </c>
      <c r="D4811" s="6"/>
      <c r="E4811" s="6"/>
      <c r="F4811" s="6"/>
      <c r="G4811" s="115" t="b">
        <f t="shared" si="274"/>
        <v>1</v>
      </c>
      <c r="H4811" s="6" t="s">
        <v>2189</v>
      </c>
      <c r="I4811" t="s">
        <v>1561</v>
      </c>
      <c r="J4811" t="s">
        <v>1561</v>
      </c>
      <c r="L4811">
        <f t="shared" si="272"/>
        <v>1</v>
      </c>
    </row>
    <row r="4812" spans="1:12" x14ac:dyDescent="0.35">
      <c r="A4812" s="9">
        <f t="shared" si="273"/>
        <v>4811</v>
      </c>
      <c r="B4812" t="s">
        <v>749</v>
      </c>
      <c r="C4812" s="109">
        <f>IF(ISBLANK(K4812),IFERROR(VLOOKUP(I4812,FS_input_data!$C$458:$N$648,Export!J4812,FALSE),""),K4812)</f>
        <v>13000</v>
      </c>
      <c r="D4812" s="6" t="b">
        <v>0</v>
      </c>
      <c r="E4812" s="6"/>
      <c r="F4812" s="6"/>
      <c r="G4812" s="115" t="b">
        <f t="shared" si="274"/>
        <v>1</v>
      </c>
      <c r="H4812" s="6" t="s">
        <v>2189</v>
      </c>
      <c r="I4812" t="s">
        <v>1950</v>
      </c>
      <c r="J4812">
        <v>12</v>
      </c>
      <c r="L4812" s="26" t="e">
        <f t="shared" si="272"/>
        <v>#VALUE!</v>
      </c>
    </row>
    <row r="4813" spans="1:12" x14ac:dyDescent="0.35">
      <c r="A4813">
        <f t="shared" si="273"/>
        <v>4812</v>
      </c>
      <c r="B4813" t="s">
        <v>750</v>
      </c>
      <c r="C4813" s="109" t="str">
        <f>IF(ISBLANK(K4813),IFERROR(VLOOKUP(I4813,FS_input_data!$C$458:$N$648,Export!J4813,FALSE),""),K4813)</f>
        <v/>
      </c>
      <c r="D4813" s="6"/>
      <c r="E4813" s="6"/>
      <c r="F4813" s="6"/>
      <c r="G4813" s="115" t="b">
        <f t="shared" si="274"/>
        <v>1</v>
      </c>
      <c r="H4813" s="6" t="s">
        <v>2189</v>
      </c>
      <c r="I4813" t="s">
        <v>1561</v>
      </c>
      <c r="J4813" t="s">
        <v>1561</v>
      </c>
      <c r="L4813">
        <f t="shared" si="272"/>
        <v>1</v>
      </c>
    </row>
    <row r="4814" spans="1:12" x14ac:dyDescent="0.35">
      <c r="A4814">
        <f t="shared" si="273"/>
        <v>4813</v>
      </c>
      <c r="B4814" t="s">
        <v>745</v>
      </c>
      <c r="C4814" s="109" t="str">
        <f>IF(ISBLANK(K4814),IFERROR(VLOOKUP(I4814,FS_input_data!$C$458:$N$648,Export!J4814,FALSE),""),K4814)</f>
        <v/>
      </c>
      <c r="D4814" s="6"/>
      <c r="E4814" s="6"/>
      <c r="F4814" s="6"/>
      <c r="G4814" s="115" t="b">
        <f t="shared" si="274"/>
        <v>1</v>
      </c>
      <c r="H4814" s="6" t="s">
        <v>2189</v>
      </c>
      <c r="I4814" t="s">
        <v>1561</v>
      </c>
      <c r="J4814" t="s">
        <v>1561</v>
      </c>
      <c r="L4814">
        <f t="shared" si="272"/>
        <v>1</v>
      </c>
    </row>
    <row r="4815" spans="1:12" x14ac:dyDescent="0.35">
      <c r="A4815">
        <f t="shared" si="273"/>
        <v>4814</v>
      </c>
      <c r="B4815" t="s">
        <v>764</v>
      </c>
      <c r="C4815" s="109" t="str">
        <f>IF(ISBLANK(K4815),IFERROR(VLOOKUP(I4815,FS_input_data!$C$458:$N$648,Export!J4815,FALSE),""),K4815)</f>
        <v/>
      </c>
      <c r="D4815" s="6"/>
      <c r="E4815" s="6"/>
      <c r="F4815" s="6"/>
      <c r="G4815" s="115" t="b">
        <f>VLOOKUP(I4784,FS_input_noty,J4784,FALSE)=""</f>
        <v>0</v>
      </c>
      <c r="H4815" s="6" t="s">
        <v>2189</v>
      </c>
      <c r="I4815" t="s">
        <v>1561</v>
      </c>
      <c r="J4815" t="s">
        <v>1561</v>
      </c>
      <c r="L4815">
        <f t="shared" si="272"/>
        <v>1</v>
      </c>
    </row>
    <row r="4816" spans="1:12" x14ac:dyDescent="0.35">
      <c r="A4816">
        <f t="shared" si="273"/>
        <v>4815</v>
      </c>
      <c r="B4816" t="s">
        <v>765</v>
      </c>
      <c r="C4816" s="109" t="str">
        <f>IF(ISBLANK(K4816),IFERROR(VLOOKUP(I4816,FS_input_data!$C$458:$N$648,Export!J4816,FALSE),""),K4816)</f>
        <v/>
      </c>
      <c r="E4816" s="6"/>
      <c r="F4816" s="6"/>
      <c r="G4816" s="115" t="b">
        <f>VLOOKUP(I4784,FS_input_noty,J4784,FALSE)=""</f>
        <v>0</v>
      </c>
      <c r="H4816" s="6" t="s">
        <v>2189</v>
      </c>
      <c r="I4816" t="s">
        <v>1561</v>
      </c>
      <c r="J4816" t="s">
        <v>1561</v>
      </c>
      <c r="L4816">
        <f t="shared" si="272"/>
        <v>1</v>
      </c>
    </row>
    <row r="4817" spans="1:12" x14ac:dyDescent="0.35">
      <c r="A4817">
        <f t="shared" si="273"/>
        <v>4816</v>
      </c>
      <c r="B4817" t="s">
        <v>752</v>
      </c>
      <c r="C4817" s="109" t="str">
        <f>IF(ISBLANK(K4817),IFERROR(VLOOKUP(I4817,FS_input_data!$C$458:$N$648,Export!J4817,FALSE),""),K4817)</f>
        <v/>
      </c>
      <c r="E4817" s="6"/>
      <c r="F4817" s="6"/>
      <c r="G4817" s="115" t="b">
        <f>VLOOKUP(I4818,FS_input_noty,J4818,FALSE)=""</f>
        <v>0</v>
      </c>
      <c r="H4817" s="6" t="s">
        <v>2189</v>
      </c>
      <c r="I4817" t="s">
        <v>1561</v>
      </c>
      <c r="J4817" t="s">
        <v>1561</v>
      </c>
      <c r="L4817" s="26" t="e">
        <f t="shared" si="272"/>
        <v>#VALUE!</v>
      </c>
    </row>
    <row r="4818" spans="1:12" x14ac:dyDescent="0.35">
      <c r="A4818" s="9">
        <f t="shared" si="273"/>
        <v>4817</v>
      </c>
      <c r="B4818" t="s">
        <v>101</v>
      </c>
      <c r="C4818" s="109" t="str">
        <f>IF(ISBLANK(K4818),IFERROR(VLOOKUP(I4818,FS_input_data!$C$458:$N$648,Export!J4818,FALSE),""),K4818)</f>
        <v>OC48</v>
      </c>
      <c r="D4818" t="b">
        <v>1</v>
      </c>
      <c r="F4818" s="6"/>
      <c r="G4818" s="115" t="b">
        <f>VLOOKUP(I4818,FS_input_noty,J4818,FALSE)=""</f>
        <v>0</v>
      </c>
      <c r="H4818" s="6" t="s">
        <v>2189</v>
      </c>
      <c r="I4818" t="s">
        <v>1952</v>
      </c>
      <c r="J4818">
        <v>6</v>
      </c>
      <c r="L4818" s="26" t="e">
        <f t="shared" si="272"/>
        <v>#VALUE!</v>
      </c>
    </row>
    <row r="4819" spans="1:12" x14ac:dyDescent="0.35">
      <c r="A4819">
        <f t="shared" si="273"/>
        <v>4818</v>
      </c>
      <c r="B4819" t="s">
        <v>102</v>
      </c>
      <c r="C4819" s="109" t="str">
        <f>IF(ISBLANK(K4819),IFERROR(VLOOKUP(I4819,FS_input_data!$C$458:$N$648,Export!J4819,FALSE),""),K4819)</f>
        <v/>
      </c>
      <c r="E4819" s="6"/>
      <c r="F4819" s="6"/>
      <c r="G4819" s="115" t="b">
        <f>VLOOKUP(I4818,FS_input_noty,J4818,FALSE)=""</f>
        <v>0</v>
      </c>
      <c r="H4819" s="6" t="s">
        <v>2189</v>
      </c>
      <c r="I4819" t="s">
        <v>1561</v>
      </c>
      <c r="J4819" t="s">
        <v>1561</v>
      </c>
      <c r="L4819">
        <f t="shared" si="272"/>
        <v>1</v>
      </c>
    </row>
    <row r="4820" spans="1:12" x14ac:dyDescent="0.35">
      <c r="A4820">
        <f t="shared" si="273"/>
        <v>4819</v>
      </c>
      <c r="B4820" t="s">
        <v>753</v>
      </c>
      <c r="C4820" s="109" t="str">
        <f>IF(ISBLANK(K4820),IFERROR(VLOOKUP(I4820,FS_input_data!$C$458:$N$648,Export!J4820,FALSE),""),K4820)</f>
        <v/>
      </c>
      <c r="E4820" s="6"/>
      <c r="F4820" s="6"/>
      <c r="G4820" s="115" t="b">
        <f>VLOOKUP(I4818,FS_input_noty,J4818,FALSE)=""</f>
        <v>0</v>
      </c>
      <c r="H4820" s="6" t="s">
        <v>2189</v>
      </c>
      <c r="I4820" t="s">
        <v>1561</v>
      </c>
      <c r="J4820" t="s">
        <v>1561</v>
      </c>
      <c r="L4820" s="26" t="e">
        <f t="shared" si="272"/>
        <v>#VALUE!</v>
      </c>
    </row>
    <row r="4821" spans="1:12" x14ac:dyDescent="0.35">
      <c r="A4821">
        <f t="shared" si="273"/>
        <v>4820</v>
      </c>
      <c r="B4821" t="s">
        <v>742</v>
      </c>
      <c r="C4821" s="109" t="str">
        <f>IF(ISBLANK(K4821),IFERROR(VLOOKUP(I4821,FS_input_data!$C$458:$N$648,Export!J4821,FALSE),""),K4821)</f>
        <v/>
      </c>
      <c r="D4821" s="6"/>
      <c r="E4821" s="6"/>
      <c r="F4821" s="6"/>
      <c r="G4821" s="115" t="b">
        <f>VLOOKUP(I4818,FS_input_noty,J4818,FALSE)=""</f>
        <v>0</v>
      </c>
      <c r="H4821" s="6" t="s">
        <v>2189</v>
      </c>
      <c r="I4821" t="s">
        <v>1561</v>
      </c>
      <c r="J4821" t="s">
        <v>1561</v>
      </c>
      <c r="L4821" s="26" t="e">
        <f t="shared" si="272"/>
        <v>#VALUE!</v>
      </c>
    </row>
    <row r="4822" spans="1:12" x14ac:dyDescent="0.35">
      <c r="A4822">
        <f t="shared" si="273"/>
        <v>4821</v>
      </c>
      <c r="B4822" t="s">
        <v>748</v>
      </c>
      <c r="C4822" s="109" t="str">
        <f>IF(ISBLANK(K4822),IFERROR(VLOOKUP(I4822,FS_input_data!$C$458:$N$648,Export!J4822,FALSE),""),K4822)</f>
        <v/>
      </c>
      <c r="D4822" s="6"/>
      <c r="E4822" s="6"/>
      <c r="F4822" s="6"/>
      <c r="G4822" s="115" t="b">
        <f>VLOOKUP(I4818,FS_input_noty,J4818,FALSE)=""</f>
        <v>0</v>
      </c>
      <c r="H4822" s="6" t="s">
        <v>2189</v>
      </c>
      <c r="I4822" t="s">
        <v>1561</v>
      </c>
      <c r="J4822" t="s">
        <v>1561</v>
      </c>
      <c r="L4822" s="26" t="e">
        <f t="shared" si="272"/>
        <v>#VALUE!</v>
      </c>
    </row>
    <row r="4823" spans="1:12" x14ac:dyDescent="0.35">
      <c r="A4823" s="9">
        <f t="shared" si="273"/>
        <v>4822</v>
      </c>
      <c r="B4823" t="s">
        <v>109</v>
      </c>
      <c r="C4823" s="109">
        <f>IF(ISBLANK(K4823),IFERROR(VLOOKUP(I4823,FS_input_data!$C$458:$N$648,Export!J4823,FALSE),""),K4823)</f>
        <v>27000</v>
      </c>
      <c r="D4823" s="6" t="b">
        <v>1</v>
      </c>
      <c r="E4823" s="6"/>
      <c r="F4823" s="6"/>
      <c r="G4823" s="115" t="b">
        <f>VLOOKUP(I4818,FS_input_noty,J4818,FALSE)=""</f>
        <v>0</v>
      </c>
      <c r="H4823" s="6" t="s">
        <v>2189</v>
      </c>
      <c r="I4823" t="s">
        <v>1952</v>
      </c>
      <c r="J4823">
        <v>7</v>
      </c>
      <c r="L4823" s="26" t="e">
        <f t="shared" si="272"/>
        <v>#VALUE!</v>
      </c>
    </row>
    <row r="4824" spans="1:12" x14ac:dyDescent="0.35">
      <c r="A4824">
        <f t="shared" si="273"/>
        <v>4823</v>
      </c>
      <c r="B4824" t="s">
        <v>110</v>
      </c>
      <c r="C4824" s="109" t="str">
        <f>IF(ISBLANK(K4824),IFERROR(VLOOKUP(I4824,FS_input_data!$C$458:$N$648,Export!J4824,FALSE),""),K4824)</f>
        <v/>
      </c>
      <c r="D4824" s="6"/>
      <c r="E4824" s="6"/>
      <c r="F4824" s="6"/>
      <c r="G4824" s="115" t="b">
        <f>VLOOKUP(I4818,FS_input_noty,J4818,FALSE)=""</f>
        <v>0</v>
      </c>
      <c r="H4824" s="6" t="s">
        <v>2189</v>
      </c>
      <c r="I4824" t="s">
        <v>1561</v>
      </c>
      <c r="J4824" t="s">
        <v>1561</v>
      </c>
      <c r="L4824">
        <f t="shared" si="272"/>
        <v>1</v>
      </c>
    </row>
    <row r="4825" spans="1:12" x14ac:dyDescent="0.35">
      <c r="A4825" s="9">
        <f t="shared" si="273"/>
        <v>4824</v>
      </c>
      <c r="B4825" t="s">
        <v>111</v>
      </c>
      <c r="C4825" s="109">
        <f>IF(ISBLANK(K4825),IFERROR(VLOOKUP(I4825,FS_input_data!$C$458:$N$648,Export!J4825,FALSE),""),K4825)</f>
        <v>13500</v>
      </c>
      <c r="D4825" s="6" t="b">
        <v>0</v>
      </c>
      <c r="E4825" s="6"/>
      <c r="F4825" s="6"/>
      <c r="G4825" s="115" t="b">
        <f>VLOOKUP(I4818,FS_input_noty,J4818,TRUE)=""</f>
        <v>0</v>
      </c>
      <c r="H4825" s="6" t="s">
        <v>2189</v>
      </c>
      <c r="I4825" t="s">
        <v>1952</v>
      </c>
      <c r="J4825">
        <v>8</v>
      </c>
      <c r="L4825" s="26" t="e">
        <f t="shared" si="272"/>
        <v>#VALUE!</v>
      </c>
    </row>
    <row r="4826" spans="1:12" x14ac:dyDescent="0.35">
      <c r="A4826">
        <f t="shared" si="273"/>
        <v>4825</v>
      </c>
      <c r="B4826" t="s">
        <v>112</v>
      </c>
      <c r="C4826" s="109" t="str">
        <f>IF(ISBLANK(K4826),IFERROR(VLOOKUP(I4826,FS_input_data!$C$458:$N$648,Export!J4826,FALSE),""),K4826)</f>
        <v/>
      </c>
      <c r="D4826" s="6"/>
      <c r="E4826" s="6"/>
      <c r="F4826" s="6"/>
      <c r="G4826" s="115" t="b">
        <f>VLOOKUP(I4818,FS_input_noty,J4818,FALSE)=""</f>
        <v>0</v>
      </c>
      <c r="H4826" s="6" t="s">
        <v>2189</v>
      </c>
      <c r="I4826" t="s">
        <v>1561</v>
      </c>
      <c r="J4826" t="s">
        <v>1561</v>
      </c>
      <c r="L4826">
        <f t="shared" si="272"/>
        <v>1</v>
      </c>
    </row>
    <row r="4827" spans="1:12" x14ac:dyDescent="0.35">
      <c r="A4827" s="9">
        <f t="shared" si="273"/>
        <v>4826</v>
      </c>
      <c r="B4827" t="s">
        <v>749</v>
      </c>
      <c r="C4827" s="109">
        <f>IF(ISBLANK(K4827),IFERROR(VLOOKUP(I4827,FS_input_data!$C$458:$N$648,Export!J4827,FALSE),""),K4827)</f>
        <v>13500</v>
      </c>
      <c r="D4827" s="6" t="b">
        <v>0</v>
      </c>
      <c r="E4827" s="6"/>
      <c r="F4827" s="6"/>
      <c r="G4827" s="115" t="b">
        <f>VLOOKUP(I4818,FS_input_noty,J4818,FALSE)=""</f>
        <v>0</v>
      </c>
      <c r="H4827" s="6" t="s">
        <v>2189</v>
      </c>
      <c r="I4827" t="s">
        <v>1952</v>
      </c>
      <c r="J4827">
        <v>9</v>
      </c>
      <c r="L4827" s="26" t="e">
        <f t="shared" si="272"/>
        <v>#VALUE!</v>
      </c>
    </row>
    <row r="4828" spans="1:12" x14ac:dyDescent="0.35">
      <c r="A4828">
        <f t="shared" si="273"/>
        <v>4827</v>
      </c>
      <c r="B4828" t="s">
        <v>750</v>
      </c>
      <c r="C4828" s="109" t="str">
        <f>IF(ISBLANK(K4828),IFERROR(VLOOKUP(I4828,FS_input_data!$C$458:$N$648,Export!J4828,FALSE),""),K4828)</f>
        <v/>
      </c>
      <c r="D4828" s="6"/>
      <c r="E4828" s="6"/>
      <c r="F4828" s="6"/>
      <c r="G4828" s="115" t="b">
        <f>VLOOKUP(I4818,FS_input_noty,J4818,FALSE)=""</f>
        <v>0</v>
      </c>
      <c r="H4828" s="6" t="s">
        <v>2189</v>
      </c>
      <c r="I4828" t="s">
        <v>1561</v>
      </c>
      <c r="J4828" t="s">
        <v>1561</v>
      </c>
      <c r="L4828">
        <f t="shared" si="272"/>
        <v>1</v>
      </c>
    </row>
    <row r="4829" spans="1:12" x14ac:dyDescent="0.35">
      <c r="A4829">
        <f t="shared" si="273"/>
        <v>4828</v>
      </c>
      <c r="B4829" t="s">
        <v>751</v>
      </c>
      <c r="C4829" s="109" t="str">
        <f>IF(ISBLANK(K4829),IFERROR(VLOOKUP(I4829,FS_input_data!$C$458:$N$648,Export!J4829,FALSE),""),K4829)</f>
        <v/>
      </c>
      <c r="D4829" s="6"/>
      <c r="E4829" s="6"/>
      <c r="F4829" s="6"/>
      <c r="G4829" s="115" t="b">
        <f>VLOOKUP(I4818,FS_input_noty,J4818,FALSE)=""</f>
        <v>0</v>
      </c>
      <c r="H4829" s="6" t="s">
        <v>2189</v>
      </c>
      <c r="I4829" t="s">
        <v>1561</v>
      </c>
      <c r="J4829" t="s">
        <v>1561</v>
      </c>
      <c r="L4829">
        <f t="shared" si="272"/>
        <v>1</v>
      </c>
    </row>
    <row r="4830" spans="1:12" x14ac:dyDescent="0.35">
      <c r="A4830">
        <f t="shared" si="273"/>
        <v>4829</v>
      </c>
      <c r="B4830" t="s">
        <v>754</v>
      </c>
      <c r="C4830" s="109" t="str">
        <f>IF(ISBLANK(K4830),IFERROR(VLOOKUP(I4830,FS_input_data!$C$458:$N$648,Export!J4830,FALSE),""),K4830)</f>
        <v/>
      </c>
      <c r="D4830" s="6"/>
      <c r="E4830" s="6"/>
      <c r="F4830" s="6"/>
      <c r="G4830" s="115" t="b">
        <f>VLOOKUP(I4818,FS_input_noty,J4818,FALSE)=""</f>
        <v>0</v>
      </c>
      <c r="H4830" s="6" t="s">
        <v>2189</v>
      </c>
      <c r="I4830" t="s">
        <v>1561</v>
      </c>
      <c r="J4830" t="s">
        <v>1561</v>
      </c>
      <c r="L4830" s="26" t="e">
        <f t="shared" si="272"/>
        <v>#VALUE!</v>
      </c>
    </row>
    <row r="4831" spans="1:12" x14ac:dyDescent="0.35">
      <c r="A4831" s="9">
        <f t="shared" si="273"/>
        <v>4830</v>
      </c>
      <c r="B4831" t="s">
        <v>755</v>
      </c>
      <c r="C4831" s="109">
        <f>IF(ISBLANK(K4831),IFERROR(VLOOKUP(I4831,FS_input_data!$C$458:$N$648,Export!J4831,FALSE),""),K4831)</f>
        <v>71</v>
      </c>
      <c r="D4831" s="6" t="b">
        <v>1</v>
      </c>
      <c r="E4831" s="6"/>
      <c r="F4831" s="6"/>
      <c r="G4831" s="115" t="b">
        <f>VLOOKUP(I4818,FS_input_noty,J4818,FALSE)=""</f>
        <v>0</v>
      </c>
      <c r="H4831" s="6" t="s">
        <v>2189</v>
      </c>
      <c r="I4831" t="s">
        <v>1952</v>
      </c>
      <c r="J4831">
        <v>2</v>
      </c>
      <c r="L4831" s="26" t="e">
        <f t="shared" si="272"/>
        <v>#VALUE!</v>
      </c>
    </row>
    <row r="4832" spans="1:12" x14ac:dyDescent="0.35">
      <c r="A4832">
        <f t="shared" si="273"/>
        <v>4831</v>
      </c>
      <c r="B4832" t="s">
        <v>756</v>
      </c>
      <c r="C4832" s="109" t="str">
        <f>IF(ISBLANK(K4832),IFERROR(VLOOKUP(I4832,FS_input_data!$C$458:$N$648,Export!J4832,FALSE),""),K4832)</f>
        <v/>
      </c>
      <c r="D4832" s="6"/>
      <c r="E4832" s="6"/>
      <c r="F4832" s="6"/>
      <c r="G4832" s="115" t="b">
        <f>VLOOKUP(I4818,FS_input_noty,J4818,FALSE)=""</f>
        <v>0</v>
      </c>
      <c r="H4832" s="6" t="s">
        <v>2189</v>
      </c>
      <c r="I4832" t="s">
        <v>1561</v>
      </c>
      <c r="J4832" t="s">
        <v>1561</v>
      </c>
      <c r="L4832">
        <f t="shared" si="272"/>
        <v>1</v>
      </c>
    </row>
    <row r="4833" spans="1:12" x14ac:dyDescent="0.35">
      <c r="A4833" s="9">
        <f t="shared" si="273"/>
        <v>4832</v>
      </c>
      <c r="B4833" t="s">
        <v>757</v>
      </c>
      <c r="C4833" s="109">
        <f>IF(ISBLANK(K4833),IFERROR(VLOOKUP(I4833,FS_input_data!$C$458:$N$648,Export!J4833,FALSE),""),K4833)</f>
        <v>171</v>
      </c>
      <c r="D4833" s="6" t="b">
        <v>0</v>
      </c>
      <c r="E4833" s="6"/>
      <c r="F4833" s="6"/>
      <c r="G4833" s="115" t="b">
        <f>VLOOKUP(I4818,FS_input_noty,J4818,FALSE)=""</f>
        <v>0</v>
      </c>
      <c r="H4833" s="6" t="s">
        <v>2189</v>
      </c>
      <c r="I4833" t="s">
        <v>1952</v>
      </c>
      <c r="J4833">
        <v>3</v>
      </c>
      <c r="L4833" s="26" t="e">
        <f t="shared" si="272"/>
        <v>#VALUE!</v>
      </c>
    </row>
    <row r="4834" spans="1:12" x14ac:dyDescent="0.35">
      <c r="A4834">
        <f t="shared" si="273"/>
        <v>4833</v>
      </c>
      <c r="B4834" t="s">
        <v>758</v>
      </c>
      <c r="C4834" s="109" t="str">
        <f>IF(ISBLANK(K4834),IFERROR(VLOOKUP(I4834,FS_input_data!$C$458:$N$648,Export!J4834,FALSE),""),K4834)</f>
        <v/>
      </c>
      <c r="D4834" s="6"/>
      <c r="E4834" s="6"/>
      <c r="F4834" s="6"/>
      <c r="G4834" s="115" t="b">
        <f>VLOOKUP(I4818,FS_input_noty,J4818,FALSE)=""</f>
        <v>0</v>
      </c>
      <c r="H4834" s="6" t="s">
        <v>2189</v>
      </c>
      <c r="I4834" t="s">
        <v>1561</v>
      </c>
      <c r="J4834" t="s">
        <v>1561</v>
      </c>
      <c r="L4834">
        <f t="shared" si="272"/>
        <v>1</v>
      </c>
    </row>
    <row r="4835" spans="1:12" x14ac:dyDescent="0.35">
      <c r="A4835" s="9">
        <f t="shared" si="273"/>
        <v>4834</v>
      </c>
      <c r="B4835" t="s">
        <v>759</v>
      </c>
      <c r="C4835" s="109">
        <f>IF(ISBLANK(K4835),IFERROR(VLOOKUP(I4835,FS_input_data!$C$458:$N$648,Export!J4835,FALSE),""),K4835)</f>
        <v>271</v>
      </c>
      <c r="D4835" s="6" t="b">
        <v>0</v>
      </c>
      <c r="E4835" s="6"/>
      <c r="F4835" s="6"/>
      <c r="G4835" s="115" t="b">
        <f>VLOOKUP(I4818,FS_input_noty,J4818,FALSE)=""</f>
        <v>0</v>
      </c>
      <c r="H4835" s="6" t="s">
        <v>2189</v>
      </c>
      <c r="I4835" t="s">
        <v>1952</v>
      </c>
      <c r="J4835">
        <v>4</v>
      </c>
      <c r="L4835" s="26" t="e">
        <f t="shared" si="272"/>
        <v>#VALUE!</v>
      </c>
    </row>
    <row r="4836" spans="1:12" x14ac:dyDescent="0.35">
      <c r="A4836">
        <f t="shared" si="273"/>
        <v>4835</v>
      </c>
      <c r="B4836" t="s">
        <v>760</v>
      </c>
      <c r="C4836" s="109" t="str">
        <f>IF(ISBLANK(K4836),IFERROR(VLOOKUP(I4836,FS_input_data!$C$458:$N$648,Export!J4836,FALSE),""),K4836)</f>
        <v/>
      </c>
      <c r="D4836" s="6"/>
      <c r="E4836" s="6"/>
      <c r="F4836" s="6"/>
      <c r="G4836" s="115" t="b">
        <f>VLOOKUP(I4818,FS_input_noty,J4818,FALSE)=""</f>
        <v>0</v>
      </c>
      <c r="H4836" s="6" t="s">
        <v>2189</v>
      </c>
      <c r="I4836" t="s">
        <v>1561</v>
      </c>
      <c r="J4836" t="s">
        <v>1561</v>
      </c>
      <c r="L4836">
        <f t="shared" si="272"/>
        <v>1</v>
      </c>
    </row>
    <row r="4837" spans="1:12" x14ac:dyDescent="0.35">
      <c r="A4837" s="9">
        <f t="shared" si="273"/>
        <v>4836</v>
      </c>
      <c r="B4837" t="s">
        <v>761</v>
      </c>
      <c r="C4837" s="109" t="str">
        <f>IF(ISBLANK(K4837),IFERROR(VLOOKUP(I4837,FS_input_data!$C$458:$N$648,Export!J4837,FALSE),""),K4837)</f>
        <v>e</v>
      </c>
      <c r="D4837" s="6" t="b">
        <v>0</v>
      </c>
      <c r="E4837" s="6"/>
      <c r="F4837" s="6"/>
      <c r="G4837" s="115" t="b">
        <f>VLOOKUP(I4818,FS_input_noty,J4818,FALSE)=""</f>
        <v>0</v>
      </c>
      <c r="H4837" s="6" t="s">
        <v>2189</v>
      </c>
      <c r="I4837" t="s">
        <v>1952</v>
      </c>
      <c r="J4837">
        <v>5</v>
      </c>
      <c r="L4837" s="26" t="e">
        <f t="shared" si="272"/>
        <v>#VALUE!</v>
      </c>
    </row>
    <row r="4838" spans="1:12" x14ac:dyDescent="0.35">
      <c r="A4838">
        <f t="shared" si="273"/>
        <v>4837</v>
      </c>
      <c r="B4838" t="s">
        <v>762</v>
      </c>
      <c r="C4838" s="109" t="str">
        <f>IF(ISBLANK(K4838),IFERROR(VLOOKUP(I4838,FS_input_data!$C$458:$N$648,Export!J4838,FALSE),""),K4838)</f>
        <v/>
      </c>
      <c r="D4838" s="6"/>
      <c r="E4838" s="6"/>
      <c r="F4838" s="6"/>
      <c r="G4838" s="115" t="b">
        <f>VLOOKUP(I4818,FS_input_noty,J4818,FALSE)=""</f>
        <v>0</v>
      </c>
      <c r="H4838" s="6" t="s">
        <v>2189</v>
      </c>
      <c r="I4838" t="s">
        <v>1561</v>
      </c>
      <c r="J4838" t="s">
        <v>1561</v>
      </c>
      <c r="L4838">
        <f t="shared" si="272"/>
        <v>1</v>
      </c>
    </row>
    <row r="4839" spans="1:12" x14ac:dyDescent="0.35">
      <c r="A4839">
        <f t="shared" si="273"/>
        <v>4838</v>
      </c>
      <c r="B4839" t="s">
        <v>763</v>
      </c>
      <c r="C4839" s="109" t="str">
        <f>IF(ISBLANK(K4839),IFERROR(VLOOKUP(I4839,FS_input_data!$C$458:$N$648,Export!J4839,FALSE),""),K4839)</f>
        <v/>
      </c>
      <c r="D4839" s="6"/>
      <c r="E4839" s="6"/>
      <c r="F4839" s="6"/>
      <c r="G4839" s="115" t="b">
        <f>VLOOKUP(I4818,FS_input_noty,J4818,FALSE)=""</f>
        <v>0</v>
      </c>
      <c r="H4839" s="6" t="s">
        <v>2189</v>
      </c>
      <c r="I4839" t="s">
        <v>1561</v>
      </c>
      <c r="J4839" t="s">
        <v>1561</v>
      </c>
      <c r="L4839">
        <f t="shared" si="272"/>
        <v>1</v>
      </c>
    </row>
    <row r="4840" spans="1:12" x14ac:dyDescent="0.35">
      <c r="A4840">
        <f t="shared" si="273"/>
        <v>4839</v>
      </c>
      <c r="B4840" t="s">
        <v>743</v>
      </c>
      <c r="C4840" s="109" t="str">
        <f>IF(ISBLANK(K4840),IFERROR(VLOOKUP(I4840,FS_input_data!$C$458:$N$648,Export!J4840,FALSE),""),K4840)</f>
        <v/>
      </c>
      <c r="D4840" s="6"/>
      <c r="E4840" s="6"/>
      <c r="F4840" s="6"/>
      <c r="G4840" s="115" t="b">
        <f>VLOOKUP(I4818,FS_input_noty,J4818,FALSE)=""</f>
        <v>0</v>
      </c>
      <c r="H4840" s="6" t="s">
        <v>2189</v>
      </c>
      <c r="I4840" t="s">
        <v>1561</v>
      </c>
      <c r="J4840" t="s">
        <v>1561</v>
      </c>
      <c r="L4840">
        <f t="shared" si="272"/>
        <v>1</v>
      </c>
    </row>
    <row r="4841" spans="1:12" x14ac:dyDescent="0.35">
      <c r="A4841">
        <f t="shared" si="273"/>
        <v>4840</v>
      </c>
      <c r="B4841" t="s">
        <v>744</v>
      </c>
      <c r="C4841" s="109" t="str">
        <f>IF(ISBLANK(K4841),IFERROR(VLOOKUP(I4841,FS_input_data!$C$458:$N$648,Export!J4841,FALSE),""),K4841)</f>
        <v/>
      </c>
      <c r="D4841" s="6"/>
      <c r="E4841" s="6"/>
      <c r="F4841" s="6"/>
      <c r="G4841" s="115" t="b">
        <f t="shared" ref="G4841:G4848" si="275">RP_tax</f>
        <v>1</v>
      </c>
      <c r="H4841" s="6" t="s">
        <v>2189</v>
      </c>
      <c r="I4841" t="s">
        <v>1561</v>
      </c>
      <c r="J4841" t="s">
        <v>1561</v>
      </c>
      <c r="L4841" s="26" t="e">
        <f t="shared" si="272"/>
        <v>#VALUE!</v>
      </c>
    </row>
    <row r="4842" spans="1:12" x14ac:dyDescent="0.35">
      <c r="A4842" s="9">
        <f t="shared" si="273"/>
        <v>4841</v>
      </c>
      <c r="B4842" t="s">
        <v>109</v>
      </c>
      <c r="C4842" s="109">
        <f>IF(ISBLANK(K4842),IFERROR(VLOOKUP(I4842,FS_input_data!$C$458:$N$648,Export!J4842,FALSE),""),K4842)</f>
        <v>27000</v>
      </c>
      <c r="D4842" s="6" t="b">
        <v>1</v>
      </c>
      <c r="E4842" s="6"/>
      <c r="F4842" s="6"/>
      <c r="G4842" s="115" t="b">
        <f t="shared" si="275"/>
        <v>1</v>
      </c>
      <c r="H4842" s="6" t="s">
        <v>2189</v>
      </c>
      <c r="I4842" t="s">
        <v>1952</v>
      </c>
      <c r="J4842">
        <v>10</v>
      </c>
      <c r="L4842" s="26" t="e">
        <f t="shared" si="272"/>
        <v>#VALUE!</v>
      </c>
    </row>
    <row r="4843" spans="1:12" x14ac:dyDescent="0.35">
      <c r="A4843">
        <f t="shared" si="273"/>
        <v>4842</v>
      </c>
      <c r="B4843" t="s">
        <v>110</v>
      </c>
      <c r="C4843" s="109" t="str">
        <f>IF(ISBLANK(K4843),IFERROR(VLOOKUP(I4843,FS_input_data!$C$458:$N$648,Export!J4843,FALSE),""),K4843)</f>
        <v/>
      </c>
      <c r="D4843" s="6"/>
      <c r="E4843" s="6"/>
      <c r="F4843" s="6"/>
      <c r="G4843" s="115" t="b">
        <f t="shared" si="275"/>
        <v>1</v>
      </c>
      <c r="H4843" s="6" t="s">
        <v>2189</v>
      </c>
      <c r="I4843" t="s">
        <v>1561</v>
      </c>
      <c r="J4843" t="s">
        <v>1561</v>
      </c>
      <c r="L4843">
        <f t="shared" si="272"/>
        <v>1</v>
      </c>
    </row>
    <row r="4844" spans="1:12" x14ac:dyDescent="0.35">
      <c r="A4844" s="9">
        <f t="shared" si="273"/>
        <v>4843</v>
      </c>
      <c r="B4844" t="s">
        <v>111</v>
      </c>
      <c r="C4844" s="109">
        <f>IF(ISBLANK(K4844),IFERROR(VLOOKUP(I4844,FS_input_data!$C$458:$N$648,Export!J4844,FALSE),""),K4844)</f>
        <v>13500</v>
      </c>
      <c r="D4844" s="6" t="b">
        <v>0</v>
      </c>
      <c r="E4844" s="6"/>
      <c r="F4844" s="6"/>
      <c r="G4844" s="115" t="b">
        <f t="shared" si="275"/>
        <v>1</v>
      </c>
      <c r="H4844" s="6" t="s">
        <v>2189</v>
      </c>
      <c r="I4844" t="s">
        <v>1952</v>
      </c>
      <c r="J4844">
        <v>11</v>
      </c>
      <c r="L4844" s="26" t="e">
        <f t="shared" si="272"/>
        <v>#VALUE!</v>
      </c>
    </row>
    <row r="4845" spans="1:12" x14ac:dyDescent="0.35">
      <c r="A4845">
        <f t="shared" si="273"/>
        <v>4844</v>
      </c>
      <c r="B4845" t="s">
        <v>112</v>
      </c>
      <c r="C4845" s="109" t="str">
        <f>IF(ISBLANK(K4845),IFERROR(VLOOKUP(I4845,FS_input_data!$C$458:$N$648,Export!J4845,FALSE),""),K4845)</f>
        <v/>
      </c>
      <c r="D4845" s="6"/>
      <c r="E4845" s="6"/>
      <c r="F4845" s="6"/>
      <c r="G4845" s="115" t="b">
        <f t="shared" si="275"/>
        <v>1</v>
      </c>
      <c r="H4845" s="6" t="s">
        <v>2189</v>
      </c>
      <c r="I4845" t="s">
        <v>1561</v>
      </c>
      <c r="J4845" t="s">
        <v>1561</v>
      </c>
      <c r="L4845">
        <f t="shared" si="272"/>
        <v>1</v>
      </c>
    </row>
    <row r="4846" spans="1:12" x14ac:dyDescent="0.35">
      <c r="A4846" s="9">
        <f t="shared" si="273"/>
        <v>4845</v>
      </c>
      <c r="B4846" t="s">
        <v>749</v>
      </c>
      <c r="C4846" s="109">
        <f>IF(ISBLANK(K4846),IFERROR(VLOOKUP(I4846,FS_input_data!$C$458:$N$648,Export!J4846,FALSE),""),K4846)</f>
        <v>13500</v>
      </c>
      <c r="D4846" s="6" t="b">
        <v>0</v>
      </c>
      <c r="E4846" s="6"/>
      <c r="F4846" s="6"/>
      <c r="G4846" s="115" t="b">
        <f t="shared" si="275"/>
        <v>1</v>
      </c>
      <c r="H4846" s="6" t="s">
        <v>2189</v>
      </c>
      <c r="I4846" t="s">
        <v>1952</v>
      </c>
      <c r="J4846">
        <v>12</v>
      </c>
      <c r="L4846" s="26" t="e">
        <f t="shared" si="272"/>
        <v>#VALUE!</v>
      </c>
    </row>
    <row r="4847" spans="1:12" x14ac:dyDescent="0.35">
      <c r="A4847">
        <f t="shared" si="273"/>
        <v>4846</v>
      </c>
      <c r="B4847" t="s">
        <v>750</v>
      </c>
      <c r="C4847" s="109" t="str">
        <f>IF(ISBLANK(K4847),IFERROR(VLOOKUP(I4847,FS_input_data!$C$458:$N$648,Export!J4847,FALSE),""),K4847)</f>
        <v/>
      </c>
      <c r="D4847" s="6"/>
      <c r="E4847" s="6"/>
      <c r="F4847" s="6"/>
      <c r="G4847" s="115" t="b">
        <f t="shared" si="275"/>
        <v>1</v>
      </c>
      <c r="H4847" s="6" t="s">
        <v>2189</v>
      </c>
      <c r="I4847" t="s">
        <v>1561</v>
      </c>
      <c r="J4847" t="s">
        <v>1561</v>
      </c>
      <c r="L4847">
        <f t="shared" si="272"/>
        <v>1</v>
      </c>
    </row>
    <row r="4848" spans="1:12" x14ac:dyDescent="0.35">
      <c r="A4848">
        <f t="shared" si="273"/>
        <v>4847</v>
      </c>
      <c r="B4848" t="s">
        <v>745</v>
      </c>
      <c r="C4848" s="109" t="str">
        <f>IF(ISBLANK(K4848),IFERROR(VLOOKUP(I4848,FS_input_data!$C$458:$N$648,Export!J4848,FALSE),""),K4848)</f>
        <v/>
      </c>
      <c r="D4848" s="6"/>
      <c r="E4848" s="6"/>
      <c r="F4848" s="6"/>
      <c r="G4848" s="115" t="b">
        <f t="shared" si="275"/>
        <v>1</v>
      </c>
      <c r="H4848" s="6" t="s">
        <v>2189</v>
      </c>
      <c r="I4848" t="s">
        <v>1561</v>
      </c>
      <c r="J4848" t="s">
        <v>1561</v>
      </c>
      <c r="L4848">
        <f t="shared" si="272"/>
        <v>1</v>
      </c>
    </row>
    <row r="4849" spans="1:12" x14ac:dyDescent="0.35">
      <c r="A4849">
        <f t="shared" si="273"/>
        <v>4848</v>
      </c>
      <c r="B4849" t="s">
        <v>764</v>
      </c>
      <c r="C4849" s="109" t="str">
        <f>IF(ISBLANK(K4849),IFERROR(VLOOKUP(I4849,FS_input_data!$C$458:$N$648,Export!J4849,FALSE),""),K4849)</f>
        <v/>
      </c>
      <c r="D4849" s="6"/>
      <c r="E4849" s="6"/>
      <c r="F4849" s="6"/>
      <c r="G4849" s="115" t="b">
        <f>VLOOKUP(I4818,FS_input_noty,J4818,FALSE)=""</f>
        <v>0</v>
      </c>
      <c r="H4849" s="6" t="s">
        <v>2189</v>
      </c>
      <c r="I4849" t="s">
        <v>1561</v>
      </c>
      <c r="J4849" t="s">
        <v>1561</v>
      </c>
      <c r="L4849">
        <f t="shared" si="272"/>
        <v>1</v>
      </c>
    </row>
    <row r="4850" spans="1:12" x14ac:dyDescent="0.35">
      <c r="A4850">
        <f t="shared" si="273"/>
        <v>4849</v>
      </c>
      <c r="B4850" t="s">
        <v>765</v>
      </c>
      <c r="C4850" s="109" t="str">
        <f>IF(ISBLANK(K4850),IFERROR(VLOOKUP(I4850,FS_input_data!$C$458:$N$648,Export!J4850,FALSE),""),K4850)</f>
        <v/>
      </c>
      <c r="D4850" s="6"/>
      <c r="E4850" s="6"/>
      <c r="F4850" s="6"/>
      <c r="G4850" s="115" t="b">
        <f>VLOOKUP(I4818,FS_input_noty,J4818,FALSE)=""</f>
        <v>0</v>
      </c>
      <c r="H4850" s="6" t="s">
        <v>2189</v>
      </c>
      <c r="I4850" t="s">
        <v>1561</v>
      </c>
      <c r="J4850" t="s">
        <v>1561</v>
      </c>
      <c r="L4850">
        <f t="shared" si="272"/>
        <v>1</v>
      </c>
    </row>
    <row r="4851" spans="1:12" x14ac:dyDescent="0.35">
      <c r="A4851">
        <f t="shared" si="273"/>
        <v>4850</v>
      </c>
      <c r="B4851" t="s">
        <v>752</v>
      </c>
      <c r="C4851" s="109" t="str">
        <f>IF(ISBLANK(K4851),IFERROR(VLOOKUP(I4851,FS_input_data!$C$458:$N$648,Export!J4851,FALSE),""),K4851)</f>
        <v/>
      </c>
      <c r="D4851" s="6"/>
      <c r="E4851" s="6"/>
      <c r="F4851" s="6"/>
      <c r="G4851" s="115" t="b">
        <f>VLOOKUP(I4852,FS_input_noty,J4852,FALSE)=""</f>
        <v>0</v>
      </c>
      <c r="H4851" s="6" t="s">
        <v>2189</v>
      </c>
      <c r="I4851" t="s">
        <v>1561</v>
      </c>
      <c r="J4851" t="s">
        <v>1561</v>
      </c>
      <c r="L4851" s="26" t="e">
        <f t="shared" si="272"/>
        <v>#VALUE!</v>
      </c>
    </row>
    <row r="4852" spans="1:12" x14ac:dyDescent="0.35">
      <c r="A4852" s="9">
        <f t="shared" si="273"/>
        <v>4851</v>
      </c>
      <c r="B4852" t="s">
        <v>101</v>
      </c>
      <c r="C4852" s="109" t="str">
        <f>IF(ISBLANK(K4852),IFERROR(VLOOKUP(I4852,FS_input_data!$C$458:$N$648,Export!J4852,FALSE),""),K4852)</f>
        <v>OC49</v>
      </c>
      <c r="D4852" s="6" t="b">
        <v>1</v>
      </c>
      <c r="E4852" s="6"/>
      <c r="F4852" s="6"/>
      <c r="G4852" s="115" t="b">
        <f>VLOOKUP(I4852,FS_input_noty,J4852,FALSE)=""</f>
        <v>0</v>
      </c>
      <c r="H4852" s="6" t="s">
        <v>2189</v>
      </c>
      <c r="I4852" t="s">
        <v>1954</v>
      </c>
      <c r="J4852">
        <v>6</v>
      </c>
      <c r="L4852" s="26" t="e">
        <f t="shared" si="272"/>
        <v>#VALUE!</v>
      </c>
    </row>
    <row r="4853" spans="1:12" x14ac:dyDescent="0.35">
      <c r="A4853">
        <f t="shared" si="273"/>
        <v>4852</v>
      </c>
      <c r="B4853" t="s">
        <v>102</v>
      </c>
      <c r="C4853" s="109" t="str">
        <f>IF(ISBLANK(K4853),IFERROR(VLOOKUP(I4853,FS_input_data!$C$458:$N$648,Export!J4853,FALSE),""),K4853)</f>
        <v/>
      </c>
      <c r="D4853" s="6"/>
      <c r="E4853" s="6"/>
      <c r="F4853" s="6"/>
      <c r="G4853" s="115" t="b">
        <f>VLOOKUP(I4852,FS_input_noty,J4852,FALSE)=""</f>
        <v>0</v>
      </c>
      <c r="H4853" s="6" t="s">
        <v>2189</v>
      </c>
      <c r="I4853" t="s">
        <v>1561</v>
      </c>
      <c r="J4853" t="s">
        <v>1561</v>
      </c>
      <c r="L4853">
        <f t="shared" si="272"/>
        <v>1</v>
      </c>
    </row>
    <row r="4854" spans="1:12" x14ac:dyDescent="0.35">
      <c r="A4854">
        <f t="shared" si="273"/>
        <v>4853</v>
      </c>
      <c r="B4854" t="s">
        <v>753</v>
      </c>
      <c r="C4854" s="109" t="str">
        <f>IF(ISBLANK(K4854),IFERROR(VLOOKUP(I4854,FS_input_data!$C$458:$N$648,Export!J4854,FALSE),""),K4854)</f>
        <v/>
      </c>
      <c r="D4854" s="6"/>
      <c r="E4854" s="6"/>
      <c r="F4854" s="6"/>
      <c r="G4854" s="115" t="b">
        <f>VLOOKUP(I4852,FS_input_noty,J4852,FALSE)=""</f>
        <v>0</v>
      </c>
      <c r="H4854" s="6" t="s">
        <v>2189</v>
      </c>
      <c r="I4854" t="s">
        <v>1561</v>
      </c>
      <c r="J4854" t="s">
        <v>1561</v>
      </c>
      <c r="L4854" s="26" t="e">
        <f t="shared" si="272"/>
        <v>#VALUE!</v>
      </c>
    </row>
    <row r="4855" spans="1:12" x14ac:dyDescent="0.35">
      <c r="A4855">
        <f t="shared" si="273"/>
        <v>4854</v>
      </c>
      <c r="B4855" t="s">
        <v>742</v>
      </c>
      <c r="C4855" s="109" t="str">
        <f>IF(ISBLANK(K4855),IFERROR(VLOOKUP(I4855,FS_input_data!$C$458:$N$648,Export!J4855,FALSE),""),K4855)</f>
        <v/>
      </c>
      <c r="D4855" s="6"/>
      <c r="E4855" s="6"/>
      <c r="F4855" s="6"/>
      <c r="G4855" s="115" t="b">
        <f>VLOOKUP(I4852,FS_input_noty,J4852,FALSE)=""</f>
        <v>0</v>
      </c>
      <c r="H4855" s="6" t="s">
        <v>2189</v>
      </c>
      <c r="I4855" t="s">
        <v>1561</v>
      </c>
      <c r="J4855" t="s">
        <v>1561</v>
      </c>
      <c r="L4855" s="26" t="e">
        <f t="shared" si="272"/>
        <v>#VALUE!</v>
      </c>
    </row>
    <row r="4856" spans="1:12" x14ac:dyDescent="0.35">
      <c r="A4856">
        <f t="shared" si="273"/>
        <v>4855</v>
      </c>
      <c r="B4856" t="s">
        <v>748</v>
      </c>
      <c r="C4856" s="109" t="str">
        <f>IF(ISBLANK(K4856),IFERROR(VLOOKUP(I4856,FS_input_data!$C$458:$N$648,Export!J4856,FALSE),""),K4856)</f>
        <v/>
      </c>
      <c r="D4856" s="6"/>
      <c r="E4856" s="6"/>
      <c r="F4856" s="6"/>
      <c r="G4856" s="115" t="b">
        <f>VLOOKUP(I4852,FS_input_noty,J4852,FALSE)=""</f>
        <v>0</v>
      </c>
      <c r="H4856" s="6" t="s">
        <v>2189</v>
      </c>
      <c r="I4856" t="s">
        <v>1561</v>
      </c>
      <c r="J4856" t="s">
        <v>1561</v>
      </c>
      <c r="L4856" s="26" t="e">
        <f t="shared" si="272"/>
        <v>#VALUE!</v>
      </c>
    </row>
    <row r="4857" spans="1:12" x14ac:dyDescent="0.35">
      <c r="A4857" s="9">
        <f t="shared" si="273"/>
        <v>4856</v>
      </c>
      <c r="B4857" t="s">
        <v>109</v>
      </c>
      <c r="C4857" s="109">
        <f>IF(ISBLANK(K4857),IFERROR(VLOOKUP(I4857,FS_input_data!$C$458:$N$648,Export!J4857,FALSE),""),K4857)</f>
        <v>28000</v>
      </c>
      <c r="D4857" s="6" t="b">
        <v>1</v>
      </c>
      <c r="E4857" s="6"/>
      <c r="F4857" s="6"/>
      <c r="G4857" s="115" t="b">
        <f>VLOOKUP(I4852,FS_input_noty,J4852,FALSE)=""</f>
        <v>0</v>
      </c>
      <c r="H4857" s="6" t="s">
        <v>2189</v>
      </c>
      <c r="I4857" t="s">
        <v>1954</v>
      </c>
      <c r="J4857">
        <v>7</v>
      </c>
      <c r="L4857" s="26" t="e">
        <f t="shared" si="272"/>
        <v>#VALUE!</v>
      </c>
    </row>
    <row r="4858" spans="1:12" x14ac:dyDescent="0.35">
      <c r="A4858">
        <f t="shared" si="273"/>
        <v>4857</v>
      </c>
      <c r="B4858" t="s">
        <v>110</v>
      </c>
      <c r="C4858" s="109" t="str">
        <f>IF(ISBLANK(K4858),IFERROR(VLOOKUP(I4858,FS_input_data!$C$458:$N$648,Export!J4858,FALSE),""),K4858)</f>
        <v/>
      </c>
      <c r="D4858" s="6"/>
      <c r="E4858" s="6"/>
      <c r="F4858" s="6"/>
      <c r="G4858" s="115" t="b">
        <f>VLOOKUP(I4852,FS_input_noty,J4852,FALSE)=""</f>
        <v>0</v>
      </c>
      <c r="H4858" s="6" t="s">
        <v>2189</v>
      </c>
      <c r="I4858" t="s">
        <v>1561</v>
      </c>
      <c r="J4858" t="s">
        <v>1561</v>
      </c>
      <c r="L4858">
        <f t="shared" si="272"/>
        <v>1</v>
      </c>
    </row>
    <row r="4859" spans="1:12" x14ac:dyDescent="0.35">
      <c r="A4859" s="9">
        <f t="shared" si="273"/>
        <v>4858</v>
      </c>
      <c r="B4859" t="s">
        <v>111</v>
      </c>
      <c r="C4859" s="109">
        <f>IF(ISBLANK(K4859),IFERROR(VLOOKUP(I4859,FS_input_data!$C$458:$N$648,Export!J4859,FALSE),""),K4859)</f>
        <v>14000</v>
      </c>
      <c r="D4859" s="6" t="b">
        <v>0</v>
      </c>
      <c r="E4859" s="6"/>
      <c r="F4859" s="6"/>
      <c r="G4859" s="115" t="b">
        <f>VLOOKUP(I4852,FS_input_noty,J4852,TRUE)=""</f>
        <v>0</v>
      </c>
      <c r="H4859" s="6" t="s">
        <v>2189</v>
      </c>
      <c r="I4859" t="s">
        <v>1954</v>
      </c>
      <c r="J4859">
        <v>8</v>
      </c>
      <c r="L4859" s="26" t="e">
        <f t="shared" si="272"/>
        <v>#VALUE!</v>
      </c>
    </row>
    <row r="4860" spans="1:12" x14ac:dyDescent="0.35">
      <c r="A4860">
        <f t="shared" si="273"/>
        <v>4859</v>
      </c>
      <c r="B4860" t="s">
        <v>112</v>
      </c>
      <c r="C4860" s="109" t="str">
        <f>IF(ISBLANK(K4860),IFERROR(VLOOKUP(I4860,FS_input_data!$C$458:$N$648,Export!J4860,FALSE),""),K4860)</f>
        <v/>
      </c>
      <c r="D4860" s="6"/>
      <c r="E4860" s="6"/>
      <c r="F4860" s="6"/>
      <c r="G4860" s="115" t="b">
        <f>VLOOKUP(I4852,FS_input_noty,J4852,FALSE)=""</f>
        <v>0</v>
      </c>
      <c r="H4860" s="6" t="s">
        <v>2189</v>
      </c>
      <c r="I4860" t="s">
        <v>1561</v>
      </c>
      <c r="J4860" t="s">
        <v>1561</v>
      </c>
      <c r="L4860">
        <f t="shared" si="272"/>
        <v>1</v>
      </c>
    </row>
    <row r="4861" spans="1:12" x14ac:dyDescent="0.35">
      <c r="A4861" s="9">
        <f t="shared" si="273"/>
        <v>4860</v>
      </c>
      <c r="B4861" t="s">
        <v>749</v>
      </c>
      <c r="C4861" s="109">
        <f>IF(ISBLANK(K4861),IFERROR(VLOOKUP(I4861,FS_input_data!$C$458:$N$648,Export!J4861,FALSE),""),K4861)</f>
        <v>14000</v>
      </c>
      <c r="D4861" s="6" t="b">
        <v>0</v>
      </c>
      <c r="E4861" s="6"/>
      <c r="F4861" s="6"/>
      <c r="G4861" s="115" t="b">
        <f>VLOOKUP(I4852,FS_input_noty,J4852,FALSE)=""</f>
        <v>0</v>
      </c>
      <c r="H4861" s="6" t="s">
        <v>2189</v>
      </c>
      <c r="I4861" t="s">
        <v>1954</v>
      </c>
      <c r="J4861">
        <v>9</v>
      </c>
      <c r="L4861" s="26" t="e">
        <f t="shared" si="272"/>
        <v>#VALUE!</v>
      </c>
    </row>
    <row r="4862" spans="1:12" x14ac:dyDescent="0.35">
      <c r="A4862">
        <f t="shared" si="273"/>
        <v>4861</v>
      </c>
      <c r="B4862" t="s">
        <v>750</v>
      </c>
      <c r="C4862" s="109" t="str">
        <f>IF(ISBLANK(K4862),IFERROR(VLOOKUP(I4862,FS_input_data!$C$458:$N$648,Export!J4862,FALSE),""),K4862)</f>
        <v/>
      </c>
      <c r="D4862" s="6"/>
      <c r="E4862" s="6"/>
      <c r="F4862" s="6"/>
      <c r="G4862" s="115" t="b">
        <f>VLOOKUP(I4852,FS_input_noty,J4852,FALSE)=""</f>
        <v>0</v>
      </c>
      <c r="H4862" s="6" t="s">
        <v>2189</v>
      </c>
      <c r="I4862" t="s">
        <v>1561</v>
      </c>
      <c r="J4862" t="s">
        <v>1561</v>
      </c>
      <c r="L4862">
        <f t="shared" si="272"/>
        <v>1</v>
      </c>
    </row>
    <row r="4863" spans="1:12" x14ac:dyDescent="0.35">
      <c r="A4863">
        <f t="shared" si="273"/>
        <v>4862</v>
      </c>
      <c r="B4863" t="s">
        <v>751</v>
      </c>
      <c r="C4863" s="109" t="str">
        <f>IF(ISBLANK(K4863),IFERROR(VLOOKUP(I4863,FS_input_data!$C$458:$N$648,Export!J4863,FALSE),""),K4863)</f>
        <v/>
      </c>
      <c r="D4863" s="6"/>
      <c r="E4863" s="6"/>
      <c r="F4863" s="6"/>
      <c r="G4863" s="115" t="b">
        <f>VLOOKUP(I4852,FS_input_noty,J4852,FALSE)=""</f>
        <v>0</v>
      </c>
      <c r="H4863" s="6" t="s">
        <v>2189</v>
      </c>
      <c r="I4863" t="s">
        <v>1561</v>
      </c>
      <c r="J4863" t="s">
        <v>1561</v>
      </c>
      <c r="L4863">
        <f t="shared" si="272"/>
        <v>1</v>
      </c>
    </row>
    <row r="4864" spans="1:12" x14ac:dyDescent="0.35">
      <c r="A4864">
        <f t="shared" si="273"/>
        <v>4863</v>
      </c>
      <c r="B4864" t="s">
        <v>754</v>
      </c>
      <c r="C4864" s="109" t="str">
        <f>IF(ISBLANK(K4864),IFERROR(VLOOKUP(I4864,FS_input_data!$C$458:$N$648,Export!J4864,FALSE),""),K4864)</f>
        <v/>
      </c>
      <c r="D4864" s="6"/>
      <c r="E4864" s="6"/>
      <c r="F4864" s="6"/>
      <c r="G4864" s="115" t="b">
        <f>VLOOKUP(I4852,FS_input_noty,J4852,FALSE)=""</f>
        <v>0</v>
      </c>
      <c r="H4864" s="6" t="s">
        <v>2189</v>
      </c>
      <c r="I4864" t="s">
        <v>1561</v>
      </c>
      <c r="J4864" t="s">
        <v>1561</v>
      </c>
      <c r="L4864" s="26" t="e">
        <f t="shared" si="272"/>
        <v>#VALUE!</v>
      </c>
    </row>
    <row r="4865" spans="1:12" x14ac:dyDescent="0.35">
      <c r="A4865" s="9">
        <f t="shared" si="273"/>
        <v>4864</v>
      </c>
      <c r="B4865" t="s">
        <v>755</v>
      </c>
      <c r="C4865" s="109">
        <f>IF(ISBLANK(K4865),IFERROR(VLOOKUP(I4865,FS_input_data!$C$458:$N$648,Export!J4865,FALSE),""),K4865)</f>
        <v>72</v>
      </c>
      <c r="D4865" s="6" t="b">
        <v>1</v>
      </c>
      <c r="E4865" s="6"/>
      <c r="F4865" s="6"/>
      <c r="G4865" s="115" t="b">
        <f>VLOOKUP(I4852,FS_input_noty,J4852,FALSE)=""</f>
        <v>0</v>
      </c>
      <c r="H4865" s="6" t="s">
        <v>2189</v>
      </c>
      <c r="I4865" t="s">
        <v>1954</v>
      </c>
      <c r="J4865">
        <v>2</v>
      </c>
      <c r="L4865" s="26" t="e">
        <f t="shared" si="272"/>
        <v>#VALUE!</v>
      </c>
    </row>
    <row r="4866" spans="1:12" x14ac:dyDescent="0.35">
      <c r="A4866">
        <f t="shared" si="273"/>
        <v>4865</v>
      </c>
      <c r="B4866" t="s">
        <v>756</v>
      </c>
      <c r="C4866" s="109" t="str">
        <f>IF(ISBLANK(K4866),IFERROR(VLOOKUP(I4866,FS_input_data!$C$458:$N$648,Export!J4866,FALSE),""),K4866)</f>
        <v/>
      </c>
      <c r="D4866" s="6"/>
      <c r="E4866" s="6"/>
      <c r="F4866" s="6"/>
      <c r="G4866" s="115" t="b">
        <f>VLOOKUP(I4852,FS_input_noty,J4852,FALSE)=""</f>
        <v>0</v>
      </c>
      <c r="H4866" s="6" t="s">
        <v>2189</v>
      </c>
      <c r="I4866" t="s">
        <v>1561</v>
      </c>
      <c r="J4866" t="s">
        <v>1561</v>
      </c>
      <c r="L4866">
        <f t="shared" ref="L4866:L4929" si="276">FIND("/",B4866)</f>
        <v>1</v>
      </c>
    </row>
    <row r="4867" spans="1:12" x14ac:dyDescent="0.35">
      <c r="A4867" s="9">
        <f t="shared" ref="A4867:A4930" si="277">A4866+1</f>
        <v>4866</v>
      </c>
      <c r="B4867" t="s">
        <v>757</v>
      </c>
      <c r="C4867" s="109">
        <f>IF(ISBLANK(K4867),IFERROR(VLOOKUP(I4867,FS_input_data!$C$458:$N$648,Export!J4867,FALSE),""),K4867)</f>
        <v>172</v>
      </c>
      <c r="D4867" s="6" t="b">
        <v>0</v>
      </c>
      <c r="E4867" s="6"/>
      <c r="F4867" s="6"/>
      <c r="G4867" s="115" t="b">
        <f>VLOOKUP(I4852,FS_input_noty,J4852,FALSE)=""</f>
        <v>0</v>
      </c>
      <c r="H4867" s="6" t="s">
        <v>2189</v>
      </c>
      <c r="I4867" t="s">
        <v>1954</v>
      </c>
      <c r="J4867">
        <v>3</v>
      </c>
      <c r="L4867" s="26" t="e">
        <f t="shared" si="276"/>
        <v>#VALUE!</v>
      </c>
    </row>
    <row r="4868" spans="1:12" x14ac:dyDescent="0.35">
      <c r="A4868">
        <f t="shared" si="277"/>
        <v>4867</v>
      </c>
      <c r="B4868" t="s">
        <v>758</v>
      </c>
      <c r="C4868" s="109" t="str">
        <f>IF(ISBLANK(K4868),IFERROR(VLOOKUP(I4868,FS_input_data!$C$458:$N$648,Export!J4868,FALSE),""),K4868)</f>
        <v/>
      </c>
      <c r="D4868" s="6"/>
      <c r="E4868" s="6"/>
      <c r="F4868" s="6"/>
      <c r="G4868" s="115" t="b">
        <f>VLOOKUP(I4852,FS_input_noty,J4852,FALSE)=""</f>
        <v>0</v>
      </c>
      <c r="H4868" s="6" t="s">
        <v>2189</v>
      </c>
      <c r="I4868" t="s">
        <v>1561</v>
      </c>
      <c r="J4868" t="s">
        <v>1561</v>
      </c>
      <c r="L4868">
        <f t="shared" si="276"/>
        <v>1</v>
      </c>
    </row>
    <row r="4869" spans="1:12" x14ac:dyDescent="0.35">
      <c r="A4869" s="9">
        <f t="shared" si="277"/>
        <v>4868</v>
      </c>
      <c r="B4869" t="s">
        <v>759</v>
      </c>
      <c r="C4869" s="109">
        <f>IF(ISBLANK(K4869),IFERROR(VLOOKUP(I4869,FS_input_data!$C$458:$N$648,Export!J4869,FALSE),""),K4869)</f>
        <v>272</v>
      </c>
      <c r="D4869" s="6" t="b">
        <v>0</v>
      </c>
      <c r="E4869" s="6"/>
      <c r="F4869" s="6"/>
      <c r="G4869" s="115" t="b">
        <f>VLOOKUP(I4852,FS_input_noty,J4852,FALSE)=""</f>
        <v>0</v>
      </c>
      <c r="H4869" s="6" t="s">
        <v>2189</v>
      </c>
      <c r="I4869" t="s">
        <v>1954</v>
      </c>
      <c r="J4869">
        <v>4</v>
      </c>
      <c r="L4869" s="26" t="e">
        <f t="shared" si="276"/>
        <v>#VALUE!</v>
      </c>
    </row>
    <row r="4870" spans="1:12" x14ac:dyDescent="0.35">
      <c r="A4870">
        <f t="shared" si="277"/>
        <v>4869</v>
      </c>
      <c r="B4870" t="s">
        <v>760</v>
      </c>
      <c r="C4870" s="109" t="str">
        <f>IF(ISBLANK(K4870),IFERROR(VLOOKUP(I4870,FS_input_data!$C$458:$N$648,Export!J4870,FALSE),""),K4870)</f>
        <v/>
      </c>
      <c r="D4870" s="6"/>
      <c r="E4870" s="6"/>
      <c r="F4870" s="6"/>
      <c r="G4870" s="115" t="b">
        <f>VLOOKUP(I4852,FS_input_noty,J4852,FALSE)=""</f>
        <v>0</v>
      </c>
      <c r="H4870" s="6" t="s">
        <v>2189</v>
      </c>
      <c r="I4870" t="s">
        <v>1561</v>
      </c>
      <c r="J4870" t="s">
        <v>1561</v>
      </c>
      <c r="L4870">
        <f t="shared" si="276"/>
        <v>1</v>
      </c>
    </row>
    <row r="4871" spans="1:12" x14ac:dyDescent="0.35">
      <c r="A4871" s="9">
        <f t="shared" si="277"/>
        <v>4870</v>
      </c>
      <c r="B4871" t="s">
        <v>761</v>
      </c>
      <c r="C4871" s="109" t="str">
        <f>IF(ISBLANK(K4871),IFERROR(VLOOKUP(I4871,FS_input_data!$C$458:$N$648,Export!J4871,FALSE),""),K4871)</f>
        <v>f</v>
      </c>
      <c r="D4871" s="6" t="b">
        <v>0</v>
      </c>
      <c r="E4871" s="6"/>
      <c r="F4871" s="6"/>
      <c r="G4871" s="115" t="b">
        <f>VLOOKUP(I4852,FS_input_noty,J4852,FALSE)=""</f>
        <v>0</v>
      </c>
      <c r="H4871" s="6" t="s">
        <v>2189</v>
      </c>
      <c r="I4871" t="s">
        <v>1954</v>
      </c>
      <c r="J4871">
        <v>5</v>
      </c>
      <c r="L4871" s="26" t="e">
        <f t="shared" si="276"/>
        <v>#VALUE!</v>
      </c>
    </row>
    <row r="4872" spans="1:12" x14ac:dyDescent="0.35">
      <c r="A4872">
        <f t="shared" si="277"/>
        <v>4871</v>
      </c>
      <c r="B4872" t="s">
        <v>762</v>
      </c>
      <c r="C4872" s="109" t="str">
        <f>IF(ISBLANK(K4872),IFERROR(VLOOKUP(I4872,FS_input_data!$C$458:$N$648,Export!J4872,FALSE),""),K4872)</f>
        <v/>
      </c>
      <c r="D4872" s="6"/>
      <c r="E4872" s="6"/>
      <c r="F4872" s="6"/>
      <c r="G4872" s="115" t="b">
        <f>VLOOKUP(I4852,FS_input_noty,J4852,FALSE)=""</f>
        <v>0</v>
      </c>
      <c r="H4872" s="6" t="s">
        <v>2189</v>
      </c>
      <c r="I4872" t="s">
        <v>1561</v>
      </c>
      <c r="J4872" t="s">
        <v>1561</v>
      </c>
      <c r="L4872">
        <f t="shared" si="276"/>
        <v>1</v>
      </c>
    </row>
    <row r="4873" spans="1:12" x14ac:dyDescent="0.35">
      <c r="A4873">
        <f t="shared" si="277"/>
        <v>4872</v>
      </c>
      <c r="B4873" t="s">
        <v>763</v>
      </c>
      <c r="C4873" s="109" t="str">
        <f>IF(ISBLANK(K4873),IFERROR(VLOOKUP(I4873,FS_input_data!$C$458:$N$648,Export!J4873,FALSE),""),K4873)</f>
        <v/>
      </c>
      <c r="D4873" s="6"/>
      <c r="E4873" s="6"/>
      <c r="F4873" s="6"/>
      <c r="G4873" s="115" t="b">
        <f>VLOOKUP(I4852,FS_input_noty,J4852,FALSE)=""</f>
        <v>0</v>
      </c>
      <c r="H4873" s="6" t="s">
        <v>2189</v>
      </c>
      <c r="I4873" t="s">
        <v>1561</v>
      </c>
      <c r="J4873" t="s">
        <v>1561</v>
      </c>
      <c r="L4873">
        <f t="shared" si="276"/>
        <v>1</v>
      </c>
    </row>
    <row r="4874" spans="1:12" x14ac:dyDescent="0.35">
      <c r="A4874">
        <f t="shared" si="277"/>
        <v>4873</v>
      </c>
      <c r="B4874" t="s">
        <v>743</v>
      </c>
      <c r="C4874" s="109" t="str">
        <f>IF(ISBLANK(K4874),IFERROR(VLOOKUP(I4874,FS_input_data!$C$458:$N$648,Export!J4874,FALSE),""),K4874)</f>
        <v/>
      </c>
      <c r="D4874" s="6"/>
      <c r="E4874" s="6"/>
      <c r="F4874" s="6"/>
      <c r="G4874" s="115" t="b">
        <f>VLOOKUP(I4852,FS_input_noty,J4852,FALSE)=""</f>
        <v>0</v>
      </c>
      <c r="H4874" s="6" t="s">
        <v>2189</v>
      </c>
      <c r="I4874" t="s">
        <v>1561</v>
      </c>
      <c r="J4874" t="s">
        <v>1561</v>
      </c>
      <c r="L4874">
        <f t="shared" si="276"/>
        <v>1</v>
      </c>
    </row>
    <row r="4875" spans="1:12" x14ac:dyDescent="0.35">
      <c r="A4875">
        <f t="shared" si="277"/>
        <v>4874</v>
      </c>
      <c r="B4875" t="s">
        <v>744</v>
      </c>
      <c r="C4875" s="109" t="str">
        <f>IF(ISBLANK(K4875),IFERROR(VLOOKUP(I4875,FS_input_data!$C$458:$N$648,Export!J4875,FALSE),""),K4875)</f>
        <v/>
      </c>
      <c r="D4875" s="6"/>
      <c r="E4875" s="6"/>
      <c r="F4875" s="6"/>
      <c r="G4875" s="115" t="b">
        <f t="shared" ref="G4875:G4882" si="278">RP_tax</f>
        <v>1</v>
      </c>
      <c r="H4875" s="6" t="s">
        <v>2189</v>
      </c>
      <c r="I4875" t="s">
        <v>1561</v>
      </c>
      <c r="J4875" t="s">
        <v>1561</v>
      </c>
      <c r="L4875" s="26" t="e">
        <f t="shared" si="276"/>
        <v>#VALUE!</v>
      </c>
    </row>
    <row r="4876" spans="1:12" x14ac:dyDescent="0.35">
      <c r="A4876" s="9">
        <f t="shared" si="277"/>
        <v>4875</v>
      </c>
      <c r="B4876" t="s">
        <v>109</v>
      </c>
      <c r="C4876" s="109">
        <f>IF(ISBLANK(K4876),IFERROR(VLOOKUP(I4876,FS_input_data!$C$458:$N$648,Export!J4876,FALSE),""),K4876)</f>
        <v>28000</v>
      </c>
      <c r="D4876" s="6" t="b">
        <v>1</v>
      </c>
      <c r="E4876" s="6"/>
      <c r="F4876" s="6"/>
      <c r="G4876" s="115" t="b">
        <f t="shared" si="278"/>
        <v>1</v>
      </c>
      <c r="H4876" s="6" t="s">
        <v>2189</v>
      </c>
      <c r="I4876" t="s">
        <v>1954</v>
      </c>
      <c r="J4876">
        <v>10</v>
      </c>
      <c r="L4876" s="26" t="e">
        <f t="shared" si="276"/>
        <v>#VALUE!</v>
      </c>
    </row>
    <row r="4877" spans="1:12" x14ac:dyDescent="0.35">
      <c r="A4877">
        <f t="shared" si="277"/>
        <v>4876</v>
      </c>
      <c r="B4877" t="s">
        <v>110</v>
      </c>
      <c r="C4877" s="109" t="str">
        <f>IF(ISBLANK(K4877),IFERROR(VLOOKUP(I4877,FS_input_data!$C$458:$N$648,Export!J4877,FALSE),""),K4877)</f>
        <v/>
      </c>
      <c r="D4877" s="6"/>
      <c r="E4877" s="6"/>
      <c r="F4877" s="6"/>
      <c r="G4877" s="115" t="b">
        <f t="shared" si="278"/>
        <v>1</v>
      </c>
      <c r="H4877" s="6" t="s">
        <v>2189</v>
      </c>
      <c r="I4877" t="s">
        <v>1561</v>
      </c>
      <c r="J4877" t="s">
        <v>1561</v>
      </c>
      <c r="L4877">
        <f t="shared" si="276"/>
        <v>1</v>
      </c>
    </row>
    <row r="4878" spans="1:12" x14ac:dyDescent="0.35">
      <c r="A4878" s="9">
        <f t="shared" si="277"/>
        <v>4877</v>
      </c>
      <c r="B4878" t="s">
        <v>111</v>
      </c>
      <c r="C4878" s="109">
        <f>IF(ISBLANK(K4878),IFERROR(VLOOKUP(I4878,FS_input_data!$C$458:$N$648,Export!J4878,FALSE),""),K4878)</f>
        <v>14000</v>
      </c>
      <c r="D4878" s="6" t="b">
        <v>0</v>
      </c>
      <c r="E4878" s="6"/>
      <c r="F4878" s="6"/>
      <c r="G4878" s="115" t="b">
        <f t="shared" si="278"/>
        <v>1</v>
      </c>
      <c r="H4878" s="6" t="s">
        <v>2189</v>
      </c>
      <c r="I4878" t="s">
        <v>1954</v>
      </c>
      <c r="J4878">
        <v>11</v>
      </c>
      <c r="L4878" s="26" t="e">
        <f t="shared" si="276"/>
        <v>#VALUE!</v>
      </c>
    </row>
    <row r="4879" spans="1:12" x14ac:dyDescent="0.35">
      <c r="A4879">
        <f t="shared" si="277"/>
        <v>4878</v>
      </c>
      <c r="B4879" t="s">
        <v>112</v>
      </c>
      <c r="C4879" s="109" t="str">
        <f>IF(ISBLANK(K4879),IFERROR(VLOOKUP(I4879,FS_input_data!$C$458:$N$648,Export!J4879,FALSE),""),K4879)</f>
        <v/>
      </c>
      <c r="D4879" s="6"/>
      <c r="E4879" s="6"/>
      <c r="F4879" s="6"/>
      <c r="G4879" s="115" t="b">
        <f t="shared" si="278"/>
        <v>1</v>
      </c>
      <c r="H4879" s="6" t="s">
        <v>2189</v>
      </c>
      <c r="I4879" t="s">
        <v>1561</v>
      </c>
      <c r="J4879" t="s">
        <v>1561</v>
      </c>
      <c r="L4879">
        <f t="shared" si="276"/>
        <v>1</v>
      </c>
    </row>
    <row r="4880" spans="1:12" x14ac:dyDescent="0.35">
      <c r="A4880" s="9">
        <f t="shared" si="277"/>
        <v>4879</v>
      </c>
      <c r="B4880" t="s">
        <v>749</v>
      </c>
      <c r="C4880" s="109">
        <f>IF(ISBLANK(K4880),IFERROR(VLOOKUP(I4880,FS_input_data!$C$458:$N$648,Export!J4880,FALSE),""),K4880)</f>
        <v>14000</v>
      </c>
      <c r="D4880" s="6" t="b">
        <v>0</v>
      </c>
      <c r="E4880" s="6"/>
      <c r="F4880" s="6"/>
      <c r="G4880" s="115" t="b">
        <f t="shared" si="278"/>
        <v>1</v>
      </c>
      <c r="H4880" s="6" t="s">
        <v>2189</v>
      </c>
      <c r="I4880" t="s">
        <v>1954</v>
      </c>
      <c r="J4880">
        <v>12</v>
      </c>
      <c r="L4880" s="26" t="e">
        <f t="shared" si="276"/>
        <v>#VALUE!</v>
      </c>
    </row>
    <row r="4881" spans="1:12" x14ac:dyDescent="0.35">
      <c r="A4881">
        <f t="shared" si="277"/>
        <v>4880</v>
      </c>
      <c r="B4881" t="s">
        <v>750</v>
      </c>
      <c r="C4881" s="109" t="str">
        <f>IF(ISBLANK(K4881),IFERROR(VLOOKUP(I4881,FS_input_data!$C$458:$N$648,Export!J4881,FALSE),""),K4881)</f>
        <v/>
      </c>
      <c r="D4881" s="6"/>
      <c r="E4881" s="6"/>
      <c r="F4881" s="6"/>
      <c r="G4881" s="115" t="b">
        <f t="shared" si="278"/>
        <v>1</v>
      </c>
      <c r="H4881" s="6" t="s">
        <v>2189</v>
      </c>
      <c r="I4881" t="s">
        <v>1561</v>
      </c>
      <c r="J4881" t="s">
        <v>1561</v>
      </c>
      <c r="L4881">
        <f t="shared" si="276"/>
        <v>1</v>
      </c>
    </row>
    <row r="4882" spans="1:12" x14ac:dyDescent="0.35">
      <c r="A4882">
        <f t="shared" si="277"/>
        <v>4881</v>
      </c>
      <c r="B4882" t="s">
        <v>745</v>
      </c>
      <c r="C4882" s="109" t="str">
        <f>IF(ISBLANK(K4882),IFERROR(VLOOKUP(I4882,FS_input_data!$C$458:$N$648,Export!J4882,FALSE),""),K4882)</f>
        <v/>
      </c>
      <c r="D4882" s="6"/>
      <c r="E4882" s="6"/>
      <c r="F4882" s="6"/>
      <c r="G4882" s="115" t="b">
        <f t="shared" si="278"/>
        <v>1</v>
      </c>
      <c r="H4882" s="6" t="s">
        <v>2189</v>
      </c>
      <c r="I4882" t="s">
        <v>1561</v>
      </c>
      <c r="J4882" t="s">
        <v>1561</v>
      </c>
      <c r="L4882">
        <f t="shared" si="276"/>
        <v>1</v>
      </c>
    </row>
    <row r="4883" spans="1:12" x14ac:dyDescent="0.35">
      <c r="A4883">
        <f t="shared" si="277"/>
        <v>4882</v>
      </c>
      <c r="B4883" t="s">
        <v>764</v>
      </c>
      <c r="C4883" s="109" t="str">
        <f>IF(ISBLANK(K4883),IFERROR(VLOOKUP(I4883,FS_input_data!$C$458:$N$648,Export!J4883,FALSE),""),K4883)</f>
        <v/>
      </c>
      <c r="D4883" s="6"/>
      <c r="E4883" s="6"/>
      <c r="F4883" s="6"/>
      <c r="G4883" s="115" t="b">
        <f>VLOOKUP(I4852,FS_input_noty,J4852,FALSE)=""</f>
        <v>0</v>
      </c>
      <c r="H4883" s="6" t="s">
        <v>2189</v>
      </c>
      <c r="I4883" t="s">
        <v>1561</v>
      </c>
      <c r="J4883" t="s">
        <v>1561</v>
      </c>
      <c r="L4883">
        <f t="shared" si="276"/>
        <v>1</v>
      </c>
    </row>
    <row r="4884" spans="1:12" x14ac:dyDescent="0.35">
      <c r="A4884">
        <f t="shared" si="277"/>
        <v>4883</v>
      </c>
      <c r="B4884" t="s">
        <v>765</v>
      </c>
      <c r="C4884" s="109" t="str">
        <f>IF(ISBLANK(K4884),IFERROR(VLOOKUP(I4884,FS_input_data!$C$458:$N$648,Export!J4884,FALSE),""),K4884)</f>
        <v/>
      </c>
      <c r="D4884" s="6"/>
      <c r="E4884" s="6"/>
      <c r="F4884" s="6"/>
      <c r="G4884" s="115" t="b">
        <f>VLOOKUP(I4852,FS_input_noty,J4852,FALSE)=""</f>
        <v>0</v>
      </c>
      <c r="H4884" s="6" t="s">
        <v>2189</v>
      </c>
      <c r="I4884" t="s">
        <v>1561</v>
      </c>
      <c r="J4884" t="s">
        <v>1561</v>
      </c>
      <c r="L4884">
        <f t="shared" si="276"/>
        <v>1</v>
      </c>
    </row>
    <row r="4885" spans="1:12" x14ac:dyDescent="0.35">
      <c r="A4885">
        <f t="shared" si="277"/>
        <v>4884</v>
      </c>
      <c r="B4885" t="s">
        <v>752</v>
      </c>
      <c r="C4885" s="109" t="str">
        <f>IF(ISBLANK(K4885),IFERROR(VLOOKUP(I4885,FS_input_data!$C$458:$N$648,Export!J4885,FALSE),""),K4885)</f>
        <v/>
      </c>
      <c r="D4885" s="6"/>
      <c r="E4885" s="6"/>
      <c r="F4885" s="6"/>
      <c r="G4885" s="115" t="b">
        <f>VLOOKUP(I4886,FS_input_noty,J4886,FALSE)=""</f>
        <v>0</v>
      </c>
      <c r="H4885" s="6" t="s">
        <v>2189</v>
      </c>
      <c r="I4885" t="s">
        <v>1561</v>
      </c>
      <c r="J4885" t="s">
        <v>1561</v>
      </c>
      <c r="L4885" s="26" t="e">
        <f t="shared" si="276"/>
        <v>#VALUE!</v>
      </c>
    </row>
    <row r="4886" spans="1:12" x14ac:dyDescent="0.35">
      <c r="A4886" s="9">
        <f t="shared" si="277"/>
        <v>4885</v>
      </c>
      <c r="B4886" t="s">
        <v>101</v>
      </c>
      <c r="C4886" s="109" t="str">
        <f>IF(ISBLANK(K4886),IFERROR(VLOOKUP(I4886,FS_input_data!$C$458:$N$648,Export!J4886,FALSE),""),K4886)</f>
        <v>OC50</v>
      </c>
      <c r="D4886" s="6" t="b">
        <v>1</v>
      </c>
      <c r="E4886" s="6"/>
      <c r="F4886" s="6"/>
      <c r="G4886" s="115" t="b">
        <f>VLOOKUP(I4886,FS_input_noty,J4886,FALSE)=""</f>
        <v>0</v>
      </c>
      <c r="H4886" s="6" t="s">
        <v>2189</v>
      </c>
      <c r="I4886" t="s">
        <v>1956</v>
      </c>
      <c r="J4886">
        <v>6</v>
      </c>
      <c r="L4886" s="26" t="e">
        <f t="shared" si="276"/>
        <v>#VALUE!</v>
      </c>
    </row>
    <row r="4887" spans="1:12" x14ac:dyDescent="0.35">
      <c r="A4887">
        <f t="shared" si="277"/>
        <v>4886</v>
      </c>
      <c r="B4887" t="s">
        <v>102</v>
      </c>
      <c r="C4887" s="109" t="str">
        <f>IF(ISBLANK(K4887),IFERROR(VLOOKUP(I4887,FS_input_data!$C$458:$N$648,Export!J4887,FALSE),""),K4887)</f>
        <v/>
      </c>
      <c r="D4887" s="6"/>
      <c r="E4887" s="6"/>
      <c r="F4887" s="6"/>
      <c r="G4887" s="115" t="b">
        <f>VLOOKUP(I4886,FS_input_noty,J4886,FALSE)=""</f>
        <v>0</v>
      </c>
      <c r="H4887" s="6" t="s">
        <v>2189</v>
      </c>
      <c r="I4887" t="s">
        <v>1561</v>
      </c>
      <c r="J4887" t="s">
        <v>1561</v>
      </c>
      <c r="L4887">
        <f t="shared" si="276"/>
        <v>1</v>
      </c>
    </row>
    <row r="4888" spans="1:12" x14ac:dyDescent="0.35">
      <c r="A4888">
        <f t="shared" si="277"/>
        <v>4887</v>
      </c>
      <c r="B4888" t="s">
        <v>753</v>
      </c>
      <c r="C4888" s="109" t="str">
        <f>IF(ISBLANK(K4888),IFERROR(VLOOKUP(I4888,FS_input_data!$C$458:$N$648,Export!J4888,FALSE),""),K4888)</f>
        <v/>
      </c>
      <c r="D4888" s="6"/>
      <c r="E4888" s="6"/>
      <c r="F4888" s="6"/>
      <c r="G4888" s="115" t="b">
        <f>VLOOKUP(I4886,FS_input_noty,J4886,FALSE)=""</f>
        <v>0</v>
      </c>
      <c r="H4888" s="6" t="s">
        <v>2189</v>
      </c>
      <c r="I4888" t="s">
        <v>1561</v>
      </c>
      <c r="J4888" t="s">
        <v>1561</v>
      </c>
      <c r="L4888" s="26" t="e">
        <f t="shared" si="276"/>
        <v>#VALUE!</v>
      </c>
    </row>
    <row r="4889" spans="1:12" x14ac:dyDescent="0.35">
      <c r="A4889">
        <f t="shared" si="277"/>
        <v>4888</v>
      </c>
      <c r="B4889" t="s">
        <v>742</v>
      </c>
      <c r="C4889" s="109" t="str">
        <f>IF(ISBLANK(K4889),IFERROR(VLOOKUP(I4889,FS_input_data!$C$458:$N$648,Export!J4889,FALSE),""),K4889)</f>
        <v/>
      </c>
      <c r="D4889" s="6"/>
      <c r="E4889" s="6"/>
      <c r="F4889" s="6"/>
      <c r="G4889" s="115" t="b">
        <f>VLOOKUP(I4886,FS_input_noty,J4886,FALSE)=""</f>
        <v>0</v>
      </c>
      <c r="H4889" s="6" t="s">
        <v>2189</v>
      </c>
      <c r="I4889" t="s">
        <v>1561</v>
      </c>
      <c r="J4889" t="s">
        <v>1561</v>
      </c>
      <c r="L4889" s="26" t="e">
        <f t="shared" si="276"/>
        <v>#VALUE!</v>
      </c>
    </row>
    <row r="4890" spans="1:12" x14ac:dyDescent="0.35">
      <c r="A4890">
        <f t="shared" si="277"/>
        <v>4889</v>
      </c>
      <c r="B4890" t="s">
        <v>748</v>
      </c>
      <c r="C4890" s="109" t="str">
        <f>IF(ISBLANK(K4890),IFERROR(VLOOKUP(I4890,FS_input_data!$C$458:$N$648,Export!J4890,FALSE),""),K4890)</f>
        <v/>
      </c>
      <c r="D4890" s="6"/>
      <c r="E4890" s="6"/>
      <c r="F4890" s="6"/>
      <c r="G4890" s="115" t="b">
        <f>VLOOKUP(I4886,FS_input_noty,J4886,FALSE)=""</f>
        <v>0</v>
      </c>
      <c r="H4890" s="6" t="s">
        <v>2189</v>
      </c>
      <c r="I4890" t="s">
        <v>1561</v>
      </c>
      <c r="J4890" t="s">
        <v>1561</v>
      </c>
      <c r="L4890" s="26" t="e">
        <f t="shared" si="276"/>
        <v>#VALUE!</v>
      </c>
    </row>
    <row r="4891" spans="1:12" x14ac:dyDescent="0.35">
      <c r="A4891" s="9">
        <f t="shared" si="277"/>
        <v>4890</v>
      </c>
      <c r="B4891" t="s">
        <v>109</v>
      </c>
      <c r="C4891" s="109">
        <f>IF(ISBLANK(K4891),IFERROR(VLOOKUP(I4891,FS_input_data!$C$458:$N$648,Export!J4891,FALSE),""),K4891)</f>
        <v>29000</v>
      </c>
      <c r="D4891" s="6" t="b">
        <v>1</v>
      </c>
      <c r="E4891" s="6"/>
      <c r="F4891" s="6"/>
      <c r="G4891" s="115" t="b">
        <f>VLOOKUP(I4886,FS_input_noty,J4886,FALSE)=""</f>
        <v>0</v>
      </c>
      <c r="H4891" s="6" t="s">
        <v>2189</v>
      </c>
      <c r="I4891" t="s">
        <v>1956</v>
      </c>
      <c r="J4891">
        <v>7</v>
      </c>
      <c r="L4891" s="26" t="e">
        <f t="shared" si="276"/>
        <v>#VALUE!</v>
      </c>
    </row>
    <row r="4892" spans="1:12" x14ac:dyDescent="0.35">
      <c r="A4892">
        <f t="shared" si="277"/>
        <v>4891</v>
      </c>
      <c r="B4892" t="s">
        <v>110</v>
      </c>
      <c r="C4892" s="109" t="str">
        <f>IF(ISBLANK(K4892),IFERROR(VLOOKUP(I4892,FS_input_data!$C$458:$N$648,Export!J4892,FALSE),""),K4892)</f>
        <v/>
      </c>
      <c r="D4892" s="6"/>
      <c r="E4892" s="6"/>
      <c r="F4892" s="6"/>
      <c r="G4892" s="115" t="b">
        <f>VLOOKUP(I4886,FS_input_noty,J4886,FALSE)=""</f>
        <v>0</v>
      </c>
      <c r="H4892" s="6" t="s">
        <v>2189</v>
      </c>
      <c r="I4892" t="s">
        <v>1561</v>
      </c>
      <c r="J4892" t="s">
        <v>1561</v>
      </c>
      <c r="L4892">
        <f t="shared" si="276"/>
        <v>1</v>
      </c>
    </row>
    <row r="4893" spans="1:12" x14ac:dyDescent="0.35">
      <c r="A4893" s="9">
        <f t="shared" si="277"/>
        <v>4892</v>
      </c>
      <c r="B4893" t="s">
        <v>111</v>
      </c>
      <c r="C4893" s="109">
        <f>IF(ISBLANK(K4893),IFERROR(VLOOKUP(I4893,FS_input_data!$C$458:$N$648,Export!J4893,FALSE),""),K4893)</f>
        <v>14500</v>
      </c>
      <c r="D4893" s="6" t="b">
        <v>0</v>
      </c>
      <c r="E4893" s="6"/>
      <c r="F4893" s="6"/>
      <c r="G4893" s="115" t="b">
        <f>VLOOKUP(I4886,FS_input_noty,J4886,TRUE)=""</f>
        <v>0</v>
      </c>
      <c r="H4893" s="6" t="s">
        <v>2189</v>
      </c>
      <c r="I4893" t="s">
        <v>1956</v>
      </c>
      <c r="J4893">
        <v>8</v>
      </c>
      <c r="L4893" s="26" t="e">
        <f t="shared" si="276"/>
        <v>#VALUE!</v>
      </c>
    </row>
    <row r="4894" spans="1:12" x14ac:dyDescent="0.35">
      <c r="A4894">
        <f t="shared" si="277"/>
        <v>4893</v>
      </c>
      <c r="B4894" t="s">
        <v>112</v>
      </c>
      <c r="C4894" s="109" t="str">
        <f>IF(ISBLANK(K4894),IFERROR(VLOOKUP(I4894,FS_input_data!$C$458:$N$648,Export!J4894,FALSE),""),K4894)</f>
        <v/>
      </c>
      <c r="D4894" s="6"/>
      <c r="E4894" s="6"/>
      <c r="F4894" s="6"/>
      <c r="G4894" s="115" t="b">
        <f>VLOOKUP(I4886,FS_input_noty,J4886,FALSE)=""</f>
        <v>0</v>
      </c>
      <c r="H4894" s="6" t="s">
        <v>2189</v>
      </c>
      <c r="I4894" t="s">
        <v>1561</v>
      </c>
      <c r="J4894" t="s">
        <v>1561</v>
      </c>
      <c r="L4894">
        <f t="shared" si="276"/>
        <v>1</v>
      </c>
    </row>
    <row r="4895" spans="1:12" x14ac:dyDescent="0.35">
      <c r="A4895" s="9">
        <f t="shared" si="277"/>
        <v>4894</v>
      </c>
      <c r="B4895" t="s">
        <v>749</v>
      </c>
      <c r="C4895" s="109">
        <f>IF(ISBLANK(K4895),IFERROR(VLOOKUP(I4895,FS_input_data!$C$458:$N$648,Export!J4895,FALSE),""),K4895)</f>
        <v>14500</v>
      </c>
      <c r="D4895" s="6" t="b">
        <v>0</v>
      </c>
      <c r="E4895" s="6"/>
      <c r="F4895" s="6"/>
      <c r="G4895" s="115" t="b">
        <f>VLOOKUP(I4886,FS_input_noty,J4886,FALSE)=""</f>
        <v>0</v>
      </c>
      <c r="H4895" s="6" t="s">
        <v>2189</v>
      </c>
      <c r="I4895" t="s">
        <v>1956</v>
      </c>
      <c r="J4895">
        <v>9</v>
      </c>
      <c r="L4895" s="26" t="e">
        <f t="shared" si="276"/>
        <v>#VALUE!</v>
      </c>
    </row>
    <row r="4896" spans="1:12" x14ac:dyDescent="0.35">
      <c r="A4896">
        <f t="shared" si="277"/>
        <v>4895</v>
      </c>
      <c r="B4896" t="s">
        <v>750</v>
      </c>
      <c r="C4896" s="109" t="str">
        <f>IF(ISBLANK(K4896),IFERROR(VLOOKUP(I4896,FS_input_data!$C$458:$N$648,Export!J4896,FALSE),""),K4896)</f>
        <v/>
      </c>
      <c r="D4896" s="6"/>
      <c r="E4896" s="6"/>
      <c r="F4896" s="6"/>
      <c r="G4896" s="115" t="b">
        <f>VLOOKUP(I4886,FS_input_noty,J4886,FALSE)=""</f>
        <v>0</v>
      </c>
      <c r="H4896" s="6" t="s">
        <v>2189</v>
      </c>
      <c r="I4896" t="s">
        <v>1561</v>
      </c>
      <c r="J4896" t="s">
        <v>1561</v>
      </c>
      <c r="L4896">
        <f t="shared" si="276"/>
        <v>1</v>
      </c>
    </row>
    <row r="4897" spans="1:12" x14ac:dyDescent="0.35">
      <c r="A4897">
        <f t="shared" si="277"/>
        <v>4896</v>
      </c>
      <c r="B4897" t="s">
        <v>751</v>
      </c>
      <c r="C4897" s="109" t="str">
        <f>IF(ISBLANK(K4897),IFERROR(VLOOKUP(I4897,FS_input_data!$C$458:$N$648,Export!J4897,FALSE),""),K4897)</f>
        <v/>
      </c>
      <c r="D4897" s="6"/>
      <c r="E4897" s="6"/>
      <c r="F4897" s="6"/>
      <c r="G4897" s="115" t="b">
        <f>VLOOKUP(I4886,FS_input_noty,J4886,FALSE)=""</f>
        <v>0</v>
      </c>
      <c r="H4897" s="6" t="s">
        <v>2189</v>
      </c>
      <c r="I4897" t="s">
        <v>1561</v>
      </c>
      <c r="J4897" t="s">
        <v>1561</v>
      </c>
      <c r="L4897">
        <f t="shared" si="276"/>
        <v>1</v>
      </c>
    </row>
    <row r="4898" spans="1:12" x14ac:dyDescent="0.35">
      <c r="A4898">
        <f t="shared" si="277"/>
        <v>4897</v>
      </c>
      <c r="B4898" t="s">
        <v>754</v>
      </c>
      <c r="C4898" s="109" t="str">
        <f>IF(ISBLANK(K4898),IFERROR(VLOOKUP(I4898,FS_input_data!$C$458:$N$648,Export!J4898,FALSE),""),K4898)</f>
        <v/>
      </c>
      <c r="D4898" s="6"/>
      <c r="E4898" s="6"/>
      <c r="F4898" s="6"/>
      <c r="G4898" s="115" t="b">
        <f>VLOOKUP(I4886,FS_input_noty,J4886,FALSE)=""</f>
        <v>0</v>
      </c>
      <c r="H4898" s="6" t="s">
        <v>2189</v>
      </c>
      <c r="I4898" t="s">
        <v>1561</v>
      </c>
      <c r="J4898" t="s">
        <v>1561</v>
      </c>
      <c r="L4898" s="26" t="e">
        <f t="shared" si="276"/>
        <v>#VALUE!</v>
      </c>
    </row>
    <row r="4899" spans="1:12" x14ac:dyDescent="0.35">
      <c r="A4899" s="9">
        <f t="shared" si="277"/>
        <v>4898</v>
      </c>
      <c r="B4899" t="s">
        <v>755</v>
      </c>
      <c r="C4899" s="109">
        <f>IF(ISBLANK(K4899),IFERROR(VLOOKUP(I4899,FS_input_data!$C$458:$N$648,Export!J4899,FALSE),""),K4899)</f>
        <v>73</v>
      </c>
      <c r="D4899" s="6" t="b">
        <v>1</v>
      </c>
      <c r="E4899" s="6"/>
      <c r="F4899" s="6"/>
      <c r="G4899" s="115" t="b">
        <f>VLOOKUP(I4886,FS_input_noty,J4886,FALSE)=""</f>
        <v>0</v>
      </c>
      <c r="H4899" s="6" t="s">
        <v>2189</v>
      </c>
      <c r="I4899" t="s">
        <v>1956</v>
      </c>
      <c r="J4899">
        <v>2</v>
      </c>
      <c r="L4899" s="26" t="e">
        <f t="shared" si="276"/>
        <v>#VALUE!</v>
      </c>
    </row>
    <row r="4900" spans="1:12" x14ac:dyDescent="0.35">
      <c r="A4900">
        <f t="shared" si="277"/>
        <v>4899</v>
      </c>
      <c r="B4900" t="s">
        <v>756</v>
      </c>
      <c r="C4900" s="109" t="str">
        <f>IF(ISBLANK(K4900),IFERROR(VLOOKUP(I4900,FS_input_data!$C$458:$N$648,Export!J4900,FALSE),""),K4900)</f>
        <v/>
      </c>
      <c r="D4900" s="6"/>
      <c r="E4900" s="6"/>
      <c r="F4900" s="6"/>
      <c r="G4900" s="115" t="b">
        <f>VLOOKUP(I4886,FS_input_noty,J4886,FALSE)=""</f>
        <v>0</v>
      </c>
      <c r="H4900" s="6" t="s">
        <v>2189</v>
      </c>
      <c r="I4900" t="s">
        <v>1561</v>
      </c>
      <c r="J4900" t="s">
        <v>1561</v>
      </c>
      <c r="L4900">
        <f t="shared" si="276"/>
        <v>1</v>
      </c>
    </row>
    <row r="4901" spans="1:12" x14ac:dyDescent="0.35">
      <c r="A4901" s="9">
        <f t="shared" si="277"/>
        <v>4900</v>
      </c>
      <c r="B4901" t="s">
        <v>757</v>
      </c>
      <c r="C4901" s="109">
        <f>IF(ISBLANK(K4901),IFERROR(VLOOKUP(I4901,FS_input_data!$C$458:$N$648,Export!J4901,FALSE),""),K4901)</f>
        <v>173</v>
      </c>
      <c r="D4901" s="6" t="b">
        <v>0</v>
      </c>
      <c r="E4901" s="6"/>
      <c r="F4901" s="6"/>
      <c r="G4901" s="115" t="b">
        <f>VLOOKUP(I4886,FS_input_noty,J4886,FALSE)=""</f>
        <v>0</v>
      </c>
      <c r="H4901" s="6" t="s">
        <v>2189</v>
      </c>
      <c r="I4901" t="s">
        <v>1956</v>
      </c>
      <c r="J4901">
        <v>3</v>
      </c>
      <c r="L4901" s="26" t="e">
        <f t="shared" si="276"/>
        <v>#VALUE!</v>
      </c>
    </row>
    <row r="4902" spans="1:12" x14ac:dyDescent="0.35">
      <c r="A4902">
        <f t="shared" si="277"/>
        <v>4901</v>
      </c>
      <c r="B4902" t="s">
        <v>758</v>
      </c>
      <c r="C4902" s="109" t="str">
        <f>IF(ISBLANK(K4902),IFERROR(VLOOKUP(I4902,FS_input_data!$C$458:$N$648,Export!J4902,FALSE),""),K4902)</f>
        <v/>
      </c>
      <c r="D4902" s="6"/>
      <c r="E4902" s="6"/>
      <c r="F4902" s="6"/>
      <c r="G4902" s="115" t="b">
        <f>VLOOKUP(I4886,FS_input_noty,J4886,FALSE)=""</f>
        <v>0</v>
      </c>
      <c r="H4902" s="6" t="s">
        <v>2189</v>
      </c>
      <c r="I4902" t="s">
        <v>1561</v>
      </c>
      <c r="J4902" t="s">
        <v>1561</v>
      </c>
      <c r="L4902">
        <f t="shared" si="276"/>
        <v>1</v>
      </c>
    </row>
    <row r="4903" spans="1:12" x14ac:dyDescent="0.35">
      <c r="A4903" s="9">
        <f t="shared" si="277"/>
        <v>4902</v>
      </c>
      <c r="B4903" t="s">
        <v>759</v>
      </c>
      <c r="C4903" s="109">
        <f>IF(ISBLANK(K4903),IFERROR(VLOOKUP(I4903,FS_input_data!$C$458:$N$648,Export!J4903,FALSE),""),K4903)</f>
        <v>273</v>
      </c>
      <c r="D4903" s="6" t="b">
        <v>0</v>
      </c>
      <c r="E4903" s="6"/>
      <c r="F4903" s="6"/>
      <c r="G4903" s="115" t="b">
        <f>VLOOKUP(I4886,FS_input_noty,J4886,FALSE)=""</f>
        <v>0</v>
      </c>
      <c r="H4903" s="6" t="s">
        <v>2189</v>
      </c>
      <c r="I4903" t="s">
        <v>1956</v>
      </c>
      <c r="J4903">
        <v>4</v>
      </c>
      <c r="L4903" s="26" t="e">
        <f t="shared" si="276"/>
        <v>#VALUE!</v>
      </c>
    </row>
    <row r="4904" spans="1:12" x14ac:dyDescent="0.35">
      <c r="A4904">
        <f t="shared" si="277"/>
        <v>4903</v>
      </c>
      <c r="B4904" t="s">
        <v>760</v>
      </c>
      <c r="C4904" s="109" t="str">
        <f>IF(ISBLANK(K4904),IFERROR(VLOOKUP(I4904,FS_input_data!$C$458:$N$648,Export!J4904,FALSE),""),K4904)</f>
        <v/>
      </c>
      <c r="D4904" s="6"/>
      <c r="E4904" s="6"/>
      <c r="F4904" s="6"/>
      <c r="G4904" s="115" t="b">
        <f>VLOOKUP(I4886,FS_input_noty,J4886,FALSE)=""</f>
        <v>0</v>
      </c>
      <c r="H4904" s="6" t="s">
        <v>2189</v>
      </c>
      <c r="I4904" t="s">
        <v>1561</v>
      </c>
      <c r="J4904" t="s">
        <v>1561</v>
      </c>
      <c r="L4904">
        <f t="shared" si="276"/>
        <v>1</v>
      </c>
    </row>
    <row r="4905" spans="1:12" x14ac:dyDescent="0.35">
      <c r="A4905" s="9">
        <f t="shared" si="277"/>
        <v>4904</v>
      </c>
      <c r="B4905" t="s">
        <v>761</v>
      </c>
      <c r="C4905" s="109" t="str">
        <f>IF(ISBLANK(K4905),IFERROR(VLOOKUP(I4905,FS_input_data!$C$458:$N$648,Export!J4905,FALSE),""),K4905)</f>
        <v>g</v>
      </c>
      <c r="D4905" s="6" t="b">
        <v>0</v>
      </c>
      <c r="E4905" s="6"/>
      <c r="F4905" s="6"/>
      <c r="G4905" s="115" t="b">
        <f>VLOOKUP(I4886,FS_input_noty,J4886,FALSE)=""</f>
        <v>0</v>
      </c>
      <c r="H4905" s="6" t="s">
        <v>2189</v>
      </c>
      <c r="I4905" t="s">
        <v>1956</v>
      </c>
      <c r="J4905">
        <v>5</v>
      </c>
      <c r="L4905" s="26" t="e">
        <f t="shared" si="276"/>
        <v>#VALUE!</v>
      </c>
    </row>
    <row r="4906" spans="1:12" x14ac:dyDescent="0.35">
      <c r="A4906">
        <f t="shared" si="277"/>
        <v>4905</v>
      </c>
      <c r="B4906" t="s">
        <v>762</v>
      </c>
      <c r="C4906" s="109" t="str">
        <f>IF(ISBLANK(K4906),IFERROR(VLOOKUP(I4906,FS_input_data!$C$458:$N$648,Export!J4906,FALSE),""),K4906)</f>
        <v/>
      </c>
      <c r="D4906" s="6"/>
      <c r="E4906" s="6"/>
      <c r="F4906" s="6"/>
      <c r="G4906" s="115" t="b">
        <f>VLOOKUP(I4886,FS_input_noty,J4886,FALSE)=""</f>
        <v>0</v>
      </c>
      <c r="H4906" s="6" t="s">
        <v>2189</v>
      </c>
      <c r="I4906" t="s">
        <v>1561</v>
      </c>
      <c r="J4906" t="s">
        <v>1561</v>
      </c>
      <c r="L4906">
        <f t="shared" si="276"/>
        <v>1</v>
      </c>
    </row>
    <row r="4907" spans="1:12" x14ac:dyDescent="0.35">
      <c r="A4907">
        <f t="shared" si="277"/>
        <v>4906</v>
      </c>
      <c r="B4907" t="s">
        <v>763</v>
      </c>
      <c r="C4907" s="109" t="str">
        <f>IF(ISBLANK(K4907),IFERROR(VLOOKUP(I4907,FS_input_data!$C$458:$N$648,Export!J4907,FALSE),""),K4907)</f>
        <v/>
      </c>
      <c r="D4907" s="6"/>
      <c r="E4907" s="6"/>
      <c r="F4907" s="6"/>
      <c r="G4907" s="115" t="b">
        <f>VLOOKUP(I4886,FS_input_noty,J4886,FALSE)=""</f>
        <v>0</v>
      </c>
      <c r="H4907" s="6" t="s">
        <v>2189</v>
      </c>
      <c r="I4907" t="s">
        <v>1561</v>
      </c>
      <c r="J4907" t="s">
        <v>1561</v>
      </c>
      <c r="L4907">
        <f t="shared" si="276"/>
        <v>1</v>
      </c>
    </row>
    <row r="4908" spans="1:12" x14ac:dyDescent="0.35">
      <c r="A4908">
        <f t="shared" si="277"/>
        <v>4907</v>
      </c>
      <c r="B4908" t="s">
        <v>743</v>
      </c>
      <c r="C4908" s="109" t="str">
        <f>IF(ISBLANK(K4908),IFERROR(VLOOKUP(I4908,FS_input_data!$C$458:$N$648,Export!J4908,FALSE),""),K4908)</f>
        <v/>
      </c>
      <c r="D4908" s="6"/>
      <c r="E4908" s="6"/>
      <c r="F4908" s="6"/>
      <c r="G4908" s="115" t="b">
        <f>VLOOKUP(I4886,FS_input_noty,J4886,FALSE)=""</f>
        <v>0</v>
      </c>
      <c r="H4908" s="6" t="s">
        <v>2189</v>
      </c>
      <c r="I4908" t="s">
        <v>1561</v>
      </c>
      <c r="J4908" t="s">
        <v>1561</v>
      </c>
      <c r="L4908">
        <f t="shared" si="276"/>
        <v>1</v>
      </c>
    </row>
    <row r="4909" spans="1:12" x14ac:dyDescent="0.35">
      <c r="A4909">
        <f t="shared" si="277"/>
        <v>4908</v>
      </c>
      <c r="B4909" t="s">
        <v>744</v>
      </c>
      <c r="C4909" s="109" t="str">
        <f>IF(ISBLANK(K4909),IFERROR(VLOOKUP(I4909,FS_input_data!$C$458:$N$648,Export!J4909,FALSE),""),K4909)</f>
        <v/>
      </c>
      <c r="D4909" s="6"/>
      <c r="E4909" s="6"/>
      <c r="F4909" s="6"/>
      <c r="G4909" s="115" t="b">
        <f t="shared" ref="G4909:G4916" si="279">RP_tax</f>
        <v>1</v>
      </c>
      <c r="H4909" s="6" t="s">
        <v>2189</v>
      </c>
      <c r="I4909" t="s">
        <v>1561</v>
      </c>
      <c r="J4909" t="s">
        <v>1561</v>
      </c>
      <c r="L4909" s="26" t="e">
        <f t="shared" si="276"/>
        <v>#VALUE!</v>
      </c>
    </row>
    <row r="4910" spans="1:12" x14ac:dyDescent="0.35">
      <c r="A4910" s="9">
        <f t="shared" si="277"/>
        <v>4909</v>
      </c>
      <c r="B4910" t="s">
        <v>109</v>
      </c>
      <c r="C4910" s="109">
        <f>IF(ISBLANK(K4910),IFERROR(VLOOKUP(I4910,FS_input_data!$C$458:$N$648,Export!J4910,FALSE),""),K4910)</f>
        <v>29000</v>
      </c>
      <c r="D4910" s="6" t="b">
        <v>1</v>
      </c>
      <c r="E4910" s="6"/>
      <c r="F4910" s="6"/>
      <c r="G4910" s="115" t="b">
        <f t="shared" si="279"/>
        <v>1</v>
      </c>
      <c r="H4910" s="6" t="s">
        <v>2189</v>
      </c>
      <c r="I4910" t="s">
        <v>1956</v>
      </c>
      <c r="J4910">
        <v>10</v>
      </c>
      <c r="L4910" s="26" t="e">
        <f t="shared" si="276"/>
        <v>#VALUE!</v>
      </c>
    </row>
    <row r="4911" spans="1:12" x14ac:dyDescent="0.35">
      <c r="A4911">
        <f t="shared" si="277"/>
        <v>4910</v>
      </c>
      <c r="B4911" t="s">
        <v>110</v>
      </c>
      <c r="C4911" s="109" t="str">
        <f>IF(ISBLANK(K4911),IFERROR(VLOOKUP(I4911,FS_input_data!$C$458:$N$648,Export!J4911,FALSE),""),K4911)</f>
        <v/>
      </c>
      <c r="D4911" s="6"/>
      <c r="E4911" s="6"/>
      <c r="F4911" s="6"/>
      <c r="G4911" s="115" t="b">
        <f t="shared" si="279"/>
        <v>1</v>
      </c>
      <c r="H4911" s="6" t="s">
        <v>2189</v>
      </c>
      <c r="I4911" t="s">
        <v>1561</v>
      </c>
      <c r="J4911" t="s">
        <v>1561</v>
      </c>
      <c r="L4911">
        <f t="shared" si="276"/>
        <v>1</v>
      </c>
    </row>
    <row r="4912" spans="1:12" x14ac:dyDescent="0.35">
      <c r="A4912" s="9">
        <f t="shared" si="277"/>
        <v>4911</v>
      </c>
      <c r="B4912" t="s">
        <v>111</v>
      </c>
      <c r="C4912" s="109">
        <f>IF(ISBLANK(K4912),IFERROR(VLOOKUP(I4912,FS_input_data!$C$458:$N$648,Export!J4912,FALSE),""),K4912)</f>
        <v>14500</v>
      </c>
      <c r="D4912" s="6" t="b">
        <v>0</v>
      </c>
      <c r="E4912" s="6"/>
      <c r="F4912" s="6"/>
      <c r="G4912" s="115" t="b">
        <f t="shared" si="279"/>
        <v>1</v>
      </c>
      <c r="H4912" s="6" t="s">
        <v>2189</v>
      </c>
      <c r="I4912" t="s">
        <v>1956</v>
      </c>
      <c r="J4912">
        <v>11</v>
      </c>
      <c r="L4912" s="26" t="e">
        <f t="shared" si="276"/>
        <v>#VALUE!</v>
      </c>
    </row>
    <row r="4913" spans="1:12" x14ac:dyDescent="0.35">
      <c r="A4913">
        <f t="shared" si="277"/>
        <v>4912</v>
      </c>
      <c r="B4913" t="s">
        <v>112</v>
      </c>
      <c r="C4913" s="109" t="str">
        <f>IF(ISBLANK(K4913),IFERROR(VLOOKUP(I4913,FS_input_data!$C$458:$N$648,Export!J4913,FALSE),""),K4913)</f>
        <v/>
      </c>
      <c r="D4913" s="6"/>
      <c r="E4913" s="6"/>
      <c r="F4913" s="6"/>
      <c r="G4913" s="115" t="b">
        <f t="shared" si="279"/>
        <v>1</v>
      </c>
      <c r="H4913" s="6" t="s">
        <v>2189</v>
      </c>
      <c r="I4913" t="s">
        <v>1561</v>
      </c>
      <c r="J4913" t="s">
        <v>1561</v>
      </c>
      <c r="L4913">
        <f t="shared" si="276"/>
        <v>1</v>
      </c>
    </row>
    <row r="4914" spans="1:12" x14ac:dyDescent="0.35">
      <c r="A4914" s="9">
        <f t="shared" si="277"/>
        <v>4913</v>
      </c>
      <c r="B4914" t="s">
        <v>749</v>
      </c>
      <c r="C4914" s="109">
        <f>IF(ISBLANK(K4914),IFERROR(VLOOKUP(I4914,FS_input_data!$C$458:$N$648,Export!J4914,FALSE),""),K4914)</f>
        <v>14500</v>
      </c>
      <c r="D4914" s="6" t="b">
        <v>0</v>
      </c>
      <c r="E4914" s="6"/>
      <c r="F4914" s="6"/>
      <c r="G4914" s="115" t="b">
        <f t="shared" si="279"/>
        <v>1</v>
      </c>
      <c r="H4914" s="6" t="s">
        <v>2189</v>
      </c>
      <c r="I4914" t="s">
        <v>1956</v>
      </c>
      <c r="J4914">
        <v>12</v>
      </c>
      <c r="L4914" s="26" t="e">
        <f t="shared" si="276"/>
        <v>#VALUE!</v>
      </c>
    </row>
    <row r="4915" spans="1:12" x14ac:dyDescent="0.35">
      <c r="A4915">
        <f t="shared" si="277"/>
        <v>4914</v>
      </c>
      <c r="B4915" t="s">
        <v>750</v>
      </c>
      <c r="C4915" s="109" t="str">
        <f>IF(ISBLANK(K4915),IFERROR(VLOOKUP(I4915,FS_input_data!$C$458:$N$648,Export!J4915,FALSE),""),K4915)</f>
        <v/>
      </c>
      <c r="D4915" s="6"/>
      <c r="E4915" s="6"/>
      <c r="F4915" s="6"/>
      <c r="G4915" s="115" t="b">
        <f t="shared" si="279"/>
        <v>1</v>
      </c>
      <c r="H4915" s="6" t="s">
        <v>2189</v>
      </c>
      <c r="I4915" t="s">
        <v>1561</v>
      </c>
      <c r="J4915" t="s">
        <v>1561</v>
      </c>
      <c r="L4915">
        <f t="shared" si="276"/>
        <v>1</v>
      </c>
    </row>
    <row r="4916" spans="1:12" x14ac:dyDescent="0.35">
      <c r="A4916">
        <f t="shared" si="277"/>
        <v>4915</v>
      </c>
      <c r="B4916" t="s">
        <v>745</v>
      </c>
      <c r="C4916" s="109" t="str">
        <f>IF(ISBLANK(K4916),IFERROR(VLOOKUP(I4916,FS_input_data!$C$458:$N$648,Export!J4916,FALSE),""),K4916)</f>
        <v/>
      </c>
      <c r="D4916" s="6"/>
      <c r="E4916" s="6"/>
      <c r="F4916" s="6"/>
      <c r="G4916" s="115" t="b">
        <f t="shared" si="279"/>
        <v>1</v>
      </c>
      <c r="H4916" s="6" t="s">
        <v>2189</v>
      </c>
      <c r="I4916" t="s">
        <v>1561</v>
      </c>
      <c r="J4916" t="s">
        <v>1561</v>
      </c>
      <c r="L4916">
        <f t="shared" si="276"/>
        <v>1</v>
      </c>
    </row>
    <row r="4917" spans="1:12" x14ac:dyDescent="0.35">
      <c r="A4917">
        <f t="shared" si="277"/>
        <v>4916</v>
      </c>
      <c r="B4917" t="s">
        <v>764</v>
      </c>
      <c r="C4917" s="109" t="str">
        <f>IF(ISBLANK(K4917),IFERROR(VLOOKUP(I4917,FS_input_data!$C$458:$N$648,Export!J4917,FALSE),""),K4917)</f>
        <v/>
      </c>
      <c r="D4917" s="6"/>
      <c r="E4917" s="6"/>
      <c r="F4917" s="6"/>
      <c r="G4917" s="115" t="b">
        <f>VLOOKUP(I4886,FS_input_noty,J4886,FALSE)=""</f>
        <v>0</v>
      </c>
      <c r="H4917" s="6" t="s">
        <v>2189</v>
      </c>
      <c r="I4917" t="s">
        <v>1561</v>
      </c>
      <c r="J4917" t="s">
        <v>1561</v>
      </c>
      <c r="L4917">
        <f t="shared" si="276"/>
        <v>1</v>
      </c>
    </row>
    <row r="4918" spans="1:12" x14ac:dyDescent="0.35">
      <c r="A4918">
        <f t="shared" si="277"/>
        <v>4917</v>
      </c>
      <c r="B4918" t="s">
        <v>765</v>
      </c>
      <c r="C4918" s="109" t="str">
        <f>IF(ISBLANK(K4918),IFERROR(VLOOKUP(I4918,FS_input_data!$C$458:$N$648,Export!J4918,FALSE),""),K4918)</f>
        <v/>
      </c>
      <c r="D4918" s="6"/>
      <c r="E4918" s="6"/>
      <c r="F4918" s="6"/>
      <c r="G4918" s="115" t="b">
        <f>VLOOKUP(I4886,FS_input_noty,J4886,FALSE)=""</f>
        <v>0</v>
      </c>
      <c r="H4918" s="6" t="s">
        <v>2189</v>
      </c>
      <c r="I4918" t="s">
        <v>1561</v>
      </c>
      <c r="J4918" t="s">
        <v>1561</v>
      </c>
      <c r="L4918">
        <f t="shared" si="276"/>
        <v>1</v>
      </c>
    </row>
    <row r="4919" spans="1:12" x14ac:dyDescent="0.35">
      <c r="A4919">
        <f t="shared" si="277"/>
        <v>4918</v>
      </c>
      <c r="B4919" t="s">
        <v>752</v>
      </c>
      <c r="C4919" s="109" t="str">
        <f>IF(ISBLANK(K4919),IFERROR(VLOOKUP(I4919,FS_input_data!$C$458:$N$648,Export!J4919,FALSE),""),K4919)</f>
        <v/>
      </c>
      <c r="D4919" s="6"/>
      <c r="E4919" s="6"/>
      <c r="F4919" s="6"/>
      <c r="G4919" s="115" t="b">
        <f>VLOOKUP(I4920,FS_input_noty,J4920,FALSE)=""</f>
        <v>0</v>
      </c>
      <c r="H4919" s="6" t="s">
        <v>2189</v>
      </c>
      <c r="I4919" t="s">
        <v>1561</v>
      </c>
      <c r="J4919" t="s">
        <v>1561</v>
      </c>
      <c r="L4919" s="26" t="e">
        <f t="shared" si="276"/>
        <v>#VALUE!</v>
      </c>
    </row>
    <row r="4920" spans="1:12" x14ac:dyDescent="0.35">
      <c r="A4920" s="9">
        <f t="shared" si="277"/>
        <v>4919</v>
      </c>
      <c r="B4920" t="s">
        <v>101</v>
      </c>
      <c r="C4920" s="109" t="str">
        <f>IF(ISBLANK(K4920),IFERROR(VLOOKUP(I4920,FS_input_data!$C$458:$N$648,Export!J4920,FALSE),""),K4920)</f>
        <v>OC51</v>
      </c>
      <c r="D4920" s="6" t="b">
        <v>1</v>
      </c>
      <c r="E4920" s="6"/>
      <c r="F4920" s="6"/>
      <c r="G4920" s="115" t="b">
        <f>VLOOKUP(I4920,FS_input_noty,J4920,FALSE)=""</f>
        <v>0</v>
      </c>
      <c r="H4920" s="6" t="s">
        <v>2189</v>
      </c>
      <c r="I4920" t="s">
        <v>1958</v>
      </c>
      <c r="J4920">
        <v>6</v>
      </c>
      <c r="L4920" s="26" t="e">
        <f t="shared" si="276"/>
        <v>#VALUE!</v>
      </c>
    </row>
    <row r="4921" spans="1:12" x14ac:dyDescent="0.35">
      <c r="A4921">
        <f t="shared" si="277"/>
        <v>4920</v>
      </c>
      <c r="B4921" t="s">
        <v>102</v>
      </c>
      <c r="C4921" s="109" t="str">
        <f>IF(ISBLANK(K4921),IFERROR(VLOOKUP(I4921,FS_input_data!$C$458:$N$648,Export!J4921,FALSE),""),K4921)</f>
        <v/>
      </c>
      <c r="D4921" s="6"/>
      <c r="E4921" s="6"/>
      <c r="F4921" s="6"/>
      <c r="G4921" s="115" t="b">
        <f>VLOOKUP(I4920,FS_input_noty,J4920,FALSE)=""</f>
        <v>0</v>
      </c>
      <c r="H4921" s="6" t="s">
        <v>2189</v>
      </c>
      <c r="I4921" t="s">
        <v>1561</v>
      </c>
      <c r="J4921" t="s">
        <v>1561</v>
      </c>
      <c r="L4921">
        <f t="shared" si="276"/>
        <v>1</v>
      </c>
    </row>
    <row r="4922" spans="1:12" x14ac:dyDescent="0.35">
      <c r="A4922">
        <f t="shared" si="277"/>
        <v>4921</v>
      </c>
      <c r="B4922" t="s">
        <v>753</v>
      </c>
      <c r="C4922" s="109" t="str">
        <f>IF(ISBLANK(K4922),IFERROR(VLOOKUP(I4922,FS_input_data!$C$458:$N$648,Export!J4922,FALSE),""),K4922)</f>
        <v/>
      </c>
      <c r="D4922" s="6"/>
      <c r="E4922" s="6"/>
      <c r="F4922" s="6"/>
      <c r="G4922" s="115" t="b">
        <f>VLOOKUP(I4920,FS_input_noty,J4920,FALSE)=""</f>
        <v>0</v>
      </c>
      <c r="H4922" s="6" t="s">
        <v>2189</v>
      </c>
      <c r="I4922" t="s">
        <v>1561</v>
      </c>
      <c r="J4922" t="s">
        <v>1561</v>
      </c>
      <c r="L4922" s="26" t="e">
        <f t="shared" si="276"/>
        <v>#VALUE!</v>
      </c>
    </row>
    <row r="4923" spans="1:12" x14ac:dyDescent="0.35">
      <c r="A4923">
        <f t="shared" si="277"/>
        <v>4922</v>
      </c>
      <c r="B4923" t="s">
        <v>742</v>
      </c>
      <c r="C4923" s="109" t="str">
        <f>IF(ISBLANK(K4923),IFERROR(VLOOKUP(I4923,FS_input_data!$C$458:$N$648,Export!J4923,FALSE),""),K4923)</f>
        <v/>
      </c>
      <c r="D4923" s="6"/>
      <c r="E4923" s="6"/>
      <c r="F4923" s="6"/>
      <c r="G4923" s="115" t="b">
        <f>VLOOKUP(I4920,FS_input_noty,J4920,FALSE)=""</f>
        <v>0</v>
      </c>
      <c r="H4923" s="6" t="s">
        <v>2189</v>
      </c>
      <c r="I4923" t="s">
        <v>1561</v>
      </c>
      <c r="J4923" t="s">
        <v>1561</v>
      </c>
      <c r="L4923" s="26" t="e">
        <f t="shared" si="276"/>
        <v>#VALUE!</v>
      </c>
    </row>
    <row r="4924" spans="1:12" x14ac:dyDescent="0.35">
      <c r="A4924">
        <f t="shared" si="277"/>
        <v>4923</v>
      </c>
      <c r="B4924" t="s">
        <v>748</v>
      </c>
      <c r="C4924" s="109" t="str">
        <f>IF(ISBLANK(K4924),IFERROR(VLOOKUP(I4924,FS_input_data!$C$458:$N$648,Export!J4924,FALSE),""),K4924)</f>
        <v/>
      </c>
      <c r="D4924" s="6"/>
      <c r="E4924" s="6"/>
      <c r="F4924" s="6"/>
      <c r="G4924" s="115" t="b">
        <f>VLOOKUP(I4920,FS_input_noty,J4920,FALSE)=""</f>
        <v>0</v>
      </c>
      <c r="H4924" s="6" t="s">
        <v>2189</v>
      </c>
      <c r="I4924" t="s">
        <v>1561</v>
      </c>
      <c r="J4924" t="s">
        <v>1561</v>
      </c>
      <c r="L4924" s="26" t="e">
        <f t="shared" si="276"/>
        <v>#VALUE!</v>
      </c>
    </row>
    <row r="4925" spans="1:12" x14ac:dyDescent="0.35">
      <c r="A4925" s="9">
        <f t="shared" si="277"/>
        <v>4924</v>
      </c>
      <c r="B4925" t="s">
        <v>109</v>
      </c>
      <c r="C4925" s="109">
        <f>IF(ISBLANK(K4925),IFERROR(VLOOKUP(I4925,FS_input_data!$C$458:$N$648,Export!J4925,FALSE),""),K4925)</f>
        <v>30000</v>
      </c>
      <c r="D4925" s="6" t="b">
        <v>1</v>
      </c>
      <c r="E4925" s="6"/>
      <c r="F4925" s="6"/>
      <c r="G4925" s="115" t="b">
        <f>VLOOKUP(I4920,FS_input_noty,J4920,FALSE)=""</f>
        <v>0</v>
      </c>
      <c r="H4925" s="6" t="s">
        <v>2189</v>
      </c>
      <c r="I4925" t="s">
        <v>1958</v>
      </c>
      <c r="J4925">
        <v>7</v>
      </c>
      <c r="L4925" s="26" t="e">
        <f t="shared" si="276"/>
        <v>#VALUE!</v>
      </c>
    </row>
    <row r="4926" spans="1:12" x14ac:dyDescent="0.35">
      <c r="A4926">
        <f t="shared" si="277"/>
        <v>4925</v>
      </c>
      <c r="B4926" t="s">
        <v>110</v>
      </c>
      <c r="C4926" s="109" t="str">
        <f>IF(ISBLANK(K4926),IFERROR(VLOOKUP(I4926,FS_input_data!$C$458:$N$648,Export!J4926,FALSE),""),K4926)</f>
        <v/>
      </c>
      <c r="D4926" s="6"/>
      <c r="E4926" s="6"/>
      <c r="F4926" s="6"/>
      <c r="G4926" s="115" t="b">
        <f>VLOOKUP(I4920,FS_input_noty,J4920,FALSE)=""</f>
        <v>0</v>
      </c>
      <c r="H4926" s="6" t="s">
        <v>2189</v>
      </c>
      <c r="I4926" t="s">
        <v>1561</v>
      </c>
      <c r="J4926" t="s">
        <v>1561</v>
      </c>
      <c r="L4926">
        <f t="shared" si="276"/>
        <v>1</v>
      </c>
    </row>
    <row r="4927" spans="1:12" x14ac:dyDescent="0.35">
      <c r="A4927" s="9">
        <f t="shared" si="277"/>
        <v>4926</v>
      </c>
      <c r="B4927" t="s">
        <v>111</v>
      </c>
      <c r="C4927" s="109">
        <f>IF(ISBLANK(K4927),IFERROR(VLOOKUP(I4927,FS_input_data!$C$458:$N$648,Export!J4927,FALSE),""),K4927)</f>
        <v>15000</v>
      </c>
      <c r="D4927" s="6" t="b">
        <v>0</v>
      </c>
      <c r="E4927" s="6"/>
      <c r="F4927" s="6"/>
      <c r="G4927" s="115" t="b">
        <f>VLOOKUP(I4920,FS_input_noty,J4920,TRUE)=""</f>
        <v>0</v>
      </c>
      <c r="H4927" s="6" t="s">
        <v>2189</v>
      </c>
      <c r="I4927" t="s">
        <v>1958</v>
      </c>
      <c r="J4927">
        <v>8</v>
      </c>
      <c r="L4927" s="26" t="e">
        <f t="shared" si="276"/>
        <v>#VALUE!</v>
      </c>
    </row>
    <row r="4928" spans="1:12" x14ac:dyDescent="0.35">
      <c r="A4928">
        <f t="shared" si="277"/>
        <v>4927</v>
      </c>
      <c r="B4928" t="s">
        <v>112</v>
      </c>
      <c r="C4928" s="109" t="str">
        <f>IF(ISBLANK(K4928),IFERROR(VLOOKUP(I4928,FS_input_data!$C$458:$N$648,Export!J4928,FALSE),""),K4928)</f>
        <v/>
      </c>
      <c r="D4928" s="6"/>
      <c r="E4928" s="6"/>
      <c r="F4928" s="6"/>
      <c r="G4928" s="115" t="b">
        <f>VLOOKUP(I4920,FS_input_noty,J4920,FALSE)=""</f>
        <v>0</v>
      </c>
      <c r="H4928" s="6" t="s">
        <v>2189</v>
      </c>
      <c r="I4928" t="s">
        <v>1561</v>
      </c>
      <c r="J4928" t="s">
        <v>1561</v>
      </c>
      <c r="L4928">
        <f t="shared" si="276"/>
        <v>1</v>
      </c>
    </row>
    <row r="4929" spans="1:12" x14ac:dyDescent="0.35">
      <c r="A4929" s="9">
        <f t="shared" si="277"/>
        <v>4928</v>
      </c>
      <c r="B4929" t="s">
        <v>749</v>
      </c>
      <c r="C4929" s="109">
        <f>IF(ISBLANK(K4929),IFERROR(VLOOKUP(I4929,FS_input_data!$C$458:$N$648,Export!J4929,FALSE),""),K4929)</f>
        <v>15000</v>
      </c>
      <c r="D4929" s="6" t="b">
        <v>0</v>
      </c>
      <c r="E4929" s="6"/>
      <c r="F4929" s="6"/>
      <c r="G4929" s="115" t="b">
        <f>VLOOKUP(I4920,FS_input_noty,J4920,FALSE)=""</f>
        <v>0</v>
      </c>
      <c r="H4929" s="6" t="s">
        <v>2189</v>
      </c>
      <c r="I4929" t="s">
        <v>1958</v>
      </c>
      <c r="J4929">
        <v>9</v>
      </c>
      <c r="L4929" s="26" t="e">
        <f t="shared" si="276"/>
        <v>#VALUE!</v>
      </c>
    </row>
    <row r="4930" spans="1:12" x14ac:dyDescent="0.35">
      <c r="A4930">
        <f t="shared" si="277"/>
        <v>4929</v>
      </c>
      <c r="B4930" t="s">
        <v>750</v>
      </c>
      <c r="C4930" s="109" t="str">
        <f>IF(ISBLANK(K4930),IFERROR(VLOOKUP(I4930,FS_input_data!$C$458:$N$648,Export!J4930,FALSE),""),K4930)</f>
        <v/>
      </c>
      <c r="D4930" s="6"/>
      <c r="E4930" s="6"/>
      <c r="F4930" s="6"/>
      <c r="G4930" s="115" t="b">
        <f>VLOOKUP(I4920,FS_input_noty,J4920,FALSE)=""</f>
        <v>0</v>
      </c>
      <c r="H4930" s="6" t="s">
        <v>2189</v>
      </c>
      <c r="I4930" t="s">
        <v>1561</v>
      </c>
      <c r="J4930" t="s">
        <v>1561</v>
      </c>
      <c r="L4930">
        <f t="shared" ref="L4930:L4993" si="280">FIND("/",B4930)</f>
        <v>1</v>
      </c>
    </row>
    <row r="4931" spans="1:12" x14ac:dyDescent="0.35">
      <c r="A4931">
        <f t="shared" ref="A4931:A4994" si="281">A4930+1</f>
        <v>4930</v>
      </c>
      <c r="B4931" t="s">
        <v>751</v>
      </c>
      <c r="C4931" s="109" t="str">
        <f>IF(ISBLANK(K4931),IFERROR(VLOOKUP(I4931,FS_input_data!$C$458:$N$648,Export!J4931,FALSE),""),K4931)</f>
        <v/>
      </c>
      <c r="D4931" s="6"/>
      <c r="E4931" s="6"/>
      <c r="F4931" s="6"/>
      <c r="G4931" s="115" t="b">
        <f>VLOOKUP(I4920,FS_input_noty,J4920,FALSE)=""</f>
        <v>0</v>
      </c>
      <c r="H4931" s="6" t="s">
        <v>2189</v>
      </c>
      <c r="I4931" t="s">
        <v>1561</v>
      </c>
      <c r="J4931" t="s">
        <v>1561</v>
      </c>
      <c r="L4931">
        <f t="shared" si="280"/>
        <v>1</v>
      </c>
    </row>
    <row r="4932" spans="1:12" x14ac:dyDescent="0.35">
      <c r="A4932">
        <f t="shared" si="281"/>
        <v>4931</v>
      </c>
      <c r="B4932" t="s">
        <v>754</v>
      </c>
      <c r="C4932" s="109" t="str">
        <f>IF(ISBLANK(K4932),IFERROR(VLOOKUP(I4932,FS_input_data!$C$458:$N$648,Export!J4932,FALSE),""),K4932)</f>
        <v/>
      </c>
      <c r="D4932" s="6"/>
      <c r="E4932" s="6"/>
      <c r="F4932" s="6"/>
      <c r="G4932" s="115" t="b">
        <f>VLOOKUP(I4920,FS_input_noty,J4920,FALSE)=""</f>
        <v>0</v>
      </c>
      <c r="H4932" s="6" t="s">
        <v>2189</v>
      </c>
      <c r="I4932" t="s">
        <v>1561</v>
      </c>
      <c r="J4932" t="s">
        <v>1561</v>
      </c>
      <c r="L4932" s="26" t="e">
        <f t="shared" si="280"/>
        <v>#VALUE!</v>
      </c>
    </row>
    <row r="4933" spans="1:12" x14ac:dyDescent="0.35">
      <c r="A4933" s="9">
        <f t="shared" si="281"/>
        <v>4932</v>
      </c>
      <c r="B4933" t="s">
        <v>755</v>
      </c>
      <c r="C4933" s="109">
        <f>IF(ISBLANK(K4933),IFERROR(VLOOKUP(I4933,FS_input_data!$C$458:$N$648,Export!J4933,FALSE),""),K4933)</f>
        <v>74</v>
      </c>
      <c r="D4933" s="6" t="b">
        <v>1</v>
      </c>
      <c r="E4933" s="6"/>
      <c r="F4933" s="6"/>
      <c r="G4933" s="115" t="b">
        <f>VLOOKUP(I4920,FS_input_noty,J4920,FALSE)=""</f>
        <v>0</v>
      </c>
      <c r="H4933" s="6" t="s">
        <v>2189</v>
      </c>
      <c r="I4933" t="s">
        <v>1958</v>
      </c>
      <c r="J4933">
        <v>2</v>
      </c>
      <c r="L4933" s="26" t="e">
        <f t="shared" si="280"/>
        <v>#VALUE!</v>
      </c>
    </row>
    <row r="4934" spans="1:12" x14ac:dyDescent="0.35">
      <c r="A4934">
        <f t="shared" si="281"/>
        <v>4933</v>
      </c>
      <c r="B4934" t="s">
        <v>756</v>
      </c>
      <c r="C4934" s="109" t="str">
        <f>IF(ISBLANK(K4934),IFERROR(VLOOKUP(I4934,FS_input_data!$C$458:$N$648,Export!J4934,FALSE),""),K4934)</f>
        <v/>
      </c>
      <c r="D4934" s="6"/>
      <c r="E4934" s="6"/>
      <c r="F4934" s="6"/>
      <c r="G4934" s="115" t="b">
        <f>VLOOKUP(I4920,FS_input_noty,J4920,FALSE)=""</f>
        <v>0</v>
      </c>
      <c r="H4934" s="6" t="s">
        <v>2189</v>
      </c>
      <c r="I4934" t="s">
        <v>1561</v>
      </c>
      <c r="J4934" t="s">
        <v>1561</v>
      </c>
      <c r="L4934">
        <f t="shared" si="280"/>
        <v>1</v>
      </c>
    </row>
    <row r="4935" spans="1:12" x14ac:dyDescent="0.35">
      <c r="A4935" s="9">
        <f t="shared" si="281"/>
        <v>4934</v>
      </c>
      <c r="B4935" t="s">
        <v>757</v>
      </c>
      <c r="C4935" s="109">
        <f>IF(ISBLANK(K4935),IFERROR(VLOOKUP(I4935,FS_input_data!$C$458:$N$648,Export!J4935,FALSE),""),K4935)</f>
        <v>174</v>
      </c>
      <c r="D4935" s="6" t="b">
        <v>0</v>
      </c>
      <c r="E4935" s="6"/>
      <c r="F4935" s="6"/>
      <c r="G4935" s="115" t="b">
        <f>VLOOKUP(I4920,FS_input_noty,J4920,FALSE)=""</f>
        <v>0</v>
      </c>
      <c r="H4935" s="6" t="s">
        <v>2189</v>
      </c>
      <c r="I4935" t="s">
        <v>1958</v>
      </c>
      <c r="J4935">
        <v>3</v>
      </c>
      <c r="L4935" s="26" t="e">
        <f t="shared" si="280"/>
        <v>#VALUE!</v>
      </c>
    </row>
    <row r="4936" spans="1:12" x14ac:dyDescent="0.35">
      <c r="A4936">
        <f t="shared" si="281"/>
        <v>4935</v>
      </c>
      <c r="B4936" t="s">
        <v>758</v>
      </c>
      <c r="C4936" s="109" t="str">
        <f>IF(ISBLANK(K4936),IFERROR(VLOOKUP(I4936,FS_input_data!$C$458:$N$648,Export!J4936,FALSE),""),K4936)</f>
        <v/>
      </c>
      <c r="D4936" s="6"/>
      <c r="E4936" s="6"/>
      <c r="F4936" s="6"/>
      <c r="G4936" s="115" t="b">
        <f>VLOOKUP(I4920,FS_input_noty,J4920,FALSE)=""</f>
        <v>0</v>
      </c>
      <c r="H4936" s="6" t="s">
        <v>2189</v>
      </c>
      <c r="I4936" t="s">
        <v>1561</v>
      </c>
      <c r="J4936" t="s">
        <v>1561</v>
      </c>
      <c r="L4936">
        <f t="shared" si="280"/>
        <v>1</v>
      </c>
    </row>
    <row r="4937" spans="1:12" x14ac:dyDescent="0.35">
      <c r="A4937" s="9">
        <f t="shared" si="281"/>
        <v>4936</v>
      </c>
      <c r="B4937" t="s">
        <v>759</v>
      </c>
      <c r="C4937" s="109">
        <f>IF(ISBLANK(K4937),IFERROR(VLOOKUP(I4937,FS_input_data!$C$458:$N$648,Export!J4937,FALSE),""),K4937)</f>
        <v>274</v>
      </c>
      <c r="D4937" s="6" t="b">
        <v>0</v>
      </c>
      <c r="E4937" s="6"/>
      <c r="F4937" s="6"/>
      <c r="G4937" s="115" t="b">
        <f>VLOOKUP(I4920,FS_input_noty,J4920,FALSE)=""</f>
        <v>0</v>
      </c>
      <c r="H4937" s="6" t="s">
        <v>2189</v>
      </c>
      <c r="I4937" t="s">
        <v>1958</v>
      </c>
      <c r="J4937">
        <v>4</v>
      </c>
      <c r="L4937" s="26" t="e">
        <f t="shared" si="280"/>
        <v>#VALUE!</v>
      </c>
    </row>
    <row r="4938" spans="1:12" x14ac:dyDescent="0.35">
      <c r="A4938">
        <f t="shared" si="281"/>
        <v>4937</v>
      </c>
      <c r="B4938" t="s">
        <v>760</v>
      </c>
      <c r="C4938" s="109" t="str">
        <f>IF(ISBLANK(K4938),IFERROR(VLOOKUP(I4938,FS_input_data!$C$458:$N$648,Export!J4938,FALSE),""),K4938)</f>
        <v/>
      </c>
      <c r="D4938" s="6"/>
      <c r="E4938" s="6"/>
      <c r="F4938" s="6"/>
      <c r="G4938" s="115" t="b">
        <f>VLOOKUP(I4920,FS_input_noty,J4920,FALSE)=""</f>
        <v>0</v>
      </c>
      <c r="H4938" s="6" t="s">
        <v>2189</v>
      </c>
      <c r="I4938" t="s">
        <v>1561</v>
      </c>
      <c r="J4938" t="s">
        <v>1561</v>
      </c>
      <c r="L4938">
        <f t="shared" si="280"/>
        <v>1</v>
      </c>
    </row>
    <row r="4939" spans="1:12" x14ac:dyDescent="0.35">
      <c r="A4939" s="9">
        <f t="shared" si="281"/>
        <v>4938</v>
      </c>
      <c r="B4939" t="s">
        <v>761</v>
      </c>
      <c r="C4939" s="109" t="str">
        <f>IF(ISBLANK(K4939),IFERROR(VLOOKUP(I4939,FS_input_data!$C$458:$N$648,Export!J4939,FALSE),""),K4939)</f>
        <v>h</v>
      </c>
      <c r="D4939" s="6" t="b">
        <v>0</v>
      </c>
      <c r="E4939" s="6"/>
      <c r="F4939" s="6"/>
      <c r="G4939" s="115" t="b">
        <f>VLOOKUP(I4920,FS_input_noty,J4920,FALSE)=""</f>
        <v>0</v>
      </c>
      <c r="H4939" s="6" t="s">
        <v>2189</v>
      </c>
      <c r="I4939" t="s">
        <v>1958</v>
      </c>
      <c r="J4939">
        <v>5</v>
      </c>
      <c r="L4939" s="26" t="e">
        <f t="shared" si="280"/>
        <v>#VALUE!</v>
      </c>
    </row>
    <row r="4940" spans="1:12" x14ac:dyDescent="0.35">
      <c r="A4940">
        <f t="shared" si="281"/>
        <v>4939</v>
      </c>
      <c r="B4940" t="s">
        <v>762</v>
      </c>
      <c r="C4940" s="109" t="str">
        <f>IF(ISBLANK(K4940),IFERROR(VLOOKUP(I4940,FS_input_data!$C$458:$N$648,Export!J4940,FALSE),""),K4940)</f>
        <v/>
      </c>
      <c r="D4940" s="6"/>
      <c r="E4940" s="6"/>
      <c r="F4940" s="6"/>
      <c r="G4940" s="115" t="b">
        <f>VLOOKUP(I4920,FS_input_noty,J4920,FALSE)=""</f>
        <v>0</v>
      </c>
      <c r="H4940" s="6" t="s">
        <v>2189</v>
      </c>
      <c r="I4940" t="s">
        <v>1561</v>
      </c>
      <c r="J4940" t="s">
        <v>1561</v>
      </c>
      <c r="L4940">
        <f t="shared" si="280"/>
        <v>1</v>
      </c>
    </row>
    <row r="4941" spans="1:12" x14ac:dyDescent="0.35">
      <c r="A4941">
        <f t="shared" si="281"/>
        <v>4940</v>
      </c>
      <c r="B4941" t="s">
        <v>763</v>
      </c>
      <c r="C4941" s="109" t="str">
        <f>IF(ISBLANK(K4941),IFERROR(VLOOKUP(I4941,FS_input_data!$C$458:$N$648,Export!J4941,FALSE),""),K4941)</f>
        <v/>
      </c>
      <c r="D4941" s="6"/>
      <c r="E4941" s="6"/>
      <c r="F4941" s="6"/>
      <c r="G4941" s="115" t="b">
        <f>VLOOKUP(I4920,FS_input_noty,J4920,FALSE)=""</f>
        <v>0</v>
      </c>
      <c r="H4941" s="6" t="s">
        <v>2189</v>
      </c>
      <c r="I4941" t="s">
        <v>1561</v>
      </c>
      <c r="J4941" t="s">
        <v>1561</v>
      </c>
      <c r="L4941">
        <f t="shared" si="280"/>
        <v>1</v>
      </c>
    </row>
    <row r="4942" spans="1:12" x14ac:dyDescent="0.35">
      <c r="A4942">
        <f t="shared" si="281"/>
        <v>4941</v>
      </c>
      <c r="B4942" t="s">
        <v>743</v>
      </c>
      <c r="C4942" s="109" t="str">
        <f>IF(ISBLANK(K4942),IFERROR(VLOOKUP(I4942,FS_input_data!$C$458:$N$648,Export!J4942,FALSE),""),K4942)</f>
        <v/>
      </c>
      <c r="D4942" s="6"/>
      <c r="E4942" s="6"/>
      <c r="F4942" s="6"/>
      <c r="G4942" s="115" t="b">
        <f>VLOOKUP(I4920,FS_input_noty,J4920,FALSE)=""</f>
        <v>0</v>
      </c>
      <c r="H4942" s="6" t="s">
        <v>2189</v>
      </c>
      <c r="I4942" t="s">
        <v>1561</v>
      </c>
      <c r="J4942" t="s">
        <v>1561</v>
      </c>
      <c r="L4942">
        <f t="shared" si="280"/>
        <v>1</v>
      </c>
    </row>
    <row r="4943" spans="1:12" x14ac:dyDescent="0.35">
      <c r="A4943">
        <f t="shared" si="281"/>
        <v>4942</v>
      </c>
      <c r="B4943" t="s">
        <v>744</v>
      </c>
      <c r="C4943" s="109" t="str">
        <f>IF(ISBLANK(K4943),IFERROR(VLOOKUP(I4943,FS_input_data!$C$458:$N$648,Export!J4943,FALSE),""),K4943)</f>
        <v/>
      </c>
      <c r="D4943" s="6"/>
      <c r="E4943" s="6"/>
      <c r="F4943" s="6"/>
      <c r="G4943" s="115" t="b">
        <f t="shared" ref="G4943:G4950" si="282">RP_tax</f>
        <v>1</v>
      </c>
      <c r="H4943" s="6" t="s">
        <v>2189</v>
      </c>
      <c r="I4943" t="s">
        <v>1561</v>
      </c>
      <c r="J4943" t="s">
        <v>1561</v>
      </c>
      <c r="L4943" s="26" t="e">
        <f t="shared" si="280"/>
        <v>#VALUE!</v>
      </c>
    </row>
    <row r="4944" spans="1:12" x14ac:dyDescent="0.35">
      <c r="A4944" s="9">
        <f t="shared" si="281"/>
        <v>4943</v>
      </c>
      <c r="B4944" t="s">
        <v>109</v>
      </c>
      <c r="C4944" s="109">
        <f>IF(ISBLANK(K4944),IFERROR(VLOOKUP(I4944,FS_input_data!$C$458:$N$648,Export!J4944,FALSE),""),K4944)</f>
        <v>30000</v>
      </c>
      <c r="D4944" s="6" t="b">
        <v>1</v>
      </c>
      <c r="E4944" s="6"/>
      <c r="F4944" s="6"/>
      <c r="G4944" s="115" t="b">
        <f t="shared" si="282"/>
        <v>1</v>
      </c>
      <c r="H4944" s="6" t="s">
        <v>2189</v>
      </c>
      <c r="I4944" t="s">
        <v>1958</v>
      </c>
      <c r="J4944">
        <v>10</v>
      </c>
      <c r="L4944" s="26" t="e">
        <f t="shared" si="280"/>
        <v>#VALUE!</v>
      </c>
    </row>
    <row r="4945" spans="1:12" x14ac:dyDescent="0.35">
      <c r="A4945">
        <f t="shared" si="281"/>
        <v>4944</v>
      </c>
      <c r="B4945" t="s">
        <v>110</v>
      </c>
      <c r="C4945" s="109" t="str">
        <f>IF(ISBLANK(K4945),IFERROR(VLOOKUP(I4945,FS_input_data!$C$458:$N$648,Export!J4945,FALSE),""),K4945)</f>
        <v/>
      </c>
      <c r="D4945" s="6"/>
      <c r="E4945" s="6"/>
      <c r="F4945" s="6"/>
      <c r="G4945" s="115" t="b">
        <f t="shared" si="282"/>
        <v>1</v>
      </c>
      <c r="H4945" s="6" t="s">
        <v>2189</v>
      </c>
      <c r="I4945" t="s">
        <v>1561</v>
      </c>
      <c r="J4945" t="s">
        <v>1561</v>
      </c>
      <c r="L4945">
        <f t="shared" si="280"/>
        <v>1</v>
      </c>
    </row>
    <row r="4946" spans="1:12" x14ac:dyDescent="0.35">
      <c r="A4946" s="9">
        <f t="shared" si="281"/>
        <v>4945</v>
      </c>
      <c r="B4946" t="s">
        <v>111</v>
      </c>
      <c r="C4946" s="109">
        <f>IF(ISBLANK(K4946),IFERROR(VLOOKUP(I4946,FS_input_data!$C$458:$N$648,Export!J4946,FALSE),""),K4946)</f>
        <v>15000</v>
      </c>
      <c r="D4946" s="6" t="b">
        <v>0</v>
      </c>
      <c r="E4946" s="6"/>
      <c r="F4946" s="6"/>
      <c r="G4946" s="115" t="b">
        <f t="shared" si="282"/>
        <v>1</v>
      </c>
      <c r="H4946" s="6" t="s">
        <v>2189</v>
      </c>
      <c r="I4946" t="s">
        <v>1958</v>
      </c>
      <c r="J4946">
        <v>11</v>
      </c>
      <c r="L4946" s="26" t="e">
        <f t="shared" si="280"/>
        <v>#VALUE!</v>
      </c>
    </row>
    <row r="4947" spans="1:12" x14ac:dyDescent="0.35">
      <c r="A4947">
        <f t="shared" si="281"/>
        <v>4946</v>
      </c>
      <c r="B4947" t="s">
        <v>112</v>
      </c>
      <c r="C4947" s="109" t="str">
        <f>IF(ISBLANK(K4947),IFERROR(VLOOKUP(I4947,FS_input_data!$C$458:$N$648,Export!J4947,FALSE),""),K4947)</f>
        <v/>
      </c>
      <c r="D4947" s="6"/>
      <c r="E4947" s="6"/>
      <c r="F4947" s="6"/>
      <c r="G4947" s="115" t="b">
        <f t="shared" si="282"/>
        <v>1</v>
      </c>
      <c r="H4947" s="6" t="s">
        <v>2189</v>
      </c>
      <c r="I4947" t="s">
        <v>1561</v>
      </c>
      <c r="J4947" t="s">
        <v>1561</v>
      </c>
      <c r="L4947">
        <f t="shared" si="280"/>
        <v>1</v>
      </c>
    </row>
    <row r="4948" spans="1:12" x14ac:dyDescent="0.35">
      <c r="A4948" s="9">
        <f t="shared" si="281"/>
        <v>4947</v>
      </c>
      <c r="B4948" t="s">
        <v>749</v>
      </c>
      <c r="C4948" s="109">
        <f>IF(ISBLANK(K4948),IFERROR(VLOOKUP(I4948,FS_input_data!$C$458:$N$648,Export!J4948,FALSE),""),K4948)</f>
        <v>15000</v>
      </c>
      <c r="D4948" s="6" t="b">
        <v>0</v>
      </c>
      <c r="E4948" s="6"/>
      <c r="F4948" s="6"/>
      <c r="G4948" s="115" t="b">
        <f t="shared" si="282"/>
        <v>1</v>
      </c>
      <c r="H4948" s="6" t="s">
        <v>2189</v>
      </c>
      <c r="I4948" t="s">
        <v>1958</v>
      </c>
      <c r="J4948">
        <v>12</v>
      </c>
      <c r="L4948" s="26" t="e">
        <f t="shared" si="280"/>
        <v>#VALUE!</v>
      </c>
    </row>
    <row r="4949" spans="1:12" x14ac:dyDescent="0.35">
      <c r="A4949">
        <f t="shared" si="281"/>
        <v>4948</v>
      </c>
      <c r="B4949" t="s">
        <v>750</v>
      </c>
      <c r="C4949" s="109" t="str">
        <f>IF(ISBLANK(K4949),IFERROR(VLOOKUP(I4949,FS_input_data!$C$458:$N$648,Export!J4949,FALSE),""),K4949)</f>
        <v/>
      </c>
      <c r="D4949" s="6"/>
      <c r="E4949" s="6"/>
      <c r="F4949" s="6"/>
      <c r="G4949" s="115" t="b">
        <f t="shared" si="282"/>
        <v>1</v>
      </c>
      <c r="H4949" s="6" t="s">
        <v>2189</v>
      </c>
      <c r="I4949" t="s">
        <v>1561</v>
      </c>
      <c r="J4949" t="s">
        <v>1561</v>
      </c>
      <c r="L4949">
        <f t="shared" si="280"/>
        <v>1</v>
      </c>
    </row>
    <row r="4950" spans="1:12" x14ac:dyDescent="0.35">
      <c r="A4950">
        <f t="shared" si="281"/>
        <v>4949</v>
      </c>
      <c r="B4950" t="s">
        <v>745</v>
      </c>
      <c r="C4950" s="109" t="str">
        <f>IF(ISBLANK(K4950),IFERROR(VLOOKUP(I4950,FS_input_data!$C$458:$N$648,Export!J4950,FALSE),""),K4950)</f>
        <v/>
      </c>
      <c r="D4950" s="6"/>
      <c r="E4950" s="6"/>
      <c r="F4950" s="6"/>
      <c r="G4950" s="115" t="b">
        <f t="shared" si="282"/>
        <v>1</v>
      </c>
      <c r="H4950" s="6" t="s">
        <v>2189</v>
      </c>
      <c r="I4950" t="s">
        <v>1561</v>
      </c>
      <c r="J4950" t="s">
        <v>1561</v>
      </c>
      <c r="L4950">
        <f t="shared" si="280"/>
        <v>1</v>
      </c>
    </row>
    <row r="4951" spans="1:12" x14ac:dyDescent="0.35">
      <c r="A4951">
        <f t="shared" si="281"/>
        <v>4950</v>
      </c>
      <c r="B4951" t="s">
        <v>764</v>
      </c>
      <c r="C4951" s="109" t="str">
        <f>IF(ISBLANK(K4951),IFERROR(VLOOKUP(I4951,FS_input_data!$C$458:$N$648,Export!J4951,FALSE),""),K4951)</f>
        <v/>
      </c>
      <c r="D4951" s="6"/>
      <c r="E4951" s="6"/>
      <c r="F4951" s="6"/>
      <c r="G4951" s="115" t="b">
        <f>VLOOKUP(I4920,FS_input_noty,J4920,FALSE)=""</f>
        <v>0</v>
      </c>
      <c r="H4951" s="6" t="s">
        <v>2189</v>
      </c>
      <c r="I4951" t="s">
        <v>1561</v>
      </c>
      <c r="J4951" t="s">
        <v>1561</v>
      </c>
      <c r="L4951">
        <f t="shared" si="280"/>
        <v>1</v>
      </c>
    </row>
    <row r="4952" spans="1:12" x14ac:dyDescent="0.35">
      <c r="A4952">
        <f t="shared" si="281"/>
        <v>4951</v>
      </c>
      <c r="B4952" t="s">
        <v>765</v>
      </c>
      <c r="C4952" s="109" t="str">
        <f>IF(ISBLANK(K4952),IFERROR(VLOOKUP(I4952,FS_input_data!$C$458:$N$648,Export!J4952,FALSE),""),K4952)</f>
        <v/>
      </c>
      <c r="D4952" s="6"/>
      <c r="E4952" s="6"/>
      <c r="F4952" s="6"/>
      <c r="G4952" s="115" t="b">
        <f>VLOOKUP(I4920,FS_input_noty,J4920,FALSE)=""</f>
        <v>0</v>
      </c>
      <c r="H4952" s="6" t="s">
        <v>2189</v>
      </c>
      <c r="I4952" t="s">
        <v>1561</v>
      </c>
      <c r="J4952" t="s">
        <v>1561</v>
      </c>
      <c r="L4952">
        <f t="shared" si="280"/>
        <v>1</v>
      </c>
    </row>
    <row r="4953" spans="1:12" x14ac:dyDescent="0.35">
      <c r="A4953">
        <f t="shared" si="281"/>
        <v>4952</v>
      </c>
      <c r="B4953" t="s">
        <v>752</v>
      </c>
      <c r="C4953" s="109" t="str">
        <f>IF(ISBLANK(K4953),IFERROR(VLOOKUP(I4953,FS_input_data!$C$458:$N$648,Export!J4953,FALSE),""),K4953)</f>
        <v/>
      </c>
      <c r="D4953" s="6"/>
      <c r="E4953" s="6"/>
      <c r="F4953" s="6"/>
      <c r="G4953" s="115" t="b">
        <f>VLOOKUP(I4954,FS_input_noty,J4954,FALSE)=""</f>
        <v>0</v>
      </c>
      <c r="H4953" s="6" t="s">
        <v>2189</v>
      </c>
      <c r="I4953" t="s">
        <v>1561</v>
      </c>
      <c r="J4953" t="s">
        <v>1561</v>
      </c>
      <c r="L4953" s="26" t="e">
        <f t="shared" si="280"/>
        <v>#VALUE!</v>
      </c>
    </row>
    <row r="4954" spans="1:12" x14ac:dyDescent="0.35">
      <c r="A4954" s="9">
        <f t="shared" si="281"/>
        <v>4953</v>
      </c>
      <c r="B4954" t="s">
        <v>101</v>
      </c>
      <c r="C4954" s="109" t="str">
        <f>IF(ISBLANK(K4954),IFERROR(VLOOKUP(I4954,FS_input_data!$C$458:$N$648,Export!J4954,FALSE),""),K4954)</f>
        <v>OC52</v>
      </c>
      <c r="D4954" s="6" t="b">
        <v>1</v>
      </c>
      <c r="E4954" s="6"/>
      <c r="F4954" s="6"/>
      <c r="G4954" s="115" t="b">
        <f>VLOOKUP(I4954,FS_input_noty,J4954,FALSE)=""</f>
        <v>0</v>
      </c>
      <c r="H4954" s="6" t="s">
        <v>2189</v>
      </c>
      <c r="I4954" t="s">
        <v>1960</v>
      </c>
      <c r="J4954">
        <v>6</v>
      </c>
      <c r="L4954" s="26" t="e">
        <f t="shared" si="280"/>
        <v>#VALUE!</v>
      </c>
    </row>
    <row r="4955" spans="1:12" x14ac:dyDescent="0.35">
      <c r="A4955">
        <f t="shared" si="281"/>
        <v>4954</v>
      </c>
      <c r="B4955" t="s">
        <v>102</v>
      </c>
      <c r="C4955" s="109" t="str">
        <f>IF(ISBLANK(K4955),IFERROR(VLOOKUP(I4955,FS_input_data!$C$458:$N$648,Export!J4955,FALSE),""),K4955)</f>
        <v/>
      </c>
      <c r="D4955" s="6"/>
      <c r="E4955" s="6"/>
      <c r="F4955" s="6"/>
      <c r="G4955" s="115" t="b">
        <f>VLOOKUP(I4954,FS_input_noty,J4954,FALSE)=""</f>
        <v>0</v>
      </c>
      <c r="H4955" s="6" t="s">
        <v>2189</v>
      </c>
      <c r="I4955" t="s">
        <v>1561</v>
      </c>
      <c r="J4955" t="s">
        <v>1561</v>
      </c>
      <c r="L4955">
        <f t="shared" si="280"/>
        <v>1</v>
      </c>
    </row>
    <row r="4956" spans="1:12" x14ac:dyDescent="0.35">
      <c r="A4956">
        <f t="shared" si="281"/>
        <v>4955</v>
      </c>
      <c r="B4956" t="s">
        <v>753</v>
      </c>
      <c r="C4956" s="109" t="str">
        <f>IF(ISBLANK(K4956),IFERROR(VLOOKUP(I4956,FS_input_data!$C$458:$N$648,Export!J4956,FALSE),""),K4956)</f>
        <v/>
      </c>
      <c r="D4956" s="6"/>
      <c r="E4956" s="6"/>
      <c r="F4956" s="6"/>
      <c r="G4956" s="115" t="b">
        <f>VLOOKUP(I4954,FS_input_noty,J4954,FALSE)=""</f>
        <v>0</v>
      </c>
      <c r="H4956" s="6" t="s">
        <v>2189</v>
      </c>
      <c r="I4956" t="s">
        <v>1561</v>
      </c>
      <c r="J4956" t="s">
        <v>1561</v>
      </c>
      <c r="L4956" s="26" t="e">
        <f t="shared" si="280"/>
        <v>#VALUE!</v>
      </c>
    </row>
    <row r="4957" spans="1:12" x14ac:dyDescent="0.35">
      <c r="A4957">
        <f t="shared" si="281"/>
        <v>4956</v>
      </c>
      <c r="B4957" t="s">
        <v>742</v>
      </c>
      <c r="C4957" s="109" t="str">
        <f>IF(ISBLANK(K4957),IFERROR(VLOOKUP(I4957,FS_input_data!$C$458:$N$648,Export!J4957,FALSE),""),K4957)</f>
        <v/>
      </c>
      <c r="D4957" s="6"/>
      <c r="E4957" s="6"/>
      <c r="F4957" s="6"/>
      <c r="G4957" s="115" t="b">
        <f>VLOOKUP(I4954,FS_input_noty,J4954,FALSE)=""</f>
        <v>0</v>
      </c>
      <c r="H4957" s="6" t="s">
        <v>2189</v>
      </c>
      <c r="I4957" t="s">
        <v>1561</v>
      </c>
      <c r="J4957" t="s">
        <v>1561</v>
      </c>
      <c r="L4957" s="26" t="e">
        <f t="shared" si="280"/>
        <v>#VALUE!</v>
      </c>
    </row>
    <row r="4958" spans="1:12" x14ac:dyDescent="0.35">
      <c r="A4958">
        <f t="shared" si="281"/>
        <v>4957</v>
      </c>
      <c r="B4958" t="s">
        <v>748</v>
      </c>
      <c r="C4958" s="109" t="str">
        <f>IF(ISBLANK(K4958),IFERROR(VLOOKUP(I4958,FS_input_data!$C$458:$N$648,Export!J4958,FALSE),""),K4958)</f>
        <v/>
      </c>
      <c r="D4958" s="6"/>
      <c r="E4958" s="6"/>
      <c r="F4958" s="6"/>
      <c r="G4958" s="115" t="b">
        <f>VLOOKUP(I4954,FS_input_noty,J4954,FALSE)=""</f>
        <v>0</v>
      </c>
      <c r="H4958" s="6" t="s">
        <v>2189</v>
      </c>
      <c r="I4958" t="s">
        <v>1561</v>
      </c>
      <c r="J4958" t="s">
        <v>1561</v>
      </c>
      <c r="L4958" s="26" t="e">
        <f t="shared" si="280"/>
        <v>#VALUE!</v>
      </c>
    </row>
    <row r="4959" spans="1:12" x14ac:dyDescent="0.35">
      <c r="A4959" s="9">
        <f t="shared" si="281"/>
        <v>4958</v>
      </c>
      <c r="B4959" t="s">
        <v>109</v>
      </c>
      <c r="C4959" s="109">
        <f>IF(ISBLANK(K4959),IFERROR(VLOOKUP(I4959,FS_input_data!$C$458:$N$648,Export!J4959,FALSE),""),K4959)</f>
        <v>31000</v>
      </c>
      <c r="D4959" s="6" t="b">
        <v>1</v>
      </c>
      <c r="E4959" s="6"/>
      <c r="F4959" s="6"/>
      <c r="G4959" s="115" t="b">
        <f>VLOOKUP(I4954,FS_input_noty,J4954,FALSE)=""</f>
        <v>0</v>
      </c>
      <c r="H4959" s="6" t="s">
        <v>2189</v>
      </c>
      <c r="I4959" t="s">
        <v>1960</v>
      </c>
      <c r="J4959">
        <v>7</v>
      </c>
      <c r="L4959" s="26" t="e">
        <f t="shared" si="280"/>
        <v>#VALUE!</v>
      </c>
    </row>
    <row r="4960" spans="1:12" x14ac:dyDescent="0.35">
      <c r="A4960">
        <f t="shared" si="281"/>
        <v>4959</v>
      </c>
      <c r="B4960" t="s">
        <v>110</v>
      </c>
      <c r="C4960" s="109" t="str">
        <f>IF(ISBLANK(K4960),IFERROR(VLOOKUP(I4960,FS_input_data!$C$458:$N$648,Export!J4960,FALSE),""),K4960)</f>
        <v/>
      </c>
      <c r="D4960" s="6"/>
      <c r="E4960" s="6"/>
      <c r="F4960" s="6"/>
      <c r="G4960" s="115" t="b">
        <f>VLOOKUP(I4954,FS_input_noty,J4954,FALSE)=""</f>
        <v>0</v>
      </c>
      <c r="H4960" s="6" t="s">
        <v>2189</v>
      </c>
      <c r="I4960" t="s">
        <v>1561</v>
      </c>
      <c r="J4960" t="s">
        <v>1561</v>
      </c>
      <c r="L4960">
        <f t="shared" si="280"/>
        <v>1</v>
      </c>
    </row>
    <row r="4961" spans="1:12" x14ac:dyDescent="0.35">
      <c r="A4961" s="9">
        <f t="shared" si="281"/>
        <v>4960</v>
      </c>
      <c r="B4961" t="s">
        <v>111</v>
      </c>
      <c r="C4961" s="109">
        <f>IF(ISBLANK(K4961),IFERROR(VLOOKUP(I4961,FS_input_data!$C$458:$N$648,Export!J4961,FALSE),""),K4961)</f>
        <v>15500</v>
      </c>
      <c r="D4961" s="6" t="b">
        <v>0</v>
      </c>
      <c r="E4961" s="6"/>
      <c r="F4961" s="6"/>
      <c r="G4961" s="115" t="b">
        <f>VLOOKUP(I4954,FS_input_noty,J4954,TRUE)=""</f>
        <v>0</v>
      </c>
      <c r="H4961" s="6" t="s">
        <v>2189</v>
      </c>
      <c r="I4961" t="s">
        <v>1960</v>
      </c>
      <c r="J4961">
        <v>8</v>
      </c>
      <c r="L4961" s="26" t="e">
        <f t="shared" si="280"/>
        <v>#VALUE!</v>
      </c>
    </row>
    <row r="4962" spans="1:12" x14ac:dyDescent="0.35">
      <c r="A4962">
        <f t="shared" si="281"/>
        <v>4961</v>
      </c>
      <c r="B4962" t="s">
        <v>112</v>
      </c>
      <c r="C4962" s="109" t="str">
        <f>IF(ISBLANK(K4962),IFERROR(VLOOKUP(I4962,FS_input_data!$C$458:$N$648,Export!J4962,FALSE),""),K4962)</f>
        <v/>
      </c>
      <c r="D4962" s="6"/>
      <c r="E4962" s="6"/>
      <c r="F4962" s="6"/>
      <c r="G4962" s="115" t="b">
        <f>VLOOKUP(I4954,FS_input_noty,J4954,FALSE)=""</f>
        <v>0</v>
      </c>
      <c r="H4962" s="6" t="s">
        <v>2189</v>
      </c>
      <c r="I4962" t="s">
        <v>1561</v>
      </c>
      <c r="J4962" t="s">
        <v>1561</v>
      </c>
      <c r="L4962">
        <f t="shared" si="280"/>
        <v>1</v>
      </c>
    </row>
    <row r="4963" spans="1:12" x14ac:dyDescent="0.35">
      <c r="A4963" s="9">
        <f t="shared" si="281"/>
        <v>4962</v>
      </c>
      <c r="B4963" t="s">
        <v>749</v>
      </c>
      <c r="C4963" s="109">
        <f>IF(ISBLANK(K4963),IFERROR(VLOOKUP(I4963,FS_input_data!$C$458:$N$648,Export!J4963,FALSE),""),K4963)</f>
        <v>15500</v>
      </c>
      <c r="D4963" s="6" t="b">
        <v>0</v>
      </c>
      <c r="E4963" s="6"/>
      <c r="F4963" s="6"/>
      <c r="G4963" s="115" t="b">
        <f>VLOOKUP(I4954,FS_input_noty,J4954,FALSE)=""</f>
        <v>0</v>
      </c>
      <c r="H4963" s="6" t="s">
        <v>2189</v>
      </c>
      <c r="I4963" t="s">
        <v>1960</v>
      </c>
      <c r="J4963">
        <v>9</v>
      </c>
      <c r="L4963" s="26" t="e">
        <f t="shared" si="280"/>
        <v>#VALUE!</v>
      </c>
    </row>
    <row r="4964" spans="1:12" x14ac:dyDescent="0.35">
      <c r="A4964">
        <f t="shared" si="281"/>
        <v>4963</v>
      </c>
      <c r="B4964" t="s">
        <v>750</v>
      </c>
      <c r="C4964" s="109" t="str">
        <f>IF(ISBLANK(K4964),IFERROR(VLOOKUP(I4964,FS_input_data!$C$458:$N$648,Export!J4964,FALSE),""),K4964)</f>
        <v/>
      </c>
      <c r="D4964" s="6"/>
      <c r="E4964" s="6"/>
      <c r="F4964" s="6"/>
      <c r="G4964" s="115" t="b">
        <f>VLOOKUP(I4954,FS_input_noty,J4954,FALSE)=""</f>
        <v>0</v>
      </c>
      <c r="H4964" s="6" t="s">
        <v>2189</v>
      </c>
      <c r="I4964" t="s">
        <v>1561</v>
      </c>
      <c r="J4964" t="s">
        <v>1561</v>
      </c>
      <c r="L4964">
        <f t="shared" si="280"/>
        <v>1</v>
      </c>
    </row>
    <row r="4965" spans="1:12" x14ac:dyDescent="0.35">
      <c r="A4965">
        <f t="shared" si="281"/>
        <v>4964</v>
      </c>
      <c r="B4965" t="s">
        <v>751</v>
      </c>
      <c r="C4965" s="109" t="str">
        <f>IF(ISBLANK(K4965),IFERROR(VLOOKUP(I4965,FS_input_data!$C$458:$N$648,Export!J4965,FALSE),""),K4965)</f>
        <v/>
      </c>
      <c r="D4965" s="6"/>
      <c r="E4965" s="6"/>
      <c r="F4965" s="6"/>
      <c r="G4965" s="115" t="b">
        <f>VLOOKUP(I4954,FS_input_noty,J4954,FALSE)=""</f>
        <v>0</v>
      </c>
      <c r="H4965" s="6" t="s">
        <v>2189</v>
      </c>
      <c r="I4965" t="s">
        <v>1561</v>
      </c>
      <c r="J4965" t="s">
        <v>1561</v>
      </c>
      <c r="L4965">
        <f t="shared" si="280"/>
        <v>1</v>
      </c>
    </row>
    <row r="4966" spans="1:12" x14ac:dyDescent="0.35">
      <c r="A4966">
        <f t="shared" si="281"/>
        <v>4965</v>
      </c>
      <c r="B4966" t="s">
        <v>754</v>
      </c>
      <c r="C4966" s="109" t="str">
        <f>IF(ISBLANK(K4966),IFERROR(VLOOKUP(I4966,FS_input_data!$C$458:$N$648,Export!J4966,FALSE),""),K4966)</f>
        <v/>
      </c>
      <c r="D4966" s="6"/>
      <c r="E4966" s="6"/>
      <c r="F4966" s="6"/>
      <c r="G4966" s="115" t="b">
        <f>VLOOKUP(I4954,FS_input_noty,J4954,FALSE)=""</f>
        <v>0</v>
      </c>
      <c r="H4966" s="6" t="s">
        <v>2189</v>
      </c>
      <c r="I4966" t="s">
        <v>1561</v>
      </c>
      <c r="J4966" t="s">
        <v>1561</v>
      </c>
      <c r="L4966" s="26" t="e">
        <f t="shared" si="280"/>
        <v>#VALUE!</v>
      </c>
    </row>
    <row r="4967" spans="1:12" x14ac:dyDescent="0.35">
      <c r="A4967" s="9">
        <f t="shared" si="281"/>
        <v>4966</v>
      </c>
      <c r="B4967" t="s">
        <v>755</v>
      </c>
      <c r="C4967" s="109">
        <f>IF(ISBLANK(K4967),IFERROR(VLOOKUP(I4967,FS_input_data!$C$458:$N$648,Export!J4967,FALSE),""),K4967)</f>
        <v>75</v>
      </c>
      <c r="D4967" s="6" t="b">
        <v>1</v>
      </c>
      <c r="E4967" s="6"/>
      <c r="F4967" s="6"/>
      <c r="G4967" s="115" t="b">
        <f>VLOOKUP(I4954,FS_input_noty,J4954,FALSE)=""</f>
        <v>0</v>
      </c>
      <c r="H4967" s="6" t="s">
        <v>2189</v>
      </c>
      <c r="I4967" t="s">
        <v>1960</v>
      </c>
      <c r="J4967">
        <v>2</v>
      </c>
      <c r="L4967" s="26" t="e">
        <f t="shared" si="280"/>
        <v>#VALUE!</v>
      </c>
    </row>
    <row r="4968" spans="1:12" x14ac:dyDescent="0.35">
      <c r="A4968">
        <f t="shared" si="281"/>
        <v>4967</v>
      </c>
      <c r="B4968" t="s">
        <v>756</v>
      </c>
      <c r="C4968" s="109" t="str">
        <f>IF(ISBLANK(K4968),IFERROR(VLOOKUP(I4968,FS_input_data!$C$458:$N$648,Export!J4968,FALSE),""),K4968)</f>
        <v/>
      </c>
      <c r="D4968" s="6"/>
      <c r="E4968" s="6"/>
      <c r="F4968" s="6"/>
      <c r="G4968" s="115" t="b">
        <f>VLOOKUP(I4954,FS_input_noty,J4954,FALSE)=""</f>
        <v>0</v>
      </c>
      <c r="H4968" s="6" t="s">
        <v>2189</v>
      </c>
      <c r="I4968" t="s">
        <v>1561</v>
      </c>
      <c r="J4968" t="s">
        <v>1561</v>
      </c>
      <c r="L4968">
        <f t="shared" si="280"/>
        <v>1</v>
      </c>
    </row>
    <row r="4969" spans="1:12" x14ac:dyDescent="0.35">
      <c r="A4969" s="9">
        <f t="shared" si="281"/>
        <v>4968</v>
      </c>
      <c r="B4969" t="s">
        <v>757</v>
      </c>
      <c r="C4969" s="109">
        <f>IF(ISBLANK(K4969),IFERROR(VLOOKUP(I4969,FS_input_data!$C$458:$N$648,Export!J4969,FALSE),""),K4969)</f>
        <v>175</v>
      </c>
      <c r="D4969" s="6" t="b">
        <v>0</v>
      </c>
      <c r="E4969" s="6"/>
      <c r="F4969" s="6"/>
      <c r="G4969" s="115" t="b">
        <f>VLOOKUP(I4954,FS_input_noty,J4954,FALSE)=""</f>
        <v>0</v>
      </c>
      <c r="H4969" s="6" t="s">
        <v>2189</v>
      </c>
      <c r="I4969" t="s">
        <v>1960</v>
      </c>
      <c r="J4969">
        <v>3</v>
      </c>
      <c r="L4969" s="26" t="e">
        <f t="shared" si="280"/>
        <v>#VALUE!</v>
      </c>
    </row>
    <row r="4970" spans="1:12" x14ac:dyDescent="0.35">
      <c r="A4970">
        <f t="shared" si="281"/>
        <v>4969</v>
      </c>
      <c r="B4970" t="s">
        <v>758</v>
      </c>
      <c r="C4970" s="109" t="str">
        <f>IF(ISBLANK(K4970),IFERROR(VLOOKUP(I4970,FS_input_data!$C$458:$N$648,Export!J4970,FALSE),""),K4970)</f>
        <v/>
      </c>
      <c r="D4970" s="6"/>
      <c r="E4970" s="6"/>
      <c r="F4970" s="6"/>
      <c r="G4970" s="115" t="b">
        <f>VLOOKUP(I4954,FS_input_noty,J4954,FALSE)=""</f>
        <v>0</v>
      </c>
      <c r="H4970" s="6" t="s">
        <v>2189</v>
      </c>
      <c r="I4970" t="s">
        <v>1561</v>
      </c>
      <c r="J4970" t="s">
        <v>1561</v>
      </c>
      <c r="L4970">
        <f t="shared" si="280"/>
        <v>1</v>
      </c>
    </row>
    <row r="4971" spans="1:12" x14ac:dyDescent="0.35">
      <c r="A4971" s="9">
        <f t="shared" si="281"/>
        <v>4970</v>
      </c>
      <c r="B4971" t="s">
        <v>759</v>
      </c>
      <c r="C4971" s="109">
        <f>IF(ISBLANK(K4971),IFERROR(VLOOKUP(I4971,FS_input_data!$C$458:$N$648,Export!J4971,FALSE),""),K4971)</f>
        <v>275</v>
      </c>
      <c r="D4971" s="6" t="b">
        <v>0</v>
      </c>
      <c r="E4971" s="6"/>
      <c r="F4971" s="6"/>
      <c r="G4971" s="115" t="b">
        <f>VLOOKUP(I4954,FS_input_noty,J4954,FALSE)=""</f>
        <v>0</v>
      </c>
      <c r="H4971" s="6" t="s">
        <v>2189</v>
      </c>
      <c r="I4971" t="s">
        <v>1960</v>
      </c>
      <c r="J4971">
        <v>4</v>
      </c>
      <c r="L4971" s="26" t="e">
        <f t="shared" si="280"/>
        <v>#VALUE!</v>
      </c>
    </row>
    <row r="4972" spans="1:12" x14ac:dyDescent="0.35">
      <c r="A4972">
        <f t="shared" si="281"/>
        <v>4971</v>
      </c>
      <c r="B4972" t="s">
        <v>760</v>
      </c>
      <c r="C4972" s="109" t="str">
        <f>IF(ISBLANK(K4972),IFERROR(VLOOKUP(I4972,FS_input_data!$C$458:$N$648,Export!J4972,FALSE),""),K4972)</f>
        <v/>
      </c>
      <c r="D4972" s="6"/>
      <c r="E4972" s="6"/>
      <c r="F4972" s="6"/>
      <c r="G4972" s="115" t="b">
        <f>VLOOKUP(I4954,FS_input_noty,J4954,FALSE)=""</f>
        <v>0</v>
      </c>
      <c r="H4972" s="6" t="s">
        <v>2189</v>
      </c>
      <c r="I4972" t="s">
        <v>1561</v>
      </c>
      <c r="J4972" t="s">
        <v>1561</v>
      </c>
      <c r="L4972">
        <f t="shared" si="280"/>
        <v>1</v>
      </c>
    </row>
    <row r="4973" spans="1:12" x14ac:dyDescent="0.35">
      <c r="A4973" s="9">
        <f t="shared" si="281"/>
        <v>4972</v>
      </c>
      <c r="B4973" t="s">
        <v>761</v>
      </c>
      <c r="C4973" s="109" t="str">
        <f>IF(ISBLANK(K4973),IFERROR(VLOOKUP(I4973,FS_input_data!$C$458:$N$648,Export!J4973,FALSE),""),K4973)</f>
        <v>i</v>
      </c>
      <c r="D4973" s="6" t="b">
        <v>0</v>
      </c>
      <c r="E4973" s="6"/>
      <c r="F4973" s="6"/>
      <c r="G4973" s="115" t="b">
        <f>VLOOKUP(I4954,FS_input_noty,J4954,FALSE)=""</f>
        <v>0</v>
      </c>
      <c r="H4973" s="6" t="s">
        <v>2189</v>
      </c>
      <c r="I4973" t="s">
        <v>1960</v>
      </c>
      <c r="J4973">
        <v>5</v>
      </c>
      <c r="L4973" s="26" t="e">
        <f t="shared" si="280"/>
        <v>#VALUE!</v>
      </c>
    </row>
    <row r="4974" spans="1:12" x14ac:dyDescent="0.35">
      <c r="A4974">
        <f t="shared" si="281"/>
        <v>4973</v>
      </c>
      <c r="B4974" t="s">
        <v>762</v>
      </c>
      <c r="C4974" s="109" t="str">
        <f>IF(ISBLANK(K4974),IFERROR(VLOOKUP(I4974,FS_input_data!$C$458:$N$648,Export!J4974,FALSE),""),K4974)</f>
        <v/>
      </c>
      <c r="D4974" s="6"/>
      <c r="E4974" s="6"/>
      <c r="F4974" s="6"/>
      <c r="G4974" s="115" t="b">
        <f>VLOOKUP(I4954,FS_input_noty,J4954,FALSE)=""</f>
        <v>0</v>
      </c>
      <c r="H4974" s="6" t="s">
        <v>2189</v>
      </c>
      <c r="I4974" t="s">
        <v>1561</v>
      </c>
      <c r="J4974" t="s">
        <v>1561</v>
      </c>
      <c r="L4974">
        <f t="shared" si="280"/>
        <v>1</v>
      </c>
    </row>
    <row r="4975" spans="1:12" x14ac:dyDescent="0.35">
      <c r="A4975">
        <f t="shared" si="281"/>
        <v>4974</v>
      </c>
      <c r="B4975" t="s">
        <v>763</v>
      </c>
      <c r="C4975" s="109" t="str">
        <f>IF(ISBLANK(K4975),IFERROR(VLOOKUP(I4975,FS_input_data!$C$458:$N$648,Export!J4975,FALSE),""),K4975)</f>
        <v/>
      </c>
      <c r="D4975" s="6"/>
      <c r="E4975" s="6"/>
      <c r="F4975" s="6"/>
      <c r="G4975" s="115" t="b">
        <f>VLOOKUP(I4954,FS_input_noty,J4954,FALSE)=""</f>
        <v>0</v>
      </c>
      <c r="H4975" s="6" t="s">
        <v>2189</v>
      </c>
      <c r="I4975" t="s">
        <v>1561</v>
      </c>
      <c r="J4975" t="s">
        <v>1561</v>
      </c>
      <c r="L4975">
        <f t="shared" si="280"/>
        <v>1</v>
      </c>
    </row>
    <row r="4976" spans="1:12" x14ac:dyDescent="0.35">
      <c r="A4976">
        <f t="shared" si="281"/>
        <v>4975</v>
      </c>
      <c r="B4976" t="s">
        <v>743</v>
      </c>
      <c r="C4976" s="109" t="str">
        <f>IF(ISBLANK(K4976),IFERROR(VLOOKUP(I4976,FS_input_data!$C$458:$N$648,Export!J4976,FALSE),""),K4976)</f>
        <v/>
      </c>
      <c r="D4976" s="6"/>
      <c r="E4976" s="6"/>
      <c r="F4976" s="6"/>
      <c r="G4976" s="115" t="b">
        <f>VLOOKUP(I4954,FS_input_noty,J4954,FALSE)=""</f>
        <v>0</v>
      </c>
      <c r="H4976" s="6" t="s">
        <v>2189</v>
      </c>
      <c r="I4976" t="s">
        <v>1561</v>
      </c>
      <c r="J4976" t="s">
        <v>1561</v>
      </c>
      <c r="L4976">
        <f t="shared" si="280"/>
        <v>1</v>
      </c>
    </row>
    <row r="4977" spans="1:12" x14ac:dyDescent="0.35">
      <c r="A4977">
        <f t="shared" si="281"/>
        <v>4976</v>
      </c>
      <c r="B4977" t="s">
        <v>744</v>
      </c>
      <c r="C4977" s="109" t="str">
        <f>IF(ISBLANK(K4977),IFERROR(VLOOKUP(I4977,FS_input_data!$C$458:$N$648,Export!J4977,FALSE),""),K4977)</f>
        <v/>
      </c>
      <c r="D4977" s="6"/>
      <c r="E4977" s="6"/>
      <c r="F4977" s="6"/>
      <c r="G4977" s="115" t="b">
        <f t="shared" ref="G4977:G4984" si="283">RP_tax</f>
        <v>1</v>
      </c>
      <c r="H4977" s="6" t="s">
        <v>2189</v>
      </c>
      <c r="I4977" t="s">
        <v>1561</v>
      </c>
      <c r="J4977" t="s">
        <v>1561</v>
      </c>
      <c r="L4977" s="26" t="e">
        <f t="shared" si="280"/>
        <v>#VALUE!</v>
      </c>
    </row>
    <row r="4978" spans="1:12" x14ac:dyDescent="0.35">
      <c r="A4978" s="9">
        <f t="shared" si="281"/>
        <v>4977</v>
      </c>
      <c r="B4978" t="s">
        <v>109</v>
      </c>
      <c r="C4978" s="109">
        <f>IF(ISBLANK(K4978),IFERROR(VLOOKUP(I4978,FS_input_data!$C$458:$N$648,Export!J4978,FALSE),""),K4978)</f>
        <v>31000</v>
      </c>
      <c r="D4978" s="6" t="b">
        <v>1</v>
      </c>
      <c r="E4978" s="6"/>
      <c r="F4978" s="6"/>
      <c r="G4978" s="115" t="b">
        <f t="shared" si="283"/>
        <v>1</v>
      </c>
      <c r="H4978" s="6" t="s">
        <v>2189</v>
      </c>
      <c r="I4978" t="s">
        <v>1960</v>
      </c>
      <c r="J4978">
        <v>10</v>
      </c>
      <c r="L4978" s="26" t="e">
        <f t="shared" si="280"/>
        <v>#VALUE!</v>
      </c>
    </row>
    <row r="4979" spans="1:12" x14ac:dyDescent="0.35">
      <c r="A4979">
        <f t="shared" si="281"/>
        <v>4978</v>
      </c>
      <c r="B4979" t="s">
        <v>110</v>
      </c>
      <c r="C4979" s="109" t="str">
        <f>IF(ISBLANK(K4979),IFERROR(VLOOKUP(I4979,FS_input_data!$C$458:$N$648,Export!J4979,FALSE),""),K4979)</f>
        <v/>
      </c>
      <c r="D4979" s="6"/>
      <c r="E4979" s="6"/>
      <c r="F4979" s="6"/>
      <c r="G4979" s="115" t="b">
        <f t="shared" si="283"/>
        <v>1</v>
      </c>
      <c r="H4979" s="6" t="s">
        <v>2189</v>
      </c>
      <c r="I4979" t="s">
        <v>1561</v>
      </c>
      <c r="J4979" t="s">
        <v>1561</v>
      </c>
      <c r="L4979">
        <f t="shared" si="280"/>
        <v>1</v>
      </c>
    </row>
    <row r="4980" spans="1:12" x14ac:dyDescent="0.35">
      <c r="A4980" s="9">
        <f t="shared" si="281"/>
        <v>4979</v>
      </c>
      <c r="B4980" t="s">
        <v>111</v>
      </c>
      <c r="C4980" s="109">
        <f>IF(ISBLANK(K4980),IFERROR(VLOOKUP(I4980,FS_input_data!$C$458:$N$648,Export!J4980,FALSE),""),K4980)</f>
        <v>15500</v>
      </c>
      <c r="D4980" s="6" t="b">
        <v>0</v>
      </c>
      <c r="E4980" s="6"/>
      <c r="F4980" s="6"/>
      <c r="G4980" s="115" t="b">
        <f t="shared" si="283"/>
        <v>1</v>
      </c>
      <c r="H4980" s="6" t="s">
        <v>2189</v>
      </c>
      <c r="I4980" t="s">
        <v>1960</v>
      </c>
      <c r="J4980">
        <v>11</v>
      </c>
      <c r="L4980" s="26" t="e">
        <f t="shared" si="280"/>
        <v>#VALUE!</v>
      </c>
    </row>
    <row r="4981" spans="1:12" x14ac:dyDescent="0.35">
      <c r="A4981">
        <f t="shared" si="281"/>
        <v>4980</v>
      </c>
      <c r="B4981" t="s">
        <v>112</v>
      </c>
      <c r="C4981" s="109" t="str">
        <f>IF(ISBLANK(K4981),IFERROR(VLOOKUP(I4981,FS_input_data!$C$458:$N$648,Export!J4981,FALSE),""),K4981)</f>
        <v/>
      </c>
      <c r="D4981" s="6"/>
      <c r="E4981" s="6"/>
      <c r="F4981" s="6"/>
      <c r="G4981" s="115" t="b">
        <f t="shared" si="283"/>
        <v>1</v>
      </c>
      <c r="H4981" s="6" t="s">
        <v>2189</v>
      </c>
      <c r="I4981" t="s">
        <v>1561</v>
      </c>
      <c r="J4981" t="s">
        <v>1561</v>
      </c>
      <c r="L4981">
        <f t="shared" si="280"/>
        <v>1</v>
      </c>
    </row>
    <row r="4982" spans="1:12" x14ac:dyDescent="0.35">
      <c r="A4982" s="9">
        <f t="shared" si="281"/>
        <v>4981</v>
      </c>
      <c r="B4982" t="s">
        <v>749</v>
      </c>
      <c r="C4982" s="109">
        <f>IF(ISBLANK(K4982),IFERROR(VLOOKUP(I4982,FS_input_data!$C$458:$N$648,Export!J4982,FALSE),""),K4982)</f>
        <v>15500</v>
      </c>
      <c r="D4982" s="6" t="b">
        <v>0</v>
      </c>
      <c r="E4982" s="6"/>
      <c r="F4982" s="6"/>
      <c r="G4982" s="115" t="b">
        <f t="shared" si="283"/>
        <v>1</v>
      </c>
      <c r="H4982" s="6" t="s">
        <v>2189</v>
      </c>
      <c r="I4982" t="s">
        <v>1960</v>
      </c>
      <c r="J4982">
        <v>12</v>
      </c>
      <c r="L4982" s="26" t="e">
        <f t="shared" si="280"/>
        <v>#VALUE!</v>
      </c>
    </row>
    <row r="4983" spans="1:12" x14ac:dyDescent="0.35">
      <c r="A4983">
        <f t="shared" si="281"/>
        <v>4982</v>
      </c>
      <c r="B4983" t="s">
        <v>750</v>
      </c>
      <c r="C4983" s="109" t="str">
        <f>IF(ISBLANK(K4983),IFERROR(VLOOKUP(I4983,FS_input_data!$C$458:$N$648,Export!J4983,FALSE),""),K4983)</f>
        <v/>
      </c>
      <c r="D4983" s="6"/>
      <c r="E4983" s="6"/>
      <c r="F4983" s="6"/>
      <c r="G4983" s="115" t="b">
        <f t="shared" si="283"/>
        <v>1</v>
      </c>
      <c r="H4983" s="6" t="s">
        <v>2189</v>
      </c>
      <c r="I4983" t="s">
        <v>1561</v>
      </c>
      <c r="J4983" t="s">
        <v>1561</v>
      </c>
      <c r="L4983">
        <f t="shared" si="280"/>
        <v>1</v>
      </c>
    </row>
    <row r="4984" spans="1:12" x14ac:dyDescent="0.35">
      <c r="A4984">
        <f t="shared" si="281"/>
        <v>4983</v>
      </c>
      <c r="B4984" t="s">
        <v>745</v>
      </c>
      <c r="C4984" s="109" t="str">
        <f>IF(ISBLANK(K4984),IFERROR(VLOOKUP(I4984,FS_input_data!$C$458:$N$648,Export!J4984,FALSE),""),K4984)</f>
        <v/>
      </c>
      <c r="D4984" s="6"/>
      <c r="E4984" s="6"/>
      <c r="F4984" s="6"/>
      <c r="G4984" s="115" t="b">
        <f t="shared" si="283"/>
        <v>1</v>
      </c>
      <c r="H4984" s="6" t="s">
        <v>2189</v>
      </c>
      <c r="I4984" t="s">
        <v>1561</v>
      </c>
      <c r="J4984" t="s">
        <v>1561</v>
      </c>
      <c r="L4984">
        <f t="shared" si="280"/>
        <v>1</v>
      </c>
    </row>
    <row r="4985" spans="1:12" x14ac:dyDescent="0.35">
      <c r="A4985">
        <f t="shared" si="281"/>
        <v>4984</v>
      </c>
      <c r="B4985" t="s">
        <v>764</v>
      </c>
      <c r="C4985" s="109" t="str">
        <f>IF(ISBLANK(K4985),IFERROR(VLOOKUP(I4985,FS_input_data!$C$458:$N$648,Export!J4985,FALSE),""),K4985)</f>
        <v/>
      </c>
      <c r="D4985" s="6"/>
      <c r="E4985" s="6"/>
      <c r="F4985" s="6"/>
      <c r="G4985" s="115" t="b">
        <f>VLOOKUP(I4954,FS_input_noty,J4954,FALSE)=""</f>
        <v>0</v>
      </c>
      <c r="H4985" s="6" t="s">
        <v>2189</v>
      </c>
      <c r="I4985" t="s">
        <v>1561</v>
      </c>
      <c r="J4985" t="s">
        <v>1561</v>
      </c>
      <c r="L4985">
        <f t="shared" si="280"/>
        <v>1</v>
      </c>
    </row>
    <row r="4986" spans="1:12" x14ac:dyDescent="0.35">
      <c r="A4986">
        <f t="shared" si="281"/>
        <v>4985</v>
      </c>
      <c r="B4986" t="s">
        <v>765</v>
      </c>
      <c r="C4986" s="109" t="str">
        <f>IF(ISBLANK(K4986),IFERROR(VLOOKUP(I4986,FS_input_data!$C$458:$N$648,Export!J4986,FALSE),""),K4986)</f>
        <v/>
      </c>
      <c r="D4986" s="6"/>
      <c r="E4986" s="6"/>
      <c r="F4986" s="6"/>
      <c r="G4986" s="115" t="b">
        <f>VLOOKUP(I4954,FS_input_noty,J4954,FALSE)=""</f>
        <v>0</v>
      </c>
      <c r="H4986" s="6" t="s">
        <v>2189</v>
      </c>
      <c r="I4986" t="s">
        <v>1561</v>
      </c>
      <c r="J4986" t="s">
        <v>1561</v>
      </c>
      <c r="L4986">
        <f t="shared" si="280"/>
        <v>1</v>
      </c>
    </row>
    <row r="4987" spans="1:12" x14ac:dyDescent="0.35">
      <c r="A4987">
        <f t="shared" si="281"/>
        <v>4986</v>
      </c>
      <c r="B4987" t="s">
        <v>752</v>
      </c>
      <c r="C4987" s="109" t="str">
        <f>IF(ISBLANK(K4987),IFERROR(VLOOKUP(I4987,FS_input_data!$C$458:$N$648,Export!J4987,FALSE),""),K4987)</f>
        <v/>
      </c>
      <c r="D4987" s="6"/>
      <c r="E4987" s="6"/>
      <c r="F4987" s="6"/>
      <c r="G4987" s="115" t="b">
        <f>VLOOKUP(I4988,FS_input_noty,J4988,FALSE)=""</f>
        <v>0</v>
      </c>
      <c r="H4987" s="6" t="s">
        <v>2189</v>
      </c>
      <c r="I4987" t="s">
        <v>1561</v>
      </c>
      <c r="J4987" t="s">
        <v>1561</v>
      </c>
      <c r="L4987" s="26" t="e">
        <f t="shared" si="280"/>
        <v>#VALUE!</v>
      </c>
    </row>
    <row r="4988" spans="1:12" x14ac:dyDescent="0.35">
      <c r="A4988" s="9">
        <f t="shared" si="281"/>
        <v>4987</v>
      </c>
      <c r="B4988" t="s">
        <v>101</v>
      </c>
      <c r="C4988" s="109" t="str">
        <f>IF(ISBLANK(K4988),IFERROR(VLOOKUP(I4988,FS_input_data!$C$458:$N$648,Export!J4988,FALSE),""),K4988)</f>
        <v>OC53</v>
      </c>
      <c r="D4988" s="6" t="b">
        <v>1</v>
      </c>
      <c r="E4988" s="6"/>
      <c r="F4988" s="6"/>
      <c r="G4988" s="115" t="b">
        <f>VLOOKUP(I4988,FS_input_noty,J4988,FALSE)=""</f>
        <v>0</v>
      </c>
      <c r="H4988" s="6" t="s">
        <v>2189</v>
      </c>
      <c r="I4988" t="s">
        <v>1962</v>
      </c>
      <c r="J4988">
        <v>6</v>
      </c>
      <c r="L4988" s="26" t="e">
        <f t="shared" si="280"/>
        <v>#VALUE!</v>
      </c>
    </row>
    <row r="4989" spans="1:12" x14ac:dyDescent="0.35">
      <c r="A4989">
        <f t="shared" si="281"/>
        <v>4988</v>
      </c>
      <c r="B4989" t="s">
        <v>102</v>
      </c>
      <c r="C4989" s="109" t="str">
        <f>IF(ISBLANK(K4989),IFERROR(VLOOKUP(I4989,FS_input_data!$C$458:$N$648,Export!J4989,FALSE),""),K4989)</f>
        <v/>
      </c>
      <c r="D4989" s="6"/>
      <c r="E4989" s="6"/>
      <c r="F4989" s="6"/>
      <c r="G4989" s="115" t="b">
        <f>VLOOKUP(I4988,FS_input_noty,J4988,FALSE)=""</f>
        <v>0</v>
      </c>
      <c r="H4989" s="6" t="s">
        <v>2189</v>
      </c>
      <c r="I4989" t="s">
        <v>1561</v>
      </c>
      <c r="J4989" t="s">
        <v>1561</v>
      </c>
      <c r="L4989">
        <f t="shared" si="280"/>
        <v>1</v>
      </c>
    </row>
    <row r="4990" spans="1:12" x14ac:dyDescent="0.35">
      <c r="A4990">
        <f t="shared" si="281"/>
        <v>4989</v>
      </c>
      <c r="B4990" t="s">
        <v>753</v>
      </c>
      <c r="C4990" s="109" t="str">
        <f>IF(ISBLANK(K4990),IFERROR(VLOOKUP(I4990,FS_input_data!$C$458:$N$648,Export!J4990,FALSE),""),K4990)</f>
        <v/>
      </c>
      <c r="D4990" s="6"/>
      <c r="E4990" s="6"/>
      <c r="F4990" s="6"/>
      <c r="G4990" s="115" t="b">
        <f>VLOOKUP(I4988,FS_input_noty,J4988,FALSE)=""</f>
        <v>0</v>
      </c>
      <c r="H4990" s="6" t="s">
        <v>2189</v>
      </c>
      <c r="I4990" t="s">
        <v>1561</v>
      </c>
      <c r="J4990" t="s">
        <v>1561</v>
      </c>
      <c r="L4990" s="26" t="e">
        <f t="shared" si="280"/>
        <v>#VALUE!</v>
      </c>
    </row>
    <row r="4991" spans="1:12" x14ac:dyDescent="0.35">
      <c r="A4991">
        <f t="shared" si="281"/>
        <v>4990</v>
      </c>
      <c r="B4991" t="s">
        <v>742</v>
      </c>
      <c r="C4991" s="109" t="str">
        <f>IF(ISBLANK(K4991),IFERROR(VLOOKUP(I4991,FS_input_data!$C$458:$N$648,Export!J4991,FALSE),""),K4991)</f>
        <v/>
      </c>
      <c r="D4991" s="6"/>
      <c r="E4991" s="6"/>
      <c r="F4991" s="6"/>
      <c r="G4991" s="115" t="b">
        <f>VLOOKUP(I4988,FS_input_noty,J4988,FALSE)=""</f>
        <v>0</v>
      </c>
      <c r="H4991" s="6" t="s">
        <v>2189</v>
      </c>
      <c r="I4991" t="s">
        <v>1561</v>
      </c>
      <c r="J4991" t="s">
        <v>1561</v>
      </c>
      <c r="L4991" s="26" t="e">
        <f t="shared" si="280"/>
        <v>#VALUE!</v>
      </c>
    </row>
    <row r="4992" spans="1:12" x14ac:dyDescent="0.35">
      <c r="A4992">
        <f t="shared" si="281"/>
        <v>4991</v>
      </c>
      <c r="B4992" t="s">
        <v>748</v>
      </c>
      <c r="C4992" s="109" t="str">
        <f>IF(ISBLANK(K4992),IFERROR(VLOOKUP(I4992,FS_input_data!$C$458:$N$648,Export!J4992,FALSE),""),K4992)</f>
        <v/>
      </c>
      <c r="D4992" s="6"/>
      <c r="E4992" s="6"/>
      <c r="F4992" s="6"/>
      <c r="G4992" s="115" t="b">
        <f>VLOOKUP(I4988,FS_input_noty,J4988,FALSE)=""</f>
        <v>0</v>
      </c>
      <c r="H4992" s="6" t="s">
        <v>2189</v>
      </c>
      <c r="I4992" t="s">
        <v>1561</v>
      </c>
      <c r="J4992" t="s">
        <v>1561</v>
      </c>
      <c r="L4992" s="26" t="e">
        <f t="shared" si="280"/>
        <v>#VALUE!</v>
      </c>
    </row>
    <row r="4993" spans="1:12" x14ac:dyDescent="0.35">
      <c r="A4993" s="9">
        <f t="shared" si="281"/>
        <v>4992</v>
      </c>
      <c r="B4993" t="s">
        <v>109</v>
      </c>
      <c r="C4993" s="109">
        <f>IF(ISBLANK(K4993),IFERROR(VLOOKUP(I4993,FS_input_data!$C$458:$N$648,Export!J4993,FALSE),""),K4993)</f>
        <v>32000</v>
      </c>
      <c r="D4993" s="6" t="b">
        <v>1</v>
      </c>
      <c r="E4993" s="6"/>
      <c r="F4993" s="6"/>
      <c r="G4993" s="115" t="b">
        <f>VLOOKUP(I4988,FS_input_noty,J4988,FALSE)=""</f>
        <v>0</v>
      </c>
      <c r="H4993" s="6" t="s">
        <v>2189</v>
      </c>
      <c r="I4993" t="s">
        <v>1962</v>
      </c>
      <c r="J4993">
        <v>7</v>
      </c>
      <c r="L4993" s="26" t="e">
        <f t="shared" si="280"/>
        <v>#VALUE!</v>
      </c>
    </row>
    <row r="4994" spans="1:12" x14ac:dyDescent="0.35">
      <c r="A4994">
        <f t="shared" si="281"/>
        <v>4993</v>
      </c>
      <c r="B4994" t="s">
        <v>110</v>
      </c>
      <c r="C4994" s="109" t="str">
        <f>IF(ISBLANK(K4994),IFERROR(VLOOKUP(I4994,FS_input_data!$C$458:$N$648,Export!J4994,FALSE),""),K4994)</f>
        <v/>
      </c>
      <c r="D4994" s="6"/>
      <c r="E4994" s="6"/>
      <c r="F4994" s="6"/>
      <c r="G4994" s="115" t="b">
        <f>VLOOKUP(I4988,FS_input_noty,J4988,FALSE)=""</f>
        <v>0</v>
      </c>
      <c r="H4994" s="6" t="s">
        <v>2189</v>
      </c>
      <c r="I4994" t="s">
        <v>1561</v>
      </c>
      <c r="J4994" t="s">
        <v>1561</v>
      </c>
      <c r="L4994">
        <f t="shared" ref="L4994:L5057" si="284">FIND("/",B4994)</f>
        <v>1</v>
      </c>
    </row>
    <row r="4995" spans="1:12" x14ac:dyDescent="0.35">
      <c r="A4995" s="9">
        <f t="shared" ref="A4995:A5058" si="285">A4994+1</f>
        <v>4994</v>
      </c>
      <c r="B4995" t="s">
        <v>111</v>
      </c>
      <c r="C4995" s="109">
        <f>IF(ISBLANK(K4995),IFERROR(VLOOKUP(I4995,FS_input_data!$C$458:$N$648,Export!J4995,FALSE),""),K4995)</f>
        <v>16000</v>
      </c>
      <c r="D4995" s="6" t="b">
        <v>0</v>
      </c>
      <c r="E4995" s="6"/>
      <c r="F4995" s="6"/>
      <c r="G4995" s="115" t="b">
        <f>VLOOKUP(I4988,FS_input_noty,J4988,TRUE)=""</f>
        <v>0</v>
      </c>
      <c r="H4995" s="6" t="s">
        <v>2189</v>
      </c>
      <c r="I4995" t="s">
        <v>1962</v>
      </c>
      <c r="J4995">
        <v>8</v>
      </c>
      <c r="L4995" s="26" t="e">
        <f t="shared" si="284"/>
        <v>#VALUE!</v>
      </c>
    </row>
    <row r="4996" spans="1:12" x14ac:dyDescent="0.35">
      <c r="A4996">
        <f t="shared" si="285"/>
        <v>4995</v>
      </c>
      <c r="B4996" t="s">
        <v>112</v>
      </c>
      <c r="C4996" s="109" t="str">
        <f>IF(ISBLANK(K4996),IFERROR(VLOOKUP(I4996,FS_input_data!$C$458:$N$648,Export!J4996,FALSE),""),K4996)</f>
        <v/>
      </c>
      <c r="D4996" s="6"/>
      <c r="E4996" s="6"/>
      <c r="F4996" s="6"/>
      <c r="G4996" s="115" t="b">
        <f>VLOOKUP(I4988,FS_input_noty,J4988,FALSE)=""</f>
        <v>0</v>
      </c>
      <c r="H4996" s="6" t="s">
        <v>2189</v>
      </c>
      <c r="I4996" t="s">
        <v>1561</v>
      </c>
      <c r="J4996" t="s">
        <v>1561</v>
      </c>
      <c r="L4996">
        <f t="shared" si="284"/>
        <v>1</v>
      </c>
    </row>
    <row r="4997" spans="1:12" x14ac:dyDescent="0.35">
      <c r="A4997" s="9">
        <f t="shared" si="285"/>
        <v>4996</v>
      </c>
      <c r="B4997" t="s">
        <v>749</v>
      </c>
      <c r="C4997" s="109">
        <f>IF(ISBLANK(K4997),IFERROR(VLOOKUP(I4997,FS_input_data!$C$458:$N$648,Export!J4997,FALSE),""),K4997)</f>
        <v>16000</v>
      </c>
      <c r="D4997" s="6" t="b">
        <v>0</v>
      </c>
      <c r="E4997" s="6"/>
      <c r="F4997" s="6"/>
      <c r="G4997" s="115" t="b">
        <f>VLOOKUP(I4988,FS_input_noty,J4988,FALSE)=""</f>
        <v>0</v>
      </c>
      <c r="H4997" s="6" t="s">
        <v>2189</v>
      </c>
      <c r="I4997" t="s">
        <v>1962</v>
      </c>
      <c r="J4997">
        <v>9</v>
      </c>
      <c r="L4997" s="26" t="e">
        <f t="shared" si="284"/>
        <v>#VALUE!</v>
      </c>
    </row>
    <row r="4998" spans="1:12" x14ac:dyDescent="0.35">
      <c r="A4998">
        <f t="shared" si="285"/>
        <v>4997</v>
      </c>
      <c r="B4998" t="s">
        <v>750</v>
      </c>
      <c r="C4998" s="109" t="str">
        <f>IF(ISBLANK(K4998),IFERROR(VLOOKUP(I4998,FS_input_data!$C$458:$N$648,Export!J4998,FALSE),""),K4998)</f>
        <v/>
      </c>
      <c r="D4998" s="6"/>
      <c r="E4998" s="6"/>
      <c r="F4998" s="6"/>
      <c r="G4998" s="115" t="b">
        <f>VLOOKUP(I4988,FS_input_noty,J4988,FALSE)=""</f>
        <v>0</v>
      </c>
      <c r="H4998" s="6" t="s">
        <v>2189</v>
      </c>
      <c r="I4998" t="s">
        <v>1561</v>
      </c>
      <c r="J4998" t="s">
        <v>1561</v>
      </c>
      <c r="L4998">
        <f t="shared" si="284"/>
        <v>1</v>
      </c>
    </row>
    <row r="4999" spans="1:12" x14ac:dyDescent="0.35">
      <c r="A4999">
        <f t="shared" si="285"/>
        <v>4998</v>
      </c>
      <c r="B4999" t="s">
        <v>751</v>
      </c>
      <c r="C4999" s="109" t="str">
        <f>IF(ISBLANK(K4999),IFERROR(VLOOKUP(I4999,FS_input_data!$C$458:$N$648,Export!J4999,FALSE),""),K4999)</f>
        <v/>
      </c>
      <c r="D4999" s="6"/>
      <c r="E4999" s="6"/>
      <c r="F4999" s="6"/>
      <c r="G4999" s="115" t="b">
        <f>VLOOKUP(I4988,FS_input_noty,J4988,FALSE)=""</f>
        <v>0</v>
      </c>
      <c r="H4999" s="6" t="s">
        <v>2189</v>
      </c>
      <c r="I4999" t="s">
        <v>1561</v>
      </c>
      <c r="J4999" t="s">
        <v>1561</v>
      </c>
      <c r="L4999">
        <f t="shared" si="284"/>
        <v>1</v>
      </c>
    </row>
    <row r="5000" spans="1:12" x14ac:dyDescent="0.35">
      <c r="A5000">
        <f t="shared" si="285"/>
        <v>4999</v>
      </c>
      <c r="B5000" t="s">
        <v>754</v>
      </c>
      <c r="C5000" s="109" t="str">
        <f>IF(ISBLANK(K5000),IFERROR(VLOOKUP(I5000,FS_input_data!$C$458:$N$648,Export!J5000,FALSE),""),K5000)</f>
        <v/>
      </c>
      <c r="D5000" s="6"/>
      <c r="E5000" s="6"/>
      <c r="F5000" s="6"/>
      <c r="G5000" s="115" t="b">
        <f>VLOOKUP(I4988,FS_input_noty,J4988,FALSE)=""</f>
        <v>0</v>
      </c>
      <c r="H5000" s="6" t="s">
        <v>2189</v>
      </c>
      <c r="I5000" t="s">
        <v>1561</v>
      </c>
      <c r="J5000" t="s">
        <v>1561</v>
      </c>
      <c r="L5000" s="26" t="e">
        <f t="shared" si="284"/>
        <v>#VALUE!</v>
      </c>
    </row>
    <row r="5001" spans="1:12" x14ac:dyDescent="0.35">
      <c r="A5001" s="9">
        <f t="shared" si="285"/>
        <v>5000</v>
      </c>
      <c r="B5001" t="s">
        <v>755</v>
      </c>
      <c r="C5001" s="109">
        <f>IF(ISBLANK(K5001),IFERROR(VLOOKUP(I5001,FS_input_data!$C$458:$N$648,Export!J5001,FALSE),""),K5001)</f>
        <v>76</v>
      </c>
      <c r="D5001" s="6" t="b">
        <v>1</v>
      </c>
      <c r="E5001" s="6"/>
      <c r="F5001" s="6"/>
      <c r="G5001" s="115" t="b">
        <f>VLOOKUP(I4988,FS_input_noty,J4988,FALSE)=""</f>
        <v>0</v>
      </c>
      <c r="H5001" s="6" t="s">
        <v>2189</v>
      </c>
      <c r="I5001" t="s">
        <v>1962</v>
      </c>
      <c r="J5001">
        <v>2</v>
      </c>
      <c r="L5001" s="26" t="e">
        <f t="shared" si="284"/>
        <v>#VALUE!</v>
      </c>
    </row>
    <row r="5002" spans="1:12" x14ac:dyDescent="0.35">
      <c r="A5002">
        <f t="shared" si="285"/>
        <v>5001</v>
      </c>
      <c r="B5002" t="s">
        <v>756</v>
      </c>
      <c r="C5002" s="109" t="str">
        <f>IF(ISBLANK(K5002),IFERROR(VLOOKUP(I5002,FS_input_data!$C$458:$N$648,Export!J5002,FALSE),""),K5002)</f>
        <v/>
      </c>
      <c r="D5002" s="6"/>
      <c r="E5002" s="6"/>
      <c r="F5002" s="6"/>
      <c r="G5002" s="115" t="b">
        <f>VLOOKUP(I4988,FS_input_noty,J4988,FALSE)=""</f>
        <v>0</v>
      </c>
      <c r="H5002" s="6" t="s">
        <v>2189</v>
      </c>
      <c r="I5002" t="s">
        <v>1561</v>
      </c>
      <c r="J5002" t="s">
        <v>1561</v>
      </c>
      <c r="L5002">
        <f t="shared" si="284"/>
        <v>1</v>
      </c>
    </row>
    <row r="5003" spans="1:12" x14ac:dyDescent="0.35">
      <c r="A5003" s="9">
        <f t="shared" si="285"/>
        <v>5002</v>
      </c>
      <c r="B5003" t="s">
        <v>757</v>
      </c>
      <c r="C5003" s="109">
        <f>IF(ISBLANK(K5003),IFERROR(VLOOKUP(I5003,FS_input_data!$C$458:$N$648,Export!J5003,FALSE),""),K5003)</f>
        <v>176</v>
      </c>
      <c r="D5003" s="6" t="b">
        <v>0</v>
      </c>
      <c r="E5003" s="6"/>
      <c r="F5003" s="6"/>
      <c r="G5003" s="115" t="b">
        <f>VLOOKUP(I4988,FS_input_noty,J4988,FALSE)=""</f>
        <v>0</v>
      </c>
      <c r="H5003" s="6" t="s">
        <v>2189</v>
      </c>
      <c r="I5003" t="s">
        <v>1962</v>
      </c>
      <c r="J5003">
        <v>3</v>
      </c>
      <c r="L5003" s="26" t="e">
        <f t="shared" si="284"/>
        <v>#VALUE!</v>
      </c>
    </row>
    <row r="5004" spans="1:12" x14ac:dyDescent="0.35">
      <c r="A5004">
        <f t="shared" si="285"/>
        <v>5003</v>
      </c>
      <c r="B5004" t="s">
        <v>758</v>
      </c>
      <c r="C5004" s="109" t="str">
        <f>IF(ISBLANK(K5004),IFERROR(VLOOKUP(I5004,FS_input_data!$C$458:$N$648,Export!J5004,FALSE),""),K5004)</f>
        <v/>
      </c>
      <c r="D5004" s="6"/>
      <c r="E5004" s="6"/>
      <c r="F5004" s="6"/>
      <c r="G5004" s="115" t="b">
        <f>VLOOKUP(I4988,FS_input_noty,J4988,FALSE)=""</f>
        <v>0</v>
      </c>
      <c r="H5004" s="6" t="s">
        <v>2189</v>
      </c>
      <c r="I5004" t="s">
        <v>1561</v>
      </c>
      <c r="J5004" t="s">
        <v>1561</v>
      </c>
      <c r="L5004">
        <f t="shared" si="284"/>
        <v>1</v>
      </c>
    </row>
    <row r="5005" spans="1:12" x14ac:dyDescent="0.35">
      <c r="A5005" s="9">
        <f t="shared" si="285"/>
        <v>5004</v>
      </c>
      <c r="B5005" t="s">
        <v>759</v>
      </c>
      <c r="C5005" s="109">
        <f>IF(ISBLANK(K5005),IFERROR(VLOOKUP(I5005,FS_input_data!$C$458:$N$648,Export!J5005,FALSE),""),K5005)</f>
        <v>276</v>
      </c>
      <c r="D5005" s="6" t="b">
        <v>0</v>
      </c>
      <c r="E5005" s="6"/>
      <c r="F5005" s="6"/>
      <c r="G5005" s="115" t="b">
        <f>VLOOKUP(I4988,FS_input_noty,J4988,FALSE)=""</f>
        <v>0</v>
      </c>
      <c r="H5005" s="6" t="s">
        <v>2189</v>
      </c>
      <c r="I5005" t="s">
        <v>1962</v>
      </c>
      <c r="J5005">
        <v>4</v>
      </c>
      <c r="L5005" s="26" t="e">
        <f t="shared" si="284"/>
        <v>#VALUE!</v>
      </c>
    </row>
    <row r="5006" spans="1:12" x14ac:dyDescent="0.35">
      <c r="A5006">
        <f t="shared" si="285"/>
        <v>5005</v>
      </c>
      <c r="B5006" t="s">
        <v>760</v>
      </c>
      <c r="C5006" s="109" t="str">
        <f>IF(ISBLANK(K5006),IFERROR(VLOOKUP(I5006,FS_input_data!$C$458:$N$648,Export!J5006,FALSE),""),K5006)</f>
        <v/>
      </c>
      <c r="D5006" s="6"/>
      <c r="E5006" s="6"/>
      <c r="F5006" s="6"/>
      <c r="G5006" s="115" t="b">
        <f>VLOOKUP(I4988,FS_input_noty,J4988,FALSE)=""</f>
        <v>0</v>
      </c>
      <c r="H5006" s="6" t="s">
        <v>2189</v>
      </c>
      <c r="I5006" t="s">
        <v>1561</v>
      </c>
      <c r="J5006" t="s">
        <v>1561</v>
      </c>
      <c r="L5006">
        <f t="shared" si="284"/>
        <v>1</v>
      </c>
    </row>
    <row r="5007" spans="1:12" x14ac:dyDescent="0.35">
      <c r="A5007" s="9">
        <f t="shared" si="285"/>
        <v>5006</v>
      </c>
      <c r="B5007" t="s">
        <v>761</v>
      </c>
      <c r="C5007" s="109" t="str">
        <f>IF(ISBLANK(K5007),IFERROR(VLOOKUP(I5007,FS_input_data!$C$458:$N$648,Export!J5007,FALSE),""),K5007)</f>
        <v>j</v>
      </c>
      <c r="D5007" s="6" t="b">
        <v>0</v>
      </c>
      <c r="E5007" s="6"/>
      <c r="F5007" s="6"/>
      <c r="G5007" s="115" t="b">
        <f>VLOOKUP(I4988,FS_input_noty,J4988,FALSE)=""</f>
        <v>0</v>
      </c>
      <c r="H5007" s="6" t="s">
        <v>2189</v>
      </c>
      <c r="I5007" t="s">
        <v>1962</v>
      </c>
      <c r="J5007">
        <v>5</v>
      </c>
      <c r="L5007" s="26" t="e">
        <f t="shared" si="284"/>
        <v>#VALUE!</v>
      </c>
    </row>
    <row r="5008" spans="1:12" x14ac:dyDescent="0.35">
      <c r="A5008">
        <f t="shared" si="285"/>
        <v>5007</v>
      </c>
      <c r="B5008" t="s">
        <v>762</v>
      </c>
      <c r="C5008" s="109" t="str">
        <f>IF(ISBLANK(K5008),IFERROR(VLOOKUP(I5008,FS_input_data!$C$458:$N$648,Export!J5008,FALSE),""),K5008)</f>
        <v/>
      </c>
      <c r="D5008" s="6"/>
      <c r="E5008" s="6"/>
      <c r="F5008" s="6"/>
      <c r="G5008" s="115" t="b">
        <f>VLOOKUP(I4988,FS_input_noty,J4988,FALSE)=""</f>
        <v>0</v>
      </c>
      <c r="H5008" s="6" t="s">
        <v>2189</v>
      </c>
      <c r="I5008" t="s">
        <v>1561</v>
      </c>
      <c r="J5008" t="s">
        <v>1561</v>
      </c>
      <c r="L5008">
        <f t="shared" si="284"/>
        <v>1</v>
      </c>
    </row>
    <row r="5009" spans="1:12" x14ac:dyDescent="0.35">
      <c r="A5009">
        <f t="shared" si="285"/>
        <v>5008</v>
      </c>
      <c r="B5009" t="s">
        <v>763</v>
      </c>
      <c r="C5009" s="109" t="str">
        <f>IF(ISBLANK(K5009),IFERROR(VLOOKUP(I5009,FS_input_data!$C$458:$N$648,Export!J5009,FALSE),""),K5009)</f>
        <v/>
      </c>
      <c r="D5009" s="6"/>
      <c r="E5009" s="6"/>
      <c r="F5009" s="6"/>
      <c r="G5009" s="115" t="b">
        <f>VLOOKUP(I4988,FS_input_noty,J4988,FALSE)=""</f>
        <v>0</v>
      </c>
      <c r="H5009" s="6" t="s">
        <v>2189</v>
      </c>
      <c r="I5009" t="s">
        <v>1561</v>
      </c>
      <c r="J5009" t="s">
        <v>1561</v>
      </c>
      <c r="L5009">
        <f t="shared" si="284"/>
        <v>1</v>
      </c>
    </row>
    <row r="5010" spans="1:12" x14ac:dyDescent="0.35">
      <c r="A5010">
        <f t="shared" si="285"/>
        <v>5009</v>
      </c>
      <c r="B5010" t="s">
        <v>743</v>
      </c>
      <c r="C5010" s="109" t="str">
        <f>IF(ISBLANK(K5010),IFERROR(VLOOKUP(I5010,FS_input_data!$C$458:$N$648,Export!J5010,FALSE),""),K5010)</f>
        <v/>
      </c>
      <c r="D5010" s="6"/>
      <c r="E5010" s="6"/>
      <c r="F5010" s="6"/>
      <c r="G5010" s="115" t="b">
        <f>VLOOKUP(I4988,FS_input_noty,J4988,FALSE)=""</f>
        <v>0</v>
      </c>
      <c r="H5010" s="6" t="s">
        <v>2189</v>
      </c>
      <c r="I5010" t="s">
        <v>1561</v>
      </c>
      <c r="J5010" t="s">
        <v>1561</v>
      </c>
      <c r="L5010">
        <f t="shared" si="284"/>
        <v>1</v>
      </c>
    </row>
    <row r="5011" spans="1:12" x14ac:dyDescent="0.35">
      <c r="A5011">
        <f t="shared" si="285"/>
        <v>5010</v>
      </c>
      <c r="B5011" t="s">
        <v>744</v>
      </c>
      <c r="C5011" s="109" t="str">
        <f>IF(ISBLANK(K5011),IFERROR(VLOOKUP(I5011,FS_input_data!$C$458:$N$648,Export!J5011,FALSE),""),K5011)</f>
        <v/>
      </c>
      <c r="D5011" s="6"/>
      <c r="E5011" s="6"/>
      <c r="F5011" s="6"/>
      <c r="G5011" s="115" t="b">
        <f t="shared" ref="G5011:G5018" si="286">RP_tax</f>
        <v>1</v>
      </c>
      <c r="H5011" s="6" t="s">
        <v>2189</v>
      </c>
      <c r="I5011" t="s">
        <v>1561</v>
      </c>
      <c r="J5011" t="s">
        <v>1561</v>
      </c>
      <c r="L5011" s="26" t="e">
        <f t="shared" si="284"/>
        <v>#VALUE!</v>
      </c>
    </row>
    <row r="5012" spans="1:12" x14ac:dyDescent="0.35">
      <c r="A5012" s="9">
        <f t="shared" si="285"/>
        <v>5011</v>
      </c>
      <c r="B5012" t="s">
        <v>109</v>
      </c>
      <c r="C5012" s="109">
        <f>IF(ISBLANK(K5012),IFERROR(VLOOKUP(I5012,FS_input_data!$C$458:$N$648,Export!J5012,FALSE),""),K5012)</f>
        <v>32000</v>
      </c>
      <c r="D5012" s="6" t="b">
        <v>1</v>
      </c>
      <c r="E5012" s="6"/>
      <c r="F5012" s="6"/>
      <c r="G5012" s="115" t="b">
        <f t="shared" si="286"/>
        <v>1</v>
      </c>
      <c r="H5012" s="6" t="s">
        <v>2189</v>
      </c>
      <c r="I5012" t="s">
        <v>1962</v>
      </c>
      <c r="J5012">
        <v>10</v>
      </c>
      <c r="L5012" s="26" t="e">
        <f t="shared" si="284"/>
        <v>#VALUE!</v>
      </c>
    </row>
    <row r="5013" spans="1:12" x14ac:dyDescent="0.35">
      <c r="A5013">
        <f t="shared" si="285"/>
        <v>5012</v>
      </c>
      <c r="B5013" t="s">
        <v>110</v>
      </c>
      <c r="C5013" s="109" t="str">
        <f>IF(ISBLANK(K5013),IFERROR(VLOOKUP(I5013,FS_input_data!$C$458:$N$648,Export!J5013,FALSE),""),K5013)</f>
        <v/>
      </c>
      <c r="D5013" s="6"/>
      <c r="E5013" s="6"/>
      <c r="F5013" s="6"/>
      <c r="G5013" s="115" t="b">
        <f t="shared" si="286"/>
        <v>1</v>
      </c>
      <c r="H5013" s="6" t="s">
        <v>2189</v>
      </c>
      <c r="I5013" t="s">
        <v>1561</v>
      </c>
      <c r="J5013" t="s">
        <v>1561</v>
      </c>
      <c r="L5013">
        <f t="shared" si="284"/>
        <v>1</v>
      </c>
    </row>
    <row r="5014" spans="1:12" x14ac:dyDescent="0.35">
      <c r="A5014" s="9">
        <f t="shared" si="285"/>
        <v>5013</v>
      </c>
      <c r="B5014" t="s">
        <v>111</v>
      </c>
      <c r="C5014" s="109">
        <f>IF(ISBLANK(K5014),IFERROR(VLOOKUP(I5014,FS_input_data!$C$458:$N$648,Export!J5014,FALSE),""),K5014)</f>
        <v>16000</v>
      </c>
      <c r="D5014" s="6" t="b">
        <v>0</v>
      </c>
      <c r="E5014" s="6"/>
      <c r="F5014" s="6"/>
      <c r="G5014" s="115" t="b">
        <f t="shared" si="286"/>
        <v>1</v>
      </c>
      <c r="H5014" s="6" t="s">
        <v>2189</v>
      </c>
      <c r="I5014" t="s">
        <v>1962</v>
      </c>
      <c r="J5014">
        <v>11</v>
      </c>
      <c r="L5014" s="26" t="e">
        <f t="shared" si="284"/>
        <v>#VALUE!</v>
      </c>
    </row>
    <row r="5015" spans="1:12" x14ac:dyDescent="0.35">
      <c r="A5015">
        <f t="shared" si="285"/>
        <v>5014</v>
      </c>
      <c r="B5015" t="s">
        <v>112</v>
      </c>
      <c r="C5015" s="109" t="str">
        <f>IF(ISBLANK(K5015),IFERROR(VLOOKUP(I5015,FS_input_data!$C$458:$N$648,Export!J5015,FALSE),""),K5015)</f>
        <v/>
      </c>
      <c r="D5015" s="6"/>
      <c r="E5015" s="6"/>
      <c r="F5015" s="6"/>
      <c r="G5015" s="115" t="b">
        <f t="shared" si="286"/>
        <v>1</v>
      </c>
      <c r="H5015" s="6" t="s">
        <v>2189</v>
      </c>
      <c r="I5015" t="s">
        <v>1561</v>
      </c>
      <c r="J5015" t="s">
        <v>1561</v>
      </c>
      <c r="L5015">
        <f t="shared" si="284"/>
        <v>1</v>
      </c>
    </row>
    <row r="5016" spans="1:12" x14ac:dyDescent="0.35">
      <c r="A5016" s="9">
        <f t="shared" si="285"/>
        <v>5015</v>
      </c>
      <c r="B5016" t="s">
        <v>749</v>
      </c>
      <c r="C5016" s="109">
        <f>IF(ISBLANK(K5016),IFERROR(VLOOKUP(I5016,FS_input_data!$C$458:$N$648,Export!J5016,FALSE),""),K5016)</f>
        <v>16000</v>
      </c>
      <c r="D5016" s="6" t="b">
        <v>0</v>
      </c>
      <c r="E5016" s="6"/>
      <c r="F5016" s="6"/>
      <c r="G5016" s="115" t="b">
        <f t="shared" si="286"/>
        <v>1</v>
      </c>
      <c r="H5016" s="6" t="s">
        <v>2189</v>
      </c>
      <c r="I5016" t="s">
        <v>1962</v>
      </c>
      <c r="J5016">
        <v>12</v>
      </c>
      <c r="L5016" s="26" t="e">
        <f t="shared" si="284"/>
        <v>#VALUE!</v>
      </c>
    </row>
    <row r="5017" spans="1:12" x14ac:dyDescent="0.35">
      <c r="A5017">
        <f t="shared" si="285"/>
        <v>5016</v>
      </c>
      <c r="B5017" t="s">
        <v>750</v>
      </c>
      <c r="C5017" s="109" t="str">
        <f>IF(ISBLANK(K5017),IFERROR(VLOOKUP(I5017,FS_input_data!$C$458:$N$648,Export!J5017,FALSE),""),K5017)</f>
        <v/>
      </c>
      <c r="D5017" s="6"/>
      <c r="E5017" s="6"/>
      <c r="F5017" s="6"/>
      <c r="G5017" s="115" t="b">
        <f t="shared" si="286"/>
        <v>1</v>
      </c>
      <c r="H5017" s="6" t="s">
        <v>2189</v>
      </c>
      <c r="I5017" t="s">
        <v>1561</v>
      </c>
      <c r="J5017" t="s">
        <v>1561</v>
      </c>
      <c r="L5017">
        <f t="shared" si="284"/>
        <v>1</v>
      </c>
    </row>
    <row r="5018" spans="1:12" x14ac:dyDescent="0.35">
      <c r="A5018">
        <f t="shared" si="285"/>
        <v>5017</v>
      </c>
      <c r="B5018" t="s">
        <v>745</v>
      </c>
      <c r="C5018" s="109" t="str">
        <f>IF(ISBLANK(K5018),IFERROR(VLOOKUP(I5018,FS_input_data!$C$458:$N$648,Export!J5018,FALSE),""),K5018)</f>
        <v/>
      </c>
      <c r="D5018" s="6"/>
      <c r="E5018" s="6"/>
      <c r="F5018" s="6"/>
      <c r="G5018" s="115" t="b">
        <f t="shared" si="286"/>
        <v>1</v>
      </c>
      <c r="H5018" s="6" t="s">
        <v>2189</v>
      </c>
      <c r="I5018" t="s">
        <v>1561</v>
      </c>
      <c r="J5018" t="s">
        <v>1561</v>
      </c>
      <c r="L5018">
        <f t="shared" si="284"/>
        <v>1</v>
      </c>
    </row>
    <row r="5019" spans="1:12" x14ac:dyDescent="0.35">
      <c r="A5019">
        <f t="shared" si="285"/>
        <v>5018</v>
      </c>
      <c r="B5019" t="s">
        <v>764</v>
      </c>
      <c r="C5019" s="109" t="str">
        <f>IF(ISBLANK(K5019),IFERROR(VLOOKUP(I5019,FS_input_data!$C$458:$N$648,Export!J5019,FALSE),""),K5019)</f>
        <v/>
      </c>
      <c r="D5019" s="6"/>
      <c r="E5019" s="6"/>
      <c r="F5019" s="6"/>
      <c r="G5019" s="115" t="b">
        <f>VLOOKUP(I4988,FS_input_noty,J4988,FALSE)=""</f>
        <v>0</v>
      </c>
      <c r="H5019" s="6" t="s">
        <v>2189</v>
      </c>
      <c r="I5019" t="s">
        <v>1561</v>
      </c>
      <c r="J5019" t="s">
        <v>1561</v>
      </c>
      <c r="L5019">
        <f t="shared" si="284"/>
        <v>1</v>
      </c>
    </row>
    <row r="5020" spans="1:12" x14ac:dyDescent="0.35">
      <c r="A5020">
        <f t="shared" si="285"/>
        <v>5019</v>
      </c>
      <c r="B5020" t="s">
        <v>765</v>
      </c>
      <c r="C5020" s="109" t="str">
        <f>IF(ISBLANK(K5020),IFERROR(VLOOKUP(I5020,FS_input_data!$C$458:$N$648,Export!J5020,FALSE),""),K5020)</f>
        <v/>
      </c>
      <c r="D5020" s="6"/>
      <c r="E5020" s="6"/>
      <c r="F5020" s="6"/>
      <c r="G5020" s="115" t="b">
        <f>VLOOKUP(I4988,FS_input_noty,J4988,FALSE)=""</f>
        <v>0</v>
      </c>
      <c r="H5020" s="6" t="s">
        <v>2189</v>
      </c>
      <c r="I5020" t="s">
        <v>1561</v>
      </c>
      <c r="J5020" t="s">
        <v>1561</v>
      </c>
      <c r="L5020">
        <f t="shared" si="284"/>
        <v>1</v>
      </c>
    </row>
    <row r="5021" spans="1:12" x14ac:dyDescent="0.35">
      <c r="A5021">
        <f t="shared" si="285"/>
        <v>5020</v>
      </c>
      <c r="B5021" t="s">
        <v>752</v>
      </c>
      <c r="C5021" s="109" t="str">
        <f>IF(ISBLANK(K5021),IFERROR(VLOOKUP(I5021,FS_input_data!$C$458:$N$648,Export!J5021,FALSE),""),K5021)</f>
        <v/>
      </c>
      <c r="D5021" s="6"/>
      <c r="E5021" s="6"/>
      <c r="F5021" s="6"/>
      <c r="G5021" s="115" t="b">
        <f>VLOOKUP(I5022,FS_input_noty,J5022,FALSE)=""</f>
        <v>0</v>
      </c>
      <c r="H5021" s="6" t="s">
        <v>2189</v>
      </c>
      <c r="I5021" t="s">
        <v>1561</v>
      </c>
      <c r="J5021" t="s">
        <v>1561</v>
      </c>
      <c r="L5021" s="26" t="e">
        <f t="shared" si="284"/>
        <v>#VALUE!</v>
      </c>
    </row>
    <row r="5022" spans="1:12" x14ac:dyDescent="0.35">
      <c r="A5022" s="9">
        <f t="shared" si="285"/>
        <v>5021</v>
      </c>
      <c r="B5022" t="s">
        <v>101</v>
      </c>
      <c r="C5022" s="109" t="str">
        <f>IF(ISBLANK(K5022),IFERROR(VLOOKUP(I5022,FS_input_data!$C$458:$N$648,Export!J5022,FALSE),""),K5022)</f>
        <v>OC54</v>
      </c>
      <c r="D5022" s="6" t="b">
        <v>1</v>
      </c>
      <c r="E5022" s="6"/>
      <c r="F5022" s="6"/>
      <c r="G5022" s="115" t="b">
        <f>VLOOKUP(I5022,FS_input_noty,J5022,FALSE)=""</f>
        <v>0</v>
      </c>
      <c r="H5022" s="6" t="s">
        <v>2189</v>
      </c>
      <c r="I5022" t="s">
        <v>1964</v>
      </c>
      <c r="J5022">
        <v>6</v>
      </c>
      <c r="L5022" s="26" t="e">
        <f t="shared" si="284"/>
        <v>#VALUE!</v>
      </c>
    </row>
    <row r="5023" spans="1:12" x14ac:dyDescent="0.35">
      <c r="A5023">
        <f t="shared" si="285"/>
        <v>5022</v>
      </c>
      <c r="B5023" t="s">
        <v>102</v>
      </c>
      <c r="C5023" s="109" t="str">
        <f>IF(ISBLANK(K5023),IFERROR(VLOOKUP(I5023,FS_input_data!$C$458:$N$648,Export!J5023,FALSE),""),K5023)</f>
        <v/>
      </c>
      <c r="D5023" s="6"/>
      <c r="E5023" s="6"/>
      <c r="F5023" s="6"/>
      <c r="G5023" s="115" t="b">
        <f>VLOOKUP(I5022,FS_input_noty,J5022,FALSE)=""</f>
        <v>0</v>
      </c>
      <c r="H5023" s="6" t="s">
        <v>2189</v>
      </c>
      <c r="I5023" t="s">
        <v>1561</v>
      </c>
      <c r="J5023" t="s">
        <v>1561</v>
      </c>
      <c r="L5023">
        <f t="shared" si="284"/>
        <v>1</v>
      </c>
    </row>
    <row r="5024" spans="1:12" x14ac:dyDescent="0.35">
      <c r="A5024">
        <f t="shared" si="285"/>
        <v>5023</v>
      </c>
      <c r="B5024" t="s">
        <v>753</v>
      </c>
      <c r="C5024" s="109" t="str">
        <f>IF(ISBLANK(K5024),IFERROR(VLOOKUP(I5024,FS_input_data!$C$458:$N$648,Export!J5024,FALSE),""),K5024)</f>
        <v/>
      </c>
      <c r="D5024" s="6"/>
      <c r="E5024" s="6"/>
      <c r="F5024" s="6"/>
      <c r="G5024" s="115" t="b">
        <f>VLOOKUP(I5022,FS_input_noty,J5022,FALSE)=""</f>
        <v>0</v>
      </c>
      <c r="H5024" s="6" t="s">
        <v>2189</v>
      </c>
      <c r="I5024" t="s">
        <v>1561</v>
      </c>
      <c r="J5024" t="s">
        <v>1561</v>
      </c>
      <c r="L5024" s="26" t="e">
        <f t="shared" si="284"/>
        <v>#VALUE!</v>
      </c>
    </row>
    <row r="5025" spans="1:12" x14ac:dyDescent="0.35">
      <c r="A5025">
        <f t="shared" si="285"/>
        <v>5024</v>
      </c>
      <c r="B5025" t="s">
        <v>742</v>
      </c>
      <c r="C5025" s="109" t="str">
        <f>IF(ISBLANK(K5025),IFERROR(VLOOKUP(I5025,FS_input_data!$C$458:$N$648,Export!J5025,FALSE),""),K5025)</f>
        <v/>
      </c>
      <c r="D5025" s="6"/>
      <c r="E5025" s="6"/>
      <c r="F5025" s="6"/>
      <c r="G5025" s="115" t="b">
        <f>VLOOKUP(I5022,FS_input_noty,J5022,FALSE)=""</f>
        <v>0</v>
      </c>
      <c r="H5025" s="6" t="s">
        <v>2189</v>
      </c>
      <c r="I5025" t="s">
        <v>1561</v>
      </c>
      <c r="J5025" t="s">
        <v>1561</v>
      </c>
      <c r="L5025" s="26" t="e">
        <f t="shared" si="284"/>
        <v>#VALUE!</v>
      </c>
    </row>
    <row r="5026" spans="1:12" x14ac:dyDescent="0.35">
      <c r="A5026">
        <f t="shared" si="285"/>
        <v>5025</v>
      </c>
      <c r="B5026" t="s">
        <v>748</v>
      </c>
      <c r="C5026" s="109" t="str">
        <f>IF(ISBLANK(K5026),IFERROR(VLOOKUP(I5026,FS_input_data!$C$458:$N$648,Export!J5026,FALSE),""),K5026)</f>
        <v/>
      </c>
      <c r="D5026" s="6"/>
      <c r="E5026" s="6"/>
      <c r="F5026" s="6"/>
      <c r="G5026" s="115" t="b">
        <f>VLOOKUP(I5022,FS_input_noty,J5022,FALSE)=""</f>
        <v>0</v>
      </c>
      <c r="H5026" s="6" t="s">
        <v>2189</v>
      </c>
      <c r="I5026" t="s">
        <v>1561</v>
      </c>
      <c r="J5026" t="s">
        <v>1561</v>
      </c>
      <c r="L5026" s="26" t="e">
        <f t="shared" si="284"/>
        <v>#VALUE!</v>
      </c>
    </row>
    <row r="5027" spans="1:12" x14ac:dyDescent="0.35">
      <c r="A5027" s="9">
        <f t="shared" si="285"/>
        <v>5026</v>
      </c>
      <c r="B5027" t="s">
        <v>109</v>
      </c>
      <c r="C5027" s="109">
        <f>IF(ISBLANK(K5027),IFERROR(VLOOKUP(I5027,FS_input_data!$C$458:$N$648,Export!J5027,FALSE),""),K5027)</f>
        <v>33000</v>
      </c>
      <c r="D5027" s="6" t="b">
        <v>1</v>
      </c>
      <c r="E5027" s="6"/>
      <c r="F5027" s="6"/>
      <c r="G5027" s="115" t="b">
        <f>VLOOKUP(I5022,FS_input_noty,J5022,FALSE)=""</f>
        <v>0</v>
      </c>
      <c r="H5027" s="6" t="s">
        <v>2189</v>
      </c>
      <c r="I5027" t="s">
        <v>1964</v>
      </c>
      <c r="J5027">
        <v>7</v>
      </c>
      <c r="L5027" s="26" t="e">
        <f t="shared" si="284"/>
        <v>#VALUE!</v>
      </c>
    </row>
    <row r="5028" spans="1:12" x14ac:dyDescent="0.35">
      <c r="A5028">
        <f t="shared" si="285"/>
        <v>5027</v>
      </c>
      <c r="B5028" t="s">
        <v>110</v>
      </c>
      <c r="C5028" s="109" t="str">
        <f>IF(ISBLANK(K5028),IFERROR(VLOOKUP(I5028,FS_input_data!$C$458:$N$648,Export!J5028,FALSE),""),K5028)</f>
        <v/>
      </c>
      <c r="D5028" s="6"/>
      <c r="E5028" s="6"/>
      <c r="F5028" s="6"/>
      <c r="G5028" s="115" t="b">
        <f>VLOOKUP(I5022,FS_input_noty,J5022,FALSE)=""</f>
        <v>0</v>
      </c>
      <c r="H5028" s="6" t="s">
        <v>2189</v>
      </c>
      <c r="I5028" t="s">
        <v>1561</v>
      </c>
      <c r="J5028" t="s">
        <v>1561</v>
      </c>
      <c r="L5028">
        <f t="shared" si="284"/>
        <v>1</v>
      </c>
    </row>
    <row r="5029" spans="1:12" x14ac:dyDescent="0.35">
      <c r="A5029" s="9">
        <f t="shared" si="285"/>
        <v>5028</v>
      </c>
      <c r="B5029" t="s">
        <v>111</v>
      </c>
      <c r="C5029" s="109">
        <f>IF(ISBLANK(K5029),IFERROR(VLOOKUP(I5029,FS_input_data!$C$458:$N$648,Export!J5029,FALSE),""),K5029)</f>
        <v>16500</v>
      </c>
      <c r="D5029" s="6" t="b">
        <v>0</v>
      </c>
      <c r="E5029" s="6"/>
      <c r="F5029" s="6"/>
      <c r="G5029" s="115" t="b">
        <f>VLOOKUP(I5022,FS_input_noty,J5022,TRUE)=""</f>
        <v>0</v>
      </c>
      <c r="H5029" s="6" t="s">
        <v>2189</v>
      </c>
      <c r="I5029" t="s">
        <v>1964</v>
      </c>
      <c r="J5029">
        <v>8</v>
      </c>
      <c r="L5029" s="26" t="e">
        <f t="shared" si="284"/>
        <v>#VALUE!</v>
      </c>
    </row>
    <row r="5030" spans="1:12" x14ac:dyDescent="0.35">
      <c r="A5030">
        <f t="shared" si="285"/>
        <v>5029</v>
      </c>
      <c r="B5030" t="s">
        <v>112</v>
      </c>
      <c r="C5030" s="109" t="str">
        <f>IF(ISBLANK(K5030),IFERROR(VLOOKUP(I5030,FS_input_data!$C$458:$N$648,Export!J5030,FALSE),""),K5030)</f>
        <v/>
      </c>
      <c r="D5030" s="6"/>
      <c r="E5030" s="6"/>
      <c r="F5030" s="6"/>
      <c r="G5030" s="115" t="b">
        <f>VLOOKUP(I5022,FS_input_noty,J5022,FALSE)=""</f>
        <v>0</v>
      </c>
      <c r="H5030" s="6" t="s">
        <v>2189</v>
      </c>
      <c r="I5030" t="s">
        <v>1561</v>
      </c>
      <c r="J5030" t="s">
        <v>1561</v>
      </c>
      <c r="L5030">
        <f t="shared" si="284"/>
        <v>1</v>
      </c>
    </row>
    <row r="5031" spans="1:12" x14ac:dyDescent="0.35">
      <c r="A5031" s="9">
        <f t="shared" si="285"/>
        <v>5030</v>
      </c>
      <c r="B5031" t="s">
        <v>749</v>
      </c>
      <c r="C5031" s="109">
        <f>IF(ISBLANK(K5031),IFERROR(VLOOKUP(I5031,FS_input_data!$C$458:$N$648,Export!J5031,FALSE),""),K5031)</f>
        <v>16500</v>
      </c>
      <c r="D5031" s="6" t="b">
        <v>0</v>
      </c>
      <c r="E5031" s="6"/>
      <c r="F5031" s="6"/>
      <c r="G5031" s="115" t="b">
        <f>VLOOKUP(I5022,FS_input_noty,J5022,FALSE)=""</f>
        <v>0</v>
      </c>
      <c r="H5031" s="6" t="s">
        <v>2189</v>
      </c>
      <c r="I5031" t="s">
        <v>1964</v>
      </c>
      <c r="J5031">
        <v>9</v>
      </c>
      <c r="L5031" s="26" t="e">
        <f t="shared" si="284"/>
        <v>#VALUE!</v>
      </c>
    </row>
    <row r="5032" spans="1:12" x14ac:dyDescent="0.35">
      <c r="A5032">
        <f t="shared" si="285"/>
        <v>5031</v>
      </c>
      <c r="B5032" t="s">
        <v>750</v>
      </c>
      <c r="C5032" s="109" t="str">
        <f>IF(ISBLANK(K5032),IFERROR(VLOOKUP(I5032,FS_input_data!$C$458:$N$648,Export!J5032,FALSE),""),K5032)</f>
        <v/>
      </c>
      <c r="D5032" s="6"/>
      <c r="E5032" s="6"/>
      <c r="F5032" s="6"/>
      <c r="G5032" s="115" t="b">
        <f>VLOOKUP(I5022,FS_input_noty,J5022,FALSE)=""</f>
        <v>0</v>
      </c>
      <c r="H5032" s="6" t="s">
        <v>2189</v>
      </c>
      <c r="I5032" t="s">
        <v>1561</v>
      </c>
      <c r="J5032" t="s">
        <v>1561</v>
      </c>
      <c r="L5032">
        <f t="shared" si="284"/>
        <v>1</v>
      </c>
    </row>
    <row r="5033" spans="1:12" x14ac:dyDescent="0.35">
      <c r="A5033">
        <f t="shared" si="285"/>
        <v>5032</v>
      </c>
      <c r="B5033" t="s">
        <v>751</v>
      </c>
      <c r="C5033" s="109" t="str">
        <f>IF(ISBLANK(K5033),IFERROR(VLOOKUP(I5033,FS_input_data!$C$458:$N$648,Export!J5033,FALSE),""),K5033)</f>
        <v/>
      </c>
      <c r="D5033" s="6"/>
      <c r="E5033" s="6"/>
      <c r="F5033" s="6"/>
      <c r="G5033" s="115" t="b">
        <f>VLOOKUP(I5022,FS_input_noty,J5022,FALSE)=""</f>
        <v>0</v>
      </c>
      <c r="H5033" s="6" t="s">
        <v>2189</v>
      </c>
      <c r="I5033" t="s">
        <v>1561</v>
      </c>
      <c r="J5033" t="s">
        <v>1561</v>
      </c>
      <c r="L5033">
        <f t="shared" si="284"/>
        <v>1</v>
      </c>
    </row>
    <row r="5034" spans="1:12" x14ac:dyDescent="0.35">
      <c r="A5034">
        <f t="shared" si="285"/>
        <v>5033</v>
      </c>
      <c r="B5034" t="s">
        <v>754</v>
      </c>
      <c r="C5034" s="109" t="str">
        <f>IF(ISBLANK(K5034),IFERROR(VLOOKUP(I5034,FS_input_data!$C$458:$N$648,Export!J5034,FALSE),""),K5034)</f>
        <v/>
      </c>
      <c r="D5034" s="6"/>
      <c r="E5034" s="6"/>
      <c r="F5034" s="6"/>
      <c r="G5034" s="115" t="b">
        <f>VLOOKUP(I5022,FS_input_noty,J5022,FALSE)=""</f>
        <v>0</v>
      </c>
      <c r="H5034" s="6" t="s">
        <v>2189</v>
      </c>
      <c r="I5034" t="s">
        <v>1561</v>
      </c>
      <c r="J5034" t="s">
        <v>1561</v>
      </c>
      <c r="L5034" s="26" t="e">
        <f t="shared" si="284"/>
        <v>#VALUE!</v>
      </c>
    </row>
    <row r="5035" spans="1:12" x14ac:dyDescent="0.35">
      <c r="A5035" s="9">
        <f t="shared" si="285"/>
        <v>5034</v>
      </c>
      <c r="B5035" t="s">
        <v>755</v>
      </c>
      <c r="C5035" s="109">
        <f>IF(ISBLANK(K5035),IFERROR(VLOOKUP(I5035,FS_input_data!$C$458:$N$648,Export!J5035,FALSE),""),K5035)</f>
        <v>77</v>
      </c>
      <c r="D5035" s="6" t="b">
        <v>1</v>
      </c>
      <c r="E5035" s="6"/>
      <c r="F5035" s="6"/>
      <c r="G5035" s="115" t="b">
        <f>VLOOKUP(I5022,FS_input_noty,J5022,FALSE)=""</f>
        <v>0</v>
      </c>
      <c r="H5035" s="6" t="s">
        <v>2189</v>
      </c>
      <c r="I5035" t="s">
        <v>1964</v>
      </c>
      <c r="J5035">
        <v>2</v>
      </c>
      <c r="L5035" s="26" t="e">
        <f t="shared" si="284"/>
        <v>#VALUE!</v>
      </c>
    </row>
    <row r="5036" spans="1:12" x14ac:dyDescent="0.35">
      <c r="A5036">
        <f t="shared" si="285"/>
        <v>5035</v>
      </c>
      <c r="B5036" t="s">
        <v>756</v>
      </c>
      <c r="C5036" s="109" t="str">
        <f>IF(ISBLANK(K5036),IFERROR(VLOOKUP(I5036,FS_input_data!$C$458:$N$648,Export!J5036,FALSE),""),K5036)</f>
        <v/>
      </c>
      <c r="D5036" s="6"/>
      <c r="E5036" s="6"/>
      <c r="F5036" s="6"/>
      <c r="G5036" s="115" t="b">
        <f>VLOOKUP(I5022,FS_input_noty,J5022,FALSE)=""</f>
        <v>0</v>
      </c>
      <c r="H5036" s="6" t="s">
        <v>2189</v>
      </c>
      <c r="I5036" t="s">
        <v>1561</v>
      </c>
      <c r="J5036" t="s">
        <v>1561</v>
      </c>
      <c r="L5036">
        <f t="shared" si="284"/>
        <v>1</v>
      </c>
    </row>
    <row r="5037" spans="1:12" x14ac:dyDescent="0.35">
      <c r="A5037" s="9">
        <f t="shared" si="285"/>
        <v>5036</v>
      </c>
      <c r="B5037" t="s">
        <v>757</v>
      </c>
      <c r="C5037" s="109">
        <f>IF(ISBLANK(K5037),IFERROR(VLOOKUP(I5037,FS_input_data!$C$458:$N$648,Export!J5037,FALSE),""),K5037)</f>
        <v>177</v>
      </c>
      <c r="D5037" s="6" t="b">
        <v>0</v>
      </c>
      <c r="E5037" s="6"/>
      <c r="F5037" s="6"/>
      <c r="G5037" s="115" t="b">
        <f>VLOOKUP(I5022,FS_input_noty,J5022,FALSE)=""</f>
        <v>0</v>
      </c>
      <c r="H5037" s="6" t="s">
        <v>2189</v>
      </c>
      <c r="I5037" t="s">
        <v>1964</v>
      </c>
      <c r="J5037">
        <v>3</v>
      </c>
      <c r="L5037" s="26" t="e">
        <f t="shared" si="284"/>
        <v>#VALUE!</v>
      </c>
    </row>
    <row r="5038" spans="1:12" x14ac:dyDescent="0.35">
      <c r="A5038">
        <f t="shared" si="285"/>
        <v>5037</v>
      </c>
      <c r="B5038" t="s">
        <v>758</v>
      </c>
      <c r="C5038" s="109" t="str">
        <f>IF(ISBLANK(K5038),IFERROR(VLOOKUP(I5038,FS_input_data!$C$458:$N$648,Export!J5038,FALSE),""),K5038)</f>
        <v/>
      </c>
      <c r="D5038" s="6"/>
      <c r="E5038" s="6"/>
      <c r="F5038" s="6"/>
      <c r="G5038" s="115" t="b">
        <f>VLOOKUP(I5022,FS_input_noty,J5022,FALSE)=""</f>
        <v>0</v>
      </c>
      <c r="H5038" s="6" t="s">
        <v>2189</v>
      </c>
      <c r="I5038" t="s">
        <v>1561</v>
      </c>
      <c r="J5038" t="s">
        <v>1561</v>
      </c>
      <c r="L5038">
        <f t="shared" si="284"/>
        <v>1</v>
      </c>
    </row>
    <row r="5039" spans="1:12" x14ac:dyDescent="0.35">
      <c r="A5039" s="9">
        <f t="shared" si="285"/>
        <v>5038</v>
      </c>
      <c r="B5039" t="s">
        <v>759</v>
      </c>
      <c r="C5039" s="109">
        <f>IF(ISBLANK(K5039),IFERROR(VLOOKUP(I5039,FS_input_data!$C$458:$N$648,Export!J5039,FALSE),""),K5039)</f>
        <v>277</v>
      </c>
      <c r="D5039" s="6" t="b">
        <v>0</v>
      </c>
      <c r="E5039" s="6"/>
      <c r="F5039" s="6"/>
      <c r="G5039" s="115" t="b">
        <f>VLOOKUP(I5022,FS_input_noty,J5022,FALSE)=""</f>
        <v>0</v>
      </c>
      <c r="H5039" s="6" t="s">
        <v>2189</v>
      </c>
      <c r="I5039" t="s">
        <v>1964</v>
      </c>
      <c r="J5039">
        <v>4</v>
      </c>
      <c r="L5039" s="26" t="e">
        <f t="shared" si="284"/>
        <v>#VALUE!</v>
      </c>
    </row>
    <row r="5040" spans="1:12" x14ac:dyDescent="0.35">
      <c r="A5040">
        <f t="shared" si="285"/>
        <v>5039</v>
      </c>
      <c r="B5040" t="s">
        <v>760</v>
      </c>
      <c r="C5040" s="109" t="str">
        <f>IF(ISBLANK(K5040),IFERROR(VLOOKUP(I5040,FS_input_data!$C$458:$N$648,Export!J5040,FALSE),""),K5040)</f>
        <v/>
      </c>
      <c r="D5040" s="6"/>
      <c r="E5040" s="6"/>
      <c r="F5040" s="6"/>
      <c r="G5040" s="115" t="b">
        <f>VLOOKUP(I5022,FS_input_noty,J5022,FALSE)=""</f>
        <v>0</v>
      </c>
      <c r="H5040" s="6" t="s">
        <v>2189</v>
      </c>
      <c r="I5040" t="s">
        <v>1561</v>
      </c>
      <c r="J5040" t="s">
        <v>1561</v>
      </c>
      <c r="L5040">
        <f t="shared" si="284"/>
        <v>1</v>
      </c>
    </row>
    <row r="5041" spans="1:12" x14ac:dyDescent="0.35">
      <c r="A5041" s="9">
        <f t="shared" si="285"/>
        <v>5040</v>
      </c>
      <c r="B5041" t="s">
        <v>761</v>
      </c>
      <c r="C5041" s="109" t="str">
        <f>IF(ISBLANK(K5041),IFERROR(VLOOKUP(I5041,FS_input_data!$C$458:$N$648,Export!J5041,FALSE),""),K5041)</f>
        <v>a</v>
      </c>
      <c r="D5041" s="6" t="b">
        <v>0</v>
      </c>
      <c r="E5041" s="6"/>
      <c r="F5041" s="6"/>
      <c r="G5041" s="115" t="b">
        <f>VLOOKUP(I5022,FS_input_noty,J5022,FALSE)=""</f>
        <v>0</v>
      </c>
      <c r="H5041" s="6" t="s">
        <v>2189</v>
      </c>
      <c r="I5041" t="s">
        <v>1964</v>
      </c>
      <c r="J5041">
        <v>5</v>
      </c>
      <c r="L5041" s="26" t="e">
        <f t="shared" si="284"/>
        <v>#VALUE!</v>
      </c>
    </row>
    <row r="5042" spans="1:12" x14ac:dyDescent="0.35">
      <c r="A5042">
        <f t="shared" si="285"/>
        <v>5041</v>
      </c>
      <c r="B5042" t="s">
        <v>762</v>
      </c>
      <c r="C5042" s="109" t="str">
        <f>IF(ISBLANK(K5042),IFERROR(VLOOKUP(I5042,FS_input_data!$C$458:$N$648,Export!J5042,FALSE),""),K5042)</f>
        <v/>
      </c>
      <c r="D5042" s="6"/>
      <c r="E5042" s="6"/>
      <c r="F5042" s="6"/>
      <c r="G5042" s="115" t="b">
        <f>VLOOKUP(I5022,FS_input_noty,J5022,FALSE)=""</f>
        <v>0</v>
      </c>
      <c r="H5042" s="6" t="s">
        <v>2189</v>
      </c>
      <c r="I5042" t="s">
        <v>1561</v>
      </c>
      <c r="J5042" t="s">
        <v>1561</v>
      </c>
      <c r="L5042">
        <f t="shared" si="284"/>
        <v>1</v>
      </c>
    </row>
    <row r="5043" spans="1:12" x14ac:dyDescent="0.35">
      <c r="A5043">
        <f t="shared" si="285"/>
        <v>5042</v>
      </c>
      <c r="B5043" t="s">
        <v>763</v>
      </c>
      <c r="C5043" s="109" t="str">
        <f>IF(ISBLANK(K5043),IFERROR(VLOOKUP(I5043,FS_input_data!$C$458:$N$648,Export!J5043,FALSE),""),K5043)</f>
        <v/>
      </c>
      <c r="D5043" s="6"/>
      <c r="E5043" s="6"/>
      <c r="F5043" s="6"/>
      <c r="G5043" s="116" t="b">
        <f>VLOOKUP(I5022,FS_input_noty,J5022,FALSE)=""</f>
        <v>0</v>
      </c>
      <c r="H5043" s="6" t="s">
        <v>2189</v>
      </c>
      <c r="I5043" t="s">
        <v>1561</v>
      </c>
      <c r="J5043" t="s">
        <v>1561</v>
      </c>
      <c r="L5043">
        <f t="shared" si="284"/>
        <v>1</v>
      </c>
    </row>
    <row r="5044" spans="1:12" x14ac:dyDescent="0.35">
      <c r="A5044">
        <f t="shared" si="285"/>
        <v>5043</v>
      </c>
      <c r="B5044" t="s">
        <v>743</v>
      </c>
      <c r="C5044" s="109" t="str">
        <f>IF(ISBLANK(K5044),IFERROR(VLOOKUP(I5044,FS_input_data!$C$458:$N$648,Export!J5044,FALSE),""),K5044)</f>
        <v/>
      </c>
      <c r="D5044" s="6"/>
      <c r="E5044" s="6"/>
      <c r="F5044" s="6"/>
      <c r="G5044" s="115" t="b">
        <f>VLOOKUP(I5022,FS_input_noty,J5022,FALSE)=""</f>
        <v>0</v>
      </c>
      <c r="H5044" s="6" t="s">
        <v>2189</v>
      </c>
      <c r="I5044" t="s">
        <v>1561</v>
      </c>
      <c r="J5044" t="s">
        <v>1561</v>
      </c>
      <c r="L5044">
        <f t="shared" si="284"/>
        <v>1</v>
      </c>
    </row>
    <row r="5045" spans="1:12" x14ac:dyDescent="0.35">
      <c r="A5045">
        <f t="shared" si="285"/>
        <v>5044</v>
      </c>
      <c r="B5045" t="s">
        <v>744</v>
      </c>
      <c r="C5045" s="109" t="str">
        <f>IF(ISBLANK(K5045),IFERROR(VLOOKUP(I5045,FS_input_data!$C$458:$N$648,Export!J5045,FALSE),""),K5045)</f>
        <v/>
      </c>
      <c r="D5045" s="6"/>
      <c r="E5045" s="6"/>
      <c r="F5045" s="6"/>
      <c r="G5045" s="115" t="b">
        <f t="shared" ref="G5045:G5052" si="287">RP_tax</f>
        <v>1</v>
      </c>
      <c r="H5045" s="6" t="s">
        <v>2189</v>
      </c>
      <c r="I5045" t="s">
        <v>1561</v>
      </c>
      <c r="J5045" t="s">
        <v>1561</v>
      </c>
      <c r="L5045" s="26" t="e">
        <f t="shared" si="284"/>
        <v>#VALUE!</v>
      </c>
    </row>
    <row r="5046" spans="1:12" x14ac:dyDescent="0.35">
      <c r="A5046" s="9">
        <f t="shared" si="285"/>
        <v>5045</v>
      </c>
      <c r="B5046" t="s">
        <v>109</v>
      </c>
      <c r="C5046" s="109">
        <f>IF(ISBLANK(K5046),IFERROR(VLOOKUP(I5046,FS_input_data!$C$458:$N$648,Export!J5046,FALSE),""),K5046)</f>
        <v>33000</v>
      </c>
      <c r="D5046" s="6" t="b">
        <v>1</v>
      </c>
      <c r="E5046" s="6"/>
      <c r="F5046" s="6"/>
      <c r="G5046" s="115" t="b">
        <f t="shared" si="287"/>
        <v>1</v>
      </c>
      <c r="H5046" s="6" t="s">
        <v>2189</v>
      </c>
      <c r="I5046" t="s">
        <v>1964</v>
      </c>
      <c r="J5046">
        <v>10</v>
      </c>
      <c r="L5046" s="26" t="e">
        <f t="shared" si="284"/>
        <v>#VALUE!</v>
      </c>
    </row>
    <row r="5047" spans="1:12" x14ac:dyDescent="0.35">
      <c r="A5047">
        <f t="shared" si="285"/>
        <v>5046</v>
      </c>
      <c r="B5047" t="s">
        <v>110</v>
      </c>
      <c r="C5047" s="109" t="str">
        <f>IF(ISBLANK(K5047),IFERROR(VLOOKUP(I5047,FS_input_data!$C$458:$N$648,Export!J5047,FALSE),""),K5047)</f>
        <v/>
      </c>
      <c r="D5047" s="6"/>
      <c r="E5047" s="6"/>
      <c r="F5047" s="6"/>
      <c r="G5047" s="115" t="b">
        <f t="shared" si="287"/>
        <v>1</v>
      </c>
      <c r="H5047" s="6" t="s">
        <v>2189</v>
      </c>
      <c r="I5047" t="s">
        <v>1561</v>
      </c>
      <c r="J5047" t="s">
        <v>1561</v>
      </c>
      <c r="L5047">
        <f t="shared" si="284"/>
        <v>1</v>
      </c>
    </row>
    <row r="5048" spans="1:12" x14ac:dyDescent="0.35">
      <c r="A5048" s="9">
        <f t="shared" si="285"/>
        <v>5047</v>
      </c>
      <c r="B5048" t="s">
        <v>111</v>
      </c>
      <c r="C5048" s="109">
        <f>IF(ISBLANK(K5048),IFERROR(VLOOKUP(I5048,FS_input_data!$C$458:$N$648,Export!J5048,FALSE),""),K5048)</f>
        <v>16500</v>
      </c>
      <c r="D5048" s="6" t="b">
        <v>0</v>
      </c>
      <c r="E5048" s="6"/>
      <c r="F5048" s="6"/>
      <c r="G5048" s="115" t="b">
        <f t="shared" si="287"/>
        <v>1</v>
      </c>
      <c r="H5048" s="6" t="s">
        <v>2189</v>
      </c>
      <c r="I5048" t="s">
        <v>1964</v>
      </c>
      <c r="J5048">
        <v>11</v>
      </c>
      <c r="L5048" s="26" t="e">
        <f t="shared" si="284"/>
        <v>#VALUE!</v>
      </c>
    </row>
    <row r="5049" spans="1:12" x14ac:dyDescent="0.35">
      <c r="A5049">
        <f t="shared" si="285"/>
        <v>5048</v>
      </c>
      <c r="B5049" t="s">
        <v>112</v>
      </c>
      <c r="C5049" s="109" t="str">
        <f>IF(ISBLANK(K5049),IFERROR(VLOOKUP(I5049,FS_input_data!$C$458:$N$648,Export!J5049,FALSE),""),K5049)</f>
        <v/>
      </c>
      <c r="D5049" s="6"/>
      <c r="E5049" s="6"/>
      <c r="F5049" s="6"/>
      <c r="G5049" s="115" t="b">
        <f t="shared" si="287"/>
        <v>1</v>
      </c>
      <c r="H5049" s="6" t="s">
        <v>2189</v>
      </c>
      <c r="I5049" t="s">
        <v>1561</v>
      </c>
      <c r="J5049" t="s">
        <v>1561</v>
      </c>
      <c r="L5049">
        <f t="shared" si="284"/>
        <v>1</v>
      </c>
    </row>
    <row r="5050" spans="1:12" x14ac:dyDescent="0.35">
      <c r="A5050" s="9">
        <f t="shared" si="285"/>
        <v>5049</v>
      </c>
      <c r="B5050" t="s">
        <v>749</v>
      </c>
      <c r="C5050" s="109">
        <f>IF(ISBLANK(K5050),IFERROR(VLOOKUP(I5050,FS_input_data!$C$458:$N$648,Export!J5050,FALSE),""),K5050)</f>
        <v>16500</v>
      </c>
      <c r="D5050" s="6" t="b">
        <v>0</v>
      </c>
      <c r="E5050" s="6"/>
      <c r="F5050" s="6"/>
      <c r="G5050" s="115" t="b">
        <f t="shared" si="287"/>
        <v>1</v>
      </c>
      <c r="H5050" s="6" t="s">
        <v>2189</v>
      </c>
      <c r="I5050" t="s">
        <v>1964</v>
      </c>
      <c r="J5050">
        <v>12</v>
      </c>
      <c r="L5050" s="26" t="e">
        <f t="shared" si="284"/>
        <v>#VALUE!</v>
      </c>
    </row>
    <row r="5051" spans="1:12" x14ac:dyDescent="0.35">
      <c r="A5051">
        <f t="shared" si="285"/>
        <v>5050</v>
      </c>
      <c r="B5051" t="s">
        <v>750</v>
      </c>
      <c r="C5051" s="109" t="str">
        <f>IF(ISBLANK(K5051),IFERROR(VLOOKUP(I5051,FS_input_data!$C$458:$N$648,Export!J5051,FALSE),""),K5051)</f>
        <v/>
      </c>
      <c r="D5051" s="6"/>
      <c r="E5051" s="6"/>
      <c r="F5051" s="6"/>
      <c r="G5051" s="115" t="b">
        <f t="shared" si="287"/>
        <v>1</v>
      </c>
      <c r="H5051" s="6" t="s">
        <v>2189</v>
      </c>
      <c r="I5051" t="s">
        <v>1561</v>
      </c>
      <c r="J5051" t="s">
        <v>1561</v>
      </c>
      <c r="L5051">
        <f t="shared" si="284"/>
        <v>1</v>
      </c>
    </row>
    <row r="5052" spans="1:12" x14ac:dyDescent="0.35">
      <c r="A5052">
        <f t="shared" si="285"/>
        <v>5051</v>
      </c>
      <c r="B5052" t="s">
        <v>745</v>
      </c>
      <c r="C5052" s="109" t="str">
        <f>IF(ISBLANK(K5052),IFERROR(VLOOKUP(I5052,FS_input_data!$C$458:$N$648,Export!J5052,FALSE),""),K5052)</f>
        <v/>
      </c>
      <c r="D5052" s="6"/>
      <c r="E5052" s="6"/>
      <c r="F5052" s="6"/>
      <c r="G5052" s="115" t="b">
        <f t="shared" si="287"/>
        <v>1</v>
      </c>
      <c r="H5052" s="6" t="s">
        <v>2189</v>
      </c>
      <c r="I5052" t="s">
        <v>1561</v>
      </c>
      <c r="J5052" t="s">
        <v>1561</v>
      </c>
      <c r="L5052">
        <f t="shared" si="284"/>
        <v>1</v>
      </c>
    </row>
    <row r="5053" spans="1:12" x14ac:dyDescent="0.35">
      <c r="A5053">
        <f t="shared" si="285"/>
        <v>5052</v>
      </c>
      <c r="B5053" t="s">
        <v>764</v>
      </c>
      <c r="C5053" s="109" t="str">
        <f>IF(ISBLANK(K5053),IFERROR(VLOOKUP(I5053,FS_input_data!$C$458:$N$648,Export!J5053,FALSE),""),K5053)</f>
        <v/>
      </c>
      <c r="D5053" s="6"/>
      <c r="E5053" s="6"/>
      <c r="F5053" s="6"/>
      <c r="G5053" s="116" t="b">
        <f>VLOOKUP(I5022,FS_input_noty,J5022,FALSE)=""</f>
        <v>0</v>
      </c>
      <c r="H5053" s="6" t="s">
        <v>2189</v>
      </c>
      <c r="I5053" t="s">
        <v>1561</v>
      </c>
      <c r="J5053" t="s">
        <v>1561</v>
      </c>
      <c r="L5053">
        <f t="shared" si="284"/>
        <v>1</v>
      </c>
    </row>
    <row r="5054" spans="1:12" x14ac:dyDescent="0.35">
      <c r="A5054">
        <f t="shared" si="285"/>
        <v>5053</v>
      </c>
      <c r="B5054" t="s">
        <v>765</v>
      </c>
      <c r="C5054" s="109" t="str">
        <f>IF(ISBLANK(K5054),IFERROR(VLOOKUP(I5054,FS_input_data!$C$458:$N$648,Export!J5054,FALSE),""),K5054)</f>
        <v/>
      </c>
      <c r="D5054" s="6"/>
      <c r="E5054" s="6"/>
      <c r="F5054" s="6"/>
      <c r="G5054" s="115" t="b">
        <f>VLOOKUP(I5022,FS_input_noty,J5022,FALSE)=""</f>
        <v>0</v>
      </c>
      <c r="H5054" s="6" t="s">
        <v>2189</v>
      </c>
      <c r="I5054" t="s">
        <v>1561</v>
      </c>
      <c r="J5054" t="s">
        <v>1561</v>
      </c>
      <c r="L5054">
        <f t="shared" si="284"/>
        <v>1</v>
      </c>
    </row>
    <row r="5055" spans="1:12" x14ac:dyDescent="0.35">
      <c r="A5055">
        <f t="shared" si="285"/>
        <v>5054</v>
      </c>
      <c r="B5055" t="s">
        <v>752</v>
      </c>
      <c r="C5055" s="109" t="str">
        <f>IF(ISBLANK(K5055),IFERROR(VLOOKUP(I5055,FS_input_data!$C$458:$N$648,Export!J5055,FALSE),""),K5055)</f>
        <v/>
      </c>
      <c r="D5055" s="6"/>
      <c r="E5055" s="6"/>
      <c r="F5055" s="6"/>
      <c r="G5055" s="115" t="b">
        <f>VLOOKUP(I5056,FS_input_noty,J5056,FALSE)=""</f>
        <v>0</v>
      </c>
      <c r="H5055" s="6" t="s">
        <v>2189</v>
      </c>
      <c r="I5055" t="s">
        <v>1561</v>
      </c>
      <c r="J5055" t="s">
        <v>1561</v>
      </c>
      <c r="L5055" s="26" t="e">
        <f t="shared" si="284"/>
        <v>#VALUE!</v>
      </c>
    </row>
    <row r="5056" spans="1:12" x14ac:dyDescent="0.35">
      <c r="A5056" s="9">
        <f t="shared" si="285"/>
        <v>5055</v>
      </c>
      <c r="B5056" t="s">
        <v>101</v>
      </c>
      <c r="C5056" s="109" t="str">
        <f>IF(ISBLANK(K5056),IFERROR(VLOOKUP(I5056,FS_input_data!$C$458:$N$648,Export!J5056,FALSE),""),K5056)</f>
        <v>OC55</v>
      </c>
      <c r="D5056" s="6" t="b">
        <v>1</v>
      </c>
      <c r="E5056" s="6"/>
      <c r="F5056" s="6"/>
      <c r="G5056" s="115" t="b">
        <f>VLOOKUP(I5056,FS_input_noty,J5056,FALSE)=""</f>
        <v>0</v>
      </c>
      <c r="H5056" s="6" t="s">
        <v>2189</v>
      </c>
      <c r="I5056" t="s">
        <v>1966</v>
      </c>
      <c r="J5056">
        <v>6</v>
      </c>
      <c r="L5056" s="26" t="e">
        <f t="shared" si="284"/>
        <v>#VALUE!</v>
      </c>
    </row>
    <row r="5057" spans="1:12" x14ac:dyDescent="0.35">
      <c r="A5057">
        <f t="shared" si="285"/>
        <v>5056</v>
      </c>
      <c r="B5057" t="s">
        <v>102</v>
      </c>
      <c r="C5057" s="109" t="str">
        <f>IF(ISBLANK(K5057),IFERROR(VLOOKUP(I5057,FS_input_data!$C$458:$N$648,Export!J5057,FALSE),""),K5057)</f>
        <v/>
      </c>
      <c r="D5057" s="6"/>
      <c r="E5057" s="6"/>
      <c r="F5057" s="6"/>
      <c r="G5057" s="115" t="b">
        <f>VLOOKUP(I5056,FS_input_noty,J5056,FALSE)=""</f>
        <v>0</v>
      </c>
      <c r="H5057" s="6" t="s">
        <v>2189</v>
      </c>
      <c r="I5057" t="s">
        <v>1561</v>
      </c>
      <c r="J5057" t="s">
        <v>1561</v>
      </c>
      <c r="L5057">
        <f t="shared" si="284"/>
        <v>1</v>
      </c>
    </row>
    <row r="5058" spans="1:12" x14ac:dyDescent="0.35">
      <c r="A5058">
        <f t="shared" si="285"/>
        <v>5057</v>
      </c>
      <c r="B5058" t="s">
        <v>753</v>
      </c>
      <c r="C5058" s="109" t="str">
        <f>IF(ISBLANK(K5058),IFERROR(VLOOKUP(I5058,FS_input_data!$C$458:$N$648,Export!J5058,FALSE),""),K5058)</f>
        <v/>
      </c>
      <c r="D5058" s="6"/>
      <c r="E5058" s="6"/>
      <c r="F5058" s="6"/>
      <c r="G5058" s="115" t="b">
        <f>VLOOKUP(I5056,FS_input_noty,J5056,FALSE)=""</f>
        <v>0</v>
      </c>
      <c r="H5058" s="6" t="s">
        <v>2189</v>
      </c>
      <c r="I5058" t="s">
        <v>1561</v>
      </c>
      <c r="J5058" t="s">
        <v>1561</v>
      </c>
      <c r="L5058" s="26" t="e">
        <f t="shared" ref="L5058:L5121" si="288">FIND("/",B5058)</f>
        <v>#VALUE!</v>
      </c>
    </row>
    <row r="5059" spans="1:12" x14ac:dyDescent="0.35">
      <c r="A5059">
        <f t="shared" ref="A5059:A5122" si="289">A5058+1</f>
        <v>5058</v>
      </c>
      <c r="B5059" t="s">
        <v>742</v>
      </c>
      <c r="C5059" s="109" t="str">
        <f>IF(ISBLANK(K5059),IFERROR(VLOOKUP(I5059,FS_input_data!$C$458:$N$648,Export!J5059,FALSE),""),K5059)</f>
        <v/>
      </c>
      <c r="D5059" s="6"/>
      <c r="E5059" s="6"/>
      <c r="F5059" s="6"/>
      <c r="G5059" s="115" t="b">
        <f>VLOOKUP(I5056,FS_input_noty,J5056,FALSE)=""</f>
        <v>0</v>
      </c>
      <c r="H5059" s="6" t="s">
        <v>2189</v>
      </c>
      <c r="I5059" t="s">
        <v>1561</v>
      </c>
      <c r="J5059" t="s">
        <v>1561</v>
      </c>
      <c r="L5059" s="26" t="e">
        <f t="shared" si="288"/>
        <v>#VALUE!</v>
      </c>
    </row>
    <row r="5060" spans="1:12" x14ac:dyDescent="0.35">
      <c r="A5060">
        <f t="shared" si="289"/>
        <v>5059</v>
      </c>
      <c r="B5060" t="s">
        <v>748</v>
      </c>
      <c r="C5060" s="109" t="str">
        <f>IF(ISBLANK(K5060),IFERROR(VLOOKUP(I5060,FS_input_data!$C$458:$N$648,Export!J5060,FALSE),""),K5060)</f>
        <v/>
      </c>
      <c r="D5060" s="6"/>
      <c r="E5060" s="6"/>
      <c r="F5060" s="6"/>
      <c r="G5060" s="115" t="b">
        <f>VLOOKUP(I5056,FS_input_noty,J5056,FALSE)=""</f>
        <v>0</v>
      </c>
      <c r="H5060" s="6" t="s">
        <v>2189</v>
      </c>
      <c r="I5060" t="s">
        <v>1561</v>
      </c>
      <c r="J5060" t="s">
        <v>1561</v>
      </c>
      <c r="L5060" s="26" t="e">
        <f t="shared" si="288"/>
        <v>#VALUE!</v>
      </c>
    </row>
    <row r="5061" spans="1:12" x14ac:dyDescent="0.35">
      <c r="A5061" s="9">
        <f t="shared" si="289"/>
        <v>5060</v>
      </c>
      <c r="B5061" t="s">
        <v>109</v>
      </c>
      <c r="C5061" s="109">
        <f>IF(ISBLANK(K5061),IFERROR(VLOOKUP(I5061,FS_input_data!$C$458:$N$648,Export!J5061,FALSE),""),K5061)</f>
        <v>34000</v>
      </c>
      <c r="D5061" s="6" t="b">
        <v>1</v>
      </c>
      <c r="E5061" s="6"/>
      <c r="F5061" s="6"/>
      <c r="G5061" s="115" t="b">
        <f>VLOOKUP(I5056,FS_input_noty,J5056,FALSE)=""</f>
        <v>0</v>
      </c>
      <c r="H5061" s="6" t="s">
        <v>2189</v>
      </c>
      <c r="I5061" t="s">
        <v>1966</v>
      </c>
      <c r="J5061">
        <v>7</v>
      </c>
      <c r="L5061" s="26" t="e">
        <f t="shared" si="288"/>
        <v>#VALUE!</v>
      </c>
    </row>
    <row r="5062" spans="1:12" x14ac:dyDescent="0.35">
      <c r="A5062">
        <f t="shared" si="289"/>
        <v>5061</v>
      </c>
      <c r="B5062" t="s">
        <v>110</v>
      </c>
      <c r="C5062" s="109" t="str">
        <f>IF(ISBLANK(K5062),IFERROR(VLOOKUP(I5062,FS_input_data!$C$458:$N$648,Export!J5062,FALSE),""),K5062)</f>
        <v/>
      </c>
      <c r="D5062" s="6"/>
      <c r="E5062" s="6"/>
      <c r="F5062" s="6"/>
      <c r="G5062" s="115" t="b">
        <f>VLOOKUP(I5056,FS_input_noty,J5056,FALSE)=""</f>
        <v>0</v>
      </c>
      <c r="H5062" s="6" t="s">
        <v>2189</v>
      </c>
      <c r="I5062" t="s">
        <v>1561</v>
      </c>
      <c r="J5062" t="s">
        <v>1561</v>
      </c>
      <c r="L5062">
        <f t="shared" si="288"/>
        <v>1</v>
      </c>
    </row>
    <row r="5063" spans="1:12" x14ac:dyDescent="0.35">
      <c r="A5063" s="9">
        <f t="shared" si="289"/>
        <v>5062</v>
      </c>
      <c r="B5063" t="s">
        <v>111</v>
      </c>
      <c r="C5063" s="109">
        <f>IF(ISBLANK(K5063),IFERROR(VLOOKUP(I5063,FS_input_data!$C$458:$N$648,Export!J5063,FALSE),""),K5063)</f>
        <v>17000</v>
      </c>
      <c r="D5063" s="6" t="b">
        <v>0</v>
      </c>
      <c r="E5063" s="6"/>
      <c r="F5063" s="6"/>
      <c r="G5063" s="115" t="b">
        <f>VLOOKUP(I5056,FS_input_noty,J5056,TRUE)=""</f>
        <v>0</v>
      </c>
      <c r="H5063" s="6" t="s">
        <v>2189</v>
      </c>
      <c r="I5063" t="s">
        <v>1966</v>
      </c>
      <c r="J5063">
        <v>8</v>
      </c>
      <c r="L5063" s="26" t="e">
        <f t="shared" si="288"/>
        <v>#VALUE!</v>
      </c>
    </row>
    <row r="5064" spans="1:12" x14ac:dyDescent="0.35">
      <c r="A5064">
        <f t="shared" si="289"/>
        <v>5063</v>
      </c>
      <c r="B5064" t="s">
        <v>112</v>
      </c>
      <c r="C5064" s="109" t="str">
        <f>IF(ISBLANK(K5064),IFERROR(VLOOKUP(I5064,FS_input_data!$C$458:$N$648,Export!J5064,FALSE),""),K5064)</f>
        <v/>
      </c>
      <c r="D5064" s="6"/>
      <c r="E5064" s="6"/>
      <c r="F5064" s="6"/>
      <c r="G5064" s="115" t="b">
        <f>VLOOKUP(I5056,FS_input_noty,J5056,FALSE)=""</f>
        <v>0</v>
      </c>
      <c r="H5064" s="6" t="s">
        <v>2189</v>
      </c>
      <c r="I5064" t="s">
        <v>1561</v>
      </c>
      <c r="J5064" t="s">
        <v>1561</v>
      </c>
      <c r="L5064">
        <f t="shared" si="288"/>
        <v>1</v>
      </c>
    </row>
    <row r="5065" spans="1:12" x14ac:dyDescent="0.35">
      <c r="A5065" s="9">
        <f t="shared" si="289"/>
        <v>5064</v>
      </c>
      <c r="B5065" t="s">
        <v>749</v>
      </c>
      <c r="C5065" s="109">
        <f>IF(ISBLANK(K5065),IFERROR(VLOOKUP(I5065,FS_input_data!$C$458:$N$648,Export!J5065,FALSE),""),K5065)</f>
        <v>17000</v>
      </c>
      <c r="D5065" s="6" t="b">
        <v>0</v>
      </c>
      <c r="E5065" s="6"/>
      <c r="F5065" s="6"/>
      <c r="G5065" s="115" t="b">
        <f>VLOOKUP(I5056,FS_input_noty,J5056,FALSE)=""</f>
        <v>0</v>
      </c>
      <c r="H5065" s="6" t="s">
        <v>2189</v>
      </c>
      <c r="I5065" t="s">
        <v>1966</v>
      </c>
      <c r="J5065">
        <v>9</v>
      </c>
      <c r="L5065" s="26" t="e">
        <f t="shared" si="288"/>
        <v>#VALUE!</v>
      </c>
    </row>
    <row r="5066" spans="1:12" x14ac:dyDescent="0.35">
      <c r="A5066">
        <f t="shared" si="289"/>
        <v>5065</v>
      </c>
      <c r="B5066" t="s">
        <v>750</v>
      </c>
      <c r="C5066" s="109" t="str">
        <f>IF(ISBLANK(K5066),IFERROR(VLOOKUP(I5066,FS_input_data!$C$458:$N$648,Export!J5066,FALSE),""),K5066)</f>
        <v/>
      </c>
      <c r="D5066" s="6"/>
      <c r="E5066" s="6"/>
      <c r="F5066" s="6"/>
      <c r="G5066" s="115" t="b">
        <f>VLOOKUP(I5056,FS_input_noty,J5056,FALSE)=""</f>
        <v>0</v>
      </c>
      <c r="H5066" s="6" t="s">
        <v>2189</v>
      </c>
      <c r="I5066" t="s">
        <v>1561</v>
      </c>
      <c r="J5066" t="s">
        <v>1561</v>
      </c>
      <c r="L5066">
        <f t="shared" si="288"/>
        <v>1</v>
      </c>
    </row>
    <row r="5067" spans="1:12" x14ac:dyDescent="0.35">
      <c r="A5067">
        <f t="shared" si="289"/>
        <v>5066</v>
      </c>
      <c r="B5067" t="s">
        <v>751</v>
      </c>
      <c r="C5067" s="109" t="str">
        <f>IF(ISBLANK(K5067),IFERROR(VLOOKUP(I5067,FS_input_data!$C$458:$N$648,Export!J5067,FALSE),""),K5067)</f>
        <v/>
      </c>
      <c r="D5067" s="6"/>
      <c r="E5067" s="6"/>
      <c r="F5067" s="6"/>
      <c r="G5067" s="115" t="b">
        <f>VLOOKUP(I5056,FS_input_noty,J5056,FALSE)=""</f>
        <v>0</v>
      </c>
      <c r="H5067" s="6" t="s">
        <v>2189</v>
      </c>
      <c r="I5067" t="s">
        <v>1561</v>
      </c>
      <c r="J5067" t="s">
        <v>1561</v>
      </c>
      <c r="L5067">
        <f t="shared" si="288"/>
        <v>1</v>
      </c>
    </row>
    <row r="5068" spans="1:12" x14ac:dyDescent="0.35">
      <c r="A5068">
        <f t="shared" si="289"/>
        <v>5067</v>
      </c>
      <c r="B5068" t="s">
        <v>754</v>
      </c>
      <c r="C5068" s="109" t="str">
        <f>IF(ISBLANK(K5068),IFERROR(VLOOKUP(I5068,FS_input_data!$C$458:$N$648,Export!J5068,FALSE),""),K5068)</f>
        <v/>
      </c>
      <c r="D5068" s="6"/>
      <c r="E5068" s="6"/>
      <c r="F5068" s="6"/>
      <c r="G5068" s="115" t="b">
        <f>VLOOKUP(I5056,FS_input_noty,J5056,FALSE)=""</f>
        <v>0</v>
      </c>
      <c r="H5068" s="6" t="s">
        <v>2189</v>
      </c>
      <c r="I5068" t="s">
        <v>1561</v>
      </c>
      <c r="J5068" t="s">
        <v>1561</v>
      </c>
      <c r="L5068" s="26" t="e">
        <f t="shared" si="288"/>
        <v>#VALUE!</v>
      </c>
    </row>
    <row r="5069" spans="1:12" x14ac:dyDescent="0.35">
      <c r="A5069" s="9">
        <f t="shared" si="289"/>
        <v>5068</v>
      </c>
      <c r="B5069" t="s">
        <v>755</v>
      </c>
      <c r="C5069" s="109">
        <f>IF(ISBLANK(K5069),IFERROR(VLOOKUP(I5069,FS_input_data!$C$458:$N$648,Export!J5069,FALSE),""),K5069)</f>
        <v>78</v>
      </c>
      <c r="D5069" s="6" t="b">
        <v>1</v>
      </c>
      <c r="E5069" s="6"/>
      <c r="F5069" s="6"/>
      <c r="G5069" s="115" t="b">
        <f>VLOOKUP(I5056,FS_input_noty,J5056,FALSE)=""</f>
        <v>0</v>
      </c>
      <c r="H5069" s="6" t="s">
        <v>2189</v>
      </c>
      <c r="I5069" t="s">
        <v>1966</v>
      </c>
      <c r="J5069">
        <v>2</v>
      </c>
      <c r="L5069" s="26" t="e">
        <f t="shared" si="288"/>
        <v>#VALUE!</v>
      </c>
    </row>
    <row r="5070" spans="1:12" x14ac:dyDescent="0.35">
      <c r="A5070">
        <f t="shared" si="289"/>
        <v>5069</v>
      </c>
      <c r="B5070" t="s">
        <v>756</v>
      </c>
      <c r="C5070" s="109" t="str">
        <f>IF(ISBLANK(K5070),IFERROR(VLOOKUP(I5070,FS_input_data!$C$458:$N$648,Export!J5070,FALSE),""),K5070)</f>
        <v/>
      </c>
      <c r="D5070" s="6"/>
      <c r="E5070" s="6"/>
      <c r="F5070" s="6"/>
      <c r="G5070" s="115" t="b">
        <f>VLOOKUP(I5056,FS_input_noty,J5056,FALSE)=""</f>
        <v>0</v>
      </c>
      <c r="H5070" s="6" t="s">
        <v>2189</v>
      </c>
      <c r="I5070" t="s">
        <v>1561</v>
      </c>
      <c r="J5070" t="s">
        <v>1561</v>
      </c>
      <c r="L5070">
        <f t="shared" si="288"/>
        <v>1</v>
      </c>
    </row>
    <row r="5071" spans="1:12" x14ac:dyDescent="0.35">
      <c r="A5071" s="9">
        <f t="shared" si="289"/>
        <v>5070</v>
      </c>
      <c r="B5071" t="s">
        <v>757</v>
      </c>
      <c r="C5071" s="109">
        <f>IF(ISBLANK(K5071),IFERROR(VLOOKUP(I5071,FS_input_data!$C$458:$N$648,Export!J5071,FALSE),""),K5071)</f>
        <v>178</v>
      </c>
      <c r="D5071" s="6" t="b">
        <v>0</v>
      </c>
      <c r="E5071" s="6"/>
      <c r="F5071" s="6"/>
      <c r="G5071" s="115" t="b">
        <f>VLOOKUP(I5056,FS_input_noty,J5056,FALSE)=""</f>
        <v>0</v>
      </c>
      <c r="H5071" s="6" t="s">
        <v>2189</v>
      </c>
      <c r="I5071" t="s">
        <v>1966</v>
      </c>
      <c r="J5071">
        <v>3</v>
      </c>
      <c r="L5071" s="26" t="e">
        <f t="shared" si="288"/>
        <v>#VALUE!</v>
      </c>
    </row>
    <row r="5072" spans="1:12" x14ac:dyDescent="0.35">
      <c r="A5072">
        <f t="shared" si="289"/>
        <v>5071</v>
      </c>
      <c r="B5072" t="s">
        <v>758</v>
      </c>
      <c r="C5072" s="109" t="str">
        <f>IF(ISBLANK(K5072),IFERROR(VLOOKUP(I5072,FS_input_data!$C$458:$N$648,Export!J5072,FALSE),""),K5072)</f>
        <v/>
      </c>
      <c r="D5072" s="6"/>
      <c r="E5072" s="6"/>
      <c r="F5072" s="6"/>
      <c r="G5072" s="115" t="b">
        <f>VLOOKUP(I5056,FS_input_noty,J5056,FALSE)=""</f>
        <v>0</v>
      </c>
      <c r="H5072" s="6" t="s">
        <v>2189</v>
      </c>
      <c r="I5072" t="s">
        <v>1561</v>
      </c>
      <c r="J5072" t="s">
        <v>1561</v>
      </c>
      <c r="L5072">
        <f t="shared" si="288"/>
        <v>1</v>
      </c>
    </row>
    <row r="5073" spans="1:12" x14ac:dyDescent="0.35">
      <c r="A5073" s="9">
        <f t="shared" si="289"/>
        <v>5072</v>
      </c>
      <c r="B5073" t="s">
        <v>759</v>
      </c>
      <c r="C5073" s="109">
        <f>IF(ISBLANK(K5073),IFERROR(VLOOKUP(I5073,FS_input_data!$C$458:$N$648,Export!J5073,FALSE),""),K5073)</f>
        <v>278</v>
      </c>
      <c r="D5073" s="6" t="b">
        <v>0</v>
      </c>
      <c r="E5073" s="6"/>
      <c r="F5073" s="6"/>
      <c r="G5073" s="115" t="b">
        <f>VLOOKUP(I5056,FS_input_noty,J5056,FALSE)=""</f>
        <v>0</v>
      </c>
      <c r="H5073" s="6" t="s">
        <v>2189</v>
      </c>
      <c r="I5073" t="s">
        <v>1966</v>
      </c>
      <c r="J5073">
        <v>4</v>
      </c>
      <c r="L5073" s="26" t="e">
        <f t="shared" si="288"/>
        <v>#VALUE!</v>
      </c>
    </row>
    <row r="5074" spans="1:12" x14ac:dyDescent="0.35">
      <c r="A5074">
        <f t="shared" si="289"/>
        <v>5073</v>
      </c>
      <c r="B5074" t="s">
        <v>760</v>
      </c>
      <c r="C5074" s="109" t="str">
        <f>IF(ISBLANK(K5074),IFERROR(VLOOKUP(I5074,FS_input_data!$C$458:$N$648,Export!J5074,FALSE),""),K5074)</f>
        <v/>
      </c>
      <c r="D5074" s="6"/>
      <c r="E5074" s="6"/>
      <c r="F5074" s="6"/>
      <c r="G5074" s="115" t="b">
        <f>VLOOKUP(I5056,FS_input_noty,J5056,FALSE)=""</f>
        <v>0</v>
      </c>
      <c r="H5074" s="6" t="s">
        <v>2189</v>
      </c>
      <c r="I5074" t="s">
        <v>1561</v>
      </c>
      <c r="J5074" t="s">
        <v>1561</v>
      </c>
      <c r="L5074">
        <f t="shared" si="288"/>
        <v>1</v>
      </c>
    </row>
    <row r="5075" spans="1:12" x14ac:dyDescent="0.35">
      <c r="A5075" s="9">
        <f t="shared" si="289"/>
        <v>5074</v>
      </c>
      <c r="B5075" t="s">
        <v>761</v>
      </c>
      <c r="C5075" s="109" t="str">
        <f>IF(ISBLANK(K5075),IFERROR(VLOOKUP(I5075,FS_input_data!$C$458:$N$648,Export!J5075,FALSE),""),K5075)</f>
        <v>b</v>
      </c>
      <c r="D5075" s="6" t="b">
        <v>0</v>
      </c>
      <c r="E5075" s="6"/>
      <c r="F5075" s="6"/>
      <c r="G5075" s="115" t="b">
        <f>VLOOKUP(I5056,FS_input_noty,J5056,FALSE)=""</f>
        <v>0</v>
      </c>
      <c r="H5075" s="6" t="s">
        <v>2189</v>
      </c>
      <c r="I5075" t="s">
        <v>1966</v>
      </c>
      <c r="J5075">
        <v>5</v>
      </c>
      <c r="L5075" s="26" t="e">
        <f t="shared" si="288"/>
        <v>#VALUE!</v>
      </c>
    </row>
    <row r="5076" spans="1:12" x14ac:dyDescent="0.35">
      <c r="A5076">
        <f t="shared" si="289"/>
        <v>5075</v>
      </c>
      <c r="B5076" t="s">
        <v>762</v>
      </c>
      <c r="C5076" s="109" t="str">
        <f>IF(ISBLANK(K5076),IFERROR(VLOOKUP(I5076,FS_input_data!$C$458:$N$648,Export!J5076,FALSE),""),K5076)</f>
        <v/>
      </c>
      <c r="D5076" s="6"/>
      <c r="E5076" s="6"/>
      <c r="F5076" s="6"/>
      <c r="G5076" s="115" t="b">
        <f>VLOOKUP(I5056,FS_input_noty,J5056,FALSE)=""</f>
        <v>0</v>
      </c>
      <c r="H5076" s="6" t="s">
        <v>2189</v>
      </c>
      <c r="I5076" t="s">
        <v>1561</v>
      </c>
      <c r="J5076" t="s">
        <v>1561</v>
      </c>
      <c r="L5076">
        <f t="shared" si="288"/>
        <v>1</v>
      </c>
    </row>
    <row r="5077" spans="1:12" x14ac:dyDescent="0.35">
      <c r="A5077">
        <f t="shared" si="289"/>
        <v>5076</v>
      </c>
      <c r="B5077" t="s">
        <v>763</v>
      </c>
      <c r="C5077" s="109" t="str">
        <f>IF(ISBLANK(K5077),IFERROR(VLOOKUP(I5077,FS_input_data!$C$458:$N$648,Export!J5077,FALSE),""),K5077)</f>
        <v/>
      </c>
      <c r="D5077" s="6"/>
      <c r="E5077" s="6"/>
      <c r="F5077" s="6"/>
      <c r="G5077" s="115" t="b">
        <f>VLOOKUP(I5056,FS_input_noty,J5056,FALSE)=""</f>
        <v>0</v>
      </c>
      <c r="H5077" s="6" t="s">
        <v>2189</v>
      </c>
      <c r="I5077" t="s">
        <v>1561</v>
      </c>
      <c r="J5077" t="s">
        <v>1561</v>
      </c>
      <c r="L5077">
        <f t="shared" si="288"/>
        <v>1</v>
      </c>
    </row>
    <row r="5078" spans="1:12" x14ac:dyDescent="0.35">
      <c r="A5078">
        <f t="shared" si="289"/>
        <v>5077</v>
      </c>
      <c r="B5078" t="s">
        <v>743</v>
      </c>
      <c r="C5078" s="109" t="str">
        <f>IF(ISBLANK(K5078),IFERROR(VLOOKUP(I5078,FS_input_data!$C$458:$N$648,Export!J5078,FALSE),""),K5078)</f>
        <v/>
      </c>
      <c r="D5078" s="6"/>
      <c r="E5078" s="6"/>
      <c r="F5078" s="6"/>
      <c r="G5078" s="115" t="b">
        <f>VLOOKUP(I5056,FS_input_noty,J5056,FALSE)=""</f>
        <v>0</v>
      </c>
      <c r="H5078" s="6" t="s">
        <v>2189</v>
      </c>
      <c r="I5078" t="s">
        <v>1561</v>
      </c>
      <c r="J5078" t="s">
        <v>1561</v>
      </c>
      <c r="L5078">
        <f t="shared" si="288"/>
        <v>1</v>
      </c>
    </row>
    <row r="5079" spans="1:12" x14ac:dyDescent="0.35">
      <c r="A5079">
        <f t="shared" si="289"/>
        <v>5078</v>
      </c>
      <c r="B5079" t="s">
        <v>744</v>
      </c>
      <c r="C5079" s="109" t="str">
        <f>IF(ISBLANK(K5079),IFERROR(VLOOKUP(I5079,FS_input_data!$C$458:$N$648,Export!J5079,FALSE),""),K5079)</f>
        <v/>
      </c>
      <c r="D5079" s="6"/>
      <c r="E5079" s="6"/>
      <c r="F5079" s="6"/>
      <c r="G5079" s="115" t="b">
        <f t="shared" ref="G5079:G5086" si="290">RP_tax</f>
        <v>1</v>
      </c>
      <c r="H5079" s="6" t="s">
        <v>2189</v>
      </c>
      <c r="I5079" t="s">
        <v>1561</v>
      </c>
      <c r="J5079" t="s">
        <v>1561</v>
      </c>
      <c r="L5079" s="26" t="e">
        <f t="shared" si="288"/>
        <v>#VALUE!</v>
      </c>
    </row>
    <row r="5080" spans="1:12" x14ac:dyDescent="0.35">
      <c r="A5080" s="9">
        <f t="shared" si="289"/>
        <v>5079</v>
      </c>
      <c r="B5080" t="s">
        <v>109</v>
      </c>
      <c r="C5080" s="109">
        <f>IF(ISBLANK(K5080),IFERROR(VLOOKUP(I5080,FS_input_data!$C$458:$N$648,Export!J5080,FALSE),""),K5080)</f>
        <v>34000</v>
      </c>
      <c r="D5080" s="6" t="b">
        <v>1</v>
      </c>
      <c r="E5080" s="6"/>
      <c r="F5080" s="6"/>
      <c r="G5080" s="115" t="b">
        <f t="shared" si="290"/>
        <v>1</v>
      </c>
      <c r="H5080" s="6" t="s">
        <v>2189</v>
      </c>
      <c r="I5080" t="s">
        <v>1966</v>
      </c>
      <c r="J5080">
        <v>10</v>
      </c>
      <c r="L5080" s="26" t="e">
        <f t="shared" si="288"/>
        <v>#VALUE!</v>
      </c>
    </row>
    <row r="5081" spans="1:12" x14ac:dyDescent="0.35">
      <c r="A5081">
        <f t="shared" si="289"/>
        <v>5080</v>
      </c>
      <c r="B5081" t="s">
        <v>110</v>
      </c>
      <c r="C5081" s="109" t="str">
        <f>IF(ISBLANK(K5081),IFERROR(VLOOKUP(I5081,FS_input_data!$C$458:$N$648,Export!J5081,FALSE),""),K5081)</f>
        <v/>
      </c>
      <c r="D5081" s="6"/>
      <c r="E5081" s="6"/>
      <c r="F5081" s="6"/>
      <c r="G5081" s="115" t="b">
        <f t="shared" si="290"/>
        <v>1</v>
      </c>
      <c r="H5081" s="6" t="s">
        <v>2189</v>
      </c>
      <c r="I5081" t="s">
        <v>1561</v>
      </c>
      <c r="J5081" t="s">
        <v>1561</v>
      </c>
      <c r="L5081">
        <f t="shared" si="288"/>
        <v>1</v>
      </c>
    </row>
    <row r="5082" spans="1:12" x14ac:dyDescent="0.35">
      <c r="A5082" s="9">
        <f t="shared" si="289"/>
        <v>5081</v>
      </c>
      <c r="B5082" t="s">
        <v>111</v>
      </c>
      <c r="C5082" s="109">
        <f>IF(ISBLANK(K5082),IFERROR(VLOOKUP(I5082,FS_input_data!$C$458:$N$648,Export!J5082,FALSE),""),K5082)</f>
        <v>17000</v>
      </c>
      <c r="D5082" s="6" t="b">
        <v>0</v>
      </c>
      <c r="E5082" s="6"/>
      <c r="F5082" s="6"/>
      <c r="G5082" s="115" t="b">
        <f t="shared" si="290"/>
        <v>1</v>
      </c>
      <c r="H5082" s="6" t="s">
        <v>2189</v>
      </c>
      <c r="I5082" t="s">
        <v>1966</v>
      </c>
      <c r="J5082">
        <v>11</v>
      </c>
      <c r="L5082" s="26" t="e">
        <f t="shared" si="288"/>
        <v>#VALUE!</v>
      </c>
    </row>
    <row r="5083" spans="1:12" x14ac:dyDescent="0.35">
      <c r="A5083">
        <f t="shared" si="289"/>
        <v>5082</v>
      </c>
      <c r="B5083" t="s">
        <v>112</v>
      </c>
      <c r="C5083" s="109" t="str">
        <f>IF(ISBLANK(K5083),IFERROR(VLOOKUP(I5083,FS_input_data!$C$458:$N$648,Export!J5083,FALSE),""),K5083)</f>
        <v/>
      </c>
      <c r="D5083" s="6"/>
      <c r="E5083" s="6"/>
      <c r="F5083" s="6"/>
      <c r="G5083" s="115" t="b">
        <f t="shared" si="290"/>
        <v>1</v>
      </c>
      <c r="H5083" s="6" t="s">
        <v>2189</v>
      </c>
      <c r="I5083" t="s">
        <v>1561</v>
      </c>
      <c r="J5083" t="s">
        <v>1561</v>
      </c>
      <c r="L5083">
        <f t="shared" si="288"/>
        <v>1</v>
      </c>
    </row>
    <row r="5084" spans="1:12" x14ac:dyDescent="0.35">
      <c r="A5084" s="9">
        <f t="shared" si="289"/>
        <v>5083</v>
      </c>
      <c r="B5084" t="s">
        <v>749</v>
      </c>
      <c r="C5084" s="109">
        <f>IF(ISBLANK(K5084),IFERROR(VLOOKUP(I5084,FS_input_data!$C$458:$N$648,Export!J5084,FALSE),""),K5084)</f>
        <v>17000</v>
      </c>
      <c r="D5084" s="6" t="b">
        <v>0</v>
      </c>
      <c r="E5084" s="6"/>
      <c r="F5084" s="6"/>
      <c r="G5084" s="115" t="b">
        <f t="shared" si="290"/>
        <v>1</v>
      </c>
      <c r="H5084" s="6" t="s">
        <v>2189</v>
      </c>
      <c r="I5084" t="s">
        <v>1966</v>
      </c>
      <c r="J5084">
        <v>12</v>
      </c>
      <c r="L5084" s="26" t="e">
        <f t="shared" si="288"/>
        <v>#VALUE!</v>
      </c>
    </row>
    <row r="5085" spans="1:12" x14ac:dyDescent="0.35">
      <c r="A5085">
        <f t="shared" si="289"/>
        <v>5084</v>
      </c>
      <c r="B5085" t="s">
        <v>750</v>
      </c>
      <c r="C5085" s="109" t="str">
        <f>IF(ISBLANK(K5085),IFERROR(VLOOKUP(I5085,FS_input_data!$C$458:$N$648,Export!J5085,FALSE),""),K5085)</f>
        <v/>
      </c>
      <c r="D5085" s="6"/>
      <c r="E5085" s="6"/>
      <c r="F5085" s="6"/>
      <c r="G5085" s="115" t="b">
        <f t="shared" si="290"/>
        <v>1</v>
      </c>
      <c r="H5085" s="6" t="s">
        <v>2189</v>
      </c>
      <c r="I5085" t="s">
        <v>1561</v>
      </c>
      <c r="J5085" t="s">
        <v>1561</v>
      </c>
      <c r="L5085">
        <f t="shared" si="288"/>
        <v>1</v>
      </c>
    </row>
    <row r="5086" spans="1:12" x14ac:dyDescent="0.35">
      <c r="A5086">
        <f t="shared" si="289"/>
        <v>5085</v>
      </c>
      <c r="B5086" t="s">
        <v>745</v>
      </c>
      <c r="C5086" s="109" t="str">
        <f>IF(ISBLANK(K5086),IFERROR(VLOOKUP(I5086,FS_input_data!$C$458:$N$648,Export!J5086,FALSE),""),K5086)</f>
        <v/>
      </c>
      <c r="D5086" s="6"/>
      <c r="E5086" s="6"/>
      <c r="F5086" s="6"/>
      <c r="G5086" s="115" t="b">
        <f t="shared" si="290"/>
        <v>1</v>
      </c>
      <c r="H5086" s="6" t="s">
        <v>2189</v>
      </c>
      <c r="I5086" t="s">
        <v>1561</v>
      </c>
      <c r="J5086" t="s">
        <v>1561</v>
      </c>
      <c r="L5086">
        <f t="shared" si="288"/>
        <v>1</v>
      </c>
    </row>
    <row r="5087" spans="1:12" x14ac:dyDescent="0.35">
      <c r="A5087">
        <f t="shared" si="289"/>
        <v>5086</v>
      </c>
      <c r="B5087" t="s">
        <v>764</v>
      </c>
      <c r="C5087" s="109" t="str">
        <f>IF(ISBLANK(K5087),IFERROR(VLOOKUP(I5087,FS_input_data!$C$458:$N$648,Export!J5087,FALSE),""),K5087)</f>
        <v/>
      </c>
      <c r="D5087" s="6"/>
      <c r="E5087" s="6"/>
      <c r="F5087" s="6"/>
      <c r="G5087" s="116" t="b">
        <f>VLOOKUP(I5056,FS_input_noty,J5056,FALSE)=""</f>
        <v>0</v>
      </c>
      <c r="H5087" s="6" t="s">
        <v>2189</v>
      </c>
      <c r="I5087" t="s">
        <v>1561</v>
      </c>
      <c r="J5087" t="s">
        <v>1561</v>
      </c>
      <c r="L5087">
        <f t="shared" si="288"/>
        <v>1</v>
      </c>
    </row>
    <row r="5088" spans="1:12" x14ac:dyDescent="0.35">
      <c r="A5088">
        <f t="shared" si="289"/>
        <v>5087</v>
      </c>
      <c r="B5088" t="s">
        <v>765</v>
      </c>
      <c r="C5088" s="109" t="str">
        <f>IF(ISBLANK(K5088),IFERROR(VLOOKUP(I5088,FS_input_data!$C$458:$N$648,Export!J5088,FALSE),""),K5088)</f>
        <v/>
      </c>
      <c r="D5088" s="6"/>
      <c r="E5088" s="6"/>
      <c r="F5088" s="6"/>
      <c r="G5088" s="115" t="b">
        <f>VLOOKUP(I5056,FS_input_noty,J5056,FALSE)=""</f>
        <v>0</v>
      </c>
      <c r="H5088" s="6" t="s">
        <v>2189</v>
      </c>
      <c r="I5088" t="s">
        <v>1561</v>
      </c>
      <c r="J5088" t="s">
        <v>1561</v>
      </c>
      <c r="L5088">
        <f t="shared" si="288"/>
        <v>1</v>
      </c>
    </row>
    <row r="5089" spans="1:12" x14ac:dyDescent="0.35">
      <c r="A5089">
        <f t="shared" si="289"/>
        <v>5088</v>
      </c>
      <c r="B5089" t="s">
        <v>752</v>
      </c>
      <c r="C5089" s="109" t="str">
        <f>IF(ISBLANK(K5089),IFERROR(VLOOKUP(I5089,FS_input_data!$C$458:$N$648,Export!J5089,FALSE),""),K5089)</f>
        <v/>
      </c>
      <c r="D5089" s="6"/>
      <c r="E5089" s="6"/>
      <c r="F5089" s="6"/>
      <c r="G5089" s="115" t="b">
        <f>VLOOKUP(I5090,FS_input_noty,J5090,FALSE)=""</f>
        <v>0</v>
      </c>
      <c r="H5089" s="6" t="s">
        <v>2189</v>
      </c>
      <c r="I5089" t="s">
        <v>1561</v>
      </c>
      <c r="J5089" t="s">
        <v>1561</v>
      </c>
      <c r="L5089" s="26" t="e">
        <f t="shared" si="288"/>
        <v>#VALUE!</v>
      </c>
    </row>
    <row r="5090" spans="1:12" x14ac:dyDescent="0.35">
      <c r="A5090" s="9">
        <f t="shared" si="289"/>
        <v>5089</v>
      </c>
      <c r="B5090" t="s">
        <v>101</v>
      </c>
      <c r="C5090" s="109" t="str">
        <f>IF(ISBLANK(K5090),IFERROR(VLOOKUP(I5090,FS_input_data!$C$458:$N$648,Export!J5090,FALSE),""),K5090)</f>
        <v>OC56</v>
      </c>
      <c r="D5090" s="6" t="b">
        <v>1</v>
      </c>
      <c r="E5090" s="6"/>
      <c r="F5090" s="6"/>
      <c r="G5090" s="115" t="b">
        <f>VLOOKUP(I5090,FS_input_noty,J5090,FALSE)=""</f>
        <v>0</v>
      </c>
      <c r="H5090" s="6" t="s">
        <v>2189</v>
      </c>
      <c r="I5090" t="s">
        <v>1968</v>
      </c>
      <c r="J5090">
        <v>6</v>
      </c>
      <c r="L5090" s="26" t="e">
        <f t="shared" si="288"/>
        <v>#VALUE!</v>
      </c>
    </row>
    <row r="5091" spans="1:12" x14ac:dyDescent="0.35">
      <c r="A5091">
        <f t="shared" si="289"/>
        <v>5090</v>
      </c>
      <c r="B5091" t="s">
        <v>102</v>
      </c>
      <c r="C5091" s="109" t="str">
        <f>IF(ISBLANK(K5091),IFERROR(VLOOKUP(I5091,FS_input_data!$C$458:$N$648,Export!J5091,FALSE),""),K5091)</f>
        <v/>
      </c>
      <c r="D5091" s="6"/>
      <c r="E5091" s="6"/>
      <c r="F5091" s="6"/>
      <c r="G5091" s="115" t="b">
        <f>VLOOKUP(I5090,FS_input_noty,J5090,FALSE)=""</f>
        <v>0</v>
      </c>
      <c r="H5091" s="6" t="s">
        <v>2189</v>
      </c>
      <c r="I5091" t="s">
        <v>1561</v>
      </c>
      <c r="J5091" t="s">
        <v>1561</v>
      </c>
      <c r="L5091">
        <f t="shared" si="288"/>
        <v>1</v>
      </c>
    </row>
    <row r="5092" spans="1:12" x14ac:dyDescent="0.35">
      <c r="A5092">
        <f t="shared" si="289"/>
        <v>5091</v>
      </c>
      <c r="B5092" t="s">
        <v>753</v>
      </c>
      <c r="C5092" s="109" t="str">
        <f>IF(ISBLANK(K5092),IFERROR(VLOOKUP(I5092,FS_input_data!$C$458:$N$648,Export!J5092,FALSE),""),K5092)</f>
        <v/>
      </c>
      <c r="D5092" s="6"/>
      <c r="E5092" s="6"/>
      <c r="F5092" s="6"/>
      <c r="G5092" s="115" t="b">
        <f>VLOOKUP(I5090,FS_input_noty,J5090,FALSE)=""</f>
        <v>0</v>
      </c>
      <c r="H5092" s="6" t="s">
        <v>2189</v>
      </c>
      <c r="I5092" t="s">
        <v>1561</v>
      </c>
      <c r="J5092" t="s">
        <v>1561</v>
      </c>
      <c r="L5092" s="26" t="e">
        <f t="shared" si="288"/>
        <v>#VALUE!</v>
      </c>
    </row>
    <row r="5093" spans="1:12" x14ac:dyDescent="0.35">
      <c r="A5093">
        <f t="shared" si="289"/>
        <v>5092</v>
      </c>
      <c r="B5093" t="s">
        <v>742</v>
      </c>
      <c r="C5093" s="109" t="str">
        <f>IF(ISBLANK(K5093),IFERROR(VLOOKUP(I5093,FS_input_data!$C$458:$N$648,Export!J5093,FALSE),""),K5093)</f>
        <v/>
      </c>
      <c r="D5093" s="6"/>
      <c r="E5093" s="6"/>
      <c r="F5093" s="6"/>
      <c r="G5093" s="115" t="b">
        <f>VLOOKUP(I5090,FS_input_noty,J5090,FALSE)=""</f>
        <v>0</v>
      </c>
      <c r="H5093" s="6" t="s">
        <v>2189</v>
      </c>
      <c r="I5093" t="s">
        <v>1561</v>
      </c>
      <c r="J5093" t="s">
        <v>1561</v>
      </c>
      <c r="L5093" s="26" t="e">
        <f t="shared" si="288"/>
        <v>#VALUE!</v>
      </c>
    </row>
    <row r="5094" spans="1:12" x14ac:dyDescent="0.35">
      <c r="A5094">
        <f t="shared" si="289"/>
        <v>5093</v>
      </c>
      <c r="B5094" t="s">
        <v>748</v>
      </c>
      <c r="C5094" s="109" t="str">
        <f>IF(ISBLANK(K5094),IFERROR(VLOOKUP(I5094,FS_input_data!$C$458:$N$648,Export!J5094,FALSE),""),K5094)</f>
        <v/>
      </c>
      <c r="D5094" s="6"/>
      <c r="E5094" s="6"/>
      <c r="F5094" s="6"/>
      <c r="G5094" s="115" t="b">
        <f>VLOOKUP(I5090,FS_input_noty,J5090,FALSE)=""</f>
        <v>0</v>
      </c>
      <c r="H5094" s="6" t="s">
        <v>2189</v>
      </c>
      <c r="I5094" t="s">
        <v>1561</v>
      </c>
      <c r="J5094" t="s">
        <v>1561</v>
      </c>
      <c r="L5094" s="26" t="e">
        <f t="shared" si="288"/>
        <v>#VALUE!</v>
      </c>
    </row>
    <row r="5095" spans="1:12" x14ac:dyDescent="0.35">
      <c r="A5095" s="9">
        <f t="shared" si="289"/>
        <v>5094</v>
      </c>
      <c r="B5095" t="s">
        <v>109</v>
      </c>
      <c r="C5095" s="109">
        <f>IF(ISBLANK(K5095),IFERROR(VLOOKUP(I5095,FS_input_data!$C$458:$N$648,Export!J5095,FALSE),""),K5095)</f>
        <v>35000</v>
      </c>
      <c r="D5095" s="6" t="b">
        <v>1</v>
      </c>
      <c r="E5095" s="6"/>
      <c r="F5095" s="6"/>
      <c r="G5095" s="115" t="b">
        <f>VLOOKUP(I5090,FS_input_noty,J5090,FALSE)=""</f>
        <v>0</v>
      </c>
      <c r="H5095" s="6" t="s">
        <v>2189</v>
      </c>
      <c r="I5095" t="s">
        <v>1968</v>
      </c>
      <c r="J5095">
        <v>7</v>
      </c>
      <c r="L5095" s="26" t="e">
        <f t="shared" si="288"/>
        <v>#VALUE!</v>
      </c>
    </row>
    <row r="5096" spans="1:12" x14ac:dyDescent="0.35">
      <c r="A5096">
        <f t="shared" si="289"/>
        <v>5095</v>
      </c>
      <c r="B5096" t="s">
        <v>110</v>
      </c>
      <c r="C5096" s="109" t="str">
        <f>IF(ISBLANK(K5096),IFERROR(VLOOKUP(I5096,FS_input_data!$C$458:$N$648,Export!J5096,FALSE),""),K5096)</f>
        <v/>
      </c>
      <c r="D5096" s="6"/>
      <c r="E5096" s="6"/>
      <c r="F5096" s="6"/>
      <c r="G5096" s="115" t="b">
        <f>VLOOKUP(I5090,FS_input_noty,J5090,FALSE)=""</f>
        <v>0</v>
      </c>
      <c r="H5096" s="6" t="s">
        <v>2189</v>
      </c>
      <c r="I5096" t="s">
        <v>1561</v>
      </c>
      <c r="J5096" t="s">
        <v>1561</v>
      </c>
      <c r="L5096">
        <f t="shared" si="288"/>
        <v>1</v>
      </c>
    </row>
    <row r="5097" spans="1:12" x14ac:dyDescent="0.35">
      <c r="A5097" s="9">
        <f t="shared" si="289"/>
        <v>5096</v>
      </c>
      <c r="B5097" t="s">
        <v>111</v>
      </c>
      <c r="C5097" s="109">
        <f>IF(ISBLANK(K5097),IFERROR(VLOOKUP(I5097,FS_input_data!$C$458:$N$648,Export!J5097,FALSE),""),K5097)</f>
        <v>17500</v>
      </c>
      <c r="D5097" s="6" t="b">
        <v>0</v>
      </c>
      <c r="E5097" s="6"/>
      <c r="F5097" s="6"/>
      <c r="G5097" s="115" t="b">
        <f>VLOOKUP(I5090,FS_input_noty,J5090,TRUE)=""</f>
        <v>0</v>
      </c>
      <c r="H5097" s="6" t="s">
        <v>2189</v>
      </c>
      <c r="I5097" t="s">
        <v>1968</v>
      </c>
      <c r="J5097">
        <v>8</v>
      </c>
      <c r="L5097" s="26" t="e">
        <f t="shared" si="288"/>
        <v>#VALUE!</v>
      </c>
    </row>
    <row r="5098" spans="1:12" x14ac:dyDescent="0.35">
      <c r="A5098">
        <f t="shared" si="289"/>
        <v>5097</v>
      </c>
      <c r="B5098" t="s">
        <v>112</v>
      </c>
      <c r="C5098" s="109" t="str">
        <f>IF(ISBLANK(K5098),IFERROR(VLOOKUP(I5098,FS_input_data!$C$458:$N$648,Export!J5098,FALSE),""),K5098)</f>
        <v/>
      </c>
      <c r="D5098" s="6"/>
      <c r="E5098" s="6"/>
      <c r="F5098" s="6"/>
      <c r="G5098" s="115" t="b">
        <f>VLOOKUP(I5090,FS_input_noty,J5090,FALSE)=""</f>
        <v>0</v>
      </c>
      <c r="H5098" s="6" t="s">
        <v>2189</v>
      </c>
      <c r="I5098" t="s">
        <v>1561</v>
      </c>
      <c r="J5098" t="s">
        <v>1561</v>
      </c>
      <c r="L5098">
        <f t="shared" si="288"/>
        <v>1</v>
      </c>
    </row>
    <row r="5099" spans="1:12" x14ac:dyDescent="0.35">
      <c r="A5099" s="9">
        <f t="shared" si="289"/>
        <v>5098</v>
      </c>
      <c r="B5099" t="s">
        <v>749</v>
      </c>
      <c r="C5099" s="109">
        <f>IF(ISBLANK(K5099),IFERROR(VLOOKUP(I5099,FS_input_data!$C$458:$N$648,Export!J5099,FALSE),""),K5099)</f>
        <v>17500</v>
      </c>
      <c r="D5099" s="6" t="b">
        <v>0</v>
      </c>
      <c r="E5099" s="6"/>
      <c r="F5099" s="6"/>
      <c r="G5099" s="115" t="b">
        <f>VLOOKUP(I5090,FS_input_noty,J5090,FALSE)=""</f>
        <v>0</v>
      </c>
      <c r="H5099" s="6" t="s">
        <v>2189</v>
      </c>
      <c r="I5099" t="s">
        <v>1968</v>
      </c>
      <c r="J5099">
        <v>9</v>
      </c>
      <c r="L5099" s="26" t="e">
        <f t="shared" si="288"/>
        <v>#VALUE!</v>
      </c>
    </row>
    <row r="5100" spans="1:12" x14ac:dyDescent="0.35">
      <c r="A5100">
        <f t="shared" si="289"/>
        <v>5099</v>
      </c>
      <c r="B5100" t="s">
        <v>750</v>
      </c>
      <c r="C5100" s="109" t="str">
        <f>IF(ISBLANK(K5100),IFERROR(VLOOKUP(I5100,FS_input_data!$C$458:$N$648,Export!J5100,FALSE),""),K5100)</f>
        <v/>
      </c>
      <c r="D5100" s="6"/>
      <c r="E5100" s="6"/>
      <c r="F5100" s="6"/>
      <c r="G5100" s="115" t="b">
        <f>VLOOKUP(I5090,FS_input_noty,J5090,FALSE)=""</f>
        <v>0</v>
      </c>
      <c r="H5100" s="6" t="s">
        <v>2189</v>
      </c>
      <c r="I5100" t="s">
        <v>1561</v>
      </c>
      <c r="J5100" t="s">
        <v>1561</v>
      </c>
      <c r="L5100">
        <f t="shared" si="288"/>
        <v>1</v>
      </c>
    </row>
    <row r="5101" spans="1:12" x14ac:dyDescent="0.35">
      <c r="A5101">
        <f t="shared" si="289"/>
        <v>5100</v>
      </c>
      <c r="B5101" t="s">
        <v>751</v>
      </c>
      <c r="C5101" s="109" t="str">
        <f>IF(ISBLANK(K5101),IFERROR(VLOOKUP(I5101,FS_input_data!$C$458:$N$648,Export!J5101,FALSE),""),K5101)</f>
        <v/>
      </c>
      <c r="D5101" s="6"/>
      <c r="E5101" s="6"/>
      <c r="F5101" s="6"/>
      <c r="G5101" s="115" t="b">
        <f>VLOOKUP(I5090,FS_input_noty,J5090,FALSE)=""</f>
        <v>0</v>
      </c>
      <c r="H5101" s="6" t="s">
        <v>2189</v>
      </c>
      <c r="I5101" t="s">
        <v>1561</v>
      </c>
      <c r="J5101" t="s">
        <v>1561</v>
      </c>
      <c r="L5101">
        <f t="shared" si="288"/>
        <v>1</v>
      </c>
    </row>
    <row r="5102" spans="1:12" x14ac:dyDescent="0.35">
      <c r="A5102">
        <f t="shared" si="289"/>
        <v>5101</v>
      </c>
      <c r="B5102" t="s">
        <v>754</v>
      </c>
      <c r="C5102" s="109" t="str">
        <f>IF(ISBLANK(K5102),IFERROR(VLOOKUP(I5102,FS_input_data!$C$458:$N$648,Export!J5102,FALSE),""),K5102)</f>
        <v/>
      </c>
      <c r="D5102" s="6"/>
      <c r="E5102" s="6"/>
      <c r="F5102" s="6"/>
      <c r="G5102" s="115" t="b">
        <f>VLOOKUP(I5090,FS_input_noty,J5090,FALSE)=""</f>
        <v>0</v>
      </c>
      <c r="H5102" s="6" t="s">
        <v>2189</v>
      </c>
      <c r="I5102" t="s">
        <v>1561</v>
      </c>
      <c r="J5102" t="s">
        <v>1561</v>
      </c>
      <c r="L5102" s="26" t="e">
        <f t="shared" si="288"/>
        <v>#VALUE!</v>
      </c>
    </row>
    <row r="5103" spans="1:12" x14ac:dyDescent="0.35">
      <c r="A5103" s="9">
        <f t="shared" si="289"/>
        <v>5102</v>
      </c>
      <c r="B5103" t="s">
        <v>755</v>
      </c>
      <c r="C5103" s="109">
        <f>IF(ISBLANK(K5103),IFERROR(VLOOKUP(I5103,FS_input_data!$C$458:$N$648,Export!J5103,FALSE),""),K5103)</f>
        <v>79</v>
      </c>
      <c r="D5103" s="6" t="b">
        <v>1</v>
      </c>
      <c r="E5103" s="6"/>
      <c r="F5103" s="6"/>
      <c r="G5103" s="115" t="b">
        <f>VLOOKUP(I5090,FS_input_noty,J5090,FALSE)=""</f>
        <v>0</v>
      </c>
      <c r="H5103" s="6" t="s">
        <v>2189</v>
      </c>
      <c r="I5103" t="s">
        <v>1968</v>
      </c>
      <c r="J5103">
        <v>2</v>
      </c>
      <c r="L5103" s="26" t="e">
        <f t="shared" si="288"/>
        <v>#VALUE!</v>
      </c>
    </row>
    <row r="5104" spans="1:12" x14ac:dyDescent="0.35">
      <c r="A5104">
        <f t="shared" si="289"/>
        <v>5103</v>
      </c>
      <c r="B5104" t="s">
        <v>756</v>
      </c>
      <c r="C5104" s="109" t="str">
        <f>IF(ISBLANK(K5104),IFERROR(VLOOKUP(I5104,FS_input_data!$C$458:$N$648,Export!J5104,FALSE),""),K5104)</f>
        <v/>
      </c>
      <c r="D5104" s="6"/>
      <c r="E5104" s="6"/>
      <c r="F5104" s="6"/>
      <c r="G5104" s="115" t="b">
        <f>VLOOKUP(I5090,FS_input_noty,J5090,FALSE)=""</f>
        <v>0</v>
      </c>
      <c r="H5104" s="6" t="s">
        <v>2189</v>
      </c>
      <c r="I5104" t="s">
        <v>1561</v>
      </c>
      <c r="J5104" t="s">
        <v>1561</v>
      </c>
      <c r="L5104">
        <f t="shared" si="288"/>
        <v>1</v>
      </c>
    </row>
    <row r="5105" spans="1:12" x14ac:dyDescent="0.35">
      <c r="A5105" s="9">
        <f t="shared" si="289"/>
        <v>5104</v>
      </c>
      <c r="B5105" t="s">
        <v>757</v>
      </c>
      <c r="C5105" s="109">
        <f>IF(ISBLANK(K5105),IFERROR(VLOOKUP(I5105,FS_input_data!$C$458:$N$648,Export!J5105,FALSE),""),K5105)</f>
        <v>179</v>
      </c>
      <c r="D5105" s="6" t="b">
        <v>0</v>
      </c>
      <c r="E5105" s="6"/>
      <c r="F5105" s="6"/>
      <c r="G5105" s="115" t="b">
        <f>VLOOKUP(I5090,FS_input_noty,J5090,FALSE)=""</f>
        <v>0</v>
      </c>
      <c r="H5105" s="6" t="s">
        <v>2189</v>
      </c>
      <c r="I5105" t="s">
        <v>1968</v>
      </c>
      <c r="J5105">
        <v>3</v>
      </c>
      <c r="L5105" s="26" t="e">
        <f t="shared" si="288"/>
        <v>#VALUE!</v>
      </c>
    </row>
    <row r="5106" spans="1:12" x14ac:dyDescent="0.35">
      <c r="A5106">
        <f t="shared" si="289"/>
        <v>5105</v>
      </c>
      <c r="B5106" t="s">
        <v>758</v>
      </c>
      <c r="C5106" s="109" t="str">
        <f>IF(ISBLANK(K5106),IFERROR(VLOOKUP(I5106,FS_input_data!$C$458:$N$648,Export!J5106,FALSE),""),K5106)</f>
        <v/>
      </c>
      <c r="D5106" s="6"/>
      <c r="E5106" s="6"/>
      <c r="F5106" s="6"/>
      <c r="G5106" s="115" t="b">
        <f>VLOOKUP(I5090,FS_input_noty,J5090,FALSE)=""</f>
        <v>0</v>
      </c>
      <c r="H5106" s="6" t="s">
        <v>2189</v>
      </c>
      <c r="I5106" t="s">
        <v>1561</v>
      </c>
      <c r="J5106" t="s">
        <v>1561</v>
      </c>
      <c r="L5106">
        <f t="shared" si="288"/>
        <v>1</v>
      </c>
    </row>
    <row r="5107" spans="1:12" x14ac:dyDescent="0.35">
      <c r="A5107" s="9">
        <f t="shared" si="289"/>
        <v>5106</v>
      </c>
      <c r="B5107" t="s">
        <v>759</v>
      </c>
      <c r="C5107" s="109">
        <f>IF(ISBLANK(K5107),IFERROR(VLOOKUP(I5107,FS_input_data!$C$458:$N$648,Export!J5107,FALSE),""),K5107)</f>
        <v>279</v>
      </c>
      <c r="D5107" s="6" t="b">
        <v>0</v>
      </c>
      <c r="E5107" s="6"/>
      <c r="F5107" s="6"/>
      <c r="G5107" s="115" t="b">
        <f>VLOOKUP(I5090,FS_input_noty,J5090,FALSE)=""</f>
        <v>0</v>
      </c>
      <c r="H5107" s="6" t="s">
        <v>2189</v>
      </c>
      <c r="I5107" t="s">
        <v>1968</v>
      </c>
      <c r="J5107">
        <v>4</v>
      </c>
      <c r="L5107" s="26" t="e">
        <f t="shared" si="288"/>
        <v>#VALUE!</v>
      </c>
    </row>
    <row r="5108" spans="1:12" x14ac:dyDescent="0.35">
      <c r="A5108">
        <f t="shared" si="289"/>
        <v>5107</v>
      </c>
      <c r="B5108" t="s">
        <v>760</v>
      </c>
      <c r="C5108" s="109" t="str">
        <f>IF(ISBLANK(K5108),IFERROR(VLOOKUP(I5108,FS_input_data!$C$458:$N$648,Export!J5108,FALSE),""),K5108)</f>
        <v/>
      </c>
      <c r="D5108" s="6"/>
      <c r="E5108" s="6"/>
      <c r="F5108" s="6"/>
      <c r="G5108" s="115" t="b">
        <f>VLOOKUP(I5090,FS_input_noty,J5090,FALSE)=""</f>
        <v>0</v>
      </c>
      <c r="H5108" s="6" t="s">
        <v>2189</v>
      </c>
      <c r="I5108" t="s">
        <v>1561</v>
      </c>
      <c r="J5108" t="s">
        <v>1561</v>
      </c>
      <c r="L5108">
        <f t="shared" si="288"/>
        <v>1</v>
      </c>
    </row>
    <row r="5109" spans="1:12" x14ac:dyDescent="0.35">
      <c r="A5109" s="9">
        <f t="shared" si="289"/>
        <v>5108</v>
      </c>
      <c r="B5109" t="s">
        <v>761</v>
      </c>
      <c r="C5109" s="109" t="str">
        <f>IF(ISBLANK(K5109),IFERROR(VLOOKUP(I5109,FS_input_data!$C$458:$N$648,Export!J5109,FALSE),""),K5109)</f>
        <v>c</v>
      </c>
      <c r="D5109" s="6" t="b">
        <v>0</v>
      </c>
      <c r="E5109" s="6"/>
      <c r="F5109" s="6"/>
      <c r="G5109" s="115" t="b">
        <f>VLOOKUP(I5090,FS_input_noty,J5090,FALSE)=""</f>
        <v>0</v>
      </c>
      <c r="H5109" s="6" t="s">
        <v>2189</v>
      </c>
      <c r="I5109" t="s">
        <v>1968</v>
      </c>
      <c r="J5109">
        <v>5</v>
      </c>
      <c r="L5109" s="26" t="e">
        <f t="shared" si="288"/>
        <v>#VALUE!</v>
      </c>
    </row>
    <row r="5110" spans="1:12" x14ac:dyDescent="0.35">
      <c r="A5110">
        <f t="shared" si="289"/>
        <v>5109</v>
      </c>
      <c r="B5110" t="s">
        <v>762</v>
      </c>
      <c r="C5110" s="109" t="str">
        <f>IF(ISBLANK(K5110),IFERROR(VLOOKUP(I5110,FS_input_data!$C$458:$N$648,Export!J5110,FALSE),""),K5110)</f>
        <v/>
      </c>
      <c r="D5110" s="6"/>
      <c r="E5110" s="6"/>
      <c r="F5110" s="6"/>
      <c r="G5110" s="115" t="b">
        <f>VLOOKUP(I5090,FS_input_noty,J5090,FALSE)=""</f>
        <v>0</v>
      </c>
      <c r="H5110" s="6" t="s">
        <v>2189</v>
      </c>
      <c r="I5110" t="s">
        <v>1561</v>
      </c>
      <c r="J5110" t="s">
        <v>1561</v>
      </c>
      <c r="L5110">
        <f t="shared" si="288"/>
        <v>1</v>
      </c>
    </row>
    <row r="5111" spans="1:12" x14ac:dyDescent="0.35">
      <c r="A5111">
        <f t="shared" si="289"/>
        <v>5110</v>
      </c>
      <c r="B5111" t="s">
        <v>763</v>
      </c>
      <c r="C5111" s="109" t="str">
        <f>IF(ISBLANK(K5111),IFERROR(VLOOKUP(I5111,FS_input_data!$C$458:$N$648,Export!J5111,FALSE),""),K5111)</f>
        <v/>
      </c>
      <c r="D5111" s="6"/>
      <c r="E5111" s="6"/>
      <c r="F5111" s="6"/>
      <c r="G5111" s="115" t="b">
        <f>VLOOKUP(I5090,FS_input_noty,J5090,FALSE)=""</f>
        <v>0</v>
      </c>
      <c r="H5111" s="6" t="s">
        <v>2189</v>
      </c>
      <c r="I5111" t="s">
        <v>1561</v>
      </c>
      <c r="J5111" t="s">
        <v>1561</v>
      </c>
      <c r="L5111">
        <f t="shared" si="288"/>
        <v>1</v>
      </c>
    </row>
    <row r="5112" spans="1:12" x14ac:dyDescent="0.35">
      <c r="A5112">
        <f t="shared" si="289"/>
        <v>5111</v>
      </c>
      <c r="B5112" t="s">
        <v>743</v>
      </c>
      <c r="C5112" s="109" t="str">
        <f>IF(ISBLANK(K5112),IFERROR(VLOOKUP(I5112,FS_input_data!$C$458:$N$648,Export!J5112,FALSE),""),K5112)</f>
        <v/>
      </c>
      <c r="D5112" s="6"/>
      <c r="E5112" s="6"/>
      <c r="F5112" s="6"/>
      <c r="G5112" s="115" t="b">
        <f>VLOOKUP(I5090,FS_input_noty,J5090,FALSE)=""</f>
        <v>0</v>
      </c>
      <c r="H5112" s="6" t="s">
        <v>2189</v>
      </c>
      <c r="I5112" t="s">
        <v>1561</v>
      </c>
      <c r="J5112" t="s">
        <v>1561</v>
      </c>
      <c r="L5112">
        <f t="shared" si="288"/>
        <v>1</v>
      </c>
    </row>
    <row r="5113" spans="1:12" x14ac:dyDescent="0.35">
      <c r="A5113">
        <f t="shared" si="289"/>
        <v>5112</v>
      </c>
      <c r="B5113" t="s">
        <v>744</v>
      </c>
      <c r="C5113" s="109" t="str">
        <f>IF(ISBLANK(K5113),IFERROR(VLOOKUP(I5113,FS_input_data!$C$458:$N$648,Export!J5113,FALSE),""),K5113)</f>
        <v/>
      </c>
      <c r="D5113" s="6"/>
      <c r="E5113" s="6"/>
      <c r="F5113" s="6"/>
      <c r="G5113" s="115" t="b">
        <f t="shared" ref="G5113:G5120" si="291">RP_tax</f>
        <v>1</v>
      </c>
      <c r="H5113" s="6" t="s">
        <v>2189</v>
      </c>
      <c r="I5113" t="s">
        <v>1561</v>
      </c>
      <c r="J5113" t="s">
        <v>1561</v>
      </c>
      <c r="L5113" s="26" t="e">
        <f t="shared" si="288"/>
        <v>#VALUE!</v>
      </c>
    </row>
    <row r="5114" spans="1:12" x14ac:dyDescent="0.35">
      <c r="A5114" s="9">
        <f t="shared" si="289"/>
        <v>5113</v>
      </c>
      <c r="B5114" t="s">
        <v>109</v>
      </c>
      <c r="C5114" s="109">
        <f>IF(ISBLANK(K5114),IFERROR(VLOOKUP(I5114,FS_input_data!$C$458:$N$648,Export!J5114,FALSE),""),K5114)</f>
        <v>35000</v>
      </c>
      <c r="D5114" s="6" t="b">
        <v>1</v>
      </c>
      <c r="E5114" s="6"/>
      <c r="F5114" s="6"/>
      <c r="G5114" s="115" t="b">
        <f t="shared" si="291"/>
        <v>1</v>
      </c>
      <c r="H5114" s="6" t="s">
        <v>2189</v>
      </c>
      <c r="I5114" t="s">
        <v>1968</v>
      </c>
      <c r="J5114">
        <v>10</v>
      </c>
      <c r="L5114" s="26" t="e">
        <f t="shared" si="288"/>
        <v>#VALUE!</v>
      </c>
    </row>
    <row r="5115" spans="1:12" x14ac:dyDescent="0.35">
      <c r="A5115">
        <f t="shared" si="289"/>
        <v>5114</v>
      </c>
      <c r="B5115" t="s">
        <v>110</v>
      </c>
      <c r="C5115" s="109" t="str">
        <f>IF(ISBLANK(K5115),IFERROR(VLOOKUP(I5115,FS_input_data!$C$458:$N$648,Export!J5115,FALSE),""),K5115)</f>
        <v/>
      </c>
      <c r="D5115" s="6"/>
      <c r="E5115" s="6"/>
      <c r="F5115" s="6"/>
      <c r="G5115" s="115" t="b">
        <f t="shared" si="291"/>
        <v>1</v>
      </c>
      <c r="H5115" s="6" t="s">
        <v>2189</v>
      </c>
      <c r="I5115" t="s">
        <v>1561</v>
      </c>
      <c r="J5115" t="s">
        <v>1561</v>
      </c>
      <c r="L5115">
        <f t="shared" si="288"/>
        <v>1</v>
      </c>
    </row>
    <row r="5116" spans="1:12" x14ac:dyDescent="0.35">
      <c r="A5116" s="9">
        <f t="shared" si="289"/>
        <v>5115</v>
      </c>
      <c r="B5116" t="s">
        <v>111</v>
      </c>
      <c r="C5116" s="109">
        <f>IF(ISBLANK(K5116),IFERROR(VLOOKUP(I5116,FS_input_data!$C$458:$N$648,Export!J5116,FALSE),""),K5116)</f>
        <v>17500</v>
      </c>
      <c r="D5116" s="6" t="b">
        <v>0</v>
      </c>
      <c r="E5116" s="6"/>
      <c r="F5116" s="6"/>
      <c r="G5116" s="115" t="b">
        <f t="shared" si="291"/>
        <v>1</v>
      </c>
      <c r="H5116" s="6" t="s">
        <v>2189</v>
      </c>
      <c r="I5116" t="s">
        <v>1968</v>
      </c>
      <c r="J5116">
        <v>11</v>
      </c>
      <c r="L5116" s="26" t="e">
        <f t="shared" si="288"/>
        <v>#VALUE!</v>
      </c>
    </row>
    <row r="5117" spans="1:12" x14ac:dyDescent="0.35">
      <c r="A5117">
        <f t="shared" si="289"/>
        <v>5116</v>
      </c>
      <c r="B5117" t="s">
        <v>112</v>
      </c>
      <c r="C5117" s="109" t="str">
        <f>IF(ISBLANK(K5117),IFERROR(VLOOKUP(I5117,FS_input_data!$C$458:$N$648,Export!J5117,FALSE),""),K5117)</f>
        <v/>
      </c>
      <c r="D5117" s="6"/>
      <c r="E5117" s="6"/>
      <c r="F5117" s="6"/>
      <c r="G5117" s="115" t="b">
        <f t="shared" si="291"/>
        <v>1</v>
      </c>
      <c r="H5117" s="6" t="s">
        <v>2189</v>
      </c>
      <c r="I5117" t="s">
        <v>1561</v>
      </c>
      <c r="J5117" t="s">
        <v>1561</v>
      </c>
      <c r="L5117">
        <f t="shared" si="288"/>
        <v>1</v>
      </c>
    </row>
    <row r="5118" spans="1:12" x14ac:dyDescent="0.35">
      <c r="A5118" s="9">
        <f t="shared" si="289"/>
        <v>5117</v>
      </c>
      <c r="B5118" t="s">
        <v>749</v>
      </c>
      <c r="C5118" s="109">
        <f>IF(ISBLANK(K5118),IFERROR(VLOOKUP(I5118,FS_input_data!$C$458:$N$648,Export!J5118,FALSE),""),K5118)</f>
        <v>17500</v>
      </c>
      <c r="D5118" s="6" t="b">
        <v>0</v>
      </c>
      <c r="E5118" s="6"/>
      <c r="F5118" s="6"/>
      <c r="G5118" s="115" t="b">
        <f t="shared" si="291"/>
        <v>1</v>
      </c>
      <c r="H5118" s="6" t="s">
        <v>2189</v>
      </c>
      <c r="I5118" t="s">
        <v>1968</v>
      </c>
      <c r="J5118">
        <v>12</v>
      </c>
      <c r="L5118" s="26" t="e">
        <f t="shared" si="288"/>
        <v>#VALUE!</v>
      </c>
    </row>
    <row r="5119" spans="1:12" x14ac:dyDescent="0.35">
      <c r="A5119">
        <f t="shared" si="289"/>
        <v>5118</v>
      </c>
      <c r="B5119" t="s">
        <v>750</v>
      </c>
      <c r="C5119" s="109" t="str">
        <f>IF(ISBLANK(K5119),IFERROR(VLOOKUP(I5119,FS_input_data!$C$458:$N$648,Export!J5119,FALSE),""),K5119)</f>
        <v/>
      </c>
      <c r="D5119" s="6"/>
      <c r="E5119" s="6"/>
      <c r="F5119" s="6"/>
      <c r="G5119" s="115" t="b">
        <f t="shared" si="291"/>
        <v>1</v>
      </c>
      <c r="H5119" s="6" t="s">
        <v>2189</v>
      </c>
      <c r="I5119" t="s">
        <v>1561</v>
      </c>
      <c r="J5119" t="s">
        <v>1561</v>
      </c>
      <c r="L5119">
        <f t="shared" si="288"/>
        <v>1</v>
      </c>
    </row>
    <row r="5120" spans="1:12" x14ac:dyDescent="0.35">
      <c r="A5120">
        <f t="shared" si="289"/>
        <v>5119</v>
      </c>
      <c r="B5120" t="s">
        <v>745</v>
      </c>
      <c r="C5120" s="109" t="str">
        <f>IF(ISBLANK(K5120),IFERROR(VLOOKUP(I5120,FS_input_data!$C$458:$N$648,Export!J5120,FALSE),""),K5120)</f>
        <v/>
      </c>
      <c r="D5120" s="6"/>
      <c r="E5120" s="6"/>
      <c r="F5120" s="6"/>
      <c r="G5120" s="115" t="b">
        <f t="shared" si="291"/>
        <v>1</v>
      </c>
      <c r="H5120" s="6" t="s">
        <v>2189</v>
      </c>
      <c r="I5120" t="s">
        <v>1561</v>
      </c>
      <c r="J5120" t="s">
        <v>1561</v>
      </c>
      <c r="L5120">
        <f t="shared" si="288"/>
        <v>1</v>
      </c>
    </row>
    <row r="5121" spans="1:12" x14ac:dyDescent="0.35">
      <c r="A5121">
        <f t="shared" si="289"/>
        <v>5120</v>
      </c>
      <c r="B5121" t="s">
        <v>764</v>
      </c>
      <c r="C5121" s="109" t="str">
        <f>IF(ISBLANK(K5121),IFERROR(VLOOKUP(I5121,FS_input_data!$C$458:$N$648,Export!J5121,FALSE),""),K5121)</f>
        <v/>
      </c>
      <c r="D5121" s="6"/>
      <c r="E5121" s="6"/>
      <c r="F5121" s="6"/>
      <c r="G5121" s="116" t="b">
        <f>VLOOKUP(I5090,FS_input_noty,J5090,FALSE)=""</f>
        <v>0</v>
      </c>
      <c r="H5121" s="6" t="s">
        <v>2189</v>
      </c>
      <c r="I5121" t="s">
        <v>1561</v>
      </c>
      <c r="J5121" t="s">
        <v>1561</v>
      </c>
      <c r="L5121">
        <f t="shared" si="288"/>
        <v>1</v>
      </c>
    </row>
    <row r="5122" spans="1:12" x14ac:dyDescent="0.35">
      <c r="A5122">
        <f t="shared" si="289"/>
        <v>5121</v>
      </c>
      <c r="B5122" t="s">
        <v>765</v>
      </c>
      <c r="C5122" s="109" t="str">
        <f>IF(ISBLANK(K5122),IFERROR(VLOOKUP(I5122,FS_input_data!$C$458:$N$648,Export!J5122,FALSE),""),K5122)</f>
        <v/>
      </c>
      <c r="D5122" s="6"/>
      <c r="E5122" s="6"/>
      <c r="F5122" s="6"/>
      <c r="G5122" s="116" t="b">
        <f>VLOOKUP(I5090,FS_input_noty,J5090,FALSE)=""</f>
        <v>0</v>
      </c>
      <c r="H5122" s="6" t="s">
        <v>2189</v>
      </c>
      <c r="I5122" t="s">
        <v>1561</v>
      </c>
      <c r="J5122" t="s">
        <v>1561</v>
      </c>
      <c r="L5122">
        <f t="shared" ref="L5122:L5185" si="292">FIND("/",B5122)</f>
        <v>1</v>
      </c>
    </row>
    <row r="5123" spans="1:12" x14ac:dyDescent="0.35">
      <c r="A5123">
        <f t="shared" ref="A5123:A5186" si="293">A5122+1</f>
        <v>5122</v>
      </c>
      <c r="B5123" t="s">
        <v>752</v>
      </c>
      <c r="C5123" s="109" t="str">
        <f>IF(ISBLANK(K5123),IFERROR(VLOOKUP(I5123,FS_input_data!$C$458:$N$648,Export!J5123,FALSE),""),K5123)</f>
        <v/>
      </c>
      <c r="D5123" s="6"/>
      <c r="E5123" s="6"/>
      <c r="F5123" s="6"/>
      <c r="G5123" s="116" t="b">
        <f>VLOOKUP(I5124,FS_input_noty,J5124,FALSE)=""</f>
        <v>0</v>
      </c>
      <c r="H5123" s="6" t="s">
        <v>2189</v>
      </c>
      <c r="I5123" t="s">
        <v>1561</v>
      </c>
      <c r="J5123" t="s">
        <v>1561</v>
      </c>
      <c r="L5123" s="26" t="e">
        <f t="shared" si="292"/>
        <v>#VALUE!</v>
      </c>
    </row>
    <row r="5124" spans="1:12" x14ac:dyDescent="0.35">
      <c r="A5124" s="9">
        <f t="shared" si="293"/>
        <v>5123</v>
      </c>
      <c r="B5124" t="s">
        <v>101</v>
      </c>
      <c r="C5124" s="109" t="str">
        <f>IF(ISBLANK(K5124),IFERROR(VLOOKUP(I5124,FS_input_data!$C$458:$N$648,Export!J5124,FALSE),""),K5124)</f>
        <v>OC57</v>
      </c>
      <c r="D5124" s="6" t="b">
        <v>1</v>
      </c>
      <c r="E5124" s="6"/>
      <c r="F5124" s="6"/>
      <c r="G5124" s="116" t="b">
        <f>VLOOKUP(I5124,FS_input_noty,J5124,FALSE)=""</f>
        <v>0</v>
      </c>
      <c r="H5124" s="6" t="s">
        <v>2189</v>
      </c>
      <c r="I5124" t="s">
        <v>1970</v>
      </c>
      <c r="J5124">
        <v>6</v>
      </c>
      <c r="L5124" s="26" t="e">
        <f t="shared" si="292"/>
        <v>#VALUE!</v>
      </c>
    </row>
    <row r="5125" spans="1:12" x14ac:dyDescent="0.35">
      <c r="A5125">
        <f t="shared" si="293"/>
        <v>5124</v>
      </c>
      <c r="B5125" t="s">
        <v>102</v>
      </c>
      <c r="C5125" s="109" t="str">
        <f>IF(ISBLANK(K5125),IFERROR(VLOOKUP(I5125,FS_input_data!$C$458:$N$648,Export!J5125,FALSE),""),K5125)</f>
        <v/>
      </c>
      <c r="D5125" s="6"/>
      <c r="E5125" s="6"/>
      <c r="F5125" s="6"/>
      <c r="G5125" s="116" t="b">
        <f>VLOOKUP(I5124,FS_input_noty,J5124,FALSE)=""</f>
        <v>0</v>
      </c>
      <c r="H5125" s="6" t="s">
        <v>2189</v>
      </c>
      <c r="I5125" t="s">
        <v>1561</v>
      </c>
      <c r="J5125" t="s">
        <v>1561</v>
      </c>
      <c r="L5125">
        <f t="shared" si="292"/>
        <v>1</v>
      </c>
    </row>
    <row r="5126" spans="1:12" x14ac:dyDescent="0.35">
      <c r="A5126">
        <f t="shared" si="293"/>
        <v>5125</v>
      </c>
      <c r="B5126" t="s">
        <v>753</v>
      </c>
      <c r="C5126" s="109" t="str">
        <f>IF(ISBLANK(K5126),IFERROR(VLOOKUP(I5126,FS_input_data!$C$458:$N$648,Export!J5126,FALSE),""),K5126)</f>
        <v/>
      </c>
      <c r="D5126" s="6"/>
      <c r="E5126" s="6"/>
      <c r="F5126" s="6"/>
      <c r="G5126" s="116" t="b">
        <f>VLOOKUP(I5124,FS_input_noty,J5124,FALSE)=""</f>
        <v>0</v>
      </c>
      <c r="H5126" s="6" t="s">
        <v>2189</v>
      </c>
      <c r="I5126" t="s">
        <v>1561</v>
      </c>
      <c r="J5126" t="s">
        <v>1561</v>
      </c>
      <c r="L5126" s="26" t="e">
        <f t="shared" si="292"/>
        <v>#VALUE!</v>
      </c>
    </row>
    <row r="5127" spans="1:12" x14ac:dyDescent="0.35">
      <c r="A5127">
        <f t="shared" si="293"/>
        <v>5126</v>
      </c>
      <c r="B5127" t="s">
        <v>742</v>
      </c>
      <c r="C5127" s="109" t="str">
        <f>IF(ISBLANK(K5127),IFERROR(VLOOKUP(I5127,FS_input_data!$C$458:$N$648,Export!J5127,FALSE),""),K5127)</f>
        <v/>
      </c>
      <c r="D5127" s="6"/>
      <c r="E5127" s="6"/>
      <c r="F5127" s="6"/>
      <c r="G5127" s="116" t="b">
        <f>VLOOKUP(I5124,FS_input_noty,J5124,FALSE)=""</f>
        <v>0</v>
      </c>
      <c r="H5127" s="6" t="s">
        <v>2189</v>
      </c>
      <c r="I5127" t="s">
        <v>1561</v>
      </c>
      <c r="J5127" t="s">
        <v>1561</v>
      </c>
      <c r="L5127" s="26" t="e">
        <f t="shared" si="292"/>
        <v>#VALUE!</v>
      </c>
    </row>
    <row r="5128" spans="1:12" x14ac:dyDescent="0.35">
      <c r="A5128">
        <f t="shared" si="293"/>
        <v>5127</v>
      </c>
      <c r="B5128" t="s">
        <v>748</v>
      </c>
      <c r="C5128" s="109" t="str">
        <f>IF(ISBLANK(K5128),IFERROR(VLOOKUP(I5128,FS_input_data!$C$458:$N$648,Export!J5128,FALSE),""),K5128)</f>
        <v/>
      </c>
      <c r="D5128" s="6"/>
      <c r="E5128" s="6"/>
      <c r="F5128" s="6"/>
      <c r="G5128" s="116" t="b">
        <f>VLOOKUP(I5124,FS_input_noty,J5124,FALSE)=""</f>
        <v>0</v>
      </c>
      <c r="H5128" s="6" t="s">
        <v>2189</v>
      </c>
      <c r="I5128" t="s">
        <v>1561</v>
      </c>
      <c r="J5128" t="s">
        <v>1561</v>
      </c>
      <c r="L5128" s="26" t="e">
        <f t="shared" si="292"/>
        <v>#VALUE!</v>
      </c>
    </row>
    <row r="5129" spans="1:12" x14ac:dyDescent="0.35">
      <c r="A5129" s="9">
        <f t="shared" si="293"/>
        <v>5128</v>
      </c>
      <c r="B5129" t="s">
        <v>109</v>
      </c>
      <c r="C5129" s="109">
        <f>IF(ISBLANK(K5129),IFERROR(VLOOKUP(I5129,FS_input_data!$C$458:$N$648,Export!J5129,FALSE),""),K5129)</f>
        <v>36000</v>
      </c>
      <c r="D5129" s="6" t="b">
        <v>1</v>
      </c>
      <c r="E5129" s="6"/>
      <c r="F5129" s="6"/>
      <c r="G5129" s="116" t="b">
        <f>VLOOKUP(I5124,FS_input_noty,J5124,FALSE)=""</f>
        <v>0</v>
      </c>
      <c r="H5129" s="6" t="s">
        <v>2189</v>
      </c>
      <c r="I5129" t="s">
        <v>1970</v>
      </c>
      <c r="J5129">
        <v>7</v>
      </c>
      <c r="L5129" s="26" t="e">
        <f t="shared" si="292"/>
        <v>#VALUE!</v>
      </c>
    </row>
    <row r="5130" spans="1:12" x14ac:dyDescent="0.35">
      <c r="A5130">
        <f t="shared" si="293"/>
        <v>5129</v>
      </c>
      <c r="B5130" t="s">
        <v>110</v>
      </c>
      <c r="C5130" s="109" t="str">
        <f>IF(ISBLANK(K5130),IFERROR(VLOOKUP(I5130,FS_input_data!$C$458:$N$648,Export!J5130,FALSE),""),K5130)</f>
        <v/>
      </c>
      <c r="D5130" s="6"/>
      <c r="E5130" s="6"/>
      <c r="F5130" s="6"/>
      <c r="G5130" s="116" t="b">
        <f>VLOOKUP(I5124,FS_input_noty,J5124,FALSE)=""</f>
        <v>0</v>
      </c>
      <c r="H5130" s="6" t="s">
        <v>2189</v>
      </c>
      <c r="I5130" t="s">
        <v>1561</v>
      </c>
      <c r="J5130" t="s">
        <v>1561</v>
      </c>
      <c r="L5130">
        <f t="shared" si="292"/>
        <v>1</v>
      </c>
    </row>
    <row r="5131" spans="1:12" x14ac:dyDescent="0.35">
      <c r="A5131" s="9">
        <f t="shared" si="293"/>
        <v>5130</v>
      </c>
      <c r="B5131" t="s">
        <v>111</v>
      </c>
      <c r="C5131" s="109">
        <f>IF(ISBLANK(K5131),IFERROR(VLOOKUP(I5131,FS_input_data!$C$458:$N$648,Export!J5131,FALSE),""),K5131)</f>
        <v>18000</v>
      </c>
      <c r="D5131" s="6" t="b">
        <v>0</v>
      </c>
      <c r="E5131" s="6"/>
      <c r="F5131" s="6"/>
      <c r="G5131" s="116" t="b">
        <f>VLOOKUP(I5124,FS_input_noty,J5124,TRUE)=""</f>
        <v>0</v>
      </c>
      <c r="H5131" s="6" t="s">
        <v>2189</v>
      </c>
      <c r="I5131" t="s">
        <v>1970</v>
      </c>
      <c r="J5131">
        <v>8</v>
      </c>
      <c r="L5131" s="26" t="e">
        <f t="shared" si="292"/>
        <v>#VALUE!</v>
      </c>
    </row>
    <row r="5132" spans="1:12" x14ac:dyDescent="0.35">
      <c r="A5132">
        <f t="shared" si="293"/>
        <v>5131</v>
      </c>
      <c r="B5132" t="s">
        <v>112</v>
      </c>
      <c r="C5132" s="109" t="str">
        <f>IF(ISBLANK(K5132),IFERROR(VLOOKUP(I5132,FS_input_data!$C$458:$N$648,Export!J5132,FALSE),""),K5132)</f>
        <v/>
      </c>
      <c r="D5132" s="6"/>
      <c r="E5132" s="6"/>
      <c r="F5132" s="6"/>
      <c r="G5132" s="116" t="b">
        <f>VLOOKUP(I5124,FS_input_noty,J5124,FALSE)=""</f>
        <v>0</v>
      </c>
      <c r="H5132" s="6" t="s">
        <v>2189</v>
      </c>
      <c r="I5132" t="s">
        <v>1561</v>
      </c>
      <c r="J5132" t="s">
        <v>1561</v>
      </c>
      <c r="L5132">
        <f t="shared" si="292"/>
        <v>1</v>
      </c>
    </row>
    <row r="5133" spans="1:12" x14ac:dyDescent="0.35">
      <c r="A5133" s="9">
        <f t="shared" si="293"/>
        <v>5132</v>
      </c>
      <c r="B5133" t="s">
        <v>749</v>
      </c>
      <c r="C5133" s="109">
        <f>IF(ISBLANK(K5133),IFERROR(VLOOKUP(I5133,FS_input_data!$C$458:$N$648,Export!J5133,FALSE),""),K5133)</f>
        <v>18000</v>
      </c>
      <c r="D5133" s="6" t="b">
        <v>0</v>
      </c>
      <c r="E5133" s="6"/>
      <c r="F5133" s="6"/>
      <c r="G5133" s="116" t="b">
        <f>VLOOKUP(I5124,FS_input_noty,J5124,FALSE)=""</f>
        <v>0</v>
      </c>
      <c r="H5133" s="6" t="s">
        <v>2189</v>
      </c>
      <c r="I5133" t="s">
        <v>1970</v>
      </c>
      <c r="J5133">
        <v>9</v>
      </c>
      <c r="L5133" s="26" t="e">
        <f t="shared" si="292"/>
        <v>#VALUE!</v>
      </c>
    </row>
    <row r="5134" spans="1:12" x14ac:dyDescent="0.35">
      <c r="A5134">
        <f t="shared" si="293"/>
        <v>5133</v>
      </c>
      <c r="B5134" t="s">
        <v>750</v>
      </c>
      <c r="C5134" s="109" t="str">
        <f>IF(ISBLANK(K5134),IFERROR(VLOOKUP(I5134,FS_input_data!$C$458:$N$648,Export!J5134,FALSE),""),K5134)</f>
        <v/>
      </c>
      <c r="D5134" s="6"/>
      <c r="E5134" s="6"/>
      <c r="F5134" s="6"/>
      <c r="G5134" s="116" t="b">
        <f>VLOOKUP(I5124,FS_input_noty,J5124,FALSE)=""</f>
        <v>0</v>
      </c>
      <c r="H5134" s="6" t="s">
        <v>2189</v>
      </c>
      <c r="I5134" t="s">
        <v>1561</v>
      </c>
      <c r="J5134" t="s">
        <v>1561</v>
      </c>
      <c r="L5134">
        <f t="shared" si="292"/>
        <v>1</v>
      </c>
    </row>
    <row r="5135" spans="1:12" x14ac:dyDescent="0.35">
      <c r="A5135">
        <f t="shared" si="293"/>
        <v>5134</v>
      </c>
      <c r="B5135" t="s">
        <v>751</v>
      </c>
      <c r="C5135" s="109" t="str">
        <f>IF(ISBLANK(K5135),IFERROR(VLOOKUP(I5135,FS_input_data!$C$458:$N$648,Export!J5135,FALSE),""),K5135)</f>
        <v/>
      </c>
      <c r="D5135" s="6"/>
      <c r="E5135" s="6"/>
      <c r="F5135" s="6"/>
      <c r="G5135" s="116" t="b">
        <f>VLOOKUP(I5124,FS_input_noty,J5124,FALSE)=""</f>
        <v>0</v>
      </c>
      <c r="H5135" s="6" t="s">
        <v>2189</v>
      </c>
      <c r="I5135" t="s">
        <v>1561</v>
      </c>
      <c r="J5135" t="s">
        <v>1561</v>
      </c>
      <c r="L5135">
        <f t="shared" si="292"/>
        <v>1</v>
      </c>
    </row>
    <row r="5136" spans="1:12" x14ac:dyDescent="0.35">
      <c r="A5136">
        <f t="shared" si="293"/>
        <v>5135</v>
      </c>
      <c r="B5136" t="s">
        <v>754</v>
      </c>
      <c r="C5136" s="109" t="str">
        <f>IF(ISBLANK(K5136),IFERROR(VLOOKUP(I5136,FS_input_data!$C$458:$N$648,Export!J5136,FALSE),""),K5136)</f>
        <v/>
      </c>
      <c r="D5136" s="6"/>
      <c r="E5136" s="6"/>
      <c r="F5136" s="6"/>
      <c r="G5136" s="115" t="b">
        <f>VLOOKUP(I5124,FS_input_noty,J5124,FALSE)=""</f>
        <v>0</v>
      </c>
      <c r="H5136" s="6" t="s">
        <v>2189</v>
      </c>
      <c r="I5136" t="s">
        <v>1561</v>
      </c>
      <c r="J5136" t="s">
        <v>1561</v>
      </c>
      <c r="L5136" s="26" t="e">
        <f t="shared" si="292"/>
        <v>#VALUE!</v>
      </c>
    </row>
    <row r="5137" spans="1:12" x14ac:dyDescent="0.35">
      <c r="A5137" s="9">
        <f t="shared" si="293"/>
        <v>5136</v>
      </c>
      <c r="B5137" t="s">
        <v>755</v>
      </c>
      <c r="C5137" s="109">
        <f>IF(ISBLANK(K5137),IFERROR(VLOOKUP(I5137,FS_input_data!$C$458:$N$648,Export!J5137,FALSE),""),K5137)</f>
        <v>80</v>
      </c>
      <c r="D5137" s="6" t="b">
        <v>1</v>
      </c>
      <c r="E5137" s="6"/>
      <c r="F5137" s="6"/>
      <c r="G5137" s="115" t="b">
        <f>VLOOKUP(I5124,FS_input_noty,J5124,FALSE)=""</f>
        <v>0</v>
      </c>
      <c r="H5137" s="6" t="s">
        <v>2189</v>
      </c>
      <c r="I5137" t="s">
        <v>1970</v>
      </c>
      <c r="J5137">
        <v>2</v>
      </c>
      <c r="L5137" s="26" t="e">
        <f t="shared" si="292"/>
        <v>#VALUE!</v>
      </c>
    </row>
    <row r="5138" spans="1:12" x14ac:dyDescent="0.35">
      <c r="A5138">
        <f t="shared" si="293"/>
        <v>5137</v>
      </c>
      <c r="B5138" t="s">
        <v>756</v>
      </c>
      <c r="C5138" s="109" t="str">
        <f>IF(ISBLANK(K5138),IFERROR(VLOOKUP(I5138,FS_input_data!$C$458:$N$648,Export!J5138,FALSE),""),K5138)</f>
        <v/>
      </c>
      <c r="D5138" s="6"/>
      <c r="E5138" s="6"/>
      <c r="F5138" s="6"/>
      <c r="G5138" s="115" t="b">
        <f>VLOOKUP(I5124,FS_input_noty,J5124,FALSE)=""</f>
        <v>0</v>
      </c>
      <c r="H5138" s="6" t="s">
        <v>2189</v>
      </c>
      <c r="I5138" t="s">
        <v>1561</v>
      </c>
      <c r="J5138" t="s">
        <v>1561</v>
      </c>
      <c r="L5138">
        <f t="shared" si="292"/>
        <v>1</v>
      </c>
    </row>
    <row r="5139" spans="1:12" x14ac:dyDescent="0.35">
      <c r="A5139" s="9">
        <f t="shared" si="293"/>
        <v>5138</v>
      </c>
      <c r="B5139" t="s">
        <v>757</v>
      </c>
      <c r="C5139" s="109">
        <f>IF(ISBLANK(K5139),IFERROR(VLOOKUP(I5139,FS_input_data!$C$458:$N$648,Export!J5139,FALSE),""),K5139)</f>
        <v>180</v>
      </c>
      <c r="D5139" s="6" t="b">
        <v>0</v>
      </c>
      <c r="E5139" s="6"/>
      <c r="F5139" s="6"/>
      <c r="G5139" s="115" t="b">
        <f>VLOOKUP(I5124,FS_input_noty,J5124,FALSE)=""</f>
        <v>0</v>
      </c>
      <c r="H5139" s="6" t="s">
        <v>2189</v>
      </c>
      <c r="I5139" t="s">
        <v>1970</v>
      </c>
      <c r="J5139">
        <v>3</v>
      </c>
      <c r="L5139" s="26" t="e">
        <f t="shared" si="292"/>
        <v>#VALUE!</v>
      </c>
    </row>
    <row r="5140" spans="1:12" x14ac:dyDescent="0.35">
      <c r="A5140">
        <f t="shared" si="293"/>
        <v>5139</v>
      </c>
      <c r="B5140" t="s">
        <v>758</v>
      </c>
      <c r="C5140" s="109" t="str">
        <f>IF(ISBLANK(K5140),IFERROR(VLOOKUP(I5140,FS_input_data!$C$458:$N$648,Export!J5140,FALSE),""),K5140)</f>
        <v/>
      </c>
      <c r="D5140" s="6"/>
      <c r="E5140" s="6"/>
      <c r="F5140" s="6"/>
      <c r="G5140" s="115" t="b">
        <f>VLOOKUP(I5124,FS_input_noty,J5124,FALSE)=""</f>
        <v>0</v>
      </c>
      <c r="H5140" s="6" t="s">
        <v>2189</v>
      </c>
      <c r="I5140" t="s">
        <v>1561</v>
      </c>
      <c r="J5140" t="s">
        <v>1561</v>
      </c>
      <c r="L5140">
        <f t="shared" si="292"/>
        <v>1</v>
      </c>
    </row>
    <row r="5141" spans="1:12" x14ac:dyDescent="0.35">
      <c r="A5141" s="9">
        <f t="shared" si="293"/>
        <v>5140</v>
      </c>
      <c r="B5141" t="s">
        <v>759</v>
      </c>
      <c r="C5141" s="109">
        <f>IF(ISBLANK(K5141),IFERROR(VLOOKUP(I5141,FS_input_data!$C$458:$N$648,Export!J5141,FALSE),""),K5141)</f>
        <v>280</v>
      </c>
      <c r="D5141" s="6" t="b">
        <v>0</v>
      </c>
      <c r="E5141" s="6"/>
      <c r="F5141" s="6"/>
      <c r="G5141" s="115" t="b">
        <f>VLOOKUP(I5124,FS_input_noty,J5124,FALSE)=""</f>
        <v>0</v>
      </c>
      <c r="H5141" s="6" t="s">
        <v>2189</v>
      </c>
      <c r="I5141" t="s">
        <v>1970</v>
      </c>
      <c r="J5141">
        <v>4</v>
      </c>
      <c r="L5141" s="26" t="e">
        <f t="shared" si="292"/>
        <v>#VALUE!</v>
      </c>
    </row>
    <row r="5142" spans="1:12" x14ac:dyDescent="0.35">
      <c r="A5142">
        <f t="shared" si="293"/>
        <v>5141</v>
      </c>
      <c r="B5142" t="s">
        <v>760</v>
      </c>
      <c r="C5142" s="109" t="str">
        <f>IF(ISBLANK(K5142),IFERROR(VLOOKUP(I5142,FS_input_data!$C$458:$N$648,Export!J5142,FALSE),""),K5142)</f>
        <v/>
      </c>
      <c r="D5142" s="6"/>
      <c r="E5142" s="6"/>
      <c r="F5142" s="6"/>
      <c r="G5142" s="115" t="b">
        <f>VLOOKUP(I5124,FS_input_noty,J5124,FALSE)=""</f>
        <v>0</v>
      </c>
      <c r="H5142" s="6" t="s">
        <v>2189</v>
      </c>
      <c r="I5142" t="s">
        <v>1561</v>
      </c>
      <c r="J5142" t="s">
        <v>1561</v>
      </c>
      <c r="L5142">
        <f t="shared" si="292"/>
        <v>1</v>
      </c>
    </row>
    <row r="5143" spans="1:12" x14ac:dyDescent="0.35">
      <c r="A5143" s="9">
        <f t="shared" si="293"/>
        <v>5142</v>
      </c>
      <c r="B5143" t="s">
        <v>761</v>
      </c>
      <c r="C5143" s="109" t="str">
        <f>IF(ISBLANK(K5143),IFERROR(VLOOKUP(I5143,FS_input_data!$C$458:$N$648,Export!J5143,FALSE),""),K5143)</f>
        <v>d</v>
      </c>
      <c r="D5143" s="6" t="b">
        <v>0</v>
      </c>
      <c r="E5143" s="6"/>
      <c r="F5143" s="6"/>
      <c r="G5143" s="115" t="b">
        <f>VLOOKUP(I5124,FS_input_noty,J5124,FALSE)=""</f>
        <v>0</v>
      </c>
      <c r="H5143" s="6" t="s">
        <v>2189</v>
      </c>
      <c r="I5143" t="s">
        <v>1970</v>
      </c>
      <c r="J5143">
        <v>5</v>
      </c>
      <c r="L5143" s="26" t="e">
        <f t="shared" si="292"/>
        <v>#VALUE!</v>
      </c>
    </row>
    <row r="5144" spans="1:12" x14ac:dyDescent="0.35">
      <c r="A5144">
        <f t="shared" si="293"/>
        <v>5143</v>
      </c>
      <c r="B5144" t="s">
        <v>762</v>
      </c>
      <c r="C5144" s="109" t="str">
        <f>IF(ISBLANK(K5144),IFERROR(VLOOKUP(I5144,FS_input_data!$C$458:$N$648,Export!J5144,FALSE),""),K5144)</f>
        <v/>
      </c>
      <c r="D5144" s="6"/>
      <c r="E5144" s="6"/>
      <c r="F5144" s="6"/>
      <c r="G5144" s="115" t="b">
        <f>VLOOKUP(I5124,FS_input_noty,J5124,FALSE)=""</f>
        <v>0</v>
      </c>
      <c r="H5144" s="6" t="s">
        <v>2189</v>
      </c>
      <c r="I5144" t="s">
        <v>1561</v>
      </c>
      <c r="J5144" t="s">
        <v>1561</v>
      </c>
      <c r="L5144">
        <f t="shared" si="292"/>
        <v>1</v>
      </c>
    </row>
    <row r="5145" spans="1:12" x14ac:dyDescent="0.35">
      <c r="A5145">
        <f t="shared" si="293"/>
        <v>5144</v>
      </c>
      <c r="B5145" t="s">
        <v>763</v>
      </c>
      <c r="C5145" s="109" t="str">
        <f>IF(ISBLANK(K5145),IFERROR(VLOOKUP(I5145,FS_input_data!$C$458:$N$648,Export!J5145,FALSE),""),K5145)</f>
        <v/>
      </c>
      <c r="D5145" s="6"/>
      <c r="E5145" s="6"/>
      <c r="F5145" s="6"/>
      <c r="G5145" s="115" t="b">
        <f>VLOOKUP(I5124,FS_input_noty,J5124,FALSE)=""</f>
        <v>0</v>
      </c>
      <c r="H5145" s="6" t="s">
        <v>2189</v>
      </c>
      <c r="I5145" t="s">
        <v>1561</v>
      </c>
      <c r="J5145" t="s">
        <v>1561</v>
      </c>
      <c r="L5145">
        <f t="shared" si="292"/>
        <v>1</v>
      </c>
    </row>
    <row r="5146" spans="1:12" x14ac:dyDescent="0.35">
      <c r="A5146">
        <f t="shared" si="293"/>
        <v>5145</v>
      </c>
      <c r="B5146" t="s">
        <v>743</v>
      </c>
      <c r="C5146" s="109" t="str">
        <f>IF(ISBLANK(K5146),IFERROR(VLOOKUP(I5146,FS_input_data!$C$458:$N$648,Export!J5146,FALSE),""),K5146)</f>
        <v/>
      </c>
      <c r="D5146" s="6"/>
      <c r="E5146" s="6"/>
      <c r="F5146" s="6"/>
      <c r="G5146" s="115" t="b">
        <f>VLOOKUP(I5124,FS_input_noty,J5124,FALSE)=""</f>
        <v>0</v>
      </c>
      <c r="H5146" s="6" t="s">
        <v>2189</v>
      </c>
      <c r="I5146" t="s">
        <v>1561</v>
      </c>
      <c r="J5146" t="s">
        <v>1561</v>
      </c>
      <c r="L5146">
        <f t="shared" si="292"/>
        <v>1</v>
      </c>
    </row>
    <row r="5147" spans="1:12" x14ac:dyDescent="0.35">
      <c r="A5147">
        <f t="shared" si="293"/>
        <v>5146</v>
      </c>
      <c r="B5147" t="s">
        <v>744</v>
      </c>
      <c r="C5147" s="109" t="str">
        <f>IF(ISBLANK(K5147),IFERROR(VLOOKUP(I5147,FS_input_data!$C$458:$N$648,Export!J5147,FALSE),""),K5147)</f>
        <v/>
      </c>
      <c r="D5147" s="6"/>
      <c r="E5147" s="6"/>
      <c r="F5147" s="6"/>
      <c r="G5147" s="115" t="b">
        <f t="shared" ref="G5147:G5154" si="294">RP_tax</f>
        <v>1</v>
      </c>
      <c r="H5147" s="6" t="s">
        <v>2189</v>
      </c>
      <c r="I5147" t="s">
        <v>1561</v>
      </c>
      <c r="J5147" t="s">
        <v>1561</v>
      </c>
      <c r="L5147" s="26" t="e">
        <f t="shared" si="292"/>
        <v>#VALUE!</v>
      </c>
    </row>
    <row r="5148" spans="1:12" x14ac:dyDescent="0.35">
      <c r="A5148" s="9">
        <f t="shared" si="293"/>
        <v>5147</v>
      </c>
      <c r="B5148" t="s">
        <v>109</v>
      </c>
      <c r="C5148" s="109">
        <f>IF(ISBLANK(K5148),IFERROR(VLOOKUP(I5148,FS_input_data!$C$458:$N$648,Export!J5148,FALSE),""),K5148)</f>
        <v>36000</v>
      </c>
      <c r="D5148" s="6" t="b">
        <v>1</v>
      </c>
      <c r="E5148" s="6"/>
      <c r="F5148" s="6"/>
      <c r="G5148" s="115" t="b">
        <f t="shared" si="294"/>
        <v>1</v>
      </c>
      <c r="H5148" s="6" t="s">
        <v>2189</v>
      </c>
      <c r="I5148" t="s">
        <v>1970</v>
      </c>
      <c r="J5148">
        <v>10</v>
      </c>
      <c r="L5148" s="26" t="e">
        <f t="shared" si="292"/>
        <v>#VALUE!</v>
      </c>
    </row>
    <row r="5149" spans="1:12" x14ac:dyDescent="0.35">
      <c r="A5149">
        <f t="shared" si="293"/>
        <v>5148</v>
      </c>
      <c r="B5149" t="s">
        <v>110</v>
      </c>
      <c r="C5149" s="109" t="str">
        <f>IF(ISBLANK(K5149),IFERROR(VLOOKUP(I5149,FS_input_data!$C$458:$N$648,Export!J5149,FALSE),""),K5149)</f>
        <v/>
      </c>
      <c r="D5149" s="6"/>
      <c r="E5149" s="6"/>
      <c r="F5149" s="6"/>
      <c r="G5149" s="115" t="b">
        <f t="shared" si="294"/>
        <v>1</v>
      </c>
      <c r="H5149" s="6" t="s">
        <v>2189</v>
      </c>
      <c r="I5149" t="s">
        <v>1561</v>
      </c>
      <c r="J5149" t="s">
        <v>1561</v>
      </c>
      <c r="L5149">
        <f t="shared" si="292"/>
        <v>1</v>
      </c>
    </row>
    <row r="5150" spans="1:12" x14ac:dyDescent="0.35">
      <c r="A5150" s="9">
        <f t="shared" si="293"/>
        <v>5149</v>
      </c>
      <c r="B5150" t="s">
        <v>111</v>
      </c>
      <c r="C5150" s="109">
        <f>IF(ISBLANK(K5150),IFERROR(VLOOKUP(I5150,FS_input_data!$C$458:$N$648,Export!J5150,FALSE),""),K5150)</f>
        <v>18000</v>
      </c>
      <c r="D5150" s="6" t="b">
        <v>0</v>
      </c>
      <c r="E5150" s="6"/>
      <c r="F5150" s="6"/>
      <c r="G5150" s="115" t="b">
        <f t="shared" si="294"/>
        <v>1</v>
      </c>
      <c r="H5150" s="6" t="s">
        <v>2189</v>
      </c>
      <c r="I5150" t="s">
        <v>1970</v>
      </c>
      <c r="J5150">
        <v>11</v>
      </c>
      <c r="L5150" s="26" t="e">
        <f t="shared" si="292"/>
        <v>#VALUE!</v>
      </c>
    </row>
    <row r="5151" spans="1:12" x14ac:dyDescent="0.35">
      <c r="A5151">
        <f t="shared" si="293"/>
        <v>5150</v>
      </c>
      <c r="B5151" t="s">
        <v>112</v>
      </c>
      <c r="C5151" s="109" t="str">
        <f>IF(ISBLANK(K5151),IFERROR(VLOOKUP(I5151,FS_input_data!$C$458:$N$648,Export!J5151,FALSE),""),K5151)</f>
        <v/>
      </c>
      <c r="D5151" s="6"/>
      <c r="E5151" s="6"/>
      <c r="F5151" s="6"/>
      <c r="G5151" s="115" t="b">
        <f t="shared" si="294"/>
        <v>1</v>
      </c>
      <c r="H5151" s="6" t="s">
        <v>2189</v>
      </c>
      <c r="I5151" t="s">
        <v>1561</v>
      </c>
      <c r="J5151" t="s">
        <v>1561</v>
      </c>
      <c r="L5151">
        <f t="shared" si="292"/>
        <v>1</v>
      </c>
    </row>
    <row r="5152" spans="1:12" x14ac:dyDescent="0.35">
      <c r="A5152" s="9">
        <f t="shared" si="293"/>
        <v>5151</v>
      </c>
      <c r="B5152" t="s">
        <v>749</v>
      </c>
      <c r="C5152" s="109">
        <f>IF(ISBLANK(K5152),IFERROR(VLOOKUP(I5152,FS_input_data!$C$458:$N$648,Export!J5152,FALSE),""),K5152)</f>
        <v>18000</v>
      </c>
      <c r="D5152" s="6" t="b">
        <v>0</v>
      </c>
      <c r="E5152" s="6"/>
      <c r="F5152" s="6"/>
      <c r="G5152" s="115" t="b">
        <f t="shared" si="294"/>
        <v>1</v>
      </c>
      <c r="H5152" s="6" t="s">
        <v>2189</v>
      </c>
      <c r="I5152" t="s">
        <v>1970</v>
      </c>
      <c r="J5152">
        <v>12</v>
      </c>
      <c r="L5152" s="26" t="e">
        <f t="shared" si="292"/>
        <v>#VALUE!</v>
      </c>
    </row>
    <row r="5153" spans="1:12" x14ac:dyDescent="0.35">
      <c r="A5153">
        <f t="shared" si="293"/>
        <v>5152</v>
      </c>
      <c r="B5153" t="s">
        <v>750</v>
      </c>
      <c r="C5153" s="109" t="str">
        <f>IF(ISBLANK(K5153),IFERROR(VLOOKUP(I5153,FS_input_data!$C$458:$N$648,Export!J5153,FALSE),""),K5153)</f>
        <v/>
      </c>
      <c r="D5153" s="6"/>
      <c r="E5153" s="6"/>
      <c r="F5153" s="6"/>
      <c r="G5153" s="115" t="b">
        <f t="shared" si="294"/>
        <v>1</v>
      </c>
      <c r="H5153" s="6" t="s">
        <v>2189</v>
      </c>
      <c r="I5153" t="s">
        <v>1561</v>
      </c>
      <c r="J5153" t="s">
        <v>1561</v>
      </c>
      <c r="L5153">
        <f t="shared" si="292"/>
        <v>1</v>
      </c>
    </row>
    <row r="5154" spans="1:12" x14ac:dyDescent="0.35">
      <c r="A5154">
        <f t="shared" si="293"/>
        <v>5153</v>
      </c>
      <c r="B5154" t="s">
        <v>745</v>
      </c>
      <c r="C5154" s="109" t="str">
        <f>IF(ISBLANK(K5154),IFERROR(VLOOKUP(I5154,FS_input_data!$C$458:$N$648,Export!J5154,FALSE),""),K5154)</f>
        <v/>
      </c>
      <c r="D5154" s="6"/>
      <c r="E5154" s="6"/>
      <c r="F5154" s="6"/>
      <c r="G5154" s="115" t="b">
        <f t="shared" si="294"/>
        <v>1</v>
      </c>
      <c r="H5154" s="6" t="s">
        <v>2189</v>
      </c>
      <c r="I5154" t="s">
        <v>1561</v>
      </c>
      <c r="J5154" t="s">
        <v>1561</v>
      </c>
      <c r="L5154">
        <f t="shared" si="292"/>
        <v>1</v>
      </c>
    </row>
    <row r="5155" spans="1:12" x14ac:dyDescent="0.35">
      <c r="A5155">
        <f t="shared" si="293"/>
        <v>5154</v>
      </c>
      <c r="B5155" t="s">
        <v>764</v>
      </c>
      <c r="C5155" s="109" t="str">
        <f>IF(ISBLANK(K5155),IFERROR(VLOOKUP(I5155,FS_input_data!$C$458:$N$648,Export!J5155,FALSE),""),K5155)</f>
        <v/>
      </c>
      <c r="D5155" s="6"/>
      <c r="E5155" s="6"/>
      <c r="F5155" s="6"/>
      <c r="G5155" s="115" t="b">
        <f>VLOOKUP(I5124,FS_input_noty,J5124,FALSE)=""</f>
        <v>0</v>
      </c>
      <c r="H5155" s="6" t="s">
        <v>2189</v>
      </c>
      <c r="I5155" t="s">
        <v>1561</v>
      </c>
      <c r="J5155" t="s">
        <v>1561</v>
      </c>
      <c r="L5155">
        <f t="shared" si="292"/>
        <v>1</v>
      </c>
    </row>
    <row r="5156" spans="1:12" x14ac:dyDescent="0.35">
      <c r="A5156">
        <f t="shared" si="293"/>
        <v>5155</v>
      </c>
      <c r="B5156" t="s">
        <v>765</v>
      </c>
      <c r="C5156" s="109" t="str">
        <f>IF(ISBLANK(K5156),IFERROR(VLOOKUP(I5156,FS_input_data!$C$458:$N$648,Export!J5156,FALSE),""),K5156)</f>
        <v/>
      </c>
      <c r="D5156" s="6"/>
      <c r="E5156" s="6"/>
      <c r="F5156" s="6"/>
      <c r="G5156" s="115" t="b">
        <f>VLOOKUP(I5124,FS_input_noty,J5124,FALSE)=""</f>
        <v>0</v>
      </c>
      <c r="H5156" s="6" t="s">
        <v>2189</v>
      </c>
      <c r="I5156" t="s">
        <v>1561</v>
      </c>
      <c r="J5156" t="s">
        <v>1561</v>
      </c>
      <c r="L5156">
        <f t="shared" si="292"/>
        <v>1</v>
      </c>
    </row>
    <row r="5157" spans="1:12" x14ac:dyDescent="0.35">
      <c r="A5157">
        <f t="shared" si="293"/>
        <v>5156</v>
      </c>
      <c r="B5157" t="s">
        <v>752</v>
      </c>
      <c r="C5157" s="109" t="str">
        <f>IF(ISBLANK(K5157),IFERROR(VLOOKUP(I5157,FS_input_data!$C$458:$N$648,Export!J5157,FALSE),""),K5157)</f>
        <v/>
      </c>
      <c r="D5157" s="6"/>
      <c r="E5157" s="6"/>
      <c r="F5157" s="6"/>
      <c r="G5157" s="115" t="b">
        <f>VLOOKUP(I5158,FS_input_noty,J5158,FALSE)=""</f>
        <v>0</v>
      </c>
      <c r="H5157" s="6" t="s">
        <v>2189</v>
      </c>
      <c r="I5157" t="s">
        <v>1561</v>
      </c>
      <c r="J5157" t="s">
        <v>1561</v>
      </c>
      <c r="L5157" s="26" t="e">
        <f t="shared" si="292"/>
        <v>#VALUE!</v>
      </c>
    </row>
    <row r="5158" spans="1:12" x14ac:dyDescent="0.35">
      <c r="A5158" s="9">
        <f t="shared" si="293"/>
        <v>5157</v>
      </c>
      <c r="B5158" t="s">
        <v>101</v>
      </c>
      <c r="C5158" s="109" t="str">
        <f>IF(ISBLANK(K5158),IFERROR(VLOOKUP(I5158,FS_input_data!$C$458:$N$648,Export!J5158,FALSE),""),K5158)</f>
        <v>OC58</v>
      </c>
      <c r="D5158" s="6" t="b">
        <v>1</v>
      </c>
      <c r="E5158" s="6"/>
      <c r="F5158" s="6"/>
      <c r="G5158" s="115" t="b">
        <f>VLOOKUP(I5158,FS_input_noty,J5158,FALSE)=""</f>
        <v>0</v>
      </c>
      <c r="H5158" s="6" t="s">
        <v>2189</v>
      </c>
      <c r="I5158" t="s">
        <v>1972</v>
      </c>
      <c r="J5158">
        <v>6</v>
      </c>
      <c r="L5158" s="26" t="e">
        <f t="shared" si="292"/>
        <v>#VALUE!</v>
      </c>
    </row>
    <row r="5159" spans="1:12" x14ac:dyDescent="0.35">
      <c r="A5159">
        <f t="shared" si="293"/>
        <v>5158</v>
      </c>
      <c r="B5159" t="s">
        <v>102</v>
      </c>
      <c r="C5159" s="109" t="str">
        <f>IF(ISBLANK(K5159),IFERROR(VLOOKUP(I5159,FS_input_data!$C$458:$N$648,Export!J5159,FALSE),""),K5159)</f>
        <v/>
      </c>
      <c r="D5159" s="6"/>
      <c r="E5159" s="6"/>
      <c r="F5159" s="6"/>
      <c r="G5159" s="115" t="b">
        <f>VLOOKUP(I5158,FS_input_noty,J5158,FALSE)=""</f>
        <v>0</v>
      </c>
      <c r="H5159" s="6" t="s">
        <v>2189</v>
      </c>
      <c r="I5159" t="s">
        <v>1561</v>
      </c>
      <c r="J5159" t="s">
        <v>1561</v>
      </c>
      <c r="L5159">
        <f t="shared" si="292"/>
        <v>1</v>
      </c>
    </row>
    <row r="5160" spans="1:12" x14ac:dyDescent="0.35">
      <c r="A5160">
        <f t="shared" si="293"/>
        <v>5159</v>
      </c>
      <c r="B5160" t="s">
        <v>753</v>
      </c>
      <c r="C5160" s="109" t="str">
        <f>IF(ISBLANK(K5160),IFERROR(VLOOKUP(I5160,FS_input_data!$C$458:$N$648,Export!J5160,FALSE),""),K5160)</f>
        <v/>
      </c>
      <c r="D5160" s="6"/>
      <c r="E5160" s="6"/>
      <c r="F5160" s="6"/>
      <c r="G5160" s="115" t="b">
        <f>VLOOKUP(I5158,FS_input_noty,J5158,FALSE)=""</f>
        <v>0</v>
      </c>
      <c r="H5160" s="6" t="s">
        <v>2189</v>
      </c>
      <c r="I5160" t="s">
        <v>1561</v>
      </c>
      <c r="J5160" t="s">
        <v>1561</v>
      </c>
      <c r="L5160" s="26" t="e">
        <f t="shared" si="292"/>
        <v>#VALUE!</v>
      </c>
    </row>
    <row r="5161" spans="1:12" x14ac:dyDescent="0.35">
      <c r="A5161">
        <f t="shared" si="293"/>
        <v>5160</v>
      </c>
      <c r="B5161" t="s">
        <v>742</v>
      </c>
      <c r="C5161" s="109" t="str">
        <f>IF(ISBLANK(K5161),IFERROR(VLOOKUP(I5161,FS_input_data!$C$458:$N$648,Export!J5161,FALSE),""),K5161)</f>
        <v/>
      </c>
      <c r="D5161" s="6"/>
      <c r="E5161" s="6"/>
      <c r="F5161" s="6"/>
      <c r="G5161" s="115" t="b">
        <f>VLOOKUP(I5158,FS_input_noty,J5158,FALSE)=""</f>
        <v>0</v>
      </c>
      <c r="H5161" s="6" t="s">
        <v>2189</v>
      </c>
      <c r="I5161" t="s">
        <v>1561</v>
      </c>
      <c r="J5161" t="s">
        <v>1561</v>
      </c>
      <c r="L5161" s="26" t="e">
        <f t="shared" si="292"/>
        <v>#VALUE!</v>
      </c>
    </row>
    <row r="5162" spans="1:12" x14ac:dyDescent="0.35">
      <c r="A5162">
        <f t="shared" si="293"/>
        <v>5161</v>
      </c>
      <c r="B5162" t="s">
        <v>748</v>
      </c>
      <c r="C5162" s="109" t="str">
        <f>IF(ISBLANK(K5162),IFERROR(VLOOKUP(I5162,FS_input_data!$C$458:$N$648,Export!J5162,FALSE),""),K5162)</f>
        <v/>
      </c>
      <c r="D5162" s="6"/>
      <c r="E5162" s="6"/>
      <c r="F5162" s="6"/>
      <c r="G5162" s="115" t="b">
        <f>VLOOKUP(I5158,FS_input_noty,J5158,FALSE)=""</f>
        <v>0</v>
      </c>
      <c r="H5162" s="6" t="s">
        <v>2189</v>
      </c>
      <c r="I5162" t="s">
        <v>1561</v>
      </c>
      <c r="J5162" t="s">
        <v>1561</v>
      </c>
      <c r="L5162" s="26" t="e">
        <f t="shared" si="292"/>
        <v>#VALUE!</v>
      </c>
    </row>
    <row r="5163" spans="1:12" x14ac:dyDescent="0.35">
      <c r="A5163" s="9">
        <f t="shared" si="293"/>
        <v>5162</v>
      </c>
      <c r="B5163" t="s">
        <v>109</v>
      </c>
      <c r="C5163" s="109">
        <f>IF(ISBLANK(K5163),IFERROR(VLOOKUP(I5163,FS_input_data!$C$458:$N$648,Export!J5163,FALSE),""),K5163)</f>
        <v>37000</v>
      </c>
      <c r="D5163" s="6" t="b">
        <v>1</v>
      </c>
      <c r="E5163" s="6"/>
      <c r="F5163" s="6"/>
      <c r="G5163" s="115" t="b">
        <f>VLOOKUP(I5158,FS_input_noty,J5158,FALSE)=""</f>
        <v>0</v>
      </c>
      <c r="H5163" s="6" t="s">
        <v>2189</v>
      </c>
      <c r="I5163" t="s">
        <v>1972</v>
      </c>
      <c r="J5163">
        <v>7</v>
      </c>
      <c r="L5163" s="26" t="e">
        <f t="shared" si="292"/>
        <v>#VALUE!</v>
      </c>
    </row>
    <row r="5164" spans="1:12" x14ac:dyDescent="0.35">
      <c r="A5164">
        <f t="shared" si="293"/>
        <v>5163</v>
      </c>
      <c r="B5164" t="s">
        <v>110</v>
      </c>
      <c r="C5164" s="109" t="str">
        <f>IF(ISBLANK(K5164),IFERROR(VLOOKUP(I5164,FS_input_data!$C$458:$N$648,Export!J5164,FALSE),""),K5164)</f>
        <v/>
      </c>
      <c r="D5164" s="6"/>
      <c r="E5164" s="6"/>
      <c r="F5164" s="6"/>
      <c r="G5164" s="115" t="b">
        <f>VLOOKUP(I5158,FS_input_noty,J5158,FALSE)=""</f>
        <v>0</v>
      </c>
      <c r="H5164" s="6" t="s">
        <v>2189</v>
      </c>
      <c r="I5164" t="s">
        <v>1561</v>
      </c>
      <c r="J5164" t="s">
        <v>1561</v>
      </c>
      <c r="L5164">
        <f t="shared" si="292"/>
        <v>1</v>
      </c>
    </row>
    <row r="5165" spans="1:12" x14ac:dyDescent="0.35">
      <c r="A5165" s="9">
        <f t="shared" si="293"/>
        <v>5164</v>
      </c>
      <c r="B5165" t="s">
        <v>111</v>
      </c>
      <c r="C5165" s="109">
        <f>IF(ISBLANK(K5165),IFERROR(VLOOKUP(I5165,FS_input_data!$C$458:$N$648,Export!J5165,FALSE),""),K5165)</f>
        <v>18500</v>
      </c>
      <c r="D5165" s="6" t="b">
        <v>0</v>
      </c>
      <c r="E5165" s="6"/>
      <c r="F5165" s="6"/>
      <c r="G5165" s="115" t="b">
        <f>VLOOKUP(I5158,FS_input_noty,J5158,TRUE)=""</f>
        <v>0</v>
      </c>
      <c r="H5165" s="6" t="s">
        <v>2189</v>
      </c>
      <c r="I5165" t="s">
        <v>1972</v>
      </c>
      <c r="J5165">
        <v>8</v>
      </c>
      <c r="L5165" s="26" t="e">
        <f t="shared" si="292"/>
        <v>#VALUE!</v>
      </c>
    </row>
    <row r="5166" spans="1:12" x14ac:dyDescent="0.35">
      <c r="A5166">
        <f t="shared" si="293"/>
        <v>5165</v>
      </c>
      <c r="B5166" t="s">
        <v>112</v>
      </c>
      <c r="C5166" s="109" t="str">
        <f>IF(ISBLANK(K5166),IFERROR(VLOOKUP(I5166,FS_input_data!$C$458:$N$648,Export!J5166,FALSE),""),K5166)</f>
        <v/>
      </c>
      <c r="D5166" s="6"/>
      <c r="E5166" s="6"/>
      <c r="F5166" s="6"/>
      <c r="G5166" s="115" t="b">
        <f>VLOOKUP(I5158,FS_input_noty,J5158,FALSE)=""</f>
        <v>0</v>
      </c>
      <c r="H5166" s="6" t="s">
        <v>2189</v>
      </c>
      <c r="I5166" t="s">
        <v>1561</v>
      </c>
      <c r="J5166" t="s">
        <v>1561</v>
      </c>
      <c r="L5166">
        <f t="shared" si="292"/>
        <v>1</v>
      </c>
    </row>
    <row r="5167" spans="1:12" x14ac:dyDescent="0.35">
      <c r="A5167" s="9">
        <f t="shared" si="293"/>
        <v>5166</v>
      </c>
      <c r="B5167" t="s">
        <v>749</v>
      </c>
      <c r="C5167" s="109">
        <f>IF(ISBLANK(K5167),IFERROR(VLOOKUP(I5167,FS_input_data!$C$458:$N$648,Export!J5167,FALSE),""),K5167)</f>
        <v>18500</v>
      </c>
      <c r="D5167" s="6" t="b">
        <v>0</v>
      </c>
      <c r="E5167" s="6"/>
      <c r="F5167" s="6"/>
      <c r="G5167" s="115" t="b">
        <f>VLOOKUP(I5158,FS_input_noty,J5158,FALSE)=""</f>
        <v>0</v>
      </c>
      <c r="H5167" s="6" t="s">
        <v>2189</v>
      </c>
      <c r="I5167" t="s">
        <v>1972</v>
      </c>
      <c r="J5167">
        <v>9</v>
      </c>
      <c r="L5167" s="26" t="e">
        <f t="shared" si="292"/>
        <v>#VALUE!</v>
      </c>
    </row>
    <row r="5168" spans="1:12" x14ac:dyDescent="0.35">
      <c r="A5168">
        <f t="shared" si="293"/>
        <v>5167</v>
      </c>
      <c r="B5168" t="s">
        <v>750</v>
      </c>
      <c r="C5168" s="109" t="str">
        <f>IF(ISBLANK(K5168),IFERROR(VLOOKUP(I5168,FS_input_data!$C$458:$N$648,Export!J5168,FALSE),""),K5168)</f>
        <v/>
      </c>
      <c r="D5168" s="6"/>
      <c r="E5168" s="6"/>
      <c r="F5168" s="6"/>
      <c r="G5168" s="115" t="b">
        <f>VLOOKUP(I5158,FS_input_noty,J5158,FALSE)=""</f>
        <v>0</v>
      </c>
      <c r="H5168" s="6" t="s">
        <v>2189</v>
      </c>
      <c r="I5168" t="s">
        <v>1561</v>
      </c>
      <c r="J5168" t="s">
        <v>1561</v>
      </c>
      <c r="L5168">
        <f t="shared" si="292"/>
        <v>1</v>
      </c>
    </row>
    <row r="5169" spans="1:12" x14ac:dyDescent="0.35">
      <c r="A5169">
        <f t="shared" si="293"/>
        <v>5168</v>
      </c>
      <c r="B5169" t="s">
        <v>751</v>
      </c>
      <c r="C5169" s="109" t="str">
        <f>IF(ISBLANK(K5169),IFERROR(VLOOKUP(I5169,FS_input_data!$C$458:$N$648,Export!J5169,FALSE),""),K5169)</f>
        <v/>
      </c>
      <c r="D5169" s="6"/>
      <c r="E5169" s="6"/>
      <c r="F5169" s="6"/>
      <c r="G5169" s="115" t="b">
        <f>VLOOKUP(I5158,FS_input_noty,J5158,FALSE)=""</f>
        <v>0</v>
      </c>
      <c r="H5169" s="6" t="s">
        <v>2189</v>
      </c>
      <c r="I5169" t="s">
        <v>1561</v>
      </c>
      <c r="J5169" t="s">
        <v>1561</v>
      </c>
      <c r="L5169">
        <f t="shared" si="292"/>
        <v>1</v>
      </c>
    </row>
    <row r="5170" spans="1:12" x14ac:dyDescent="0.35">
      <c r="A5170">
        <f t="shared" si="293"/>
        <v>5169</v>
      </c>
      <c r="B5170" t="s">
        <v>754</v>
      </c>
      <c r="C5170" s="109" t="str">
        <f>IF(ISBLANK(K5170),IFERROR(VLOOKUP(I5170,FS_input_data!$C$458:$N$648,Export!J5170,FALSE),""),K5170)</f>
        <v/>
      </c>
      <c r="D5170" s="6"/>
      <c r="E5170" s="6"/>
      <c r="F5170" s="6"/>
      <c r="G5170" s="115" t="b">
        <f>VLOOKUP(I5158,FS_input_noty,J5158,FALSE)=""</f>
        <v>0</v>
      </c>
      <c r="H5170" s="6" t="s">
        <v>2189</v>
      </c>
      <c r="I5170" t="s">
        <v>1561</v>
      </c>
      <c r="J5170" t="s">
        <v>1561</v>
      </c>
      <c r="L5170" s="26" t="e">
        <f t="shared" si="292"/>
        <v>#VALUE!</v>
      </c>
    </row>
    <row r="5171" spans="1:12" x14ac:dyDescent="0.35">
      <c r="A5171" s="9">
        <f t="shared" si="293"/>
        <v>5170</v>
      </c>
      <c r="B5171" t="s">
        <v>755</v>
      </c>
      <c r="C5171" s="109">
        <f>IF(ISBLANK(K5171),IFERROR(VLOOKUP(I5171,FS_input_data!$C$458:$N$648,Export!J5171,FALSE),""),K5171)</f>
        <v>81</v>
      </c>
      <c r="D5171" s="6" t="b">
        <v>1</v>
      </c>
      <c r="E5171" s="6"/>
      <c r="F5171" s="6"/>
      <c r="G5171" s="115" t="b">
        <f>VLOOKUP(I5158,FS_input_noty,J5158,FALSE)=""</f>
        <v>0</v>
      </c>
      <c r="H5171" s="6" t="s">
        <v>2189</v>
      </c>
      <c r="I5171" t="s">
        <v>1972</v>
      </c>
      <c r="J5171">
        <v>2</v>
      </c>
      <c r="L5171" s="26" t="e">
        <f t="shared" si="292"/>
        <v>#VALUE!</v>
      </c>
    </row>
    <row r="5172" spans="1:12" x14ac:dyDescent="0.35">
      <c r="A5172">
        <f t="shared" si="293"/>
        <v>5171</v>
      </c>
      <c r="B5172" t="s">
        <v>756</v>
      </c>
      <c r="C5172" s="109" t="str">
        <f>IF(ISBLANK(K5172),IFERROR(VLOOKUP(I5172,FS_input_data!$C$458:$N$648,Export!J5172,FALSE),""),K5172)</f>
        <v/>
      </c>
      <c r="D5172" s="6"/>
      <c r="E5172" s="6"/>
      <c r="F5172" s="6"/>
      <c r="G5172" s="115" t="b">
        <f>VLOOKUP(I5158,FS_input_noty,J5158,FALSE)=""</f>
        <v>0</v>
      </c>
      <c r="H5172" s="6" t="s">
        <v>2189</v>
      </c>
      <c r="I5172" t="s">
        <v>1561</v>
      </c>
      <c r="J5172" t="s">
        <v>1561</v>
      </c>
      <c r="L5172">
        <f t="shared" si="292"/>
        <v>1</v>
      </c>
    </row>
    <row r="5173" spans="1:12" x14ac:dyDescent="0.35">
      <c r="A5173" s="9">
        <f t="shared" si="293"/>
        <v>5172</v>
      </c>
      <c r="B5173" t="s">
        <v>757</v>
      </c>
      <c r="C5173" s="109">
        <f>IF(ISBLANK(K5173),IFERROR(VLOOKUP(I5173,FS_input_data!$C$458:$N$648,Export!J5173,FALSE),""),K5173)</f>
        <v>181</v>
      </c>
      <c r="D5173" s="6" t="b">
        <v>0</v>
      </c>
      <c r="E5173" s="6"/>
      <c r="F5173" s="6"/>
      <c r="G5173" s="115" t="b">
        <f>VLOOKUP(I5158,FS_input_noty,J5158,FALSE)=""</f>
        <v>0</v>
      </c>
      <c r="H5173" s="6" t="s">
        <v>2189</v>
      </c>
      <c r="I5173" t="s">
        <v>1972</v>
      </c>
      <c r="J5173">
        <v>3</v>
      </c>
      <c r="L5173" s="26" t="e">
        <f t="shared" si="292"/>
        <v>#VALUE!</v>
      </c>
    </row>
    <row r="5174" spans="1:12" x14ac:dyDescent="0.35">
      <c r="A5174">
        <f t="shared" si="293"/>
        <v>5173</v>
      </c>
      <c r="B5174" t="s">
        <v>758</v>
      </c>
      <c r="C5174" s="109" t="str">
        <f>IF(ISBLANK(K5174),IFERROR(VLOOKUP(I5174,FS_input_data!$C$458:$N$648,Export!J5174,FALSE),""),K5174)</f>
        <v/>
      </c>
      <c r="D5174" s="6"/>
      <c r="E5174" s="6"/>
      <c r="F5174" s="6"/>
      <c r="G5174" s="115" t="b">
        <f>VLOOKUP(I5158,FS_input_noty,J5158,FALSE)=""</f>
        <v>0</v>
      </c>
      <c r="H5174" s="6" t="s">
        <v>2189</v>
      </c>
      <c r="I5174" t="s">
        <v>1561</v>
      </c>
      <c r="J5174" t="s">
        <v>1561</v>
      </c>
      <c r="L5174">
        <f t="shared" si="292"/>
        <v>1</v>
      </c>
    </row>
    <row r="5175" spans="1:12" x14ac:dyDescent="0.35">
      <c r="A5175" s="9">
        <f t="shared" si="293"/>
        <v>5174</v>
      </c>
      <c r="B5175" t="s">
        <v>759</v>
      </c>
      <c r="C5175" s="109">
        <f>IF(ISBLANK(K5175),IFERROR(VLOOKUP(I5175,FS_input_data!$C$458:$N$648,Export!J5175,FALSE),""),K5175)</f>
        <v>281</v>
      </c>
      <c r="D5175" s="6" t="b">
        <v>0</v>
      </c>
      <c r="E5175" s="6"/>
      <c r="F5175" s="6"/>
      <c r="G5175" s="115" t="b">
        <f>VLOOKUP(I5158,FS_input_noty,J5158,FALSE)=""</f>
        <v>0</v>
      </c>
      <c r="H5175" s="6" t="s">
        <v>2189</v>
      </c>
      <c r="I5175" t="s">
        <v>1972</v>
      </c>
      <c r="J5175">
        <v>4</v>
      </c>
      <c r="L5175" s="26" t="e">
        <f t="shared" si="292"/>
        <v>#VALUE!</v>
      </c>
    </row>
    <row r="5176" spans="1:12" x14ac:dyDescent="0.35">
      <c r="A5176">
        <f t="shared" si="293"/>
        <v>5175</v>
      </c>
      <c r="B5176" t="s">
        <v>760</v>
      </c>
      <c r="C5176" s="109" t="str">
        <f>IF(ISBLANK(K5176),IFERROR(VLOOKUP(I5176,FS_input_data!$C$458:$N$648,Export!J5176,FALSE),""),K5176)</f>
        <v/>
      </c>
      <c r="D5176" s="6"/>
      <c r="E5176" s="6"/>
      <c r="F5176" s="6"/>
      <c r="G5176" s="115" t="b">
        <f>VLOOKUP(I5158,FS_input_noty,J5158,FALSE)=""</f>
        <v>0</v>
      </c>
      <c r="H5176" s="6" t="s">
        <v>2189</v>
      </c>
      <c r="I5176" t="s">
        <v>1561</v>
      </c>
      <c r="J5176" t="s">
        <v>1561</v>
      </c>
      <c r="L5176">
        <f t="shared" si="292"/>
        <v>1</v>
      </c>
    </row>
    <row r="5177" spans="1:12" x14ac:dyDescent="0.35">
      <c r="A5177" s="9">
        <f t="shared" si="293"/>
        <v>5176</v>
      </c>
      <c r="B5177" t="s">
        <v>761</v>
      </c>
      <c r="C5177" s="109" t="str">
        <f>IF(ISBLANK(K5177),IFERROR(VLOOKUP(I5177,FS_input_data!$C$458:$N$648,Export!J5177,FALSE),""),K5177)</f>
        <v>e</v>
      </c>
      <c r="D5177" s="6" t="b">
        <v>0</v>
      </c>
      <c r="E5177" s="6"/>
      <c r="F5177" s="6"/>
      <c r="G5177" s="115" t="b">
        <f>VLOOKUP(I5158,FS_input_noty,J5158,FALSE)=""</f>
        <v>0</v>
      </c>
      <c r="H5177" s="6" t="s">
        <v>2189</v>
      </c>
      <c r="I5177" t="s">
        <v>1972</v>
      </c>
      <c r="J5177">
        <v>5</v>
      </c>
      <c r="L5177" s="26" t="e">
        <f t="shared" si="292"/>
        <v>#VALUE!</v>
      </c>
    </row>
    <row r="5178" spans="1:12" x14ac:dyDescent="0.35">
      <c r="A5178">
        <f t="shared" si="293"/>
        <v>5177</v>
      </c>
      <c r="B5178" t="s">
        <v>762</v>
      </c>
      <c r="C5178" s="109" t="str">
        <f>IF(ISBLANK(K5178),IFERROR(VLOOKUP(I5178,FS_input_data!$C$458:$N$648,Export!J5178,FALSE),""),K5178)</f>
        <v/>
      </c>
      <c r="D5178" s="6"/>
      <c r="E5178" s="6"/>
      <c r="F5178" s="6"/>
      <c r="G5178" s="115" t="b">
        <f>VLOOKUP(I5158,FS_input_noty,J5158,FALSE)=""</f>
        <v>0</v>
      </c>
      <c r="H5178" s="6" t="s">
        <v>2189</v>
      </c>
      <c r="I5178" t="s">
        <v>1561</v>
      </c>
      <c r="J5178" t="s">
        <v>1561</v>
      </c>
      <c r="L5178">
        <f t="shared" si="292"/>
        <v>1</v>
      </c>
    </row>
    <row r="5179" spans="1:12" x14ac:dyDescent="0.35">
      <c r="A5179">
        <f t="shared" si="293"/>
        <v>5178</v>
      </c>
      <c r="B5179" t="s">
        <v>763</v>
      </c>
      <c r="C5179" s="109" t="str">
        <f>IF(ISBLANK(K5179),IFERROR(VLOOKUP(I5179,FS_input_data!$C$458:$N$648,Export!J5179,FALSE),""),K5179)</f>
        <v/>
      </c>
      <c r="D5179" s="6"/>
      <c r="E5179" s="6"/>
      <c r="F5179" s="6"/>
      <c r="G5179" s="115" t="b">
        <f>VLOOKUP(I5158,FS_input_noty,J5158,FALSE)=""</f>
        <v>0</v>
      </c>
      <c r="H5179" s="6" t="s">
        <v>2189</v>
      </c>
      <c r="I5179" t="s">
        <v>1561</v>
      </c>
      <c r="J5179" t="s">
        <v>1561</v>
      </c>
      <c r="L5179">
        <f t="shared" si="292"/>
        <v>1</v>
      </c>
    </row>
    <row r="5180" spans="1:12" x14ac:dyDescent="0.35">
      <c r="A5180">
        <f t="shared" si="293"/>
        <v>5179</v>
      </c>
      <c r="B5180" t="s">
        <v>743</v>
      </c>
      <c r="C5180" s="109" t="str">
        <f>IF(ISBLANK(K5180),IFERROR(VLOOKUP(I5180,FS_input_data!$C$458:$N$648,Export!J5180,FALSE),""),K5180)</f>
        <v/>
      </c>
      <c r="D5180" s="6"/>
      <c r="E5180" s="6"/>
      <c r="F5180" s="6"/>
      <c r="G5180" s="115" t="b">
        <f>VLOOKUP(I5158,FS_input_noty,J5158,FALSE)=""</f>
        <v>0</v>
      </c>
      <c r="H5180" s="6" t="s">
        <v>2189</v>
      </c>
      <c r="I5180" t="s">
        <v>1561</v>
      </c>
      <c r="J5180" t="s">
        <v>1561</v>
      </c>
      <c r="L5180">
        <f t="shared" si="292"/>
        <v>1</v>
      </c>
    </row>
    <row r="5181" spans="1:12" x14ac:dyDescent="0.35">
      <c r="A5181">
        <f t="shared" si="293"/>
        <v>5180</v>
      </c>
      <c r="B5181" t="s">
        <v>744</v>
      </c>
      <c r="C5181" s="109" t="str">
        <f>IF(ISBLANK(K5181),IFERROR(VLOOKUP(I5181,FS_input_data!$C$458:$N$648,Export!J5181,FALSE),""),K5181)</f>
        <v/>
      </c>
      <c r="D5181" s="6"/>
      <c r="E5181" s="6"/>
      <c r="F5181" s="6"/>
      <c r="G5181" s="115" t="b">
        <f t="shared" ref="G5181:G5188" si="295">RP_tax</f>
        <v>1</v>
      </c>
      <c r="H5181" s="6" t="s">
        <v>2189</v>
      </c>
      <c r="I5181" t="s">
        <v>1561</v>
      </c>
      <c r="J5181" t="s">
        <v>1561</v>
      </c>
      <c r="L5181" s="26" t="e">
        <f t="shared" si="292"/>
        <v>#VALUE!</v>
      </c>
    </row>
    <row r="5182" spans="1:12" x14ac:dyDescent="0.35">
      <c r="A5182" s="9">
        <f t="shared" si="293"/>
        <v>5181</v>
      </c>
      <c r="B5182" t="s">
        <v>109</v>
      </c>
      <c r="C5182" s="109">
        <f>IF(ISBLANK(K5182),IFERROR(VLOOKUP(I5182,FS_input_data!$C$458:$N$648,Export!J5182,FALSE),""),K5182)</f>
        <v>37000</v>
      </c>
      <c r="D5182" s="6" t="b">
        <v>1</v>
      </c>
      <c r="E5182" s="6"/>
      <c r="F5182" s="6"/>
      <c r="G5182" s="115" t="b">
        <f t="shared" si="295"/>
        <v>1</v>
      </c>
      <c r="H5182" s="6" t="s">
        <v>2189</v>
      </c>
      <c r="I5182" t="s">
        <v>1972</v>
      </c>
      <c r="J5182">
        <v>10</v>
      </c>
      <c r="L5182" s="26" t="e">
        <f t="shared" si="292"/>
        <v>#VALUE!</v>
      </c>
    </row>
    <row r="5183" spans="1:12" x14ac:dyDescent="0.35">
      <c r="A5183">
        <f t="shared" si="293"/>
        <v>5182</v>
      </c>
      <c r="B5183" t="s">
        <v>110</v>
      </c>
      <c r="C5183" s="109" t="str">
        <f>IF(ISBLANK(K5183),IFERROR(VLOOKUP(I5183,FS_input_data!$C$458:$N$648,Export!J5183,FALSE),""),K5183)</f>
        <v/>
      </c>
      <c r="D5183" s="6"/>
      <c r="E5183" s="6"/>
      <c r="F5183" s="6"/>
      <c r="G5183" s="115" t="b">
        <f t="shared" si="295"/>
        <v>1</v>
      </c>
      <c r="H5183" s="6" t="s">
        <v>2189</v>
      </c>
      <c r="I5183" t="s">
        <v>1561</v>
      </c>
      <c r="J5183" t="s">
        <v>1561</v>
      </c>
      <c r="L5183">
        <f t="shared" si="292"/>
        <v>1</v>
      </c>
    </row>
    <row r="5184" spans="1:12" x14ac:dyDescent="0.35">
      <c r="A5184" s="9">
        <f t="shared" si="293"/>
        <v>5183</v>
      </c>
      <c r="B5184" t="s">
        <v>111</v>
      </c>
      <c r="C5184" s="109">
        <f>IF(ISBLANK(K5184),IFERROR(VLOOKUP(I5184,FS_input_data!$C$458:$N$648,Export!J5184,FALSE),""),K5184)</f>
        <v>18500</v>
      </c>
      <c r="D5184" s="6" t="b">
        <v>0</v>
      </c>
      <c r="E5184" s="6"/>
      <c r="F5184" s="6"/>
      <c r="G5184" s="115" t="b">
        <f t="shared" si="295"/>
        <v>1</v>
      </c>
      <c r="H5184" s="6" t="s">
        <v>2189</v>
      </c>
      <c r="I5184" t="s">
        <v>1972</v>
      </c>
      <c r="J5184">
        <v>11</v>
      </c>
      <c r="L5184" s="26" t="e">
        <f t="shared" si="292"/>
        <v>#VALUE!</v>
      </c>
    </row>
    <row r="5185" spans="1:12" x14ac:dyDescent="0.35">
      <c r="A5185">
        <f t="shared" si="293"/>
        <v>5184</v>
      </c>
      <c r="B5185" t="s">
        <v>112</v>
      </c>
      <c r="C5185" s="109" t="str">
        <f>IF(ISBLANK(K5185),IFERROR(VLOOKUP(I5185,FS_input_data!$C$458:$N$648,Export!J5185,FALSE),""),K5185)</f>
        <v/>
      </c>
      <c r="D5185" s="6"/>
      <c r="E5185" s="6"/>
      <c r="F5185" s="6"/>
      <c r="G5185" s="115" t="b">
        <f t="shared" si="295"/>
        <v>1</v>
      </c>
      <c r="H5185" s="6" t="s">
        <v>2189</v>
      </c>
      <c r="I5185" t="s">
        <v>1561</v>
      </c>
      <c r="J5185" t="s">
        <v>1561</v>
      </c>
      <c r="L5185">
        <f t="shared" si="292"/>
        <v>1</v>
      </c>
    </row>
    <row r="5186" spans="1:12" x14ac:dyDescent="0.35">
      <c r="A5186" s="9">
        <f t="shared" si="293"/>
        <v>5185</v>
      </c>
      <c r="B5186" t="s">
        <v>749</v>
      </c>
      <c r="C5186" s="109">
        <f>IF(ISBLANK(K5186),IFERROR(VLOOKUP(I5186,FS_input_data!$C$458:$N$648,Export!J5186,FALSE),""),K5186)</f>
        <v>18500</v>
      </c>
      <c r="D5186" s="6" t="b">
        <v>0</v>
      </c>
      <c r="E5186" s="6"/>
      <c r="F5186" s="6"/>
      <c r="G5186" s="115" t="b">
        <f t="shared" si="295"/>
        <v>1</v>
      </c>
      <c r="H5186" s="6" t="s">
        <v>2189</v>
      </c>
      <c r="I5186" t="s">
        <v>1972</v>
      </c>
      <c r="J5186">
        <v>12</v>
      </c>
      <c r="L5186" s="26" t="e">
        <f t="shared" ref="L5186:L5249" si="296">FIND("/",B5186)</f>
        <v>#VALUE!</v>
      </c>
    </row>
    <row r="5187" spans="1:12" x14ac:dyDescent="0.35">
      <c r="A5187">
        <f t="shared" ref="A5187:A5250" si="297">A5186+1</f>
        <v>5186</v>
      </c>
      <c r="B5187" t="s">
        <v>750</v>
      </c>
      <c r="C5187" s="109" t="str">
        <f>IF(ISBLANK(K5187),IFERROR(VLOOKUP(I5187,FS_input_data!$C$458:$N$648,Export!J5187,FALSE),""),K5187)</f>
        <v/>
      </c>
      <c r="D5187" s="6"/>
      <c r="E5187" s="6"/>
      <c r="F5187" s="6"/>
      <c r="G5187" s="115" t="b">
        <f t="shared" si="295"/>
        <v>1</v>
      </c>
      <c r="H5187" s="6" t="s">
        <v>2189</v>
      </c>
      <c r="I5187" t="s">
        <v>1561</v>
      </c>
      <c r="J5187" t="s">
        <v>1561</v>
      </c>
      <c r="L5187">
        <f t="shared" si="296"/>
        <v>1</v>
      </c>
    </row>
    <row r="5188" spans="1:12" x14ac:dyDescent="0.35">
      <c r="A5188">
        <f t="shared" si="297"/>
        <v>5187</v>
      </c>
      <c r="B5188" t="s">
        <v>745</v>
      </c>
      <c r="C5188" s="109" t="str">
        <f>IF(ISBLANK(K5188),IFERROR(VLOOKUP(I5188,FS_input_data!$C$458:$N$648,Export!J5188,FALSE),""),K5188)</f>
        <v/>
      </c>
      <c r="D5188" s="6"/>
      <c r="E5188" s="6"/>
      <c r="F5188" s="6"/>
      <c r="G5188" s="115" t="b">
        <f t="shared" si="295"/>
        <v>1</v>
      </c>
      <c r="H5188" s="6" t="s">
        <v>2189</v>
      </c>
      <c r="I5188" t="s">
        <v>1561</v>
      </c>
      <c r="J5188" t="s">
        <v>1561</v>
      </c>
      <c r="L5188">
        <f t="shared" si="296"/>
        <v>1</v>
      </c>
    </row>
    <row r="5189" spans="1:12" x14ac:dyDescent="0.35">
      <c r="A5189">
        <f t="shared" si="297"/>
        <v>5188</v>
      </c>
      <c r="B5189" t="s">
        <v>764</v>
      </c>
      <c r="C5189" s="109" t="str">
        <f>IF(ISBLANK(K5189),IFERROR(VLOOKUP(I5189,FS_input_data!$C$458:$N$648,Export!J5189,FALSE),""),K5189)</f>
        <v/>
      </c>
      <c r="D5189" s="6"/>
      <c r="E5189" s="6"/>
      <c r="F5189" s="6"/>
      <c r="G5189" s="115" t="b">
        <f>VLOOKUP(I5158,FS_input_noty,J5158,FALSE)=""</f>
        <v>0</v>
      </c>
      <c r="H5189" s="6" t="s">
        <v>2189</v>
      </c>
      <c r="I5189" t="s">
        <v>1561</v>
      </c>
      <c r="J5189" t="s">
        <v>1561</v>
      </c>
      <c r="L5189">
        <f t="shared" si="296"/>
        <v>1</v>
      </c>
    </row>
    <row r="5190" spans="1:12" x14ac:dyDescent="0.35">
      <c r="A5190">
        <f t="shared" si="297"/>
        <v>5189</v>
      </c>
      <c r="B5190" t="s">
        <v>765</v>
      </c>
      <c r="C5190" s="109" t="str">
        <f>IF(ISBLANK(K5190),IFERROR(VLOOKUP(I5190,FS_input_data!$C$458:$N$648,Export!J5190,FALSE),""),K5190)</f>
        <v/>
      </c>
      <c r="D5190" s="6"/>
      <c r="E5190" s="6"/>
      <c r="F5190" s="6"/>
      <c r="G5190" s="115" t="b">
        <f>VLOOKUP(I5158,FS_input_noty,J5158,FALSE)=""</f>
        <v>0</v>
      </c>
      <c r="H5190" s="6" t="s">
        <v>2189</v>
      </c>
      <c r="I5190" t="s">
        <v>1561</v>
      </c>
      <c r="J5190" t="s">
        <v>1561</v>
      </c>
      <c r="L5190">
        <f t="shared" si="296"/>
        <v>1</v>
      </c>
    </row>
    <row r="5191" spans="1:12" x14ac:dyDescent="0.35">
      <c r="A5191">
        <f t="shared" si="297"/>
        <v>5190</v>
      </c>
      <c r="B5191" t="s">
        <v>752</v>
      </c>
      <c r="C5191" s="109" t="str">
        <f>IF(ISBLANK(K5191),IFERROR(VLOOKUP(I5191,FS_input_data!$C$458:$N$648,Export!J5191,FALSE),""),K5191)</f>
        <v/>
      </c>
      <c r="D5191" s="6"/>
      <c r="E5191" s="6"/>
      <c r="F5191" s="6"/>
      <c r="G5191" s="115" t="b">
        <f>VLOOKUP(I5192,FS_input_noty,J5192,FALSE)=""</f>
        <v>0</v>
      </c>
      <c r="H5191" s="6" t="s">
        <v>2189</v>
      </c>
      <c r="I5191" t="s">
        <v>1561</v>
      </c>
      <c r="J5191" t="s">
        <v>1561</v>
      </c>
      <c r="L5191" s="26" t="e">
        <f t="shared" si="296"/>
        <v>#VALUE!</v>
      </c>
    </row>
    <row r="5192" spans="1:12" x14ac:dyDescent="0.35">
      <c r="A5192" s="9">
        <f t="shared" si="297"/>
        <v>5191</v>
      </c>
      <c r="B5192" t="s">
        <v>101</v>
      </c>
      <c r="C5192" s="109" t="str">
        <f>IF(ISBLANK(K5192),IFERROR(VLOOKUP(I5192,FS_input_data!$C$458:$N$648,Export!J5192,FALSE),""),K5192)</f>
        <v>OC59</v>
      </c>
      <c r="D5192" s="6" t="b">
        <v>1</v>
      </c>
      <c r="E5192" s="6"/>
      <c r="F5192" s="6"/>
      <c r="G5192" s="115" t="b">
        <f>VLOOKUP(I5192,FS_input_noty,J5192,FALSE)=""</f>
        <v>0</v>
      </c>
      <c r="H5192" s="6" t="s">
        <v>2189</v>
      </c>
      <c r="I5192" t="s">
        <v>1974</v>
      </c>
      <c r="J5192">
        <v>6</v>
      </c>
      <c r="L5192" s="26" t="e">
        <f t="shared" si="296"/>
        <v>#VALUE!</v>
      </c>
    </row>
    <row r="5193" spans="1:12" x14ac:dyDescent="0.35">
      <c r="A5193">
        <f t="shared" si="297"/>
        <v>5192</v>
      </c>
      <c r="B5193" t="s">
        <v>102</v>
      </c>
      <c r="C5193" s="109" t="str">
        <f>IF(ISBLANK(K5193),IFERROR(VLOOKUP(I5193,FS_input_data!$C$458:$N$648,Export!J5193,FALSE),""),K5193)</f>
        <v/>
      </c>
      <c r="D5193" s="6"/>
      <c r="E5193" s="6"/>
      <c r="F5193" s="6"/>
      <c r="G5193" s="115" t="b">
        <f>VLOOKUP(I5192,FS_input_noty,J5192,FALSE)=""</f>
        <v>0</v>
      </c>
      <c r="H5193" s="6" t="s">
        <v>2189</v>
      </c>
      <c r="I5193" t="s">
        <v>1561</v>
      </c>
      <c r="J5193" t="s">
        <v>1561</v>
      </c>
      <c r="L5193">
        <f t="shared" si="296"/>
        <v>1</v>
      </c>
    </row>
    <row r="5194" spans="1:12" x14ac:dyDescent="0.35">
      <c r="A5194">
        <f t="shared" si="297"/>
        <v>5193</v>
      </c>
      <c r="B5194" t="s">
        <v>753</v>
      </c>
      <c r="C5194" s="109" t="str">
        <f>IF(ISBLANK(K5194),IFERROR(VLOOKUP(I5194,FS_input_data!$C$458:$N$648,Export!J5194,FALSE),""),K5194)</f>
        <v/>
      </c>
      <c r="D5194" s="6"/>
      <c r="E5194" s="6"/>
      <c r="F5194" s="6"/>
      <c r="G5194" s="115" t="b">
        <f>VLOOKUP(I5192,FS_input_noty,J5192,FALSE)=""</f>
        <v>0</v>
      </c>
      <c r="H5194" s="6" t="s">
        <v>2189</v>
      </c>
      <c r="I5194" t="s">
        <v>1561</v>
      </c>
      <c r="J5194" t="s">
        <v>1561</v>
      </c>
      <c r="L5194" s="26" t="e">
        <f t="shared" si="296"/>
        <v>#VALUE!</v>
      </c>
    </row>
    <row r="5195" spans="1:12" x14ac:dyDescent="0.35">
      <c r="A5195">
        <f t="shared" si="297"/>
        <v>5194</v>
      </c>
      <c r="B5195" t="s">
        <v>742</v>
      </c>
      <c r="C5195" s="109" t="str">
        <f>IF(ISBLANK(K5195),IFERROR(VLOOKUP(I5195,FS_input_data!$C$458:$N$648,Export!J5195,FALSE),""),K5195)</f>
        <v/>
      </c>
      <c r="D5195" s="6"/>
      <c r="E5195" s="6"/>
      <c r="F5195" s="6"/>
      <c r="G5195" s="115" t="b">
        <f>VLOOKUP(I5192,FS_input_noty,J5192,FALSE)=""</f>
        <v>0</v>
      </c>
      <c r="H5195" s="6" t="s">
        <v>2189</v>
      </c>
      <c r="I5195" t="s">
        <v>1561</v>
      </c>
      <c r="J5195" t="s">
        <v>1561</v>
      </c>
      <c r="L5195" s="26" t="e">
        <f t="shared" si="296"/>
        <v>#VALUE!</v>
      </c>
    </row>
    <row r="5196" spans="1:12" x14ac:dyDescent="0.35">
      <c r="A5196">
        <f t="shared" si="297"/>
        <v>5195</v>
      </c>
      <c r="B5196" t="s">
        <v>748</v>
      </c>
      <c r="C5196" s="109" t="str">
        <f>IF(ISBLANK(K5196),IFERROR(VLOOKUP(I5196,FS_input_data!$C$458:$N$648,Export!J5196,FALSE),""),K5196)</f>
        <v/>
      </c>
      <c r="D5196" s="6"/>
      <c r="E5196" s="6"/>
      <c r="F5196" s="6"/>
      <c r="G5196" s="115" t="b">
        <f>VLOOKUP(I5192,FS_input_noty,J5192,FALSE)=""</f>
        <v>0</v>
      </c>
      <c r="H5196" s="6" t="s">
        <v>2189</v>
      </c>
      <c r="I5196" t="s">
        <v>1561</v>
      </c>
      <c r="J5196" t="s">
        <v>1561</v>
      </c>
      <c r="L5196" s="26" t="e">
        <f t="shared" si="296"/>
        <v>#VALUE!</v>
      </c>
    </row>
    <row r="5197" spans="1:12" x14ac:dyDescent="0.35">
      <c r="A5197" s="9">
        <f t="shared" si="297"/>
        <v>5196</v>
      </c>
      <c r="B5197" t="s">
        <v>109</v>
      </c>
      <c r="C5197" s="109">
        <f>IF(ISBLANK(K5197),IFERROR(VLOOKUP(I5197,FS_input_data!$C$458:$N$648,Export!J5197,FALSE),""),K5197)</f>
        <v>38000</v>
      </c>
      <c r="D5197" s="6" t="b">
        <v>1</v>
      </c>
      <c r="E5197" s="6"/>
      <c r="F5197" s="6"/>
      <c r="G5197" s="115" t="b">
        <f>VLOOKUP(I5192,FS_input_noty,J5192,FALSE)=""</f>
        <v>0</v>
      </c>
      <c r="H5197" s="6" t="s">
        <v>2189</v>
      </c>
      <c r="I5197" t="s">
        <v>1974</v>
      </c>
      <c r="J5197">
        <v>7</v>
      </c>
      <c r="L5197" s="26" t="e">
        <f t="shared" si="296"/>
        <v>#VALUE!</v>
      </c>
    </row>
    <row r="5198" spans="1:12" x14ac:dyDescent="0.35">
      <c r="A5198">
        <f t="shared" si="297"/>
        <v>5197</v>
      </c>
      <c r="B5198" t="s">
        <v>110</v>
      </c>
      <c r="C5198" s="109" t="str">
        <f>IF(ISBLANK(K5198),IFERROR(VLOOKUP(I5198,FS_input_data!$C$458:$N$648,Export!J5198,FALSE),""),K5198)</f>
        <v/>
      </c>
      <c r="D5198" s="6"/>
      <c r="E5198" s="6"/>
      <c r="F5198" s="6"/>
      <c r="G5198" s="115" t="b">
        <f>VLOOKUP(I5192,FS_input_noty,J5192,FALSE)=""</f>
        <v>0</v>
      </c>
      <c r="H5198" s="6" t="s">
        <v>2189</v>
      </c>
      <c r="I5198" t="s">
        <v>1561</v>
      </c>
      <c r="J5198" t="s">
        <v>1561</v>
      </c>
      <c r="L5198">
        <f t="shared" si="296"/>
        <v>1</v>
      </c>
    </row>
    <row r="5199" spans="1:12" x14ac:dyDescent="0.35">
      <c r="A5199" s="9">
        <f t="shared" si="297"/>
        <v>5198</v>
      </c>
      <c r="B5199" t="s">
        <v>111</v>
      </c>
      <c r="C5199" s="109">
        <f>IF(ISBLANK(K5199),IFERROR(VLOOKUP(I5199,FS_input_data!$C$458:$N$648,Export!J5199,FALSE),""),K5199)</f>
        <v>19000</v>
      </c>
      <c r="D5199" s="6" t="b">
        <v>0</v>
      </c>
      <c r="E5199" s="6"/>
      <c r="F5199" s="6"/>
      <c r="G5199" s="115" t="b">
        <f>VLOOKUP(I5192,FS_input_noty,J5192,TRUE)=""</f>
        <v>0</v>
      </c>
      <c r="H5199" s="6" t="s">
        <v>2189</v>
      </c>
      <c r="I5199" t="s">
        <v>1974</v>
      </c>
      <c r="J5199">
        <v>8</v>
      </c>
      <c r="L5199" s="26" t="e">
        <f t="shared" si="296"/>
        <v>#VALUE!</v>
      </c>
    </row>
    <row r="5200" spans="1:12" x14ac:dyDescent="0.35">
      <c r="A5200">
        <f t="shared" si="297"/>
        <v>5199</v>
      </c>
      <c r="B5200" t="s">
        <v>112</v>
      </c>
      <c r="C5200" s="109" t="str">
        <f>IF(ISBLANK(K5200),IFERROR(VLOOKUP(I5200,FS_input_data!$C$458:$N$648,Export!J5200,FALSE),""),K5200)</f>
        <v/>
      </c>
      <c r="D5200" s="6"/>
      <c r="E5200" s="6"/>
      <c r="F5200" s="6"/>
      <c r="G5200" s="115" t="b">
        <f>VLOOKUP(I5192,FS_input_noty,J5192,FALSE)=""</f>
        <v>0</v>
      </c>
      <c r="H5200" s="6" t="s">
        <v>2189</v>
      </c>
      <c r="I5200" t="s">
        <v>1561</v>
      </c>
      <c r="J5200" t="s">
        <v>1561</v>
      </c>
      <c r="L5200">
        <f t="shared" si="296"/>
        <v>1</v>
      </c>
    </row>
    <row r="5201" spans="1:12" x14ac:dyDescent="0.35">
      <c r="A5201" s="9">
        <f t="shared" si="297"/>
        <v>5200</v>
      </c>
      <c r="B5201" t="s">
        <v>749</v>
      </c>
      <c r="C5201" s="109">
        <f>IF(ISBLANK(K5201),IFERROR(VLOOKUP(I5201,FS_input_data!$C$458:$N$648,Export!J5201,FALSE),""),K5201)</f>
        <v>19000</v>
      </c>
      <c r="D5201" s="6" t="b">
        <v>0</v>
      </c>
      <c r="E5201" s="6"/>
      <c r="F5201" s="6"/>
      <c r="G5201" s="115" t="b">
        <f>VLOOKUP(I5192,FS_input_noty,J5192,FALSE)=""</f>
        <v>0</v>
      </c>
      <c r="H5201" s="6" t="s">
        <v>2189</v>
      </c>
      <c r="I5201" t="s">
        <v>1974</v>
      </c>
      <c r="J5201">
        <v>9</v>
      </c>
      <c r="L5201" s="26" t="e">
        <f t="shared" si="296"/>
        <v>#VALUE!</v>
      </c>
    </row>
    <row r="5202" spans="1:12" x14ac:dyDescent="0.35">
      <c r="A5202">
        <f t="shared" si="297"/>
        <v>5201</v>
      </c>
      <c r="B5202" t="s">
        <v>750</v>
      </c>
      <c r="C5202" s="109" t="str">
        <f>IF(ISBLANK(K5202),IFERROR(VLOOKUP(I5202,FS_input_data!$C$458:$N$648,Export!J5202,FALSE),""),K5202)</f>
        <v/>
      </c>
      <c r="D5202" s="6"/>
      <c r="E5202" s="6"/>
      <c r="F5202" s="6"/>
      <c r="G5202" s="115" t="b">
        <f>VLOOKUP(I5192,FS_input_noty,J5192,FALSE)=""</f>
        <v>0</v>
      </c>
      <c r="H5202" s="6" t="s">
        <v>2189</v>
      </c>
      <c r="I5202" t="s">
        <v>1561</v>
      </c>
      <c r="J5202" t="s">
        <v>1561</v>
      </c>
      <c r="L5202">
        <f t="shared" si="296"/>
        <v>1</v>
      </c>
    </row>
    <row r="5203" spans="1:12" x14ac:dyDescent="0.35">
      <c r="A5203">
        <f t="shared" si="297"/>
        <v>5202</v>
      </c>
      <c r="B5203" t="s">
        <v>751</v>
      </c>
      <c r="C5203" s="109" t="str">
        <f>IF(ISBLANK(K5203),IFERROR(VLOOKUP(I5203,FS_input_data!$C$458:$N$648,Export!J5203,FALSE),""),K5203)</f>
        <v/>
      </c>
      <c r="D5203" s="6"/>
      <c r="E5203" s="6"/>
      <c r="F5203" s="6"/>
      <c r="G5203" s="115" t="b">
        <f>VLOOKUP(I5192,FS_input_noty,J5192,FALSE)=""</f>
        <v>0</v>
      </c>
      <c r="H5203" s="6" t="s">
        <v>2189</v>
      </c>
      <c r="I5203" t="s">
        <v>1561</v>
      </c>
      <c r="J5203" t="s">
        <v>1561</v>
      </c>
      <c r="L5203">
        <f t="shared" si="296"/>
        <v>1</v>
      </c>
    </row>
    <row r="5204" spans="1:12" x14ac:dyDescent="0.35">
      <c r="A5204">
        <f t="shared" si="297"/>
        <v>5203</v>
      </c>
      <c r="B5204" t="s">
        <v>754</v>
      </c>
      <c r="C5204" s="109" t="str">
        <f>IF(ISBLANK(K5204),IFERROR(VLOOKUP(I5204,FS_input_data!$C$458:$N$648,Export!J5204,FALSE),""),K5204)</f>
        <v/>
      </c>
      <c r="D5204" s="6"/>
      <c r="E5204" s="6"/>
      <c r="F5204" s="6"/>
      <c r="G5204" s="115" t="b">
        <f>VLOOKUP(I5192,FS_input_noty,J5192,FALSE)=""</f>
        <v>0</v>
      </c>
      <c r="H5204" s="6" t="s">
        <v>2189</v>
      </c>
      <c r="I5204" t="s">
        <v>1561</v>
      </c>
      <c r="J5204" t="s">
        <v>1561</v>
      </c>
      <c r="L5204" s="26" t="e">
        <f t="shared" si="296"/>
        <v>#VALUE!</v>
      </c>
    </row>
    <row r="5205" spans="1:12" x14ac:dyDescent="0.35">
      <c r="A5205" s="9">
        <f t="shared" si="297"/>
        <v>5204</v>
      </c>
      <c r="B5205" t="s">
        <v>755</v>
      </c>
      <c r="C5205" s="109">
        <f>IF(ISBLANK(K5205),IFERROR(VLOOKUP(I5205,FS_input_data!$C$458:$N$648,Export!J5205,FALSE),""),K5205)</f>
        <v>82</v>
      </c>
      <c r="D5205" s="6" t="b">
        <v>1</v>
      </c>
      <c r="E5205" s="6"/>
      <c r="F5205" s="6"/>
      <c r="G5205" s="115" t="b">
        <f>VLOOKUP(I5192,FS_input_noty,J5192,FALSE)=""</f>
        <v>0</v>
      </c>
      <c r="H5205" s="6" t="s">
        <v>2189</v>
      </c>
      <c r="I5205" t="s">
        <v>1974</v>
      </c>
      <c r="J5205">
        <v>2</v>
      </c>
      <c r="L5205" s="26" t="e">
        <f t="shared" si="296"/>
        <v>#VALUE!</v>
      </c>
    </row>
    <row r="5206" spans="1:12" x14ac:dyDescent="0.35">
      <c r="A5206">
        <f t="shared" si="297"/>
        <v>5205</v>
      </c>
      <c r="B5206" t="s">
        <v>756</v>
      </c>
      <c r="C5206" s="109" t="str">
        <f>IF(ISBLANK(K5206),IFERROR(VLOOKUP(I5206,FS_input_data!$C$458:$N$648,Export!J5206,FALSE),""),K5206)</f>
        <v/>
      </c>
      <c r="D5206" s="6"/>
      <c r="E5206" s="6"/>
      <c r="F5206" s="6"/>
      <c r="G5206" s="115" t="b">
        <f>VLOOKUP(I5192,FS_input_noty,J5192,FALSE)=""</f>
        <v>0</v>
      </c>
      <c r="H5206" s="6" t="s">
        <v>2189</v>
      </c>
      <c r="I5206" t="s">
        <v>1561</v>
      </c>
      <c r="J5206" t="s">
        <v>1561</v>
      </c>
      <c r="L5206">
        <f t="shared" si="296"/>
        <v>1</v>
      </c>
    </row>
    <row r="5207" spans="1:12" x14ac:dyDescent="0.35">
      <c r="A5207" s="9">
        <f t="shared" si="297"/>
        <v>5206</v>
      </c>
      <c r="B5207" t="s">
        <v>757</v>
      </c>
      <c r="C5207" s="109">
        <f>IF(ISBLANK(K5207),IFERROR(VLOOKUP(I5207,FS_input_data!$C$458:$N$648,Export!J5207,FALSE),""),K5207)</f>
        <v>182</v>
      </c>
      <c r="D5207" s="6" t="b">
        <v>0</v>
      </c>
      <c r="E5207" s="6"/>
      <c r="F5207" s="6"/>
      <c r="G5207" s="115" t="b">
        <f>VLOOKUP(I5192,FS_input_noty,J5192,FALSE)=""</f>
        <v>0</v>
      </c>
      <c r="H5207" s="6" t="s">
        <v>2189</v>
      </c>
      <c r="I5207" t="s">
        <v>1974</v>
      </c>
      <c r="J5207">
        <v>3</v>
      </c>
      <c r="L5207" s="26" t="e">
        <f t="shared" si="296"/>
        <v>#VALUE!</v>
      </c>
    </row>
    <row r="5208" spans="1:12" x14ac:dyDescent="0.35">
      <c r="A5208">
        <f t="shared" si="297"/>
        <v>5207</v>
      </c>
      <c r="B5208" t="s">
        <v>758</v>
      </c>
      <c r="C5208" s="109" t="str">
        <f>IF(ISBLANK(K5208),IFERROR(VLOOKUP(I5208,FS_input_data!$C$458:$N$648,Export!J5208,FALSE),""),K5208)</f>
        <v/>
      </c>
      <c r="D5208" s="6"/>
      <c r="E5208" s="6"/>
      <c r="F5208" s="6"/>
      <c r="G5208" s="115" t="b">
        <f>VLOOKUP(I5192,FS_input_noty,J5192,FALSE)=""</f>
        <v>0</v>
      </c>
      <c r="H5208" s="6" t="s">
        <v>2189</v>
      </c>
      <c r="I5208" t="s">
        <v>1561</v>
      </c>
      <c r="J5208" t="s">
        <v>1561</v>
      </c>
      <c r="L5208">
        <f t="shared" si="296"/>
        <v>1</v>
      </c>
    </row>
    <row r="5209" spans="1:12" x14ac:dyDescent="0.35">
      <c r="A5209" s="9">
        <f t="shared" si="297"/>
        <v>5208</v>
      </c>
      <c r="B5209" t="s">
        <v>759</v>
      </c>
      <c r="C5209" s="109">
        <f>IF(ISBLANK(K5209),IFERROR(VLOOKUP(I5209,FS_input_data!$C$458:$N$648,Export!J5209,FALSE),""),K5209)</f>
        <v>282</v>
      </c>
      <c r="D5209" s="6" t="b">
        <v>0</v>
      </c>
      <c r="E5209" s="6"/>
      <c r="F5209" s="6"/>
      <c r="G5209" s="115" t="b">
        <f>VLOOKUP(I5192,FS_input_noty,J5192,FALSE)=""</f>
        <v>0</v>
      </c>
      <c r="H5209" s="6" t="s">
        <v>2189</v>
      </c>
      <c r="I5209" t="s">
        <v>1974</v>
      </c>
      <c r="J5209">
        <v>4</v>
      </c>
      <c r="L5209" s="26" t="e">
        <f t="shared" si="296"/>
        <v>#VALUE!</v>
      </c>
    </row>
    <row r="5210" spans="1:12" x14ac:dyDescent="0.35">
      <c r="A5210">
        <f t="shared" si="297"/>
        <v>5209</v>
      </c>
      <c r="B5210" t="s">
        <v>760</v>
      </c>
      <c r="C5210" s="109" t="str">
        <f>IF(ISBLANK(K5210),IFERROR(VLOOKUP(I5210,FS_input_data!$C$458:$N$648,Export!J5210,FALSE),""),K5210)</f>
        <v/>
      </c>
      <c r="D5210" s="6"/>
      <c r="E5210" s="6"/>
      <c r="F5210" s="6"/>
      <c r="G5210" s="115" t="b">
        <f>VLOOKUP(I5192,FS_input_noty,J5192,FALSE)=""</f>
        <v>0</v>
      </c>
      <c r="H5210" s="6" t="s">
        <v>2189</v>
      </c>
      <c r="I5210" t="s">
        <v>1561</v>
      </c>
      <c r="J5210" t="s">
        <v>1561</v>
      </c>
      <c r="L5210">
        <f t="shared" si="296"/>
        <v>1</v>
      </c>
    </row>
    <row r="5211" spans="1:12" x14ac:dyDescent="0.35">
      <c r="A5211" s="9">
        <f t="shared" si="297"/>
        <v>5210</v>
      </c>
      <c r="B5211" t="s">
        <v>761</v>
      </c>
      <c r="C5211" s="109" t="str">
        <f>IF(ISBLANK(K5211),IFERROR(VLOOKUP(I5211,FS_input_data!$C$458:$N$648,Export!J5211,FALSE),""),K5211)</f>
        <v>f</v>
      </c>
      <c r="D5211" s="6" t="b">
        <v>0</v>
      </c>
      <c r="E5211" s="6"/>
      <c r="F5211" s="6"/>
      <c r="G5211" s="115" t="b">
        <f>VLOOKUP(I5192,FS_input_noty,J5192,FALSE)=""</f>
        <v>0</v>
      </c>
      <c r="H5211" s="6" t="s">
        <v>2189</v>
      </c>
      <c r="I5211" t="s">
        <v>1974</v>
      </c>
      <c r="J5211">
        <v>5</v>
      </c>
      <c r="L5211" s="26" t="e">
        <f t="shared" si="296"/>
        <v>#VALUE!</v>
      </c>
    </row>
    <row r="5212" spans="1:12" x14ac:dyDescent="0.35">
      <c r="A5212">
        <f t="shared" si="297"/>
        <v>5211</v>
      </c>
      <c r="B5212" t="s">
        <v>762</v>
      </c>
      <c r="C5212" s="109" t="str">
        <f>IF(ISBLANK(K5212),IFERROR(VLOOKUP(I5212,FS_input_data!$C$458:$N$648,Export!J5212,FALSE),""),K5212)</f>
        <v/>
      </c>
      <c r="D5212" s="6"/>
      <c r="E5212" s="6"/>
      <c r="F5212" s="6"/>
      <c r="G5212" s="115" t="b">
        <f>VLOOKUP(I5192,FS_input_noty,J5192,FALSE)=""</f>
        <v>0</v>
      </c>
      <c r="H5212" s="6" t="s">
        <v>2189</v>
      </c>
      <c r="I5212" t="s">
        <v>1561</v>
      </c>
      <c r="J5212" t="s">
        <v>1561</v>
      </c>
      <c r="L5212">
        <f t="shared" si="296"/>
        <v>1</v>
      </c>
    </row>
    <row r="5213" spans="1:12" x14ac:dyDescent="0.35">
      <c r="A5213">
        <f t="shared" si="297"/>
        <v>5212</v>
      </c>
      <c r="B5213" t="s">
        <v>763</v>
      </c>
      <c r="C5213" s="109" t="str">
        <f>IF(ISBLANK(K5213),IFERROR(VLOOKUP(I5213,FS_input_data!$C$458:$N$648,Export!J5213,FALSE),""),K5213)</f>
        <v/>
      </c>
      <c r="D5213" s="6"/>
      <c r="E5213" s="6"/>
      <c r="F5213" s="6"/>
      <c r="G5213" s="115" t="b">
        <f>VLOOKUP(I5192,FS_input_noty,J5192,FALSE)=""</f>
        <v>0</v>
      </c>
      <c r="H5213" s="6" t="s">
        <v>2189</v>
      </c>
      <c r="I5213" t="s">
        <v>1561</v>
      </c>
      <c r="J5213" t="s">
        <v>1561</v>
      </c>
      <c r="L5213">
        <f t="shared" si="296"/>
        <v>1</v>
      </c>
    </row>
    <row r="5214" spans="1:12" x14ac:dyDescent="0.35">
      <c r="A5214">
        <f t="shared" si="297"/>
        <v>5213</v>
      </c>
      <c r="B5214" t="s">
        <v>743</v>
      </c>
      <c r="C5214" s="109" t="str">
        <f>IF(ISBLANK(K5214),IFERROR(VLOOKUP(I5214,FS_input_data!$C$458:$N$648,Export!J5214,FALSE),""),K5214)</f>
        <v/>
      </c>
      <c r="D5214" s="6"/>
      <c r="E5214" s="6"/>
      <c r="F5214" s="6"/>
      <c r="G5214" s="115" t="b">
        <f>VLOOKUP(I5192,FS_input_noty,J5192,FALSE)=""</f>
        <v>0</v>
      </c>
      <c r="H5214" s="6" t="s">
        <v>2189</v>
      </c>
      <c r="I5214" t="s">
        <v>1561</v>
      </c>
      <c r="J5214" t="s">
        <v>1561</v>
      </c>
      <c r="L5214">
        <f t="shared" si="296"/>
        <v>1</v>
      </c>
    </row>
    <row r="5215" spans="1:12" x14ac:dyDescent="0.35">
      <c r="A5215">
        <f t="shared" si="297"/>
        <v>5214</v>
      </c>
      <c r="B5215" t="s">
        <v>744</v>
      </c>
      <c r="C5215" s="109" t="str">
        <f>IF(ISBLANK(K5215),IFERROR(VLOOKUP(I5215,FS_input_data!$C$458:$N$648,Export!J5215,FALSE),""),K5215)</f>
        <v/>
      </c>
      <c r="D5215" s="6"/>
      <c r="E5215" s="6"/>
      <c r="F5215" s="6"/>
      <c r="G5215" s="115" t="b">
        <f t="shared" ref="G5215:G5222" si="298">RP_tax</f>
        <v>1</v>
      </c>
      <c r="H5215" s="6" t="s">
        <v>2189</v>
      </c>
      <c r="I5215" t="s">
        <v>1561</v>
      </c>
      <c r="J5215" t="s">
        <v>1561</v>
      </c>
      <c r="L5215" s="26" t="e">
        <f t="shared" si="296"/>
        <v>#VALUE!</v>
      </c>
    </row>
    <row r="5216" spans="1:12" x14ac:dyDescent="0.35">
      <c r="A5216" s="9">
        <f t="shared" si="297"/>
        <v>5215</v>
      </c>
      <c r="B5216" t="s">
        <v>109</v>
      </c>
      <c r="C5216" s="109">
        <f>IF(ISBLANK(K5216),IFERROR(VLOOKUP(I5216,FS_input_data!$C$458:$N$648,Export!J5216,FALSE),""),K5216)</f>
        <v>38000</v>
      </c>
      <c r="D5216" s="6" t="b">
        <v>1</v>
      </c>
      <c r="E5216" s="6"/>
      <c r="F5216" s="6"/>
      <c r="G5216" s="115" t="b">
        <f t="shared" si="298"/>
        <v>1</v>
      </c>
      <c r="H5216" s="6" t="s">
        <v>2189</v>
      </c>
      <c r="I5216" t="s">
        <v>1974</v>
      </c>
      <c r="J5216">
        <v>10</v>
      </c>
      <c r="L5216" s="26" t="e">
        <f t="shared" si="296"/>
        <v>#VALUE!</v>
      </c>
    </row>
    <row r="5217" spans="1:12" x14ac:dyDescent="0.35">
      <c r="A5217">
        <f t="shared" si="297"/>
        <v>5216</v>
      </c>
      <c r="B5217" t="s">
        <v>110</v>
      </c>
      <c r="C5217" s="109" t="str">
        <f>IF(ISBLANK(K5217),IFERROR(VLOOKUP(I5217,FS_input_data!$C$458:$N$648,Export!J5217,FALSE),""),K5217)</f>
        <v/>
      </c>
      <c r="D5217" s="6"/>
      <c r="E5217" s="6"/>
      <c r="F5217" s="6"/>
      <c r="G5217" s="115" t="b">
        <f t="shared" si="298"/>
        <v>1</v>
      </c>
      <c r="H5217" s="6" t="s">
        <v>2189</v>
      </c>
      <c r="I5217" t="s">
        <v>1561</v>
      </c>
      <c r="J5217" t="s">
        <v>1561</v>
      </c>
      <c r="L5217">
        <f t="shared" si="296"/>
        <v>1</v>
      </c>
    </row>
    <row r="5218" spans="1:12" x14ac:dyDescent="0.35">
      <c r="A5218" s="9">
        <f t="shared" si="297"/>
        <v>5217</v>
      </c>
      <c r="B5218" t="s">
        <v>111</v>
      </c>
      <c r="C5218" s="109">
        <f>IF(ISBLANK(K5218),IFERROR(VLOOKUP(I5218,FS_input_data!$C$458:$N$648,Export!J5218,FALSE),""),K5218)</f>
        <v>19000</v>
      </c>
      <c r="D5218" s="6" t="b">
        <v>0</v>
      </c>
      <c r="E5218" s="6"/>
      <c r="F5218" s="6"/>
      <c r="G5218" s="115" t="b">
        <f t="shared" si="298"/>
        <v>1</v>
      </c>
      <c r="H5218" s="6" t="s">
        <v>2189</v>
      </c>
      <c r="I5218" t="s">
        <v>1974</v>
      </c>
      <c r="J5218">
        <v>11</v>
      </c>
      <c r="L5218" s="26" t="e">
        <f t="shared" si="296"/>
        <v>#VALUE!</v>
      </c>
    </row>
    <row r="5219" spans="1:12" x14ac:dyDescent="0.35">
      <c r="A5219">
        <f t="shared" si="297"/>
        <v>5218</v>
      </c>
      <c r="B5219" t="s">
        <v>112</v>
      </c>
      <c r="C5219" s="109" t="str">
        <f>IF(ISBLANK(K5219),IFERROR(VLOOKUP(I5219,FS_input_data!$C$458:$N$648,Export!J5219,FALSE),""),K5219)</f>
        <v/>
      </c>
      <c r="D5219" s="6"/>
      <c r="E5219" s="6"/>
      <c r="F5219" s="6"/>
      <c r="G5219" s="115" t="b">
        <f t="shared" si="298"/>
        <v>1</v>
      </c>
      <c r="H5219" s="6" t="s">
        <v>2189</v>
      </c>
      <c r="I5219" t="s">
        <v>1561</v>
      </c>
      <c r="J5219" t="s">
        <v>1561</v>
      </c>
      <c r="L5219">
        <f t="shared" si="296"/>
        <v>1</v>
      </c>
    </row>
    <row r="5220" spans="1:12" x14ac:dyDescent="0.35">
      <c r="A5220" s="9">
        <f t="shared" si="297"/>
        <v>5219</v>
      </c>
      <c r="B5220" t="s">
        <v>749</v>
      </c>
      <c r="C5220" s="109">
        <f>IF(ISBLANK(K5220),IFERROR(VLOOKUP(I5220,FS_input_data!$C$458:$N$648,Export!J5220,FALSE),""),K5220)</f>
        <v>19000</v>
      </c>
      <c r="D5220" s="6" t="b">
        <v>0</v>
      </c>
      <c r="E5220" s="6"/>
      <c r="F5220" s="6"/>
      <c r="G5220" s="115" t="b">
        <f t="shared" si="298"/>
        <v>1</v>
      </c>
      <c r="H5220" s="6" t="s">
        <v>2189</v>
      </c>
      <c r="I5220" t="s">
        <v>1974</v>
      </c>
      <c r="J5220">
        <v>12</v>
      </c>
      <c r="L5220" s="26" t="e">
        <f t="shared" si="296"/>
        <v>#VALUE!</v>
      </c>
    </row>
    <row r="5221" spans="1:12" x14ac:dyDescent="0.35">
      <c r="A5221">
        <f t="shared" si="297"/>
        <v>5220</v>
      </c>
      <c r="B5221" t="s">
        <v>750</v>
      </c>
      <c r="C5221" s="109" t="str">
        <f>IF(ISBLANK(K5221),IFERROR(VLOOKUP(I5221,FS_input_data!$C$458:$N$648,Export!J5221,FALSE),""),K5221)</f>
        <v/>
      </c>
      <c r="D5221" s="6"/>
      <c r="E5221" s="6"/>
      <c r="F5221" s="6"/>
      <c r="G5221" s="115" t="b">
        <f t="shared" si="298"/>
        <v>1</v>
      </c>
      <c r="H5221" s="6" t="s">
        <v>2189</v>
      </c>
      <c r="I5221" t="s">
        <v>1561</v>
      </c>
      <c r="J5221" t="s">
        <v>1561</v>
      </c>
      <c r="L5221">
        <f t="shared" si="296"/>
        <v>1</v>
      </c>
    </row>
    <row r="5222" spans="1:12" x14ac:dyDescent="0.35">
      <c r="A5222">
        <f t="shared" si="297"/>
        <v>5221</v>
      </c>
      <c r="B5222" t="s">
        <v>745</v>
      </c>
      <c r="C5222" s="109" t="str">
        <f>IF(ISBLANK(K5222),IFERROR(VLOOKUP(I5222,FS_input_data!$C$458:$N$648,Export!J5222,FALSE),""),K5222)</f>
        <v/>
      </c>
      <c r="D5222" s="6"/>
      <c r="E5222" s="6"/>
      <c r="F5222" s="6"/>
      <c r="G5222" s="115" t="b">
        <f t="shared" si="298"/>
        <v>1</v>
      </c>
      <c r="H5222" s="6" t="s">
        <v>2189</v>
      </c>
      <c r="I5222" t="s">
        <v>1561</v>
      </c>
      <c r="J5222" t="s">
        <v>1561</v>
      </c>
      <c r="L5222">
        <f t="shared" si="296"/>
        <v>1</v>
      </c>
    </row>
    <row r="5223" spans="1:12" x14ac:dyDescent="0.35">
      <c r="A5223">
        <f t="shared" si="297"/>
        <v>5222</v>
      </c>
      <c r="B5223" t="s">
        <v>764</v>
      </c>
      <c r="C5223" s="109" t="str">
        <f>IF(ISBLANK(K5223),IFERROR(VLOOKUP(I5223,FS_input_data!$C$458:$N$648,Export!J5223,FALSE),""),K5223)</f>
        <v/>
      </c>
      <c r="D5223" s="6"/>
      <c r="E5223" s="6"/>
      <c r="F5223" s="6"/>
      <c r="G5223" s="115" t="b">
        <f>VLOOKUP(I5192,FS_input_noty,J5192,FALSE)=""</f>
        <v>0</v>
      </c>
      <c r="H5223" s="6" t="s">
        <v>2189</v>
      </c>
      <c r="I5223" t="s">
        <v>1561</v>
      </c>
      <c r="J5223" t="s">
        <v>1561</v>
      </c>
      <c r="L5223">
        <f t="shared" si="296"/>
        <v>1</v>
      </c>
    </row>
    <row r="5224" spans="1:12" x14ac:dyDescent="0.35">
      <c r="A5224">
        <f t="shared" si="297"/>
        <v>5223</v>
      </c>
      <c r="B5224" t="s">
        <v>765</v>
      </c>
      <c r="C5224" s="109" t="str">
        <f>IF(ISBLANK(K5224),IFERROR(VLOOKUP(I5224,FS_input_data!$C$458:$N$648,Export!J5224,FALSE),""),K5224)</f>
        <v/>
      </c>
      <c r="D5224" s="6"/>
      <c r="E5224" s="6"/>
      <c r="F5224" s="6"/>
      <c r="G5224" s="115" t="b">
        <f>VLOOKUP(I5192,FS_input_noty,J5192,FALSE)=""</f>
        <v>0</v>
      </c>
      <c r="H5224" s="6" t="s">
        <v>2189</v>
      </c>
      <c r="I5224" t="s">
        <v>1561</v>
      </c>
      <c r="J5224" t="s">
        <v>1561</v>
      </c>
      <c r="L5224">
        <f t="shared" si="296"/>
        <v>1</v>
      </c>
    </row>
    <row r="5225" spans="1:12" x14ac:dyDescent="0.35">
      <c r="A5225">
        <f t="shared" si="297"/>
        <v>5224</v>
      </c>
      <c r="B5225" t="s">
        <v>752</v>
      </c>
      <c r="C5225" s="109" t="str">
        <f>IF(ISBLANK(K5225),IFERROR(VLOOKUP(I5225,FS_input_data!$C$458:$N$648,Export!J5225,FALSE),""),K5225)</f>
        <v/>
      </c>
      <c r="D5225" s="6"/>
      <c r="E5225" s="6"/>
      <c r="F5225" s="6"/>
      <c r="G5225" s="115" t="b">
        <f>VLOOKUP(I5226,FS_input_noty,J5226,FALSE)=""</f>
        <v>0</v>
      </c>
      <c r="H5225" s="6" t="s">
        <v>2189</v>
      </c>
      <c r="I5225" t="s">
        <v>1561</v>
      </c>
      <c r="J5225" t="s">
        <v>1561</v>
      </c>
      <c r="L5225" s="26" t="e">
        <f t="shared" si="296"/>
        <v>#VALUE!</v>
      </c>
    </row>
    <row r="5226" spans="1:12" x14ac:dyDescent="0.35">
      <c r="A5226" s="9">
        <f t="shared" si="297"/>
        <v>5225</v>
      </c>
      <c r="B5226" t="s">
        <v>101</v>
      </c>
      <c r="C5226" s="109" t="str">
        <f>IF(ISBLANK(K5226),IFERROR(VLOOKUP(I5226,FS_input_data!$C$458:$N$648,Export!J5226,FALSE),""),K5226)</f>
        <v>OC60</v>
      </c>
      <c r="D5226" s="6" t="b">
        <v>1</v>
      </c>
      <c r="E5226" s="6"/>
      <c r="F5226" s="6"/>
      <c r="G5226" s="115" t="b">
        <f>VLOOKUP(I5226,FS_input_noty,J5226,FALSE)=""</f>
        <v>0</v>
      </c>
      <c r="H5226" s="6" t="s">
        <v>2189</v>
      </c>
      <c r="I5226" t="s">
        <v>1976</v>
      </c>
      <c r="J5226">
        <v>6</v>
      </c>
      <c r="L5226" s="26" t="e">
        <f t="shared" si="296"/>
        <v>#VALUE!</v>
      </c>
    </row>
    <row r="5227" spans="1:12" x14ac:dyDescent="0.35">
      <c r="A5227">
        <f t="shared" si="297"/>
        <v>5226</v>
      </c>
      <c r="B5227" t="s">
        <v>102</v>
      </c>
      <c r="C5227" s="109" t="str">
        <f>IF(ISBLANK(K5227),IFERROR(VLOOKUP(I5227,FS_input_data!$C$458:$N$648,Export!J5227,FALSE),""),K5227)</f>
        <v/>
      </c>
      <c r="D5227" s="6"/>
      <c r="E5227" s="6"/>
      <c r="F5227" s="6"/>
      <c r="G5227" s="115" t="b">
        <f>VLOOKUP(I5226,FS_input_noty,J5226,FALSE)=""</f>
        <v>0</v>
      </c>
      <c r="H5227" s="6" t="s">
        <v>2189</v>
      </c>
      <c r="I5227" t="s">
        <v>1561</v>
      </c>
      <c r="J5227" t="s">
        <v>1561</v>
      </c>
      <c r="L5227">
        <f t="shared" si="296"/>
        <v>1</v>
      </c>
    </row>
    <row r="5228" spans="1:12" x14ac:dyDescent="0.35">
      <c r="A5228">
        <f t="shared" si="297"/>
        <v>5227</v>
      </c>
      <c r="B5228" t="s">
        <v>753</v>
      </c>
      <c r="C5228" s="109" t="str">
        <f>IF(ISBLANK(K5228),IFERROR(VLOOKUP(I5228,FS_input_data!$C$458:$N$648,Export!J5228,FALSE),""),K5228)</f>
        <v/>
      </c>
      <c r="D5228" s="6"/>
      <c r="E5228" s="6"/>
      <c r="F5228" s="6"/>
      <c r="G5228" s="115" t="b">
        <f>VLOOKUP(I5226,FS_input_noty,J5226,FALSE)=""</f>
        <v>0</v>
      </c>
      <c r="H5228" s="6" t="s">
        <v>2189</v>
      </c>
      <c r="I5228" t="s">
        <v>1561</v>
      </c>
      <c r="J5228" t="s">
        <v>1561</v>
      </c>
      <c r="L5228" s="26" t="e">
        <f t="shared" si="296"/>
        <v>#VALUE!</v>
      </c>
    </row>
    <row r="5229" spans="1:12" x14ac:dyDescent="0.35">
      <c r="A5229">
        <f t="shared" si="297"/>
        <v>5228</v>
      </c>
      <c r="B5229" t="s">
        <v>742</v>
      </c>
      <c r="C5229" s="109" t="str">
        <f>IF(ISBLANK(K5229),IFERROR(VLOOKUP(I5229,FS_input_data!$C$458:$N$648,Export!J5229,FALSE),""),K5229)</f>
        <v/>
      </c>
      <c r="D5229" s="6"/>
      <c r="E5229" s="6"/>
      <c r="F5229" s="6"/>
      <c r="G5229" s="115" t="b">
        <f>VLOOKUP(I5226,FS_input_noty,J5226,FALSE)=""</f>
        <v>0</v>
      </c>
      <c r="H5229" s="6" t="s">
        <v>2189</v>
      </c>
      <c r="I5229" t="s">
        <v>1561</v>
      </c>
      <c r="J5229" t="s">
        <v>1561</v>
      </c>
      <c r="L5229" s="26" t="e">
        <f t="shared" si="296"/>
        <v>#VALUE!</v>
      </c>
    </row>
    <row r="5230" spans="1:12" x14ac:dyDescent="0.35">
      <c r="A5230">
        <f t="shared" si="297"/>
        <v>5229</v>
      </c>
      <c r="B5230" t="s">
        <v>748</v>
      </c>
      <c r="C5230" s="109" t="str">
        <f>IF(ISBLANK(K5230),IFERROR(VLOOKUP(I5230,FS_input_data!$C$458:$N$648,Export!J5230,FALSE),""),K5230)</f>
        <v/>
      </c>
      <c r="D5230" s="6"/>
      <c r="E5230" s="6"/>
      <c r="F5230" s="6"/>
      <c r="G5230" s="115" t="b">
        <f>VLOOKUP(I5226,FS_input_noty,J5226,FALSE)=""</f>
        <v>0</v>
      </c>
      <c r="H5230" s="6" t="s">
        <v>2189</v>
      </c>
      <c r="I5230" t="s">
        <v>1561</v>
      </c>
      <c r="J5230" t="s">
        <v>1561</v>
      </c>
      <c r="L5230" s="26" t="e">
        <f t="shared" si="296"/>
        <v>#VALUE!</v>
      </c>
    </row>
    <row r="5231" spans="1:12" x14ac:dyDescent="0.35">
      <c r="A5231" s="9">
        <f t="shared" si="297"/>
        <v>5230</v>
      </c>
      <c r="B5231" t="s">
        <v>109</v>
      </c>
      <c r="C5231" s="109">
        <f>IF(ISBLANK(K5231),IFERROR(VLOOKUP(I5231,FS_input_data!$C$458:$N$648,Export!J5231,FALSE),""),K5231)</f>
        <v>39000</v>
      </c>
      <c r="D5231" s="6" t="b">
        <v>1</v>
      </c>
      <c r="E5231" s="6"/>
      <c r="F5231" s="6"/>
      <c r="G5231" s="115" t="b">
        <f>VLOOKUP(I5226,FS_input_noty,J5226,FALSE)=""</f>
        <v>0</v>
      </c>
      <c r="H5231" s="6" t="s">
        <v>2189</v>
      </c>
      <c r="I5231" t="s">
        <v>1976</v>
      </c>
      <c r="J5231">
        <v>7</v>
      </c>
      <c r="L5231" s="26" t="e">
        <f t="shared" si="296"/>
        <v>#VALUE!</v>
      </c>
    </row>
    <row r="5232" spans="1:12" x14ac:dyDescent="0.35">
      <c r="A5232">
        <f t="shared" si="297"/>
        <v>5231</v>
      </c>
      <c r="B5232" t="s">
        <v>110</v>
      </c>
      <c r="C5232" s="109" t="str">
        <f>IF(ISBLANK(K5232),IFERROR(VLOOKUP(I5232,FS_input_data!$C$458:$N$648,Export!J5232,FALSE),""),K5232)</f>
        <v/>
      </c>
      <c r="D5232" s="6"/>
      <c r="E5232" s="6"/>
      <c r="F5232" s="6"/>
      <c r="G5232" s="115" t="b">
        <f>VLOOKUP(I5226,FS_input_noty,J5226,FALSE)=""</f>
        <v>0</v>
      </c>
      <c r="H5232" s="6" t="s">
        <v>2189</v>
      </c>
      <c r="I5232" t="s">
        <v>1561</v>
      </c>
      <c r="J5232" t="s">
        <v>1561</v>
      </c>
      <c r="L5232">
        <f t="shared" si="296"/>
        <v>1</v>
      </c>
    </row>
    <row r="5233" spans="1:12" x14ac:dyDescent="0.35">
      <c r="A5233" s="9">
        <f t="shared" si="297"/>
        <v>5232</v>
      </c>
      <c r="B5233" t="s">
        <v>111</v>
      </c>
      <c r="C5233" s="109">
        <f>IF(ISBLANK(K5233),IFERROR(VLOOKUP(I5233,FS_input_data!$C$458:$N$648,Export!J5233,FALSE),""),K5233)</f>
        <v>19500</v>
      </c>
      <c r="D5233" s="6" t="b">
        <v>0</v>
      </c>
      <c r="E5233" s="6"/>
      <c r="F5233" s="6"/>
      <c r="G5233" s="115" t="b">
        <f>VLOOKUP(I5226,FS_input_noty,J5226,TRUE)=""</f>
        <v>0</v>
      </c>
      <c r="H5233" s="6" t="s">
        <v>2189</v>
      </c>
      <c r="I5233" t="s">
        <v>1976</v>
      </c>
      <c r="J5233">
        <v>8</v>
      </c>
      <c r="L5233" s="26" t="e">
        <f t="shared" si="296"/>
        <v>#VALUE!</v>
      </c>
    </row>
    <row r="5234" spans="1:12" x14ac:dyDescent="0.35">
      <c r="A5234">
        <f t="shared" si="297"/>
        <v>5233</v>
      </c>
      <c r="B5234" t="s">
        <v>112</v>
      </c>
      <c r="C5234" s="109" t="str">
        <f>IF(ISBLANK(K5234),IFERROR(VLOOKUP(I5234,FS_input_data!$C$458:$N$648,Export!J5234,FALSE),""),K5234)</f>
        <v/>
      </c>
      <c r="D5234" s="6"/>
      <c r="E5234" s="6"/>
      <c r="F5234" s="6"/>
      <c r="G5234" s="115" t="b">
        <f>VLOOKUP(I5226,FS_input_noty,J5226,FALSE)=""</f>
        <v>0</v>
      </c>
      <c r="H5234" s="6" t="s">
        <v>2189</v>
      </c>
      <c r="I5234" t="s">
        <v>1561</v>
      </c>
      <c r="J5234" t="s">
        <v>1561</v>
      </c>
      <c r="L5234">
        <f t="shared" si="296"/>
        <v>1</v>
      </c>
    </row>
    <row r="5235" spans="1:12" x14ac:dyDescent="0.35">
      <c r="A5235" s="9">
        <f t="shared" si="297"/>
        <v>5234</v>
      </c>
      <c r="B5235" t="s">
        <v>749</v>
      </c>
      <c r="C5235" s="109">
        <f>IF(ISBLANK(K5235),IFERROR(VLOOKUP(I5235,FS_input_data!$C$458:$N$648,Export!J5235,FALSE),""),K5235)</f>
        <v>19500</v>
      </c>
      <c r="D5235" s="6" t="b">
        <v>0</v>
      </c>
      <c r="E5235" s="6"/>
      <c r="F5235" s="6"/>
      <c r="G5235" s="115" t="b">
        <f>VLOOKUP(I5226,FS_input_noty,J5226,FALSE)=""</f>
        <v>0</v>
      </c>
      <c r="H5235" s="6" t="s">
        <v>2189</v>
      </c>
      <c r="I5235" t="s">
        <v>1976</v>
      </c>
      <c r="J5235">
        <v>9</v>
      </c>
      <c r="L5235" s="26" t="e">
        <f t="shared" si="296"/>
        <v>#VALUE!</v>
      </c>
    </row>
    <row r="5236" spans="1:12" x14ac:dyDescent="0.35">
      <c r="A5236">
        <f t="shared" si="297"/>
        <v>5235</v>
      </c>
      <c r="B5236" t="s">
        <v>750</v>
      </c>
      <c r="C5236" s="109" t="str">
        <f>IF(ISBLANK(K5236),IFERROR(VLOOKUP(I5236,FS_input_data!$C$458:$N$648,Export!J5236,FALSE),""),K5236)</f>
        <v/>
      </c>
      <c r="D5236" s="6"/>
      <c r="E5236" s="6"/>
      <c r="F5236" s="6"/>
      <c r="G5236" s="115" t="b">
        <f>VLOOKUP(I5226,FS_input_noty,J5226,FALSE)=""</f>
        <v>0</v>
      </c>
      <c r="H5236" s="6" t="s">
        <v>2189</v>
      </c>
      <c r="I5236" t="s">
        <v>1561</v>
      </c>
      <c r="J5236" t="s">
        <v>1561</v>
      </c>
      <c r="L5236">
        <f t="shared" si="296"/>
        <v>1</v>
      </c>
    </row>
    <row r="5237" spans="1:12" x14ac:dyDescent="0.35">
      <c r="A5237">
        <f t="shared" si="297"/>
        <v>5236</v>
      </c>
      <c r="B5237" t="s">
        <v>751</v>
      </c>
      <c r="C5237" s="109" t="str">
        <f>IF(ISBLANK(K5237),IFERROR(VLOOKUP(I5237,FS_input_data!$C$458:$N$648,Export!J5237,FALSE),""),K5237)</f>
        <v/>
      </c>
      <c r="D5237" s="6"/>
      <c r="E5237" s="6"/>
      <c r="F5237" s="6"/>
      <c r="G5237" s="115" t="b">
        <f>VLOOKUP(I5226,FS_input_noty,J5226,FALSE)=""</f>
        <v>0</v>
      </c>
      <c r="H5237" s="6" t="s">
        <v>2189</v>
      </c>
      <c r="I5237" t="s">
        <v>1561</v>
      </c>
      <c r="J5237" t="s">
        <v>1561</v>
      </c>
      <c r="L5237">
        <f t="shared" si="296"/>
        <v>1</v>
      </c>
    </row>
    <row r="5238" spans="1:12" x14ac:dyDescent="0.35">
      <c r="A5238">
        <f t="shared" si="297"/>
        <v>5237</v>
      </c>
      <c r="B5238" t="s">
        <v>754</v>
      </c>
      <c r="C5238" s="109" t="str">
        <f>IF(ISBLANK(K5238),IFERROR(VLOOKUP(I5238,FS_input_data!$C$458:$N$648,Export!J5238,FALSE),""),K5238)</f>
        <v/>
      </c>
      <c r="D5238" s="6"/>
      <c r="E5238" s="6"/>
      <c r="F5238" s="6"/>
      <c r="G5238" s="115" t="b">
        <f>VLOOKUP(I5226,FS_input_noty,J5226,FALSE)=""</f>
        <v>0</v>
      </c>
      <c r="H5238" s="6" t="s">
        <v>2189</v>
      </c>
      <c r="I5238" t="s">
        <v>1561</v>
      </c>
      <c r="J5238" t="s">
        <v>1561</v>
      </c>
      <c r="L5238" s="26" t="e">
        <f t="shared" si="296"/>
        <v>#VALUE!</v>
      </c>
    </row>
    <row r="5239" spans="1:12" x14ac:dyDescent="0.35">
      <c r="A5239" s="9">
        <f t="shared" si="297"/>
        <v>5238</v>
      </c>
      <c r="B5239" t="s">
        <v>755</v>
      </c>
      <c r="C5239" s="109">
        <f>IF(ISBLANK(K5239),IFERROR(VLOOKUP(I5239,FS_input_data!$C$458:$N$648,Export!J5239,FALSE),""),K5239)</f>
        <v>83</v>
      </c>
      <c r="D5239" s="6" t="b">
        <v>1</v>
      </c>
      <c r="E5239" s="6"/>
      <c r="F5239" s="6"/>
      <c r="G5239" s="115" t="b">
        <f>VLOOKUP(I5226,FS_input_noty,J5226,FALSE)=""</f>
        <v>0</v>
      </c>
      <c r="H5239" s="6" t="s">
        <v>2189</v>
      </c>
      <c r="I5239" t="s">
        <v>1976</v>
      </c>
      <c r="J5239">
        <v>2</v>
      </c>
      <c r="L5239" s="26" t="e">
        <f t="shared" si="296"/>
        <v>#VALUE!</v>
      </c>
    </row>
    <row r="5240" spans="1:12" x14ac:dyDescent="0.35">
      <c r="A5240">
        <f t="shared" si="297"/>
        <v>5239</v>
      </c>
      <c r="B5240" t="s">
        <v>756</v>
      </c>
      <c r="C5240" s="109" t="str">
        <f>IF(ISBLANK(K5240),IFERROR(VLOOKUP(I5240,FS_input_data!$C$458:$N$648,Export!J5240,FALSE),""),K5240)</f>
        <v/>
      </c>
      <c r="D5240" s="6"/>
      <c r="E5240" s="6"/>
      <c r="F5240" s="6"/>
      <c r="G5240" s="115" t="b">
        <f>VLOOKUP(I5226,FS_input_noty,J5226,FALSE)=""</f>
        <v>0</v>
      </c>
      <c r="H5240" s="6" t="s">
        <v>2189</v>
      </c>
      <c r="I5240" t="s">
        <v>1561</v>
      </c>
      <c r="J5240" t="s">
        <v>1561</v>
      </c>
      <c r="L5240">
        <f t="shared" si="296"/>
        <v>1</v>
      </c>
    </row>
    <row r="5241" spans="1:12" x14ac:dyDescent="0.35">
      <c r="A5241" s="9">
        <f t="shared" si="297"/>
        <v>5240</v>
      </c>
      <c r="B5241" t="s">
        <v>757</v>
      </c>
      <c r="C5241" s="109">
        <f>IF(ISBLANK(K5241),IFERROR(VLOOKUP(I5241,FS_input_data!$C$458:$N$648,Export!J5241,FALSE),""),K5241)</f>
        <v>183</v>
      </c>
      <c r="D5241" s="6" t="b">
        <v>0</v>
      </c>
      <c r="E5241" s="6"/>
      <c r="F5241" s="6"/>
      <c r="G5241" s="115" t="b">
        <f>VLOOKUP(I5226,FS_input_noty,J5226,FALSE)=""</f>
        <v>0</v>
      </c>
      <c r="H5241" s="6" t="s">
        <v>2189</v>
      </c>
      <c r="I5241" t="s">
        <v>1976</v>
      </c>
      <c r="J5241">
        <v>3</v>
      </c>
      <c r="L5241" s="26" t="e">
        <f t="shared" si="296"/>
        <v>#VALUE!</v>
      </c>
    </row>
    <row r="5242" spans="1:12" x14ac:dyDescent="0.35">
      <c r="A5242">
        <f t="shared" si="297"/>
        <v>5241</v>
      </c>
      <c r="B5242" t="s">
        <v>758</v>
      </c>
      <c r="C5242" s="109" t="str">
        <f>IF(ISBLANK(K5242),IFERROR(VLOOKUP(I5242,FS_input_data!$C$458:$N$648,Export!J5242,FALSE),""),K5242)</f>
        <v/>
      </c>
      <c r="D5242" s="6"/>
      <c r="E5242" s="6"/>
      <c r="F5242" s="6"/>
      <c r="G5242" s="115" t="b">
        <f>VLOOKUP(I5226,FS_input_noty,J5226,FALSE)=""</f>
        <v>0</v>
      </c>
      <c r="H5242" s="6" t="s">
        <v>2189</v>
      </c>
      <c r="I5242" t="s">
        <v>1561</v>
      </c>
      <c r="J5242" t="s">
        <v>1561</v>
      </c>
      <c r="L5242">
        <f t="shared" si="296"/>
        <v>1</v>
      </c>
    </row>
    <row r="5243" spans="1:12" x14ac:dyDescent="0.35">
      <c r="A5243" s="9">
        <f t="shared" si="297"/>
        <v>5242</v>
      </c>
      <c r="B5243" t="s">
        <v>759</v>
      </c>
      <c r="C5243" s="109">
        <f>IF(ISBLANK(K5243),IFERROR(VLOOKUP(I5243,FS_input_data!$C$458:$N$648,Export!J5243,FALSE),""),K5243)</f>
        <v>283</v>
      </c>
      <c r="D5243" s="6" t="b">
        <v>0</v>
      </c>
      <c r="E5243" s="6"/>
      <c r="F5243" s="6"/>
      <c r="G5243" s="115" t="b">
        <f>VLOOKUP(I5226,FS_input_noty,J5226,FALSE)=""</f>
        <v>0</v>
      </c>
      <c r="H5243" s="6" t="s">
        <v>2189</v>
      </c>
      <c r="I5243" t="s">
        <v>1976</v>
      </c>
      <c r="J5243">
        <v>4</v>
      </c>
      <c r="L5243" s="26" t="e">
        <f t="shared" si="296"/>
        <v>#VALUE!</v>
      </c>
    </row>
    <row r="5244" spans="1:12" x14ac:dyDescent="0.35">
      <c r="A5244">
        <f t="shared" si="297"/>
        <v>5243</v>
      </c>
      <c r="B5244" t="s">
        <v>760</v>
      </c>
      <c r="C5244" s="109" t="str">
        <f>IF(ISBLANK(K5244),IFERROR(VLOOKUP(I5244,FS_input_data!$C$458:$N$648,Export!J5244,FALSE),""),K5244)</f>
        <v/>
      </c>
      <c r="D5244" s="6"/>
      <c r="E5244" s="6"/>
      <c r="F5244" s="6"/>
      <c r="G5244" s="115" t="b">
        <f>VLOOKUP(I5226,FS_input_noty,J5226,FALSE)=""</f>
        <v>0</v>
      </c>
      <c r="H5244" s="6" t="s">
        <v>2189</v>
      </c>
      <c r="I5244" t="s">
        <v>1561</v>
      </c>
      <c r="J5244" t="s">
        <v>1561</v>
      </c>
      <c r="L5244">
        <f t="shared" si="296"/>
        <v>1</v>
      </c>
    </row>
    <row r="5245" spans="1:12" x14ac:dyDescent="0.35">
      <c r="A5245" s="9">
        <f t="shared" si="297"/>
        <v>5244</v>
      </c>
      <c r="B5245" t="s">
        <v>761</v>
      </c>
      <c r="C5245" s="109" t="str">
        <f>IF(ISBLANK(K5245),IFERROR(VLOOKUP(I5245,FS_input_data!$C$458:$N$648,Export!J5245,FALSE),""),K5245)</f>
        <v>g</v>
      </c>
      <c r="D5245" s="6" t="b">
        <v>0</v>
      </c>
      <c r="E5245" s="6"/>
      <c r="F5245" s="6"/>
      <c r="G5245" s="115" t="b">
        <f>VLOOKUP(I5226,FS_input_noty,J5226,FALSE)=""</f>
        <v>0</v>
      </c>
      <c r="H5245" s="6" t="s">
        <v>2189</v>
      </c>
      <c r="I5245" t="s">
        <v>1976</v>
      </c>
      <c r="J5245">
        <v>5</v>
      </c>
      <c r="L5245" s="26" t="e">
        <f t="shared" si="296"/>
        <v>#VALUE!</v>
      </c>
    </row>
    <row r="5246" spans="1:12" x14ac:dyDescent="0.35">
      <c r="A5246">
        <f t="shared" si="297"/>
        <v>5245</v>
      </c>
      <c r="B5246" t="s">
        <v>762</v>
      </c>
      <c r="C5246" s="109" t="str">
        <f>IF(ISBLANK(K5246),IFERROR(VLOOKUP(I5246,FS_input_data!$C$458:$N$648,Export!J5246,FALSE),""),K5246)</f>
        <v/>
      </c>
      <c r="D5246" s="6"/>
      <c r="E5246" s="6"/>
      <c r="F5246" s="6"/>
      <c r="G5246" s="115" t="b">
        <f>VLOOKUP(I5226,FS_input_noty,J5226,FALSE)=""</f>
        <v>0</v>
      </c>
      <c r="H5246" s="6" t="s">
        <v>2189</v>
      </c>
      <c r="I5246" t="s">
        <v>1561</v>
      </c>
      <c r="J5246" t="s">
        <v>1561</v>
      </c>
      <c r="L5246">
        <f t="shared" si="296"/>
        <v>1</v>
      </c>
    </row>
    <row r="5247" spans="1:12" x14ac:dyDescent="0.35">
      <c r="A5247">
        <f t="shared" si="297"/>
        <v>5246</v>
      </c>
      <c r="B5247" t="s">
        <v>763</v>
      </c>
      <c r="C5247" s="109" t="str">
        <f>IF(ISBLANK(K5247),IFERROR(VLOOKUP(I5247,FS_input_data!$C$458:$N$648,Export!J5247,FALSE),""),K5247)</f>
        <v/>
      </c>
      <c r="D5247" s="6"/>
      <c r="E5247" s="6"/>
      <c r="F5247" s="6"/>
      <c r="G5247" s="115" t="b">
        <f>VLOOKUP(I5226,FS_input_noty,J5226,FALSE)=""</f>
        <v>0</v>
      </c>
      <c r="H5247" s="6" t="s">
        <v>2189</v>
      </c>
      <c r="I5247" t="s">
        <v>1561</v>
      </c>
      <c r="J5247" t="s">
        <v>1561</v>
      </c>
      <c r="L5247">
        <f t="shared" si="296"/>
        <v>1</v>
      </c>
    </row>
    <row r="5248" spans="1:12" x14ac:dyDescent="0.35">
      <c r="A5248">
        <f t="shared" si="297"/>
        <v>5247</v>
      </c>
      <c r="B5248" t="s">
        <v>743</v>
      </c>
      <c r="C5248" s="109" t="str">
        <f>IF(ISBLANK(K5248),IFERROR(VLOOKUP(I5248,FS_input_data!$C$458:$N$648,Export!J5248,FALSE),""),K5248)</f>
        <v/>
      </c>
      <c r="D5248" s="6"/>
      <c r="E5248" s="6"/>
      <c r="F5248" s="6"/>
      <c r="G5248" s="115" t="b">
        <f>VLOOKUP(I5226,FS_input_noty,J5226,FALSE)=""</f>
        <v>0</v>
      </c>
      <c r="H5248" s="6" t="s">
        <v>2189</v>
      </c>
      <c r="I5248" t="s">
        <v>1561</v>
      </c>
      <c r="J5248" t="s">
        <v>1561</v>
      </c>
      <c r="L5248">
        <f t="shared" si="296"/>
        <v>1</v>
      </c>
    </row>
    <row r="5249" spans="1:12" x14ac:dyDescent="0.35">
      <c r="A5249">
        <f t="shared" si="297"/>
        <v>5248</v>
      </c>
      <c r="B5249" t="s">
        <v>744</v>
      </c>
      <c r="C5249" s="109" t="str">
        <f>IF(ISBLANK(K5249),IFERROR(VLOOKUP(I5249,FS_input_data!$C$458:$N$648,Export!J5249,FALSE),""),K5249)</f>
        <v/>
      </c>
      <c r="D5249" s="6"/>
      <c r="E5249" s="6"/>
      <c r="F5249" s="6"/>
      <c r="G5249" s="115" t="b">
        <f t="shared" ref="G5249:G5256" si="299">RP_tax</f>
        <v>1</v>
      </c>
      <c r="H5249" s="6" t="s">
        <v>2189</v>
      </c>
      <c r="I5249" t="s">
        <v>1561</v>
      </c>
      <c r="J5249" t="s">
        <v>1561</v>
      </c>
      <c r="L5249" s="26" t="e">
        <f t="shared" si="296"/>
        <v>#VALUE!</v>
      </c>
    </row>
    <row r="5250" spans="1:12" x14ac:dyDescent="0.35">
      <c r="A5250" s="9">
        <f t="shared" si="297"/>
        <v>5249</v>
      </c>
      <c r="B5250" t="s">
        <v>109</v>
      </c>
      <c r="C5250" s="109">
        <f>IF(ISBLANK(K5250),IFERROR(VLOOKUP(I5250,FS_input_data!$C$458:$N$648,Export!J5250,FALSE),""),K5250)</f>
        <v>39000</v>
      </c>
      <c r="D5250" s="6" t="b">
        <v>1</v>
      </c>
      <c r="E5250" s="6"/>
      <c r="F5250" s="6"/>
      <c r="G5250" s="115" t="b">
        <f t="shared" si="299"/>
        <v>1</v>
      </c>
      <c r="H5250" s="6" t="s">
        <v>2189</v>
      </c>
      <c r="I5250" t="s">
        <v>1976</v>
      </c>
      <c r="J5250">
        <v>10</v>
      </c>
      <c r="L5250" s="26" t="e">
        <f t="shared" ref="L5250:L5313" si="300">FIND("/",B5250)</f>
        <v>#VALUE!</v>
      </c>
    </row>
    <row r="5251" spans="1:12" x14ac:dyDescent="0.35">
      <c r="A5251">
        <f t="shared" ref="A5251:A5314" si="301">A5250+1</f>
        <v>5250</v>
      </c>
      <c r="B5251" t="s">
        <v>110</v>
      </c>
      <c r="C5251" s="109" t="str">
        <f>IF(ISBLANK(K5251),IFERROR(VLOOKUP(I5251,FS_input_data!$C$458:$N$648,Export!J5251,FALSE),""),K5251)</f>
        <v/>
      </c>
      <c r="D5251" s="6"/>
      <c r="E5251" s="6"/>
      <c r="F5251" s="6"/>
      <c r="G5251" s="115" t="b">
        <f t="shared" si="299"/>
        <v>1</v>
      </c>
      <c r="H5251" s="6" t="s">
        <v>2189</v>
      </c>
      <c r="I5251" t="s">
        <v>1561</v>
      </c>
      <c r="J5251" t="s">
        <v>1561</v>
      </c>
      <c r="L5251">
        <f t="shared" si="300"/>
        <v>1</v>
      </c>
    </row>
    <row r="5252" spans="1:12" x14ac:dyDescent="0.35">
      <c r="A5252" s="9">
        <f t="shared" si="301"/>
        <v>5251</v>
      </c>
      <c r="B5252" t="s">
        <v>111</v>
      </c>
      <c r="C5252" s="109">
        <f>IF(ISBLANK(K5252),IFERROR(VLOOKUP(I5252,FS_input_data!$C$458:$N$648,Export!J5252,FALSE),""),K5252)</f>
        <v>19500</v>
      </c>
      <c r="D5252" s="6" t="b">
        <v>0</v>
      </c>
      <c r="E5252" s="6"/>
      <c r="F5252" s="6"/>
      <c r="G5252" s="115" t="b">
        <f t="shared" si="299"/>
        <v>1</v>
      </c>
      <c r="H5252" s="6" t="s">
        <v>2189</v>
      </c>
      <c r="I5252" t="s">
        <v>1976</v>
      </c>
      <c r="J5252">
        <v>11</v>
      </c>
      <c r="L5252" s="26" t="e">
        <f t="shared" si="300"/>
        <v>#VALUE!</v>
      </c>
    </row>
    <row r="5253" spans="1:12" x14ac:dyDescent="0.35">
      <c r="A5253">
        <f t="shared" si="301"/>
        <v>5252</v>
      </c>
      <c r="B5253" t="s">
        <v>112</v>
      </c>
      <c r="C5253" s="109" t="str">
        <f>IF(ISBLANK(K5253),IFERROR(VLOOKUP(I5253,FS_input_data!$C$458:$N$648,Export!J5253,FALSE),""),K5253)</f>
        <v/>
      </c>
      <c r="D5253" s="6"/>
      <c r="E5253" s="6"/>
      <c r="F5253" s="6"/>
      <c r="G5253" s="115" t="b">
        <f t="shared" si="299"/>
        <v>1</v>
      </c>
      <c r="H5253" s="6" t="s">
        <v>2189</v>
      </c>
      <c r="I5253" t="s">
        <v>1561</v>
      </c>
      <c r="J5253" t="s">
        <v>1561</v>
      </c>
      <c r="L5253">
        <f t="shared" si="300"/>
        <v>1</v>
      </c>
    </row>
    <row r="5254" spans="1:12" x14ac:dyDescent="0.35">
      <c r="A5254" s="9">
        <f t="shared" si="301"/>
        <v>5253</v>
      </c>
      <c r="B5254" t="s">
        <v>749</v>
      </c>
      <c r="C5254" s="109">
        <f>IF(ISBLANK(K5254),IFERROR(VLOOKUP(I5254,FS_input_data!$C$458:$N$648,Export!J5254,FALSE),""),K5254)</f>
        <v>19500</v>
      </c>
      <c r="D5254" s="6" t="b">
        <v>0</v>
      </c>
      <c r="E5254" s="6"/>
      <c r="F5254" s="6"/>
      <c r="G5254" s="115" t="b">
        <f t="shared" si="299"/>
        <v>1</v>
      </c>
      <c r="H5254" s="6" t="s">
        <v>2189</v>
      </c>
      <c r="I5254" t="s">
        <v>1976</v>
      </c>
      <c r="J5254">
        <v>12</v>
      </c>
      <c r="L5254" s="26" t="e">
        <f t="shared" si="300"/>
        <v>#VALUE!</v>
      </c>
    </row>
    <row r="5255" spans="1:12" x14ac:dyDescent="0.35">
      <c r="A5255">
        <f t="shared" si="301"/>
        <v>5254</v>
      </c>
      <c r="B5255" t="s">
        <v>750</v>
      </c>
      <c r="C5255" s="109" t="str">
        <f>IF(ISBLANK(K5255),IFERROR(VLOOKUP(I5255,FS_input_data!$C$458:$N$648,Export!J5255,FALSE),""),K5255)</f>
        <v/>
      </c>
      <c r="D5255" s="6"/>
      <c r="E5255" s="6"/>
      <c r="F5255" s="6"/>
      <c r="G5255" s="115" t="b">
        <f t="shared" si="299"/>
        <v>1</v>
      </c>
      <c r="H5255" s="6" t="s">
        <v>2189</v>
      </c>
      <c r="I5255" t="s">
        <v>1561</v>
      </c>
      <c r="J5255" t="s">
        <v>1561</v>
      </c>
      <c r="L5255">
        <f t="shared" si="300"/>
        <v>1</v>
      </c>
    </row>
    <row r="5256" spans="1:12" x14ac:dyDescent="0.35">
      <c r="A5256">
        <f t="shared" si="301"/>
        <v>5255</v>
      </c>
      <c r="B5256" t="s">
        <v>745</v>
      </c>
      <c r="C5256" s="109" t="str">
        <f>IF(ISBLANK(K5256),IFERROR(VLOOKUP(I5256,FS_input_data!$C$458:$N$648,Export!J5256,FALSE),""),K5256)</f>
        <v/>
      </c>
      <c r="D5256" s="6"/>
      <c r="E5256" s="6"/>
      <c r="F5256" s="6"/>
      <c r="G5256" s="115" t="b">
        <f t="shared" si="299"/>
        <v>1</v>
      </c>
      <c r="H5256" s="6" t="s">
        <v>2189</v>
      </c>
      <c r="I5256" t="s">
        <v>1561</v>
      </c>
      <c r="J5256" t="s">
        <v>1561</v>
      </c>
      <c r="L5256">
        <f t="shared" si="300"/>
        <v>1</v>
      </c>
    </row>
    <row r="5257" spans="1:12" x14ac:dyDescent="0.35">
      <c r="A5257">
        <f t="shared" si="301"/>
        <v>5256</v>
      </c>
      <c r="B5257" t="s">
        <v>764</v>
      </c>
      <c r="C5257" s="109" t="str">
        <f>IF(ISBLANK(K5257),IFERROR(VLOOKUP(I5257,FS_input_data!$C$458:$N$648,Export!J5257,FALSE),""),K5257)</f>
        <v/>
      </c>
      <c r="D5257" s="6"/>
      <c r="E5257" s="6"/>
      <c r="F5257" s="6"/>
      <c r="G5257" s="115" t="b">
        <f>VLOOKUP(I5226,FS_input_noty,J5226,FALSE)=""</f>
        <v>0</v>
      </c>
      <c r="H5257" s="6" t="s">
        <v>2189</v>
      </c>
      <c r="I5257" t="s">
        <v>1561</v>
      </c>
      <c r="J5257" t="s">
        <v>1561</v>
      </c>
      <c r="L5257">
        <f t="shared" si="300"/>
        <v>1</v>
      </c>
    </row>
    <row r="5258" spans="1:12" x14ac:dyDescent="0.35">
      <c r="A5258">
        <f t="shared" si="301"/>
        <v>5257</v>
      </c>
      <c r="B5258" t="s">
        <v>765</v>
      </c>
      <c r="C5258" s="109" t="str">
        <f>IF(ISBLANK(K5258),IFERROR(VLOOKUP(I5258,FS_input_data!$C$458:$N$648,Export!J5258,FALSE),""),K5258)</f>
        <v/>
      </c>
      <c r="D5258" s="6"/>
      <c r="E5258" s="6"/>
      <c r="F5258" s="6"/>
      <c r="G5258" s="115" t="b">
        <f>VLOOKUP(I5226,FS_input_noty,J5226,FALSE)=""</f>
        <v>0</v>
      </c>
      <c r="H5258" s="6" t="s">
        <v>2189</v>
      </c>
      <c r="I5258" t="s">
        <v>1561</v>
      </c>
      <c r="J5258" t="s">
        <v>1561</v>
      </c>
      <c r="L5258">
        <f t="shared" si="300"/>
        <v>1</v>
      </c>
    </row>
    <row r="5259" spans="1:12" x14ac:dyDescent="0.35">
      <c r="A5259">
        <f t="shared" si="301"/>
        <v>5258</v>
      </c>
      <c r="B5259" t="s">
        <v>752</v>
      </c>
      <c r="C5259" s="109" t="str">
        <f>IF(ISBLANK(K5259),IFERROR(VLOOKUP(I5259,FS_input_data!$C$458:$N$648,Export!J5259,FALSE),""),K5259)</f>
        <v/>
      </c>
      <c r="D5259" s="6"/>
      <c r="E5259" s="6"/>
      <c r="F5259" s="6"/>
      <c r="G5259" s="115" t="b">
        <f>VLOOKUP(I5260,FS_input_noty,J5260,FALSE)=""</f>
        <v>0</v>
      </c>
      <c r="H5259" s="6" t="s">
        <v>2189</v>
      </c>
      <c r="I5259" t="s">
        <v>1561</v>
      </c>
      <c r="J5259" t="s">
        <v>1561</v>
      </c>
      <c r="L5259" s="26" t="e">
        <f t="shared" si="300"/>
        <v>#VALUE!</v>
      </c>
    </row>
    <row r="5260" spans="1:12" x14ac:dyDescent="0.35">
      <c r="A5260" s="9">
        <f t="shared" si="301"/>
        <v>5259</v>
      </c>
      <c r="B5260" t="s">
        <v>101</v>
      </c>
      <c r="C5260" s="109" t="str">
        <f>IF(ISBLANK(K5260),IFERROR(VLOOKUP(I5260,FS_input_data!$C$458:$N$648,Export!J5260,FALSE),""),K5260)</f>
        <v>OC61</v>
      </c>
      <c r="D5260" s="6" t="b">
        <v>1</v>
      </c>
      <c r="E5260" s="6"/>
      <c r="F5260" s="6"/>
      <c r="G5260" s="115" t="b">
        <f>VLOOKUP(I5260,FS_input_noty,J5260,FALSE)=""</f>
        <v>0</v>
      </c>
      <c r="H5260" s="6" t="s">
        <v>2189</v>
      </c>
      <c r="I5260" t="s">
        <v>1978</v>
      </c>
      <c r="J5260">
        <v>6</v>
      </c>
      <c r="L5260" s="26" t="e">
        <f t="shared" si="300"/>
        <v>#VALUE!</v>
      </c>
    </row>
    <row r="5261" spans="1:12" x14ac:dyDescent="0.35">
      <c r="A5261">
        <f t="shared" si="301"/>
        <v>5260</v>
      </c>
      <c r="B5261" t="s">
        <v>102</v>
      </c>
      <c r="C5261" s="109" t="str">
        <f>IF(ISBLANK(K5261),IFERROR(VLOOKUP(I5261,FS_input_data!$C$458:$N$648,Export!J5261,FALSE),""),K5261)</f>
        <v/>
      </c>
      <c r="D5261" s="6"/>
      <c r="E5261" s="6"/>
      <c r="F5261" s="6"/>
      <c r="G5261" s="115" t="b">
        <f>VLOOKUP(I5260,FS_input_noty,J5260,FALSE)=""</f>
        <v>0</v>
      </c>
      <c r="H5261" s="6" t="s">
        <v>2189</v>
      </c>
      <c r="I5261" t="s">
        <v>1561</v>
      </c>
      <c r="J5261" t="s">
        <v>1561</v>
      </c>
      <c r="L5261">
        <f t="shared" si="300"/>
        <v>1</v>
      </c>
    </row>
    <row r="5262" spans="1:12" x14ac:dyDescent="0.35">
      <c r="A5262">
        <f t="shared" si="301"/>
        <v>5261</v>
      </c>
      <c r="B5262" t="s">
        <v>753</v>
      </c>
      <c r="C5262" s="109" t="str">
        <f>IF(ISBLANK(K5262),IFERROR(VLOOKUP(I5262,FS_input_data!$C$458:$N$648,Export!J5262,FALSE),""),K5262)</f>
        <v/>
      </c>
      <c r="D5262" s="6"/>
      <c r="E5262" s="6"/>
      <c r="F5262" s="6"/>
      <c r="G5262" s="115" t="b">
        <f>VLOOKUP(I5260,FS_input_noty,J5260,FALSE)=""</f>
        <v>0</v>
      </c>
      <c r="H5262" s="6" t="s">
        <v>2189</v>
      </c>
      <c r="I5262" t="s">
        <v>1561</v>
      </c>
      <c r="J5262" t="s">
        <v>1561</v>
      </c>
      <c r="L5262" s="26" t="e">
        <f t="shared" si="300"/>
        <v>#VALUE!</v>
      </c>
    </row>
    <row r="5263" spans="1:12" x14ac:dyDescent="0.35">
      <c r="A5263">
        <f t="shared" si="301"/>
        <v>5262</v>
      </c>
      <c r="B5263" t="s">
        <v>742</v>
      </c>
      <c r="C5263" s="109" t="str">
        <f>IF(ISBLANK(K5263),IFERROR(VLOOKUP(I5263,FS_input_data!$C$458:$N$648,Export!J5263,FALSE),""),K5263)</f>
        <v/>
      </c>
      <c r="D5263" s="6"/>
      <c r="E5263" s="6"/>
      <c r="F5263" s="6"/>
      <c r="G5263" s="115" t="b">
        <f>VLOOKUP(I5260,FS_input_noty,J5260,FALSE)=""</f>
        <v>0</v>
      </c>
      <c r="H5263" s="6" t="s">
        <v>2189</v>
      </c>
      <c r="I5263" t="s">
        <v>1561</v>
      </c>
      <c r="J5263" t="s">
        <v>1561</v>
      </c>
      <c r="L5263" s="26" t="e">
        <f t="shared" si="300"/>
        <v>#VALUE!</v>
      </c>
    </row>
    <row r="5264" spans="1:12" x14ac:dyDescent="0.35">
      <c r="A5264">
        <f t="shared" si="301"/>
        <v>5263</v>
      </c>
      <c r="B5264" t="s">
        <v>748</v>
      </c>
      <c r="C5264" s="109" t="str">
        <f>IF(ISBLANK(K5264),IFERROR(VLOOKUP(I5264,FS_input_data!$C$458:$N$648,Export!J5264,FALSE),""),K5264)</f>
        <v/>
      </c>
      <c r="D5264" s="6"/>
      <c r="E5264" s="6"/>
      <c r="F5264" s="6"/>
      <c r="G5264" s="115" t="b">
        <f>VLOOKUP(I5260,FS_input_noty,J5260,FALSE)=""</f>
        <v>0</v>
      </c>
      <c r="H5264" s="6" t="s">
        <v>2189</v>
      </c>
      <c r="I5264" t="s">
        <v>1561</v>
      </c>
      <c r="J5264" t="s">
        <v>1561</v>
      </c>
      <c r="L5264" s="26" t="e">
        <f t="shared" si="300"/>
        <v>#VALUE!</v>
      </c>
    </row>
    <row r="5265" spans="1:12" x14ac:dyDescent="0.35">
      <c r="A5265" s="9">
        <f t="shared" si="301"/>
        <v>5264</v>
      </c>
      <c r="B5265" t="s">
        <v>109</v>
      </c>
      <c r="C5265" s="109">
        <f>IF(ISBLANK(K5265),IFERROR(VLOOKUP(I5265,FS_input_data!$C$458:$N$648,Export!J5265,FALSE),""),K5265)</f>
        <v>40000</v>
      </c>
      <c r="D5265" s="6" t="b">
        <v>1</v>
      </c>
      <c r="E5265" s="6"/>
      <c r="F5265" s="6"/>
      <c r="G5265" s="115" t="b">
        <f>VLOOKUP(I5260,FS_input_noty,J5260,FALSE)=""</f>
        <v>0</v>
      </c>
      <c r="H5265" s="6" t="s">
        <v>2189</v>
      </c>
      <c r="I5265" t="s">
        <v>1978</v>
      </c>
      <c r="J5265">
        <v>7</v>
      </c>
      <c r="L5265" s="26" t="e">
        <f t="shared" si="300"/>
        <v>#VALUE!</v>
      </c>
    </row>
    <row r="5266" spans="1:12" x14ac:dyDescent="0.35">
      <c r="A5266">
        <f t="shared" si="301"/>
        <v>5265</v>
      </c>
      <c r="B5266" t="s">
        <v>110</v>
      </c>
      <c r="C5266" s="109" t="str">
        <f>IF(ISBLANK(K5266),IFERROR(VLOOKUP(I5266,FS_input_data!$C$458:$N$648,Export!J5266,FALSE),""),K5266)</f>
        <v/>
      </c>
      <c r="D5266" s="6"/>
      <c r="E5266" s="6"/>
      <c r="F5266" s="6"/>
      <c r="G5266" s="115" t="b">
        <f>VLOOKUP(I5260,FS_input_noty,J5260,FALSE)=""</f>
        <v>0</v>
      </c>
      <c r="H5266" s="6" t="s">
        <v>2189</v>
      </c>
      <c r="I5266" t="s">
        <v>1561</v>
      </c>
      <c r="J5266" t="s">
        <v>1561</v>
      </c>
      <c r="L5266">
        <f t="shared" si="300"/>
        <v>1</v>
      </c>
    </row>
    <row r="5267" spans="1:12" x14ac:dyDescent="0.35">
      <c r="A5267" s="9">
        <f t="shared" si="301"/>
        <v>5266</v>
      </c>
      <c r="B5267" t="s">
        <v>111</v>
      </c>
      <c r="C5267" s="109">
        <f>IF(ISBLANK(K5267),IFERROR(VLOOKUP(I5267,FS_input_data!$C$458:$N$648,Export!J5267,FALSE),""),K5267)</f>
        <v>20000</v>
      </c>
      <c r="D5267" s="6" t="b">
        <v>0</v>
      </c>
      <c r="E5267" s="6"/>
      <c r="F5267" s="6"/>
      <c r="G5267" s="115" t="b">
        <f>VLOOKUP(I5260,FS_input_noty,J5260,TRUE)=""</f>
        <v>0</v>
      </c>
      <c r="H5267" s="6" t="s">
        <v>2189</v>
      </c>
      <c r="I5267" t="s">
        <v>1978</v>
      </c>
      <c r="J5267">
        <v>8</v>
      </c>
      <c r="L5267" s="26" t="e">
        <f t="shared" si="300"/>
        <v>#VALUE!</v>
      </c>
    </row>
    <row r="5268" spans="1:12" x14ac:dyDescent="0.35">
      <c r="A5268">
        <f t="shared" si="301"/>
        <v>5267</v>
      </c>
      <c r="B5268" t="s">
        <v>112</v>
      </c>
      <c r="C5268" s="109" t="str">
        <f>IF(ISBLANK(K5268),IFERROR(VLOOKUP(I5268,FS_input_data!$C$458:$N$648,Export!J5268,FALSE),""),K5268)</f>
        <v/>
      </c>
      <c r="D5268" s="6"/>
      <c r="E5268" s="6"/>
      <c r="F5268" s="6"/>
      <c r="G5268" s="115" t="b">
        <f>VLOOKUP(I5260,FS_input_noty,J5260,FALSE)=""</f>
        <v>0</v>
      </c>
      <c r="H5268" s="6" t="s">
        <v>2189</v>
      </c>
      <c r="I5268" t="s">
        <v>1561</v>
      </c>
      <c r="J5268" t="s">
        <v>1561</v>
      </c>
      <c r="L5268">
        <f t="shared" si="300"/>
        <v>1</v>
      </c>
    </row>
    <row r="5269" spans="1:12" x14ac:dyDescent="0.35">
      <c r="A5269" s="9">
        <f t="shared" si="301"/>
        <v>5268</v>
      </c>
      <c r="B5269" t="s">
        <v>749</v>
      </c>
      <c r="C5269" s="109">
        <f>IF(ISBLANK(K5269),IFERROR(VLOOKUP(I5269,FS_input_data!$C$458:$N$648,Export!J5269,FALSE),""),K5269)</f>
        <v>20000</v>
      </c>
      <c r="D5269" s="6" t="b">
        <v>0</v>
      </c>
      <c r="E5269" s="6"/>
      <c r="F5269" s="6"/>
      <c r="G5269" s="115" t="b">
        <f>VLOOKUP(I5260,FS_input_noty,J5260,FALSE)=""</f>
        <v>0</v>
      </c>
      <c r="H5269" s="6" t="s">
        <v>2189</v>
      </c>
      <c r="I5269" t="s">
        <v>1978</v>
      </c>
      <c r="J5269">
        <v>9</v>
      </c>
      <c r="L5269" s="26" t="e">
        <f t="shared" si="300"/>
        <v>#VALUE!</v>
      </c>
    </row>
    <row r="5270" spans="1:12" x14ac:dyDescent="0.35">
      <c r="A5270">
        <f t="shared" si="301"/>
        <v>5269</v>
      </c>
      <c r="B5270" t="s">
        <v>750</v>
      </c>
      <c r="C5270" s="109" t="str">
        <f>IF(ISBLANK(K5270),IFERROR(VLOOKUP(I5270,FS_input_data!$C$458:$N$648,Export!J5270,FALSE),""),K5270)</f>
        <v/>
      </c>
      <c r="D5270" s="6"/>
      <c r="E5270" s="6"/>
      <c r="F5270" s="6"/>
      <c r="G5270" s="115" t="b">
        <f>VLOOKUP(I5260,FS_input_noty,J5260,FALSE)=""</f>
        <v>0</v>
      </c>
      <c r="H5270" s="6" t="s">
        <v>2189</v>
      </c>
      <c r="I5270" t="s">
        <v>1561</v>
      </c>
      <c r="J5270" t="s">
        <v>1561</v>
      </c>
      <c r="L5270">
        <f t="shared" si="300"/>
        <v>1</v>
      </c>
    </row>
    <row r="5271" spans="1:12" x14ac:dyDescent="0.35">
      <c r="A5271">
        <f t="shared" si="301"/>
        <v>5270</v>
      </c>
      <c r="B5271" t="s">
        <v>751</v>
      </c>
      <c r="C5271" s="109" t="str">
        <f>IF(ISBLANK(K5271),IFERROR(VLOOKUP(I5271,FS_input_data!$C$458:$N$648,Export!J5271,FALSE),""),K5271)</f>
        <v/>
      </c>
      <c r="D5271" s="6"/>
      <c r="E5271" s="6"/>
      <c r="F5271" s="6"/>
      <c r="G5271" s="115" t="b">
        <f>VLOOKUP(I5260,FS_input_noty,J5260,FALSE)=""</f>
        <v>0</v>
      </c>
      <c r="H5271" s="6" t="s">
        <v>2189</v>
      </c>
      <c r="I5271" t="s">
        <v>1561</v>
      </c>
      <c r="J5271" t="s">
        <v>1561</v>
      </c>
      <c r="L5271">
        <f t="shared" si="300"/>
        <v>1</v>
      </c>
    </row>
    <row r="5272" spans="1:12" x14ac:dyDescent="0.35">
      <c r="A5272">
        <f t="shared" si="301"/>
        <v>5271</v>
      </c>
      <c r="B5272" t="s">
        <v>754</v>
      </c>
      <c r="C5272" s="109" t="str">
        <f>IF(ISBLANK(K5272),IFERROR(VLOOKUP(I5272,FS_input_data!$C$458:$N$648,Export!J5272,FALSE),""),K5272)</f>
        <v/>
      </c>
      <c r="D5272" s="6"/>
      <c r="E5272" s="6"/>
      <c r="F5272" s="6"/>
      <c r="G5272" s="115" t="b">
        <f>VLOOKUP(I5260,FS_input_noty,J5260,FALSE)=""</f>
        <v>0</v>
      </c>
      <c r="H5272" s="6" t="s">
        <v>2189</v>
      </c>
      <c r="I5272" t="s">
        <v>1561</v>
      </c>
      <c r="J5272" t="s">
        <v>1561</v>
      </c>
      <c r="L5272" s="26" t="e">
        <f t="shared" si="300"/>
        <v>#VALUE!</v>
      </c>
    </row>
    <row r="5273" spans="1:12" x14ac:dyDescent="0.35">
      <c r="A5273" s="9">
        <f t="shared" si="301"/>
        <v>5272</v>
      </c>
      <c r="B5273" t="s">
        <v>755</v>
      </c>
      <c r="C5273" s="109">
        <f>IF(ISBLANK(K5273),IFERROR(VLOOKUP(I5273,FS_input_data!$C$458:$N$648,Export!J5273,FALSE),""),K5273)</f>
        <v>84</v>
      </c>
      <c r="D5273" s="6" t="b">
        <v>1</v>
      </c>
      <c r="E5273" s="6"/>
      <c r="F5273" s="6"/>
      <c r="G5273" s="115" t="b">
        <f>VLOOKUP(I5260,FS_input_noty,J5260,FALSE)=""</f>
        <v>0</v>
      </c>
      <c r="H5273" s="6" t="s">
        <v>2189</v>
      </c>
      <c r="I5273" t="s">
        <v>1978</v>
      </c>
      <c r="J5273">
        <v>2</v>
      </c>
      <c r="L5273" s="26" t="e">
        <f t="shared" si="300"/>
        <v>#VALUE!</v>
      </c>
    </row>
    <row r="5274" spans="1:12" x14ac:dyDescent="0.35">
      <c r="A5274">
        <f t="shared" si="301"/>
        <v>5273</v>
      </c>
      <c r="B5274" t="s">
        <v>756</v>
      </c>
      <c r="C5274" s="109" t="str">
        <f>IF(ISBLANK(K5274),IFERROR(VLOOKUP(I5274,FS_input_data!$C$458:$N$648,Export!J5274,FALSE),""),K5274)</f>
        <v/>
      </c>
      <c r="D5274" s="6"/>
      <c r="E5274" s="6"/>
      <c r="F5274" s="6"/>
      <c r="G5274" s="115" t="b">
        <f>VLOOKUP(I5260,FS_input_noty,J5260,FALSE)=""</f>
        <v>0</v>
      </c>
      <c r="H5274" s="6" t="s">
        <v>2189</v>
      </c>
      <c r="I5274" t="s">
        <v>1561</v>
      </c>
      <c r="J5274" t="s">
        <v>1561</v>
      </c>
      <c r="L5274">
        <f t="shared" si="300"/>
        <v>1</v>
      </c>
    </row>
    <row r="5275" spans="1:12" x14ac:dyDescent="0.35">
      <c r="A5275" s="9">
        <f t="shared" si="301"/>
        <v>5274</v>
      </c>
      <c r="B5275" t="s">
        <v>757</v>
      </c>
      <c r="C5275" s="109">
        <f>IF(ISBLANK(K5275),IFERROR(VLOOKUP(I5275,FS_input_data!$C$458:$N$648,Export!J5275,FALSE),""),K5275)</f>
        <v>184</v>
      </c>
      <c r="D5275" s="6" t="b">
        <v>0</v>
      </c>
      <c r="E5275" s="6"/>
      <c r="F5275" s="6"/>
      <c r="G5275" s="115" t="b">
        <f>VLOOKUP(I5260,FS_input_noty,J5260,FALSE)=""</f>
        <v>0</v>
      </c>
      <c r="H5275" s="6" t="s">
        <v>2189</v>
      </c>
      <c r="I5275" t="s">
        <v>1978</v>
      </c>
      <c r="J5275">
        <v>3</v>
      </c>
      <c r="L5275" s="26" t="e">
        <f t="shared" si="300"/>
        <v>#VALUE!</v>
      </c>
    </row>
    <row r="5276" spans="1:12" x14ac:dyDescent="0.35">
      <c r="A5276">
        <f t="shared" si="301"/>
        <v>5275</v>
      </c>
      <c r="B5276" t="s">
        <v>758</v>
      </c>
      <c r="C5276" s="109" t="str">
        <f>IF(ISBLANK(K5276),IFERROR(VLOOKUP(I5276,FS_input_data!$C$458:$N$648,Export!J5276,FALSE),""),K5276)</f>
        <v/>
      </c>
      <c r="D5276" s="6"/>
      <c r="E5276" s="6"/>
      <c r="F5276" s="6"/>
      <c r="G5276" s="115" t="b">
        <f>VLOOKUP(I5260,FS_input_noty,J5260,FALSE)=""</f>
        <v>0</v>
      </c>
      <c r="H5276" s="6" t="s">
        <v>2189</v>
      </c>
      <c r="I5276" t="s">
        <v>1561</v>
      </c>
      <c r="J5276" t="s">
        <v>1561</v>
      </c>
      <c r="L5276">
        <f t="shared" si="300"/>
        <v>1</v>
      </c>
    </row>
    <row r="5277" spans="1:12" x14ac:dyDescent="0.35">
      <c r="A5277" s="9">
        <f t="shared" si="301"/>
        <v>5276</v>
      </c>
      <c r="B5277" t="s">
        <v>759</v>
      </c>
      <c r="C5277" s="109">
        <f>IF(ISBLANK(K5277),IFERROR(VLOOKUP(I5277,FS_input_data!$C$458:$N$648,Export!J5277,FALSE),""),K5277)</f>
        <v>284</v>
      </c>
      <c r="D5277" s="6" t="b">
        <v>0</v>
      </c>
      <c r="E5277" s="6"/>
      <c r="F5277" s="6"/>
      <c r="G5277" s="115" t="b">
        <f>VLOOKUP(I5260,FS_input_noty,J5260,FALSE)=""</f>
        <v>0</v>
      </c>
      <c r="H5277" s="6" t="s">
        <v>2189</v>
      </c>
      <c r="I5277" t="s">
        <v>1978</v>
      </c>
      <c r="J5277">
        <v>4</v>
      </c>
      <c r="L5277" s="26" t="e">
        <f t="shared" si="300"/>
        <v>#VALUE!</v>
      </c>
    </row>
    <row r="5278" spans="1:12" x14ac:dyDescent="0.35">
      <c r="A5278">
        <f t="shared" si="301"/>
        <v>5277</v>
      </c>
      <c r="B5278" t="s">
        <v>760</v>
      </c>
      <c r="C5278" s="109" t="str">
        <f>IF(ISBLANK(K5278),IFERROR(VLOOKUP(I5278,FS_input_data!$C$458:$N$648,Export!J5278,FALSE),""),K5278)</f>
        <v/>
      </c>
      <c r="D5278" s="6"/>
      <c r="E5278" s="6"/>
      <c r="F5278" s="6"/>
      <c r="G5278" s="115" t="b">
        <f>VLOOKUP(I5260,FS_input_noty,J5260,FALSE)=""</f>
        <v>0</v>
      </c>
      <c r="H5278" s="6" t="s">
        <v>2189</v>
      </c>
      <c r="I5278" t="s">
        <v>1561</v>
      </c>
      <c r="J5278" t="s">
        <v>1561</v>
      </c>
      <c r="L5278">
        <f t="shared" si="300"/>
        <v>1</v>
      </c>
    </row>
    <row r="5279" spans="1:12" x14ac:dyDescent="0.35">
      <c r="A5279" s="9">
        <f t="shared" si="301"/>
        <v>5278</v>
      </c>
      <c r="B5279" t="s">
        <v>761</v>
      </c>
      <c r="C5279" s="109" t="str">
        <f>IF(ISBLANK(K5279),IFERROR(VLOOKUP(I5279,FS_input_data!$C$458:$N$648,Export!J5279,FALSE),""),K5279)</f>
        <v>h</v>
      </c>
      <c r="D5279" s="6" t="b">
        <v>0</v>
      </c>
      <c r="E5279" s="6"/>
      <c r="F5279" s="6"/>
      <c r="G5279" s="115" t="b">
        <f>VLOOKUP(I5260,FS_input_noty,J5260,FALSE)=""</f>
        <v>0</v>
      </c>
      <c r="H5279" s="6" t="s">
        <v>2189</v>
      </c>
      <c r="I5279" t="s">
        <v>1978</v>
      </c>
      <c r="J5279">
        <v>5</v>
      </c>
      <c r="L5279" s="26" t="e">
        <f t="shared" si="300"/>
        <v>#VALUE!</v>
      </c>
    </row>
    <row r="5280" spans="1:12" x14ac:dyDescent="0.35">
      <c r="A5280">
        <f t="shared" si="301"/>
        <v>5279</v>
      </c>
      <c r="B5280" t="s">
        <v>762</v>
      </c>
      <c r="C5280" s="109" t="str">
        <f>IF(ISBLANK(K5280),IFERROR(VLOOKUP(I5280,FS_input_data!$C$458:$N$648,Export!J5280,FALSE),""),K5280)</f>
        <v/>
      </c>
      <c r="D5280" s="6"/>
      <c r="E5280" s="6"/>
      <c r="F5280" s="6"/>
      <c r="G5280" s="115" t="b">
        <f>VLOOKUP(I5260,FS_input_noty,J5260,FALSE)=""</f>
        <v>0</v>
      </c>
      <c r="H5280" s="6" t="s">
        <v>2189</v>
      </c>
      <c r="I5280" t="s">
        <v>1561</v>
      </c>
      <c r="J5280" t="s">
        <v>1561</v>
      </c>
      <c r="L5280">
        <f t="shared" si="300"/>
        <v>1</v>
      </c>
    </row>
    <row r="5281" spans="1:12" x14ac:dyDescent="0.35">
      <c r="A5281">
        <f t="shared" si="301"/>
        <v>5280</v>
      </c>
      <c r="B5281" t="s">
        <v>763</v>
      </c>
      <c r="C5281" s="109" t="str">
        <f>IF(ISBLANK(K5281),IFERROR(VLOOKUP(I5281,FS_input_data!$C$458:$N$648,Export!J5281,FALSE),""),K5281)</f>
        <v/>
      </c>
      <c r="D5281" s="6"/>
      <c r="E5281" s="6"/>
      <c r="F5281" s="6"/>
      <c r="G5281" s="115" t="b">
        <f>VLOOKUP(I5260,FS_input_noty,J5260,FALSE)=""</f>
        <v>0</v>
      </c>
      <c r="H5281" s="6" t="s">
        <v>2189</v>
      </c>
      <c r="I5281" t="s">
        <v>1561</v>
      </c>
      <c r="J5281" t="s">
        <v>1561</v>
      </c>
      <c r="L5281">
        <f t="shared" si="300"/>
        <v>1</v>
      </c>
    </row>
    <row r="5282" spans="1:12" x14ac:dyDescent="0.35">
      <c r="A5282">
        <f t="shared" si="301"/>
        <v>5281</v>
      </c>
      <c r="B5282" t="s">
        <v>743</v>
      </c>
      <c r="C5282" s="109" t="str">
        <f>IF(ISBLANK(K5282),IFERROR(VLOOKUP(I5282,FS_input_data!$C$458:$N$648,Export!J5282,FALSE),""),K5282)</f>
        <v/>
      </c>
      <c r="D5282" s="6"/>
      <c r="E5282" s="6"/>
      <c r="F5282" s="6"/>
      <c r="G5282" s="115" t="b">
        <f>VLOOKUP(I5260,FS_input_noty,J5260,FALSE)=""</f>
        <v>0</v>
      </c>
      <c r="H5282" s="6" t="s">
        <v>2189</v>
      </c>
      <c r="I5282" t="s">
        <v>1561</v>
      </c>
      <c r="J5282" t="s">
        <v>1561</v>
      </c>
      <c r="L5282">
        <f t="shared" si="300"/>
        <v>1</v>
      </c>
    </row>
    <row r="5283" spans="1:12" x14ac:dyDescent="0.35">
      <c r="A5283">
        <f t="shared" si="301"/>
        <v>5282</v>
      </c>
      <c r="B5283" t="s">
        <v>744</v>
      </c>
      <c r="C5283" s="109" t="str">
        <f>IF(ISBLANK(K5283),IFERROR(VLOOKUP(I5283,FS_input_data!$C$458:$N$648,Export!J5283,FALSE),""),K5283)</f>
        <v/>
      </c>
      <c r="D5283" s="6"/>
      <c r="E5283" s="6"/>
      <c r="F5283" s="6"/>
      <c r="G5283" s="115" t="b">
        <f t="shared" ref="G5283:G5290" si="302">RP_tax</f>
        <v>1</v>
      </c>
      <c r="H5283" s="6" t="s">
        <v>2189</v>
      </c>
      <c r="I5283" t="s">
        <v>1561</v>
      </c>
      <c r="J5283" t="s">
        <v>1561</v>
      </c>
      <c r="L5283" s="26" t="e">
        <f t="shared" si="300"/>
        <v>#VALUE!</v>
      </c>
    </row>
    <row r="5284" spans="1:12" x14ac:dyDescent="0.35">
      <c r="A5284" s="9">
        <f t="shared" si="301"/>
        <v>5283</v>
      </c>
      <c r="B5284" t="s">
        <v>109</v>
      </c>
      <c r="C5284" s="109">
        <f>IF(ISBLANK(K5284),IFERROR(VLOOKUP(I5284,FS_input_data!$C$458:$N$648,Export!J5284,FALSE),""),K5284)</f>
        <v>40000</v>
      </c>
      <c r="D5284" s="6" t="b">
        <v>1</v>
      </c>
      <c r="E5284" s="6"/>
      <c r="F5284" s="6"/>
      <c r="G5284" s="115" t="b">
        <f t="shared" si="302"/>
        <v>1</v>
      </c>
      <c r="H5284" s="6" t="s">
        <v>2189</v>
      </c>
      <c r="I5284" t="s">
        <v>1978</v>
      </c>
      <c r="J5284">
        <v>10</v>
      </c>
      <c r="L5284" s="26" t="e">
        <f t="shared" si="300"/>
        <v>#VALUE!</v>
      </c>
    </row>
    <row r="5285" spans="1:12" x14ac:dyDescent="0.35">
      <c r="A5285">
        <f t="shared" si="301"/>
        <v>5284</v>
      </c>
      <c r="B5285" t="s">
        <v>110</v>
      </c>
      <c r="C5285" s="109" t="str">
        <f>IF(ISBLANK(K5285),IFERROR(VLOOKUP(I5285,FS_input_data!$C$458:$N$648,Export!J5285,FALSE),""),K5285)</f>
        <v/>
      </c>
      <c r="D5285" s="6"/>
      <c r="E5285" s="6"/>
      <c r="F5285" s="6"/>
      <c r="G5285" s="115" t="b">
        <f t="shared" si="302"/>
        <v>1</v>
      </c>
      <c r="H5285" s="6" t="s">
        <v>2189</v>
      </c>
      <c r="I5285" t="s">
        <v>1561</v>
      </c>
      <c r="J5285" t="s">
        <v>1561</v>
      </c>
      <c r="L5285">
        <f t="shared" si="300"/>
        <v>1</v>
      </c>
    </row>
    <row r="5286" spans="1:12" x14ac:dyDescent="0.35">
      <c r="A5286" s="9">
        <f t="shared" si="301"/>
        <v>5285</v>
      </c>
      <c r="B5286" t="s">
        <v>111</v>
      </c>
      <c r="C5286" s="109">
        <f>IF(ISBLANK(K5286),IFERROR(VLOOKUP(I5286,FS_input_data!$C$458:$N$648,Export!J5286,FALSE),""),K5286)</f>
        <v>20000</v>
      </c>
      <c r="D5286" s="6" t="b">
        <v>0</v>
      </c>
      <c r="E5286" s="6"/>
      <c r="F5286" s="6"/>
      <c r="G5286" s="115" t="b">
        <f t="shared" si="302"/>
        <v>1</v>
      </c>
      <c r="H5286" s="6" t="s">
        <v>2189</v>
      </c>
      <c r="I5286" t="s">
        <v>1978</v>
      </c>
      <c r="J5286">
        <v>11</v>
      </c>
      <c r="L5286" s="26" t="e">
        <f t="shared" si="300"/>
        <v>#VALUE!</v>
      </c>
    </row>
    <row r="5287" spans="1:12" x14ac:dyDescent="0.35">
      <c r="A5287">
        <f t="shared" si="301"/>
        <v>5286</v>
      </c>
      <c r="B5287" t="s">
        <v>112</v>
      </c>
      <c r="C5287" s="109" t="str">
        <f>IF(ISBLANK(K5287),IFERROR(VLOOKUP(I5287,FS_input_data!$C$458:$N$648,Export!J5287,FALSE),""),K5287)</f>
        <v/>
      </c>
      <c r="D5287" s="6"/>
      <c r="E5287" s="6"/>
      <c r="F5287" s="6"/>
      <c r="G5287" s="115" t="b">
        <f t="shared" si="302"/>
        <v>1</v>
      </c>
      <c r="H5287" s="6" t="s">
        <v>2189</v>
      </c>
      <c r="I5287" t="s">
        <v>1561</v>
      </c>
      <c r="J5287" t="s">
        <v>1561</v>
      </c>
      <c r="L5287">
        <f t="shared" si="300"/>
        <v>1</v>
      </c>
    </row>
    <row r="5288" spans="1:12" x14ac:dyDescent="0.35">
      <c r="A5288" s="9">
        <f t="shared" si="301"/>
        <v>5287</v>
      </c>
      <c r="B5288" t="s">
        <v>749</v>
      </c>
      <c r="C5288" s="109">
        <f>IF(ISBLANK(K5288),IFERROR(VLOOKUP(I5288,FS_input_data!$C$458:$N$648,Export!J5288,FALSE),""),K5288)</f>
        <v>20000</v>
      </c>
      <c r="D5288" s="6" t="b">
        <v>0</v>
      </c>
      <c r="E5288" s="6"/>
      <c r="F5288" s="6"/>
      <c r="G5288" s="115" t="b">
        <f t="shared" si="302"/>
        <v>1</v>
      </c>
      <c r="H5288" s="6" t="s">
        <v>2189</v>
      </c>
      <c r="I5288" t="s">
        <v>1978</v>
      </c>
      <c r="J5288">
        <v>12</v>
      </c>
      <c r="L5288" s="26" t="e">
        <f t="shared" si="300"/>
        <v>#VALUE!</v>
      </c>
    </row>
    <row r="5289" spans="1:12" x14ac:dyDescent="0.35">
      <c r="A5289">
        <f t="shared" si="301"/>
        <v>5288</v>
      </c>
      <c r="B5289" t="s">
        <v>750</v>
      </c>
      <c r="C5289" s="109" t="str">
        <f>IF(ISBLANK(K5289),IFERROR(VLOOKUP(I5289,FS_input_data!$C$458:$N$648,Export!J5289,FALSE),""),K5289)</f>
        <v/>
      </c>
      <c r="D5289" s="6"/>
      <c r="E5289" s="6"/>
      <c r="F5289" s="6"/>
      <c r="G5289" s="115" t="b">
        <f t="shared" si="302"/>
        <v>1</v>
      </c>
      <c r="H5289" s="6" t="s">
        <v>2189</v>
      </c>
      <c r="I5289" t="s">
        <v>1561</v>
      </c>
      <c r="J5289" t="s">
        <v>1561</v>
      </c>
      <c r="L5289">
        <f t="shared" si="300"/>
        <v>1</v>
      </c>
    </row>
    <row r="5290" spans="1:12" x14ac:dyDescent="0.35">
      <c r="A5290">
        <f t="shared" si="301"/>
        <v>5289</v>
      </c>
      <c r="B5290" t="s">
        <v>745</v>
      </c>
      <c r="C5290" s="109" t="str">
        <f>IF(ISBLANK(K5290),IFERROR(VLOOKUP(I5290,FS_input_data!$C$458:$N$648,Export!J5290,FALSE),""),K5290)</f>
        <v/>
      </c>
      <c r="D5290" s="6"/>
      <c r="E5290" s="6"/>
      <c r="F5290" s="6"/>
      <c r="G5290" s="115" t="b">
        <f t="shared" si="302"/>
        <v>1</v>
      </c>
      <c r="H5290" s="6" t="s">
        <v>2189</v>
      </c>
      <c r="I5290" t="s">
        <v>1561</v>
      </c>
      <c r="J5290" t="s">
        <v>1561</v>
      </c>
      <c r="L5290">
        <f t="shared" si="300"/>
        <v>1</v>
      </c>
    </row>
    <row r="5291" spans="1:12" x14ac:dyDescent="0.35">
      <c r="A5291">
        <f t="shared" si="301"/>
        <v>5290</v>
      </c>
      <c r="B5291" t="s">
        <v>764</v>
      </c>
      <c r="C5291" s="109" t="str">
        <f>IF(ISBLANK(K5291),IFERROR(VLOOKUP(I5291,FS_input_data!$C$458:$N$648,Export!J5291,FALSE),""),K5291)</f>
        <v/>
      </c>
      <c r="D5291" s="6"/>
      <c r="E5291" s="6"/>
      <c r="F5291" s="6"/>
      <c r="G5291" s="115" t="b">
        <f>VLOOKUP(I5260,FS_input_noty,J5260,FALSE)=""</f>
        <v>0</v>
      </c>
      <c r="H5291" s="6" t="s">
        <v>2189</v>
      </c>
      <c r="I5291" t="s">
        <v>1561</v>
      </c>
      <c r="J5291" t="s">
        <v>1561</v>
      </c>
      <c r="L5291">
        <f t="shared" si="300"/>
        <v>1</v>
      </c>
    </row>
    <row r="5292" spans="1:12" x14ac:dyDescent="0.35">
      <c r="A5292">
        <f t="shared" si="301"/>
        <v>5291</v>
      </c>
      <c r="B5292" t="s">
        <v>765</v>
      </c>
      <c r="C5292" s="109" t="str">
        <f>IF(ISBLANK(K5292),IFERROR(VLOOKUP(I5292,FS_input_data!$C$458:$N$648,Export!J5292,FALSE),""),K5292)</f>
        <v/>
      </c>
      <c r="D5292" s="6"/>
      <c r="E5292" s="6"/>
      <c r="F5292" s="6"/>
      <c r="G5292" s="115" t="b">
        <f>VLOOKUP(I5260,FS_input_noty,J5260,FALSE)=""</f>
        <v>0</v>
      </c>
      <c r="H5292" s="6" t="s">
        <v>2189</v>
      </c>
      <c r="I5292" t="s">
        <v>1561</v>
      </c>
      <c r="J5292" t="s">
        <v>1561</v>
      </c>
      <c r="L5292">
        <f t="shared" si="300"/>
        <v>1</v>
      </c>
    </row>
    <row r="5293" spans="1:12" x14ac:dyDescent="0.35">
      <c r="A5293">
        <f t="shared" si="301"/>
        <v>5292</v>
      </c>
      <c r="B5293" t="s">
        <v>752</v>
      </c>
      <c r="C5293" s="109" t="str">
        <f>IF(ISBLANK(K5293),IFERROR(VLOOKUP(I5293,FS_input_data!$C$458:$N$648,Export!J5293,FALSE),""),K5293)</f>
        <v/>
      </c>
      <c r="D5293" s="6"/>
      <c r="E5293" s="6"/>
      <c r="F5293" s="6"/>
      <c r="G5293" s="115" t="b">
        <f>VLOOKUP(I5294,FS_input_noty,J5294,FALSE)=""</f>
        <v>0</v>
      </c>
      <c r="H5293" s="6" t="s">
        <v>2189</v>
      </c>
      <c r="I5293" t="s">
        <v>1561</v>
      </c>
      <c r="J5293" t="s">
        <v>1561</v>
      </c>
      <c r="L5293" s="26" t="e">
        <f t="shared" si="300"/>
        <v>#VALUE!</v>
      </c>
    </row>
    <row r="5294" spans="1:12" x14ac:dyDescent="0.35">
      <c r="A5294" s="9">
        <f t="shared" si="301"/>
        <v>5293</v>
      </c>
      <c r="B5294" t="s">
        <v>101</v>
      </c>
      <c r="C5294" s="109" t="str">
        <f>IF(ISBLANK(K5294),IFERROR(VLOOKUP(I5294,FS_input_data!$C$458:$N$648,Export!J5294,FALSE),""),K5294)</f>
        <v>OC62</v>
      </c>
      <c r="D5294" s="6" t="b">
        <v>1</v>
      </c>
      <c r="E5294" s="6"/>
      <c r="F5294" s="6"/>
      <c r="G5294" s="115" t="b">
        <f>VLOOKUP(I5294,FS_input_noty,J5294,FALSE)=""</f>
        <v>0</v>
      </c>
      <c r="H5294" s="6" t="s">
        <v>2189</v>
      </c>
      <c r="I5294" t="s">
        <v>1980</v>
      </c>
      <c r="J5294">
        <v>6</v>
      </c>
      <c r="L5294" s="26" t="e">
        <f t="shared" si="300"/>
        <v>#VALUE!</v>
      </c>
    </row>
    <row r="5295" spans="1:12" x14ac:dyDescent="0.35">
      <c r="A5295">
        <f t="shared" si="301"/>
        <v>5294</v>
      </c>
      <c r="B5295" t="s">
        <v>102</v>
      </c>
      <c r="C5295" s="109" t="str">
        <f>IF(ISBLANK(K5295),IFERROR(VLOOKUP(I5295,FS_input_data!$C$458:$N$648,Export!J5295,FALSE),""),K5295)</f>
        <v/>
      </c>
      <c r="D5295" s="6"/>
      <c r="E5295" s="6"/>
      <c r="F5295" s="6"/>
      <c r="G5295" s="115" t="b">
        <f>VLOOKUP(I5294,FS_input_noty,J5294,FALSE)=""</f>
        <v>0</v>
      </c>
      <c r="H5295" s="6" t="s">
        <v>2189</v>
      </c>
      <c r="I5295" t="s">
        <v>1561</v>
      </c>
      <c r="J5295" t="s">
        <v>1561</v>
      </c>
      <c r="L5295">
        <f t="shared" si="300"/>
        <v>1</v>
      </c>
    </row>
    <row r="5296" spans="1:12" x14ac:dyDescent="0.35">
      <c r="A5296">
        <f t="shared" si="301"/>
        <v>5295</v>
      </c>
      <c r="B5296" t="s">
        <v>753</v>
      </c>
      <c r="C5296" s="109" t="str">
        <f>IF(ISBLANK(K5296),IFERROR(VLOOKUP(I5296,FS_input_data!$C$458:$N$648,Export!J5296,FALSE),""),K5296)</f>
        <v/>
      </c>
      <c r="D5296" s="6"/>
      <c r="E5296" s="6"/>
      <c r="F5296" s="6"/>
      <c r="G5296" s="115" t="b">
        <f>VLOOKUP(I5294,FS_input_noty,J5294,FALSE)=""</f>
        <v>0</v>
      </c>
      <c r="H5296" s="6" t="s">
        <v>2189</v>
      </c>
      <c r="I5296" t="s">
        <v>1561</v>
      </c>
      <c r="J5296" t="s">
        <v>1561</v>
      </c>
      <c r="L5296" s="26" t="e">
        <f t="shared" si="300"/>
        <v>#VALUE!</v>
      </c>
    </row>
    <row r="5297" spans="1:12" x14ac:dyDescent="0.35">
      <c r="A5297">
        <f t="shared" si="301"/>
        <v>5296</v>
      </c>
      <c r="B5297" t="s">
        <v>742</v>
      </c>
      <c r="C5297" s="109" t="str">
        <f>IF(ISBLANK(K5297),IFERROR(VLOOKUP(I5297,FS_input_data!$C$458:$N$648,Export!J5297,FALSE),""),K5297)</f>
        <v/>
      </c>
      <c r="D5297" s="6"/>
      <c r="E5297" s="6"/>
      <c r="F5297" s="6"/>
      <c r="G5297" s="115" t="b">
        <f>VLOOKUP(I5294,FS_input_noty,J5294,FALSE)=""</f>
        <v>0</v>
      </c>
      <c r="H5297" s="6" t="s">
        <v>2189</v>
      </c>
      <c r="I5297" t="s">
        <v>1561</v>
      </c>
      <c r="J5297" t="s">
        <v>1561</v>
      </c>
      <c r="L5297" s="26" t="e">
        <f t="shared" si="300"/>
        <v>#VALUE!</v>
      </c>
    </row>
    <row r="5298" spans="1:12" x14ac:dyDescent="0.35">
      <c r="A5298">
        <f t="shared" si="301"/>
        <v>5297</v>
      </c>
      <c r="B5298" t="s">
        <v>748</v>
      </c>
      <c r="C5298" s="109" t="str">
        <f>IF(ISBLANK(K5298),IFERROR(VLOOKUP(I5298,FS_input_data!$C$458:$N$648,Export!J5298,FALSE),""),K5298)</f>
        <v/>
      </c>
      <c r="D5298" s="6"/>
      <c r="E5298" s="6"/>
      <c r="F5298" s="6"/>
      <c r="G5298" s="115" t="b">
        <f>VLOOKUP(I5294,FS_input_noty,J5294,FALSE)=""</f>
        <v>0</v>
      </c>
      <c r="H5298" s="6" t="s">
        <v>2189</v>
      </c>
      <c r="I5298" t="s">
        <v>1561</v>
      </c>
      <c r="J5298" t="s">
        <v>1561</v>
      </c>
      <c r="L5298" s="26" t="e">
        <f t="shared" si="300"/>
        <v>#VALUE!</v>
      </c>
    </row>
    <row r="5299" spans="1:12" x14ac:dyDescent="0.35">
      <c r="A5299" s="9">
        <f t="shared" si="301"/>
        <v>5298</v>
      </c>
      <c r="B5299" t="s">
        <v>109</v>
      </c>
      <c r="C5299" s="109">
        <f>IF(ISBLANK(K5299),IFERROR(VLOOKUP(I5299,FS_input_data!$C$458:$N$648,Export!J5299,FALSE),""),K5299)</f>
        <v>41000</v>
      </c>
      <c r="D5299" s="6" t="b">
        <v>1</v>
      </c>
      <c r="E5299" s="6"/>
      <c r="F5299" s="6"/>
      <c r="G5299" s="115" t="b">
        <f>VLOOKUP(I5294,FS_input_noty,J5294,FALSE)=""</f>
        <v>0</v>
      </c>
      <c r="H5299" s="6" t="s">
        <v>2189</v>
      </c>
      <c r="I5299" t="s">
        <v>1980</v>
      </c>
      <c r="J5299">
        <v>7</v>
      </c>
      <c r="L5299" s="26" t="e">
        <f t="shared" si="300"/>
        <v>#VALUE!</v>
      </c>
    </row>
    <row r="5300" spans="1:12" x14ac:dyDescent="0.35">
      <c r="A5300">
        <f t="shared" si="301"/>
        <v>5299</v>
      </c>
      <c r="B5300" t="s">
        <v>110</v>
      </c>
      <c r="C5300" s="109" t="str">
        <f>IF(ISBLANK(K5300),IFERROR(VLOOKUP(I5300,FS_input_data!$C$458:$N$648,Export!J5300,FALSE),""),K5300)</f>
        <v/>
      </c>
      <c r="D5300" s="6"/>
      <c r="E5300" s="6"/>
      <c r="F5300" s="6"/>
      <c r="G5300" s="115" t="b">
        <f>VLOOKUP(I5294,FS_input_noty,J5294,FALSE)=""</f>
        <v>0</v>
      </c>
      <c r="H5300" s="6" t="s">
        <v>2189</v>
      </c>
      <c r="I5300" t="s">
        <v>1561</v>
      </c>
      <c r="J5300" t="s">
        <v>1561</v>
      </c>
      <c r="L5300">
        <f t="shared" si="300"/>
        <v>1</v>
      </c>
    </row>
    <row r="5301" spans="1:12" x14ac:dyDescent="0.35">
      <c r="A5301" s="9">
        <f t="shared" si="301"/>
        <v>5300</v>
      </c>
      <c r="B5301" t="s">
        <v>111</v>
      </c>
      <c r="C5301" s="109">
        <f>IF(ISBLANK(K5301),IFERROR(VLOOKUP(I5301,FS_input_data!$C$458:$N$648,Export!J5301,FALSE),""),K5301)</f>
        <v>20500</v>
      </c>
      <c r="D5301" s="6" t="b">
        <v>0</v>
      </c>
      <c r="E5301" s="6"/>
      <c r="F5301" s="6"/>
      <c r="G5301" s="115" t="b">
        <f>VLOOKUP(I5294,FS_input_noty,J5294,TRUE)=""</f>
        <v>0</v>
      </c>
      <c r="H5301" s="6" t="s">
        <v>2189</v>
      </c>
      <c r="I5301" t="s">
        <v>1980</v>
      </c>
      <c r="J5301">
        <v>8</v>
      </c>
      <c r="L5301" s="26" t="e">
        <f t="shared" si="300"/>
        <v>#VALUE!</v>
      </c>
    </row>
    <row r="5302" spans="1:12" x14ac:dyDescent="0.35">
      <c r="A5302">
        <f t="shared" si="301"/>
        <v>5301</v>
      </c>
      <c r="B5302" t="s">
        <v>112</v>
      </c>
      <c r="C5302" s="109" t="str">
        <f>IF(ISBLANK(K5302),IFERROR(VLOOKUP(I5302,FS_input_data!$C$458:$N$648,Export!J5302,FALSE),""),K5302)</f>
        <v/>
      </c>
      <c r="D5302" s="6"/>
      <c r="E5302" s="6"/>
      <c r="F5302" s="6"/>
      <c r="G5302" s="115" t="b">
        <f>VLOOKUP(I5294,FS_input_noty,J5294,FALSE)=""</f>
        <v>0</v>
      </c>
      <c r="H5302" s="6" t="s">
        <v>2189</v>
      </c>
      <c r="I5302" t="s">
        <v>1561</v>
      </c>
      <c r="J5302" t="s">
        <v>1561</v>
      </c>
      <c r="L5302">
        <f t="shared" si="300"/>
        <v>1</v>
      </c>
    </row>
    <row r="5303" spans="1:12" x14ac:dyDescent="0.35">
      <c r="A5303" s="9">
        <f t="shared" si="301"/>
        <v>5302</v>
      </c>
      <c r="B5303" t="s">
        <v>749</v>
      </c>
      <c r="C5303" s="109">
        <f>IF(ISBLANK(K5303),IFERROR(VLOOKUP(I5303,FS_input_data!$C$458:$N$648,Export!J5303,FALSE),""),K5303)</f>
        <v>20500</v>
      </c>
      <c r="D5303" s="6" t="b">
        <v>0</v>
      </c>
      <c r="E5303" s="6"/>
      <c r="F5303" s="6"/>
      <c r="G5303" s="115" t="b">
        <f>VLOOKUP(I5294,FS_input_noty,J5294,FALSE)=""</f>
        <v>0</v>
      </c>
      <c r="H5303" s="6" t="s">
        <v>2189</v>
      </c>
      <c r="I5303" t="s">
        <v>1980</v>
      </c>
      <c r="J5303">
        <v>9</v>
      </c>
      <c r="L5303" s="26" t="e">
        <f t="shared" si="300"/>
        <v>#VALUE!</v>
      </c>
    </row>
    <row r="5304" spans="1:12" x14ac:dyDescent="0.35">
      <c r="A5304">
        <f t="shared" si="301"/>
        <v>5303</v>
      </c>
      <c r="B5304" t="s">
        <v>750</v>
      </c>
      <c r="C5304" s="109" t="str">
        <f>IF(ISBLANK(K5304),IFERROR(VLOOKUP(I5304,FS_input_data!$C$458:$N$648,Export!J5304,FALSE),""),K5304)</f>
        <v/>
      </c>
      <c r="D5304" s="6"/>
      <c r="E5304" s="6"/>
      <c r="F5304" s="6"/>
      <c r="G5304" s="115" t="b">
        <f>VLOOKUP(I5294,FS_input_noty,J5294,FALSE)=""</f>
        <v>0</v>
      </c>
      <c r="H5304" s="6" t="s">
        <v>2189</v>
      </c>
      <c r="I5304" t="s">
        <v>1561</v>
      </c>
      <c r="J5304" t="s">
        <v>1561</v>
      </c>
      <c r="L5304">
        <f t="shared" si="300"/>
        <v>1</v>
      </c>
    </row>
    <row r="5305" spans="1:12" x14ac:dyDescent="0.35">
      <c r="A5305">
        <f t="shared" si="301"/>
        <v>5304</v>
      </c>
      <c r="B5305" t="s">
        <v>751</v>
      </c>
      <c r="C5305" s="109" t="str">
        <f>IF(ISBLANK(K5305),IFERROR(VLOOKUP(I5305,FS_input_data!$C$458:$N$648,Export!J5305,FALSE),""),K5305)</f>
        <v/>
      </c>
      <c r="D5305" s="6"/>
      <c r="E5305" s="6"/>
      <c r="F5305" s="6"/>
      <c r="G5305" s="115" t="b">
        <f>VLOOKUP(I5294,FS_input_noty,J5294,FALSE)=""</f>
        <v>0</v>
      </c>
      <c r="H5305" s="6" t="s">
        <v>2189</v>
      </c>
      <c r="I5305" t="s">
        <v>1561</v>
      </c>
      <c r="J5305" t="s">
        <v>1561</v>
      </c>
      <c r="L5305">
        <f t="shared" si="300"/>
        <v>1</v>
      </c>
    </row>
    <row r="5306" spans="1:12" x14ac:dyDescent="0.35">
      <c r="A5306">
        <f t="shared" si="301"/>
        <v>5305</v>
      </c>
      <c r="B5306" t="s">
        <v>754</v>
      </c>
      <c r="C5306" s="109" t="str">
        <f>IF(ISBLANK(K5306),IFERROR(VLOOKUP(I5306,FS_input_data!$C$458:$N$648,Export!J5306,FALSE),""),K5306)</f>
        <v/>
      </c>
      <c r="D5306" s="6"/>
      <c r="E5306" s="6"/>
      <c r="F5306" s="6"/>
      <c r="G5306" s="115" t="b">
        <f>VLOOKUP(I5294,FS_input_noty,J5294,FALSE)=""</f>
        <v>0</v>
      </c>
      <c r="H5306" s="6" t="s">
        <v>2189</v>
      </c>
      <c r="I5306" t="s">
        <v>1561</v>
      </c>
      <c r="J5306" t="s">
        <v>1561</v>
      </c>
      <c r="L5306" s="26" t="e">
        <f t="shared" si="300"/>
        <v>#VALUE!</v>
      </c>
    </row>
    <row r="5307" spans="1:12" x14ac:dyDescent="0.35">
      <c r="A5307" s="9">
        <f t="shared" si="301"/>
        <v>5306</v>
      </c>
      <c r="B5307" t="s">
        <v>755</v>
      </c>
      <c r="C5307" s="109">
        <f>IF(ISBLANK(K5307),IFERROR(VLOOKUP(I5307,FS_input_data!$C$458:$N$648,Export!J5307,FALSE),""),K5307)</f>
        <v>85</v>
      </c>
      <c r="D5307" s="6" t="b">
        <v>1</v>
      </c>
      <c r="E5307" s="6"/>
      <c r="F5307" s="6"/>
      <c r="G5307" s="115" t="b">
        <f>VLOOKUP(I5294,FS_input_noty,J5294,FALSE)=""</f>
        <v>0</v>
      </c>
      <c r="H5307" s="6" t="s">
        <v>2189</v>
      </c>
      <c r="I5307" t="s">
        <v>1980</v>
      </c>
      <c r="J5307">
        <v>2</v>
      </c>
      <c r="L5307" s="26" t="e">
        <f t="shared" si="300"/>
        <v>#VALUE!</v>
      </c>
    </row>
    <row r="5308" spans="1:12" x14ac:dyDescent="0.35">
      <c r="A5308">
        <f t="shared" si="301"/>
        <v>5307</v>
      </c>
      <c r="B5308" t="s">
        <v>756</v>
      </c>
      <c r="C5308" s="109" t="str">
        <f>IF(ISBLANK(K5308),IFERROR(VLOOKUP(I5308,FS_input_data!$C$458:$N$648,Export!J5308,FALSE),""),K5308)</f>
        <v/>
      </c>
      <c r="D5308" s="6"/>
      <c r="E5308" s="6"/>
      <c r="F5308" s="6"/>
      <c r="G5308" s="115" t="b">
        <f>VLOOKUP(I5294,FS_input_noty,J5294,FALSE)=""</f>
        <v>0</v>
      </c>
      <c r="H5308" s="6" t="s">
        <v>2189</v>
      </c>
      <c r="I5308" t="s">
        <v>1561</v>
      </c>
      <c r="J5308" t="s">
        <v>1561</v>
      </c>
      <c r="L5308">
        <f t="shared" si="300"/>
        <v>1</v>
      </c>
    </row>
    <row r="5309" spans="1:12" x14ac:dyDescent="0.35">
      <c r="A5309" s="9">
        <f t="shared" si="301"/>
        <v>5308</v>
      </c>
      <c r="B5309" t="s">
        <v>757</v>
      </c>
      <c r="C5309" s="109">
        <f>IF(ISBLANK(K5309),IFERROR(VLOOKUP(I5309,FS_input_data!$C$458:$N$648,Export!J5309,FALSE),""),K5309)</f>
        <v>185</v>
      </c>
      <c r="D5309" s="6" t="b">
        <v>0</v>
      </c>
      <c r="E5309" s="6"/>
      <c r="F5309" s="6"/>
      <c r="G5309" s="115" t="b">
        <f>VLOOKUP(I5294,FS_input_noty,J5294,FALSE)=""</f>
        <v>0</v>
      </c>
      <c r="H5309" s="6" t="s">
        <v>2189</v>
      </c>
      <c r="I5309" t="s">
        <v>1980</v>
      </c>
      <c r="J5309">
        <v>3</v>
      </c>
      <c r="L5309" s="26" t="e">
        <f t="shared" si="300"/>
        <v>#VALUE!</v>
      </c>
    </row>
    <row r="5310" spans="1:12" x14ac:dyDescent="0.35">
      <c r="A5310">
        <f t="shared" si="301"/>
        <v>5309</v>
      </c>
      <c r="B5310" t="s">
        <v>758</v>
      </c>
      <c r="C5310" s="109" t="str">
        <f>IF(ISBLANK(K5310),IFERROR(VLOOKUP(I5310,FS_input_data!$C$458:$N$648,Export!J5310,FALSE),""),K5310)</f>
        <v/>
      </c>
      <c r="D5310" s="6"/>
      <c r="E5310" s="6"/>
      <c r="F5310" s="6"/>
      <c r="G5310" s="115" t="b">
        <f>VLOOKUP(I5294,FS_input_noty,J5294,FALSE)=""</f>
        <v>0</v>
      </c>
      <c r="H5310" s="6" t="s">
        <v>2189</v>
      </c>
      <c r="I5310" t="s">
        <v>1561</v>
      </c>
      <c r="J5310" t="s">
        <v>1561</v>
      </c>
      <c r="L5310">
        <f t="shared" si="300"/>
        <v>1</v>
      </c>
    </row>
    <row r="5311" spans="1:12" x14ac:dyDescent="0.35">
      <c r="A5311" s="9">
        <f t="shared" si="301"/>
        <v>5310</v>
      </c>
      <c r="B5311" t="s">
        <v>759</v>
      </c>
      <c r="C5311" s="109">
        <f>IF(ISBLANK(K5311),IFERROR(VLOOKUP(I5311,FS_input_data!$C$458:$N$648,Export!J5311,FALSE),""),K5311)</f>
        <v>285</v>
      </c>
      <c r="D5311" s="6" t="b">
        <v>0</v>
      </c>
      <c r="E5311" s="6"/>
      <c r="F5311" s="6"/>
      <c r="G5311" s="115" t="b">
        <f>VLOOKUP(I5294,FS_input_noty,J5294,FALSE)=""</f>
        <v>0</v>
      </c>
      <c r="H5311" s="6" t="s">
        <v>2189</v>
      </c>
      <c r="I5311" t="s">
        <v>1980</v>
      </c>
      <c r="J5311">
        <v>4</v>
      </c>
      <c r="L5311" s="26" t="e">
        <f t="shared" si="300"/>
        <v>#VALUE!</v>
      </c>
    </row>
    <row r="5312" spans="1:12" x14ac:dyDescent="0.35">
      <c r="A5312">
        <f t="shared" si="301"/>
        <v>5311</v>
      </c>
      <c r="B5312" t="s">
        <v>760</v>
      </c>
      <c r="C5312" s="109" t="str">
        <f>IF(ISBLANK(K5312),IFERROR(VLOOKUP(I5312,FS_input_data!$C$458:$N$648,Export!J5312,FALSE),""),K5312)</f>
        <v/>
      </c>
      <c r="D5312" s="6"/>
      <c r="E5312" s="6"/>
      <c r="F5312" s="6"/>
      <c r="G5312" s="115" t="b">
        <f>VLOOKUP(I5294,FS_input_noty,J5294,FALSE)=""</f>
        <v>0</v>
      </c>
      <c r="H5312" s="6" t="s">
        <v>2189</v>
      </c>
      <c r="I5312" t="s">
        <v>1561</v>
      </c>
      <c r="J5312" t="s">
        <v>1561</v>
      </c>
      <c r="L5312">
        <f t="shared" si="300"/>
        <v>1</v>
      </c>
    </row>
    <row r="5313" spans="1:12" x14ac:dyDescent="0.35">
      <c r="A5313" s="9">
        <f t="shared" si="301"/>
        <v>5312</v>
      </c>
      <c r="B5313" t="s">
        <v>761</v>
      </c>
      <c r="C5313" s="109" t="str">
        <f>IF(ISBLANK(K5313),IFERROR(VLOOKUP(I5313,FS_input_data!$C$458:$N$648,Export!J5313,FALSE),""),K5313)</f>
        <v>i</v>
      </c>
      <c r="D5313" s="6" t="b">
        <v>0</v>
      </c>
      <c r="E5313" s="6"/>
      <c r="F5313" s="6"/>
      <c r="G5313" s="115" t="b">
        <f>VLOOKUP(I5294,FS_input_noty,J5294,FALSE)=""</f>
        <v>0</v>
      </c>
      <c r="H5313" s="6" t="s">
        <v>2189</v>
      </c>
      <c r="I5313" t="s">
        <v>1980</v>
      </c>
      <c r="J5313">
        <v>5</v>
      </c>
      <c r="L5313" s="26" t="e">
        <f t="shared" si="300"/>
        <v>#VALUE!</v>
      </c>
    </row>
    <row r="5314" spans="1:12" x14ac:dyDescent="0.35">
      <c r="A5314">
        <f t="shared" si="301"/>
        <v>5313</v>
      </c>
      <c r="B5314" t="s">
        <v>762</v>
      </c>
      <c r="C5314" s="109" t="str">
        <f>IF(ISBLANK(K5314),IFERROR(VLOOKUP(I5314,FS_input_data!$C$458:$N$648,Export!J5314,FALSE),""),K5314)</f>
        <v/>
      </c>
      <c r="D5314" s="6"/>
      <c r="E5314" s="6"/>
      <c r="F5314" s="6"/>
      <c r="G5314" s="115" t="b">
        <f>VLOOKUP(I5294,FS_input_noty,J5294,FALSE)=""</f>
        <v>0</v>
      </c>
      <c r="H5314" s="6" t="s">
        <v>2189</v>
      </c>
      <c r="I5314" t="s">
        <v>1561</v>
      </c>
      <c r="J5314" t="s">
        <v>1561</v>
      </c>
      <c r="L5314">
        <f t="shared" ref="L5314:L5377" si="303">FIND("/",B5314)</f>
        <v>1</v>
      </c>
    </row>
    <row r="5315" spans="1:12" x14ac:dyDescent="0.35">
      <c r="A5315">
        <f t="shared" ref="A5315:A5378" si="304">A5314+1</f>
        <v>5314</v>
      </c>
      <c r="B5315" t="s">
        <v>763</v>
      </c>
      <c r="C5315" s="109" t="str">
        <f>IF(ISBLANK(K5315),IFERROR(VLOOKUP(I5315,FS_input_data!$C$458:$N$648,Export!J5315,FALSE),""),K5315)</f>
        <v/>
      </c>
      <c r="D5315" s="6"/>
      <c r="E5315" s="6"/>
      <c r="F5315" s="6"/>
      <c r="G5315" s="115" t="b">
        <f>VLOOKUP(I5294,FS_input_noty,J5294,FALSE)=""</f>
        <v>0</v>
      </c>
      <c r="H5315" s="6" t="s">
        <v>2189</v>
      </c>
      <c r="I5315" t="s">
        <v>1561</v>
      </c>
      <c r="J5315" t="s">
        <v>1561</v>
      </c>
      <c r="L5315">
        <f t="shared" si="303"/>
        <v>1</v>
      </c>
    </row>
    <row r="5316" spans="1:12" x14ac:dyDescent="0.35">
      <c r="A5316">
        <f t="shared" si="304"/>
        <v>5315</v>
      </c>
      <c r="B5316" t="s">
        <v>743</v>
      </c>
      <c r="C5316" s="109" t="str">
        <f>IF(ISBLANK(K5316),IFERROR(VLOOKUP(I5316,FS_input_data!$C$458:$N$648,Export!J5316,FALSE),""),K5316)</f>
        <v/>
      </c>
      <c r="D5316" s="6"/>
      <c r="E5316" s="6"/>
      <c r="F5316" s="6"/>
      <c r="G5316" s="115" t="b">
        <f>VLOOKUP(I5294,FS_input_noty,J5294,FALSE)=""</f>
        <v>0</v>
      </c>
      <c r="H5316" s="6" t="s">
        <v>2189</v>
      </c>
      <c r="I5316" t="s">
        <v>1561</v>
      </c>
      <c r="J5316" t="s">
        <v>1561</v>
      </c>
      <c r="L5316">
        <f t="shared" si="303"/>
        <v>1</v>
      </c>
    </row>
    <row r="5317" spans="1:12" x14ac:dyDescent="0.35">
      <c r="A5317">
        <f t="shared" si="304"/>
        <v>5316</v>
      </c>
      <c r="B5317" t="s">
        <v>744</v>
      </c>
      <c r="C5317" s="109" t="str">
        <f>IF(ISBLANK(K5317),IFERROR(VLOOKUP(I5317,FS_input_data!$C$458:$N$648,Export!J5317,FALSE),""),K5317)</f>
        <v/>
      </c>
      <c r="D5317" s="6"/>
      <c r="E5317" s="6"/>
      <c r="F5317" s="6"/>
      <c r="G5317" s="115" t="b">
        <f t="shared" ref="G5317:G5324" si="305">RP_tax</f>
        <v>1</v>
      </c>
      <c r="H5317" s="6" t="s">
        <v>2189</v>
      </c>
      <c r="I5317" t="s">
        <v>1561</v>
      </c>
      <c r="J5317" t="s">
        <v>1561</v>
      </c>
      <c r="L5317" s="26" t="e">
        <f t="shared" si="303"/>
        <v>#VALUE!</v>
      </c>
    </row>
    <row r="5318" spans="1:12" x14ac:dyDescent="0.35">
      <c r="A5318" s="9">
        <f t="shared" si="304"/>
        <v>5317</v>
      </c>
      <c r="B5318" t="s">
        <v>109</v>
      </c>
      <c r="C5318" s="109">
        <f>IF(ISBLANK(K5318),IFERROR(VLOOKUP(I5318,FS_input_data!$C$458:$N$648,Export!J5318,FALSE),""),K5318)</f>
        <v>41000</v>
      </c>
      <c r="D5318" s="6" t="b">
        <v>1</v>
      </c>
      <c r="E5318" s="6"/>
      <c r="F5318" s="6"/>
      <c r="G5318" s="115" t="b">
        <f t="shared" si="305"/>
        <v>1</v>
      </c>
      <c r="H5318" s="6" t="s">
        <v>2189</v>
      </c>
      <c r="I5318" t="s">
        <v>1980</v>
      </c>
      <c r="J5318">
        <v>10</v>
      </c>
      <c r="L5318" s="26" t="e">
        <f t="shared" si="303"/>
        <v>#VALUE!</v>
      </c>
    </row>
    <row r="5319" spans="1:12" x14ac:dyDescent="0.35">
      <c r="A5319">
        <f t="shared" si="304"/>
        <v>5318</v>
      </c>
      <c r="B5319" t="s">
        <v>110</v>
      </c>
      <c r="C5319" s="109" t="str">
        <f>IF(ISBLANK(K5319),IFERROR(VLOOKUP(I5319,FS_input_data!$C$458:$N$648,Export!J5319,FALSE),""),K5319)</f>
        <v/>
      </c>
      <c r="D5319" s="6"/>
      <c r="E5319" s="6"/>
      <c r="F5319" s="6"/>
      <c r="G5319" s="115" t="b">
        <f t="shared" si="305"/>
        <v>1</v>
      </c>
      <c r="H5319" s="6" t="s">
        <v>2189</v>
      </c>
      <c r="I5319" t="s">
        <v>1561</v>
      </c>
      <c r="J5319" t="s">
        <v>1561</v>
      </c>
      <c r="L5319">
        <f t="shared" si="303"/>
        <v>1</v>
      </c>
    </row>
    <row r="5320" spans="1:12" x14ac:dyDescent="0.35">
      <c r="A5320" s="9">
        <f t="shared" si="304"/>
        <v>5319</v>
      </c>
      <c r="B5320" t="s">
        <v>111</v>
      </c>
      <c r="C5320" s="109">
        <f>IF(ISBLANK(K5320),IFERROR(VLOOKUP(I5320,FS_input_data!$C$458:$N$648,Export!J5320,FALSE),""),K5320)</f>
        <v>20500</v>
      </c>
      <c r="D5320" s="6" t="b">
        <v>0</v>
      </c>
      <c r="E5320" s="6"/>
      <c r="F5320" s="6"/>
      <c r="G5320" s="115" t="b">
        <f t="shared" si="305"/>
        <v>1</v>
      </c>
      <c r="H5320" s="6" t="s">
        <v>2189</v>
      </c>
      <c r="I5320" t="s">
        <v>1980</v>
      </c>
      <c r="J5320">
        <v>11</v>
      </c>
      <c r="L5320" s="26" t="e">
        <f t="shared" si="303"/>
        <v>#VALUE!</v>
      </c>
    </row>
    <row r="5321" spans="1:12" x14ac:dyDescent="0.35">
      <c r="A5321">
        <f t="shared" si="304"/>
        <v>5320</v>
      </c>
      <c r="B5321" t="s">
        <v>112</v>
      </c>
      <c r="C5321" s="109" t="str">
        <f>IF(ISBLANK(K5321),IFERROR(VLOOKUP(I5321,FS_input_data!$C$458:$N$648,Export!J5321,FALSE),""),K5321)</f>
        <v/>
      </c>
      <c r="D5321" s="6"/>
      <c r="E5321" s="6"/>
      <c r="F5321" s="6"/>
      <c r="G5321" s="115" t="b">
        <f t="shared" si="305"/>
        <v>1</v>
      </c>
      <c r="H5321" s="6" t="s">
        <v>2189</v>
      </c>
      <c r="I5321" t="s">
        <v>1561</v>
      </c>
      <c r="J5321" t="s">
        <v>1561</v>
      </c>
      <c r="L5321">
        <f t="shared" si="303"/>
        <v>1</v>
      </c>
    </row>
    <row r="5322" spans="1:12" x14ac:dyDescent="0.35">
      <c r="A5322" s="9">
        <f t="shared" si="304"/>
        <v>5321</v>
      </c>
      <c r="B5322" t="s">
        <v>749</v>
      </c>
      <c r="C5322" s="109">
        <f>IF(ISBLANK(K5322),IFERROR(VLOOKUP(I5322,FS_input_data!$C$458:$N$648,Export!J5322,FALSE),""),K5322)</f>
        <v>20500</v>
      </c>
      <c r="D5322" s="6" t="b">
        <v>0</v>
      </c>
      <c r="E5322" s="6"/>
      <c r="F5322" s="6"/>
      <c r="G5322" s="115" t="b">
        <f t="shared" si="305"/>
        <v>1</v>
      </c>
      <c r="H5322" s="6" t="s">
        <v>2189</v>
      </c>
      <c r="I5322" t="s">
        <v>1980</v>
      </c>
      <c r="J5322">
        <v>12</v>
      </c>
      <c r="L5322" s="26" t="e">
        <f t="shared" si="303"/>
        <v>#VALUE!</v>
      </c>
    </row>
    <row r="5323" spans="1:12" x14ac:dyDescent="0.35">
      <c r="A5323">
        <f t="shared" si="304"/>
        <v>5322</v>
      </c>
      <c r="B5323" t="s">
        <v>750</v>
      </c>
      <c r="C5323" s="109" t="str">
        <f>IF(ISBLANK(K5323),IFERROR(VLOOKUP(I5323,FS_input_data!$C$458:$N$648,Export!J5323,FALSE),""),K5323)</f>
        <v/>
      </c>
      <c r="D5323" s="6"/>
      <c r="E5323" s="6"/>
      <c r="F5323" s="6"/>
      <c r="G5323" s="115" t="b">
        <f t="shared" si="305"/>
        <v>1</v>
      </c>
      <c r="H5323" s="6" t="s">
        <v>2189</v>
      </c>
      <c r="I5323" t="s">
        <v>1561</v>
      </c>
      <c r="J5323" t="s">
        <v>1561</v>
      </c>
      <c r="L5323">
        <f t="shared" si="303"/>
        <v>1</v>
      </c>
    </row>
    <row r="5324" spans="1:12" x14ac:dyDescent="0.35">
      <c r="A5324">
        <f t="shared" si="304"/>
        <v>5323</v>
      </c>
      <c r="B5324" t="s">
        <v>745</v>
      </c>
      <c r="C5324" s="109" t="str">
        <f>IF(ISBLANK(K5324),IFERROR(VLOOKUP(I5324,FS_input_data!$C$458:$N$648,Export!J5324,FALSE),""),K5324)</f>
        <v/>
      </c>
      <c r="D5324" s="6"/>
      <c r="E5324" s="6"/>
      <c r="F5324" s="6"/>
      <c r="G5324" s="115" t="b">
        <f t="shared" si="305"/>
        <v>1</v>
      </c>
      <c r="H5324" s="6" t="s">
        <v>2189</v>
      </c>
      <c r="I5324" t="s">
        <v>1561</v>
      </c>
      <c r="J5324" t="s">
        <v>1561</v>
      </c>
      <c r="L5324">
        <f t="shared" si="303"/>
        <v>1</v>
      </c>
    </row>
    <row r="5325" spans="1:12" x14ac:dyDescent="0.35">
      <c r="A5325">
        <f t="shared" si="304"/>
        <v>5324</v>
      </c>
      <c r="B5325" t="s">
        <v>764</v>
      </c>
      <c r="C5325" s="109" t="str">
        <f>IF(ISBLANK(K5325),IFERROR(VLOOKUP(I5325,FS_input_data!$C$458:$N$648,Export!J5325,FALSE),""),K5325)</f>
        <v/>
      </c>
      <c r="D5325" s="6"/>
      <c r="E5325" s="6"/>
      <c r="F5325" s="6"/>
      <c r="G5325" s="115" t="b">
        <f>VLOOKUP(I5294,FS_input_noty,J5294,FALSE)=""</f>
        <v>0</v>
      </c>
      <c r="H5325" s="6" t="s">
        <v>2189</v>
      </c>
      <c r="I5325" t="s">
        <v>1561</v>
      </c>
      <c r="J5325" t="s">
        <v>1561</v>
      </c>
      <c r="L5325">
        <f t="shared" si="303"/>
        <v>1</v>
      </c>
    </row>
    <row r="5326" spans="1:12" x14ac:dyDescent="0.35">
      <c r="A5326">
        <f t="shared" si="304"/>
        <v>5325</v>
      </c>
      <c r="B5326" t="s">
        <v>765</v>
      </c>
      <c r="C5326" s="109" t="str">
        <f>IF(ISBLANK(K5326),IFERROR(VLOOKUP(I5326,FS_input_data!$C$458:$N$648,Export!J5326,FALSE),""),K5326)</f>
        <v/>
      </c>
      <c r="D5326" s="6"/>
      <c r="E5326" s="6"/>
      <c r="F5326" s="6"/>
      <c r="G5326" s="115" t="b">
        <f>VLOOKUP(I5294,FS_input_noty,J5294,FALSE)=""</f>
        <v>0</v>
      </c>
      <c r="H5326" s="6" t="s">
        <v>2189</v>
      </c>
      <c r="I5326" t="s">
        <v>1561</v>
      </c>
      <c r="J5326" t="s">
        <v>1561</v>
      </c>
      <c r="L5326">
        <f t="shared" si="303"/>
        <v>1</v>
      </c>
    </row>
    <row r="5327" spans="1:12" x14ac:dyDescent="0.35">
      <c r="A5327">
        <f t="shared" si="304"/>
        <v>5326</v>
      </c>
      <c r="B5327" t="s">
        <v>752</v>
      </c>
      <c r="C5327" s="109" t="str">
        <f>IF(ISBLANK(K5327),IFERROR(VLOOKUP(I5327,FS_input_data!$C$458:$N$648,Export!J5327,FALSE),""),K5327)</f>
        <v/>
      </c>
      <c r="D5327" s="6"/>
      <c r="E5327" s="6"/>
      <c r="F5327" s="6"/>
      <c r="G5327" s="115" t="b">
        <f>VLOOKUP(I5328,FS_input_noty,J5328,FALSE)=""</f>
        <v>0</v>
      </c>
      <c r="H5327" s="6" t="s">
        <v>2189</v>
      </c>
      <c r="I5327" t="s">
        <v>1561</v>
      </c>
      <c r="J5327" t="s">
        <v>1561</v>
      </c>
      <c r="L5327" s="26" t="e">
        <f t="shared" si="303"/>
        <v>#VALUE!</v>
      </c>
    </row>
    <row r="5328" spans="1:12" x14ac:dyDescent="0.35">
      <c r="A5328" s="9">
        <f t="shared" si="304"/>
        <v>5327</v>
      </c>
      <c r="B5328" t="s">
        <v>101</v>
      </c>
      <c r="C5328" s="109" t="str">
        <f>IF(ISBLANK(K5328),IFERROR(VLOOKUP(I5328,FS_input_data!$C$458:$N$648,Export!J5328,FALSE),""),K5328)</f>
        <v>OC63</v>
      </c>
      <c r="D5328" s="6" t="b">
        <v>1</v>
      </c>
      <c r="E5328" s="6"/>
      <c r="F5328" s="6"/>
      <c r="G5328" s="115" t="b">
        <f>VLOOKUP(I5328,FS_input_noty,J5328,FALSE)=""</f>
        <v>0</v>
      </c>
      <c r="H5328" s="6" t="s">
        <v>2189</v>
      </c>
      <c r="I5328" t="s">
        <v>1982</v>
      </c>
      <c r="J5328">
        <v>6</v>
      </c>
      <c r="L5328" s="26" t="e">
        <f t="shared" si="303"/>
        <v>#VALUE!</v>
      </c>
    </row>
    <row r="5329" spans="1:12" x14ac:dyDescent="0.35">
      <c r="A5329">
        <f t="shared" si="304"/>
        <v>5328</v>
      </c>
      <c r="B5329" t="s">
        <v>102</v>
      </c>
      <c r="C5329" s="109" t="str">
        <f>IF(ISBLANK(K5329),IFERROR(VLOOKUP(I5329,FS_input_data!$C$458:$N$648,Export!J5329,FALSE),""),K5329)</f>
        <v/>
      </c>
      <c r="D5329" s="6"/>
      <c r="E5329" s="6"/>
      <c r="F5329" s="6"/>
      <c r="G5329" s="115" t="b">
        <f>VLOOKUP(I5328,FS_input_noty,J5328,FALSE)=""</f>
        <v>0</v>
      </c>
      <c r="H5329" s="6" t="s">
        <v>2189</v>
      </c>
      <c r="I5329" t="s">
        <v>1561</v>
      </c>
      <c r="J5329" t="s">
        <v>1561</v>
      </c>
      <c r="L5329">
        <f t="shared" si="303"/>
        <v>1</v>
      </c>
    </row>
    <row r="5330" spans="1:12" x14ac:dyDescent="0.35">
      <c r="A5330">
        <f t="shared" si="304"/>
        <v>5329</v>
      </c>
      <c r="B5330" t="s">
        <v>753</v>
      </c>
      <c r="C5330" s="109" t="str">
        <f>IF(ISBLANK(K5330),IFERROR(VLOOKUP(I5330,FS_input_data!$C$458:$N$648,Export!J5330,FALSE),""),K5330)</f>
        <v/>
      </c>
      <c r="D5330" s="6"/>
      <c r="E5330" s="6"/>
      <c r="F5330" s="6"/>
      <c r="G5330" s="115" t="b">
        <f>VLOOKUP(I5328,FS_input_noty,J5328,FALSE)=""</f>
        <v>0</v>
      </c>
      <c r="H5330" s="6" t="s">
        <v>2189</v>
      </c>
      <c r="I5330" t="s">
        <v>1561</v>
      </c>
      <c r="J5330" t="s">
        <v>1561</v>
      </c>
      <c r="L5330" s="26" t="e">
        <f t="shared" si="303"/>
        <v>#VALUE!</v>
      </c>
    </row>
    <row r="5331" spans="1:12" x14ac:dyDescent="0.35">
      <c r="A5331">
        <f t="shared" si="304"/>
        <v>5330</v>
      </c>
      <c r="B5331" t="s">
        <v>742</v>
      </c>
      <c r="C5331" s="109" t="str">
        <f>IF(ISBLANK(K5331),IFERROR(VLOOKUP(I5331,FS_input_data!$C$458:$N$648,Export!J5331,FALSE),""),K5331)</f>
        <v/>
      </c>
      <c r="D5331" s="6"/>
      <c r="E5331" s="6"/>
      <c r="F5331" s="6"/>
      <c r="G5331" s="115" t="b">
        <f>VLOOKUP(I5328,FS_input_noty,J5328,FALSE)=""</f>
        <v>0</v>
      </c>
      <c r="H5331" s="6" t="s">
        <v>2189</v>
      </c>
      <c r="I5331" t="s">
        <v>1561</v>
      </c>
      <c r="J5331" t="s">
        <v>1561</v>
      </c>
      <c r="L5331" s="26" t="e">
        <f t="shared" si="303"/>
        <v>#VALUE!</v>
      </c>
    </row>
    <row r="5332" spans="1:12" x14ac:dyDescent="0.35">
      <c r="A5332">
        <f t="shared" si="304"/>
        <v>5331</v>
      </c>
      <c r="B5332" t="s">
        <v>748</v>
      </c>
      <c r="C5332" s="109" t="str">
        <f>IF(ISBLANK(K5332),IFERROR(VLOOKUP(I5332,FS_input_data!$C$458:$N$648,Export!J5332,FALSE),""),K5332)</f>
        <v/>
      </c>
      <c r="D5332" s="6"/>
      <c r="E5332" s="6"/>
      <c r="F5332" s="6"/>
      <c r="G5332" s="115" t="b">
        <f>VLOOKUP(I5328,FS_input_noty,J5328,FALSE)=""</f>
        <v>0</v>
      </c>
      <c r="H5332" s="6" t="s">
        <v>2189</v>
      </c>
      <c r="I5332" t="s">
        <v>1561</v>
      </c>
      <c r="J5332" t="s">
        <v>1561</v>
      </c>
      <c r="L5332" s="26" t="e">
        <f t="shared" si="303"/>
        <v>#VALUE!</v>
      </c>
    </row>
    <row r="5333" spans="1:12" x14ac:dyDescent="0.35">
      <c r="A5333" s="9">
        <f t="shared" si="304"/>
        <v>5332</v>
      </c>
      <c r="B5333" t="s">
        <v>109</v>
      </c>
      <c r="C5333" s="109">
        <f>IF(ISBLANK(K5333),IFERROR(VLOOKUP(I5333,FS_input_data!$C$458:$N$648,Export!J5333,FALSE),""),K5333)</f>
        <v>42000</v>
      </c>
      <c r="D5333" s="6" t="b">
        <v>1</v>
      </c>
      <c r="E5333" s="6"/>
      <c r="F5333" s="6"/>
      <c r="G5333" s="115" t="b">
        <f>VLOOKUP(I5328,FS_input_noty,J5328,FALSE)=""</f>
        <v>0</v>
      </c>
      <c r="H5333" s="6" t="s">
        <v>2189</v>
      </c>
      <c r="I5333" t="s">
        <v>1982</v>
      </c>
      <c r="J5333">
        <v>7</v>
      </c>
      <c r="L5333" s="26" t="e">
        <f t="shared" si="303"/>
        <v>#VALUE!</v>
      </c>
    </row>
    <row r="5334" spans="1:12" x14ac:dyDescent="0.35">
      <c r="A5334">
        <f t="shared" si="304"/>
        <v>5333</v>
      </c>
      <c r="B5334" t="s">
        <v>110</v>
      </c>
      <c r="C5334" s="109" t="str">
        <f>IF(ISBLANK(K5334),IFERROR(VLOOKUP(I5334,FS_input_data!$C$458:$N$648,Export!J5334,FALSE),""),K5334)</f>
        <v/>
      </c>
      <c r="D5334" s="6"/>
      <c r="E5334" s="6"/>
      <c r="F5334" s="6"/>
      <c r="G5334" s="115" t="b">
        <f>VLOOKUP(I5328,FS_input_noty,J5328,FALSE)=""</f>
        <v>0</v>
      </c>
      <c r="H5334" s="6" t="s">
        <v>2189</v>
      </c>
      <c r="I5334" t="s">
        <v>1561</v>
      </c>
      <c r="J5334" t="s">
        <v>1561</v>
      </c>
      <c r="L5334">
        <f t="shared" si="303"/>
        <v>1</v>
      </c>
    </row>
    <row r="5335" spans="1:12" x14ac:dyDescent="0.35">
      <c r="A5335" s="9">
        <f t="shared" si="304"/>
        <v>5334</v>
      </c>
      <c r="B5335" t="s">
        <v>111</v>
      </c>
      <c r="C5335" s="109">
        <f>IF(ISBLANK(K5335),IFERROR(VLOOKUP(I5335,FS_input_data!$C$458:$N$648,Export!J5335,FALSE),""),K5335)</f>
        <v>21000</v>
      </c>
      <c r="D5335" s="6" t="b">
        <v>0</v>
      </c>
      <c r="E5335" s="6"/>
      <c r="F5335" s="6"/>
      <c r="G5335" s="115" t="b">
        <f>VLOOKUP(I5328,FS_input_noty,J5328,TRUE)=""</f>
        <v>0</v>
      </c>
      <c r="H5335" s="6" t="s">
        <v>2189</v>
      </c>
      <c r="I5335" t="s">
        <v>1982</v>
      </c>
      <c r="J5335">
        <v>8</v>
      </c>
      <c r="L5335" s="26" t="e">
        <f t="shared" si="303"/>
        <v>#VALUE!</v>
      </c>
    </row>
    <row r="5336" spans="1:12" x14ac:dyDescent="0.35">
      <c r="A5336">
        <f t="shared" si="304"/>
        <v>5335</v>
      </c>
      <c r="B5336" t="s">
        <v>112</v>
      </c>
      <c r="C5336" s="109" t="str">
        <f>IF(ISBLANK(K5336),IFERROR(VLOOKUP(I5336,FS_input_data!$C$458:$N$648,Export!J5336,FALSE),""),K5336)</f>
        <v/>
      </c>
      <c r="D5336" s="6"/>
      <c r="E5336" s="6"/>
      <c r="F5336" s="6"/>
      <c r="G5336" s="115" t="b">
        <f>VLOOKUP(I5328,FS_input_noty,J5328,FALSE)=""</f>
        <v>0</v>
      </c>
      <c r="H5336" s="6" t="s">
        <v>2189</v>
      </c>
      <c r="I5336" t="s">
        <v>1561</v>
      </c>
      <c r="J5336" t="s">
        <v>1561</v>
      </c>
      <c r="L5336">
        <f t="shared" si="303"/>
        <v>1</v>
      </c>
    </row>
    <row r="5337" spans="1:12" x14ac:dyDescent="0.35">
      <c r="A5337" s="9">
        <f t="shared" si="304"/>
        <v>5336</v>
      </c>
      <c r="B5337" t="s">
        <v>749</v>
      </c>
      <c r="C5337" s="109">
        <f>IF(ISBLANK(K5337),IFERROR(VLOOKUP(I5337,FS_input_data!$C$458:$N$648,Export!J5337,FALSE),""),K5337)</f>
        <v>21000</v>
      </c>
      <c r="D5337" s="6" t="b">
        <v>0</v>
      </c>
      <c r="E5337" s="6"/>
      <c r="F5337" s="6"/>
      <c r="G5337" s="115" t="b">
        <f>VLOOKUP(I5328,FS_input_noty,J5328,FALSE)=""</f>
        <v>0</v>
      </c>
      <c r="H5337" s="6" t="s">
        <v>2189</v>
      </c>
      <c r="I5337" t="s">
        <v>1982</v>
      </c>
      <c r="J5337">
        <v>9</v>
      </c>
      <c r="L5337" s="26" t="e">
        <f t="shared" si="303"/>
        <v>#VALUE!</v>
      </c>
    </row>
    <row r="5338" spans="1:12" x14ac:dyDescent="0.35">
      <c r="A5338">
        <f t="shared" si="304"/>
        <v>5337</v>
      </c>
      <c r="B5338" t="s">
        <v>750</v>
      </c>
      <c r="C5338" s="109" t="str">
        <f>IF(ISBLANK(K5338),IFERROR(VLOOKUP(I5338,FS_input_data!$C$458:$N$648,Export!J5338,FALSE),""),K5338)</f>
        <v/>
      </c>
      <c r="D5338" s="6"/>
      <c r="E5338" s="6"/>
      <c r="F5338" s="6"/>
      <c r="G5338" s="115" t="b">
        <f>VLOOKUP(I5328,FS_input_noty,J5328,FALSE)=""</f>
        <v>0</v>
      </c>
      <c r="H5338" s="6" t="s">
        <v>2189</v>
      </c>
      <c r="I5338" t="s">
        <v>1561</v>
      </c>
      <c r="J5338" t="s">
        <v>1561</v>
      </c>
      <c r="L5338">
        <f t="shared" si="303"/>
        <v>1</v>
      </c>
    </row>
    <row r="5339" spans="1:12" x14ac:dyDescent="0.35">
      <c r="A5339">
        <f t="shared" si="304"/>
        <v>5338</v>
      </c>
      <c r="B5339" t="s">
        <v>751</v>
      </c>
      <c r="C5339" s="109" t="str">
        <f>IF(ISBLANK(K5339),IFERROR(VLOOKUP(I5339,FS_input_data!$C$458:$N$648,Export!J5339,FALSE),""),K5339)</f>
        <v/>
      </c>
      <c r="D5339" s="6"/>
      <c r="E5339" s="6"/>
      <c r="F5339" s="6"/>
      <c r="G5339" s="115" t="b">
        <f>VLOOKUP(I5328,FS_input_noty,J5328,FALSE)=""</f>
        <v>0</v>
      </c>
      <c r="H5339" s="6" t="s">
        <v>2189</v>
      </c>
      <c r="I5339" t="s">
        <v>1561</v>
      </c>
      <c r="J5339" t="s">
        <v>1561</v>
      </c>
      <c r="L5339">
        <f t="shared" si="303"/>
        <v>1</v>
      </c>
    </row>
    <row r="5340" spans="1:12" x14ac:dyDescent="0.35">
      <c r="A5340">
        <f t="shared" si="304"/>
        <v>5339</v>
      </c>
      <c r="B5340" t="s">
        <v>754</v>
      </c>
      <c r="C5340" s="109" t="str">
        <f>IF(ISBLANK(K5340),IFERROR(VLOOKUP(I5340,FS_input_data!$C$458:$N$648,Export!J5340,FALSE),""),K5340)</f>
        <v/>
      </c>
      <c r="D5340" s="6"/>
      <c r="E5340" s="6"/>
      <c r="F5340" s="6"/>
      <c r="G5340" s="115" t="b">
        <f>VLOOKUP(I5328,FS_input_noty,J5328,FALSE)=""</f>
        <v>0</v>
      </c>
      <c r="H5340" s="6" t="s">
        <v>2189</v>
      </c>
      <c r="I5340" t="s">
        <v>1561</v>
      </c>
      <c r="J5340" t="s">
        <v>1561</v>
      </c>
      <c r="L5340" s="26" t="e">
        <f t="shared" si="303"/>
        <v>#VALUE!</v>
      </c>
    </row>
    <row r="5341" spans="1:12" x14ac:dyDescent="0.35">
      <c r="A5341" s="9">
        <f t="shared" si="304"/>
        <v>5340</v>
      </c>
      <c r="B5341" t="s">
        <v>755</v>
      </c>
      <c r="C5341" s="109">
        <f>IF(ISBLANK(K5341),IFERROR(VLOOKUP(I5341,FS_input_data!$C$458:$N$648,Export!J5341,FALSE),""),K5341)</f>
        <v>86</v>
      </c>
      <c r="D5341" s="6" t="b">
        <v>1</v>
      </c>
      <c r="E5341" s="6"/>
      <c r="F5341" s="6"/>
      <c r="G5341" s="115" t="b">
        <f>VLOOKUP(I5328,FS_input_noty,J5328,FALSE)=""</f>
        <v>0</v>
      </c>
      <c r="H5341" s="6" t="s">
        <v>2189</v>
      </c>
      <c r="I5341" t="s">
        <v>1982</v>
      </c>
      <c r="J5341">
        <v>2</v>
      </c>
      <c r="L5341" s="26" t="e">
        <f t="shared" si="303"/>
        <v>#VALUE!</v>
      </c>
    </row>
    <row r="5342" spans="1:12" x14ac:dyDescent="0.35">
      <c r="A5342">
        <f t="shared" si="304"/>
        <v>5341</v>
      </c>
      <c r="B5342" t="s">
        <v>756</v>
      </c>
      <c r="C5342" s="109" t="str">
        <f>IF(ISBLANK(K5342),IFERROR(VLOOKUP(I5342,FS_input_data!$C$458:$N$648,Export!J5342,FALSE),""),K5342)</f>
        <v/>
      </c>
      <c r="D5342" s="6"/>
      <c r="E5342" s="6"/>
      <c r="F5342" s="6"/>
      <c r="G5342" s="115" t="b">
        <f>VLOOKUP(I5328,FS_input_noty,J5328,FALSE)=""</f>
        <v>0</v>
      </c>
      <c r="H5342" s="6" t="s">
        <v>2189</v>
      </c>
      <c r="I5342" t="s">
        <v>1561</v>
      </c>
      <c r="J5342" t="s">
        <v>1561</v>
      </c>
      <c r="L5342">
        <f t="shared" si="303"/>
        <v>1</v>
      </c>
    </row>
    <row r="5343" spans="1:12" x14ac:dyDescent="0.35">
      <c r="A5343" s="9">
        <f t="shared" si="304"/>
        <v>5342</v>
      </c>
      <c r="B5343" t="s">
        <v>757</v>
      </c>
      <c r="C5343" s="109">
        <f>IF(ISBLANK(K5343),IFERROR(VLOOKUP(I5343,FS_input_data!$C$458:$N$648,Export!J5343,FALSE),""),K5343)</f>
        <v>186</v>
      </c>
      <c r="D5343" s="6" t="b">
        <v>0</v>
      </c>
      <c r="E5343" s="6"/>
      <c r="F5343" s="6"/>
      <c r="G5343" s="115" t="b">
        <f>VLOOKUP(I5328,FS_input_noty,J5328,FALSE)=""</f>
        <v>0</v>
      </c>
      <c r="H5343" s="6" t="s">
        <v>2189</v>
      </c>
      <c r="I5343" t="s">
        <v>1982</v>
      </c>
      <c r="J5343">
        <v>3</v>
      </c>
      <c r="L5343" s="26" t="e">
        <f t="shared" si="303"/>
        <v>#VALUE!</v>
      </c>
    </row>
    <row r="5344" spans="1:12" x14ac:dyDescent="0.35">
      <c r="A5344">
        <f t="shared" si="304"/>
        <v>5343</v>
      </c>
      <c r="B5344" t="s">
        <v>758</v>
      </c>
      <c r="C5344" s="109" t="str">
        <f>IF(ISBLANK(K5344),IFERROR(VLOOKUP(I5344,FS_input_data!$C$458:$N$648,Export!J5344,FALSE),""),K5344)</f>
        <v/>
      </c>
      <c r="D5344" s="6"/>
      <c r="E5344" s="6"/>
      <c r="F5344" s="6"/>
      <c r="G5344" s="115" t="b">
        <f>VLOOKUP(I5328,FS_input_noty,J5328,FALSE)=""</f>
        <v>0</v>
      </c>
      <c r="H5344" s="6" t="s">
        <v>2189</v>
      </c>
      <c r="I5344" t="s">
        <v>1561</v>
      </c>
      <c r="J5344" t="s">
        <v>1561</v>
      </c>
      <c r="L5344">
        <f t="shared" si="303"/>
        <v>1</v>
      </c>
    </row>
    <row r="5345" spans="1:12" x14ac:dyDescent="0.35">
      <c r="A5345" s="9">
        <f t="shared" si="304"/>
        <v>5344</v>
      </c>
      <c r="B5345" t="s">
        <v>759</v>
      </c>
      <c r="C5345" s="109">
        <f>IF(ISBLANK(K5345),IFERROR(VLOOKUP(I5345,FS_input_data!$C$458:$N$648,Export!J5345,FALSE),""),K5345)</f>
        <v>286</v>
      </c>
      <c r="D5345" s="6" t="b">
        <v>0</v>
      </c>
      <c r="E5345" s="6"/>
      <c r="F5345" s="6"/>
      <c r="G5345" s="115" t="b">
        <f>VLOOKUP(I5328,FS_input_noty,J5328,FALSE)=""</f>
        <v>0</v>
      </c>
      <c r="H5345" s="6" t="s">
        <v>2189</v>
      </c>
      <c r="I5345" t="s">
        <v>1982</v>
      </c>
      <c r="J5345">
        <v>4</v>
      </c>
      <c r="L5345" s="26" t="e">
        <f t="shared" si="303"/>
        <v>#VALUE!</v>
      </c>
    </row>
    <row r="5346" spans="1:12" x14ac:dyDescent="0.35">
      <c r="A5346">
        <f t="shared" si="304"/>
        <v>5345</v>
      </c>
      <c r="B5346" t="s">
        <v>760</v>
      </c>
      <c r="C5346" s="109" t="str">
        <f>IF(ISBLANK(K5346),IFERROR(VLOOKUP(I5346,FS_input_data!$C$458:$N$648,Export!J5346,FALSE),""),K5346)</f>
        <v/>
      </c>
      <c r="D5346" s="6"/>
      <c r="E5346" s="6"/>
      <c r="F5346" s="6"/>
      <c r="G5346" s="115" t="b">
        <f>VLOOKUP(I5328,FS_input_noty,J5328,FALSE)=""</f>
        <v>0</v>
      </c>
      <c r="H5346" s="6" t="s">
        <v>2189</v>
      </c>
      <c r="I5346" t="s">
        <v>1561</v>
      </c>
      <c r="J5346" t="s">
        <v>1561</v>
      </c>
      <c r="L5346">
        <f t="shared" si="303"/>
        <v>1</v>
      </c>
    </row>
    <row r="5347" spans="1:12" x14ac:dyDescent="0.35">
      <c r="A5347" s="9">
        <f t="shared" si="304"/>
        <v>5346</v>
      </c>
      <c r="B5347" t="s">
        <v>761</v>
      </c>
      <c r="C5347" s="109" t="str">
        <f>IF(ISBLANK(K5347),IFERROR(VLOOKUP(I5347,FS_input_data!$C$458:$N$648,Export!J5347,FALSE),""),K5347)</f>
        <v>o</v>
      </c>
      <c r="D5347" s="6" t="b">
        <v>0</v>
      </c>
      <c r="E5347" s="6"/>
      <c r="F5347" s="6"/>
      <c r="G5347" s="115" t="b">
        <f>VLOOKUP(I5328,FS_input_noty,J5328,FALSE)=""</f>
        <v>0</v>
      </c>
      <c r="H5347" s="6" t="s">
        <v>2189</v>
      </c>
      <c r="I5347" t="s">
        <v>1982</v>
      </c>
      <c r="J5347">
        <v>5</v>
      </c>
      <c r="L5347" s="26" t="e">
        <f t="shared" si="303"/>
        <v>#VALUE!</v>
      </c>
    </row>
    <row r="5348" spans="1:12" x14ac:dyDescent="0.35">
      <c r="A5348">
        <f t="shared" si="304"/>
        <v>5347</v>
      </c>
      <c r="B5348" t="s">
        <v>762</v>
      </c>
      <c r="C5348" s="109" t="str">
        <f>IF(ISBLANK(K5348),IFERROR(VLOOKUP(I5348,FS_input_data!$C$458:$N$648,Export!J5348,FALSE),""),K5348)</f>
        <v/>
      </c>
      <c r="D5348" s="6"/>
      <c r="E5348" s="6"/>
      <c r="F5348" s="6"/>
      <c r="G5348" s="115" t="b">
        <f>VLOOKUP(I5328,FS_input_noty,J5328,FALSE)=""</f>
        <v>0</v>
      </c>
      <c r="H5348" s="6" t="s">
        <v>2189</v>
      </c>
      <c r="I5348" t="s">
        <v>1561</v>
      </c>
      <c r="J5348" t="s">
        <v>1561</v>
      </c>
      <c r="L5348">
        <f t="shared" si="303"/>
        <v>1</v>
      </c>
    </row>
    <row r="5349" spans="1:12" x14ac:dyDescent="0.35">
      <c r="A5349">
        <f t="shared" si="304"/>
        <v>5348</v>
      </c>
      <c r="B5349" t="s">
        <v>763</v>
      </c>
      <c r="C5349" s="109" t="str">
        <f>IF(ISBLANK(K5349),IFERROR(VLOOKUP(I5349,FS_input_data!$C$458:$N$648,Export!J5349,FALSE),""),K5349)</f>
        <v/>
      </c>
      <c r="D5349" s="6"/>
      <c r="E5349" s="6"/>
      <c r="F5349" s="6"/>
      <c r="G5349" s="115" t="b">
        <f>VLOOKUP(I5328,FS_input_noty,J5328,FALSE)=""</f>
        <v>0</v>
      </c>
      <c r="H5349" s="6" t="s">
        <v>2189</v>
      </c>
      <c r="I5349" t="s">
        <v>1561</v>
      </c>
      <c r="J5349" t="s">
        <v>1561</v>
      </c>
      <c r="L5349">
        <f t="shared" si="303"/>
        <v>1</v>
      </c>
    </row>
    <row r="5350" spans="1:12" x14ac:dyDescent="0.35">
      <c r="A5350">
        <f t="shared" si="304"/>
        <v>5349</v>
      </c>
      <c r="B5350" t="s">
        <v>743</v>
      </c>
      <c r="C5350" s="109" t="str">
        <f>IF(ISBLANK(K5350),IFERROR(VLOOKUP(I5350,FS_input_data!$C$458:$N$648,Export!J5350,FALSE),""),K5350)</f>
        <v/>
      </c>
      <c r="D5350" s="6"/>
      <c r="E5350" s="6"/>
      <c r="F5350" s="6"/>
      <c r="G5350" s="115" t="b">
        <f>VLOOKUP(I5328,FS_input_noty,J5328,FALSE)=""</f>
        <v>0</v>
      </c>
      <c r="H5350" s="6" t="s">
        <v>2189</v>
      </c>
      <c r="I5350" t="s">
        <v>1561</v>
      </c>
      <c r="J5350" t="s">
        <v>1561</v>
      </c>
      <c r="L5350">
        <f t="shared" si="303"/>
        <v>1</v>
      </c>
    </row>
    <row r="5351" spans="1:12" x14ac:dyDescent="0.35">
      <c r="A5351">
        <f t="shared" si="304"/>
        <v>5350</v>
      </c>
      <c r="B5351" t="s">
        <v>744</v>
      </c>
      <c r="C5351" s="109" t="str">
        <f>IF(ISBLANK(K5351),IFERROR(VLOOKUP(I5351,FS_input_data!$C$458:$N$648,Export!J5351,FALSE),""),K5351)</f>
        <v/>
      </c>
      <c r="D5351" s="6"/>
      <c r="E5351" s="6"/>
      <c r="F5351" s="6"/>
      <c r="G5351" s="115" t="b">
        <f t="shared" ref="G5351:G5358" si="306">RP_tax</f>
        <v>1</v>
      </c>
      <c r="H5351" s="6" t="s">
        <v>2189</v>
      </c>
      <c r="I5351" t="s">
        <v>1561</v>
      </c>
      <c r="J5351" t="s">
        <v>1561</v>
      </c>
      <c r="L5351" s="26" t="e">
        <f t="shared" si="303"/>
        <v>#VALUE!</v>
      </c>
    </row>
    <row r="5352" spans="1:12" x14ac:dyDescent="0.35">
      <c r="A5352" s="9">
        <f t="shared" si="304"/>
        <v>5351</v>
      </c>
      <c r="B5352" t="s">
        <v>109</v>
      </c>
      <c r="C5352" s="109">
        <f>IF(ISBLANK(K5352),IFERROR(VLOOKUP(I5352,FS_input_data!$C$458:$N$648,Export!J5352,FALSE),""),K5352)</f>
        <v>42000</v>
      </c>
      <c r="D5352" s="6" t="b">
        <v>1</v>
      </c>
      <c r="E5352" s="6"/>
      <c r="F5352" s="6"/>
      <c r="G5352" s="115" t="b">
        <f t="shared" si="306"/>
        <v>1</v>
      </c>
      <c r="H5352" s="6" t="s">
        <v>2189</v>
      </c>
      <c r="I5352" t="s">
        <v>1982</v>
      </c>
      <c r="J5352">
        <v>10</v>
      </c>
      <c r="L5352" s="26" t="e">
        <f t="shared" si="303"/>
        <v>#VALUE!</v>
      </c>
    </row>
    <row r="5353" spans="1:12" x14ac:dyDescent="0.35">
      <c r="A5353">
        <f t="shared" si="304"/>
        <v>5352</v>
      </c>
      <c r="B5353" t="s">
        <v>110</v>
      </c>
      <c r="C5353" s="109" t="str">
        <f>IF(ISBLANK(K5353),IFERROR(VLOOKUP(I5353,FS_input_data!$C$458:$N$648,Export!J5353,FALSE),""),K5353)</f>
        <v/>
      </c>
      <c r="D5353" s="6"/>
      <c r="E5353" s="6"/>
      <c r="F5353" s="6"/>
      <c r="G5353" s="115" t="b">
        <f t="shared" si="306"/>
        <v>1</v>
      </c>
      <c r="H5353" s="6" t="s">
        <v>2189</v>
      </c>
      <c r="I5353" t="s">
        <v>1561</v>
      </c>
      <c r="J5353" t="s">
        <v>1561</v>
      </c>
      <c r="L5353">
        <f t="shared" si="303"/>
        <v>1</v>
      </c>
    </row>
    <row r="5354" spans="1:12" x14ac:dyDescent="0.35">
      <c r="A5354" s="9">
        <f t="shared" si="304"/>
        <v>5353</v>
      </c>
      <c r="B5354" t="s">
        <v>111</v>
      </c>
      <c r="C5354" s="109">
        <f>IF(ISBLANK(K5354),IFERROR(VLOOKUP(I5354,FS_input_data!$C$458:$N$648,Export!J5354,FALSE),""),K5354)</f>
        <v>21000</v>
      </c>
      <c r="D5354" s="6" t="b">
        <v>0</v>
      </c>
      <c r="E5354" s="6"/>
      <c r="F5354" s="6"/>
      <c r="G5354" s="115" t="b">
        <f t="shared" si="306"/>
        <v>1</v>
      </c>
      <c r="H5354" s="6" t="s">
        <v>2189</v>
      </c>
      <c r="I5354" t="s">
        <v>1982</v>
      </c>
      <c r="J5354">
        <v>11</v>
      </c>
      <c r="L5354" s="26" t="e">
        <f t="shared" si="303"/>
        <v>#VALUE!</v>
      </c>
    </row>
    <row r="5355" spans="1:12" x14ac:dyDescent="0.35">
      <c r="A5355">
        <f t="shared" si="304"/>
        <v>5354</v>
      </c>
      <c r="B5355" t="s">
        <v>112</v>
      </c>
      <c r="C5355" s="109" t="str">
        <f>IF(ISBLANK(K5355),IFERROR(VLOOKUP(I5355,FS_input_data!$C$458:$N$648,Export!J5355,FALSE),""),K5355)</f>
        <v/>
      </c>
      <c r="D5355" s="6"/>
      <c r="E5355" s="6"/>
      <c r="F5355" s="6"/>
      <c r="G5355" s="115" t="b">
        <f t="shared" si="306"/>
        <v>1</v>
      </c>
      <c r="H5355" s="6" t="s">
        <v>2189</v>
      </c>
      <c r="I5355" t="s">
        <v>1561</v>
      </c>
      <c r="J5355" t="s">
        <v>1561</v>
      </c>
      <c r="L5355">
        <f t="shared" si="303"/>
        <v>1</v>
      </c>
    </row>
    <row r="5356" spans="1:12" x14ac:dyDescent="0.35">
      <c r="A5356" s="9">
        <f t="shared" si="304"/>
        <v>5355</v>
      </c>
      <c r="B5356" t="s">
        <v>749</v>
      </c>
      <c r="C5356" s="109">
        <f>IF(ISBLANK(K5356),IFERROR(VLOOKUP(I5356,FS_input_data!$C$458:$N$648,Export!J5356,FALSE),""),K5356)</f>
        <v>21000</v>
      </c>
      <c r="D5356" s="6" t="b">
        <v>0</v>
      </c>
      <c r="E5356" s="6"/>
      <c r="F5356" s="6"/>
      <c r="G5356" s="115" t="b">
        <f t="shared" si="306"/>
        <v>1</v>
      </c>
      <c r="H5356" s="6" t="s">
        <v>2189</v>
      </c>
      <c r="I5356" t="s">
        <v>1982</v>
      </c>
      <c r="J5356">
        <v>12</v>
      </c>
      <c r="L5356" s="26" t="e">
        <f t="shared" si="303"/>
        <v>#VALUE!</v>
      </c>
    </row>
    <row r="5357" spans="1:12" x14ac:dyDescent="0.35">
      <c r="A5357">
        <f t="shared" si="304"/>
        <v>5356</v>
      </c>
      <c r="B5357" t="s">
        <v>750</v>
      </c>
      <c r="C5357" s="109" t="str">
        <f>IF(ISBLANK(K5357),IFERROR(VLOOKUP(I5357,FS_input_data!$C$458:$N$648,Export!J5357,FALSE),""),K5357)</f>
        <v/>
      </c>
      <c r="D5357" s="6"/>
      <c r="E5357" s="6"/>
      <c r="F5357" s="6"/>
      <c r="G5357" s="115" t="b">
        <f t="shared" si="306"/>
        <v>1</v>
      </c>
      <c r="H5357" s="6" t="s">
        <v>2189</v>
      </c>
      <c r="I5357" t="s">
        <v>1561</v>
      </c>
      <c r="J5357" t="s">
        <v>1561</v>
      </c>
      <c r="L5357">
        <f t="shared" si="303"/>
        <v>1</v>
      </c>
    </row>
    <row r="5358" spans="1:12" x14ac:dyDescent="0.35">
      <c r="A5358">
        <f t="shared" si="304"/>
        <v>5357</v>
      </c>
      <c r="B5358" t="s">
        <v>745</v>
      </c>
      <c r="C5358" s="109" t="str">
        <f>IF(ISBLANK(K5358),IFERROR(VLOOKUP(I5358,FS_input_data!$C$458:$N$648,Export!J5358,FALSE),""),K5358)</f>
        <v/>
      </c>
      <c r="D5358" s="6"/>
      <c r="E5358" s="6"/>
      <c r="F5358" s="6"/>
      <c r="G5358" s="115" t="b">
        <f t="shared" si="306"/>
        <v>1</v>
      </c>
      <c r="H5358" s="6" t="s">
        <v>2189</v>
      </c>
      <c r="I5358" t="s">
        <v>1561</v>
      </c>
      <c r="J5358" t="s">
        <v>1561</v>
      </c>
      <c r="L5358">
        <f t="shared" si="303"/>
        <v>1</v>
      </c>
    </row>
    <row r="5359" spans="1:12" x14ac:dyDescent="0.35">
      <c r="A5359">
        <f t="shared" si="304"/>
        <v>5358</v>
      </c>
      <c r="B5359" t="s">
        <v>764</v>
      </c>
      <c r="C5359" s="109" t="str">
        <f>IF(ISBLANK(K5359),IFERROR(VLOOKUP(I5359,FS_input_data!$C$458:$N$648,Export!J5359,FALSE),""),K5359)</f>
        <v/>
      </c>
      <c r="D5359" s="6"/>
      <c r="E5359" s="6"/>
      <c r="F5359" s="6"/>
      <c r="G5359" s="115" t="b">
        <f>VLOOKUP(I5328,FS_input_noty,J5328,FALSE)=""</f>
        <v>0</v>
      </c>
      <c r="H5359" s="6" t="s">
        <v>2189</v>
      </c>
      <c r="I5359" t="s">
        <v>1561</v>
      </c>
      <c r="J5359" t="s">
        <v>1561</v>
      </c>
      <c r="L5359">
        <f t="shared" si="303"/>
        <v>1</v>
      </c>
    </row>
    <row r="5360" spans="1:12" x14ac:dyDescent="0.35">
      <c r="A5360">
        <f t="shared" si="304"/>
        <v>5359</v>
      </c>
      <c r="B5360" t="s">
        <v>765</v>
      </c>
      <c r="C5360" s="109" t="str">
        <f>IF(ISBLANK(K5360),IFERROR(VLOOKUP(I5360,FS_input_data!$C$458:$N$648,Export!J5360,FALSE),""),K5360)</f>
        <v/>
      </c>
      <c r="D5360" s="6"/>
      <c r="E5360" s="6"/>
      <c r="F5360" s="6"/>
      <c r="G5360" s="115" t="b">
        <f>VLOOKUP(I5328,FS_input_noty,J5328,FALSE)=""</f>
        <v>0</v>
      </c>
      <c r="H5360" s="6" t="s">
        <v>2189</v>
      </c>
      <c r="I5360" t="s">
        <v>1561</v>
      </c>
      <c r="J5360" t="s">
        <v>1561</v>
      </c>
      <c r="L5360">
        <f t="shared" si="303"/>
        <v>1</v>
      </c>
    </row>
    <row r="5361" spans="1:12" x14ac:dyDescent="0.35">
      <c r="A5361">
        <f t="shared" si="304"/>
        <v>5360</v>
      </c>
      <c r="B5361" t="s">
        <v>752</v>
      </c>
      <c r="C5361" s="109" t="str">
        <f>IF(ISBLANK(K5361),IFERROR(VLOOKUP(I5361,FS_input_data!$C$458:$N$648,Export!J5361,FALSE),""),K5361)</f>
        <v/>
      </c>
      <c r="D5361" s="6"/>
      <c r="E5361" s="6"/>
      <c r="F5361" s="6"/>
      <c r="G5361" s="115" t="b">
        <f>VLOOKUP(I5362,FS_input_noty,J5362,FALSE)=""</f>
        <v>0</v>
      </c>
      <c r="H5361" s="6" t="s">
        <v>2189</v>
      </c>
      <c r="I5361" t="s">
        <v>1561</v>
      </c>
      <c r="J5361" t="s">
        <v>1561</v>
      </c>
      <c r="L5361" s="26" t="e">
        <f t="shared" si="303"/>
        <v>#VALUE!</v>
      </c>
    </row>
    <row r="5362" spans="1:12" x14ac:dyDescent="0.35">
      <c r="A5362" s="9">
        <f t="shared" si="304"/>
        <v>5361</v>
      </c>
      <c r="B5362" t="s">
        <v>101</v>
      </c>
      <c r="C5362" s="109" t="str">
        <f>IF(ISBLANK(K5362),IFERROR(VLOOKUP(I5362,FS_input_data!$C$458:$N$648,Export!J5362,FALSE),""),K5362)</f>
        <v>OC64</v>
      </c>
      <c r="D5362" s="6" t="b">
        <v>1</v>
      </c>
      <c r="E5362" s="6"/>
      <c r="F5362" s="6"/>
      <c r="G5362" s="115" t="b">
        <f>VLOOKUP(I5362,FS_input_noty,J5362,FALSE)=""</f>
        <v>0</v>
      </c>
      <c r="H5362" s="6" t="s">
        <v>2189</v>
      </c>
      <c r="I5362" t="s">
        <v>1984</v>
      </c>
      <c r="J5362">
        <v>6</v>
      </c>
      <c r="L5362" s="26" t="e">
        <f t="shared" si="303"/>
        <v>#VALUE!</v>
      </c>
    </row>
    <row r="5363" spans="1:12" x14ac:dyDescent="0.35">
      <c r="A5363">
        <f t="shared" si="304"/>
        <v>5362</v>
      </c>
      <c r="B5363" t="s">
        <v>102</v>
      </c>
      <c r="C5363" s="109" t="str">
        <f>IF(ISBLANK(K5363),IFERROR(VLOOKUP(I5363,FS_input_data!$C$458:$N$648,Export!J5363,FALSE),""),K5363)</f>
        <v/>
      </c>
      <c r="D5363" s="6"/>
      <c r="E5363" s="6"/>
      <c r="F5363" s="6"/>
      <c r="G5363" s="115" t="b">
        <f>VLOOKUP(I5362,FS_input_noty,J5362,FALSE)=""</f>
        <v>0</v>
      </c>
      <c r="H5363" s="6" t="s">
        <v>2189</v>
      </c>
      <c r="I5363" t="s">
        <v>1561</v>
      </c>
      <c r="J5363" t="s">
        <v>1561</v>
      </c>
      <c r="L5363">
        <f t="shared" si="303"/>
        <v>1</v>
      </c>
    </row>
    <row r="5364" spans="1:12" x14ac:dyDescent="0.35">
      <c r="A5364">
        <f t="shared" si="304"/>
        <v>5363</v>
      </c>
      <c r="B5364" t="s">
        <v>753</v>
      </c>
      <c r="C5364" s="109" t="str">
        <f>IF(ISBLANK(K5364),IFERROR(VLOOKUP(I5364,FS_input_data!$C$458:$N$648,Export!J5364,FALSE),""),K5364)</f>
        <v/>
      </c>
      <c r="D5364" s="6"/>
      <c r="E5364" s="6"/>
      <c r="F5364" s="6"/>
      <c r="G5364" s="115" t="b">
        <f>VLOOKUP(I5362,FS_input_noty,J5362,FALSE)=""</f>
        <v>0</v>
      </c>
      <c r="H5364" s="6" t="s">
        <v>2189</v>
      </c>
      <c r="I5364" t="s">
        <v>1561</v>
      </c>
      <c r="J5364" t="s">
        <v>1561</v>
      </c>
      <c r="L5364" s="26" t="e">
        <f t="shared" si="303"/>
        <v>#VALUE!</v>
      </c>
    </row>
    <row r="5365" spans="1:12" x14ac:dyDescent="0.35">
      <c r="A5365">
        <f t="shared" si="304"/>
        <v>5364</v>
      </c>
      <c r="B5365" t="s">
        <v>742</v>
      </c>
      <c r="C5365" s="109" t="str">
        <f>IF(ISBLANK(K5365),IFERROR(VLOOKUP(I5365,FS_input_data!$C$458:$N$648,Export!J5365,FALSE),""),K5365)</f>
        <v/>
      </c>
      <c r="D5365" s="6"/>
      <c r="E5365" s="6"/>
      <c r="F5365" s="6"/>
      <c r="G5365" s="115" t="b">
        <f>VLOOKUP(I5362,FS_input_noty,J5362,FALSE)=""</f>
        <v>0</v>
      </c>
      <c r="H5365" s="6" t="s">
        <v>2189</v>
      </c>
      <c r="I5365" t="s">
        <v>1561</v>
      </c>
      <c r="J5365" t="s">
        <v>1561</v>
      </c>
      <c r="L5365" s="26" t="e">
        <f t="shared" si="303"/>
        <v>#VALUE!</v>
      </c>
    </row>
    <row r="5366" spans="1:12" x14ac:dyDescent="0.35">
      <c r="A5366">
        <f t="shared" si="304"/>
        <v>5365</v>
      </c>
      <c r="B5366" t="s">
        <v>748</v>
      </c>
      <c r="C5366" s="109" t="str">
        <f>IF(ISBLANK(K5366),IFERROR(VLOOKUP(I5366,FS_input_data!$C$458:$N$648,Export!J5366,FALSE),""),K5366)</f>
        <v/>
      </c>
      <c r="D5366" s="6"/>
      <c r="E5366" s="6"/>
      <c r="F5366" s="6"/>
      <c r="G5366" s="115" t="b">
        <f>VLOOKUP(I5362,FS_input_noty,J5362,FALSE)=""</f>
        <v>0</v>
      </c>
      <c r="H5366" s="6" t="s">
        <v>2189</v>
      </c>
      <c r="I5366" t="s">
        <v>1561</v>
      </c>
      <c r="J5366" t="s">
        <v>1561</v>
      </c>
      <c r="L5366" s="26" t="e">
        <f t="shared" si="303"/>
        <v>#VALUE!</v>
      </c>
    </row>
    <row r="5367" spans="1:12" x14ac:dyDescent="0.35">
      <c r="A5367" s="9">
        <f t="shared" si="304"/>
        <v>5366</v>
      </c>
      <c r="B5367" t="s">
        <v>109</v>
      </c>
      <c r="C5367" s="109">
        <f>IF(ISBLANK(K5367),IFERROR(VLOOKUP(I5367,FS_input_data!$C$458:$N$648,Export!J5367,FALSE),""),K5367)</f>
        <v>43000</v>
      </c>
      <c r="D5367" s="6" t="b">
        <v>1</v>
      </c>
      <c r="E5367" s="6"/>
      <c r="F5367" s="6"/>
      <c r="G5367" s="115" t="b">
        <f>VLOOKUP(I5362,FS_input_noty,J5362,FALSE)=""</f>
        <v>0</v>
      </c>
      <c r="H5367" s="6" t="s">
        <v>2189</v>
      </c>
      <c r="I5367" t="s">
        <v>1984</v>
      </c>
      <c r="J5367">
        <v>7</v>
      </c>
      <c r="L5367" s="26" t="e">
        <f t="shared" si="303"/>
        <v>#VALUE!</v>
      </c>
    </row>
    <row r="5368" spans="1:12" x14ac:dyDescent="0.35">
      <c r="A5368">
        <f t="shared" si="304"/>
        <v>5367</v>
      </c>
      <c r="B5368" t="s">
        <v>110</v>
      </c>
      <c r="C5368" s="109" t="str">
        <f>IF(ISBLANK(K5368),IFERROR(VLOOKUP(I5368,FS_input_data!$C$458:$N$648,Export!J5368,FALSE),""),K5368)</f>
        <v/>
      </c>
      <c r="D5368" s="6"/>
      <c r="E5368" s="6"/>
      <c r="F5368" s="6"/>
      <c r="G5368" s="115" t="b">
        <f>VLOOKUP(I5362,FS_input_noty,J5362,FALSE)=""</f>
        <v>0</v>
      </c>
      <c r="H5368" s="6" t="s">
        <v>2189</v>
      </c>
      <c r="I5368" t="s">
        <v>1561</v>
      </c>
      <c r="J5368" t="s">
        <v>1561</v>
      </c>
      <c r="L5368">
        <f t="shared" si="303"/>
        <v>1</v>
      </c>
    </row>
    <row r="5369" spans="1:12" x14ac:dyDescent="0.35">
      <c r="A5369" s="9">
        <f t="shared" si="304"/>
        <v>5368</v>
      </c>
      <c r="B5369" t="s">
        <v>111</v>
      </c>
      <c r="C5369" s="109">
        <f>IF(ISBLANK(K5369),IFERROR(VLOOKUP(I5369,FS_input_data!$C$458:$N$648,Export!J5369,FALSE),""),K5369)</f>
        <v>21500</v>
      </c>
      <c r="D5369" s="6" t="b">
        <v>0</v>
      </c>
      <c r="E5369" s="6"/>
      <c r="F5369" s="6"/>
      <c r="G5369" s="115" t="b">
        <f>VLOOKUP(I5362,FS_input_noty,J5362,TRUE)=""</f>
        <v>0</v>
      </c>
      <c r="H5369" s="6" t="s">
        <v>2189</v>
      </c>
      <c r="I5369" t="s">
        <v>1984</v>
      </c>
      <c r="J5369">
        <v>8</v>
      </c>
      <c r="L5369" s="26" t="e">
        <f t="shared" si="303"/>
        <v>#VALUE!</v>
      </c>
    </row>
    <row r="5370" spans="1:12" x14ac:dyDescent="0.35">
      <c r="A5370">
        <f t="shared" si="304"/>
        <v>5369</v>
      </c>
      <c r="B5370" t="s">
        <v>112</v>
      </c>
      <c r="C5370" s="109" t="str">
        <f>IF(ISBLANK(K5370),IFERROR(VLOOKUP(I5370,FS_input_data!$C$458:$N$648,Export!J5370,FALSE),""),K5370)</f>
        <v/>
      </c>
      <c r="D5370" s="6"/>
      <c r="E5370" s="6"/>
      <c r="F5370" s="6"/>
      <c r="G5370" s="115" t="b">
        <f>VLOOKUP(I5362,FS_input_noty,J5362,FALSE)=""</f>
        <v>0</v>
      </c>
      <c r="H5370" s="6" t="s">
        <v>2189</v>
      </c>
      <c r="I5370" t="s">
        <v>1561</v>
      </c>
      <c r="J5370" t="s">
        <v>1561</v>
      </c>
      <c r="L5370">
        <f t="shared" si="303"/>
        <v>1</v>
      </c>
    </row>
    <row r="5371" spans="1:12" x14ac:dyDescent="0.35">
      <c r="A5371" s="9">
        <f t="shared" si="304"/>
        <v>5370</v>
      </c>
      <c r="B5371" t="s">
        <v>749</v>
      </c>
      <c r="C5371" s="109">
        <f>IF(ISBLANK(K5371),IFERROR(VLOOKUP(I5371,FS_input_data!$C$458:$N$648,Export!J5371,FALSE),""),K5371)</f>
        <v>21500</v>
      </c>
      <c r="D5371" s="6" t="b">
        <v>0</v>
      </c>
      <c r="E5371" s="6"/>
      <c r="F5371" s="6"/>
      <c r="G5371" s="115" t="b">
        <f>VLOOKUP(I5362,FS_input_noty,J5362,FALSE)=""</f>
        <v>0</v>
      </c>
      <c r="H5371" s="6" t="s">
        <v>2189</v>
      </c>
      <c r="I5371" t="s">
        <v>1984</v>
      </c>
      <c r="J5371">
        <v>9</v>
      </c>
      <c r="L5371" s="26" t="e">
        <f t="shared" si="303"/>
        <v>#VALUE!</v>
      </c>
    </row>
    <row r="5372" spans="1:12" x14ac:dyDescent="0.35">
      <c r="A5372">
        <f t="shared" si="304"/>
        <v>5371</v>
      </c>
      <c r="B5372" t="s">
        <v>750</v>
      </c>
      <c r="C5372" s="109" t="str">
        <f>IF(ISBLANK(K5372),IFERROR(VLOOKUP(I5372,FS_input_data!$C$458:$N$648,Export!J5372,FALSE),""),K5372)</f>
        <v/>
      </c>
      <c r="D5372" s="6"/>
      <c r="E5372" s="6"/>
      <c r="F5372" s="6"/>
      <c r="G5372" s="115" t="b">
        <f>VLOOKUP(I5362,FS_input_noty,J5362,FALSE)=""</f>
        <v>0</v>
      </c>
      <c r="H5372" s="6" t="s">
        <v>2189</v>
      </c>
      <c r="I5372" t="s">
        <v>1561</v>
      </c>
      <c r="J5372" t="s">
        <v>1561</v>
      </c>
      <c r="L5372">
        <f t="shared" si="303"/>
        <v>1</v>
      </c>
    </row>
    <row r="5373" spans="1:12" x14ac:dyDescent="0.35">
      <c r="A5373">
        <f t="shared" si="304"/>
        <v>5372</v>
      </c>
      <c r="B5373" t="s">
        <v>751</v>
      </c>
      <c r="C5373" s="109" t="str">
        <f>IF(ISBLANK(K5373),IFERROR(VLOOKUP(I5373,FS_input_data!$C$458:$N$648,Export!J5373,FALSE),""),K5373)</f>
        <v/>
      </c>
      <c r="D5373" s="6"/>
      <c r="E5373" s="6"/>
      <c r="F5373" s="6"/>
      <c r="G5373" s="115" t="b">
        <f>VLOOKUP(I5362,FS_input_noty,J5362,FALSE)=""</f>
        <v>0</v>
      </c>
      <c r="H5373" s="6" t="s">
        <v>2189</v>
      </c>
      <c r="I5373" t="s">
        <v>1561</v>
      </c>
      <c r="J5373" t="s">
        <v>1561</v>
      </c>
      <c r="L5373">
        <f t="shared" si="303"/>
        <v>1</v>
      </c>
    </row>
    <row r="5374" spans="1:12" x14ac:dyDescent="0.35">
      <c r="A5374">
        <f t="shared" si="304"/>
        <v>5373</v>
      </c>
      <c r="B5374" t="s">
        <v>754</v>
      </c>
      <c r="C5374" s="109" t="str">
        <f>IF(ISBLANK(K5374),IFERROR(VLOOKUP(I5374,FS_input_data!$C$458:$N$648,Export!J5374,FALSE),""),K5374)</f>
        <v/>
      </c>
      <c r="D5374" s="6"/>
      <c r="E5374" s="6"/>
      <c r="F5374" s="6"/>
      <c r="G5374" s="115" t="b">
        <f>VLOOKUP(I5362,FS_input_noty,J5362,FALSE)=""</f>
        <v>0</v>
      </c>
      <c r="H5374" s="6" t="s">
        <v>2189</v>
      </c>
      <c r="I5374" t="s">
        <v>1561</v>
      </c>
      <c r="J5374" t="s">
        <v>1561</v>
      </c>
      <c r="L5374" s="26" t="e">
        <f t="shared" si="303"/>
        <v>#VALUE!</v>
      </c>
    </row>
    <row r="5375" spans="1:12" x14ac:dyDescent="0.35">
      <c r="A5375" s="9">
        <f t="shared" si="304"/>
        <v>5374</v>
      </c>
      <c r="B5375" t="s">
        <v>755</v>
      </c>
      <c r="C5375" s="109">
        <f>IF(ISBLANK(K5375),IFERROR(VLOOKUP(I5375,FS_input_data!$C$458:$N$648,Export!J5375,FALSE),""),K5375)</f>
        <v>87</v>
      </c>
      <c r="D5375" s="6" t="b">
        <v>1</v>
      </c>
      <c r="E5375" s="6"/>
      <c r="F5375" s="6"/>
      <c r="G5375" s="115" t="b">
        <f>VLOOKUP(I5362,FS_input_noty,J5362,FALSE)=""</f>
        <v>0</v>
      </c>
      <c r="H5375" s="6" t="s">
        <v>2189</v>
      </c>
      <c r="I5375" t="s">
        <v>1984</v>
      </c>
      <c r="J5375">
        <v>2</v>
      </c>
      <c r="L5375" s="26" t="e">
        <f t="shared" si="303"/>
        <v>#VALUE!</v>
      </c>
    </row>
    <row r="5376" spans="1:12" x14ac:dyDescent="0.35">
      <c r="A5376">
        <f t="shared" si="304"/>
        <v>5375</v>
      </c>
      <c r="B5376" t="s">
        <v>756</v>
      </c>
      <c r="C5376" s="109" t="str">
        <f>IF(ISBLANK(K5376),IFERROR(VLOOKUP(I5376,FS_input_data!$C$458:$N$648,Export!J5376,FALSE),""),K5376)</f>
        <v/>
      </c>
      <c r="D5376" s="6"/>
      <c r="E5376" s="6"/>
      <c r="F5376" s="6"/>
      <c r="G5376" s="115" t="b">
        <f>VLOOKUP(I5362,FS_input_noty,J5362,FALSE)=""</f>
        <v>0</v>
      </c>
      <c r="H5376" s="6" t="s">
        <v>2189</v>
      </c>
      <c r="I5376" t="s">
        <v>1561</v>
      </c>
      <c r="J5376" t="s">
        <v>1561</v>
      </c>
      <c r="L5376">
        <f t="shared" si="303"/>
        <v>1</v>
      </c>
    </row>
    <row r="5377" spans="1:12" x14ac:dyDescent="0.35">
      <c r="A5377" s="9">
        <f t="shared" si="304"/>
        <v>5376</v>
      </c>
      <c r="B5377" t="s">
        <v>757</v>
      </c>
      <c r="C5377" s="109">
        <f>IF(ISBLANK(K5377),IFERROR(VLOOKUP(I5377,FS_input_data!$C$458:$N$648,Export!J5377,FALSE),""),K5377)</f>
        <v>187</v>
      </c>
      <c r="D5377" s="6" t="b">
        <v>0</v>
      </c>
      <c r="E5377" s="6"/>
      <c r="F5377" s="6"/>
      <c r="G5377" s="115" t="b">
        <f>VLOOKUP(I5362,FS_input_noty,J5362,FALSE)=""</f>
        <v>0</v>
      </c>
      <c r="H5377" s="6" t="s">
        <v>2189</v>
      </c>
      <c r="I5377" t="s">
        <v>1984</v>
      </c>
      <c r="J5377">
        <v>3</v>
      </c>
      <c r="L5377" s="26" t="e">
        <f t="shared" si="303"/>
        <v>#VALUE!</v>
      </c>
    </row>
    <row r="5378" spans="1:12" x14ac:dyDescent="0.35">
      <c r="A5378">
        <f t="shared" si="304"/>
        <v>5377</v>
      </c>
      <c r="B5378" t="s">
        <v>758</v>
      </c>
      <c r="C5378" s="109" t="str">
        <f>IF(ISBLANK(K5378),IFERROR(VLOOKUP(I5378,FS_input_data!$C$458:$N$648,Export!J5378,FALSE),""),K5378)</f>
        <v/>
      </c>
      <c r="D5378" s="6"/>
      <c r="E5378" s="6"/>
      <c r="F5378" s="6"/>
      <c r="G5378" s="115" t="b">
        <f>VLOOKUP(I5362,FS_input_noty,J5362,FALSE)=""</f>
        <v>0</v>
      </c>
      <c r="H5378" s="6" t="s">
        <v>2189</v>
      </c>
      <c r="I5378" t="s">
        <v>1561</v>
      </c>
      <c r="J5378" t="s">
        <v>1561</v>
      </c>
      <c r="L5378">
        <f t="shared" ref="L5378:L5441" si="307">FIND("/",B5378)</f>
        <v>1</v>
      </c>
    </row>
    <row r="5379" spans="1:12" x14ac:dyDescent="0.35">
      <c r="A5379" s="9">
        <f t="shared" ref="A5379:A5442" si="308">A5378+1</f>
        <v>5378</v>
      </c>
      <c r="B5379" t="s">
        <v>759</v>
      </c>
      <c r="C5379" s="109">
        <f>IF(ISBLANK(K5379),IFERROR(VLOOKUP(I5379,FS_input_data!$C$458:$N$648,Export!J5379,FALSE),""),K5379)</f>
        <v>287</v>
      </c>
      <c r="D5379" s="6" t="b">
        <v>0</v>
      </c>
      <c r="E5379" s="6"/>
      <c r="F5379" s="6"/>
      <c r="G5379" s="115" t="b">
        <f>VLOOKUP(I5362,FS_input_noty,J5362,FALSE)=""</f>
        <v>0</v>
      </c>
      <c r="H5379" s="6" t="s">
        <v>2189</v>
      </c>
      <c r="I5379" t="s">
        <v>1984</v>
      </c>
      <c r="J5379">
        <v>4</v>
      </c>
      <c r="L5379" s="26" t="e">
        <f t="shared" si="307"/>
        <v>#VALUE!</v>
      </c>
    </row>
    <row r="5380" spans="1:12" x14ac:dyDescent="0.35">
      <c r="A5380">
        <f t="shared" si="308"/>
        <v>5379</v>
      </c>
      <c r="B5380" t="s">
        <v>760</v>
      </c>
      <c r="C5380" s="109" t="str">
        <f>IF(ISBLANK(K5380),IFERROR(VLOOKUP(I5380,FS_input_data!$C$458:$N$648,Export!J5380,FALSE),""),K5380)</f>
        <v/>
      </c>
      <c r="D5380" s="6"/>
      <c r="E5380" s="6"/>
      <c r="F5380" s="6"/>
      <c r="G5380" s="115" t="b">
        <f>VLOOKUP(I5362,FS_input_noty,J5362,FALSE)=""</f>
        <v>0</v>
      </c>
      <c r="H5380" s="6" t="s">
        <v>2189</v>
      </c>
      <c r="I5380" t="s">
        <v>1561</v>
      </c>
      <c r="J5380" t="s">
        <v>1561</v>
      </c>
      <c r="L5380">
        <f t="shared" si="307"/>
        <v>1</v>
      </c>
    </row>
    <row r="5381" spans="1:12" x14ac:dyDescent="0.35">
      <c r="A5381" s="9">
        <f t="shared" si="308"/>
        <v>5380</v>
      </c>
      <c r="B5381" t="s">
        <v>761</v>
      </c>
      <c r="C5381" s="109" t="str">
        <f>IF(ISBLANK(K5381),IFERROR(VLOOKUP(I5381,FS_input_data!$C$458:$N$648,Export!J5381,FALSE),""),K5381)</f>
        <v>a</v>
      </c>
      <c r="D5381" s="6" t="b">
        <v>0</v>
      </c>
      <c r="E5381" s="6"/>
      <c r="F5381" s="6"/>
      <c r="G5381" s="115" t="b">
        <f>VLOOKUP(I5362,FS_input_noty,J5362,FALSE)=""</f>
        <v>0</v>
      </c>
      <c r="H5381" s="6" t="s">
        <v>2189</v>
      </c>
      <c r="I5381" t="s">
        <v>1984</v>
      </c>
      <c r="J5381">
        <v>5</v>
      </c>
      <c r="L5381" s="26" t="e">
        <f t="shared" si="307"/>
        <v>#VALUE!</v>
      </c>
    </row>
    <row r="5382" spans="1:12" x14ac:dyDescent="0.35">
      <c r="A5382">
        <f t="shared" si="308"/>
        <v>5381</v>
      </c>
      <c r="B5382" t="s">
        <v>762</v>
      </c>
      <c r="C5382" s="109" t="str">
        <f>IF(ISBLANK(K5382),IFERROR(VLOOKUP(I5382,FS_input_data!$C$458:$N$648,Export!J5382,FALSE),""),K5382)</f>
        <v/>
      </c>
      <c r="D5382" s="6"/>
      <c r="E5382" s="6"/>
      <c r="F5382" s="6"/>
      <c r="G5382" s="115" t="b">
        <f>VLOOKUP(I5362,FS_input_noty,J5362,FALSE)=""</f>
        <v>0</v>
      </c>
      <c r="H5382" s="6" t="s">
        <v>2189</v>
      </c>
      <c r="I5382" t="s">
        <v>1561</v>
      </c>
      <c r="J5382" t="s">
        <v>1561</v>
      </c>
      <c r="L5382">
        <f t="shared" si="307"/>
        <v>1</v>
      </c>
    </row>
    <row r="5383" spans="1:12" x14ac:dyDescent="0.35">
      <c r="A5383">
        <f t="shared" si="308"/>
        <v>5382</v>
      </c>
      <c r="B5383" t="s">
        <v>763</v>
      </c>
      <c r="C5383" s="109" t="str">
        <f>IF(ISBLANK(K5383),IFERROR(VLOOKUP(I5383,FS_input_data!$C$458:$N$648,Export!J5383,FALSE),""),K5383)</f>
        <v/>
      </c>
      <c r="D5383" s="6"/>
      <c r="E5383" s="6"/>
      <c r="F5383" s="6"/>
      <c r="G5383" s="115" t="b">
        <f>VLOOKUP(I5362,FS_input_noty,J5362,FALSE)=""</f>
        <v>0</v>
      </c>
      <c r="H5383" s="6" t="s">
        <v>2189</v>
      </c>
      <c r="I5383" t="s">
        <v>1561</v>
      </c>
      <c r="J5383" t="s">
        <v>1561</v>
      </c>
      <c r="L5383">
        <f t="shared" si="307"/>
        <v>1</v>
      </c>
    </row>
    <row r="5384" spans="1:12" x14ac:dyDescent="0.35">
      <c r="A5384">
        <f t="shared" si="308"/>
        <v>5383</v>
      </c>
      <c r="B5384" t="s">
        <v>743</v>
      </c>
      <c r="C5384" s="109" t="str">
        <f>IF(ISBLANK(K5384),IFERROR(VLOOKUP(I5384,FS_input_data!$C$458:$N$648,Export!J5384,FALSE),""),K5384)</f>
        <v/>
      </c>
      <c r="D5384" s="6"/>
      <c r="E5384" s="6"/>
      <c r="F5384" s="6"/>
      <c r="G5384" s="115" t="b">
        <f>VLOOKUP(I5362,FS_input_noty,J5362,FALSE)=""</f>
        <v>0</v>
      </c>
      <c r="H5384" s="6" t="s">
        <v>2189</v>
      </c>
      <c r="I5384" t="s">
        <v>1561</v>
      </c>
      <c r="J5384" t="s">
        <v>1561</v>
      </c>
      <c r="L5384">
        <f t="shared" si="307"/>
        <v>1</v>
      </c>
    </row>
    <row r="5385" spans="1:12" x14ac:dyDescent="0.35">
      <c r="A5385">
        <f t="shared" si="308"/>
        <v>5384</v>
      </c>
      <c r="B5385" t="s">
        <v>744</v>
      </c>
      <c r="C5385" s="109" t="str">
        <f>IF(ISBLANK(K5385),IFERROR(VLOOKUP(I5385,FS_input_data!$C$458:$N$648,Export!J5385,FALSE),""),K5385)</f>
        <v/>
      </c>
      <c r="D5385" s="6"/>
      <c r="E5385" s="6"/>
      <c r="F5385" s="6"/>
      <c r="G5385" s="115" t="b">
        <f t="shared" ref="G5385:G5392" si="309">RP_tax</f>
        <v>1</v>
      </c>
      <c r="H5385" s="6" t="s">
        <v>2189</v>
      </c>
      <c r="I5385" t="s">
        <v>1561</v>
      </c>
      <c r="J5385" t="s">
        <v>1561</v>
      </c>
      <c r="L5385" s="26" t="e">
        <f t="shared" si="307"/>
        <v>#VALUE!</v>
      </c>
    </row>
    <row r="5386" spans="1:12" x14ac:dyDescent="0.35">
      <c r="A5386" s="9">
        <f t="shared" si="308"/>
        <v>5385</v>
      </c>
      <c r="B5386" t="s">
        <v>109</v>
      </c>
      <c r="C5386" s="109">
        <f>IF(ISBLANK(K5386),IFERROR(VLOOKUP(I5386,FS_input_data!$C$458:$N$648,Export!J5386,FALSE),""),K5386)</f>
        <v>43000</v>
      </c>
      <c r="D5386" s="6" t="b">
        <v>1</v>
      </c>
      <c r="E5386" s="6"/>
      <c r="F5386" s="6"/>
      <c r="G5386" s="115" t="b">
        <f t="shared" si="309"/>
        <v>1</v>
      </c>
      <c r="H5386" s="6" t="s">
        <v>2189</v>
      </c>
      <c r="I5386" t="s">
        <v>1984</v>
      </c>
      <c r="J5386">
        <v>10</v>
      </c>
      <c r="L5386" s="26" t="e">
        <f t="shared" si="307"/>
        <v>#VALUE!</v>
      </c>
    </row>
    <row r="5387" spans="1:12" x14ac:dyDescent="0.35">
      <c r="A5387">
        <f t="shared" si="308"/>
        <v>5386</v>
      </c>
      <c r="B5387" t="s">
        <v>110</v>
      </c>
      <c r="C5387" s="109" t="str">
        <f>IF(ISBLANK(K5387),IFERROR(VLOOKUP(I5387,FS_input_data!$C$458:$N$648,Export!J5387,FALSE),""),K5387)</f>
        <v/>
      </c>
      <c r="D5387" s="6"/>
      <c r="E5387" s="6"/>
      <c r="F5387" s="6"/>
      <c r="G5387" s="115" t="b">
        <f t="shared" si="309"/>
        <v>1</v>
      </c>
      <c r="H5387" s="6" t="s">
        <v>2189</v>
      </c>
      <c r="I5387" t="s">
        <v>1561</v>
      </c>
      <c r="J5387" t="s">
        <v>1561</v>
      </c>
      <c r="L5387">
        <f t="shared" si="307"/>
        <v>1</v>
      </c>
    </row>
    <row r="5388" spans="1:12" x14ac:dyDescent="0.35">
      <c r="A5388" s="9">
        <f t="shared" si="308"/>
        <v>5387</v>
      </c>
      <c r="B5388" t="s">
        <v>111</v>
      </c>
      <c r="C5388" s="109">
        <f>IF(ISBLANK(K5388),IFERROR(VLOOKUP(I5388,FS_input_data!$C$458:$N$648,Export!J5388,FALSE),""),K5388)</f>
        <v>21500</v>
      </c>
      <c r="D5388" s="6" t="b">
        <v>0</v>
      </c>
      <c r="E5388" s="6"/>
      <c r="F5388" s="6"/>
      <c r="G5388" s="115" t="b">
        <f t="shared" si="309"/>
        <v>1</v>
      </c>
      <c r="H5388" s="6" t="s">
        <v>2189</v>
      </c>
      <c r="I5388" t="s">
        <v>1984</v>
      </c>
      <c r="J5388">
        <v>11</v>
      </c>
      <c r="L5388" s="26" t="e">
        <f t="shared" si="307"/>
        <v>#VALUE!</v>
      </c>
    </row>
    <row r="5389" spans="1:12" x14ac:dyDescent="0.35">
      <c r="A5389">
        <f t="shared" si="308"/>
        <v>5388</v>
      </c>
      <c r="B5389" t="s">
        <v>112</v>
      </c>
      <c r="C5389" s="109" t="str">
        <f>IF(ISBLANK(K5389),IFERROR(VLOOKUP(I5389,FS_input_data!$C$458:$N$648,Export!J5389,FALSE),""),K5389)</f>
        <v/>
      </c>
      <c r="D5389" s="6"/>
      <c r="E5389" s="6"/>
      <c r="F5389" s="6"/>
      <c r="G5389" s="115" t="b">
        <f t="shared" si="309"/>
        <v>1</v>
      </c>
      <c r="H5389" s="6" t="s">
        <v>2189</v>
      </c>
      <c r="I5389" t="s">
        <v>1561</v>
      </c>
      <c r="J5389" t="s">
        <v>1561</v>
      </c>
      <c r="L5389">
        <f t="shared" si="307"/>
        <v>1</v>
      </c>
    </row>
    <row r="5390" spans="1:12" x14ac:dyDescent="0.35">
      <c r="A5390" s="9">
        <f t="shared" si="308"/>
        <v>5389</v>
      </c>
      <c r="B5390" t="s">
        <v>749</v>
      </c>
      <c r="C5390" s="109">
        <f>IF(ISBLANK(K5390),IFERROR(VLOOKUP(I5390,FS_input_data!$C$458:$N$648,Export!J5390,FALSE),""),K5390)</f>
        <v>21500</v>
      </c>
      <c r="D5390" s="6" t="b">
        <v>0</v>
      </c>
      <c r="E5390" s="6"/>
      <c r="F5390" s="6"/>
      <c r="G5390" s="115" t="b">
        <f t="shared" si="309"/>
        <v>1</v>
      </c>
      <c r="H5390" s="6" t="s">
        <v>2189</v>
      </c>
      <c r="I5390" t="s">
        <v>1984</v>
      </c>
      <c r="J5390">
        <v>12</v>
      </c>
      <c r="L5390" s="26" t="e">
        <f t="shared" si="307"/>
        <v>#VALUE!</v>
      </c>
    </row>
    <row r="5391" spans="1:12" x14ac:dyDescent="0.35">
      <c r="A5391">
        <f t="shared" si="308"/>
        <v>5390</v>
      </c>
      <c r="B5391" t="s">
        <v>750</v>
      </c>
      <c r="C5391" s="109" t="str">
        <f>IF(ISBLANK(K5391),IFERROR(VLOOKUP(I5391,FS_input_data!$C$458:$N$648,Export!J5391,FALSE),""),K5391)</f>
        <v/>
      </c>
      <c r="D5391" s="6"/>
      <c r="E5391" s="6"/>
      <c r="F5391" s="6"/>
      <c r="G5391" s="115" t="b">
        <f t="shared" si="309"/>
        <v>1</v>
      </c>
      <c r="H5391" s="6" t="s">
        <v>2189</v>
      </c>
      <c r="I5391" t="s">
        <v>1561</v>
      </c>
      <c r="J5391" t="s">
        <v>1561</v>
      </c>
      <c r="L5391">
        <f t="shared" si="307"/>
        <v>1</v>
      </c>
    </row>
    <row r="5392" spans="1:12" x14ac:dyDescent="0.35">
      <c r="A5392">
        <f t="shared" si="308"/>
        <v>5391</v>
      </c>
      <c r="B5392" t="s">
        <v>745</v>
      </c>
      <c r="C5392" s="109" t="str">
        <f>IF(ISBLANK(K5392),IFERROR(VLOOKUP(I5392,FS_input_data!$C$458:$N$648,Export!J5392,FALSE),""),K5392)</f>
        <v/>
      </c>
      <c r="D5392" s="6"/>
      <c r="E5392" s="6"/>
      <c r="F5392" s="6"/>
      <c r="G5392" s="115" t="b">
        <f t="shared" si="309"/>
        <v>1</v>
      </c>
      <c r="H5392" s="6" t="s">
        <v>2189</v>
      </c>
      <c r="I5392" t="s">
        <v>1561</v>
      </c>
      <c r="J5392" t="s">
        <v>1561</v>
      </c>
      <c r="L5392">
        <f t="shared" si="307"/>
        <v>1</v>
      </c>
    </row>
    <row r="5393" spans="1:12" x14ac:dyDescent="0.35">
      <c r="A5393">
        <f t="shared" si="308"/>
        <v>5392</v>
      </c>
      <c r="B5393" t="s">
        <v>764</v>
      </c>
      <c r="C5393" s="109" t="str">
        <f>IF(ISBLANK(K5393),IFERROR(VLOOKUP(I5393,FS_input_data!$C$458:$N$648,Export!J5393,FALSE),""),K5393)</f>
        <v/>
      </c>
      <c r="D5393" s="6"/>
      <c r="E5393" s="6"/>
      <c r="F5393" s="6"/>
      <c r="G5393" s="115" t="b">
        <f>VLOOKUP(I5362,FS_input_noty,J5362,FALSE)=""</f>
        <v>0</v>
      </c>
      <c r="H5393" s="6" t="s">
        <v>2189</v>
      </c>
      <c r="I5393" t="s">
        <v>1561</v>
      </c>
      <c r="J5393" t="s">
        <v>1561</v>
      </c>
      <c r="L5393">
        <f t="shared" si="307"/>
        <v>1</v>
      </c>
    </row>
    <row r="5394" spans="1:12" x14ac:dyDescent="0.35">
      <c r="A5394">
        <f t="shared" si="308"/>
        <v>5393</v>
      </c>
      <c r="B5394" t="s">
        <v>765</v>
      </c>
      <c r="C5394" s="109" t="str">
        <f>IF(ISBLANK(K5394),IFERROR(VLOOKUP(I5394,FS_input_data!$C$458:$N$648,Export!J5394,FALSE),""),K5394)</f>
        <v/>
      </c>
      <c r="D5394" s="6"/>
      <c r="E5394" s="6"/>
      <c r="F5394" s="6"/>
      <c r="G5394" s="115" t="b">
        <f>VLOOKUP(I5362,FS_input_noty,J5362,FALSE)=""</f>
        <v>0</v>
      </c>
      <c r="H5394" s="6" t="s">
        <v>2189</v>
      </c>
      <c r="I5394" t="s">
        <v>1561</v>
      </c>
      <c r="J5394" t="s">
        <v>1561</v>
      </c>
      <c r="L5394">
        <f t="shared" si="307"/>
        <v>1</v>
      </c>
    </row>
    <row r="5395" spans="1:12" x14ac:dyDescent="0.35">
      <c r="A5395">
        <f t="shared" si="308"/>
        <v>5394</v>
      </c>
      <c r="B5395" t="s">
        <v>752</v>
      </c>
      <c r="C5395" s="109" t="str">
        <f>IF(ISBLANK(K5395),IFERROR(VLOOKUP(I5395,FS_input_data!$C$458:$N$648,Export!J5395,FALSE),""),K5395)</f>
        <v/>
      </c>
      <c r="D5395" s="6"/>
      <c r="E5395" s="6"/>
      <c r="F5395" s="6"/>
      <c r="G5395" s="115" t="b">
        <f>VLOOKUP(I5396,FS_input_noty,J5396,FALSE)=""</f>
        <v>0</v>
      </c>
      <c r="H5395" s="6" t="s">
        <v>2189</v>
      </c>
      <c r="I5395" t="s">
        <v>1561</v>
      </c>
      <c r="J5395" t="s">
        <v>1561</v>
      </c>
      <c r="L5395" s="26" t="e">
        <f t="shared" si="307"/>
        <v>#VALUE!</v>
      </c>
    </row>
    <row r="5396" spans="1:12" x14ac:dyDescent="0.35">
      <c r="A5396" s="9">
        <f t="shared" si="308"/>
        <v>5395</v>
      </c>
      <c r="B5396" t="s">
        <v>101</v>
      </c>
      <c r="C5396" s="109" t="str">
        <f>IF(ISBLANK(K5396),IFERROR(VLOOKUP(I5396,FS_input_data!$C$458:$N$648,Export!J5396,FALSE),""),K5396)</f>
        <v>OC65</v>
      </c>
      <c r="D5396" s="6" t="b">
        <v>1</v>
      </c>
      <c r="E5396" s="6"/>
      <c r="F5396" s="6"/>
      <c r="G5396" s="115" t="b">
        <f>VLOOKUP(I5396,FS_input_noty,J5396,FALSE)=""</f>
        <v>0</v>
      </c>
      <c r="H5396" s="6" t="s">
        <v>2189</v>
      </c>
      <c r="I5396" t="s">
        <v>1986</v>
      </c>
      <c r="J5396">
        <v>6</v>
      </c>
      <c r="L5396" s="26" t="e">
        <f t="shared" si="307"/>
        <v>#VALUE!</v>
      </c>
    </row>
    <row r="5397" spans="1:12" x14ac:dyDescent="0.35">
      <c r="A5397">
        <f t="shared" si="308"/>
        <v>5396</v>
      </c>
      <c r="B5397" t="s">
        <v>102</v>
      </c>
      <c r="C5397" s="109" t="str">
        <f>IF(ISBLANK(K5397),IFERROR(VLOOKUP(I5397,FS_input_data!$C$458:$N$648,Export!J5397,FALSE),""),K5397)</f>
        <v/>
      </c>
      <c r="D5397" s="6"/>
      <c r="E5397" s="6"/>
      <c r="F5397" s="6"/>
      <c r="G5397" s="115" t="b">
        <f>VLOOKUP(I5396,FS_input_noty,J5396,FALSE)=""</f>
        <v>0</v>
      </c>
      <c r="H5397" s="6" t="s">
        <v>2189</v>
      </c>
      <c r="I5397" t="s">
        <v>1561</v>
      </c>
      <c r="J5397" t="s">
        <v>1561</v>
      </c>
      <c r="L5397">
        <f t="shared" si="307"/>
        <v>1</v>
      </c>
    </row>
    <row r="5398" spans="1:12" x14ac:dyDescent="0.35">
      <c r="A5398">
        <f t="shared" si="308"/>
        <v>5397</v>
      </c>
      <c r="B5398" t="s">
        <v>753</v>
      </c>
      <c r="C5398" s="109" t="str">
        <f>IF(ISBLANK(K5398),IFERROR(VLOOKUP(I5398,FS_input_data!$C$458:$N$648,Export!J5398,FALSE),""),K5398)</f>
        <v/>
      </c>
      <c r="D5398" s="6"/>
      <c r="E5398" s="6"/>
      <c r="F5398" s="6"/>
      <c r="G5398" s="115" t="b">
        <f>VLOOKUP(I5396,FS_input_noty,J5396,FALSE)=""</f>
        <v>0</v>
      </c>
      <c r="H5398" s="6" t="s">
        <v>2189</v>
      </c>
      <c r="I5398" t="s">
        <v>1561</v>
      </c>
      <c r="J5398" t="s">
        <v>1561</v>
      </c>
      <c r="L5398" s="26" t="e">
        <f t="shared" si="307"/>
        <v>#VALUE!</v>
      </c>
    </row>
    <row r="5399" spans="1:12" x14ac:dyDescent="0.35">
      <c r="A5399">
        <f t="shared" si="308"/>
        <v>5398</v>
      </c>
      <c r="B5399" t="s">
        <v>742</v>
      </c>
      <c r="C5399" s="109" t="str">
        <f>IF(ISBLANK(K5399),IFERROR(VLOOKUP(I5399,FS_input_data!$C$458:$N$648,Export!J5399,FALSE),""),K5399)</f>
        <v/>
      </c>
      <c r="D5399" s="6"/>
      <c r="E5399" s="6"/>
      <c r="F5399" s="6"/>
      <c r="G5399" s="115" t="b">
        <f>VLOOKUP(I5396,FS_input_noty,J5396,FALSE)=""</f>
        <v>0</v>
      </c>
      <c r="H5399" s="6" t="s">
        <v>2189</v>
      </c>
      <c r="I5399" t="s">
        <v>1561</v>
      </c>
      <c r="J5399" t="s">
        <v>1561</v>
      </c>
      <c r="L5399" s="26" t="e">
        <f t="shared" si="307"/>
        <v>#VALUE!</v>
      </c>
    </row>
    <row r="5400" spans="1:12" x14ac:dyDescent="0.35">
      <c r="A5400">
        <f t="shared" si="308"/>
        <v>5399</v>
      </c>
      <c r="B5400" t="s">
        <v>748</v>
      </c>
      <c r="C5400" s="109" t="str">
        <f>IF(ISBLANK(K5400),IFERROR(VLOOKUP(I5400,FS_input_data!$C$458:$N$648,Export!J5400,FALSE),""),K5400)</f>
        <v/>
      </c>
      <c r="D5400" s="6"/>
      <c r="E5400" s="6"/>
      <c r="F5400" s="6"/>
      <c r="G5400" s="115" t="b">
        <f>VLOOKUP(I5396,FS_input_noty,J5396,FALSE)=""</f>
        <v>0</v>
      </c>
      <c r="H5400" s="6" t="s">
        <v>2189</v>
      </c>
      <c r="I5400" t="s">
        <v>1561</v>
      </c>
      <c r="J5400" t="s">
        <v>1561</v>
      </c>
      <c r="L5400" s="26" t="e">
        <f t="shared" si="307"/>
        <v>#VALUE!</v>
      </c>
    </row>
    <row r="5401" spans="1:12" x14ac:dyDescent="0.35">
      <c r="A5401" s="9">
        <f t="shared" si="308"/>
        <v>5400</v>
      </c>
      <c r="B5401" t="s">
        <v>109</v>
      </c>
      <c r="C5401" s="109">
        <f>IF(ISBLANK(K5401),IFERROR(VLOOKUP(I5401,FS_input_data!$C$458:$N$648,Export!J5401,FALSE),""),K5401)</f>
        <v>44000</v>
      </c>
      <c r="D5401" s="6" t="b">
        <v>1</v>
      </c>
      <c r="E5401" s="6"/>
      <c r="F5401" s="6"/>
      <c r="G5401" s="115" t="b">
        <f>VLOOKUP(I5396,FS_input_noty,J5396,FALSE)=""</f>
        <v>0</v>
      </c>
      <c r="H5401" s="6" t="s">
        <v>2189</v>
      </c>
      <c r="I5401" t="s">
        <v>1986</v>
      </c>
      <c r="J5401">
        <v>7</v>
      </c>
      <c r="L5401" s="26" t="e">
        <f t="shared" si="307"/>
        <v>#VALUE!</v>
      </c>
    </row>
    <row r="5402" spans="1:12" x14ac:dyDescent="0.35">
      <c r="A5402">
        <f t="shared" si="308"/>
        <v>5401</v>
      </c>
      <c r="B5402" t="s">
        <v>110</v>
      </c>
      <c r="C5402" s="109" t="str">
        <f>IF(ISBLANK(K5402),IFERROR(VLOOKUP(I5402,FS_input_data!$C$458:$N$648,Export!J5402,FALSE),""),K5402)</f>
        <v/>
      </c>
      <c r="D5402" s="6"/>
      <c r="E5402" s="6"/>
      <c r="F5402" s="6"/>
      <c r="G5402" s="115" t="b">
        <f>VLOOKUP(I5396,FS_input_noty,J5396,FALSE)=""</f>
        <v>0</v>
      </c>
      <c r="H5402" s="6" t="s">
        <v>2189</v>
      </c>
      <c r="I5402" t="s">
        <v>1561</v>
      </c>
      <c r="J5402" t="s">
        <v>1561</v>
      </c>
      <c r="L5402">
        <f t="shared" si="307"/>
        <v>1</v>
      </c>
    </row>
    <row r="5403" spans="1:12" x14ac:dyDescent="0.35">
      <c r="A5403" s="9">
        <f t="shared" si="308"/>
        <v>5402</v>
      </c>
      <c r="B5403" t="s">
        <v>111</v>
      </c>
      <c r="C5403" s="109">
        <f>IF(ISBLANK(K5403),IFERROR(VLOOKUP(I5403,FS_input_data!$C$458:$N$648,Export!J5403,FALSE),""),K5403)</f>
        <v>22000</v>
      </c>
      <c r="D5403" s="6" t="b">
        <v>0</v>
      </c>
      <c r="E5403" s="6"/>
      <c r="F5403" s="6"/>
      <c r="G5403" s="115" t="b">
        <f>VLOOKUP(I5396,FS_input_noty,J5396,TRUE)=""</f>
        <v>0</v>
      </c>
      <c r="H5403" s="6" t="s">
        <v>2189</v>
      </c>
      <c r="I5403" t="s">
        <v>1986</v>
      </c>
      <c r="J5403">
        <v>8</v>
      </c>
      <c r="L5403" s="26" t="e">
        <f t="shared" si="307"/>
        <v>#VALUE!</v>
      </c>
    </row>
    <row r="5404" spans="1:12" x14ac:dyDescent="0.35">
      <c r="A5404">
        <f t="shared" si="308"/>
        <v>5403</v>
      </c>
      <c r="B5404" t="s">
        <v>112</v>
      </c>
      <c r="C5404" s="109" t="str">
        <f>IF(ISBLANK(K5404),IFERROR(VLOOKUP(I5404,FS_input_data!$C$458:$N$648,Export!J5404,FALSE),""),K5404)</f>
        <v/>
      </c>
      <c r="D5404" s="6"/>
      <c r="E5404" s="6"/>
      <c r="F5404" s="6"/>
      <c r="G5404" s="115" t="b">
        <f>VLOOKUP(I5396,FS_input_noty,J5396,FALSE)=""</f>
        <v>0</v>
      </c>
      <c r="H5404" s="6" t="s">
        <v>2189</v>
      </c>
      <c r="I5404" t="s">
        <v>1561</v>
      </c>
      <c r="J5404" t="s">
        <v>1561</v>
      </c>
      <c r="L5404">
        <f t="shared" si="307"/>
        <v>1</v>
      </c>
    </row>
    <row r="5405" spans="1:12" x14ac:dyDescent="0.35">
      <c r="A5405" s="9">
        <f t="shared" si="308"/>
        <v>5404</v>
      </c>
      <c r="B5405" t="s">
        <v>749</v>
      </c>
      <c r="C5405" s="109">
        <f>IF(ISBLANK(K5405),IFERROR(VLOOKUP(I5405,FS_input_data!$C$458:$N$648,Export!J5405,FALSE),""),K5405)</f>
        <v>22000</v>
      </c>
      <c r="D5405" s="6" t="b">
        <v>0</v>
      </c>
      <c r="E5405" s="6"/>
      <c r="F5405" s="6"/>
      <c r="G5405" s="115" t="b">
        <f>VLOOKUP(I5396,FS_input_noty,J5396,FALSE)=""</f>
        <v>0</v>
      </c>
      <c r="H5405" s="6" t="s">
        <v>2189</v>
      </c>
      <c r="I5405" t="s">
        <v>1986</v>
      </c>
      <c r="J5405">
        <v>9</v>
      </c>
      <c r="L5405" s="26" t="e">
        <f t="shared" si="307"/>
        <v>#VALUE!</v>
      </c>
    </row>
    <row r="5406" spans="1:12" x14ac:dyDescent="0.35">
      <c r="A5406">
        <f t="shared" si="308"/>
        <v>5405</v>
      </c>
      <c r="B5406" t="s">
        <v>750</v>
      </c>
      <c r="C5406" s="109" t="str">
        <f>IF(ISBLANK(K5406),IFERROR(VLOOKUP(I5406,FS_input_data!$C$458:$N$648,Export!J5406,FALSE),""),K5406)</f>
        <v/>
      </c>
      <c r="D5406" s="6"/>
      <c r="E5406" s="6"/>
      <c r="F5406" s="6"/>
      <c r="G5406" s="115" t="b">
        <f>VLOOKUP(I5396,FS_input_noty,J5396,FALSE)=""</f>
        <v>0</v>
      </c>
      <c r="H5406" s="6" t="s">
        <v>2189</v>
      </c>
      <c r="I5406" t="s">
        <v>1561</v>
      </c>
      <c r="J5406" t="s">
        <v>1561</v>
      </c>
      <c r="L5406">
        <f t="shared" si="307"/>
        <v>1</v>
      </c>
    </row>
    <row r="5407" spans="1:12" x14ac:dyDescent="0.35">
      <c r="A5407">
        <f t="shared" si="308"/>
        <v>5406</v>
      </c>
      <c r="B5407" t="s">
        <v>751</v>
      </c>
      <c r="C5407" s="109" t="str">
        <f>IF(ISBLANK(K5407),IFERROR(VLOOKUP(I5407,FS_input_data!$C$458:$N$648,Export!J5407,FALSE),""),K5407)</f>
        <v/>
      </c>
      <c r="D5407" s="6"/>
      <c r="E5407" s="6"/>
      <c r="F5407" s="6"/>
      <c r="G5407" s="115" t="b">
        <f>VLOOKUP(I5396,FS_input_noty,J5396,FALSE)=""</f>
        <v>0</v>
      </c>
      <c r="H5407" s="6" t="s">
        <v>2189</v>
      </c>
      <c r="I5407" t="s">
        <v>1561</v>
      </c>
      <c r="J5407" t="s">
        <v>1561</v>
      </c>
      <c r="L5407">
        <f t="shared" si="307"/>
        <v>1</v>
      </c>
    </row>
    <row r="5408" spans="1:12" x14ac:dyDescent="0.35">
      <c r="A5408">
        <f t="shared" si="308"/>
        <v>5407</v>
      </c>
      <c r="B5408" t="s">
        <v>754</v>
      </c>
      <c r="C5408" s="109" t="str">
        <f>IF(ISBLANK(K5408),IFERROR(VLOOKUP(I5408,FS_input_data!$C$458:$N$648,Export!J5408,FALSE),""),K5408)</f>
        <v/>
      </c>
      <c r="D5408" s="6"/>
      <c r="E5408" s="6"/>
      <c r="F5408" s="6"/>
      <c r="G5408" s="115" t="b">
        <f>VLOOKUP(I5396,FS_input_noty,J5396,FALSE)=""</f>
        <v>0</v>
      </c>
      <c r="H5408" s="6" t="s">
        <v>2189</v>
      </c>
      <c r="I5408" t="s">
        <v>1561</v>
      </c>
      <c r="J5408" t="s">
        <v>1561</v>
      </c>
      <c r="L5408" s="26" t="e">
        <f t="shared" si="307"/>
        <v>#VALUE!</v>
      </c>
    </row>
    <row r="5409" spans="1:12" x14ac:dyDescent="0.35">
      <c r="A5409" s="9">
        <f t="shared" si="308"/>
        <v>5408</v>
      </c>
      <c r="B5409" t="s">
        <v>755</v>
      </c>
      <c r="C5409" s="109">
        <f>IF(ISBLANK(K5409),IFERROR(VLOOKUP(I5409,FS_input_data!$C$458:$N$648,Export!J5409,FALSE),""),K5409)</f>
        <v>88</v>
      </c>
      <c r="D5409" s="6" t="b">
        <v>1</v>
      </c>
      <c r="E5409" s="6"/>
      <c r="F5409" s="6"/>
      <c r="G5409" s="115" t="b">
        <f>VLOOKUP(I5396,FS_input_noty,J5396,FALSE)=""</f>
        <v>0</v>
      </c>
      <c r="H5409" s="6" t="s">
        <v>2189</v>
      </c>
      <c r="I5409" t="s">
        <v>1986</v>
      </c>
      <c r="J5409">
        <v>2</v>
      </c>
      <c r="L5409" s="26" t="e">
        <f t="shared" si="307"/>
        <v>#VALUE!</v>
      </c>
    </row>
    <row r="5410" spans="1:12" x14ac:dyDescent="0.35">
      <c r="A5410">
        <f t="shared" si="308"/>
        <v>5409</v>
      </c>
      <c r="B5410" t="s">
        <v>756</v>
      </c>
      <c r="C5410" s="109" t="str">
        <f>IF(ISBLANK(K5410),IFERROR(VLOOKUP(I5410,FS_input_data!$C$458:$N$648,Export!J5410,FALSE),""),K5410)</f>
        <v/>
      </c>
      <c r="D5410" s="6"/>
      <c r="E5410" s="6"/>
      <c r="F5410" s="6"/>
      <c r="G5410" s="115" t="b">
        <f>VLOOKUP(I5396,FS_input_noty,J5396,FALSE)=""</f>
        <v>0</v>
      </c>
      <c r="H5410" s="6" t="s">
        <v>2189</v>
      </c>
      <c r="I5410" t="s">
        <v>1561</v>
      </c>
      <c r="J5410" t="s">
        <v>1561</v>
      </c>
      <c r="L5410">
        <f t="shared" si="307"/>
        <v>1</v>
      </c>
    </row>
    <row r="5411" spans="1:12" x14ac:dyDescent="0.35">
      <c r="A5411" s="9">
        <f t="shared" si="308"/>
        <v>5410</v>
      </c>
      <c r="B5411" t="s">
        <v>757</v>
      </c>
      <c r="C5411" s="109">
        <f>IF(ISBLANK(K5411),IFERROR(VLOOKUP(I5411,FS_input_data!$C$458:$N$648,Export!J5411,FALSE),""),K5411)</f>
        <v>188</v>
      </c>
      <c r="D5411" s="6" t="b">
        <v>0</v>
      </c>
      <c r="E5411" s="6"/>
      <c r="F5411" s="6"/>
      <c r="G5411" s="115" t="b">
        <f>VLOOKUP(I5396,FS_input_noty,J5396,FALSE)=""</f>
        <v>0</v>
      </c>
      <c r="H5411" s="6" t="s">
        <v>2189</v>
      </c>
      <c r="I5411" t="s">
        <v>1986</v>
      </c>
      <c r="J5411">
        <v>3</v>
      </c>
      <c r="L5411" s="26" t="e">
        <f t="shared" si="307"/>
        <v>#VALUE!</v>
      </c>
    </row>
    <row r="5412" spans="1:12" x14ac:dyDescent="0.35">
      <c r="A5412">
        <f t="shared" si="308"/>
        <v>5411</v>
      </c>
      <c r="B5412" t="s">
        <v>758</v>
      </c>
      <c r="C5412" s="109" t="str">
        <f>IF(ISBLANK(K5412),IFERROR(VLOOKUP(I5412,FS_input_data!$C$458:$N$648,Export!J5412,FALSE),""),K5412)</f>
        <v/>
      </c>
      <c r="D5412" s="6"/>
      <c r="E5412" s="6"/>
      <c r="F5412" s="6"/>
      <c r="G5412" s="115" t="b">
        <f>VLOOKUP(I5396,FS_input_noty,J5396,FALSE)=""</f>
        <v>0</v>
      </c>
      <c r="H5412" s="6" t="s">
        <v>2189</v>
      </c>
      <c r="I5412" t="s">
        <v>1561</v>
      </c>
      <c r="J5412" t="s">
        <v>1561</v>
      </c>
      <c r="L5412">
        <f t="shared" si="307"/>
        <v>1</v>
      </c>
    </row>
    <row r="5413" spans="1:12" x14ac:dyDescent="0.35">
      <c r="A5413" s="9">
        <f t="shared" si="308"/>
        <v>5412</v>
      </c>
      <c r="B5413" t="s">
        <v>759</v>
      </c>
      <c r="C5413" s="109">
        <f>IF(ISBLANK(K5413),IFERROR(VLOOKUP(I5413,FS_input_data!$C$458:$N$648,Export!J5413,FALSE),""),K5413)</f>
        <v>288</v>
      </c>
      <c r="D5413" s="6" t="b">
        <v>0</v>
      </c>
      <c r="E5413" s="6"/>
      <c r="F5413" s="6"/>
      <c r="G5413" s="115" t="b">
        <f>VLOOKUP(I5396,FS_input_noty,J5396,FALSE)=""</f>
        <v>0</v>
      </c>
      <c r="H5413" s="6" t="s">
        <v>2189</v>
      </c>
      <c r="I5413" t="s">
        <v>1986</v>
      </c>
      <c r="J5413">
        <v>4</v>
      </c>
      <c r="L5413" s="26" t="e">
        <f t="shared" si="307"/>
        <v>#VALUE!</v>
      </c>
    </row>
    <row r="5414" spans="1:12" x14ac:dyDescent="0.35">
      <c r="A5414">
        <f t="shared" si="308"/>
        <v>5413</v>
      </c>
      <c r="B5414" t="s">
        <v>760</v>
      </c>
      <c r="C5414" s="109" t="str">
        <f>IF(ISBLANK(K5414),IFERROR(VLOOKUP(I5414,FS_input_data!$C$458:$N$648,Export!J5414,FALSE),""),K5414)</f>
        <v/>
      </c>
      <c r="D5414" s="6"/>
      <c r="E5414" s="6"/>
      <c r="F5414" s="6"/>
      <c r="G5414" s="115" t="b">
        <f>VLOOKUP(I5396,FS_input_noty,J5396,FALSE)=""</f>
        <v>0</v>
      </c>
      <c r="H5414" s="6" t="s">
        <v>2189</v>
      </c>
      <c r="I5414" t="s">
        <v>1561</v>
      </c>
      <c r="J5414" t="s">
        <v>1561</v>
      </c>
      <c r="L5414">
        <f t="shared" si="307"/>
        <v>1</v>
      </c>
    </row>
    <row r="5415" spans="1:12" x14ac:dyDescent="0.35">
      <c r="A5415" s="9">
        <f t="shared" si="308"/>
        <v>5414</v>
      </c>
      <c r="B5415" t="s">
        <v>761</v>
      </c>
      <c r="C5415" s="109" t="str">
        <f>IF(ISBLANK(K5415),IFERROR(VLOOKUP(I5415,FS_input_data!$C$458:$N$648,Export!J5415,FALSE),""),K5415)</f>
        <v>b</v>
      </c>
      <c r="D5415" s="6" t="b">
        <v>0</v>
      </c>
      <c r="E5415" s="6"/>
      <c r="F5415" s="6"/>
      <c r="G5415" s="115" t="b">
        <f>VLOOKUP(I5396,FS_input_noty,J5396,FALSE)=""</f>
        <v>0</v>
      </c>
      <c r="H5415" s="6" t="s">
        <v>2189</v>
      </c>
      <c r="I5415" t="s">
        <v>1986</v>
      </c>
      <c r="J5415">
        <v>5</v>
      </c>
      <c r="L5415" s="26" t="e">
        <f t="shared" si="307"/>
        <v>#VALUE!</v>
      </c>
    </row>
    <row r="5416" spans="1:12" x14ac:dyDescent="0.35">
      <c r="A5416">
        <f t="shared" si="308"/>
        <v>5415</v>
      </c>
      <c r="B5416" t="s">
        <v>762</v>
      </c>
      <c r="C5416" s="109" t="str">
        <f>IF(ISBLANK(K5416),IFERROR(VLOOKUP(I5416,FS_input_data!$C$458:$N$648,Export!J5416,FALSE),""),K5416)</f>
        <v/>
      </c>
      <c r="D5416" s="6"/>
      <c r="E5416" s="6"/>
      <c r="F5416" s="6"/>
      <c r="G5416" s="115" t="b">
        <f>VLOOKUP(I5396,FS_input_noty,J5396,FALSE)=""</f>
        <v>0</v>
      </c>
      <c r="H5416" s="6" t="s">
        <v>2189</v>
      </c>
      <c r="I5416" t="s">
        <v>1561</v>
      </c>
      <c r="J5416" t="s">
        <v>1561</v>
      </c>
      <c r="L5416">
        <f t="shared" si="307"/>
        <v>1</v>
      </c>
    </row>
    <row r="5417" spans="1:12" x14ac:dyDescent="0.35">
      <c r="A5417">
        <f t="shared" si="308"/>
        <v>5416</v>
      </c>
      <c r="B5417" t="s">
        <v>763</v>
      </c>
      <c r="C5417" s="109" t="str">
        <f>IF(ISBLANK(K5417),IFERROR(VLOOKUP(I5417,FS_input_data!$C$458:$N$648,Export!J5417,FALSE),""),K5417)</f>
        <v/>
      </c>
      <c r="D5417" s="6"/>
      <c r="E5417" s="6"/>
      <c r="F5417" s="6"/>
      <c r="G5417" s="115" t="b">
        <f>VLOOKUP(I5396,FS_input_noty,J5396,FALSE)=""</f>
        <v>0</v>
      </c>
      <c r="H5417" s="6" t="s">
        <v>2189</v>
      </c>
      <c r="I5417" t="s">
        <v>1561</v>
      </c>
      <c r="J5417" t="s">
        <v>1561</v>
      </c>
      <c r="L5417">
        <f t="shared" si="307"/>
        <v>1</v>
      </c>
    </row>
    <row r="5418" spans="1:12" x14ac:dyDescent="0.35">
      <c r="A5418">
        <f t="shared" si="308"/>
        <v>5417</v>
      </c>
      <c r="B5418" t="s">
        <v>743</v>
      </c>
      <c r="C5418" s="109" t="str">
        <f>IF(ISBLANK(K5418),IFERROR(VLOOKUP(I5418,FS_input_data!$C$458:$N$648,Export!J5418,FALSE),""),K5418)</f>
        <v/>
      </c>
      <c r="D5418" s="6"/>
      <c r="E5418" s="6"/>
      <c r="F5418" s="6"/>
      <c r="G5418" s="115" t="b">
        <f>VLOOKUP(I5396,FS_input_noty,J5396,FALSE)=""</f>
        <v>0</v>
      </c>
      <c r="H5418" s="6" t="s">
        <v>2189</v>
      </c>
      <c r="I5418" t="s">
        <v>1561</v>
      </c>
      <c r="J5418" t="s">
        <v>1561</v>
      </c>
      <c r="L5418">
        <f t="shared" si="307"/>
        <v>1</v>
      </c>
    </row>
    <row r="5419" spans="1:12" x14ac:dyDescent="0.35">
      <c r="A5419">
        <f t="shared" si="308"/>
        <v>5418</v>
      </c>
      <c r="B5419" t="s">
        <v>744</v>
      </c>
      <c r="C5419" s="109" t="str">
        <f>IF(ISBLANK(K5419),IFERROR(VLOOKUP(I5419,FS_input_data!$C$458:$N$648,Export!J5419,FALSE),""),K5419)</f>
        <v/>
      </c>
      <c r="D5419" s="6"/>
      <c r="E5419" s="6"/>
      <c r="F5419" s="6"/>
      <c r="G5419" s="115" t="b">
        <f t="shared" ref="G5419:G5426" si="310">RP_tax</f>
        <v>1</v>
      </c>
      <c r="H5419" s="6" t="s">
        <v>2189</v>
      </c>
      <c r="I5419" t="s">
        <v>1561</v>
      </c>
      <c r="J5419" t="s">
        <v>1561</v>
      </c>
      <c r="L5419" s="26" t="e">
        <f t="shared" si="307"/>
        <v>#VALUE!</v>
      </c>
    </row>
    <row r="5420" spans="1:12" x14ac:dyDescent="0.35">
      <c r="A5420" s="9">
        <f t="shared" si="308"/>
        <v>5419</v>
      </c>
      <c r="B5420" t="s">
        <v>109</v>
      </c>
      <c r="C5420" s="109">
        <f>IF(ISBLANK(K5420),IFERROR(VLOOKUP(I5420,FS_input_data!$C$458:$N$648,Export!J5420,FALSE),""),K5420)</f>
        <v>44000</v>
      </c>
      <c r="D5420" s="6" t="b">
        <v>1</v>
      </c>
      <c r="E5420" s="6"/>
      <c r="F5420" s="6"/>
      <c r="G5420" s="115" t="b">
        <f t="shared" si="310"/>
        <v>1</v>
      </c>
      <c r="H5420" s="6" t="s">
        <v>2189</v>
      </c>
      <c r="I5420" t="s">
        <v>1986</v>
      </c>
      <c r="J5420">
        <v>10</v>
      </c>
      <c r="L5420" s="26" t="e">
        <f t="shared" si="307"/>
        <v>#VALUE!</v>
      </c>
    </row>
    <row r="5421" spans="1:12" x14ac:dyDescent="0.35">
      <c r="A5421">
        <f t="shared" si="308"/>
        <v>5420</v>
      </c>
      <c r="B5421" t="s">
        <v>110</v>
      </c>
      <c r="C5421" s="109" t="str">
        <f>IF(ISBLANK(K5421),IFERROR(VLOOKUP(I5421,FS_input_data!$C$458:$N$648,Export!J5421,FALSE),""),K5421)</f>
        <v/>
      </c>
      <c r="D5421" s="6"/>
      <c r="E5421" s="6"/>
      <c r="F5421" s="6"/>
      <c r="G5421" s="115" t="b">
        <f t="shared" si="310"/>
        <v>1</v>
      </c>
      <c r="H5421" s="6" t="s">
        <v>2189</v>
      </c>
      <c r="I5421" t="s">
        <v>1561</v>
      </c>
      <c r="J5421" t="s">
        <v>1561</v>
      </c>
      <c r="L5421">
        <f t="shared" si="307"/>
        <v>1</v>
      </c>
    </row>
    <row r="5422" spans="1:12" x14ac:dyDescent="0.35">
      <c r="A5422" s="9">
        <f t="shared" si="308"/>
        <v>5421</v>
      </c>
      <c r="B5422" t="s">
        <v>111</v>
      </c>
      <c r="C5422" s="109">
        <f>IF(ISBLANK(K5422),IFERROR(VLOOKUP(I5422,FS_input_data!$C$458:$N$648,Export!J5422,FALSE),""),K5422)</f>
        <v>22000</v>
      </c>
      <c r="D5422" s="6" t="b">
        <v>0</v>
      </c>
      <c r="E5422" s="6"/>
      <c r="F5422" s="6"/>
      <c r="G5422" s="115" t="b">
        <f t="shared" si="310"/>
        <v>1</v>
      </c>
      <c r="H5422" s="6" t="s">
        <v>2189</v>
      </c>
      <c r="I5422" t="s">
        <v>1986</v>
      </c>
      <c r="J5422">
        <v>11</v>
      </c>
      <c r="L5422" s="26" t="e">
        <f t="shared" si="307"/>
        <v>#VALUE!</v>
      </c>
    </row>
    <row r="5423" spans="1:12" x14ac:dyDescent="0.35">
      <c r="A5423">
        <f t="shared" si="308"/>
        <v>5422</v>
      </c>
      <c r="B5423" t="s">
        <v>112</v>
      </c>
      <c r="C5423" s="109" t="str">
        <f>IF(ISBLANK(K5423),IFERROR(VLOOKUP(I5423,FS_input_data!$C$458:$N$648,Export!J5423,FALSE),""),K5423)</f>
        <v/>
      </c>
      <c r="D5423" s="6"/>
      <c r="E5423" s="6"/>
      <c r="F5423" s="6"/>
      <c r="G5423" s="115" t="b">
        <f t="shared" si="310"/>
        <v>1</v>
      </c>
      <c r="H5423" s="6" t="s">
        <v>2189</v>
      </c>
      <c r="I5423" t="s">
        <v>1561</v>
      </c>
      <c r="J5423" t="s">
        <v>1561</v>
      </c>
      <c r="L5423">
        <f t="shared" si="307"/>
        <v>1</v>
      </c>
    </row>
    <row r="5424" spans="1:12" x14ac:dyDescent="0.35">
      <c r="A5424" s="9">
        <f t="shared" si="308"/>
        <v>5423</v>
      </c>
      <c r="B5424" t="s">
        <v>749</v>
      </c>
      <c r="C5424" s="109">
        <f>IF(ISBLANK(K5424),IFERROR(VLOOKUP(I5424,FS_input_data!$C$458:$N$648,Export!J5424,FALSE),""),K5424)</f>
        <v>22000</v>
      </c>
      <c r="D5424" s="6" t="b">
        <v>0</v>
      </c>
      <c r="E5424" s="6"/>
      <c r="F5424" s="6"/>
      <c r="G5424" s="115" t="b">
        <f t="shared" si="310"/>
        <v>1</v>
      </c>
      <c r="H5424" s="6" t="s">
        <v>2189</v>
      </c>
      <c r="I5424" t="s">
        <v>1986</v>
      </c>
      <c r="J5424">
        <v>12</v>
      </c>
      <c r="L5424" s="26" t="e">
        <f t="shared" si="307"/>
        <v>#VALUE!</v>
      </c>
    </row>
    <row r="5425" spans="1:12" x14ac:dyDescent="0.35">
      <c r="A5425">
        <f t="shared" si="308"/>
        <v>5424</v>
      </c>
      <c r="B5425" t="s">
        <v>750</v>
      </c>
      <c r="C5425" s="109" t="str">
        <f>IF(ISBLANK(K5425),IFERROR(VLOOKUP(I5425,FS_input_data!$C$458:$N$648,Export!J5425,FALSE),""),K5425)</f>
        <v/>
      </c>
      <c r="D5425" s="6"/>
      <c r="E5425" s="6"/>
      <c r="F5425" s="6"/>
      <c r="G5425" s="115" t="b">
        <f t="shared" si="310"/>
        <v>1</v>
      </c>
      <c r="H5425" s="6" t="s">
        <v>2189</v>
      </c>
      <c r="I5425" t="s">
        <v>1561</v>
      </c>
      <c r="J5425" t="s">
        <v>1561</v>
      </c>
      <c r="L5425">
        <f t="shared" si="307"/>
        <v>1</v>
      </c>
    </row>
    <row r="5426" spans="1:12" x14ac:dyDescent="0.35">
      <c r="A5426">
        <f t="shared" si="308"/>
        <v>5425</v>
      </c>
      <c r="B5426" t="s">
        <v>745</v>
      </c>
      <c r="C5426" s="109" t="str">
        <f>IF(ISBLANK(K5426),IFERROR(VLOOKUP(I5426,FS_input_data!$C$458:$N$648,Export!J5426,FALSE),""),K5426)</f>
        <v/>
      </c>
      <c r="D5426" s="6"/>
      <c r="E5426" s="6"/>
      <c r="F5426" s="6"/>
      <c r="G5426" s="115" t="b">
        <f t="shared" si="310"/>
        <v>1</v>
      </c>
      <c r="H5426" s="6" t="s">
        <v>2189</v>
      </c>
      <c r="I5426" t="s">
        <v>1561</v>
      </c>
      <c r="J5426" t="s">
        <v>1561</v>
      </c>
      <c r="L5426">
        <f t="shared" si="307"/>
        <v>1</v>
      </c>
    </row>
    <row r="5427" spans="1:12" x14ac:dyDescent="0.35">
      <c r="A5427">
        <f t="shared" si="308"/>
        <v>5426</v>
      </c>
      <c r="B5427" t="s">
        <v>764</v>
      </c>
      <c r="C5427" s="109" t="str">
        <f>IF(ISBLANK(K5427),IFERROR(VLOOKUP(I5427,FS_input_data!$C$458:$N$648,Export!J5427,FALSE),""),K5427)</f>
        <v/>
      </c>
      <c r="D5427" s="6"/>
      <c r="E5427" s="6"/>
      <c r="F5427" s="6"/>
      <c r="G5427" s="115" t="b">
        <f>VLOOKUP(I5396,FS_input_noty,J5396,FALSE)=""</f>
        <v>0</v>
      </c>
      <c r="H5427" s="6" t="s">
        <v>2189</v>
      </c>
      <c r="I5427" t="s">
        <v>1561</v>
      </c>
      <c r="J5427" t="s">
        <v>1561</v>
      </c>
      <c r="L5427">
        <f t="shared" si="307"/>
        <v>1</v>
      </c>
    </row>
    <row r="5428" spans="1:12" x14ac:dyDescent="0.35">
      <c r="A5428">
        <f t="shared" si="308"/>
        <v>5427</v>
      </c>
      <c r="B5428" t="s">
        <v>765</v>
      </c>
      <c r="C5428" s="109" t="str">
        <f>IF(ISBLANK(K5428),IFERROR(VLOOKUP(I5428,FS_input_data!$C$458:$N$648,Export!J5428,FALSE),""),K5428)</f>
        <v/>
      </c>
      <c r="D5428" s="6"/>
      <c r="E5428" s="6"/>
      <c r="F5428" s="6"/>
      <c r="G5428" s="115" t="b">
        <f>VLOOKUP(I5396,FS_input_noty,J5396,FALSE)=""</f>
        <v>0</v>
      </c>
      <c r="H5428" s="6" t="s">
        <v>2189</v>
      </c>
      <c r="I5428" t="s">
        <v>1561</v>
      </c>
      <c r="J5428" t="s">
        <v>1561</v>
      </c>
      <c r="L5428">
        <f t="shared" si="307"/>
        <v>1</v>
      </c>
    </row>
    <row r="5429" spans="1:12" x14ac:dyDescent="0.35">
      <c r="A5429">
        <f t="shared" si="308"/>
        <v>5428</v>
      </c>
      <c r="B5429" t="s">
        <v>752</v>
      </c>
      <c r="C5429" s="109" t="str">
        <f>IF(ISBLANK(K5429),IFERROR(VLOOKUP(I5429,FS_input_data!$C$458:$N$648,Export!J5429,FALSE),""),K5429)</f>
        <v/>
      </c>
      <c r="D5429" s="6"/>
      <c r="E5429" s="6"/>
      <c r="F5429" s="6"/>
      <c r="G5429" s="115" t="b">
        <f>VLOOKUP(I5430,FS_input_noty,J5430,FALSE)=""</f>
        <v>0</v>
      </c>
      <c r="H5429" s="6" t="s">
        <v>2189</v>
      </c>
      <c r="I5429" t="s">
        <v>1561</v>
      </c>
      <c r="J5429" t="s">
        <v>1561</v>
      </c>
      <c r="L5429" s="26" t="e">
        <f t="shared" si="307"/>
        <v>#VALUE!</v>
      </c>
    </row>
    <row r="5430" spans="1:12" x14ac:dyDescent="0.35">
      <c r="A5430" s="9">
        <f t="shared" si="308"/>
        <v>5429</v>
      </c>
      <c r="B5430" t="s">
        <v>101</v>
      </c>
      <c r="C5430" s="109" t="str">
        <f>IF(ISBLANK(K5430),IFERROR(VLOOKUP(I5430,FS_input_data!$C$458:$N$648,Export!J5430,FALSE),""),K5430)</f>
        <v>OC66</v>
      </c>
      <c r="D5430" s="6" t="b">
        <v>1</v>
      </c>
      <c r="E5430" s="6"/>
      <c r="F5430" s="6"/>
      <c r="G5430" s="115" t="b">
        <f>VLOOKUP(I5430,FS_input_noty,J5430,FALSE)=""</f>
        <v>0</v>
      </c>
      <c r="H5430" s="6" t="s">
        <v>2189</v>
      </c>
      <c r="I5430" t="s">
        <v>1988</v>
      </c>
      <c r="J5430">
        <v>6</v>
      </c>
      <c r="L5430" s="26" t="e">
        <f t="shared" si="307"/>
        <v>#VALUE!</v>
      </c>
    </row>
    <row r="5431" spans="1:12" x14ac:dyDescent="0.35">
      <c r="A5431">
        <f t="shared" si="308"/>
        <v>5430</v>
      </c>
      <c r="B5431" t="s">
        <v>102</v>
      </c>
      <c r="C5431" s="109" t="str">
        <f>IF(ISBLANK(K5431),IFERROR(VLOOKUP(I5431,FS_input_data!$C$458:$N$648,Export!J5431,FALSE),""),K5431)</f>
        <v/>
      </c>
      <c r="D5431" s="6"/>
      <c r="E5431" s="6"/>
      <c r="F5431" s="6"/>
      <c r="G5431" s="115" t="b">
        <f>VLOOKUP(I5430,FS_input_noty,J5430,FALSE)=""</f>
        <v>0</v>
      </c>
      <c r="H5431" s="6" t="s">
        <v>2189</v>
      </c>
      <c r="I5431" t="s">
        <v>1561</v>
      </c>
      <c r="J5431" t="s">
        <v>1561</v>
      </c>
      <c r="L5431">
        <f t="shared" si="307"/>
        <v>1</v>
      </c>
    </row>
    <row r="5432" spans="1:12" x14ac:dyDescent="0.35">
      <c r="A5432">
        <f t="shared" si="308"/>
        <v>5431</v>
      </c>
      <c r="B5432" t="s">
        <v>753</v>
      </c>
      <c r="C5432" s="109" t="str">
        <f>IF(ISBLANK(K5432),IFERROR(VLOOKUP(I5432,FS_input_data!$C$458:$N$648,Export!J5432,FALSE),""),K5432)</f>
        <v/>
      </c>
      <c r="D5432" s="6"/>
      <c r="E5432" s="6"/>
      <c r="F5432" s="6"/>
      <c r="G5432" s="115" t="b">
        <f>VLOOKUP(I5430,FS_input_noty,J5430,FALSE)=""</f>
        <v>0</v>
      </c>
      <c r="H5432" s="6" t="s">
        <v>2189</v>
      </c>
      <c r="I5432" t="s">
        <v>1561</v>
      </c>
      <c r="J5432" t="s">
        <v>1561</v>
      </c>
      <c r="L5432" s="26" t="e">
        <f t="shared" si="307"/>
        <v>#VALUE!</v>
      </c>
    </row>
    <row r="5433" spans="1:12" x14ac:dyDescent="0.35">
      <c r="A5433">
        <f t="shared" si="308"/>
        <v>5432</v>
      </c>
      <c r="B5433" t="s">
        <v>742</v>
      </c>
      <c r="C5433" s="109" t="str">
        <f>IF(ISBLANK(K5433),IFERROR(VLOOKUP(I5433,FS_input_data!$C$458:$N$648,Export!J5433,FALSE),""),K5433)</f>
        <v/>
      </c>
      <c r="D5433" s="6"/>
      <c r="E5433" s="6"/>
      <c r="F5433" s="6"/>
      <c r="G5433" s="115" t="b">
        <f>VLOOKUP(I5430,FS_input_noty,J5430,FALSE)=""</f>
        <v>0</v>
      </c>
      <c r="H5433" s="6" t="s">
        <v>2189</v>
      </c>
      <c r="I5433" t="s">
        <v>1561</v>
      </c>
      <c r="J5433" t="s">
        <v>1561</v>
      </c>
      <c r="L5433" s="26" t="e">
        <f t="shared" si="307"/>
        <v>#VALUE!</v>
      </c>
    </row>
    <row r="5434" spans="1:12" x14ac:dyDescent="0.35">
      <c r="A5434">
        <f t="shared" si="308"/>
        <v>5433</v>
      </c>
      <c r="B5434" t="s">
        <v>748</v>
      </c>
      <c r="C5434" s="109" t="str">
        <f>IF(ISBLANK(K5434),IFERROR(VLOOKUP(I5434,FS_input_data!$C$458:$N$648,Export!J5434,FALSE),""),K5434)</f>
        <v/>
      </c>
      <c r="D5434" s="6"/>
      <c r="E5434" s="6"/>
      <c r="F5434" s="6"/>
      <c r="G5434" s="115" t="b">
        <f>VLOOKUP(I5430,FS_input_noty,J5430,FALSE)=""</f>
        <v>0</v>
      </c>
      <c r="H5434" s="6" t="s">
        <v>2189</v>
      </c>
      <c r="I5434" t="s">
        <v>1561</v>
      </c>
      <c r="J5434" t="s">
        <v>1561</v>
      </c>
      <c r="L5434" s="26" t="e">
        <f t="shared" si="307"/>
        <v>#VALUE!</v>
      </c>
    </row>
    <row r="5435" spans="1:12" x14ac:dyDescent="0.35">
      <c r="A5435" s="9">
        <f t="shared" si="308"/>
        <v>5434</v>
      </c>
      <c r="B5435" t="s">
        <v>109</v>
      </c>
      <c r="C5435" s="109">
        <f>IF(ISBLANK(K5435),IFERROR(VLOOKUP(I5435,FS_input_data!$C$458:$N$648,Export!J5435,FALSE),""),K5435)</f>
        <v>89000</v>
      </c>
      <c r="D5435" s="6" t="b">
        <v>1</v>
      </c>
      <c r="E5435" s="6"/>
      <c r="F5435" s="6"/>
      <c r="G5435" s="115" t="b">
        <f>VLOOKUP(I5430,FS_input_noty,J5430,FALSE)=""</f>
        <v>0</v>
      </c>
      <c r="H5435" s="6" t="s">
        <v>2189</v>
      </c>
      <c r="I5435" t="s">
        <v>1988</v>
      </c>
      <c r="J5435">
        <v>7</v>
      </c>
      <c r="L5435" s="26" t="e">
        <f t="shared" si="307"/>
        <v>#VALUE!</v>
      </c>
    </row>
    <row r="5436" spans="1:12" x14ac:dyDescent="0.35">
      <c r="A5436">
        <f t="shared" si="308"/>
        <v>5435</v>
      </c>
      <c r="B5436" t="s">
        <v>110</v>
      </c>
      <c r="C5436" s="109" t="str">
        <f>IF(ISBLANK(K5436),IFERROR(VLOOKUP(I5436,FS_input_data!$C$458:$N$648,Export!J5436,FALSE),""),K5436)</f>
        <v/>
      </c>
      <c r="D5436" s="6"/>
      <c r="E5436" s="6"/>
      <c r="F5436" s="6"/>
      <c r="G5436" s="115" t="b">
        <f>VLOOKUP(I5430,FS_input_noty,J5430,FALSE)=""</f>
        <v>0</v>
      </c>
      <c r="H5436" s="6" t="s">
        <v>2189</v>
      </c>
      <c r="I5436" t="s">
        <v>1561</v>
      </c>
      <c r="J5436" t="s">
        <v>1561</v>
      </c>
      <c r="L5436">
        <f t="shared" si="307"/>
        <v>1</v>
      </c>
    </row>
    <row r="5437" spans="1:12" x14ac:dyDescent="0.35">
      <c r="A5437" s="9">
        <f t="shared" si="308"/>
        <v>5436</v>
      </c>
      <c r="B5437" t="s">
        <v>111</v>
      </c>
      <c r="C5437" s="109">
        <f>IF(ISBLANK(K5437),IFERROR(VLOOKUP(I5437,FS_input_data!$C$458:$N$648,Export!J5437,FALSE),""),K5437)</f>
        <v>44500</v>
      </c>
      <c r="D5437" s="6" t="b">
        <v>0</v>
      </c>
      <c r="E5437" s="6"/>
      <c r="F5437" s="6"/>
      <c r="G5437" s="115" t="b">
        <f>VLOOKUP(I5430,FS_input_noty,J5430,TRUE)=""</f>
        <v>0</v>
      </c>
      <c r="H5437" s="6" t="s">
        <v>2189</v>
      </c>
      <c r="I5437" t="s">
        <v>1988</v>
      </c>
      <c r="J5437">
        <v>8</v>
      </c>
      <c r="L5437" s="26" t="e">
        <f t="shared" si="307"/>
        <v>#VALUE!</v>
      </c>
    </row>
    <row r="5438" spans="1:12" x14ac:dyDescent="0.35">
      <c r="A5438">
        <f t="shared" si="308"/>
        <v>5437</v>
      </c>
      <c r="B5438" t="s">
        <v>112</v>
      </c>
      <c r="C5438" s="109" t="str">
        <f>IF(ISBLANK(K5438),IFERROR(VLOOKUP(I5438,FS_input_data!$C$458:$N$648,Export!J5438,FALSE),""),K5438)</f>
        <v/>
      </c>
      <c r="D5438" s="6"/>
      <c r="E5438" s="6"/>
      <c r="F5438" s="6"/>
      <c r="G5438" s="115" t="b">
        <f>VLOOKUP(I5430,FS_input_noty,J5430,FALSE)=""</f>
        <v>0</v>
      </c>
      <c r="H5438" s="6" t="s">
        <v>2189</v>
      </c>
      <c r="I5438" t="s">
        <v>1561</v>
      </c>
      <c r="J5438" t="s">
        <v>1561</v>
      </c>
      <c r="L5438">
        <f t="shared" si="307"/>
        <v>1</v>
      </c>
    </row>
    <row r="5439" spans="1:12" x14ac:dyDescent="0.35">
      <c r="A5439" s="9">
        <f t="shared" si="308"/>
        <v>5438</v>
      </c>
      <c r="B5439" t="s">
        <v>749</v>
      </c>
      <c r="C5439" s="109">
        <f>IF(ISBLANK(K5439),IFERROR(VLOOKUP(I5439,FS_input_data!$C$458:$N$648,Export!J5439,FALSE),""),K5439)</f>
        <v>44500</v>
      </c>
      <c r="D5439" s="6" t="b">
        <v>0</v>
      </c>
      <c r="E5439" s="6"/>
      <c r="F5439" s="6"/>
      <c r="G5439" s="115" t="b">
        <f>VLOOKUP(I5430,FS_input_noty,J5430,FALSE)=""</f>
        <v>0</v>
      </c>
      <c r="H5439" s="6" t="s">
        <v>2189</v>
      </c>
      <c r="I5439" t="s">
        <v>1988</v>
      </c>
      <c r="J5439">
        <v>9</v>
      </c>
      <c r="L5439" s="26" t="e">
        <f t="shared" si="307"/>
        <v>#VALUE!</v>
      </c>
    </row>
    <row r="5440" spans="1:12" x14ac:dyDescent="0.35">
      <c r="A5440">
        <f t="shared" si="308"/>
        <v>5439</v>
      </c>
      <c r="B5440" t="s">
        <v>750</v>
      </c>
      <c r="C5440" s="109" t="str">
        <f>IF(ISBLANK(K5440),IFERROR(VLOOKUP(I5440,FS_input_data!$C$458:$N$648,Export!J5440,FALSE),""),K5440)</f>
        <v/>
      </c>
      <c r="D5440" s="6"/>
      <c r="E5440" s="6"/>
      <c r="F5440" s="6"/>
      <c r="G5440" s="115" t="b">
        <f>VLOOKUP(I5430,FS_input_noty,J5430,FALSE)=""</f>
        <v>0</v>
      </c>
      <c r="H5440" s="6" t="s">
        <v>2189</v>
      </c>
      <c r="I5440" t="s">
        <v>1561</v>
      </c>
      <c r="J5440" t="s">
        <v>1561</v>
      </c>
      <c r="L5440">
        <f t="shared" si="307"/>
        <v>1</v>
      </c>
    </row>
    <row r="5441" spans="1:12" x14ac:dyDescent="0.35">
      <c r="A5441">
        <f t="shared" si="308"/>
        <v>5440</v>
      </c>
      <c r="B5441" t="s">
        <v>751</v>
      </c>
      <c r="C5441" s="109" t="str">
        <f>IF(ISBLANK(K5441),IFERROR(VLOOKUP(I5441,FS_input_data!$C$458:$N$648,Export!J5441,FALSE),""),K5441)</f>
        <v/>
      </c>
      <c r="D5441" s="6"/>
      <c r="E5441" s="6"/>
      <c r="F5441" s="6"/>
      <c r="G5441" s="115" t="b">
        <f>VLOOKUP(I5430,FS_input_noty,J5430,FALSE)=""</f>
        <v>0</v>
      </c>
      <c r="H5441" s="6" t="s">
        <v>2189</v>
      </c>
      <c r="I5441" t="s">
        <v>1561</v>
      </c>
      <c r="J5441" t="s">
        <v>1561</v>
      </c>
      <c r="L5441">
        <f t="shared" si="307"/>
        <v>1</v>
      </c>
    </row>
    <row r="5442" spans="1:12" x14ac:dyDescent="0.35">
      <c r="A5442">
        <f t="shared" si="308"/>
        <v>5441</v>
      </c>
      <c r="B5442" t="s">
        <v>754</v>
      </c>
      <c r="C5442" s="109" t="str">
        <f>IF(ISBLANK(K5442),IFERROR(VLOOKUP(I5442,FS_input_data!$C$458:$N$648,Export!J5442,FALSE),""),K5442)</f>
        <v/>
      </c>
      <c r="D5442" s="6"/>
      <c r="E5442" s="6"/>
      <c r="F5442" s="6"/>
      <c r="G5442" s="115" t="b">
        <f>VLOOKUP(I5430,FS_input_noty,J5430,FALSE)=""</f>
        <v>0</v>
      </c>
      <c r="H5442" s="6" t="s">
        <v>2189</v>
      </c>
      <c r="I5442" t="s">
        <v>1561</v>
      </c>
      <c r="J5442" t="s">
        <v>1561</v>
      </c>
      <c r="L5442" s="26" t="e">
        <f t="shared" ref="L5442:L5505" si="311">FIND("/",B5442)</f>
        <v>#VALUE!</v>
      </c>
    </row>
    <row r="5443" spans="1:12" x14ac:dyDescent="0.35">
      <c r="A5443" s="9">
        <f t="shared" ref="A5443:A5506" si="312">A5442+1</f>
        <v>5442</v>
      </c>
      <c r="B5443" t="s">
        <v>755</v>
      </c>
      <c r="C5443" s="109">
        <f>IF(ISBLANK(K5443),IFERROR(VLOOKUP(I5443,FS_input_data!$C$458:$N$648,Export!J5443,FALSE),""),K5443)</f>
        <v>89</v>
      </c>
      <c r="D5443" s="6" t="b">
        <v>1</v>
      </c>
      <c r="E5443" s="6"/>
      <c r="F5443" s="6"/>
      <c r="G5443" s="115" t="b">
        <f>VLOOKUP(I5430,FS_input_noty,J5430,FALSE)=""</f>
        <v>0</v>
      </c>
      <c r="H5443" s="6" t="s">
        <v>2189</v>
      </c>
      <c r="I5443" t="s">
        <v>1988</v>
      </c>
      <c r="J5443">
        <v>2</v>
      </c>
      <c r="L5443" s="26" t="e">
        <f t="shared" si="311"/>
        <v>#VALUE!</v>
      </c>
    </row>
    <row r="5444" spans="1:12" x14ac:dyDescent="0.35">
      <c r="A5444">
        <f t="shared" si="312"/>
        <v>5443</v>
      </c>
      <c r="B5444" t="s">
        <v>756</v>
      </c>
      <c r="C5444" s="109" t="str">
        <f>IF(ISBLANK(K5444),IFERROR(VLOOKUP(I5444,FS_input_data!$C$458:$N$648,Export!J5444,FALSE),""),K5444)</f>
        <v/>
      </c>
      <c r="D5444" s="6"/>
      <c r="E5444" s="6"/>
      <c r="F5444" s="6"/>
      <c r="G5444" s="115" t="b">
        <f>VLOOKUP(I5430,FS_input_noty,J5430,FALSE)=""</f>
        <v>0</v>
      </c>
      <c r="H5444" s="6" t="s">
        <v>2189</v>
      </c>
      <c r="I5444" t="s">
        <v>1561</v>
      </c>
      <c r="J5444" t="s">
        <v>1561</v>
      </c>
      <c r="L5444">
        <f t="shared" si="311"/>
        <v>1</v>
      </c>
    </row>
    <row r="5445" spans="1:12" x14ac:dyDescent="0.35">
      <c r="A5445" s="9">
        <f t="shared" si="312"/>
        <v>5444</v>
      </c>
      <c r="B5445" t="s">
        <v>757</v>
      </c>
      <c r="C5445" s="109">
        <f>IF(ISBLANK(K5445),IFERROR(VLOOKUP(I5445,FS_input_data!$C$458:$N$648,Export!J5445,FALSE),""),K5445)</f>
        <v>189</v>
      </c>
      <c r="D5445" s="6" t="b">
        <v>0</v>
      </c>
      <c r="E5445" s="6"/>
      <c r="F5445" s="6"/>
      <c r="G5445" s="115" t="b">
        <f>VLOOKUP(I5430,FS_input_noty,J5430,FALSE)=""</f>
        <v>0</v>
      </c>
      <c r="H5445" s="6" t="s">
        <v>2189</v>
      </c>
      <c r="I5445" t="s">
        <v>1988</v>
      </c>
      <c r="J5445">
        <v>3</v>
      </c>
      <c r="L5445" s="26" t="e">
        <f t="shared" si="311"/>
        <v>#VALUE!</v>
      </c>
    </row>
    <row r="5446" spans="1:12" x14ac:dyDescent="0.35">
      <c r="A5446">
        <f t="shared" si="312"/>
        <v>5445</v>
      </c>
      <c r="B5446" t="s">
        <v>758</v>
      </c>
      <c r="C5446" s="109" t="str">
        <f>IF(ISBLANK(K5446),IFERROR(VLOOKUP(I5446,FS_input_data!$C$458:$N$648,Export!J5446,FALSE),""),K5446)</f>
        <v/>
      </c>
      <c r="D5446" s="6"/>
      <c r="E5446" s="6"/>
      <c r="F5446" s="6"/>
      <c r="G5446" s="115" t="b">
        <f>VLOOKUP(I5430,FS_input_noty,J5430,FALSE)=""</f>
        <v>0</v>
      </c>
      <c r="H5446" s="6" t="s">
        <v>2189</v>
      </c>
      <c r="I5446" t="s">
        <v>1561</v>
      </c>
      <c r="J5446" t="s">
        <v>1561</v>
      </c>
      <c r="L5446">
        <f t="shared" si="311"/>
        <v>1</v>
      </c>
    </row>
    <row r="5447" spans="1:12" x14ac:dyDescent="0.35">
      <c r="A5447" s="9">
        <f t="shared" si="312"/>
        <v>5446</v>
      </c>
      <c r="B5447" t="s">
        <v>759</v>
      </c>
      <c r="C5447" s="109">
        <f>IF(ISBLANK(K5447),IFERROR(VLOOKUP(I5447,FS_input_data!$C$458:$N$648,Export!J5447,FALSE),""),K5447)</f>
        <v>289</v>
      </c>
      <c r="D5447" s="6" t="b">
        <v>0</v>
      </c>
      <c r="E5447" s="6"/>
      <c r="F5447" s="6"/>
      <c r="G5447" s="115" t="b">
        <f>VLOOKUP(I5430,FS_input_noty,J5430,FALSE)=""</f>
        <v>0</v>
      </c>
      <c r="H5447" s="6" t="s">
        <v>2189</v>
      </c>
      <c r="I5447" t="s">
        <v>1988</v>
      </c>
      <c r="J5447">
        <v>4</v>
      </c>
      <c r="L5447" s="26" t="e">
        <f t="shared" si="311"/>
        <v>#VALUE!</v>
      </c>
    </row>
    <row r="5448" spans="1:12" x14ac:dyDescent="0.35">
      <c r="A5448">
        <f t="shared" si="312"/>
        <v>5447</v>
      </c>
      <c r="B5448" t="s">
        <v>760</v>
      </c>
      <c r="C5448" s="109" t="str">
        <f>IF(ISBLANK(K5448),IFERROR(VLOOKUP(I5448,FS_input_data!$C$458:$N$648,Export!J5448,FALSE),""),K5448)</f>
        <v/>
      </c>
      <c r="D5448" s="6"/>
      <c r="E5448" s="6"/>
      <c r="F5448" s="6"/>
      <c r="G5448" s="115" t="b">
        <f>VLOOKUP(I5430,FS_input_noty,J5430,FALSE)=""</f>
        <v>0</v>
      </c>
      <c r="H5448" s="6" t="s">
        <v>2189</v>
      </c>
      <c r="I5448" t="s">
        <v>1561</v>
      </c>
      <c r="J5448" t="s">
        <v>1561</v>
      </c>
      <c r="L5448">
        <f t="shared" si="311"/>
        <v>1</v>
      </c>
    </row>
    <row r="5449" spans="1:12" x14ac:dyDescent="0.35">
      <c r="A5449" s="9">
        <f t="shared" si="312"/>
        <v>5448</v>
      </c>
      <c r="B5449" t="s">
        <v>761</v>
      </c>
      <c r="C5449" s="109" t="str">
        <f>IF(ISBLANK(K5449),IFERROR(VLOOKUP(I5449,FS_input_data!$C$458:$N$648,Export!J5449,FALSE),""),K5449)</f>
        <v>c</v>
      </c>
      <c r="D5449" s="6" t="b">
        <v>0</v>
      </c>
      <c r="E5449" s="6"/>
      <c r="F5449" s="6"/>
      <c r="G5449" s="115" t="b">
        <f>VLOOKUP(I5430,FS_input_noty,J5430,FALSE)=""</f>
        <v>0</v>
      </c>
      <c r="H5449" s="6" t="s">
        <v>2189</v>
      </c>
      <c r="I5449" t="s">
        <v>1988</v>
      </c>
      <c r="J5449">
        <v>5</v>
      </c>
      <c r="L5449" s="26" t="e">
        <f t="shared" si="311"/>
        <v>#VALUE!</v>
      </c>
    </row>
    <row r="5450" spans="1:12" x14ac:dyDescent="0.35">
      <c r="A5450">
        <f t="shared" si="312"/>
        <v>5449</v>
      </c>
      <c r="B5450" t="s">
        <v>762</v>
      </c>
      <c r="C5450" s="109" t="str">
        <f>IF(ISBLANK(K5450),IFERROR(VLOOKUP(I5450,FS_input_data!$C$458:$N$648,Export!J5450,FALSE),""),K5450)</f>
        <v/>
      </c>
      <c r="D5450" s="6"/>
      <c r="E5450" s="6"/>
      <c r="F5450" s="6"/>
      <c r="G5450" s="115" t="b">
        <f>VLOOKUP(I5430,FS_input_noty,J5430,FALSE)=""</f>
        <v>0</v>
      </c>
      <c r="H5450" s="6" t="s">
        <v>2189</v>
      </c>
      <c r="I5450" t="s">
        <v>1561</v>
      </c>
      <c r="J5450" t="s">
        <v>1561</v>
      </c>
      <c r="L5450">
        <f t="shared" si="311"/>
        <v>1</v>
      </c>
    </row>
    <row r="5451" spans="1:12" x14ac:dyDescent="0.35">
      <c r="A5451">
        <f t="shared" si="312"/>
        <v>5450</v>
      </c>
      <c r="B5451" t="s">
        <v>763</v>
      </c>
      <c r="C5451" s="109" t="str">
        <f>IF(ISBLANK(K5451),IFERROR(VLOOKUP(I5451,FS_input_data!$C$458:$N$648,Export!J5451,FALSE),""),K5451)</f>
        <v/>
      </c>
      <c r="E5451" s="6"/>
      <c r="F5451" s="6"/>
      <c r="G5451" s="115" t="b">
        <f>VLOOKUP(I5430,FS_input_noty,J5430,FALSE)=""</f>
        <v>0</v>
      </c>
      <c r="H5451" s="6" t="s">
        <v>2189</v>
      </c>
      <c r="I5451" t="s">
        <v>1561</v>
      </c>
      <c r="J5451" t="s">
        <v>1561</v>
      </c>
      <c r="L5451">
        <f t="shared" si="311"/>
        <v>1</v>
      </c>
    </row>
    <row r="5452" spans="1:12" x14ac:dyDescent="0.35">
      <c r="A5452">
        <f t="shared" si="312"/>
        <v>5451</v>
      </c>
      <c r="B5452" t="s">
        <v>743</v>
      </c>
      <c r="C5452" s="109" t="str">
        <f>IF(ISBLANK(K5452),IFERROR(VLOOKUP(I5452,FS_input_data!$C$458:$N$648,Export!J5452,FALSE),""),K5452)</f>
        <v/>
      </c>
      <c r="E5452" s="6"/>
      <c r="F5452" s="6"/>
      <c r="G5452" s="115" t="b">
        <f>VLOOKUP(I5430,FS_input_noty,J5430,FALSE)=""</f>
        <v>0</v>
      </c>
      <c r="H5452" s="6" t="s">
        <v>2189</v>
      </c>
      <c r="I5452" t="s">
        <v>1561</v>
      </c>
      <c r="J5452" t="s">
        <v>1561</v>
      </c>
      <c r="L5452">
        <f t="shared" si="311"/>
        <v>1</v>
      </c>
    </row>
    <row r="5453" spans="1:12" x14ac:dyDescent="0.35">
      <c r="A5453">
        <f t="shared" si="312"/>
        <v>5452</v>
      </c>
      <c r="B5453" t="s">
        <v>744</v>
      </c>
      <c r="C5453" s="109" t="str">
        <f>IF(ISBLANK(K5453),IFERROR(VLOOKUP(I5453,FS_input_data!$C$458:$N$648,Export!J5453,FALSE),""),K5453)</f>
        <v/>
      </c>
      <c r="E5453" s="6"/>
      <c r="F5453" s="6"/>
      <c r="G5453" s="115" t="b">
        <f t="shared" ref="G5453:G5460" si="313">RP_tax</f>
        <v>1</v>
      </c>
      <c r="H5453" s="6" t="s">
        <v>2189</v>
      </c>
      <c r="I5453" t="s">
        <v>1561</v>
      </c>
      <c r="J5453" t="s">
        <v>1561</v>
      </c>
      <c r="L5453" s="26" t="e">
        <f t="shared" si="311"/>
        <v>#VALUE!</v>
      </c>
    </row>
    <row r="5454" spans="1:12" x14ac:dyDescent="0.35">
      <c r="A5454" s="9">
        <f t="shared" si="312"/>
        <v>5453</v>
      </c>
      <c r="B5454" t="s">
        <v>109</v>
      </c>
      <c r="C5454" s="109">
        <f>IF(ISBLANK(K5454),IFERROR(VLOOKUP(I5454,FS_input_data!$C$458:$N$648,Export!J5454,FALSE),""),K5454)</f>
        <v>89000</v>
      </c>
      <c r="D5454" s="6" t="b">
        <v>1</v>
      </c>
      <c r="E5454" s="6"/>
      <c r="F5454" s="6"/>
      <c r="G5454" s="115" t="b">
        <f t="shared" si="313"/>
        <v>1</v>
      </c>
      <c r="H5454" s="6" t="s">
        <v>2189</v>
      </c>
      <c r="I5454" t="s">
        <v>1988</v>
      </c>
      <c r="J5454">
        <v>10</v>
      </c>
      <c r="L5454" s="26" t="e">
        <f t="shared" si="311"/>
        <v>#VALUE!</v>
      </c>
    </row>
    <row r="5455" spans="1:12" x14ac:dyDescent="0.35">
      <c r="A5455">
        <f t="shared" si="312"/>
        <v>5454</v>
      </c>
      <c r="B5455" t="s">
        <v>110</v>
      </c>
      <c r="C5455" s="109" t="str">
        <f>IF(ISBLANK(K5455),IFERROR(VLOOKUP(I5455,FS_input_data!$C$458:$N$648,Export!J5455,FALSE),""),K5455)</f>
        <v/>
      </c>
      <c r="D5455" s="6"/>
      <c r="E5455" s="6"/>
      <c r="F5455" s="6"/>
      <c r="G5455" s="115" t="b">
        <f t="shared" si="313"/>
        <v>1</v>
      </c>
      <c r="H5455" s="6" t="s">
        <v>2189</v>
      </c>
      <c r="I5455" t="s">
        <v>1561</v>
      </c>
      <c r="J5455" t="s">
        <v>1561</v>
      </c>
      <c r="L5455">
        <f t="shared" si="311"/>
        <v>1</v>
      </c>
    </row>
    <row r="5456" spans="1:12" x14ac:dyDescent="0.35">
      <c r="A5456" s="9">
        <f t="shared" si="312"/>
        <v>5455</v>
      </c>
      <c r="B5456" t="s">
        <v>111</v>
      </c>
      <c r="C5456" s="109">
        <f>IF(ISBLANK(K5456),IFERROR(VLOOKUP(I5456,FS_input_data!$C$458:$N$648,Export!J5456,FALSE),""),K5456)</f>
        <v>44500</v>
      </c>
      <c r="D5456" s="6" t="b">
        <v>0</v>
      </c>
      <c r="E5456" s="6"/>
      <c r="F5456" s="6"/>
      <c r="G5456" s="115" t="b">
        <f t="shared" si="313"/>
        <v>1</v>
      </c>
      <c r="H5456" s="6" t="s">
        <v>2189</v>
      </c>
      <c r="I5456" t="s">
        <v>1988</v>
      </c>
      <c r="J5456">
        <v>11</v>
      </c>
      <c r="L5456" s="26" t="e">
        <f t="shared" si="311"/>
        <v>#VALUE!</v>
      </c>
    </row>
    <row r="5457" spans="1:12" x14ac:dyDescent="0.35">
      <c r="A5457">
        <f t="shared" si="312"/>
        <v>5456</v>
      </c>
      <c r="B5457" t="s">
        <v>112</v>
      </c>
      <c r="C5457" s="109" t="str">
        <f>IF(ISBLANK(K5457),IFERROR(VLOOKUP(I5457,FS_input_data!$C$458:$N$648,Export!J5457,FALSE),""),K5457)</f>
        <v/>
      </c>
      <c r="D5457" s="6"/>
      <c r="E5457" s="6"/>
      <c r="F5457" s="6"/>
      <c r="G5457" s="115" t="b">
        <f t="shared" si="313"/>
        <v>1</v>
      </c>
      <c r="H5457" s="6" t="s">
        <v>2189</v>
      </c>
      <c r="I5457" t="s">
        <v>1561</v>
      </c>
      <c r="J5457" t="s">
        <v>1561</v>
      </c>
      <c r="L5457">
        <f t="shared" si="311"/>
        <v>1</v>
      </c>
    </row>
    <row r="5458" spans="1:12" x14ac:dyDescent="0.35">
      <c r="A5458" s="9">
        <f t="shared" si="312"/>
        <v>5457</v>
      </c>
      <c r="B5458" t="s">
        <v>749</v>
      </c>
      <c r="C5458" s="109">
        <f>IF(ISBLANK(K5458),IFERROR(VLOOKUP(I5458,FS_input_data!$C$458:$N$648,Export!J5458,FALSE),""),K5458)</f>
        <v>44500</v>
      </c>
      <c r="D5458" s="6" t="b">
        <v>0</v>
      </c>
      <c r="E5458" s="6"/>
      <c r="F5458" s="6"/>
      <c r="G5458" s="115" t="b">
        <f t="shared" si="313"/>
        <v>1</v>
      </c>
      <c r="H5458" s="6" t="s">
        <v>2189</v>
      </c>
      <c r="I5458" t="s">
        <v>1988</v>
      </c>
      <c r="J5458">
        <v>12</v>
      </c>
      <c r="L5458" s="26" t="e">
        <f t="shared" si="311"/>
        <v>#VALUE!</v>
      </c>
    </row>
    <row r="5459" spans="1:12" x14ac:dyDescent="0.35">
      <c r="A5459">
        <f t="shared" si="312"/>
        <v>5458</v>
      </c>
      <c r="B5459" t="s">
        <v>750</v>
      </c>
      <c r="C5459" s="109" t="str">
        <f>IF(ISBLANK(K5459),IFERROR(VLOOKUP(I5459,FS_input_data!$C$458:$N$648,Export!J5459,FALSE),""),K5459)</f>
        <v/>
      </c>
      <c r="D5459" s="6"/>
      <c r="E5459" s="6"/>
      <c r="F5459" s="6"/>
      <c r="G5459" s="115" t="b">
        <f t="shared" si="313"/>
        <v>1</v>
      </c>
      <c r="H5459" s="6" t="s">
        <v>2189</v>
      </c>
      <c r="I5459" t="s">
        <v>1561</v>
      </c>
      <c r="J5459" t="s">
        <v>1561</v>
      </c>
      <c r="L5459">
        <f t="shared" si="311"/>
        <v>1</v>
      </c>
    </row>
    <row r="5460" spans="1:12" x14ac:dyDescent="0.35">
      <c r="A5460">
        <f t="shared" si="312"/>
        <v>5459</v>
      </c>
      <c r="B5460" t="s">
        <v>745</v>
      </c>
      <c r="C5460" s="109" t="str">
        <f>IF(ISBLANK(K5460),IFERROR(VLOOKUP(I5460,FS_input_data!$C$458:$N$648,Export!J5460,FALSE),""),K5460)</f>
        <v/>
      </c>
      <c r="E5460" s="6"/>
      <c r="F5460" s="6"/>
      <c r="G5460" s="115" t="b">
        <f t="shared" si="313"/>
        <v>1</v>
      </c>
      <c r="H5460" s="6" t="s">
        <v>2189</v>
      </c>
      <c r="I5460" t="s">
        <v>1561</v>
      </c>
      <c r="J5460" t="s">
        <v>1561</v>
      </c>
      <c r="L5460">
        <f t="shared" si="311"/>
        <v>1</v>
      </c>
    </row>
    <row r="5461" spans="1:12" x14ac:dyDescent="0.35">
      <c r="A5461">
        <f t="shared" si="312"/>
        <v>5460</v>
      </c>
      <c r="B5461" t="s">
        <v>764</v>
      </c>
      <c r="C5461" s="109" t="str">
        <f>IF(ISBLANK(K5461),IFERROR(VLOOKUP(I5461,FS_input_data!$C$458:$N$648,Export!J5461,FALSE),""),K5461)</f>
        <v/>
      </c>
      <c r="E5461" s="6"/>
      <c r="F5461" s="6"/>
      <c r="G5461" s="115" t="b">
        <f>VLOOKUP(I5430,FS_input_noty,J5430,FALSE)=""</f>
        <v>0</v>
      </c>
      <c r="H5461" s="6" t="s">
        <v>2189</v>
      </c>
      <c r="I5461" t="s">
        <v>1561</v>
      </c>
      <c r="J5461" t="s">
        <v>1561</v>
      </c>
      <c r="L5461">
        <f t="shared" si="311"/>
        <v>1</v>
      </c>
    </row>
    <row r="5462" spans="1:12" x14ac:dyDescent="0.35">
      <c r="A5462">
        <f t="shared" si="312"/>
        <v>5461</v>
      </c>
      <c r="B5462" t="s">
        <v>765</v>
      </c>
      <c r="C5462" s="109" t="str">
        <f>IF(ISBLANK(K5462),IFERROR(VLOOKUP(I5462,FS_input_data!$C$458:$N$648,Export!J5462,FALSE),""),K5462)</f>
        <v/>
      </c>
      <c r="E5462" s="6"/>
      <c r="F5462" s="6"/>
      <c r="G5462" s="115" t="b">
        <f>VLOOKUP(I5430,FS_input_noty,J5430,FALSE)=""</f>
        <v>0</v>
      </c>
      <c r="H5462" s="6" t="s">
        <v>2189</v>
      </c>
      <c r="I5462" t="s">
        <v>1561</v>
      </c>
      <c r="J5462" t="s">
        <v>1561</v>
      </c>
      <c r="L5462">
        <f t="shared" si="311"/>
        <v>1</v>
      </c>
    </row>
    <row r="5463" spans="1:12" x14ac:dyDescent="0.35">
      <c r="A5463">
        <f t="shared" si="312"/>
        <v>5462</v>
      </c>
      <c r="B5463" t="s">
        <v>752</v>
      </c>
      <c r="C5463" s="109" t="str">
        <f>IF(ISBLANK(K5463),IFERROR(VLOOKUP(I5463,FS_input_data!$C$458:$N$648,Export!J5463,FALSE),""),K5463)</f>
        <v/>
      </c>
      <c r="E5463" s="6"/>
      <c r="F5463" s="6"/>
      <c r="G5463" s="115" t="b">
        <f>VLOOKUP(I5464,FS_input_noty,J5464,FALSE)=""</f>
        <v>0</v>
      </c>
      <c r="H5463" s="6" t="s">
        <v>2189</v>
      </c>
      <c r="I5463" t="s">
        <v>1561</v>
      </c>
      <c r="J5463" t="s">
        <v>1561</v>
      </c>
      <c r="L5463" s="26" t="e">
        <f t="shared" si="311"/>
        <v>#VALUE!</v>
      </c>
    </row>
    <row r="5464" spans="1:12" x14ac:dyDescent="0.35">
      <c r="A5464" s="9">
        <f t="shared" si="312"/>
        <v>5463</v>
      </c>
      <c r="B5464" t="s">
        <v>101</v>
      </c>
      <c r="C5464" s="109" t="str">
        <f>IF(ISBLANK(K5464),IFERROR(VLOOKUP(I5464,FS_input_data!$C$458:$N$648,Export!J5464,FALSE),""),K5464)</f>
        <v>OC67</v>
      </c>
      <c r="D5464" s="6" t="b">
        <v>1</v>
      </c>
      <c r="E5464" s="6"/>
      <c r="F5464" s="6"/>
      <c r="G5464" s="115" t="b">
        <f>VLOOKUP(I5464,FS_input_noty,J5464,FALSE)=""</f>
        <v>0</v>
      </c>
      <c r="H5464" s="6" t="s">
        <v>2189</v>
      </c>
      <c r="I5464" t="s">
        <v>1990</v>
      </c>
      <c r="J5464">
        <v>6</v>
      </c>
      <c r="L5464" s="26" t="e">
        <f t="shared" si="311"/>
        <v>#VALUE!</v>
      </c>
    </row>
    <row r="5465" spans="1:12" x14ac:dyDescent="0.35">
      <c r="A5465">
        <f t="shared" si="312"/>
        <v>5464</v>
      </c>
      <c r="B5465" t="s">
        <v>102</v>
      </c>
      <c r="C5465" s="109" t="str">
        <f>IF(ISBLANK(K5465),IFERROR(VLOOKUP(I5465,FS_input_data!$C$458:$N$648,Export!J5465,FALSE),""),K5465)</f>
        <v/>
      </c>
      <c r="D5465" s="6"/>
      <c r="E5465" s="6"/>
      <c r="F5465" s="6"/>
      <c r="G5465" s="115" t="b">
        <f>VLOOKUP(I5464,FS_input_noty,J5464,FALSE)=""</f>
        <v>0</v>
      </c>
      <c r="H5465" s="6" t="s">
        <v>2189</v>
      </c>
      <c r="I5465" t="s">
        <v>1561</v>
      </c>
      <c r="J5465" t="s">
        <v>1561</v>
      </c>
      <c r="L5465">
        <f t="shared" si="311"/>
        <v>1</v>
      </c>
    </row>
    <row r="5466" spans="1:12" x14ac:dyDescent="0.35">
      <c r="A5466">
        <f t="shared" si="312"/>
        <v>5465</v>
      </c>
      <c r="B5466" t="s">
        <v>753</v>
      </c>
      <c r="C5466" s="109" t="str">
        <f>IF(ISBLANK(K5466),IFERROR(VLOOKUP(I5466,FS_input_data!$C$458:$N$648,Export!J5466,FALSE),""),K5466)</f>
        <v/>
      </c>
      <c r="D5466" s="6"/>
      <c r="E5466" s="6"/>
      <c r="F5466" s="6"/>
      <c r="G5466" s="115" t="b">
        <f>VLOOKUP(I5464,FS_input_noty,J5464,FALSE)=""</f>
        <v>0</v>
      </c>
      <c r="H5466" s="6" t="s">
        <v>2189</v>
      </c>
      <c r="I5466" t="s">
        <v>1561</v>
      </c>
      <c r="J5466" t="s">
        <v>1561</v>
      </c>
      <c r="L5466" s="26" t="e">
        <f t="shared" si="311"/>
        <v>#VALUE!</v>
      </c>
    </row>
    <row r="5467" spans="1:12" x14ac:dyDescent="0.35">
      <c r="A5467">
        <f t="shared" si="312"/>
        <v>5466</v>
      </c>
      <c r="B5467" t="s">
        <v>742</v>
      </c>
      <c r="C5467" s="109" t="str">
        <f>IF(ISBLANK(K5467),IFERROR(VLOOKUP(I5467,FS_input_data!$C$458:$N$648,Export!J5467,FALSE),""),K5467)</f>
        <v/>
      </c>
      <c r="D5467" s="6"/>
      <c r="E5467" s="6"/>
      <c r="F5467" s="6"/>
      <c r="G5467" s="115" t="b">
        <f>VLOOKUP(I5464,FS_input_noty,J5464,FALSE)=""</f>
        <v>0</v>
      </c>
      <c r="H5467" s="6" t="s">
        <v>2189</v>
      </c>
      <c r="I5467" t="s">
        <v>1561</v>
      </c>
      <c r="J5467" t="s">
        <v>1561</v>
      </c>
      <c r="L5467" s="26" t="e">
        <f t="shared" si="311"/>
        <v>#VALUE!</v>
      </c>
    </row>
    <row r="5468" spans="1:12" x14ac:dyDescent="0.35">
      <c r="A5468">
        <f t="shared" si="312"/>
        <v>5467</v>
      </c>
      <c r="B5468" t="s">
        <v>748</v>
      </c>
      <c r="C5468" s="109" t="str">
        <f>IF(ISBLANK(K5468),IFERROR(VLOOKUP(I5468,FS_input_data!$C$458:$N$648,Export!J5468,FALSE),""),K5468)</f>
        <v/>
      </c>
      <c r="D5468" s="6"/>
      <c r="E5468" s="6"/>
      <c r="F5468" s="6"/>
      <c r="G5468" s="115" t="b">
        <f>VLOOKUP(I5464,FS_input_noty,J5464,FALSE)=""</f>
        <v>0</v>
      </c>
      <c r="H5468" s="6" t="s">
        <v>2189</v>
      </c>
      <c r="I5468" t="s">
        <v>1561</v>
      </c>
      <c r="J5468" t="s">
        <v>1561</v>
      </c>
      <c r="L5468" s="26" t="e">
        <f t="shared" si="311"/>
        <v>#VALUE!</v>
      </c>
    </row>
    <row r="5469" spans="1:12" x14ac:dyDescent="0.35">
      <c r="A5469" s="9">
        <f t="shared" si="312"/>
        <v>5468</v>
      </c>
      <c r="B5469" t="s">
        <v>109</v>
      </c>
      <c r="C5469" s="109">
        <f>IF(ISBLANK(K5469),IFERROR(VLOOKUP(I5469,FS_input_data!$C$458:$N$648,Export!J5469,FALSE),""),K5469)</f>
        <v>90000</v>
      </c>
      <c r="D5469" s="6" t="b">
        <v>1</v>
      </c>
      <c r="E5469" s="6"/>
      <c r="F5469" s="6"/>
      <c r="G5469" s="115" t="b">
        <f>VLOOKUP(I5464,FS_input_noty,J5464,FALSE)=""</f>
        <v>0</v>
      </c>
      <c r="H5469" s="6" t="s">
        <v>2189</v>
      </c>
      <c r="I5469" t="s">
        <v>1990</v>
      </c>
      <c r="J5469">
        <v>7</v>
      </c>
      <c r="L5469" s="26" t="e">
        <f t="shared" si="311"/>
        <v>#VALUE!</v>
      </c>
    </row>
    <row r="5470" spans="1:12" x14ac:dyDescent="0.35">
      <c r="A5470">
        <f t="shared" si="312"/>
        <v>5469</v>
      </c>
      <c r="B5470" t="s">
        <v>110</v>
      </c>
      <c r="C5470" s="109" t="str">
        <f>IF(ISBLANK(K5470),IFERROR(VLOOKUP(I5470,FS_input_data!$C$458:$N$648,Export!J5470,FALSE),""),K5470)</f>
        <v/>
      </c>
      <c r="D5470" s="6"/>
      <c r="E5470" s="6"/>
      <c r="F5470" s="6"/>
      <c r="G5470" s="115" t="b">
        <f>VLOOKUP(I5464,FS_input_noty,J5464,FALSE)=""</f>
        <v>0</v>
      </c>
      <c r="H5470" s="6" t="s">
        <v>2189</v>
      </c>
      <c r="I5470" t="s">
        <v>1561</v>
      </c>
      <c r="J5470" t="s">
        <v>1561</v>
      </c>
      <c r="L5470">
        <f t="shared" si="311"/>
        <v>1</v>
      </c>
    </row>
    <row r="5471" spans="1:12" x14ac:dyDescent="0.35">
      <c r="A5471" s="9">
        <f t="shared" si="312"/>
        <v>5470</v>
      </c>
      <c r="B5471" t="s">
        <v>111</v>
      </c>
      <c r="C5471" s="109">
        <f>IF(ISBLANK(K5471),IFERROR(VLOOKUP(I5471,FS_input_data!$C$458:$N$648,Export!J5471,FALSE),""),K5471)</f>
        <v>45000</v>
      </c>
      <c r="D5471" s="6" t="b">
        <v>0</v>
      </c>
      <c r="E5471" s="6"/>
      <c r="F5471" s="6"/>
      <c r="G5471" s="115" t="b">
        <f>VLOOKUP(I5464,FS_input_noty,J5464,TRUE)=""</f>
        <v>0</v>
      </c>
      <c r="H5471" s="6" t="s">
        <v>2189</v>
      </c>
      <c r="I5471" t="s">
        <v>1990</v>
      </c>
      <c r="J5471">
        <v>8</v>
      </c>
      <c r="L5471" s="26" t="e">
        <f t="shared" si="311"/>
        <v>#VALUE!</v>
      </c>
    </row>
    <row r="5472" spans="1:12" x14ac:dyDescent="0.35">
      <c r="A5472">
        <f t="shared" si="312"/>
        <v>5471</v>
      </c>
      <c r="B5472" t="s">
        <v>112</v>
      </c>
      <c r="C5472" s="109" t="str">
        <f>IF(ISBLANK(K5472),IFERROR(VLOOKUP(I5472,FS_input_data!$C$458:$N$648,Export!J5472,FALSE),""),K5472)</f>
        <v/>
      </c>
      <c r="D5472" s="6"/>
      <c r="E5472" s="6"/>
      <c r="F5472" s="6"/>
      <c r="G5472" s="115" t="b">
        <f>VLOOKUP(I5464,FS_input_noty,J5464,FALSE)=""</f>
        <v>0</v>
      </c>
      <c r="H5472" s="6" t="s">
        <v>2189</v>
      </c>
      <c r="I5472" t="s">
        <v>1561</v>
      </c>
      <c r="J5472" t="s">
        <v>1561</v>
      </c>
      <c r="L5472">
        <f t="shared" si="311"/>
        <v>1</v>
      </c>
    </row>
    <row r="5473" spans="1:12" x14ac:dyDescent="0.35">
      <c r="A5473" s="9">
        <f t="shared" si="312"/>
        <v>5472</v>
      </c>
      <c r="B5473" t="s">
        <v>749</v>
      </c>
      <c r="C5473" s="109">
        <f>IF(ISBLANK(K5473),IFERROR(VLOOKUP(I5473,FS_input_data!$C$458:$N$648,Export!J5473,FALSE),""),K5473)</f>
        <v>45000</v>
      </c>
      <c r="D5473" s="6" t="b">
        <v>0</v>
      </c>
      <c r="E5473" s="6"/>
      <c r="F5473" s="6"/>
      <c r="G5473" s="115" t="b">
        <f>VLOOKUP(I5464,FS_input_noty,J5464,FALSE)=""</f>
        <v>0</v>
      </c>
      <c r="H5473" s="6" t="s">
        <v>2189</v>
      </c>
      <c r="I5473" t="s">
        <v>1990</v>
      </c>
      <c r="J5473">
        <v>9</v>
      </c>
      <c r="L5473" s="26" t="e">
        <f t="shared" si="311"/>
        <v>#VALUE!</v>
      </c>
    </row>
    <row r="5474" spans="1:12" x14ac:dyDescent="0.35">
      <c r="A5474">
        <f t="shared" si="312"/>
        <v>5473</v>
      </c>
      <c r="B5474" t="s">
        <v>750</v>
      </c>
      <c r="C5474" s="109" t="str">
        <f>IF(ISBLANK(K5474),IFERROR(VLOOKUP(I5474,FS_input_data!$C$458:$N$648,Export!J5474,FALSE),""),K5474)</f>
        <v/>
      </c>
      <c r="D5474" s="6"/>
      <c r="E5474" s="6"/>
      <c r="F5474" s="6"/>
      <c r="G5474" s="115" t="b">
        <f>VLOOKUP(I5464,FS_input_noty,J5464,FALSE)=""</f>
        <v>0</v>
      </c>
      <c r="H5474" s="6" t="s">
        <v>2189</v>
      </c>
      <c r="I5474" t="s">
        <v>1561</v>
      </c>
      <c r="J5474" t="s">
        <v>1561</v>
      </c>
      <c r="L5474">
        <f t="shared" si="311"/>
        <v>1</v>
      </c>
    </row>
    <row r="5475" spans="1:12" x14ac:dyDescent="0.35">
      <c r="A5475">
        <f t="shared" si="312"/>
        <v>5474</v>
      </c>
      <c r="B5475" t="s">
        <v>751</v>
      </c>
      <c r="C5475" s="109" t="str">
        <f>IF(ISBLANK(K5475),IFERROR(VLOOKUP(I5475,FS_input_data!$C$458:$N$648,Export!J5475,FALSE),""),K5475)</f>
        <v/>
      </c>
      <c r="D5475" s="6"/>
      <c r="E5475" s="6"/>
      <c r="F5475" s="6"/>
      <c r="G5475" s="115" t="b">
        <f>VLOOKUP(I5464,FS_input_noty,J5464,FALSE)=""</f>
        <v>0</v>
      </c>
      <c r="H5475" s="6" t="s">
        <v>2189</v>
      </c>
      <c r="I5475" t="s">
        <v>1561</v>
      </c>
      <c r="J5475" t="s">
        <v>1561</v>
      </c>
      <c r="L5475">
        <f t="shared" si="311"/>
        <v>1</v>
      </c>
    </row>
    <row r="5476" spans="1:12" x14ac:dyDescent="0.35">
      <c r="A5476">
        <f t="shared" si="312"/>
        <v>5475</v>
      </c>
      <c r="B5476" t="s">
        <v>754</v>
      </c>
      <c r="C5476" s="109" t="str">
        <f>IF(ISBLANK(K5476),IFERROR(VLOOKUP(I5476,FS_input_data!$C$458:$N$648,Export!J5476,FALSE),""),K5476)</f>
        <v/>
      </c>
      <c r="D5476" s="6"/>
      <c r="E5476" s="6"/>
      <c r="F5476" s="6"/>
      <c r="G5476" s="115" t="b">
        <f>VLOOKUP(I5464,FS_input_noty,J5464,FALSE)=""</f>
        <v>0</v>
      </c>
      <c r="H5476" s="6" t="s">
        <v>2189</v>
      </c>
      <c r="I5476" t="s">
        <v>1561</v>
      </c>
      <c r="J5476" t="s">
        <v>1561</v>
      </c>
      <c r="L5476" s="26" t="e">
        <f t="shared" si="311"/>
        <v>#VALUE!</v>
      </c>
    </row>
    <row r="5477" spans="1:12" x14ac:dyDescent="0.35">
      <c r="A5477" s="9">
        <f t="shared" si="312"/>
        <v>5476</v>
      </c>
      <c r="B5477" t="s">
        <v>755</v>
      </c>
      <c r="C5477" s="109">
        <f>IF(ISBLANK(K5477),IFERROR(VLOOKUP(I5477,FS_input_data!$C$458:$N$648,Export!J5477,FALSE),""),K5477)</f>
        <v>90</v>
      </c>
      <c r="D5477" s="6" t="b">
        <v>1</v>
      </c>
      <c r="E5477" s="6"/>
      <c r="F5477" s="6"/>
      <c r="G5477" s="115" t="b">
        <f>VLOOKUP(I5464,FS_input_noty,J5464,FALSE)=""</f>
        <v>0</v>
      </c>
      <c r="H5477" s="6" t="s">
        <v>2189</v>
      </c>
      <c r="I5477" t="s">
        <v>1990</v>
      </c>
      <c r="J5477">
        <v>2</v>
      </c>
      <c r="L5477" s="26" t="e">
        <f t="shared" si="311"/>
        <v>#VALUE!</v>
      </c>
    </row>
    <row r="5478" spans="1:12" x14ac:dyDescent="0.35">
      <c r="A5478">
        <f t="shared" si="312"/>
        <v>5477</v>
      </c>
      <c r="B5478" t="s">
        <v>756</v>
      </c>
      <c r="C5478" s="109" t="str">
        <f>IF(ISBLANK(K5478),IFERROR(VLOOKUP(I5478,FS_input_data!$C$458:$N$648,Export!J5478,FALSE),""),K5478)</f>
        <v/>
      </c>
      <c r="D5478" s="6"/>
      <c r="E5478" s="6"/>
      <c r="F5478" s="6"/>
      <c r="G5478" s="115" t="b">
        <f>VLOOKUP(I5464,FS_input_noty,J5464,FALSE)=""</f>
        <v>0</v>
      </c>
      <c r="H5478" s="6" t="s">
        <v>2189</v>
      </c>
      <c r="I5478" t="s">
        <v>1561</v>
      </c>
      <c r="J5478" t="s">
        <v>1561</v>
      </c>
      <c r="L5478">
        <f t="shared" si="311"/>
        <v>1</v>
      </c>
    </row>
    <row r="5479" spans="1:12" x14ac:dyDescent="0.35">
      <c r="A5479" s="9">
        <f t="shared" si="312"/>
        <v>5478</v>
      </c>
      <c r="B5479" t="s">
        <v>757</v>
      </c>
      <c r="C5479" s="109">
        <f>IF(ISBLANK(K5479),IFERROR(VLOOKUP(I5479,FS_input_data!$C$458:$N$648,Export!J5479,FALSE),""),K5479)</f>
        <v>190</v>
      </c>
      <c r="D5479" s="6" t="b">
        <v>0</v>
      </c>
      <c r="E5479" s="6"/>
      <c r="F5479" s="6"/>
      <c r="G5479" s="115" t="b">
        <f>VLOOKUP(I5464,FS_input_noty,J5464,FALSE)=""</f>
        <v>0</v>
      </c>
      <c r="H5479" s="6" t="s">
        <v>2189</v>
      </c>
      <c r="I5479" t="s">
        <v>1990</v>
      </c>
      <c r="J5479">
        <v>3</v>
      </c>
      <c r="L5479" s="26" t="e">
        <f t="shared" si="311"/>
        <v>#VALUE!</v>
      </c>
    </row>
    <row r="5480" spans="1:12" x14ac:dyDescent="0.35">
      <c r="A5480">
        <f t="shared" si="312"/>
        <v>5479</v>
      </c>
      <c r="B5480" t="s">
        <v>758</v>
      </c>
      <c r="C5480" s="109" t="str">
        <f>IF(ISBLANK(K5480),IFERROR(VLOOKUP(I5480,FS_input_data!$C$458:$N$648,Export!J5480,FALSE),""),K5480)</f>
        <v/>
      </c>
      <c r="D5480" s="6"/>
      <c r="E5480" s="6"/>
      <c r="F5480" s="6"/>
      <c r="G5480" s="115" t="b">
        <f>VLOOKUP(I5464,FS_input_noty,J5464,FALSE)=""</f>
        <v>0</v>
      </c>
      <c r="H5480" s="6" t="s">
        <v>2189</v>
      </c>
      <c r="I5480" t="s">
        <v>1561</v>
      </c>
      <c r="J5480" t="s">
        <v>1561</v>
      </c>
      <c r="L5480">
        <f t="shared" si="311"/>
        <v>1</v>
      </c>
    </row>
    <row r="5481" spans="1:12" x14ac:dyDescent="0.35">
      <c r="A5481" s="9">
        <f t="shared" si="312"/>
        <v>5480</v>
      </c>
      <c r="B5481" t="s">
        <v>759</v>
      </c>
      <c r="C5481" s="109">
        <f>IF(ISBLANK(K5481),IFERROR(VLOOKUP(I5481,FS_input_data!$C$458:$N$648,Export!J5481,FALSE),""),K5481)</f>
        <v>290</v>
      </c>
      <c r="D5481" s="6" t="b">
        <v>0</v>
      </c>
      <c r="E5481" s="6"/>
      <c r="F5481" s="6"/>
      <c r="G5481" s="115" t="b">
        <f>VLOOKUP(I5464,FS_input_noty,J5464,FALSE)=""</f>
        <v>0</v>
      </c>
      <c r="H5481" s="6" t="s">
        <v>2189</v>
      </c>
      <c r="I5481" t="s">
        <v>1990</v>
      </c>
      <c r="J5481">
        <v>4</v>
      </c>
      <c r="L5481" s="26" t="e">
        <f t="shared" si="311"/>
        <v>#VALUE!</v>
      </c>
    </row>
    <row r="5482" spans="1:12" x14ac:dyDescent="0.35">
      <c r="A5482">
        <f t="shared" si="312"/>
        <v>5481</v>
      </c>
      <c r="B5482" t="s">
        <v>760</v>
      </c>
      <c r="C5482" s="109" t="str">
        <f>IF(ISBLANK(K5482),IFERROR(VLOOKUP(I5482,FS_input_data!$C$458:$N$648,Export!J5482,FALSE),""),K5482)</f>
        <v/>
      </c>
      <c r="D5482" s="6"/>
      <c r="E5482" s="6"/>
      <c r="F5482" s="6"/>
      <c r="G5482" s="115" t="b">
        <f>VLOOKUP(I5464,FS_input_noty,J5464,FALSE)=""</f>
        <v>0</v>
      </c>
      <c r="H5482" s="6" t="s">
        <v>2189</v>
      </c>
      <c r="I5482" t="s">
        <v>1561</v>
      </c>
      <c r="J5482" t="s">
        <v>1561</v>
      </c>
      <c r="L5482">
        <f t="shared" si="311"/>
        <v>1</v>
      </c>
    </row>
    <row r="5483" spans="1:12" x14ac:dyDescent="0.35">
      <c r="A5483" s="9">
        <f t="shared" si="312"/>
        <v>5482</v>
      </c>
      <c r="B5483" t="s">
        <v>761</v>
      </c>
      <c r="C5483" s="109" t="str">
        <f>IF(ISBLANK(K5483),IFERROR(VLOOKUP(I5483,FS_input_data!$C$458:$N$648,Export!J5483,FALSE),""),K5483)</f>
        <v>d</v>
      </c>
      <c r="D5483" s="6" t="b">
        <v>0</v>
      </c>
      <c r="E5483" s="6"/>
      <c r="F5483" s="6"/>
      <c r="G5483" s="115" t="b">
        <f>VLOOKUP(I5464,FS_input_noty,J5464,FALSE)=""</f>
        <v>0</v>
      </c>
      <c r="H5483" s="6" t="s">
        <v>2189</v>
      </c>
      <c r="I5483" t="s">
        <v>1990</v>
      </c>
      <c r="J5483">
        <v>5</v>
      </c>
      <c r="L5483" s="26" t="e">
        <f t="shared" si="311"/>
        <v>#VALUE!</v>
      </c>
    </row>
    <row r="5484" spans="1:12" x14ac:dyDescent="0.35">
      <c r="A5484">
        <f t="shared" si="312"/>
        <v>5483</v>
      </c>
      <c r="B5484" t="s">
        <v>762</v>
      </c>
      <c r="C5484" s="109" t="str">
        <f>IF(ISBLANK(K5484),IFERROR(VLOOKUP(I5484,FS_input_data!$C$458:$N$648,Export!J5484,FALSE),""),K5484)</f>
        <v/>
      </c>
      <c r="D5484" s="6"/>
      <c r="E5484" s="6"/>
      <c r="F5484" s="6"/>
      <c r="G5484" s="115" t="b">
        <f>VLOOKUP(I5464,FS_input_noty,J5464,FALSE)=""</f>
        <v>0</v>
      </c>
      <c r="H5484" s="6" t="s">
        <v>2189</v>
      </c>
      <c r="I5484" t="s">
        <v>1561</v>
      </c>
      <c r="J5484" t="s">
        <v>1561</v>
      </c>
      <c r="L5484">
        <f t="shared" si="311"/>
        <v>1</v>
      </c>
    </row>
    <row r="5485" spans="1:12" x14ac:dyDescent="0.35">
      <c r="A5485">
        <f t="shared" si="312"/>
        <v>5484</v>
      </c>
      <c r="B5485" t="s">
        <v>763</v>
      </c>
      <c r="C5485" s="109" t="str">
        <f>IF(ISBLANK(K5485),IFERROR(VLOOKUP(I5485,FS_input_data!$C$458:$N$648,Export!J5485,FALSE),""),K5485)</f>
        <v/>
      </c>
      <c r="D5485" s="6"/>
      <c r="E5485" s="6"/>
      <c r="F5485" s="6"/>
      <c r="G5485" s="115" t="b">
        <f>VLOOKUP(I5464,FS_input_noty,J5464,FALSE)=""</f>
        <v>0</v>
      </c>
      <c r="H5485" s="6" t="s">
        <v>2189</v>
      </c>
      <c r="I5485" t="s">
        <v>1561</v>
      </c>
      <c r="J5485" t="s">
        <v>1561</v>
      </c>
      <c r="L5485">
        <f t="shared" si="311"/>
        <v>1</v>
      </c>
    </row>
    <row r="5486" spans="1:12" x14ac:dyDescent="0.35">
      <c r="A5486">
        <f t="shared" si="312"/>
        <v>5485</v>
      </c>
      <c r="B5486" t="s">
        <v>743</v>
      </c>
      <c r="C5486" s="109" t="str">
        <f>IF(ISBLANK(K5486),IFERROR(VLOOKUP(I5486,FS_input_data!$C$458:$N$648,Export!J5486,FALSE),""),K5486)</f>
        <v/>
      </c>
      <c r="D5486" s="6"/>
      <c r="E5486" s="6"/>
      <c r="F5486" s="6"/>
      <c r="G5486" s="115" t="b">
        <f>VLOOKUP(I5464,FS_input_noty,J5464,FALSE)=""</f>
        <v>0</v>
      </c>
      <c r="H5486" s="6" t="s">
        <v>2189</v>
      </c>
      <c r="I5486" t="s">
        <v>1561</v>
      </c>
      <c r="J5486" t="s">
        <v>1561</v>
      </c>
      <c r="L5486">
        <f t="shared" si="311"/>
        <v>1</v>
      </c>
    </row>
    <row r="5487" spans="1:12" x14ac:dyDescent="0.35">
      <c r="A5487">
        <f t="shared" si="312"/>
        <v>5486</v>
      </c>
      <c r="B5487" t="s">
        <v>744</v>
      </c>
      <c r="C5487" s="109" t="str">
        <f>IF(ISBLANK(K5487),IFERROR(VLOOKUP(I5487,FS_input_data!$C$458:$N$648,Export!J5487,FALSE),""),K5487)</f>
        <v/>
      </c>
      <c r="D5487" s="6"/>
      <c r="E5487" s="6"/>
      <c r="F5487" s="6"/>
      <c r="G5487" s="115" t="b">
        <f t="shared" ref="G5487:G5494" si="314">RP_tax</f>
        <v>1</v>
      </c>
      <c r="H5487" s="6" t="s">
        <v>2189</v>
      </c>
      <c r="I5487" t="s">
        <v>1561</v>
      </c>
      <c r="J5487" t="s">
        <v>1561</v>
      </c>
      <c r="L5487" s="26" t="e">
        <f t="shared" si="311"/>
        <v>#VALUE!</v>
      </c>
    </row>
    <row r="5488" spans="1:12" x14ac:dyDescent="0.35">
      <c r="A5488" s="9">
        <f t="shared" si="312"/>
        <v>5487</v>
      </c>
      <c r="B5488" t="s">
        <v>109</v>
      </c>
      <c r="C5488" s="109">
        <f>IF(ISBLANK(K5488),IFERROR(VLOOKUP(I5488,FS_input_data!$C$458:$N$648,Export!J5488,FALSE),""),K5488)</f>
        <v>90000</v>
      </c>
      <c r="D5488" s="6" t="b">
        <v>1</v>
      </c>
      <c r="E5488" s="6"/>
      <c r="F5488" s="6"/>
      <c r="G5488" s="115" t="b">
        <f t="shared" si="314"/>
        <v>1</v>
      </c>
      <c r="H5488" s="6" t="s">
        <v>2189</v>
      </c>
      <c r="I5488" t="s">
        <v>1990</v>
      </c>
      <c r="J5488">
        <v>10</v>
      </c>
      <c r="L5488" s="26" t="e">
        <f t="shared" si="311"/>
        <v>#VALUE!</v>
      </c>
    </row>
    <row r="5489" spans="1:12" x14ac:dyDescent="0.35">
      <c r="A5489">
        <f t="shared" si="312"/>
        <v>5488</v>
      </c>
      <c r="B5489" t="s">
        <v>110</v>
      </c>
      <c r="C5489" s="109" t="str">
        <f>IF(ISBLANK(K5489),IFERROR(VLOOKUP(I5489,FS_input_data!$C$458:$N$648,Export!J5489,FALSE),""),K5489)</f>
        <v/>
      </c>
      <c r="D5489" s="6"/>
      <c r="E5489" s="6"/>
      <c r="F5489" s="6"/>
      <c r="G5489" s="115" t="b">
        <f t="shared" si="314"/>
        <v>1</v>
      </c>
      <c r="H5489" s="6" t="s">
        <v>2189</v>
      </c>
      <c r="I5489" t="s">
        <v>1561</v>
      </c>
      <c r="J5489" t="s">
        <v>1561</v>
      </c>
      <c r="L5489">
        <f t="shared" si="311"/>
        <v>1</v>
      </c>
    </row>
    <row r="5490" spans="1:12" x14ac:dyDescent="0.35">
      <c r="A5490" s="9">
        <f t="shared" si="312"/>
        <v>5489</v>
      </c>
      <c r="B5490" t="s">
        <v>111</v>
      </c>
      <c r="C5490" s="109">
        <f>IF(ISBLANK(K5490),IFERROR(VLOOKUP(I5490,FS_input_data!$C$458:$N$648,Export!J5490,FALSE),""),K5490)</f>
        <v>45000</v>
      </c>
      <c r="D5490" s="6" t="b">
        <v>0</v>
      </c>
      <c r="E5490" s="6"/>
      <c r="F5490" s="6"/>
      <c r="G5490" s="115" t="b">
        <f t="shared" si="314"/>
        <v>1</v>
      </c>
      <c r="H5490" s="6" t="s">
        <v>2189</v>
      </c>
      <c r="I5490" t="s">
        <v>1990</v>
      </c>
      <c r="J5490">
        <v>11</v>
      </c>
      <c r="L5490" s="26" t="e">
        <f t="shared" si="311"/>
        <v>#VALUE!</v>
      </c>
    </row>
    <row r="5491" spans="1:12" x14ac:dyDescent="0.35">
      <c r="A5491">
        <f t="shared" si="312"/>
        <v>5490</v>
      </c>
      <c r="B5491" t="s">
        <v>112</v>
      </c>
      <c r="C5491" s="109" t="str">
        <f>IF(ISBLANK(K5491),IFERROR(VLOOKUP(I5491,FS_input_data!$C$458:$N$648,Export!J5491,FALSE),""),K5491)</f>
        <v/>
      </c>
      <c r="D5491" s="6"/>
      <c r="E5491" s="6"/>
      <c r="F5491" s="6"/>
      <c r="G5491" s="115" t="b">
        <f t="shared" si="314"/>
        <v>1</v>
      </c>
      <c r="H5491" s="6" t="s">
        <v>2189</v>
      </c>
      <c r="I5491" t="s">
        <v>1561</v>
      </c>
      <c r="J5491" t="s">
        <v>1561</v>
      </c>
      <c r="L5491">
        <f t="shared" si="311"/>
        <v>1</v>
      </c>
    </row>
    <row r="5492" spans="1:12" x14ac:dyDescent="0.35">
      <c r="A5492" s="9">
        <f t="shared" si="312"/>
        <v>5491</v>
      </c>
      <c r="B5492" t="s">
        <v>749</v>
      </c>
      <c r="C5492" s="109">
        <f>IF(ISBLANK(K5492),IFERROR(VLOOKUP(I5492,FS_input_data!$C$458:$N$648,Export!J5492,FALSE),""),K5492)</f>
        <v>45000</v>
      </c>
      <c r="D5492" s="6" t="b">
        <v>0</v>
      </c>
      <c r="E5492" s="6"/>
      <c r="F5492" s="6"/>
      <c r="G5492" s="115" t="b">
        <f t="shared" si="314"/>
        <v>1</v>
      </c>
      <c r="H5492" s="6" t="s">
        <v>2189</v>
      </c>
      <c r="I5492" t="s">
        <v>1990</v>
      </c>
      <c r="J5492">
        <v>12</v>
      </c>
      <c r="L5492" s="26" t="e">
        <f t="shared" si="311"/>
        <v>#VALUE!</v>
      </c>
    </row>
    <row r="5493" spans="1:12" x14ac:dyDescent="0.35">
      <c r="A5493">
        <f t="shared" si="312"/>
        <v>5492</v>
      </c>
      <c r="B5493" t="s">
        <v>750</v>
      </c>
      <c r="C5493" s="109" t="str">
        <f>IF(ISBLANK(K5493),IFERROR(VLOOKUP(I5493,FS_input_data!$C$458:$N$648,Export!J5493,FALSE),""),K5493)</f>
        <v/>
      </c>
      <c r="D5493" s="6"/>
      <c r="E5493" s="6"/>
      <c r="F5493" s="6"/>
      <c r="G5493" s="115" t="b">
        <f t="shared" si="314"/>
        <v>1</v>
      </c>
      <c r="H5493" s="6" t="s">
        <v>2189</v>
      </c>
      <c r="I5493" t="s">
        <v>1561</v>
      </c>
      <c r="J5493" t="s">
        <v>1561</v>
      </c>
      <c r="L5493">
        <f t="shared" si="311"/>
        <v>1</v>
      </c>
    </row>
    <row r="5494" spans="1:12" x14ac:dyDescent="0.35">
      <c r="A5494">
        <f t="shared" si="312"/>
        <v>5493</v>
      </c>
      <c r="B5494" t="s">
        <v>745</v>
      </c>
      <c r="C5494" s="109" t="str">
        <f>IF(ISBLANK(K5494),IFERROR(VLOOKUP(I5494,FS_input_data!$C$458:$N$648,Export!J5494,FALSE),""),K5494)</f>
        <v/>
      </c>
      <c r="D5494" s="6"/>
      <c r="E5494" s="6"/>
      <c r="F5494" s="6"/>
      <c r="G5494" s="115" t="b">
        <f t="shared" si="314"/>
        <v>1</v>
      </c>
      <c r="H5494" s="6" t="s">
        <v>2189</v>
      </c>
      <c r="I5494" t="s">
        <v>1561</v>
      </c>
      <c r="J5494" t="s">
        <v>1561</v>
      </c>
      <c r="L5494">
        <f t="shared" si="311"/>
        <v>1</v>
      </c>
    </row>
    <row r="5495" spans="1:12" x14ac:dyDescent="0.35">
      <c r="A5495">
        <f t="shared" si="312"/>
        <v>5494</v>
      </c>
      <c r="B5495" t="s">
        <v>764</v>
      </c>
      <c r="C5495" s="109" t="str">
        <f>IF(ISBLANK(K5495),IFERROR(VLOOKUP(I5495,FS_input_data!$C$458:$N$648,Export!J5495,FALSE),""),K5495)</f>
        <v/>
      </c>
      <c r="D5495" s="6"/>
      <c r="E5495" s="6"/>
      <c r="F5495" s="6"/>
      <c r="G5495" s="115" t="b">
        <f>VLOOKUP(I5464,FS_input_noty,J5464,FALSE)=""</f>
        <v>0</v>
      </c>
      <c r="H5495" s="6" t="s">
        <v>2189</v>
      </c>
      <c r="I5495" t="s">
        <v>1561</v>
      </c>
      <c r="J5495" t="s">
        <v>1561</v>
      </c>
      <c r="L5495">
        <f t="shared" si="311"/>
        <v>1</v>
      </c>
    </row>
    <row r="5496" spans="1:12" x14ac:dyDescent="0.35">
      <c r="A5496">
        <f t="shared" si="312"/>
        <v>5495</v>
      </c>
      <c r="B5496" t="s">
        <v>765</v>
      </c>
      <c r="C5496" s="109" t="str">
        <f>IF(ISBLANK(K5496),IFERROR(VLOOKUP(I5496,FS_input_data!$C$458:$N$648,Export!J5496,FALSE),""),K5496)</f>
        <v/>
      </c>
      <c r="D5496" s="6"/>
      <c r="E5496" s="6"/>
      <c r="F5496" s="6"/>
      <c r="G5496" s="115" t="b">
        <f>VLOOKUP(I5464,FS_input_noty,J5464,FALSE)=""</f>
        <v>0</v>
      </c>
      <c r="H5496" s="6" t="s">
        <v>2189</v>
      </c>
      <c r="I5496" t="s">
        <v>1561</v>
      </c>
      <c r="J5496" t="s">
        <v>1561</v>
      </c>
      <c r="L5496">
        <f t="shared" si="311"/>
        <v>1</v>
      </c>
    </row>
    <row r="5497" spans="1:12" x14ac:dyDescent="0.35">
      <c r="A5497">
        <f t="shared" si="312"/>
        <v>5496</v>
      </c>
      <c r="B5497" t="s">
        <v>752</v>
      </c>
      <c r="C5497" s="109" t="str">
        <f>IF(ISBLANK(K5497),IFERROR(VLOOKUP(I5497,FS_input_data!$C$458:$N$648,Export!J5497,FALSE),""),K5497)</f>
        <v/>
      </c>
      <c r="D5497" s="6"/>
      <c r="E5497" s="6"/>
      <c r="F5497" s="6"/>
      <c r="G5497" s="115" t="b">
        <f>VLOOKUP(I5498,FS_input_noty,J5498,FALSE)=""</f>
        <v>0</v>
      </c>
      <c r="H5497" s="6" t="s">
        <v>2189</v>
      </c>
      <c r="I5497" t="s">
        <v>1561</v>
      </c>
      <c r="J5497" t="s">
        <v>1561</v>
      </c>
      <c r="L5497" s="26" t="e">
        <f t="shared" si="311"/>
        <v>#VALUE!</v>
      </c>
    </row>
    <row r="5498" spans="1:12" x14ac:dyDescent="0.35">
      <c r="A5498" s="9">
        <f t="shared" si="312"/>
        <v>5497</v>
      </c>
      <c r="B5498" t="s">
        <v>101</v>
      </c>
      <c r="C5498" s="109" t="str">
        <f>IF(ISBLANK(K5498),IFERROR(VLOOKUP(I5498,FS_input_data!$C$458:$N$648,Export!J5498,FALSE),""),K5498)</f>
        <v>OC68</v>
      </c>
      <c r="D5498" s="6" t="b">
        <v>1</v>
      </c>
      <c r="E5498" s="6"/>
      <c r="F5498" s="6"/>
      <c r="G5498" s="115" t="b">
        <f>VLOOKUP(I5498,FS_input_noty,J5498,FALSE)=""</f>
        <v>0</v>
      </c>
      <c r="H5498" s="6" t="s">
        <v>2189</v>
      </c>
      <c r="I5498" t="s">
        <v>1992</v>
      </c>
      <c r="J5498">
        <v>6</v>
      </c>
      <c r="L5498" s="26" t="e">
        <f t="shared" si="311"/>
        <v>#VALUE!</v>
      </c>
    </row>
    <row r="5499" spans="1:12" x14ac:dyDescent="0.35">
      <c r="A5499">
        <f t="shared" si="312"/>
        <v>5498</v>
      </c>
      <c r="B5499" t="s">
        <v>102</v>
      </c>
      <c r="C5499" s="109" t="str">
        <f>IF(ISBLANK(K5499),IFERROR(VLOOKUP(I5499,FS_input_data!$C$458:$N$648,Export!J5499,FALSE),""),K5499)</f>
        <v/>
      </c>
      <c r="D5499" s="6"/>
      <c r="E5499" s="6"/>
      <c r="F5499" s="6"/>
      <c r="G5499" s="115" t="b">
        <f>VLOOKUP(I5498,FS_input_noty,J5498,FALSE)=""</f>
        <v>0</v>
      </c>
      <c r="H5499" s="6" t="s">
        <v>2189</v>
      </c>
      <c r="I5499" t="s">
        <v>1561</v>
      </c>
      <c r="J5499" t="s">
        <v>1561</v>
      </c>
      <c r="L5499">
        <f t="shared" si="311"/>
        <v>1</v>
      </c>
    </row>
    <row r="5500" spans="1:12" x14ac:dyDescent="0.35">
      <c r="A5500">
        <f t="shared" si="312"/>
        <v>5499</v>
      </c>
      <c r="B5500" t="s">
        <v>753</v>
      </c>
      <c r="C5500" s="109" t="str">
        <f>IF(ISBLANK(K5500),IFERROR(VLOOKUP(I5500,FS_input_data!$C$458:$N$648,Export!J5500,FALSE),""),K5500)</f>
        <v/>
      </c>
      <c r="D5500" s="6"/>
      <c r="E5500" s="6"/>
      <c r="F5500" s="6"/>
      <c r="G5500" s="115" t="b">
        <f>VLOOKUP(I5498,FS_input_noty,J5498,FALSE)=""</f>
        <v>0</v>
      </c>
      <c r="H5500" s="6" t="s">
        <v>2189</v>
      </c>
      <c r="I5500" t="s">
        <v>1561</v>
      </c>
      <c r="J5500" t="s">
        <v>1561</v>
      </c>
      <c r="L5500" s="26" t="e">
        <f t="shared" si="311"/>
        <v>#VALUE!</v>
      </c>
    </row>
    <row r="5501" spans="1:12" x14ac:dyDescent="0.35">
      <c r="A5501">
        <f t="shared" si="312"/>
        <v>5500</v>
      </c>
      <c r="B5501" t="s">
        <v>742</v>
      </c>
      <c r="C5501" s="109" t="str">
        <f>IF(ISBLANK(K5501),IFERROR(VLOOKUP(I5501,FS_input_data!$C$458:$N$648,Export!J5501,FALSE),""),K5501)</f>
        <v/>
      </c>
      <c r="D5501" s="6"/>
      <c r="E5501" s="6"/>
      <c r="F5501" s="6"/>
      <c r="G5501" s="115" t="b">
        <f>VLOOKUP(I5498,FS_input_noty,J5498,FALSE)=""</f>
        <v>0</v>
      </c>
      <c r="H5501" s="6" t="s">
        <v>2189</v>
      </c>
      <c r="I5501" t="s">
        <v>1561</v>
      </c>
      <c r="J5501" t="s">
        <v>1561</v>
      </c>
      <c r="L5501" s="26" t="e">
        <f t="shared" si="311"/>
        <v>#VALUE!</v>
      </c>
    </row>
    <row r="5502" spans="1:12" x14ac:dyDescent="0.35">
      <c r="A5502">
        <f t="shared" si="312"/>
        <v>5501</v>
      </c>
      <c r="B5502" t="s">
        <v>748</v>
      </c>
      <c r="C5502" s="109" t="str">
        <f>IF(ISBLANK(K5502),IFERROR(VLOOKUP(I5502,FS_input_data!$C$458:$N$648,Export!J5502,FALSE),""),K5502)</f>
        <v/>
      </c>
      <c r="D5502" s="6"/>
      <c r="E5502" s="6"/>
      <c r="F5502" s="6"/>
      <c r="G5502" s="115" t="b">
        <f>VLOOKUP(I5498,FS_input_noty,J5498,FALSE)=""</f>
        <v>0</v>
      </c>
      <c r="H5502" s="6" t="s">
        <v>2189</v>
      </c>
      <c r="I5502" t="s">
        <v>1561</v>
      </c>
      <c r="J5502" t="s">
        <v>1561</v>
      </c>
      <c r="L5502" s="26" t="e">
        <f t="shared" si="311"/>
        <v>#VALUE!</v>
      </c>
    </row>
    <row r="5503" spans="1:12" x14ac:dyDescent="0.35">
      <c r="A5503" s="9">
        <f t="shared" si="312"/>
        <v>5502</v>
      </c>
      <c r="B5503" t="s">
        <v>109</v>
      </c>
      <c r="C5503" s="109">
        <f>IF(ISBLANK(K5503),IFERROR(VLOOKUP(I5503,FS_input_data!$C$458:$N$648,Export!J5503,FALSE),""),K5503)</f>
        <v>91000</v>
      </c>
      <c r="D5503" s="6" t="b">
        <v>1</v>
      </c>
      <c r="E5503" s="6"/>
      <c r="F5503" s="6"/>
      <c r="G5503" s="115" t="b">
        <f>VLOOKUP(I5498,FS_input_noty,J5498,FALSE)=""</f>
        <v>0</v>
      </c>
      <c r="H5503" s="6" t="s">
        <v>2189</v>
      </c>
      <c r="I5503" t="s">
        <v>1992</v>
      </c>
      <c r="J5503">
        <v>7</v>
      </c>
      <c r="L5503" s="26" t="e">
        <f t="shared" si="311"/>
        <v>#VALUE!</v>
      </c>
    </row>
    <row r="5504" spans="1:12" x14ac:dyDescent="0.35">
      <c r="A5504">
        <f t="shared" si="312"/>
        <v>5503</v>
      </c>
      <c r="B5504" t="s">
        <v>110</v>
      </c>
      <c r="C5504" s="109" t="str">
        <f>IF(ISBLANK(K5504),IFERROR(VLOOKUP(I5504,FS_input_data!$C$458:$N$648,Export!J5504,FALSE),""),K5504)</f>
        <v/>
      </c>
      <c r="D5504" s="6"/>
      <c r="E5504" s="6"/>
      <c r="F5504" s="6"/>
      <c r="G5504" s="115" t="b">
        <f>VLOOKUP(I5498,FS_input_noty,J5498,FALSE)=""</f>
        <v>0</v>
      </c>
      <c r="H5504" s="6" t="s">
        <v>2189</v>
      </c>
      <c r="I5504" t="s">
        <v>1561</v>
      </c>
      <c r="J5504" t="s">
        <v>1561</v>
      </c>
      <c r="L5504">
        <f t="shared" si="311"/>
        <v>1</v>
      </c>
    </row>
    <row r="5505" spans="1:12" x14ac:dyDescent="0.35">
      <c r="A5505" s="9">
        <f t="shared" si="312"/>
        <v>5504</v>
      </c>
      <c r="B5505" t="s">
        <v>111</v>
      </c>
      <c r="C5505" s="109">
        <f>IF(ISBLANK(K5505),IFERROR(VLOOKUP(I5505,FS_input_data!$C$458:$N$648,Export!J5505,FALSE),""),K5505)</f>
        <v>45500</v>
      </c>
      <c r="D5505" s="6" t="b">
        <v>0</v>
      </c>
      <c r="E5505" s="6"/>
      <c r="F5505" s="6"/>
      <c r="G5505" s="115" t="b">
        <f>VLOOKUP(I5498,FS_input_noty,J5498,TRUE)=""</f>
        <v>0</v>
      </c>
      <c r="H5505" s="6" t="s">
        <v>2189</v>
      </c>
      <c r="I5505" t="s">
        <v>1992</v>
      </c>
      <c r="J5505">
        <v>8</v>
      </c>
      <c r="L5505" s="26" t="e">
        <f t="shared" si="311"/>
        <v>#VALUE!</v>
      </c>
    </row>
    <row r="5506" spans="1:12" x14ac:dyDescent="0.35">
      <c r="A5506">
        <f t="shared" si="312"/>
        <v>5505</v>
      </c>
      <c r="B5506" t="s">
        <v>112</v>
      </c>
      <c r="C5506" s="109" t="str">
        <f>IF(ISBLANK(K5506),IFERROR(VLOOKUP(I5506,FS_input_data!$C$458:$N$648,Export!J5506,FALSE),""),K5506)</f>
        <v/>
      </c>
      <c r="D5506" s="6"/>
      <c r="E5506" s="6"/>
      <c r="F5506" s="6"/>
      <c r="G5506" s="115" t="b">
        <f>VLOOKUP(I5498,FS_input_noty,J5498,FALSE)=""</f>
        <v>0</v>
      </c>
      <c r="H5506" s="6" t="s">
        <v>2189</v>
      </c>
      <c r="I5506" t="s">
        <v>1561</v>
      </c>
      <c r="J5506" t="s">
        <v>1561</v>
      </c>
      <c r="L5506">
        <f t="shared" ref="L5506:L5569" si="315">FIND("/",B5506)</f>
        <v>1</v>
      </c>
    </row>
    <row r="5507" spans="1:12" x14ac:dyDescent="0.35">
      <c r="A5507" s="9">
        <f t="shared" ref="A5507:A5570" si="316">A5506+1</f>
        <v>5506</v>
      </c>
      <c r="B5507" t="s">
        <v>749</v>
      </c>
      <c r="C5507" s="109">
        <f>IF(ISBLANK(K5507),IFERROR(VLOOKUP(I5507,FS_input_data!$C$458:$N$648,Export!J5507,FALSE),""),K5507)</f>
        <v>45500</v>
      </c>
      <c r="D5507" s="6" t="b">
        <v>0</v>
      </c>
      <c r="E5507" s="6"/>
      <c r="F5507" s="6"/>
      <c r="G5507" s="115" t="b">
        <f>VLOOKUP(I5498,FS_input_noty,J5498,FALSE)=""</f>
        <v>0</v>
      </c>
      <c r="H5507" s="6" t="s">
        <v>2189</v>
      </c>
      <c r="I5507" t="s">
        <v>1992</v>
      </c>
      <c r="J5507">
        <v>9</v>
      </c>
      <c r="L5507" s="26" t="e">
        <f t="shared" si="315"/>
        <v>#VALUE!</v>
      </c>
    </row>
    <row r="5508" spans="1:12" x14ac:dyDescent="0.35">
      <c r="A5508">
        <f t="shared" si="316"/>
        <v>5507</v>
      </c>
      <c r="B5508" t="s">
        <v>750</v>
      </c>
      <c r="C5508" s="109" t="str">
        <f>IF(ISBLANK(K5508),IFERROR(VLOOKUP(I5508,FS_input_data!$C$458:$N$648,Export!J5508,FALSE),""),K5508)</f>
        <v/>
      </c>
      <c r="D5508" s="6"/>
      <c r="E5508" s="6"/>
      <c r="F5508" s="6"/>
      <c r="G5508" s="115" t="b">
        <f>VLOOKUP(I5498,FS_input_noty,J5498,FALSE)=""</f>
        <v>0</v>
      </c>
      <c r="H5508" s="6" t="s">
        <v>2189</v>
      </c>
      <c r="I5508" t="s">
        <v>1561</v>
      </c>
      <c r="J5508" t="s">
        <v>1561</v>
      </c>
      <c r="L5508">
        <f t="shared" si="315"/>
        <v>1</v>
      </c>
    </row>
    <row r="5509" spans="1:12" x14ac:dyDescent="0.35">
      <c r="A5509">
        <f t="shared" si="316"/>
        <v>5508</v>
      </c>
      <c r="B5509" t="s">
        <v>751</v>
      </c>
      <c r="C5509" s="109" t="str">
        <f>IF(ISBLANK(K5509),IFERROR(VLOOKUP(I5509,FS_input_data!$C$458:$N$648,Export!J5509,FALSE),""),K5509)</f>
        <v/>
      </c>
      <c r="D5509" s="6"/>
      <c r="E5509" s="6"/>
      <c r="F5509" s="6"/>
      <c r="G5509" s="115" t="b">
        <f>VLOOKUP(I5498,FS_input_noty,J5498,FALSE)=""</f>
        <v>0</v>
      </c>
      <c r="H5509" s="6" t="s">
        <v>2189</v>
      </c>
      <c r="I5509" t="s">
        <v>1561</v>
      </c>
      <c r="J5509" t="s">
        <v>1561</v>
      </c>
      <c r="L5509">
        <f t="shared" si="315"/>
        <v>1</v>
      </c>
    </row>
    <row r="5510" spans="1:12" x14ac:dyDescent="0.35">
      <c r="A5510">
        <f t="shared" si="316"/>
        <v>5509</v>
      </c>
      <c r="B5510" t="s">
        <v>754</v>
      </c>
      <c r="C5510" s="109" t="str">
        <f>IF(ISBLANK(K5510),IFERROR(VLOOKUP(I5510,FS_input_data!$C$458:$N$648,Export!J5510,FALSE),""),K5510)</f>
        <v/>
      </c>
      <c r="D5510" s="6"/>
      <c r="E5510" s="6"/>
      <c r="F5510" s="6"/>
      <c r="G5510" s="115" t="b">
        <f>VLOOKUP(I5498,FS_input_noty,J5498,FALSE)=""</f>
        <v>0</v>
      </c>
      <c r="H5510" s="6" t="s">
        <v>2189</v>
      </c>
      <c r="I5510" t="s">
        <v>1561</v>
      </c>
      <c r="J5510" t="s">
        <v>1561</v>
      </c>
      <c r="L5510" s="26" t="e">
        <f t="shared" si="315"/>
        <v>#VALUE!</v>
      </c>
    </row>
    <row r="5511" spans="1:12" x14ac:dyDescent="0.35">
      <c r="A5511" s="9">
        <f t="shared" si="316"/>
        <v>5510</v>
      </c>
      <c r="B5511" t="s">
        <v>755</v>
      </c>
      <c r="C5511" s="109">
        <f>IF(ISBLANK(K5511),IFERROR(VLOOKUP(I5511,FS_input_data!$C$458:$N$648,Export!J5511,FALSE),""),K5511)</f>
        <v>91</v>
      </c>
      <c r="D5511" s="6" t="b">
        <v>1</v>
      </c>
      <c r="E5511" s="6"/>
      <c r="F5511" s="6"/>
      <c r="G5511" s="115" t="b">
        <f>VLOOKUP(I5498,FS_input_noty,J5498,FALSE)=""</f>
        <v>0</v>
      </c>
      <c r="H5511" s="6" t="s">
        <v>2189</v>
      </c>
      <c r="I5511" t="s">
        <v>1992</v>
      </c>
      <c r="J5511">
        <v>2</v>
      </c>
      <c r="L5511" s="26" t="e">
        <f t="shared" si="315"/>
        <v>#VALUE!</v>
      </c>
    </row>
    <row r="5512" spans="1:12" x14ac:dyDescent="0.35">
      <c r="A5512">
        <f t="shared" si="316"/>
        <v>5511</v>
      </c>
      <c r="B5512" t="s">
        <v>756</v>
      </c>
      <c r="C5512" s="109" t="str">
        <f>IF(ISBLANK(K5512),IFERROR(VLOOKUP(I5512,FS_input_data!$C$458:$N$648,Export!J5512,FALSE),""),K5512)</f>
        <v/>
      </c>
      <c r="D5512" s="6"/>
      <c r="E5512" s="6"/>
      <c r="F5512" s="6"/>
      <c r="G5512" s="115" t="b">
        <f>VLOOKUP(I5498,FS_input_noty,J5498,FALSE)=""</f>
        <v>0</v>
      </c>
      <c r="H5512" s="6" t="s">
        <v>2189</v>
      </c>
      <c r="I5512" t="s">
        <v>1561</v>
      </c>
      <c r="J5512" t="s">
        <v>1561</v>
      </c>
      <c r="L5512">
        <f t="shared" si="315"/>
        <v>1</v>
      </c>
    </row>
    <row r="5513" spans="1:12" x14ac:dyDescent="0.35">
      <c r="A5513" s="9">
        <f t="shared" si="316"/>
        <v>5512</v>
      </c>
      <c r="B5513" t="s">
        <v>757</v>
      </c>
      <c r="C5513" s="109">
        <f>IF(ISBLANK(K5513),IFERROR(VLOOKUP(I5513,FS_input_data!$C$458:$N$648,Export!J5513,FALSE),""),K5513)</f>
        <v>191</v>
      </c>
      <c r="D5513" s="6" t="b">
        <v>0</v>
      </c>
      <c r="E5513" s="6"/>
      <c r="F5513" s="6"/>
      <c r="G5513" s="115" t="b">
        <f>VLOOKUP(I5498,FS_input_noty,J5498,FALSE)=""</f>
        <v>0</v>
      </c>
      <c r="H5513" s="6" t="s">
        <v>2189</v>
      </c>
      <c r="I5513" t="s">
        <v>1992</v>
      </c>
      <c r="J5513">
        <v>3</v>
      </c>
      <c r="L5513" s="26" t="e">
        <f t="shared" si="315"/>
        <v>#VALUE!</v>
      </c>
    </row>
    <row r="5514" spans="1:12" x14ac:dyDescent="0.35">
      <c r="A5514">
        <f t="shared" si="316"/>
        <v>5513</v>
      </c>
      <c r="B5514" t="s">
        <v>758</v>
      </c>
      <c r="C5514" s="109" t="str">
        <f>IF(ISBLANK(K5514),IFERROR(VLOOKUP(I5514,FS_input_data!$C$458:$N$648,Export!J5514,FALSE),""),K5514)</f>
        <v/>
      </c>
      <c r="D5514" s="6"/>
      <c r="E5514" s="6"/>
      <c r="F5514" s="6"/>
      <c r="G5514" s="115" t="b">
        <f>VLOOKUP(I5498,FS_input_noty,J5498,FALSE)=""</f>
        <v>0</v>
      </c>
      <c r="H5514" s="6" t="s">
        <v>2189</v>
      </c>
      <c r="I5514" t="s">
        <v>1561</v>
      </c>
      <c r="J5514" t="s">
        <v>1561</v>
      </c>
      <c r="L5514">
        <f t="shared" si="315"/>
        <v>1</v>
      </c>
    </row>
    <row r="5515" spans="1:12" x14ac:dyDescent="0.35">
      <c r="A5515" s="9">
        <f t="shared" si="316"/>
        <v>5514</v>
      </c>
      <c r="B5515" t="s">
        <v>759</v>
      </c>
      <c r="C5515" s="109">
        <f>IF(ISBLANK(K5515),IFERROR(VLOOKUP(I5515,FS_input_data!$C$458:$N$648,Export!J5515,FALSE),""),K5515)</f>
        <v>291</v>
      </c>
      <c r="D5515" s="6" t="b">
        <v>0</v>
      </c>
      <c r="E5515" s="6"/>
      <c r="F5515" s="6"/>
      <c r="G5515" s="115" t="b">
        <f>VLOOKUP(I5498,FS_input_noty,J5498,FALSE)=""</f>
        <v>0</v>
      </c>
      <c r="H5515" s="6" t="s">
        <v>2189</v>
      </c>
      <c r="I5515" t="s">
        <v>1992</v>
      </c>
      <c r="J5515">
        <v>4</v>
      </c>
      <c r="L5515" s="26" t="e">
        <f t="shared" si="315"/>
        <v>#VALUE!</v>
      </c>
    </row>
    <row r="5516" spans="1:12" x14ac:dyDescent="0.35">
      <c r="A5516">
        <f t="shared" si="316"/>
        <v>5515</v>
      </c>
      <c r="B5516" t="s">
        <v>760</v>
      </c>
      <c r="C5516" s="109" t="str">
        <f>IF(ISBLANK(K5516),IFERROR(VLOOKUP(I5516,FS_input_data!$C$458:$N$648,Export!J5516,FALSE),""),K5516)</f>
        <v/>
      </c>
      <c r="D5516" s="6"/>
      <c r="E5516" s="6"/>
      <c r="F5516" s="6"/>
      <c r="G5516" s="115" t="b">
        <f>VLOOKUP(I5498,FS_input_noty,J5498,FALSE)=""</f>
        <v>0</v>
      </c>
      <c r="H5516" s="6" t="s">
        <v>2189</v>
      </c>
      <c r="I5516" t="s">
        <v>1561</v>
      </c>
      <c r="J5516" t="s">
        <v>1561</v>
      </c>
      <c r="L5516">
        <f t="shared" si="315"/>
        <v>1</v>
      </c>
    </row>
    <row r="5517" spans="1:12" x14ac:dyDescent="0.35">
      <c r="A5517" s="9">
        <f t="shared" si="316"/>
        <v>5516</v>
      </c>
      <c r="B5517" t="s">
        <v>761</v>
      </c>
      <c r="C5517" s="109" t="str">
        <f>IF(ISBLANK(K5517),IFERROR(VLOOKUP(I5517,FS_input_data!$C$458:$N$648,Export!J5517,FALSE),""),K5517)</f>
        <v>e</v>
      </c>
      <c r="D5517" s="6" t="b">
        <v>0</v>
      </c>
      <c r="E5517" s="6"/>
      <c r="F5517" s="6"/>
      <c r="G5517" s="115" t="b">
        <f>VLOOKUP(I5498,FS_input_noty,J5498,FALSE)=""</f>
        <v>0</v>
      </c>
      <c r="H5517" s="6" t="s">
        <v>2189</v>
      </c>
      <c r="I5517" t="s">
        <v>1992</v>
      </c>
      <c r="J5517">
        <v>5</v>
      </c>
      <c r="L5517" s="26" t="e">
        <f t="shared" si="315"/>
        <v>#VALUE!</v>
      </c>
    </row>
    <row r="5518" spans="1:12" x14ac:dyDescent="0.35">
      <c r="A5518">
        <f t="shared" si="316"/>
        <v>5517</v>
      </c>
      <c r="B5518" t="s">
        <v>762</v>
      </c>
      <c r="C5518" s="109" t="str">
        <f>IF(ISBLANK(K5518),IFERROR(VLOOKUP(I5518,FS_input_data!$C$458:$N$648,Export!J5518,FALSE),""),K5518)</f>
        <v/>
      </c>
      <c r="D5518" s="6"/>
      <c r="E5518" s="6"/>
      <c r="F5518" s="6"/>
      <c r="G5518" s="115" t="b">
        <f>VLOOKUP(I5498,FS_input_noty,J5498,FALSE)=""</f>
        <v>0</v>
      </c>
      <c r="H5518" s="6" t="s">
        <v>2189</v>
      </c>
      <c r="I5518" t="s">
        <v>1561</v>
      </c>
      <c r="J5518" t="s">
        <v>1561</v>
      </c>
      <c r="L5518">
        <f t="shared" si="315"/>
        <v>1</v>
      </c>
    </row>
    <row r="5519" spans="1:12" x14ac:dyDescent="0.35">
      <c r="A5519">
        <f t="shared" si="316"/>
        <v>5518</v>
      </c>
      <c r="B5519" t="s">
        <v>763</v>
      </c>
      <c r="C5519" s="109" t="str">
        <f>IF(ISBLANK(K5519),IFERROR(VLOOKUP(I5519,FS_input_data!$C$458:$N$648,Export!J5519,FALSE),""),K5519)</f>
        <v/>
      </c>
      <c r="D5519" s="6"/>
      <c r="E5519" s="6"/>
      <c r="F5519" s="6"/>
      <c r="G5519" s="115" t="b">
        <f>VLOOKUP(I5498,FS_input_noty,J5498,FALSE)=""</f>
        <v>0</v>
      </c>
      <c r="H5519" s="6" t="s">
        <v>2189</v>
      </c>
      <c r="I5519" t="s">
        <v>1561</v>
      </c>
      <c r="J5519" t="s">
        <v>1561</v>
      </c>
      <c r="L5519">
        <f t="shared" si="315"/>
        <v>1</v>
      </c>
    </row>
    <row r="5520" spans="1:12" x14ac:dyDescent="0.35">
      <c r="A5520">
        <f t="shared" si="316"/>
        <v>5519</v>
      </c>
      <c r="B5520" t="s">
        <v>743</v>
      </c>
      <c r="C5520" s="109" t="str">
        <f>IF(ISBLANK(K5520),IFERROR(VLOOKUP(I5520,FS_input_data!$C$458:$N$648,Export!J5520,FALSE),""),K5520)</f>
        <v/>
      </c>
      <c r="D5520" s="6"/>
      <c r="E5520" s="6"/>
      <c r="F5520" s="6"/>
      <c r="G5520" s="115" t="b">
        <f>VLOOKUP(I5498,FS_input_noty,J5498,FALSE)=""</f>
        <v>0</v>
      </c>
      <c r="H5520" s="6" t="s">
        <v>2189</v>
      </c>
      <c r="I5520" t="s">
        <v>1561</v>
      </c>
      <c r="J5520" t="s">
        <v>1561</v>
      </c>
      <c r="L5520">
        <f t="shared" si="315"/>
        <v>1</v>
      </c>
    </row>
    <row r="5521" spans="1:12" x14ac:dyDescent="0.35">
      <c r="A5521">
        <f t="shared" si="316"/>
        <v>5520</v>
      </c>
      <c r="B5521" t="s">
        <v>744</v>
      </c>
      <c r="C5521" s="109" t="str">
        <f>IF(ISBLANK(K5521),IFERROR(VLOOKUP(I5521,FS_input_data!$C$458:$N$648,Export!J5521,FALSE),""),K5521)</f>
        <v/>
      </c>
      <c r="D5521" s="6"/>
      <c r="E5521" s="6"/>
      <c r="F5521" s="6"/>
      <c r="G5521" s="115" t="b">
        <f t="shared" ref="G5521:G5528" si="317">RP_tax</f>
        <v>1</v>
      </c>
      <c r="H5521" s="6" t="s">
        <v>2189</v>
      </c>
      <c r="I5521" t="s">
        <v>1561</v>
      </c>
      <c r="J5521" t="s">
        <v>1561</v>
      </c>
      <c r="L5521" s="26" t="e">
        <f t="shared" si="315"/>
        <v>#VALUE!</v>
      </c>
    </row>
    <row r="5522" spans="1:12" x14ac:dyDescent="0.35">
      <c r="A5522" s="9">
        <f t="shared" si="316"/>
        <v>5521</v>
      </c>
      <c r="B5522" t="s">
        <v>109</v>
      </c>
      <c r="C5522" s="109">
        <f>IF(ISBLANK(K5522),IFERROR(VLOOKUP(I5522,FS_input_data!$C$458:$N$648,Export!J5522,FALSE),""),K5522)</f>
        <v>91000</v>
      </c>
      <c r="D5522" s="6" t="b">
        <v>1</v>
      </c>
      <c r="E5522" s="6"/>
      <c r="F5522" s="6"/>
      <c r="G5522" s="115" t="b">
        <f t="shared" si="317"/>
        <v>1</v>
      </c>
      <c r="H5522" s="6" t="s">
        <v>2189</v>
      </c>
      <c r="I5522" t="s">
        <v>1992</v>
      </c>
      <c r="J5522">
        <v>10</v>
      </c>
      <c r="L5522" s="26" t="e">
        <f t="shared" si="315"/>
        <v>#VALUE!</v>
      </c>
    </row>
    <row r="5523" spans="1:12" x14ac:dyDescent="0.35">
      <c r="A5523">
        <f t="shared" si="316"/>
        <v>5522</v>
      </c>
      <c r="B5523" t="s">
        <v>110</v>
      </c>
      <c r="C5523" s="109" t="str">
        <f>IF(ISBLANK(K5523),IFERROR(VLOOKUP(I5523,FS_input_data!$C$458:$N$648,Export!J5523,FALSE),""),K5523)</f>
        <v/>
      </c>
      <c r="D5523" s="6"/>
      <c r="E5523" s="6"/>
      <c r="F5523" s="6"/>
      <c r="G5523" s="115" t="b">
        <f t="shared" si="317"/>
        <v>1</v>
      </c>
      <c r="H5523" s="6" t="s">
        <v>2189</v>
      </c>
      <c r="I5523" t="s">
        <v>1561</v>
      </c>
      <c r="J5523" t="s">
        <v>1561</v>
      </c>
      <c r="L5523">
        <f t="shared" si="315"/>
        <v>1</v>
      </c>
    </row>
    <row r="5524" spans="1:12" x14ac:dyDescent="0.35">
      <c r="A5524" s="9">
        <f t="shared" si="316"/>
        <v>5523</v>
      </c>
      <c r="B5524" t="s">
        <v>111</v>
      </c>
      <c r="C5524" s="109">
        <f>IF(ISBLANK(K5524),IFERROR(VLOOKUP(I5524,FS_input_data!$C$458:$N$648,Export!J5524,FALSE),""),K5524)</f>
        <v>45500</v>
      </c>
      <c r="D5524" s="6" t="b">
        <v>0</v>
      </c>
      <c r="E5524" s="6"/>
      <c r="F5524" s="6"/>
      <c r="G5524" s="115" t="b">
        <f t="shared" si="317"/>
        <v>1</v>
      </c>
      <c r="H5524" s="6" t="s">
        <v>2189</v>
      </c>
      <c r="I5524" t="s">
        <v>1992</v>
      </c>
      <c r="J5524">
        <v>11</v>
      </c>
      <c r="L5524" s="26" t="e">
        <f t="shared" si="315"/>
        <v>#VALUE!</v>
      </c>
    </row>
    <row r="5525" spans="1:12" x14ac:dyDescent="0.35">
      <c r="A5525">
        <f t="shared" si="316"/>
        <v>5524</v>
      </c>
      <c r="B5525" t="s">
        <v>112</v>
      </c>
      <c r="C5525" s="109" t="str">
        <f>IF(ISBLANK(K5525),IFERROR(VLOOKUP(I5525,FS_input_data!$C$458:$N$648,Export!J5525,FALSE),""),K5525)</f>
        <v/>
      </c>
      <c r="D5525" s="6"/>
      <c r="E5525" s="6"/>
      <c r="F5525" s="6"/>
      <c r="G5525" s="115" t="b">
        <f t="shared" si="317"/>
        <v>1</v>
      </c>
      <c r="H5525" s="6" t="s">
        <v>2189</v>
      </c>
      <c r="I5525" t="s">
        <v>1561</v>
      </c>
      <c r="J5525" t="s">
        <v>1561</v>
      </c>
      <c r="L5525">
        <f t="shared" si="315"/>
        <v>1</v>
      </c>
    </row>
    <row r="5526" spans="1:12" x14ac:dyDescent="0.35">
      <c r="A5526" s="9">
        <f t="shared" si="316"/>
        <v>5525</v>
      </c>
      <c r="B5526" t="s">
        <v>749</v>
      </c>
      <c r="C5526" s="109">
        <f>IF(ISBLANK(K5526),IFERROR(VLOOKUP(I5526,FS_input_data!$C$458:$N$648,Export!J5526,FALSE),""),K5526)</f>
        <v>45500</v>
      </c>
      <c r="D5526" s="6" t="b">
        <v>0</v>
      </c>
      <c r="E5526" s="6"/>
      <c r="F5526" s="6"/>
      <c r="G5526" s="115" t="b">
        <f t="shared" si="317"/>
        <v>1</v>
      </c>
      <c r="H5526" s="6" t="s">
        <v>2189</v>
      </c>
      <c r="I5526" t="s">
        <v>1992</v>
      </c>
      <c r="J5526">
        <v>12</v>
      </c>
      <c r="L5526" s="26" t="e">
        <f t="shared" si="315"/>
        <v>#VALUE!</v>
      </c>
    </row>
    <row r="5527" spans="1:12" x14ac:dyDescent="0.35">
      <c r="A5527">
        <f t="shared" si="316"/>
        <v>5526</v>
      </c>
      <c r="B5527" t="s">
        <v>750</v>
      </c>
      <c r="C5527" s="109" t="str">
        <f>IF(ISBLANK(K5527),IFERROR(VLOOKUP(I5527,FS_input_data!$C$458:$N$648,Export!J5527,FALSE),""),K5527)</f>
        <v/>
      </c>
      <c r="D5527" s="6"/>
      <c r="E5527" s="6"/>
      <c r="F5527" s="6"/>
      <c r="G5527" s="115" t="b">
        <f t="shared" si="317"/>
        <v>1</v>
      </c>
      <c r="H5527" s="6" t="s">
        <v>2189</v>
      </c>
      <c r="I5527" t="s">
        <v>1561</v>
      </c>
      <c r="J5527" t="s">
        <v>1561</v>
      </c>
      <c r="L5527">
        <f t="shared" si="315"/>
        <v>1</v>
      </c>
    </row>
    <row r="5528" spans="1:12" x14ac:dyDescent="0.35">
      <c r="A5528">
        <f t="shared" si="316"/>
        <v>5527</v>
      </c>
      <c r="B5528" t="s">
        <v>745</v>
      </c>
      <c r="C5528" s="109" t="str">
        <f>IF(ISBLANK(K5528),IFERROR(VLOOKUP(I5528,FS_input_data!$C$458:$N$648,Export!J5528,FALSE),""),K5528)</f>
        <v/>
      </c>
      <c r="D5528" s="6"/>
      <c r="E5528" s="6"/>
      <c r="F5528" s="6"/>
      <c r="G5528" s="115" t="b">
        <f t="shared" si="317"/>
        <v>1</v>
      </c>
      <c r="H5528" s="6" t="s">
        <v>2189</v>
      </c>
      <c r="I5528" t="s">
        <v>1561</v>
      </c>
      <c r="J5528" t="s">
        <v>1561</v>
      </c>
      <c r="L5528">
        <f t="shared" si="315"/>
        <v>1</v>
      </c>
    </row>
    <row r="5529" spans="1:12" x14ac:dyDescent="0.35">
      <c r="A5529">
        <f t="shared" si="316"/>
        <v>5528</v>
      </c>
      <c r="B5529" t="s">
        <v>764</v>
      </c>
      <c r="C5529" s="109" t="str">
        <f>IF(ISBLANK(K5529),IFERROR(VLOOKUP(I5529,FS_input_data!$C$458:$N$648,Export!J5529,FALSE),""),K5529)</f>
        <v/>
      </c>
      <c r="D5529" s="6"/>
      <c r="E5529" s="6"/>
      <c r="F5529" s="6"/>
      <c r="G5529" s="115" t="b">
        <f>VLOOKUP(I5498,FS_input_noty,J5498,FALSE)=""</f>
        <v>0</v>
      </c>
      <c r="H5529" s="6" t="s">
        <v>2189</v>
      </c>
      <c r="I5529" t="s">
        <v>1561</v>
      </c>
      <c r="J5529" t="s">
        <v>1561</v>
      </c>
      <c r="L5529">
        <f t="shared" si="315"/>
        <v>1</v>
      </c>
    </row>
    <row r="5530" spans="1:12" x14ac:dyDescent="0.35">
      <c r="A5530">
        <f t="shared" si="316"/>
        <v>5529</v>
      </c>
      <c r="B5530" t="s">
        <v>765</v>
      </c>
      <c r="C5530" s="109" t="str">
        <f>IF(ISBLANK(K5530),IFERROR(VLOOKUP(I5530,FS_input_data!$C$458:$N$648,Export!J5530,FALSE),""),K5530)</f>
        <v/>
      </c>
      <c r="D5530" s="6"/>
      <c r="E5530" s="6"/>
      <c r="F5530" s="6"/>
      <c r="G5530" s="115" t="b">
        <f>VLOOKUP(I5498,FS_input_noty,J5498,FALSE)=""</f>
        <v>0</v>
      </c>
      <c r="H5530" s="6" t="s">
        <v>2189</v>
      </c>
      <c r="I5530" t="s">
        <v>1561</v>
      </c>
      <c r="J5530" t="s">
        <v>1561</v>
      </c>
      <c r="L5530">
        <f t="shared" si="315"/>
        <v>1</v>
      </c>
    </row>
    <row r="5531" spans="1:12" x14ac:dyDescent="0.35">
      <c r="A5531">
        <f t="shared" si="316"/>
        <v>5530</v>
      </c>
      <c r="B5531" t="s">
        <v>752</v>
      </c>
      <c r="C5531" s="109" t="str">
        <f>IF(ISBLANK(K5531),IFERROR(VLOOKUP(I5531,FS_input_data!$C$458:$N$648,Export!J5531,FALSE),""),K5531)</f>
        <v/>
      </c>
      <c r="D5531" s="6"/>
      <c r="E5531" s="6"/>
      <c r="F5531" s="6"/>
      <c r="G5531" s="115" t="b">
        <f>VLOOKUP(I5532,FS_input_noty,J5532,FALSE)=""</f>
        <v>0</v>
      </c>
      <c r="H5531" s="6" t="s">
        <v>2189</v>
      </c>
      <c r="I5531" t="s">
        <v>1561</v>
      </c>
      <c r="J5531" t="s">
        <v>1561</v>
      </c>
      <c r="L5531" s="26" t="e">
        <f t="shared" si="315"/>
        <v>#VALUE!</v>
      </c>
    </row>
    <row r="5532" spans="1:12" x14ac:dyDescent="0.35">
      <c r="A5532" s="9">
        <f t="shared" si="316"/>
        <v>5531</v>
      </c>
      <c r="B5532" t="s">
        <v>101</v>
      </c>
      <c r="C5532" s="109" t="str">
        <f>IF(ISBLANK(K5532),IFERROR(VLOOKUP(I5532,FS_input_data!$C$458:$N$648,Export!J5532,FALSE),""),K5532)</f>
        <v>OC69</v>
      </c>
      <c r="D5532" s="6" t="b">
        <v>1</v>
      </c>
      <c r="E5532" s="6"/>
      <c r="F5532" s="6"/>
      <c r="G5532" s="115" t="b">
        <f>VLOOKUP(I5532,FS_input_noty,J5532,FALSE)=""</f>
        <v>0</v>
      </c>
      <c r="H5532" s="6" t="s">
        <v>2189</v>
      </c>
      <c r="I5532" t="s">
        <v>1994</v>
      </c>
      <c r="J5532">
        <v>6</v>
      </c>
      <c r="L5532" s="26" t="e">
        <f t="shared" si="315"/>
        <v>#VALUE!</v>
      </c>
    </row>
    <row r="5533" spans="1:12" x14ac:dyDescent="0.35">
      <c r="A5533">
        <f t="shared" si="316"/>
        <v>5532</v>
      </c>
      <c r="B5533" t="s">
        <v>102</v>
      </c>
      <c r="C5533" s="109" t="str">
        <f>IF(ISBLANK(K5533),IFERROR(VLOOKUP(I5533,FS_input_data!$C$458:$N$648,Export!J5533,FALSE),""),K5533)</f>
        <v/>
      </c>
      <c r="D5533" s="6"/>
      <c r="E5533" s="6"/>
      <c r="F5533" s="6"/>
      <c r="G5533" s="115" t="b">
        <f>VLOOKUP(I5532,FS_input_noty,J5532,FALSE)=""</f>
        <v>0</v>
      </c>
      <c r="H5533" s="6" t="s">
        <v>2189</v>
      </c>
      <c r="I5533" t="s">
        <v>1561</v>
      </c>
      <c r="J5533" t="s">
        <v>1561</v>
      </c>
      <c r="L5533">
        <f t="shared" si="315"/>
        <v>1</v>
      </c>
    </row>
    <row r="5534" spans="1:12" x14ac:dyDescent="0.35">
      <c r="A5534">
        <f t="shared" si="316"/>
        <v>5533</v>
      </c>
      <c r="B5534" t="s">
        <v>753</v>
      </c>
      <c r="C5534" s="109" t="str">
        <f>IF(ISBLANK(K5534),IFERROR(VLOOKUP(I5534,FS_input_data!$C$458:$N$648,Export!J5534,FALSE),""),K5534)</f>
        <v/>
      </c>
      <c r="D5534" s="6"/>
      <c r="E5534" s="6"/>
      <c r="F5534" s="6"/>
      <c r="G5534" s="115" t="b">
        <f>VLOOKUP(I5532,FS_input_noty,J5532,FALSE)=""</f>
        <v>0</v>
      </c>
      <c r="H5534" s="6" t="s">
        <v>2189</v>
      </c>
      <c r="I5534" t="s">
        <v>1561</v>
      </c>
      <c r="J5534" t="s">
        <v>1561</v>
      </c>
      <c r="L5534" s="26" t="e">
        <f t="shared" si="315"/>
        <v>#VALUE!</v>
      </c>
    </row>
    <row r="5535" spans="1:12" x14ac:dyDescent="0.35">
      <c r="A5535">
        <f t="shared" si="316"/>
        <v>5534</v>
      </c>
      <c r="B5535" t="s">
        <v>742</v>
      </c>
      <c r="C5535" s="109" t="str">
        <f>IF(ISBLANK(K5535),IFERROR(VLOOKUP(I5535,FS_input_data!$C$458:$N$648,Export!J5535,FALSE),""),K5535)</f>
        <v/>
      </c>
      <c r="D5535" s="6"/>
      <c r="E5535" s="6"/>
      <c r="F5535" s="6"/>
      <c r="G5535" s="115" t="b">
        <f>VLOOKUP(I5532,FS_input_noty,J5532,FALSE)=""</f>
        <v>0</v>
      </c>
      <c r="H5535" s="6" t="s">
        <v>2189</v>
      </c>
      <c r="I5535" t="s">
        <v>1561</v>
      </c>
      <c r="J5535" t="s">
        <v>1561</v>
      </c>
      <c r="L5535" s="26" t="e">
        <f t="shared" si="315"/>
        <v>#VALUE!</v>
      </c>
    </row>
    <row r="5536" spans="1:12" x14ac:dyDescent="0.35">
      <c r="A5536">
        <f t="shared" si="316"/>
        <v>5535</v>
      </c>
      <c r="B5536" t="s">
        <v>748</v>
      </c>
      <c r="C5536" s="109" t="str">
        <f>IF(ISBLANK(K5536),IFERROR(VLOOKUP(I5536,FS_input_data!$C$458:$N$648,Export!J5536,FALSE),""),K5536)</f>
        <v/>
      </c>
      <c r="D5536" s="6"/>
      <c r="E5536" s="6"/>
      <c r="F5536" s="6"/>
      <c r="G5536" s="115" t="b">
        <f>VLOOKUP(I5532,FS_input_noty,J5532,FALSE)=""</f>
        <v>0</v>
      </c>
      <c r="H5536" s="6" t="s">
        <v>2189</v>
      </c>
      <c r="I5536" t="s">
        <v>1561</v>
      </c>
      <c r="J5536" t="s">
        <v>1561</v>
      </c>
      <c r="L5536" s="26" t="e">
        <f t="shared" si="315"/>
        <v>#VALUE!</v>
      </c>
    </row>
    <row r="5537" spans="1:12" x14ac:dyDescent="0.35">
      <c r="A5537" s="9">
        <f t="shared" si="316"/>
        <v>5536</v>
      </c>
      <c r="B5537" t="s">
        <v>109</v>
      </c>
      <c r="C5537" s="109">
        <f>IF(ISBLANK(K5537),IFERROR(VLOOKUP(I5537,FS_input_data!$C$458:$N$648,Export!J5537,FALSE),""),K5537)</f>
        <v>92000</v>
      </c>
      <c r="D5537" s="6" t="b">
        <v>1</v>
      </c>
      <c r="E5537" s="6"/>
      <c r="F5537" s="6"/>
      <c r="G5537" s="115" t="b">
        <f>VLOOKUP(I5532,FS_input_noty,J5532,FALSE)=""</f>
        <v>0</v>
      </c>
      <c r="H5537" s="6" t="s">
        <v>2189</v>
      </c>
      <c r="I5537" t="s">
        <v>1994</v>
      </c>
      <c r="J5537">
        <v>7</v>
      </c>
      <c r="L5537" s="26" t="e">
        <f t="shared" si="315"/>
        <v>#VALUE!</v>
      </c>
    </row>
    <row r="5538" spans="1:12" x14ac:dyDescent="0.35">
      <c r="A5538">
        <f t="shared" si="316"/>
        <v>5537</v>
      </c>
      <c r="B5538" t="s">
        <v>110</v>
      </c>
      <c r="C5538" s="109" t="str">
        <f>IF(ISBLANK(K5538),IFERROR(VLOOKUP(I5538,FS_input_data!$C$458:$N$648,Export!J5538,FALSE),""),K5538)</f>
        <v/>
      </c>
      <c r="D5538" s="6"/>
      <c r="E5538" s="6"/>
      <c r="F5538" s="6"/>
      <c r="G5538" s="115" t="b">
        <f>VLOOKUP(I5532,FS_input_noty,J5532,FALSE)=""</f>
        <v>0</v>
      </c>
      <c r="H5538" s="6" t="s">
        <v>2189</v>
      </c>
      <c r="I5538" t="s">
        <v>1561</v>
      </c>
      <c r="J5538" t="s">
        <v>1561</v>
      </c>
      <c r="L5538">
        <f t="shared" si="315"/>
        <v>1</v>
      </c>
    </row>
    <row r="5539" spans="1:12" x14ac:dyDescent="0.35">
      <c r="A5539" s="9">
        <f t="shared" si="316"/>
        <v>5538</v>
      </c>
      <c r="B5539" t="s">
        <v>111</v>
      </c>
      <c r="C5539" s="109">
        <f>IF(ISBLANK(K5539),IFERROR(VLOOKUP(I5539,FS_input_data!$C$458:$N$648,Export!J5539,FALSE),""),K5539)</f>
        <v>46000</v>
      </c>
      <c r="D5539" s="6" t="b">
        <v>0</v>
      </c>
      <c r="E5539" s="6"/>
      <c r="F5539" s="6"/>
      <c r="G5539" s="115" t="b">
        <f>VLOOKUP(I5532,FS_input_noty,J5532,TRUE)=""</f>
        <v>0</v>
      </c>
      <c r="H5539" s="6" t="s">
        <v>2189</v>
      </c>
      <c r="I5539" t="s">
        <v>1994</v>
      </c>
      <c r="J5539">
        <v>8</v>
      </c>
      <c r="L5539" s="26" t="e">
        <f t="shared" si="315"/>
        <v>#VALUE!</v>
      </c>
    </row>
    <row r="5540" spans="1:12" x14ac:dyDescent="0.35">
      <c r="A5540">
        <f t="shared" si="316"/>
        <v>5539</v>
      </c>
      <c r="B5540" t="s">
        <v>112</v>
      </c>
      <c r="C5540" s="109" t="str">
        <f>IF(ISBLANK(K5540),IFERROR(VLOOKUP(I5540,FS_input_data!$C$458:$N$648,Export!J5540,FALSE),""),K5540)</f>
        <v/>
      </c>
      <c r="D5540" s="6"/>
      <c r="E5540" s="6"/>
      <c r="F5540" s="6"/>
      <c r="G5540" s="115" t="b">
        <f>VLOOKUP(I5532,FS_input_noty,J5532,FALSE)=""</f>
        <v>0</v>
      </c>
      <c r="H5540" s="6" t="s">
        <v>2189</v>
      </c>
      <c r="I5540" t="s">
        <v>1561</v>
      </c>
      <c r="J5540" t="s">
        <v>1561</v>
      </c>
      <c r="L5540">
        <f t="shared" si="315"/>
        <v>1</v>
      </c>
    </row>
    <row r="5541" spans="1:12" x14ac:dyDescent="0.35">
      <c r="A5541" s="9">
        <f t="shared" si="316"/>
        <v>5540</v>
      </c>
      <c r="B5541" t="s">
        <v>749</v>
      </c>
      <c r="C5541" s="109">
        <f>IF(ISBLANK(K5541),IFERROR(VLOOKUP(I5541,FS_input_data!$C$458:$N$648,Export!J5541,FALSE),""),K5541)</f>
        <v>46000</v>
      </c>
      <c r="D5541" s="6" t="b">
        <v>0</v>
      </c>
      <c r="E5541" s="6"/>
      <c r="F5541" s="6"/>
      <c r="G5541" s="115" t="b">
        <f>VLOOKUP(I5532,FS_input_noty,J5532,FALSE)=""</f>
        <v>0</v>
      </c>
      <c r="H5541" s="6" t="s">
        <v>2189</v>
      </c>
      <c r="I5541" t="s">
        <v>1994</v>
      </c>
      <c r="J5541">
        <v>9</v>
      </c>
      <c r="L5541" s="26" t="e">
        <f t="shared" si="315"/>
        <v>#VALUE!</v>
      </c>
    </row>
    <row r="5542" spans="1:12" x14ac:dyDescent="0.35">
      <c r="A5542">
        <f t="shared" si="316"/>
        <v>5541</v>
      </c>
      <c r="B5542" t="s">
        <v>750</v>
      </c>
      <c r="C5542" s="109" t="str">
        <f>IF(ISBLANK(K5542),IFERROR(VLOOKUP(I5542,FS_input_data!$C$458:$N$648,Export!J5542,FALSE),""),K5542)</f>
        <v/>
      </c>
      <c r="D5542" s="6"/>
      <c r="E5542" s="6"/>
      <c r="F5542" s="6"/>
      <c r="G5542" s="115" t="b">
        <f>VLOOKUP(I5532,FS_input_noty,J5532,FALSE)=""</f>
        <v>0</v>
      </c>
      <c r="H5542" s="6" t="s">
        <v>2189</v>
      </c>
      <c r="I5542" t="s">
        <v>1561</v>
      </c>
      <c r="J5542" t="s">
        <v>1561</v>
      </c>
      <c r="L5542">
        <f t="shared" si="315"/>
        <v>1</v>
      </c>
    </row>
    <row r="5543" spans="1:12" x14ac:dyDescent="0.35">
      <c r="A5543">
        <f t="shared" si="316"/>
        <v>5542</v>
      </c>
      <c r="B5543" t="s">
        <v>751</v>
      </c>
      <c r="C5543" s="109" t="str">
        <f>IF(ISBLANK(K5543),IFERROR(VLOOKUP(I5543,FS_input_data!$C$458:$N$648,Export!J5543,FALSE),""),K5543)</f>
        <v/>
      </c>
      <c r="D5543" s="6"/>
      <c r="E5543" s="6"/>
      <c r="F5543" s="6"/>
      <c r="G5543" s="115" t="b">
        <f>VLOOKUP(I5532,FS_input_noty,J5532,FALSE)=""</f>
        <v>0</v>
      </c>
      <c r="H5543" s="6" t="s">
        <v>2189</v>
      </c>
      <c r="I5543" t="s">
        <v>1561</v>
      </c>
      <c r="J5543" t="s">
        <v>1561</v>
      </c>
      <c r="L5543">
        <f t="shared" si="315"/>
        <v>1</v>
      </c>
    </row>
    <row r="5544" spans="1:12" x14ac:dyDescent="0.35">
      <c r="A5544">
        <f t="shared" si="316"/>
        <v>5543</v>
      </c>
      <c r="B5544" t="s">
        <v>754</v>
      </c>
      <c r="C5544" s="109" t="str">
        <f>IF(ISBLANK(K5544),IFERROR(VLOOKUP(I5544,FS_input_data!$C$458:$N$648,Export!J5544,FALSE),""),K5544)</f>
        <v/>
      </c>
      <c r="D5544" s="6"/>
      <c r="E5544" s="6"/>
      <c r="F5544" s="6"/>
      <c r="G5544" s="115" t="b">
        <f>VLOOKUP(I5532,FS_input_noty,J5532,FALSE)=""</f>
        <v>0</v>
      </c>
      <c r="H5544" s="6" t="s">
        <v>2189</v>
      </c>
      <c r="I5544" t="s">
        <v>1561</v>
      </c>
      <c r="J5544" t="s">
        <v>1561</v>
      </c>
      <c r="L5544" s="26" t="e">
        <f t="shared" si="315"/>
        <v>#VALUE!</v>
      </c>
    </row>
    <row r="5545" spans="1:12" x14ac:dyDescent="0.35">
      <c r="A5545" s="9">
        <f t="shared" si="316"/>
        <v>5544</v>
      </c>
      <c r="B5545" t="s">
        <v>755</v>
      </c>
      <c r="C5545" s="109">
        <f>IF(ISBLANK(K5545),IFERROR(VLOOKUP(I5545,FS_input_data!$C$458:$N$648,Export!J5545,FALSE),""),K5545)</f>
        <v>92</v>
      </c>
      <c r="D5545" s="6" t="b">
        <v>1</v>
      </c>
      <c r="E5545" s="6"/>
      <c r="F5545" s="6"/>
      <c r="G5545" s="115" t="b">
        <f>VLOOKUP(I5532,FS_input_noty,J5532,FALSE)=""</f>
        <v>0</v>
      </c>
      <c r="H5545" s="6" t="s">
        <v>2189</v>
      </c>
      <c r="I5545" t="s">
        <v>1994</v>
      </c>
      <c r="J5545">
        <v>2</v>
      </c>
      <c r="L5545" s="26" t="e">
        <f t="shared" si="315"/>
        <v>#VALUE!</v>
      </c>
    </row>
    <row r="5546" spans="1:12" x14ac:dyDescent="0.35">
      <c r="A5546">
        <f t="shared" si="316"/>
        <v>5545</v>
      </c>
      <c r="B5546" t="s">
        <v>756</v>
      </c>
      <c r="C5546" s="109" t="str">
        <f>IF(ISBLANK(K5546),IFERROR(VLOOKUP(I5546,FS_input_data!$C$458:$N$648,Export!J5546,FALSE),""),K5546)</f>
        <v/>
      </c>
      <c r="D5546" s="6"/>
      <c r="E5546" s="6"/>
      <c r="F5546" s="6"/>
      <c r="G5546" s="115" t="b">
        <f>VLOOKUP(I5532,FS_input_noty,J5532,FALSE)=""</f>
        <v>0</v>
      </c>
      <c r="H5546" s="6" t="s">
        <v>2189</v>
      </c>
      <c r="I5546" t="s">
        <v>1561</v>
      </c>
      <c r="J5546" t="s">
        <v>1561</v>
      </c>
      <c r="L5546">
        <f t="shared" si="315"/>
        <v>1</v>
      </c>
    </row>
    <row r="5547" spans="1:12" x14ac:dyDescent="0.35">
      <c r="A5547" s="9">
        <f t="shared" si="316"/>
        <v>5546</v>
      </c>
      <c r="B5547" t="s">
        <v>757</v>
      </c>
      <c r="C5547" s="109">
        <f>IF(ISBLANK(K5547),IFERROR(VLOOKUP(I5547,FS_input_data!$C$458:$N$648,Export!J5547,FALSE),""),K5547)</f>
        <v>192</v>
      </c>
      <c r="D5547" s="6" t="b">
        <v>0</v>
      </c>
      <c r="E5547" s="6"/>
      <c r="F5547" s="6"/>
      <c r="G5547" s="115" t="b">
        <f>VLOOKUP(I5532,FS_input_noty,J5532,FALSE)=""</f>
        <v>0</v>
      </c>
      <c r="H5547" s="6" t="s">
        <v>2189</v>
      </c>
      <c r="I5547" t="s">
        <v>1994</v>
      </c>
      <c r="J5547">
        <v>3</v>
      </c>
      <c r="L5547" s="26" t="e">
        <f t="shared" si="315"/>
        <v>#VALUE!</v>
      </c>
    </row>
    <row r="5548" spans="1:12" x14ac:dyDescent="0.35">
      <c r="A5548">
        <f t="shared" si="316"/>
        <v>5547</v>
      </c>
      <c r="B5548" t="s">
        <v>758</v>
      </c>
      <c r="C5548" s="109" t="str">
        <f>IF(ISBLANK(K5548),IFERROR(VLOOKUP(I5548,FS_input_data!$C$458:$N$648,Export!J5548,FALSE),""),K5548)</f>
        <v/>
      </c>
      <c r="D5548" s="6"/>
      <c r="E5548" s="6"/>
      <c r="F5548" s="6"/>
      <c r="G5548" s="115" t="b">
        <f>VLOOKUP(I5532,FS_input_noty,J5532,FALSE)=""</f>
        <v>0</v>
      </c>
      <c r="H5548" s="6" t="s">
        <v>2189</v>
      </c>
      <c r="I5548" t="s">
        <v>1561</v>
      </c>
      <c r="J5548" t="s">
        <v>1561</v>
      </c>
      <c r="L5548">
        <f t="shared" si="315"/>
        <v>1</v>
      </c>
    </row>
    <row r="5549" spans="1:12" x14ac:dyDescent="0.35">
      <c r="A5549" s="9">
        <f t="shared" si="316"/>
        <v>5548</v>
      </c>
      <c r="B5549" t="s">
        <v>759</v>
      </c>
      <c r="C5549" s="109">
        <f>IF(ISBLANK(K5549),IFERROR(VLOOKUP(I5549,FS_input_data!$C$458:$N$648,Export!J5549,FALSE),""),K5549)</f>
        <v>292</v>
      </c>
      <c r="D5549" s="6" t="b">
        <v>0</v>
      </c>
      <c r="E5549" s="6"/>
      <c r="F5549" s="6"/>
      <c r="G5549" s="115" t="b">
        <f>VLOOKUP(I5532,FS_input_noty,J5532,FALSE)=""</f>
        <v>0</v>
      </c>
      <c r="H5549" s="6" t="s">
        <v>2189</v>
      </c>
      <c r="I5549" t="s">
        <v>1994</v>
      </c>
      <c r="J5549">
        <v>4</v>
      </c>
      <c r="L5549" s="26" t="e">
        <f t="shared" si="315"/>
        <v>#VALUE!</v>
      </c>
    </row>
    <row r="5550" spans="1:12" x14ac:dyDescent="0.35">
      <c r="A5550">
        <f t="shared" si="316"/>
        <v>5549</v>
      </c>
      <c r="B5550" t="s">
        <v>760</v>
      </c>
      <c r="C5550" s="109" t="str">
        <f>IF(ISBLANK(K5550),IFERROR(VLOOKUP(I5550,FS_input_data!$C$458:$N$648,Export!J5550,FALSE),""),K5550)</f>
        <v/>
      </c>
      <c r="D5550" s="6"/>
      <c r="E5550" s="6"/>
      <c r="F5550" s="6"/>
      <c r="G5550" s="115" t="b">
        <f>VLOOKUP(I5532,FS_input_noty,J5532,FALSE)=""</f>
        <v>0</v>
      </c>
      <c r="H5550" s="6" t="s">
        <v>2189</v>
      </c>
      <c r="I5550" t="s">
        <v>1561</v>
      </c>
      <c r="J5550" t="s">
        <v>1561</v>
      </c>
      <c r="L5550">
        <f t="shared" si="315"/>
        <v>1</v>
      </c>
    </row>
    <row r="5551" spans="1:12" x14ac:dyDescent="0.35">
      <c r="A5551" s="9">
        <f t="shared" si="316"/>
        <v>5550</v>
      </c>
      <c r="B5551" t="s">
        <v>761</v>
      </c>
      <c r="C5551" s="109" t="str">
        <f>IF(ISBLANK(K5551),IFERROR(VLOOKUP(I5551,FS_input_data!$C$458:$N$648,Export!J5551,FALSE),""),K5551)</f>
        <v>f</v>
      </c>
      <c r="D5551" s="6" t="b">
        <v>0</v>
      </c>
      <c r="E5551" s="6"/>
      <c r="F5551" s="6"/>
      <c r="G5551" s="115" t="b">
        <f>VLOOKUP(I5532,FS_input_noty,J5532,FALSE)=""</f>
        <v>0</v>
      </c>
      <c r="H5551" s="6" t="s">
        <v>2189</v>
      </c>
      <c r="I5551" t="s">
        <v>1994</v>
      </c>
      <c r="J5551">
        <v>5</v>
      </c>
      <c r="L5551" s="26" t="e">
        <f t="shared" si="315"/>
        <v>#VALUE!</v>
      </c>
    </row>
    <row r="5552" spans="1:12" x14ac:dyDescent="0.35">
      <c r="A5552">
        <f t="shared" si="316"/>
        <v>5551</v>
      </c>
      <c r="B5552" t="s">
        <v>762</v>
      </c>
      <c r="C5552" s="109" t="str">
        <f>IF(ISBLANK(K5552),IFERROR(VLOOKUP(I5552,FS_input_data!$C$458:$N$648,Export!J5552,FALSE),""),K5552)</f>
        <v/>
      </c>
      <c r="D5552" s="6"/>
      <c r="E5552" s="6"/>
      <c r="F5552" s="6"/>
      <c r="G5552" s="115" t="b">
        <f>VLOOKUP(I5532,FS_input_noty,J5532,FALSE)=""</f>
        <v>0</v>
      </c>
      <c r="H5552" s="6" t="s">
        <v>2189</v>
      </c>
      <c r="I5552" t="s">
        <v>1561</v>
      </c>
      <c r="J5552" t="s">
        <v>1561</v>
      </c>
      <c r="L5552">
        <f t="shared" si="315"/>
        <v>1</v>
      </c>
    </row>
    <row r="5553" spans="1:12" x14ac:dyDescent="0.35">
      <c r="A5553">
        <f t="shared" si="316"/>
        <v>5552</v>
      </c>
      <c r="B5553" t="s">
        <v>763</v>
      </c>
      <c r="C5553" s="109" t="str">
        <f>IF(ISBLANK(K5553),IFERROR(VLOOKUP(I5553,FS_input_data!$C$458:$N$648,Export!J5553,FALSE),""),K5553)</f>
        <v/>
      </c>
      <c r="D5553" s="6"/>
      <c r="E5553" s="6"/>
      <c r="F5553" s="6"/>
      <c r="G5553" s="115" t="b">
        <f>VLOOKUP(I5532,FS_input_noty,J5532,FALSE)=""</f>
        <v>0</v>
      </c>
      <c r="H5553" s="6" t="s">
        <v>2189</v>
      </c>
      <c r="I5553" t="s">
        <v>1561</v>
      </c>
      <c r="J5553" t="s">
        <v>1561</v>
      </c>
      <c r="L5553">
        <f t="shared" si="315"/>
        <v>1</v>
      </c>
    </row>
    <row r="5554" spans="1:12" x14ac:dyDescent="0.35">
      <c r="A5554">
        <f t="shared" si="316"/>
        <v>5553</v>
      </c>
      <c r="B5554" t="s">
        <v>743</v>
      </c>
      <c r="C5554" s="109" t="str">
        <f>IF(ISBLANK(K5554),IFERROR(VLOOKUP(I5554,FS_input_data!$C$458:$N$648,Export!J5554,FALSE),""),K5554)</f>
        <v/>
      </c>
      <c r="D5554" s="6"/>
      <c r="E5554" s="6"/>
      <c r="F5554" s="6"/>
      <c r="G5554" s="115" t="b">
        <f>VLOOKUP(I5532,FS_input_noty,J5532,FALSE)=""</f>
        <v>0</v>
      </c>
      <c r="H5554" s="6" t="s">
        <v>2189</v>
      </c>
      <c r="I5554" t="s">
        <v>1561</v>
      </c>
      <c r="J5554" t="s">
        <v>1561</v>
      </c>
      <c r="L5554">
        <f t="shared" si="315"/>
        <v>1</v>
      </c>
    </row>
    <row r="5555" spans="1:12" x14ac:dyDescent="0.35">
      <c r="A5555">
        <f t="shared" si="316"/>
        <v>5554</v>
      </c>
      <c r="B5555" t="s">
        <v>744</v>
      </c>
      <c r="C5555" s="109" t="str">
        <f>IF(ISBLANK(K5555),IFERROR(VLOOKUP(I5555,FS_input_data!$C$458:$N$648,Export!J5555,FALSE),""),K5555)</f>
        <v/>
      </c>
      <c r="D5555" s="6"/>
      <c r="E5555" s="6"/>
      <c r="F5555" s="6"/>
      <c r="G5555" s="115" t="b">
        <f t="shared" ref="G5555:G5562" si="318">RP_tax</f>
        <v>1</v>
      </c>
      <c r="H5555" s="6" t="s">
        <v>2189</v>
      </c>
      <c r="I5555" t="s">
        <v>1561</v>
      </c>
      <c r="J5555" t="s">
        <v>1561</v>
      </c>
      <c r="L5555" s="26" t="e">
        <f t="shared" si="315"/>
        <v>#VALUE!</v>
      </c>
    </row>
    <row r="5556" spans="1:12" x14ac:dyDescent="0.35">
      <c r="A5556" s="9">
        <f t="shared" si="316"/>
        <v>5555</v>
      </c>
      <c r="B5556" t="s">
        <v>109</v>
      </c>
      <c r="C5556" s="109">
        <f>IF(ISBLANK(K5556),IFERROR(VLOOKUP(I5556,FS_input_data!$C$458:$N$648,Export!J5556,FALSE),""),K5556)</f>
        <v>92000</v>
      </c>
      <c r="D5556" s="6" t="b">
        <v>1</v>
      </c>
      <c r="E5556" s="6"/>
      <c r="F5556" s="6"/>
      <c r="G5556" s="115" t="b">
        <f t="shared" si="318"/>
        <v>1</v>
      </c>
      <c r="H5556" s="6" t="s">
        <v>2189</v>
      </c>
      <c r="I5556" t="s">
        <v>1994</v>
      </c>
      <c r="J5556">
        <v>10</v>
      </c>
      <c r="L5556" s="26" t="e">
        <f t="shared" si="315"/>
        <v>#VALUE!</v>
      </c>
    </row>
    <row r="5557" spans="1:12" x14ac:dyDescent="0.35">
      <c r="A5557">
        <f t="shared" si="316"/>
        <v>5556</v>
      </c>
      <c r="B5557" t="s">
        <v>110</v>
      </c>
      <c r="C5557" s="109" t="str">
        <f>IF(ISBLANK(K5557),IFERROR(VLOOKUP(I5557,FS_input_data!$C$458:$N$648,Export!J5557,FALSE),""),K5557)</f>
        <v/>
      </c>
      <c r="D5557" s="6"/>
      <c r="E5557" s="6"/>
      <c r="F5557" s="6"/>
      <c r="G5557" s="115" t="b">
        <f t="shared" si="318"/>
        <v>1</v>
      </c>
      <c r="H5557" s="6" t="s">
        <v>2189</v>
      </c>
      <c r="I5557" t="s">
        <v>1561</v>
      </c>
      <c r="J5557" t="s">
        <v>1561</v>
      </c>
      <c r="L5557">
        <f t="shared" si="315"/>
        <v>1</v>
      </c>
    </row>
    <row r="5558" spans="1:12" x14ac:dyDescent="0.35">
      <c r="A5558" s="9">
        <f t="shared" si="316"/>
        <v>5557</v>
      </c>
      <c r="B5558" t="s">
        <v>111</v>
      </c>
      <c r="C5558" s="109">
        <f>IF(ISBLANK(K5558),IFERROR(VLOOKUP(I5558,FS_input_data!$C$458:$N$648,Export!J5558,FALSE),""),K5558)</f>
        <v>46000</v>
      </c>
      <c r="D5558" s="6" t="b">
        <v>0</v>
      </c>
      <c r="E5558" s="6"/>
      <c r="F5558" s="6"/>
      <c r="G5558" s="115" t="b">
        <f t="shared" si="318"/>
        <v>1</v>
      </c>
      <c r="H5558" s="6" t="s">
        <v>2189</v>
      </c>
      <c r="I5558" t="s">
        <v>1994</v>
      </c>
      <c r="J5558">
        <v>11</v>
      </c>
      <c r="L5558" s="26" t="e">
        <f t="shared" si="315"/>
        <v>#VALUE!</v>
      </c>
    </row>
    <row r="5559" spans="1:12" x14ac:dyDescent="0.35">
      <c r="A5559">
        <f t="shared" si="316"/>
        <v>5558</v>
      </c>
      <c r="B5559" t="s">
        <v>112</v>
      </c>
      <c r="C5559" s="109" t="str">
        <f>IF(ISBLANK(K5559),IFERROR(VLOOKUP(I5559,FS_input_data!$C$458:$N$648,Export!J5559,FALSE),""),K5559)</f>
        <v/>
      </c>
      <c r="D5559" s="6"/>
      <c r="E5559" s="6"/>
      <c r="F5559" s="6"/>
      <c r="G5559" s="115" t="b">
        <f t="shared" si="318"/>
        <v>1</v>
      </c>
      <c r="H5559" s="6" t="s">
        <v>2189</v>
      </c>
      <c r="I5559" t="s">
        <v>1561</v>
      </c>
      <c r="J5559" t="s">
        <v>1561</v>
      </c>
      <c r="L5559">
        <f t="shared" si="315"/>
        <v>1</v>
      </c>
    </row>
    <row r="5560" spans="1:12" x14ac:dyDescent="0.35">
      <c r="A5560" s="9">
        <f t="shared" si="316"/>
        <v>5559</v>
      </c>
      <c r="B5560" t="s">
        <v>749</v>
      </c>
      <c r="C5560" s="109">
        <f>IF(ISBLANK(K5560),IFERROR(VLOOKUP(I5560,FS_input_data!$C$458:$N$648,Export!J5560,FALSE),""),K5560)</f>
        <v>46000</v>
      </c>
      <c r="D5560" s="6" t="b">
        <v>0</v>
      </c>
      <c r="E5560" s="6"/>
      <c r="F5560" s="6"/>
      <c r="G5560" s="115" t="b">
        <f t="shared" si="318"/>
        <v>1</v>
      </c>
      <c r="H5560" s="6" t="s">
        <v>2189</v>
      </c>
      <c r="I5560" t="s">
        <v>1994</v>
      </c>
      <c r="J5560">
        <v>12</v>
      </c>
      <c r="L5560" s="26" t="e">
        <f t="shared" si="315"/>
        <v>#VALUE!</v>
      </c>
    </row>
    <row r="5561" spans="1:12" x14ac:dyDescent="0.35">
      <c r="A5561">
        <f t="shared" si="316"/>
        <v>5560</v>
      </c>
      <c r="B5561" t="s">
        <v>750</v>
      </c>
      <c r="C5561" s="109" t="str">
        <f>IF(ISBLANK(K5561),IFERROR(VLOOKUP(I5561,FS_input_data!$C$458:$N$648,Export!J5561,FALSE),""),K5561)</f>
        <v/>
      </c>
      <c r="D5561" s="6"/>
      <c r="E5561" s="6"/>
      <c r="F5561" s="6"/>
      <c r="G5561" s="115" t="b">
        <f t="shared" si="318"/>
        <v>1</v>
      </c>
      <c r="H5561" s="6" t="s">
        <v>2189</v>
      </c>
      <c r="I5561" t="s">
        <v>1561</v>
      </c>
      <c r="J5561" t="s">
        <v>1561</v>
      </c>
      <c r="L5561">
        <f t="shared" si="315"/>
        <v>1</v>
      </c>
    </row>
    <row r="5562" spans="1:12" x14ac:dyDescent="0.35">
      <c r="A5562">
        <f t="shared" si="316"/>
        <v>5561</v>
      </c>
      <c r="B5562" t="s">
        <v>745</v>
      </c>
      <c r="C5562" s="109" t="str">
        <f>IF(ISBLANK(K5562),IFERROR(VLOOKUP(I5562,FS_input_data!$C$458:$N$648,Export!J5562,FALSE),""),K5562)</f>
        <v/>
      </c>
      <c r="D5562" s="6"/>
      <c r="E5562" s="6"/>
      <c r="F5562" s="6"/>
      <c r="G5562" s="115" t="b">
        <f t="shared" si="318"/>
        <v>1</v>
      </c>
      <c r="H5562" s="6" t="s">
        <v>2189</v>
      </c>
      <c r="I5562" t="s">
        <v>1561</v>
      </c>
      <c r="J5562" t="s">
        <v>1561</v>
      </c>
      <c r="L5562">
        <f t="shared" si="315"/>
        <v>1</v>
      </c>
    </row>
    <row r="5563" spans="1:12" x14ac:dyDescent="0.35">
      <c r="A5563">
        <f t="shared" si="316"/>
        <v>5562</v>
      </c>
      <c r="B5563" t="s">
        <v>764</v>
      </c>
      <c r="C5563" s="109" t="str">
        <f>IF(ISBLANK(K5563),IFERROR(VLOOKUP(I5563,FS_input_data!$C$458:$N$648,Export!J5563,FALSE),""),K5563)</f>
        <v/>
      </c>
      <c r="D5563" s="6"/>
      <c r="E5563" s="6"/>
      <c r="F5563" s="6"/>
      <c r="G5563" s="115" t="b">
        <f>VLOOKUP(I5532,FS_input_noty,J5532,FALSE)=""</f>
        <v>0</v>
      </c>
      <c r="H5563" s="6" t="s">
        <v>2189</v>
      </c>
      <c r="I5563" t="s">
        <v>1561</v>
      </c>
      <c r="J5563" t="s">
        <v>1561</v>
      </c>
      <c r="L5563">
        <f t="shared" si="315"/>
        <v>1</v>
      </c>
    </row>
    <row r="5564" spans="1:12" x14ac:dyDescent="0.35">
      <c r="A5564">
        <f t="shared" si="316"/>
        <v>5563</v>
      </c>
      <c r="B5564" t="s">
        <v>765</v>
      </c>
      <c r="C5564" s="109" t="str">
        <f>IF(ISBLANK(K5564),IFERROR(VLOOKUP(I5564,FS_input_data!$C$458:$N$648,Export!J5564,FALSE),""),K5564)</f>
        <v/>
      </c>
      <c r="D5564" s="6"/>
      <c r="E5564" s="6"/>
      <c r="F5564" s="6"/>
      <c r="G5564" s="115" t="b">
        <f>VLOOKUP(I5532,FS_input_noty,J5532,FALSE)=""</f>
        <v>0</v>
      </c>
      <c r="H5564" s="6" t="s">
        <v>2189</v>
      </c>
      <c r="I5564" t="s">
        <v>1561</v>
      </c>
      <c r="J5564" t="s">
        <v>1561</v>
      </c>
      <c r="L5564">
        <f t="shared" si="315"/>
        <v>1</v>
      </c>
    </row>
    <row r="5565" spans="1:12" x14ac:dyDescent="0.35">
      <c r="A5565">
        <f t="shared" si="316"/>
        <v>5564</v>
      </c>
      <c r="B5565" t="s">
        <v>752</v>
      </c>
      <c r="C5565" s="109" t="str">
        <f>IF(ISBLANK(K5565),IFERROR(VLOOKUP(I5565,FS_input_data!$C$458:$N$648,Export!J5565,FALSE),""),K5565)</f>
        <v/>
      </c>
      <c r="D5565" s="6"/>
      <c r="E5565" s="6"/>
      <c r="F5565" s="6"/>
      <c r="G5565" s="115" t="b">
        <f>VLOOKUP(I5566,FS_input_noty,J5566,FALSE)=""</f>
        <v>0</v>
      </c>
      <c r="H5565" s="6" t="s">
        <v>2189</v>
      </c>
      <c r="I5565" t="s">
        <v>1561</v>
      </c>
      <c r="J5565" t="s">
        <v>1561</v>
      </c>
      <c r="L5565" s="26" t="e">
        <f t="shared" si="315"/>
        <v>#VALUE!</v>
      </c>
    </row>
    <row r="5566" spans="1:12" x14ac:dyDescent="0.35">
      <c r="A5566" s="9">
        <f t="shared" si="316"/>
        <v>5565</v>
      </c>
      <c r="B5566" t="s">
        <v>101</v>
      </c>
      <c r="C5566" s="109" t="str">
        <f>IF(ISBLANK(K5566),IFERROR(VLOOKUP(I5566,FS_input_data!$C$458:$N$648,Export!J5566,FALSE),""),K5566)</f>
        <v>OC70</v>
      </c>
      <c r="D5566" s="6" t="b">
        <v>1</v>
      </c>
      <c r="E5566" s="6"/>
      <c r="F5566" s="6"/>
      <c r="G5566" s="115" t="b">
        <f>VLOOKUP(I5566,FS_input_noty,J5566,FALSE)=""</f>
        <v>0</v>
      </c>
      <c r="H5566" s="6" t="s">
        <v>2189</v>
      </c>
      <c r="I5566" t="s">
        <v>1996</v>
      </c>
      <c r="J5566">
        <v>6</v>
      </c>
      <c r="L5566" s="26" t="e">
        <f t="shared" si="315"/>
        <v>#VALUE!</v>
      </c>
    </row>
    <row r="5567" spans="1:12" x14ac:dyDescent="0.35">
      <c r="A5567">
        <f t="shared" si="316"/>
        <v>5566</v>
      </c>
      <c r="B5567" t="s">
        <v>102</v>
      </c>
      <c r="C5567" s="109" t="str">
        <f>IF(ISBLANK(K5567),IFERROR(VLOOKUP(I5567,FS_input_data!$C$458:$N$648,Export!J5567,FALSE),""),K5567)</f>
        <v/>
      </c>
      <c r="D5567" s="6"/>
      <c r="E5567" s="6"/>
      <c r="F5567" s="6"/>
      <c r="G5567" s="115" t="b">
        <f>VLOOKUP(I5566,FS_input_noty,J5566,FALSE)=""</f>
        <v>0</v>
      </c>
      <c r="H5567" s="6" t="s">
        <v>2189</v>
      </c>
      <c r="I5567" t="s">
        <v>1561</v>
      </c>
      <c r="J5567" t="s">
        <v>1561</v>
      </c>
      <c r="L5567">
        <f t="shared" si="315"/>
        <v>1</v>
      </c>
    </row>
    <row r="5568" spans="1:12" x14ac:dyDescent="0.35">
      <c r="A5568">
        <f t="shared" si="316"/>
        <v>5567</v>
      </c>
      <c r="B5568" t="s">
        <v>753</v>
      </c>
      <c r="C5568" s="109" t="str">
        <f>IF(ISBLANK(K5568),IFERROR(VLOOKUP(I5568,FS_input_data!$C$458:$N$648,Export!J5568,FALSE),""),K5568)</f>
        <v/>
      </c>
      <c r="D5568" s="6"/>
      <c r="E5568" s="6"/>
      <c r="F5568" s="6"/>
      <c r="G5568" s="115" t="b">
        <f>VLOOKUP(I5566,FS_input_noty,J5566,FALSE)=""</f>
        <v>0</v>
      </c>
      <c r="H5568" s="6" t="s">
        <v>2189</v>
      </c>
      <c r="I5568" t="s">
        <v>1561</v>
      </c>
      <c r="J5568" t="s">
        <v>1561</v>
      </c>
      <c r="L5568" s="26" t="e">
        <f t="shared" si="315"/>
        <v>#VALUE!</v>
      </c>
    </row>
    <row r="5569" spans="1:12" x14ac:dyDescent="0.35">
      <c r="A5569">
        <f t="shared" si="316"/>
        <v>5568</v>
      </c>
      <c r="B5569" t="s">
        <v>742</v>
      </c>
      <c r="C5569" s="109" t="str">
        <f>IF(ISBLANK(K5569),IFERROR(VLOOKUP(I5569,FS_input_data!$C$458:$N$648,Export!J5569,FALSE),""),K5569)</f>
        <v/>
      </c>
      <c r="D5569" s="6"/>
      <c r="E5569" s="6"/>
      <c r="F5569" s="6"/>
      <c r="G5569" s="115" t="b">
        <f>VLOOKUP(I5566,FS_input_noty,J5566,FALSE)=""</f>
        <v>0</v>
      </c>
      <c r="H5569" s="6" t="s">
        <v>2189</v>
      </c>
      <c r="I5569" t="s">
        <v>1561</v>
      </c>
      <c r="J5569" t="s">
        <v>1561</v>
      </c>
      <c r="L5569" s="26" t="e">
        <f t="shared" si="315"/>
        <v>#VALUE!</v>
      </c>
    </row>
    <row r="5570" spans="1:12" x14ac:dyDescent="0.35">
      <c r="A5570">
        <f t="shared" si="316"/>
        <v>5569</v>
      </c>
      <c r="B5570" t="s">
        <v>748</v>
      </c>
      <c r="C5570" s="109" t="str">
        <f>IF(ISBLANK(K5570),IFERROR(VLOOKUP(I5570,FS_input_data!$C$458:$N$648,Export!J5570,FALSE),""),K5570)</f>
        <v/>
      </c>
      <c r="D5570" s="6"/>
      <c r="E5570" s="6"/>
      <c r="F5570" s="6"/>
      <c r="G5570" s="115" t="b">
        <f>VLOOKUP(I5566,FS_input_noty,J5566,FALSE)=""</f>
        <v>0</v>
      </c>
      <c r="H5570" s="6" t="s">
        <v>2189</v>
      </c>
      <c r="I5570" t="s">
        <v>1561</v>
      </c>
      <c r="J5570" t="s">
        <v>1561</v>
      </c>
      <c r="L5570" s="26" t="e">
        <f t="shared" ref="L5570:L5633" si="319">FIND("/",B5570)</f>
        <v>#VALUE!</v>
      </c>
    </row>
    <row r="5571" spans="1:12" x14ac:dyDescent="0.35">
      <c r="A5571" s="9">
        <f t="shared" ref="A5571:A5634" si="320">A5570+1</f>
        <v>5570</v>
      </c>
      <c r="B5571" t="s">
        <v>109</v>
      </c>
      <c r="C5571" s="109">
        <f>IF(ISBLANK(K5571),IFERROR(VLOOKUP(I5571,FS_input_data!$C$458:$N$648,Export!J5571,FALSE),""),K5571)</f>
        <v>93000</v>
      </c>
      <c r="D5571" s="6" t="b">
        <v>1</v>
      </c>
      <c r="E5571" s="6"/>
      <c r="F5571" s="6"/>
      <c r="G5571" s="115" t="b">
        <f>VLOOKUP(I5566,FS_input_noty,J5566,FALSE)=""</f>
        <v>0</v>
      </c>
      <c r="H5571" s="6" t="s">
        <v>2189</v>
      </c>
      <c r="I5571" t="s">
        <v>1996</v>
      </c>
      <c r="J5571">
        <v>7</v>
      </c>
      <c r="L5571" s="26" t="e">
        <f t="shared" si="319"/>
        <v>#VALUE!</v>
      </c>
    </row>
    <row r="5572" spans="1:12" x14ac:dyDescent="0.35">
      <c r="A5572">
        <f t="shared" si="320"/>
        <v>5571</v>
      </c>
      <c r="B5572" t="s">
        <v>110</v>
      </c>
      <c r="C5572" s="109" t="str">
        <f>IF(ISBLANK(K5572),IFERROR(VLOOKUP(I5572,FS_input_data!$C$458:$N$648,Export!J5572,FALSE),""),K5572)</f>
        <v/>
      </c>
      <c r="D5572" s="6"/>
      <c r="E5572" s="6"/>
      <c r="F5572" s="6"/>
      <c r="G5572" s="115" t="b">
        <f>VLOOKUP(I5566,FS_input_noty,J5566,FALSE)=""</f>
        <v>0</v>
      </c>
      <c r="H5572" s="6" t="s">
        <v>2189</v>
      </c>
      <c r="I5572" t="s">
        <v>1561</v>
      </c>
      <c r="J5572" t="s">
        <v>1561</v>
      </c>
      <c r="L5572">
        <f t="shared" si="319"/>
        <v>1</v>
      </c>
    </row>
    <row r="5573" spans="1:12" x14ac:dyDescent="0.35">
      <c r="A5573" s="9">
        <f t="shared" si="320"/>
        <v>5572</v>
      </c>
      <c r="B5573" t="s">
        <v>111</v>
      </c>
      <c r="C5573" s="109">
        <f>IF(ISBLANK(K5573),IFERROR(VLOOKUP(I5573,FS_input_data!$C$458:$N$648,Export!J5573,FALSE),""),K5573)</f>
        <v>46500</v>
      </c>
      <c r="D5573" s="6" t="b">
        <v>0</v>
      </c>
      <c r="E5573" s="6"/>
      <c r="F5573" s="6"/>
      <c r="G5573" s="115" t="b">
        <f>VLOOKUP(I5566,FS_input_noty,J5566,TRUE)=""</f>
        <v>0</v>
      </c>
      <c r="H5573" s="6" t="s">
        <v>2189</v>
      </c>
      <c r="I5573" t="s">
        <v>1996</v>
      </c>
      <c r="J5573">
        <v>8</v>
      </c>
      <c r="L5573" s="26" t="e">
        <f t="shared" si="319"/>
        <v>#VALUE!</v>
      </c>
    </row>
    <row r="5574" spans="1:12" x14ac:dyDescent="0.35">
      <c r="A5574">
        <f t="shared" si="320"/>
        <v>5573</v>
      </c>
      <c r="B5574" t="s">
        <v>112</v>
      </c>
      <c r="C5574" s="109" t="str">
        <f>IF(ISBLANK(K5574),IFERROR(VLOOKUP(I5574,FS_input_data!$C$458:$N$648,Export!J5574,FALSE),""),K5574)</f>
        <v/>
      </c>
      <c r="D5574" s="6"/>
      <c r="E5574" s="6"/>
      <c r="F5574" s="6"/>
      <c r="G5574" s="115" t="b">
        <f>VLOOKUP(I5566,FS_input_noty,J5566,FALSE)=""</f>
        <v>0</v>
      </c>
      <c r="H5574" s="6" t="s">
        <v>2189</v>
      </c>
      <c r="I5574" t="s">
        <v>1561</v>
      </c>
      <c r="J5574" t="s">
        <v>1561</v>
      </c>
      <c r="L5574">
        <f t="shared" si="319"/>
        <v>1</v>
      </c>
    </row>
    <row r="5575" spans="1:12" x14ac:dyDescent="0.35">
      <c r="A5575" s="9">
        <f t="shared" si="320"/>
        <v>5574</v>
      </c>
      <c r="B5575" t="s">
        <v>749</v>
      </c>
      <c r="C5575" s="109">
        <f>IF(ISBLANK(K5575),IFERROR(VLOOKUP(I5575,FS_input_data!$C$458:$N$648,Export!J5575,FALSE),""),K5575)</f>
        <v>46500</v>
      </c>
      <c r="D5575" s="6" t="b">
        <v>0</v>
      </c>
      <c r="E5575" s="6"/>
      <c r="F5575" s="6"/>
      <c r="G5575" s="115" t="b">
        <f>VLOOKUP(I5566,FS_input_noty,J5566,FALSE)=""</f>
        <v>0</v>
      </c>
      <c r="H5575" s="6" t="s">
        <v>2189</v>
      </c>
      <c r="I5575" t="s">
        <v>1996</v>
      </c>
      <c r="J5575">
        <v>9</v>
      </c>
      <c r="L5575" s="26" t="e">
        <f t="shared" si="319"/>
        <v>#VALUE!</v>
      </c>
    </row>
    <row r="5576" spans="1:12" x14ac:dyDescent="0.35">
      <c r="A5576">
        <f t="shared" si="320"/>
        <v>5575</v>
      </c>
      <c r="B5576" t="s">
        <v>750</v>
      </c>
      <c r="C5576" s="109" t="str">
        <f>IF(ISBLANK(K5576),IFERROR(VLOOKUP(I5576,FS_input_data!$C$458:$N$648,Export!J5576,FALSE),""),K5576)</f>
        <v/>
      </c>
      <c r="D5576" s="6"/>
      <c r="E5576" s="6"/>
      <c r="F5576" s="6"/>
      <c r="G5576" s="115" t="b">
        <f>VLOOKUP(I5566,FS_input_noty,J5566,FALSE)=""</f>
        <v>0</v>
      </c>
      <c r="H5576" s="6" t="s">
        <v>2189</v>
      </c>
      <c r="I5576" t="s">
        <v>1561</v>
      </c>
      <c r="J5576" t="s">
        <v>1561</v>
      </c>
      <c r="L5576">
        <f t="shared" si="319"/>
        <v>1</v>
      </c>
    </row>
    <row r="5577" spans="1:12" x14ac:dyDescent="0.35">
      <c r="A5577">
        <f t="shared" si="320"/>
        <v>5576</v>
      </c>
      <c r="B5577" t="s">
        <v>751</v>
      </c>
      <c r="C5577" s="109" t="str">
        <f>IF(ISBLANK(K5577),IFERROR(VLOOKUP(I5577,FS_input_data!$C$458:$N$648,Export!J5577,FALSE),""),K5577)</f>
        <v/>
      </c>
      <c r="D5577" s="6"/>
      <c r="E5577" s="6"/>
      <c r="F5577" s="6"/>
      <c r="G5577" s="115" t="b">
        <f>VLOOKUP(I5566,FS_input_noty,J5566,FALSE)=""</f>
        <v>0</v>
      </c>
      <c r="H5577" s="6" t="s">
        <v>2189</v>
      </c>
      <c r="I5577" t="s">
        <v>1561</v>
      </c>
      <c r="J5577" t="s">
        <v>1561</v>
      </c>
      <c r="L5577">
        <f t="shared" si="319"/>
        <v>1</v>
      </c>
    </row>
    <row r="5578" spans="1:12" x14ac:dyDescent="0.35">
      <c r="A5578">
        <f t="shared" si="320"/>
        <v>5577</v>
      </c>
      <c r="B5578" t="s">
        <v>754</v>
      </c>
      <c r="C5578" s="109" t="str">
        <f>IF(ISBLANK(K5578),IFERROR(VLOOKUP(I5578,FS_input_data!$C$458:$N$648,Export!J5578,FALSE),""),K5578)</f>
        <v/>
      </c>
      <c r="D5578" s="6"/>
      <c r="E5578" s="6"/>
      <c r="F5578" s="6"/>
      <c r="G5578" s="115" t="b">
        <f>VLOOKUP(I5566,FS_input_noty,J5566,FALSE)=""</f>
        <v>0</v>
      </c>
      <c r="H5578" s="6" t="s">
        <v>2189</v>
      </c>
      <c r="I5578" t="s">
        <v>1561</v>
      </c>
      <c r="J5578" t="s">
        <v>1561</v>
      </c>
      <c r="L5578" s="26" t="e">
        <f t="shared" si="319"/>
        <v>#VALUE!</v>
      </c>
    </row>
    <row r="5579" spans="1:12" x14ac:dyDescent="0.35">
      <c r="A5579" s="9">
        <f t="shared" si="320"/>
        <v>5578</v>
      </c>
      <c r="B5579" t="s">
        <v>755</v>
      </c>
      <c r="C5579" s="109">
        <f>IF(ISBLANK(K5579),IFERROR(VLOOKUP(I5579,FS_input_data!$C$458:$N$648,Export!J5579,FALSE),""),K5579)</f>
        <v>93</v>
      </c>
      <c r="D5579" s="6" t="b">
        <v>1</v>
      </c>
      <c r="E5579" s="6"/>
      <c r="F5579" s="6"/>
      <c r="G5579" s="115" t="b">
        <f>VLOOKUP(I5566,FS_input_noty,J5566,FALSE)=""</f>
        <v>0</v>
      </c>
      <c r="H5579" s="6" t="s">
        <v>2189</v>
      </c>
      <c r="I5579" t="s">
        <v>1996</v>
      </c>
      <c r="J5579">
        <v>2</v>
      </c>
      <c r="L5579" s="26" t="e">
        <f t="shared" si="319"/>
        <v>#VALUE!</v>
      </c>
    </row>
    <row r="5580" spans="1:12" x14ac:dyDescent="0.35">
      <c r="A5580">
        <f t="shared" si="320"/>
        <v>5579</v>
      </c>
      <c r="B5580" t="s">
        <v>756</v>
      </c>
      <c r="C5580" s="109" t="str">
        <f>IF(ISBLANK(K5580),IFERROR(VLOOKUP(I5580,FS_input_data!$C$458:$N$648,Export!J5580,FALSE),""),K5580)</f>
        <v/>
      </c>
      <c r="D5580" s="6"/>
      <c r="E5580" s="6"/>
      <c r="F5580" s="6"/>
      <c r="G5580" s="115" t="b">
        <f>VLOOKUP(I5566,FS_input_noty,J5566,FALSE)=""</f>
        <v>0</v>
      </c>
      <c r="H5580" s="6" t="s">
        <v>2189</v>
      </c>
      <c r="I5580" t="s">
        <v>1561</v>
      </c>
      <c r="J5580" t="s">
        <v>1561</v>
      </c>
      <c r="L5580">
        <f t="shared" si="319"/>
        <v>1</v>
      </c>
    </row>
    <row r="5581" spans="1:12" x14ac:dyDescent="0.35">
      <c r="A5581" s="9">
        <f t="shared" si="320"/>
        <v>5580</v>
      </c>
      <c r="B5581" t="s">
        <v>757</v>
      </c>
      <c r="C5581" s="109">
        <f>IF(ISBLANK(K5581),IFERROR(VLOOKUP(I5581,FS_input_data!$C$458:$N$648,Export!J5581,FALSE),""),K5581)</f>
        <v>193</v>
      </c>
      <c r="D5581" s="6" t="b">
        <v>0</v>
      </c>
      <c r="E5581" s="6"/>
      <c r="F5581" s="6"/>
      <c r="G5581" s="115" t="b">
        <f>VLOOKUP(I5566,FS_input_noty,J5566,FALSE)=""</f>
        <v>0</v>
      </c>
      <c r="H5581" s="6" t="s">
        <v>2189</v>
      </c>
      <c r="I5581" t="s">
        <v>1996</v>
      </c>
      <c r="J5581">
        <v>3</v>
      </c>
      <c r="L5581" s="26" t="e">
        <f t="shared" si="319"/>
        <v>#VALUE!</v>
      </c>
    </row>
    <row r="5582" spans="1:12" x14ac:dyDescent="0.35">
      <c r="A5582">
        <f t="shared" si="320"/>
        <v>5581</v>
      </c>
      <c r="B5582" t="s">
        <v>758</v>
      </c>
      <c r="C5582" s="109" t="str">
        <f>IF(ISBLANK(K5582),IFERROR(VLOOKUP(I5582,FS_input_data!$C$458:$N$648,Export!J5582,FALSE),""),K5582)</f>
        <v/>
      </c>
      <c r="D5582" s="6"/>
      <c r="E5582" s="6"/>
      <c r="F5582" s="6"/>
      <c r="G5582" s="115" t="b">
        <f>VLOOKUP(I5566,FS_input_noty,J5566,FALSE)=""</f>
        <v>0</v>
      </c>
      <c r="H5582" s="6" t="s">
        <v>2189</v>
      </c>
      <c r="I5582" t="s">
        <v>1561</v>
      </c>
      <c r="J5582" t="s">
        <v>1561</v>
      </c>
      <c r="L5582">
        <f t="shared" si="319"/>
        <v>1</v>
      </c>
    </row>
    <row r="5583" spans="1:12" x14ac:dyDescent="0.35">
      <c r="A5583" s="9">
        <f t="shared" si="320"/>
        <v>5582</v>
      </c>
      <c r="B5583" t="s">
        <v>759</v>
      </c>
      <c r="C5583" s="109">
        <f>IF(ISBLANK(K5583),IFERROR(VLOOKUP(I5583,FS_input_data!$C$458:$N$648,Export!J5583,FALSE),""),K5583)</f>
        <v>293</v>
      </c>
      <c r="D5583" s="6" t="b">
        <v>0</v>
      </c>
      <c r="E5583" s="6"/>
      <c r="F5583" s="6"/>
      <c r="G5583" s="115" t="b">
        <f>VLOOKUP(I5566,FS_input_noty,J5566,FALSE)=""</f>
        <v>0</v>
      </c>
      <c r="H5583" s="6" t="s">
        <v>2189</v>
      </c>
      <c r="I5583" t="s">
        <v>1996</v>
      </c>
      <c r="J5583">
        <v>4</v>
      </c>
      <c r="L5583" s="26" t="e">
        <f t="shared" si="319"/>
        <v>#VALUE!</v>
      </c>
    </row>
    <row r="5584" spans="1:12" x14ac:dyDescent="0.35">
      <c r="A5584">
        <f t="shared" si="320"/>
        <v>5583</v>
      </c>
      <c r="B5584" t="s">
        <v>760</v>
      </c>
      <c r="C5584" s="109" t="str">
        <f>IF(ISBLANK(K5584),IFERROR(VLOOKUP(I5584,FS_input_data!$C$458:$N$648,Export!J5584,FALSE),""),K5584)</f>
        <v/>
      </c>
      <c r="D5584" s="6"/>
      <c r="E5584" s="6"/>
      <c r="F5584" s="6"/>
      <c r="G5584" s="115" t="b">
        <f>VLOOKUP(I5566,FS_input_noty,J5566,FALSE)=""</f>
        <v>0</v>
      </c>
      <c r="H5584" s="6" t="s">
        <v>2189</v>
      </c>
      <c r="I5584" t="s">
        <v>1561</v>
      </c>
      <c r="J5584" t="s">
        <v>1561</v>
      </c>
      <c r="L5584">
        <f t="shared" si="319"/>
        <v>1</v>
      </c>
    </row>
    <row r="5585" spans="1:12" x14ac:dyDescent="0.35">
      <c r="A5585" s="9">
        <f t="shared" si="320"/>
        <v>5584</v>
      </c>
      <c r="B5585" t="s">
        <v>761</v>
      </c>
      <c r="C5585" s="109" t="str">
        <f>IF(ISBLANK(K5585),IFERROR(VLOOKUP(I5585,FS_input_data!$C$458:$N$648,Export!J5585,FALSE),""),K5585)</f>
        <v>g</v>
      </c>
      <c r="D5585" s="6" t="b">
        <v>0</v>
      </c>
      <c r="E5585" s="6"/>
      <c r="F5585" s="6"/>
      <c r="G5585" s="115" t="b">
        <f>VLOOKUP(I5566,FS_input_noty,J5566,FALSE)=""</f>
        <v>0</v>
      </c>
      <c r="H5585" s="6" t="s">
        <v>2189</v>
      </c>
      <c r="I5585" t="s">
        <v>1996</v>
      </c>
      <c r="J5585">
        <v>5</v>
      </c>
      <c r="L5585" s="26" t="e">
        <f t="shared" si="319"/>
        <v>#VALUE!</v>
      </c>
    </row>
    <row r="5586" spans="1:12" x14ac:dyDescent="0.35">
      <c r="A5586">
        <f t="shared" si="320"/>
        <v>5585</v>
      </c>
      <c r="B5586" t="s">
        <v>762</v>
      </c>
      <c r="C5586" s="109" t="str">
        <f>IF(ISBLANK(K5586),IFERROR(VLOOKUP(I5586,FS_input_data!$C$458:$N$648,Export!J5586,FALSE),""),K5586)</f>
        <v/>
      </c>
      <c r="D5586" s="6"/>
      <c r="E5586" s="6"/>
      <c r="F5586" s="6"/>
      <c r="G5586" s="115" t="b">
        <f>VLOOKUP(I5566,FS_input_noty,J5566,FALSE)=""</f>
        <v>0</v>
      </c>
      <c r="H5586" s="6" t="s">
        <v>2189</v>
      </c>
      <c r="I5586" t="s">
        <v>1561</v>
      </c>
      <c r="J5586" t="s">
        <v>1561</v>
      </c>
      <c r="L5586">
        <f t="shared" si="319"/>
        <v>1</v>
      </c>
    </row>
    <row r="5587" spans="1:12" x14ac:dyDescent="0.35">
      <c r="A5587">
        <f t="shared" si="320"/>
        <v>5586</v>
      </c>
      <c r="B5587" t="s">
        <v>763</v>
      </c>
      <c r="C5587" s="109" t="str">
        <f>IF(ISBLANK(K5587),IFERROR(VLOOKUP(I5587,FS_input_data!$C$458:$N$648,Export!J5587,FALSE),""),K5587)</f>
        <v/>
      </c>
      <c r="D5587" s="6"/>
      <c r="E5587" s="6"/>
      <c r="F5587" s="6"/>
      <c r="G5587" s="115" t="b">
        <f>VLOOKUP(I5566,FS_input_noty,J5566,FALSE)=""</f>
        <v>0</v>
      </c>
      <c r="H5587" s="6" t="s">
        <v>2189</v>
      </c>
      <c r="I5587" t="s">
        <v>1561</v>
      </c>
      <c r="J5587" t="s">
        <v>1561</v>
      </c>
      <c r="L5587">
        <f t="shared" si="319"/>
        <v>1</v>
      </c>
    </row>
    <row r="5588" spans="1:12" x14ac:dyDescent="0.35">
      <c r="A5588">
        <f t="shared" si="320"/>
        <v>5587</v>
      </c>
      <c r="B5588" t="s">
        <v>743</v>
      </c>
      <c r="C5588" s="109" t="str">
        <f>IF(ISBLANK(K5588),IFERROR(VLOOKUP(I5588,FS_input_data!$C$458:$N$648,Export!J5588,FALSE),""),K5588)</f>
        <v/>
      </c>
      <c r="D5588" s="6"/>
      <c r="E5588" s="6"/>
      <c r="F5588" s="6"/>
      <c r="G5588" s="115" t="b">
        <f>VLOOKUP(I5566,FS_input_noty,J5566,FALSE)=""</f>
        <v>0</v>
      </c>
      <c r="H5588" s="6" t="s">
        <v>2189</v>
      </c>
      <c r="I5588" t="s">
        <v>1561</v>
      </c>
      <c r="J5588" t="s">
        <v>1561</v>
      </c>
      <c r="L5588">
        <f t="shared" si="319"/>
        <v>1</v>
      </c>
    </row>
    <row r="5589" spans="1:12" x14ac:dyDescent="0.35">
      <c r="A5589">
        <f t="shared" si="320"/>
        <v>5588</v>
      </c>
      <c r="B5589" t="s">
        <v>744</v>
      </c>
      <c r="C5589" s="109" t="str">
        <f>IF(ISBLANK(K5589),IFERROR(VLOOKUP(I5589,FS_input_data!$C$458:$N$648,Export!J5589,FALSE),""),K5589)</f>
        <v/>
      </c>
      <c r="D5589" s="6"/>
      <c r="E5589" s="6"/>
      <c r="F5589" s="6"/>
      <c r="G5589" s="115" t="b">
        <f t="shared" ref="G5589:G5596" si="321">RP_tax</f>
        <v>1</v>
      </c>
      <c r="H5589" s="6" t="s">
        <v>2189</v>
      </c>
      <c r="I5589" t="s">
        <v>1561</v>
      </c>
      <c r="J5589" t="s">
        <v>1561</v>
      </c>
      <c r="L5589" s="26" t="e">
        <f t="shared" si="319"/>
        <v>#VALUE!</v>
      </c>
    </row>
    <row r="5590" spans="1:12" x14ac:dyDescent="0.35">
      <c r="A5590" s="9">
        <f t="shared" si="320"/>
        <v>5589</v>
      </c>
      <c r="B5590" t="s">
        <v>109</v>
      </c>
      <c r="C5590" s="109">
        <f>IF(ISBLANK(K5590),IFERROR(VLOOKUP(I5590,FS_input_data!$C$458:$N$648,Export!J5590,FALSE),""),K5590)</f>
        <v>93000</v>
      </c>
      <c r="D5590" s="6" t="b">
        <v>1</v>
      </c>
      <c r="E5590" s="6"/>
      <c r="F5590" s="6"/>
      <c r="G5590" s="115" t="b">
        <f t="shared" si="321"/>
        <v>1</v>
      </c>
      <c r="H5590" s="6" t="s">
        <v>2189</v>
      </c>
      <c r="I5590" t="s">
        <v>1996</v>
      </c>
      <c r="J5590">
        <v>10</v>
      </c>
      <c r="L5590" s="26" t="e">
        <f t="shared" si="319"/>
        <v>#VALUE!</v>
      </c>
    </row>
    <row r="5591" spans="1:12" x14ac:dyDescent="0.35">
      <c r="A5591">
        <f t="shared" si="320"/>
        <v>5590</v>
      </c>
      <c r="B5591" t="s">
        <v>110</v>
      </c>
      <c r="C5591" s="109" t="str">
        <f>IF(ISBLANK(K5591),IFERROR(VLOOKUP(I5591,FS_input_data!$C$458:$N$648,Export!J5591,FALSE),""),K5591)</f>
        <v/>
      </c>
      <c r="D5591" s="6"/>
      <c r="E5591" s="6"/>
      <c r="F5591" s="6"/>
      <c r="G5591" s="115" t="b">
        <f t="shared" si="321"/>
        <v>1</v>
      </c>
      <c r="H5591" s="6" t="s">
        <v>2189</v>
      </c>
      <c r="I5591" t="s">
        <v>1561</v>
      </c>
      <c r="J5591" t="s">
        <v>1561</v>
      </c>
      <c r="L5591">
        <f t="shared" si="319"/>
        <v>1</v>
      </c>
    </row>
    <row r="5592" spans="1:12" x14ac:dyDescent="0.35">
      <c r="A5592" s="9">
        <f t="shared" si="320"/>
        <v>5591</v>
      </c>
      <c r="B5592" t="s">
        <v>111</v>
      </c>
      <c r="C5592" s="109">
        <f>IF(ISBLANK(K5592),IFERROR(VLOOKUP(I5592,FS_input_data!$C$458:$N$648,Export!J5592,FALSE),""),K5592)</f>
        <v>46500</v>
      </c>
      <c r="D5592" s="6" t="b">
        <v>0</v>
      </c>
      <c r="E5592" s="6"/>
      <c r="F5592" s="6"/>
      <c r="G5592" s="115" t="b">
        <f t="shared" si="321"/>
        <v>1</v>
      </c>
      <c r="H5592" s="6" t="s">
        <v>2189</v>
      </c>
      <c r="I5592" t="s">
        <v>1996</v>
      </c>
      <c r="J5592">
        <v>11</v>
      </c>
      <c r="L5592" s="26" t="e">
        <f t="shared" si="319"/>
        <v>#VALUE!</v>
      </c>
    </row>
    <row r="5593" spans="1:12" x14ac:dyDescent="0.35">
      <c r="A5593">
        <f t="shared" si="320"/>
        <v>5592</v>
      </c>
      <c r="B5593" t="s">
        <v>112</v>
      </c>
      <c r="C5593" s="109" t="str">
        <f>IF(ISBLANK(K5593),IFERROR(VLOOKUP(I5593,FS_input_data!$C$458:$N$648,Export!J5593,FALSE),""),K5593)</f>
        <v/>
      </c>
      <c r="D5593" s="6"/>
      <c r="E5593" s="6"/>
      <c r="F5593" s="6"/>
      <c r="G5593" s="115" t="b">
        <f t="shared" si="321"/>
        <v>1</v>
      </c>
      <c r="H5593" s="6" t="s">
        <v>2189</v>
      </c>
      <c r="I5593" t="s">
        <v>1561</v>
      </c>
      <c r="J5593" t="s">
        <v>1561</v>
      </c>
      <c r="L5593">
        <f t="shared" si="319"/>
        <v>1</v>
      </c>
    </row>
    <row r="5594" spans="1:12" x14ac:dyDescent="0.35">
      <c r="A5594" s="9">
        <f t="shared" si="320"/>
        <v>5593</v>
      </c>
      <c r="B5594" t="s">
        <v>749</v>
      </c>
      <c r="C5594" s="109">
        <f>IF(ISBLANK(K5594),IFERROR(VLOOKUP(I5594,FS_input_data!$C$458:$N$648,Export!J5594,FALSE),""),K5594)</f>
        <v>46500</v>
      </c>
      <c r="D5594" s="6" t="b">
        <v>0</v>
      </c>
      <c r="E5594" s="6"/>
      <c r="F5594" s="6"/>
      <c r="G5594" s="115" t="b">
        <f t="shared" si="321"/>
        <v>1</v>
      </c>
      <c r="H5594" s="6" t="s">
        <v>2189</v>
      </c>
      <c r="I5594" t="s">
        <v>1996</v>
      </c>
      <c r="J5594">
        <v>12</v>
      </c>
      <c r="L5594" s="26" t="e">
        <f t="shared" si="319"/>
        <v>#VALUE!</v>
      </c>
    </row>
    <row r="5595" spans="1:12" x14ac:dyDescent="0.35">
      <c r="A5595">
        <f t="shared" si="320"/>
        <v>5594</v>
      </c>
      <c r="B5595" t="s">
        <v>750</v>
      </c>
      <c r="C5595" s="109" t="str">
        <f>IF(ISBLANK(K5595),IFERROR(VLOOKUP(I5595,FS_input_data!$C$458:$N$648,Export!J5595,FALSE),""),K5595)</f>
        <v/>
      </c>
      <c r="D5595" s="6"/>
      <c r="E5595" s="6"/>
      <c r="F5595" s="6"/>
      <c r="G5595" s="115" t="b">
        <f t="shared" si="321"/>
        <v>1</v>
      </c>
      <c r="H5595" s="6" t="s">
        <v>2189</v>
      </c>
      <c r="I5595" t="s">
        <v>1561</v>
      </c>
      <c r="J5595" t="s">
        <v>1561</v>
      </c>
      <c r="L5595">
        <f t="shared" si="319"/>
        <v>1</v>
      </c>
    </row>
    <row r="5596" spans="1:12" x14ac:dyDescent="0.35">
      <c r="A5596">
        <f t="shared" si="320"/>
        <v>5595</v>
      </c>
      <c r="B5596" t="s">
        <v>745</v>
      </c>
      <c r="C5596" s="109" t="str">
        <f>IF(ISBLANK(K5596),IFERROR(VLOOKUP(I5596,FS_input_data!$C$458:$N$648,Export!J5596,FALSE),""),K5596)</f>
        <v/>
      </c>
      <c r="D5596" s="6"/>
      <c r="E5596" s="6"/>
      <c r="F5596" s="6"/>
      <c r="G5596" s="115" t="b">
        <f t="shared" si="321"/>
        <v>1</v>
      </c>
      <c r="H5596" s="6" t="s">
        <v>2189</v>
      </c>
      <c r="I5596" t="s">
        <v>1561</v>
      </c>
      <c r="J5596" t="s">
        <v>1561</v>
      </c>
      <c r="L5596">
        <f t="shared" si="319"/>
        <v>1</v>
      </c>
    </row>
    <row r="5597" spans="1:12" x14ac:dyDescent="0.35">
      <c r="A5597">
        <f t="shared" si="320"/>
        <v>5596</v>
      </c>
      <c r="B5597" t="s">
        <v>764</v>
      </c>
      <c r="C5597" s="109" t="str">
        <f>IF(ISBLANK(K5597),IFERROR(VLOOKUP(I5597,FS_input_data!$C$458:$N$648,Export!J5597,FALSE),""),K5597)</f>
        <v/>
      </c>
      <c r="D5597" s="6"/>
      <c r="E5597" s="6"/>
      <c r="F5597" s="6"/>
      <c r="G5597" s="115" t="b">
        <f>VLOOKUP(I5566,FS_input_noty,J5566,FALSE)=""</f>
        <v>0</v>
      </c>
      <c r="H5597" s="6" t="s">
        <v>2189</v>
      </c>
      <c r="I5597" t="s">
        <v>1561</v>
      </c>
      <c r="J5597" t="s">
        <v>1561</v>
      </c>
      <c r="L5597">
        <f t="shared" si="319"/>
        <v>1</v>
      </c>
    </row>
    <row r="5598" spans="1:12" x14ac:dyDescent="0.35">
      <c r="A5598">
        <f t="shared" si="320"/>
        <v>5597</v>
      </c>
      <c r="B5598" t="s">
        <v>765</v>
      </c>
      <c r="C5598" s="109" t="str">
        <f>IF(ISBLANK(K5598),IFERROR(VLOOKUP(I5598,FS_input_data!$C$458:$N$648,Export!J5598,FALSE),""),K5598)</f>
        <v/>
      </c>
      <c r="D5598" s="6"/>
      <c r="E5598" s="6"/>
      <c r="F5598" s="6"/>
      <c r="G5598" s="115" t="b">
        <f>VLOOKUP(I5566,FS_input_noty,J5566,FALSE)=""</f>
        <v>0</v>
      </c>
      <c r="H5598" s="6" t="s">
        <v>2189</v>
      </c>
      <c r="I5598" t="s">
        <v>1561</v>
      </c>
      <c r="J5598" t="s">
        <v>1561</v>
      </c>
      <c r="L5598">
        <f t="shared" si="319"/>
        <v>1</v>
      </c>
    </row>
    <row r="5599" spans="1:12" x14ac:dyDescent="0.35">
      <c r="A5599">
        <f t="shared" si="320"/>
        <v>5598</v>
      </c>
      <c r="B5599" t="s">
        <v>752</v>
      </c>
      <c r="C5599" s="109" t="str">
        <f>IF(ISBLANK(K5599),IFERROR(VLOOKUP(I5599,FS_input_data!$C$458:$N$648,Export!J5599,FALSE),""),K5599)</f>
        <v/>
      </c>
      <c r="D5599" s="6"/>
      <c r="E5599" s="6"/>
      <c r="F5599" s="6"/>
      <c r="G5599" s="115" t="b">
        <f>VLOOKUP(I5600,FS_input_noty,J5600,FALSE)=""</f>
        <v>0</v>
      </c>
      <c r="H5599" s="6" t="s">
        <v>2189</v>
      </c>
      <c r="I5599" t="s">
        <v>1561</v>
      </c>
      <c r="J5599" t="s">
        <v>1561</v>
      </c>
      <c r="L5599" s="26" t="e">
        <f t="shared" si="319"/>
        <v>#VALUE!</v>
      </c>
    </row>
    <row r="5600" spans="1:12" x14ac:dyDescent="0.35">
      <c r="A5600" s="9">
        <f t="shared" si="320"/>
        <v>5599</v>
      </c>
      <c r="B5600" t="s">
        <v>101</v>
      </c>
      <c r="C5600" s="109" t="str">
        <f>IF(ISBLANK(K5600),IFERROR(VLOOKUP(I5600,FS_input_data!$C$458:$N$648,Export!J5600,FALSE),""),K5600)</f>
        <v>OC71</v>
      </c>
      <c r="D5600" s="6" t="b">
        <v>1</v>
      </c>
      <c r="E5600" s="6"/>
      <c r="F5600" s="6"/>
      <c r="G5600" s="115" t="b">
        <f>VLOOKUP(I5600,FS_input_noty,J5600,FALSE)=""</f>
        <v>0</v>
      </c>
      <c r="H5600" s="6" t="s">
        <v>2189</v>
      </c>
      <c r="I5600" t="s">
        <v>1998</v>
      </c>
      <c r="J5600">
        <v>6</v>
      </c>
      <c r="L5600" s="26" t="e">
        <f t="shared" si="319"/>
        <v>#VALUE!</v>
      </c>
    </row>
    <row r="5601" spans="1:12" x14ac:dyDescent="0.35">
      <c r="A5601">
        <f t="shared" si="320"/>
        <v>5600</v>
      </c>
      <c r="B5601" t="s">
        <v>102</v>
      </c>
      <c r="C5601" s="109" t="str">
        <f>IF(ISBLANK(K5601),IFERROR(VLOOKUP(I5601,FS_input_data!$C$458:$N$648,Export!J5601,FALSE),""),K5601)</f>
        <v/>
      </c>
      <c r="D5601" s="6"/>
      <c r="E5601" s="6"/>
      <c r="F5601" s="6"/>
      <c r="G5601" s="115" t="b">
        <f>VLOOKUP(I5600,FS_input_noty,J5600,FALSE)=""</f>
        <v>0</v>
      </c>
      <c r="H5601" s="6" t="s">
        <v>2189</v>
      </c>
      <c r="I5601" t="s">
        <v>1561</v>
      </c>
      <c r="J5601" t="s">
        <v>1561</v>
      </c>
      <c r="L5601">
        <f t="shared" si="319"/>
        <v>1</v>
      </c>
    </row>
    <row r="5602" spans="1:12" x14ac:dyDescent="0.35">
      <c r="A5602">
        <f t="shared" si="320"/>
        <v>5601</v>
      </c>
      <c r="B5602" t="s">
        <v>753</v>
      </c>
      <c r="C5602" s="109" t="str">
        <f>IF(ISBLANK(K5602),IFERROR(VLOOKUP(I5602,FS_input_data!$C$458:$N$648,Export!J5602,FALSE),""),K5602)</f>
        <v/>
      </c>
      <c r="D5602" s="6"/>
      <c r="E5602" s="6"/>
      <c r="F5602" s="6"/>
      <c r="G5602" s="115" t="b">
        <f>VLOOKUP(I5600,FS_input_noty,J5600,FALSE)=""</f>
        <v>0</v>
      </c>
      <c r="H5602" s="6" t="s">
        <v>2189</v>
      </c>
      <c r="I5602" t="s">
        <v>1561</v>
      </c>
      <c r="J5602" t="s">
        <v>1561</v>
      </c>
      <c r="L5602" s="26" t="e">
        <f t="shared" si="319"/>
        <v>#VALUE!</v>
      </c>
    </row>
    <row r="5603" spans="1:12" x14ac:dyDescent="0.35">
      <c r="A5603">
        <f t="shared" si="320"/>
        <v>5602</v>
      </c>
      <c r="B5603" t="s">
        <v>742</v>
      </c>
      <c r="C5603" s="109" t="str">
        <f>IF(ISBLANK(K5603),IFERROR(VLOOKUP(I5603,FS_input_data!$C$458:$N$648,Export!J5603,FALSE),""),K5603)</f>
        <v/>
      </c>
      <c r="D5603" s="6"/>
      <c r="E5603" s="6"/>
      <c r="F5603" s="6"/>
      <c r="G5603" s="115" t="b">
        <f>VLOOKUP(I5600,FS_input_noty,J5600,FALSE)=""</f>
        <v>0</v>
      </c>
      <c r="H5603" s="6" t="s">
        <v>2189</v>
      </c>
      <c r="I5603" t="s">
        <v>1561</v>
      </c>
      <c r="J5603" t="s">
        <v>1561</v>
      </c>
      <c r="L5603" s="26" t="e">
        <f t="shared" si="319"/>
        <v>#VALUE!</v>
      </c>
    </row>
    <row r="5604" spans="1:12" x14ac:dyDescent="0.35">
      <c r="A5604">
        <f t="shared" si="320"/>
        <v>5603</v>
      </c>
      <c r="B5604" t="s">
        <v>748</v>
      </c>
      <c r="C5604" s="109" t="str">
        <f>IF(ISBLANK(K5604),IFERROR(VLOOKUP(I5604,FS_input_data!$C$458:$N$648,Export!J5604,FALSE),""),K5604)</f>
        <v/>
      </c>
      <c r="D5604" s="6"/>
      <c r="E5604" s="6"/>
      <c r="F5604" s="6"/>
      <c r="G5604" s="115" t="b">
        <f>VLOOKUP(I5600,FS_input_noty,J5600,FALSE)=""</f>
        <v>0</v>
      </c>
      <c r="H5604" s="6" t="s">
        <v>2189</v>
      </c>
      <c r="I5604" t="s">
        <v>1561</v>
      </c>
      <c r="J5604" t="s">
        <v>1561</v>
      </c>
      <c r="L5604" s="26" t="e">
        <f t="shared" si="319"/>
        <v>#VALUE!</v>
      </c>
    </row>
    <row r="5605" spans="1:12" x14ac:dyDescent="0.35">
      <c r="A5605" s="9">
        <f t="shared" si="320"/>
        <v>5604</v>
      </c>
      <c r="B5605" t="s">
        <v>109</v>
      </c>
      <c r="C5605" s="109">
        <f>IF(ISBLANK(K5605),IFERROR(VLOOKUP(I5605,FS_input_data!$C$458:$N$648,Export!J5605,FALSE),""),K5605)</f>
        <v>94000</v>
      </c>
      <c r="D5605" s="6" t="b">
        <v>1</v>
      </c>
      <c r="E5605" s="6"/>
      <c r="F5605" s="6"/>
      <c r="G5605" s="115" t="b">
        <f>VLOOKUP(I5600,FS_input_noty,J5600,FALSE)=""</f>
        <v>0</v>
      </c>
      <c r="H5605" s="6" t="s">
        <v>2189</v>
      </c>
      <c r="I5605" t="s">
        <v>1998</v>
      </c>
      <c r="J5605">
        <v>7</v>
      </c>
      <c r="L5605" s="26" t="e">
        <f t="shared" si="319"/>
        <v>#VALUE!</v>
      </c>
    </row>
    <row r="5606" spans="1:12" x14ac:dyDescent="0.35">
      <c r="A5606">
        <f t="shared" si="320"/>
        <v>5605</v>
      </c>
      <c r="B5606" t="s">
        <v>110</v>
      </c>
      <c r="C5606" s="109" t="str">
        <f>IF(ISBLANK(K5606),IFERROR(VLOOKUP(I5606,FS_input_data!$C$458:$N$648,Export!J5606,FALSE),""),K5606)</f>
        <v/>
      </c>
      <c r="D5606" s="6"/>
      <c r="E5606" s="6"/>
      <c r="F5606" s="6"/>
      <c r="G5606" s="115" t="b">
        <f>VLOOKUP(I5600,FS_input_noty,J5600,FALSE)=""</f>
        <v>0</v>
      </c>
      <c r="H5606" s="6" t="s">
        <v>2189</v>
      </c>
      <c r="I5606" t="s">
        <v>1561</v>
      </c>
      <c r="J5606" t="s">
        <v>1561</v>
      </c>
      <c r="L5606">
        <f t="shared" si="319"/>
        <v>1</v>
      </c>
    </row>
    <row r="5607" spans="1:12" x14ac:dyDescent="0.35">
      <c r="A5607" s="9">
        <f t="shared" si="320"/>
        <v>5606</v>
      </c>
      <c r="B5607" t="s">
        <v>111</v>
      </c>
      <c r="C5607" s="109">
        <f>IF(ISBLANK(K5607),IFERROR(VLOOKUP(I5607,FS_input_data!$C$458:$N$648,Export!J5607,FALSE),""),K5607)</f>
        <v>47000</v>
      </c>
      <c r="D5607" s="6" t="b">
        <v>0</v>
      </c>
      <c r="E5607" s="6"/>
      <c r="F5607" s="6"/>
      <c r="G5607" s="115" t="b">
        <f>VLOOKUP(I5600,FS_input_noty,J5600,TRUE)=""</f>
        <v>0</v>
      </c>
      <c r="H5607" s="6" t="s">
        <v>2189</v>
      </c>
      <c r="I5607" t="s">
        <v>1998</v>
      </c>
      <c r="J5607">
        <v>8</v>
      </c>
      <c r="L5607" s="26" t="e">
        <f t="shared" si="319"/>
        <v>#VALUE!</v>
      </c>
    </row>
    <row r="5608" spans="1:12" x14ac:dyDescent="0.35">
      <c r="A5608">
        <f t="shared" si="320"/>
        <v>5607</v>
      </c>
      <c r="B5608" t="s">
        <v>112</v>
      </c>
      <c r="C5608" s="109" t="str">
        <f>IF(ISBLANK(K5608),IFERROR(VLOOKUP(I5608,FS_input_data!$C$458:$N$648,Export!J5608,FALSE),""),K5608)</f>
        <v/>
      </c>
      <c r="D5608" s="6"/>
      <c r="E5608" s="6"/>
      <c r="F5608" s="6"/>
      <c r="G5608" s="115" t="b">
        <f>VLOOKUP(I5600,FS_input_noty,J5600,FALSE)=""</f>
        <v>0</v>
      </c>
      <c r="H5608" s="6" t="s">
        <v>2189</v>
      </c>
      <c r="I5608" t="s">
        <v>1561</v>
      </c>
      <c r="J5608" t="s">
        <v>1561</v>
      </c>
      <c r="L5608">
        <f t="shared" si="319"/>
        <v>1</v>
      </c>
    </row>
    <row r="5609" spans="1:12" x14ac:dyDescent="0.35">
      <c r="A5609" s="9">
        <f t="shared" si="320"/>
        <v>5608</v>
      </c>
      <c r="B5609" t="s">
        <v>749</v>
      </c>
      <c r="C5609" s="109">
        <f>IF(ISBLANK(K5609),IFERROR(VLOOKUP(I5609,FS_input_data!$C$458:$N$648,Export!J5609,FALSE),""),K5609)</f>
        <v>47000</v>
      </c>
      <c r="D5609" s="6" t="b">
        <v>0</v>
      </c>
      <c r="E5609" s="6"/>
      <c r="F5609" s="6"/>
      <c r="G5609" s="115" t="b">
        <f>VLOOKUP(I5600,FS_input_noty,J5600,FALSE)=""</f>
        <v>0</v>
      </c>
      <c r="H5609" s="6" t="s">
        <v>2189</v>
      </c>
      <c r="I5609" t="s">
        <v>1998</v>
      </c>
      <c r="J5609">
        <v>9</v>
      </c>
      <c r="L5609" s="26" t="e">
        <f t="shared" si="319"/>
        <v>#VALUE!</v>
      </c>
    </row>
    <row r="5610" spans="1:12" x14ac:dyDescent="0.35">
      <c r="A5610">
        <f t="shared" si="320"/>
        <v>5609</v>
      </c>
      <c r="B5610" t="s">
        <v>750</v>
      </c>
      <c r="C5610" s="109" t="str">
        <f>IF(ISBLANK(K5610),IFERROR(VLOOKUP(I5610,FS_input_data!$C$458:$N$648,Export!J5610,FALSE),""),K5610)</f>
        <v/>
      </c>
      <c r="D5610" s="6"/>
      <c r="E5610" s="6"/>
      <c r="F5610" s="6"/>
      <c r="G5610" s="115" t="b">
        <f>VLOOKUP(I5600,FS_input_noty,J5600,FALSE)=""</f>
        <v>0</v>
      </c>
      <c r="H5610" s="6" t="s">
        <v>2189</v>
      </c>
      <c r="I5610" t="s">
        <v>1561</v>
      </c>
      <c r="J5610" t="s">
        <v>1561</v>
      </c>
      <c r="L5610">
        <f t="shared" si="319"/>
        <v>1</v>
      </c>
    </row>
    <row r="5611" spans="1:12" x14ac:dyDescent="0.35">
      <c r="A5611">
        <f t="shared" si="320"/>
        <v>5610</v>
      </c>
      <c r="B5611" t="s">
        <v>751</v>
      </c>
      <c r="C5611" s="109" t="str">
        <f>IF(ISBLANK(K5611),IFERROR(VLOOKUP(I5611,FS_input_data!$C$458:$N$648,Export!J5611,FALSE),""),K5611)</f>
        <v/>
      </c>
      <c r="D5611" s="6"/>
      <c r="E5611" s="6"/>
      <c r="F5611" s="6"/>
      <c r="G5611" s="115" t="b">
        <f>VLOOKUP(I5600,FS_input_noty,J5600,FALSE)=""</f>
        <v>0</v>
      </c>
      <c r="H5611" s="6" t="s">
        <v>2189</v>
      </c>
      <c r="I5611" t="s">
        <v>1561</v>
      </c>
      <c r="J5611" t="s">
        <v>1561</v>
      </c>
      <c r="L5611">
        <f t="shared" si="319"/>
        <v>1</v>
      </c>
    </row>
    <row r="5612" spans="1:12" x14ac:dyDescent="0.35">
      <c r="A5612">
        <f t="shared" si="320"/>
        <v>5611</v>
      </c>
      <c r="B5612" t="s">
        <v>754</v>
      </c>
      <c r="C5612" s="109" t="str">
        <f>IF(ISBLANK(K5612),IFERROR(VLOOKUP(I5612,FS_input_data!$C$458:$N$648,Export!J5612,FALSE),""),K5612)</f>
        <v/>
      </c>
      <c r="D5612" s="6"/>
      <c r="E5612" s="6"/>
      <c r="F5612" s="6"/>
      <c r="G5612" s="115" t="b">
        <f>VLOOKUP(I5600,FS_input_noty,J5600,FALSE)=""</f>
        <v>0</v>
      </c>
      <c r="H5612" s="6" t="s">
        <v>2189</v>
      </c>
      <c r="I5612" t="s">
        <v>1561</v>
      </c>
      <c r="J5612" t="s">
        <v>1561</v>
      </c>
      <c r="L5612" s="26" t="e">
        <f t="shared" si="319"/>
        <v>#VALUE!</v>
      </c>
    </row>
    <row r="5613" spans="1:12" x14ac:dyDescent="0.35">
      <c r="A5613" s="9">
        <f t="shared" si="320"/>
        <v>5612</v>
      </c>
      <c r="B5613" t="s">
        <v>755</v>
      </c>
      <c r="C5613" s="109">
        <f>IF(ISBLANK(K5613),IFERROR(VLOOKUP(I5613,FS_input_data!$C$458:$N$648,Export!J5613,FALSE),""),K5613)</f>
        <v>94</v>
      </c>
      <c r="D5613" s="6" t="b">
        <v>1</v>
      </c>
      <c r="E5613" s="6"/>
      <c r="F5613" s="6"/>
      <c r="G5613" s="115" t="b">
        <f>VLOOKUP(I5600,FS_input_noty,J5600,FALSE)=""</f>
        <v>0</v>
      </c>
      <c r="H5613" s="6" t="s">
        <v>2189</v>
      </c>
      <c r="I5613" t="s">
        <v>1998</v>
      </c>
      <c r="J5613">
        <v>2</v>
      </c>
      <c r="L5613" s="26" t="e">
        <f t="shared" si="319"/>
        <v>#VALUE!</v>
      </c>
    </row>
    <row r="5614" spans="1:12" x14ac:dyDescent="0.35">
      <c r="A5614">
        <f t="shared" si="320"/>
        <v>5613</v>
      </c>
      <c r="B5614" t="s">
        <v>756</v>
      </c>
      <c r="C5614" s="109" t="str">
        <f>IF(ISBLANK(K5614),IFERROR(VLOOKUP(I5614,FS_input_data!$C$458:$N$648,Export!J5614,FALSE),""),K5614)</f>
        <v/>
      </c>
      <c r="D5614" s="6"/>
      <c r="E5614" s="6"/>
      <c r="F5614" s="6"/>
      <c r="G5614" s="115" t="b">
        <f>VLOOKUP(I5600,FS_input_noty,J5600,FALSE)=""</f>
        <v>0</v>
      </c>
      <c r="H5614" s="6" t="s">
        <v>2189</v>
      </c>
      <c r="I5614" t="s">
        <v>1561</v>
      </c>
      <c r="J5614" t="s">
        <v>1561</v>
      </c>
      <c r="L5614">
        <f t="shared" si="319"/>
        <v>1</v>
      </c>
    </row>
    <row r="5615" spans="1:12" x14ac:dyDescent="0.35">
      <c r="A5615" s="9">
        <f t="shared" si="320"/>
        <v>5614</v>
      </c>
      <c r="B5615" t="s">
        <v>757</v>
      </c>
      <c r="C5615" s="109">
        <f>IF(ISBLANK(K5615),IFERROR(VLOOKUP(I5615,FS_input_data!$C$458:$N$648,Export!J5615,FALSE),""),K5615)</f>
        <v>194</v>
      </c>
      <c r="D5615" s="6" t="b">
        <v>0</v>
      </c>
      <c r="E5615" s="6"/>
      <c r="F5615" s="6"/>
      <c r="G5615" s="115" t="b">
        <f>VLOOKUP(I5600,FS_input_noty,J5600,FALSE)=""</f>
        <v>0</v>
      </c>
      <c r="H5615" s="6" t="s">
        <v>2189</v>
      </c>
      <c r="I5615" t="s">
        <v>1998</v>
      </c>
      <c r="J5615">
        <v>3</v>
      </c>
      <c r="L5615" s="26" t="e">
        <f t="shared" si="319"/>
        <v>#VALUE!</v>
      </c>
    </row>
    <row r="5616" spans="1:12" x14ac:dyDescent="0.35">
      <c r="A5616">
        <f t="shared" si="320"/>
        <v>5615</v>
      </c>
      <c r="B5616" t="s">
        <v>758</v>
      </c>
      <c r="C5616" s="109" t="str">
        <f>IF(ISBLANK(K5616),IFERROR(VLOOKUP(I5616,FS_input_data!$C$458:$N$648,Export!J5616,FALSE),""),K5616)</f>
        <v/>
      </c>
      <c r="D5616" s="6"/>
      <c r="E5616" s="6"/>
      <c r="F5616" s="6"/>
      <c r="G5616" s="115" t="b">
        <f>VLOOKUP(I5600,FS_input_noty,J5600,FALSE)=""</f>
        <v>0</v>
      </c>
      <c r="H5616" s="6" t="s">
        <v>2189</v>
      </c>
      <c r="I5616" t="s">
        <v>1561</v>
      </c>
      <c r="J5616" t="s">
        <v>1561</v>
      </c>
      <c r="L5616">
        <f t="shared" si="319"/>
        <v>1</v>
      </c>
    </row>
    <row r="5617" spans="1:12" x14ac:dyDescent="0.35">
      <c r="A5617" s="9">
        <f t="shared" si="320"/>
        <v>5616</v>
      </c>
      <c r="B5617" t="s">
        <v>759</v>
      </c>
      <c r="C5617" s="109">
        <f>IF(ISBLANK(K5617),IFERROR(VLOOKUP(I5617,FS_input_data!$C$458:$N$648,Export!J5617,FALSE),""),K5617)</f>
        <v>294</v>
      </c>
      <c r="D5617" s="6" t="b">
        <v>0</v>
      </c>
      <c r="E5617" s="6"/>
      <c r="F5617" s="6"/>
      <c r="G5617" s="115" t="b">
        <f>VLOOKUP(I5600,FS_input_noty,J5600,FALSE)=""</f>
        <v>0</v>
      </c>
      <c r="H5617" s="6" t="s">
        <v>2189</v>
      </c>
      <c r="I5617" t="s">
        <v>1998</v>
      </c>
      <c r="J5617">
        <v>4</v>
      </c>
      <c r="L5617" s="26" t="e">
        <f t="shared" si="319"/>
        <v>#VALUE!</v>
      </c>
    </row>
    <row r="5618" spans="1:12" x14ac:dyDescent="0.35">
      <c r="A5618">
        <f t="shared" si="320"/>
        <v>5617</v>
      </c>
      <c r="B5618" t="s">
        <v>760</v>
      </c>
      <c r="C5618" s="109" t="str">
        <f>IF(ISBLANK(K5618),IFERROR(VLOOKUP(I5618,FS_input_data!$C$458:$N$648,Export!J5618,FALSE),""),K5618)</f>
        <v/>
      </c>
      <c r="D5618" s="6"/>
      <c r="E5618" s="6"/>
      <c r="F5618" s="6"/>
      <c r="G5618" s="115" t="b">
        <f>VLOOKUP(I5600,FS_input_noty,J5600,FALSE)=""</f>
        <v>0</v>
      </c>
      <c r="H5618" s="6" t="s">
        <v>2189</v>
      </c>
      <c r="I5618" t="s">
        <v>1561</v>
      </c>
      <c r="J5618" t="s">
        <v>1561</v>
      </c>
      <c r="L5618">
        <f t="shared" si="319"/>
        <v>1</v>
      </c>
    </row>
    <row r="5619" spans="1:12" x14ac:dyDescent="0.35">
      <c r="A5619" s="9">
        <f t="shared" si="320"/>
        <v>5618</v>
      </c>
      <c r="B5619" t="s">
        <v>761</v>
      </c>
      <c r="C5619" s="109" t="str">
        <f>IF(ISBLANK(K5619),IFERROR(VLOOKUP(I5619,FS_input_data!$C$458:$N$648,Export!J5619,FALSE),""),K5619)</f>
        <v>h</v>
      </c>
      <c r="D5619" s="6" t="b">
        <v>0</v>
      </c>
      <c r="E5619" s="6"/>
      <c r="F5619" s="6"/>
      <c r="G5619" s="115" t="b">
        <f>VLOOKUP(I5600,FS_input_noty,J5600,FALSE)=""</f>
        <v>0</v>
      </c>
      <c r="H5619" s="6" t="s">
        <v>2189</v>
      </c>
      <c r="I5619" t="s">
        <v>1998</v>
      </c>
      <c r="J5619">
        <v>5</v>
      </c>
      <c r="L5619" s="26" t="e">
        <f t="shared" si="319"/>
        <v>#VALUE!</v>
      </c>
    </row>
    <row r="5620" spans="1:12" x14ac:dyDescent="0.35">
      <c r="A5620">
        <f t="shared" si="320"/>
        <v>5619</v>
      </c>
      <c r="B5620" t="s">
        <v>762</v>
      </c>
      <c r="C5620" s="109" t="str">
        <f>IF(ISBLANK(K5620),IFERROR(VLOOKUP(I5620,FS_input_data!$C$458:$N$648,Export!J5620,FALSE),""),K5620)</f>
        <v/>
      </c>
      <c r="D5620" s="6"/>
      <c r="E5620" s="6"/>
      <c r="F5620" s="6"/>
      <c r="G5620" s="115" t="b">
        <f>VLOOKUP(I5600,FS_input_noty,J5600,FALSE)=""</f>
        <v>0</v>
      </c>
      <c r="H5620" s="6" t="s">
        <v>2189</v>
      </c>
      <c r="I5620" t="s">
        <v>1561</v>
      </c>
      <c r="J5620" t="s">
        <v>1561</v>
      </c>
      <c r="L5620">
        <f t="shared" si="319"/>
        <v>1</v>
      </c>
    </row>
    <row r="5621" spans="1:12" x14ac:dyDescent="0.35">
      <c r="A5621">
        <f t="shared" si="320"/>
        <v>5620</v>
      </c>
      <c r="B5621" t="s">
        <v>763</v>
      </c>
      <c r="C5621" s="109" t="str">
        <f>IF(ISBLANK(K5621),IFERROR(VLOOKUP(I5621,FS_input_data!$C$458:$N$648,Export!J5621,FALSE),""),K5621)</f>
        <v/>
      </c>
      <c r="D5621" s="6"/>
      <c r="E5621" s="6"/>
      <c r="F5621" s="6"/>
      <c r="G5621" s="115" t="b">
        <f>VLOOKUP(I5600,FS_input_noty,J5600,FALSE)=""</f>
        <v>0</v>
      </c>
      <c r="H5621" s="6" t="s">
        <v>2189</v>
      </c>
      <c r="I5621" t="s">
        <v>1561</v>
      </c>
      <c r="J5621" t="s">
        <v>1561</v>
      </c>
      <c r="L5621">
        <f t="shared" si="319"/>
        <v>1</v>
      </c>
    </row>
    <row r="5622" spans="1:12" x14ac:dyDescent="0.35">
      <c r="A5622">
        <f t="shared" si="320"/>
        <v>5621</v>
      </c>
      <c r="B5622" t="s">
        <v>743</v>
      </c>
      <c r="C5622" s="109" t="str">
        <f>IF(ISBLANK(K5622),IFERROR(VLOOKUP(I5622,FS_input_data!$C$458:$N$648,Export!J5622,FALSE),""),K5622)</f>
        <v/>
      </c>
      <c r="D5622" s="6"/>
      <c r="E5622" s="6"/>
      <c r="F5622" s="6"/>
      <c r="G5622" s="115" t="b">
        <f>VLOOKUP(I5600,FS_input_noty,J5600,FALSE)=""</f>
        <v>0</v>
      </c>
      <c r="H5622" s="6" t="s">
        <v>2189</v>
      </c>
      <c r="I5622" t="s">
        <v>1561</v>
      </c>
      <c r="J5622" t="s">
        <v>1561</v>
      </c>
      <c r="L5622">
        <f t="shared" si="319"/>
        <v>1</v>
      </c>
    </row>
    <row r="5623" spans="1:12" x14ac:dyDescent="0.35">
      <c r="A5623">
        <f t="shared" si="320"/>
        <v>5622</v>
      </c>
      <c r="B5623" t="s">
        <v>744</v>
      </c>
      <c r="C5623" s="109" t="str">
        <f>IF(ISBLANK(K5623),IFERROR(VLOOKUP(I5623,FS_input_data!$C$458:$N$648,Export!J5623,FALSE),""),K5623)</f>
        <v/>
      </c>
      <c r="D5623" s="6"/>
      <c r="E5623" s="6"/>
      <c r="F5623" s="6"/>
      <c r="G5623" s="115" t="b">
        <f t="shared" ref="G5623:G5630" si="322">RP_tax</f>
        <v>1</v>
      </c>
      <c r="H5623" s="6" t="s">
        <v>2189</v>
      </c>
      <c r="I5623" t="s">
        <v>1561</v>
      </c>
      <c r="J5623" t="s">
        <v>1561</v>
      </c>
      <c r="L5623" s="26" t="e">
        <f t="shared" si="319"/>
        <v>#VALUE!</v>
      </c>
    </row>
    <row r="5624" spans="1:12" x14ac:dyDescent="0.35">
      <c r="A5624" s="9">
        <f t="shared" si="320"/>
        <v>5623</v>
      </c>
      <c r="B5624" t="s">
        <v>109</v>
      </c>
      <c r="C5624" s="109">
        <f>IF(ISBLANK(K5624),IFERROR(VLOOKUP(I5624,FS_input_data!$C$458:$N$648,Export!J5624,FALSE),""),K5624)</f>
        <v>94000</v>
      </c>
      <c r="D5624" s="6" t="b">
        <v>1</v>
      </c>
      <c r="E5624" s="6"/>
      <c r="F5624" s="6"/>
      <c r="G5624" s="115" t="b">
        <f t="shared" si="322"/>
        <v>1</v>
      </c>
      <c r="H5624" s="6" t="s">
        <v>2189</v>
      </c>
      <c r="I5624" t="s">
        <v>1998</v>
      </c>
      <c r="J5624">
        <v>10</v>
      </c>
      <c r="L5624" s="26" t="e">
        <f t="shared" si="319"/>
        <v>#VALUE!</v>
      </c>
    </row>
    <row r="5625" spans="1:12" x14ac:dyDescent="0.35">
      <c r="A5625">
        <f t="shared" si="320"/>
        <v>5624</v>
      </c>
      <c r="B5625" t="s">
        <v>110</v>
      </c>
      <c r="C5625" s="109" t="str">
        <f>IF(ISBLANK(K5625),IFERROR(VLOOKUP(I5625,FS_input_data!$C$458:$N$648,Export!J5625,FALSE),""),K5625)</f>
        <v/>
      </c>
      <c r="D5625" s="6"/>
      <c r="E5625" s="6"/>
      <c r="F5625" s="6"/>
      <c r="G5625" s="115" t="b">
        <f t="shared" si="322"/>
        <v>1</v>
      </c>
      <c r="H5625" s="6" t="s">
        <v>2189</v>
      </c>
      <c r="I5625" t="s">
        <v>1561</v>
      </c>
      <c r="J5625" t="s">
        <v>1561</v>
      </c>
      <c r="L5625">
        <f t="shared" si="319"/>
        <v>1</v>
      </c>
    </row>
    <row r="5626" spans="1:12" x14ac:dyDescent="0.35">
      <c r="A5626" s="9">
        <f t="shared" si="320"/>
        <v>5625</v>
      </c>
      <c r="B5626" t="s">
        <v>111</v>
      </c>
      <c r="C5626" s="109">
        <f>IF(ISBLANK(K5626),IFERROR(VLOOKUP(I5626,FS_input_data!$C$458:$N$648,Export!J5626,FALSE),""),K5626)</f>
        <v>47000</v>
      </c>
      <c r="D5626" s="6" t="b">
        <v>0</v>
      </c>
      <c r="E5626" s="6"/>
      <c r="F5626" s="6"/>
      <c r="G5626" s="115" t="b">
        <f t="shared" si="322"/>
        <v>1</v>
      </c>
      <c r="H5626" s="6" t="s">
        <v>2189</v>
      </c>
      <c r="I5626" t="s">
        <v>1998</v>
      </c>
      <c r="J5626">
        <v>11</v>
      </c>
      <c r="L5626" s="26" t="e">
        <f t="shared" si="319"/>
        <v>#VALUE!</v>
      </c>
    </row>
    <row r="5627" spans="1:12" x14ac:dyDescent="0.35">
      <c r="A5627">
        <f t="shared" si="320"/>
        <v>5626</v>
      </c>
      <c r="B5627" t="s">
        <v>112</v>
      </c>
      <c r="C5627" s="109" t="str">
        <f>IF(ISBLANK(K5627),IFERROR(VLOOKUP(I5627,FS_input_data!$C$458:$N$648,Export!J5627,FALSE),""),K5627)</f>
        <v/>
      </c>
      <c r="D5627" s="6"/>
      <c r="E5627" s="6"/>
      <c r="F5627" s="6"/>
      <c r="G5627" s="115" t="b">
        <f t="shared" si="322"/>
        <v>1</v>
      </c>
      <c r="H5627" s="6" t="s">
        <v>2189</v>
      </c>
      <c r="I5627" t="s">
        <v>1561</v>
      </c>
      <c r="J5627" t="s">
        <v>1561</v>
      </c>
      <c r="L5627">
        <f t="shared" si="319"/>
        <v>1</v>
      </c>
    </row>
    <row r="5628" spans="1:12" x14ac:dyDescent="0.35">
      <c r="A5628" s="9">
        <f t="shared" si="320"/>
        <v>5627</v>
      </c>
      <c r="B5628" t="s">
        <v>749</v>
      </c>
      <c r="C5628" s="109">
        <f>IF(ISBLANK(K5628),IFERROR(VLOOKUP(I5628,FS_input_data!$C$458:$N$648,Export!J5628,FALSE),""),K5628)</f>
        <v>47000</v>
      </c>
      <c r="D5628" s="6" t="b">
        <v>0</v>
      </c>
      <c r="E5628" s="6"/>
      <c r="F5628" s="6"/>
      <c r="G5628" s="115" t="b">
        <f t="shared" si="322"/>
        <v>1</v>
      </c>
      <c r="H5628" s="6" t="s">
        <v>2189</v>
      </c>
      <c r="I5628" t="s">
        <v>1998</v>
      </c>
      <c r="J5628">
        <v>12</v>
      </c>
      <c r="L5628" s="26" t="e">
        <f t="shared" si="319"/>
        <v>#VALUE!</v>
      </c>
    </row>
    <row r="5629" spans="1:12" x14ac:dyDescent="0.35">
      <c r="A5629">
        <f t="shared" si="320"/>
        <v>5628</v>
      </c>
      <c r="B5629" t="s">
        <v>750</v>
      </c>
      <c r="C5629" s="109" t="str">
        <f>IF(ISBLANK(K5629),IFERROR(VLOOKUP(I5629,FS_input_data!$C$458:$N$648,Export!J5629,FALSE),""),K5629)</f>
        <v/>
      </c>
      <c r="D5629" s="6"/>
      <c r="E5629" s="6"/>
      <c r="F5629" s="6"/>
      <c r="G5629" s="115" t="b">
        <f t="shared" si="322"/>
        <v>1</v>
      </c>
      <c r="H5629" s="6" t="s">
        <v>2189</v>
      </c>
      <c r="I5629" t="s">
        <v>1561</v>
      </c>
      <c r="J5629" t="s">
        <v>1561</v>
      </c>
      <c r="L5629">
        <f t="shared" si="319"/>
        <v>1</v>
      </c>
    </row>
    <row r="5630" spans="1:12" x14ac:dyDescent="0.35">
      <c r="A5630">
        <f t="shared" si="320"/>
        <v>5629</v>
      </c>
      <c r="B5630" t="s">
        <v>745</v>
      </c>
      <c r="C5630" s="109" t="str">
        <f>IF(ISBLANK(K5630),IFERROR(VLOOKUP(I5630,FS_input_data!$C$458:$N$648,Export!J5630,FALSE),""),K5630)</f>
        <v/>
      </c>
      <c r="D5630" s="6"/>
      <c r="E5630" s="6"/>
      <c r="F5630" s="6"/>
      <c r="G5630" s="115" t="b">
        <f t="shared" si="322"/>
        <v>1</v>
      </c>
      <c r="H5630" s="6" t="s">
        <v>2189</v>
      </c>
      <c r="I5630" t="s">
        <v>1561</v>
      </c>
      <c r="J5630" t="s">
        <v>1561</v>
      </c>
      <c r="L5630">
        <f t="shared" si="319"/>
        <v>1</v>
      </c>
    </row>
    <row r="5631" spans="1:12" x14ac:dyDescent="0.35">
      <c r="A5631">
        <f t="shared" si="320"/>
        <v>5630</v>
      </c>
      <c r="B5631" t="s">
        <v>764</v>
      </c>
      <c r="C5631" s="109" t="str">
        <f>IF(ISBLANK(K5631),IFERROR(VLOOKUP(I5631,FS_input_data!$C$458:$N$648,Export!J5631,FALSE),""),K5631)</f>
        <v/>
      </c>
      <c r="D5631" s="6"/>
      <c r="E5631" s="6"/>
      <c r="F5631" s="6"/>
      <c r="G5631" s="115" t="b">
        <f>VLOOKUP(I5600,FS_input_noty,J5600,FALSE)=""</f>
        <v>0</v>
      </c>
      <c r="H5631" s="6" t="s">
        <v>2189</v>
      </c>
      <c r="I5631" t="s">
        <v>1561</v>
      </c>
      <c r="J5631" t="s">
        <v>1561</v>
      </c>
      <c r="L5631">
        <f t="shared" si="319"/>
        <v>1</v>
      </c>
    </row>
    <row r="5632" spans="1:12" x14ac:dyDescent="0.35">
      <c r="A5632">
        <f t="shared" si="320"/>
        <v>5631</v>
      </c>
      <c r="B5632" t="s">
        <v>765</v>
      </c>
      <c r="C5632" s="109" t="str">
        <f>IF(ISBLANK(K5632),IFERROR(VLOOKUP(I5632,FS_input_data!$C$458:$N$648,Export!J5632,FALSE),""),K5632)</f>
        <v/>
      </c>
      <c r="D5632" s="6"/>
      <c r="E5632" s="6"/>
      <c r="F5632" s="6"/>
      <c r="G5632" s="115" t="b">
        <f>VLOOKUP(I5600,FS_input_noty,J5600,FALSE)=""</f>
        <v>0</v>
      </c>
      <c r="H5632" s="6" t="s">
        <v>2189</v>
      </c>
      <c r="I5632" t="s">
        <v>1561</v>
      </c>
      <c r="J5632" t="s">
        <v>1561</v>
      </c>
      <c r="L5632">
        <f t="shared" si="319"/>
        <v>1</v>
      </c>
    </row>
    <row r="5633" spans="1:12" x14ac:dyDescent="0.35">
      <c r="A5633">
        <f t="shared" si="320"/>
        <v>5632</v>
      </c>
      <c r="B5633" t="s">
        <v>752</v>
      </c>
      <c r="C5633" s="109" t="str">
        <f>IF(ISBLANK(K5633),IFERROR(VLOOKUP(I5633,FS_input_data!$C$458:$N$648,Export!J5633,FALSE),""),K5633)</f>
        <v/>
      </c>
      <c r="D5633" s="6"/>
      <c r="E5633" s="6"/>
      <c r="F5633" s="6"/>
      <c r="G5633" s="115" t="b">
        <f>VLOOKUP(I5634,FS_input_noty,J5634,FALSE)=""</f>
        <v>0</v>
      </c>
      <c r="H5633" s="6" t="s">
        <v>2189</v>
      </c>
      <c r="I5633" t="s">
        <v>1561</v>
      </c>
      <c r="J5633" t="s">
        <v>1561</v>
      </c>
      <c r="L5633" s="26" t="e">
        <f t="shared" si="319"/>
        <v>#VALUE!</v>
      </c>
    </row>
    <row r="5634" spans="1:12" x14ac:dyDescent="0.35">
      <c r="A5634" s="9">
        <f t="shared" si="320"/>
        <v>5633</v>
      </c>
      <c r="B5634" t="s">
        <v>101</v>
      </c>
      <c r="C5634" s="109" t="str">
        <f>IF(ISBLANK(K5634),IFERROR(VLOOKUP(I5634,FS_input_data!$C$458:$N$648,Export!J5634,FALSE),""),K5634)</f>
        <v>OC72</v>
      </c>
      <c r="D5634" s="6" t="b">
        <v>1</v>
      </c>
      <c r="E5634" s="6"/>
      <c r="F5634" s="6"/>
      <c r="G5634" s="115" t="b">
        <f>VLOOKUP(I5634,FS_input_noty,J5634,FALSE)=""</f>
        <v>0</v>
      </c>
      <c r="H5634" s="6" t="s">
        <v>2189</v>
      </c>
      <c r="I5634" t="s">
        <v>2000</v>
      </c>
      <c r="J5634">
        <v>6</v>
      </c>
      <c r="L5634" s="26" t="e">
        <f t="shared" ref="L5634:L5697" si="323">FIND("/",B5634)</f>
        <v>#VALUE!</v>
      </c>
    </row>
    <row r="5635" spans="1:12" x14ac:dyDescent="0.35">
      <c r="A5635">
        <f t="shared" ref="A5635:A5698" si="324">A5634+1</f>
        <v>5634</v>
      </c>
      <c r="B5635" t="s">
        <v>102</v>
      </c>
      <c r="C5635" s="109" t="str">
        <f>IF(ISBLANK(K5635),IFERROR(VLOOKUP(I5635,FS_input_data!$C$458:$N$648,Export!J5635,FALSE),""),K5635)</f>
        <v/>
      </c>
      <c r="D5635" s="6"/>
      <c r="E5635" s="6"/>
      <c r="F5635" s="6"/>
      <c r="G5635" s="115" t="b">
        <f>VLOOKUP(I5634,FS_input_noty,J5634,FALSE)=""</f>
        <v>0</v>
      </c>
      <c r="H5635" s="6" t="s">
        <v>2189</v>
      </c>
      <c r="I5635" t="s">
        <v>1561</v>
      </c>
      <c r="J5635" t="s">
        <v>1561</v>
      </c>
      <c r="L5635">
        <f t="shared" si="323"/>
        <v>1</v>
      </c>
    </row>
    <row r="5636" spans="1:12" x14ac:dyDescent="0.35">
      <c r="A5636">
        <f t="shared" si="324"/>
        <v>5635</v>
      </c>
      <c r="B5636" t="s">
        <v>753</v>
      </c>
      <c r="C5636" s="109" t="str">
        <f>IF(ISBLANK(K5636),IFERROR(VLOOKUP(I5636,FS_input_data!$C$458:$N$648,Export!J5636,FALSE),""),K5636)</f>
        <v/>
      </c>
      <c r="D5636" s="6"/>
      <c r="E5636" s="6"/>
      <c r="F5636" s="6"/>
      <c r="G5636" s="115" t="b">
        <f>VLOOKUP(I5634,FS_input_noty,J5634,FALSE)=""</f>
        <v>0</v>
      </c>
      <c r="H5636" s="6" t="s">
        <v>2189</v>
      </c>
      <c r="I5636" t="s">
        <v>1561</v>
      </c>
      <c r="J5636" t="s">
        <v>1561</v>
      </c>
      <c r="L5636" s="26" t="e">
        <f t="shared" si="323"/>
        <v>#VALUE!</v>
      </c>
    </row>
    <row r="5637" spans="1:12" x14ac:dyDescent="0.35">
      <c r="A5637">
        <f t="shared" si="324"/>
        <v>5636</v>
      </c>
      <c r="B5637" t="s">
        <v>742</v>
      </c>
      <c r="C5637" s="109" t="str">
        <f>IF(ISBLANK(K5637),IFERROR(VLOOKUP(I5637,FS_input_data!$C$458:$N$648,Export!J5637,FALSE),""),K5637)</f>
        <v/>
      </c>
      <c r="D5637" s="6"/>
      <c r="E5637" s="6"/>
      <c r="F5637" s="6"/>
      <c r="G5637" s="115" t="b">
        <f>VLOOKUP(I5634,FS_input_noty,J5634,FALSE)=""</f>
        <v>0</v>
      </c>
      <c r="H5637" s="6" t="s">
        <v>2189</v>
      </c>
      <c r="I5637" t="s">
        <v>1561</v>
      </c>
      <c r="J5637" t="s">
        <v>1561</v>
      </c>
      <c r="L5637" s="26" t="e">
        <f t="shared" si="323"/>
        <v>#VALUE!</v>
      </c>
    </row>
    <row r="5638" spans="1:12" x14ac:dyDescent="0.35">
      <c r="A5638">
        <f t="shared" si="324"/>
        <v>5637</v>
      </c>
      <c r="B5638" t="s">
        <v>748</v>
      </c>
      <c r="C5638" s="109" t="str">
        <f>IF(ISBLANK(K5638),IFERROR(VLOOKUP(I5638,FS_input_data!$C$458:$N$648,Export!J5638,FALSE),""),K5638)</f>
        <v/>
      </c>
      <c r="D5638" s="6"/>
      <c r="E5638" s="6"/>
      <c r="F5638" s="6"/>
      <c r="G5638" s="115" t="b">
        <f>VLOOKUP(I5634,FS_input_noty,J5634,FALSE)=""</f>
        <v>0</v>
      </c>
      <c r="H5638" s="6" t="s">
        <v>2189</v>
      </c>
      <c r="I5638" t="s">
        <v>1561</v>
      </c>
      <c r="J5638" t="s">
        <v>1561</v>
      </c>
      <c r="L5638" s="26" t="e">
        <f t="shared" si="323"/>
        <v>#VALUE!</v>
      </c>
    </row>
    <row r="5639" spans="1:12" x14ac:dyDescent="0.35">
      <c r="A5639" s="9">
        <f t="shared" si="324"/>
        <v>5638</v>
      </c>
      <c r="B5639" t="s">
        <v>109</v>
      </c>
      <c r="C5639" s="109">
        <f>IF(ISBLANK(K5639),IFERROR(VLOOKUP(I5639,FS_input_data!$C$458:$N$648,Export!J5639,FALSE),""),K5639)</f>
        <v>95000</v>
      </c>
      <c r="D5639" s="6" t="b">
        <v>1</v>
      </c>
      <c r="E5639" s="6"/>
      <c r="F5639" s="6"/>
      <c r="G5639" s="115" t="b">
        <f>VLOOKUP(I5634,FS_input_noty,J5634,FALSE)=""</f>
        <v>0</v>
      </c>
      <c r="H5639" s="6" t="s">
        <v>2189</v>
      </c>
      <c r="I5639" t="s">
        <v>2000</v>
      </c>
      <c r="J5639">
        <v>7</v>
      </c>
      <c r="L5639" s="26" t="e">
        <f t="shared" si="323"/>
        <v>#VALUE!</v>
      </c>
    </row>
    <row r="5640" spans="1:12" x14ac:dyDescent="0.35">
      <c r="A5640">
        <f t="shared" si="324"/>
        <v>5639</v>
      </c>
      <c r="B5640" t="s">
        <v>110</v>
      </c>
      <c r="C5640" s="109" t="str">
        <f>IF(ISBLANK(K5640),IFERROR(VLOOKUP(I5640,FS_input_data!$C$458:$N$648,Export!J5640,FALSE),""),K5640)</f>
        <v/>
      </c>
      <c r="D5640" s="6"/>
      <c r="E5640" s="6"/>
      <c r="F5640" s="6"/>
      <c r="G5640" s="115" t="b">
        <f>VLOOKUP(I5634,FS_input_noty,J5634,FALSE)=""</f>
        <v>0</v>
      </c>
      <c r="H5640" s="6" t="s">
        <v>2189</v>
      </c>
      <c r="I5640" t="s">
        <v>1561</v>
      </c>
      <c r="J5640" t="s">
        <v>1561</v>
      </c>
      <c r="L5640">
        <f t="shared" si="323"/>
        <v>1</v>
      </c>
    </row>
    <row r="5641" spans="1:12" x14ac:dyDescent="0.35">
      <c r="A5641" s="9">
        <f t="shared" si="324"/>
        <v>5640</v>
      </c>
      <c r="B5641" t="s">
        <v>111</v>
      </c>
      <c r="C5641" s="109">
        <f>IF(ISBLANK(K5641),IFERROR(VLOOKUP(I5641,FS_input_data!$C$458:$N$648,Export!J5641,FALSE),""),K5641)</f>
        <v>47500</v>
      </c>
      <c r="D5641" s="6" t="b">
        <v>0</v>
      </c>
      <c r="E5641" s="6"/>
      <c r="F5641" s="6"/>
      <c r="G5641" s="115" t="b">
        <f>VLOOKUP(I5634,FS_input_noty,J5634,TRUE)=""</f>
        <v>0</v>
      </c>
      <c r="H5641" s="6" t="s">
        <v>2189</v>
      </c>
      <c r="I5641" t="s">
        <v>2000</v>
      </c>
      <c r="J5641">
        <v>8</v>
      </c>
      <c r="L5641" s="26" t="e">
        <f t="shared" si="323"/>
        <v>#VALUE!</v>
      </c>
    </row>
    <row r="5642" spans="1:12" x14ac:dyDescent="0.35">
      <c r="A5642">
        <f t="shared" si="324"/>
        <v>5641</v>
      </c>
      <c r="B5642" t="s">
        <v>112</v>
      </c>
      <c r="C5642" s="109" t="str">
        <f>IF(ISBLANK(K5642),IFERROR(VLOOKUP(I5642,FS_input_data!$C$458:$N$648,Export!J5642,FALSE),""),K5642)</f>
        <v/>
      </c>
      <c r="D5642" s="6"/>
      <c r="E5642" s="6"/>
      <c r="F5642" s="6"/>
      <c r="G5642" s="115" t="b">
        <f>VLOOKUP(I5634,FS_input_noty,J5634,FALSE)=""</f>
        <v>0</v>
      </c>
      <c r="H5642" s="6" t="s">
        <v>2189</v>
      </c>
      <c r="I5642" t="s">
        <v>1561</v>
      </c>
      <c r="J5642" t="s">
        <v>1561</v>
      </c>
      <c r="L5642">
        <f t="shared" si="323"/>
        <v>1</v>
      </c>
    </row>
    <row r="5643" spans="1:12" x14ac:dyDescent="0.35">
      <c r="A5643" s="9">
        <f t="shared" si="324"/>
        <v>5642</v>
      </c>
      <c r="B5643" t="s">
        <v>749</v>
      </c>
      <c r="C5643" s="109">
        <f>IF(ISBLANK(K5643),IFERROR(VLOOKUP(I5643,FS_input_data!$C$458:$N$648,Export!J5643,FALSE),""),K5643)</f>
        <v>47500</v>
      </c>
      <c r="D5643" s="6" t="b">
        <v>0</v>
      </c>
      <c r="E5643" s="6"/>
      <c r="F5643" s="6"/>
      <c r="G5643" s="115" t="b">
        <f>VLOOKUP(I5634,FS_input_noty,J5634,FALSE)=""</f>
        <v>0</v>
      </c>
      <c r="H5643" s="6" t="s">
        <v>2189</v>
      </c>
      <c r="I5643" t="s">
        <v>2000</v>
      </c>
      <c r="J5643">
        <v>9</v>
      </c>
      <c r="L5643" s="26" t="e">
        <f t="shared" si="323"/>
        <v>#VALUE!</v>
      </c>
    </row>
    <row r="5644" spans="1:12" x14ac:dyDescent="0.35">
      <c r="A5644">
        <f t="shared" si="324"/>
        <v>5643</v>
      </c>
      <c r="B5644" t="s">
        <v>750</v>
      </c>
      <c r="C5644" s="109" t="str">
        <f>IF(ISBLANK(K5644),IFERROR(VLOOKUP(I5644,FS_input_data!$C$458:$N$648,Export!J5644,FALSE),""),K5644)</f>
        <v/>
      </c>
      <c r="D5644" s="6"/>
      <c r="E5644" s="6"/>
      <c r="F5644" s="6"/>
      <c r="G5644" s="115" t="b">
        <f>VLOOKUP(I5634,FS_input_noty,J5634,FALSE)=""</f>
        <v>0</v>
      </c>
      <c r="H5644" s="6" t="s">
        <v>2189</v>
      </c>
      <c r="I5644" t="s">
        <v>1561</v>
      </c>
      <c r="J5644" t="s">
        <v>1561</v>
      </c>
      <c r="L5644">
        <f t="shared" si="323"/>
        <v>1</v>
      </c>
    </row>
    <row r="5645" spans="1:12" x14ac:dyDescent="0.35">
      <c r="A5645">
        <f t="shared" si="324"/>
        <v>5644</v>
      </c>
      <c r="B5645" t="s">
        <v>751</v>
      </c>
      <c r="C5645" s="109" t="str">
        <f>IF(ISBLANK(K5645),IFERROR(VLOOKUP(I5645,FS_input_data!$C$458:$N$648,Export!J5645,FALSE),""),K5645)</f>
        <v/>
      </c>
      <c r="D5645" s="6"/>
      <c r="E5645" s="6"/>
      <c r="F5645" s="6"/>
      <c r="G5645" s="115" t="b">
        <f>VLOOKUP(I5634,FS_input_noty,J5634,FALSE)=""</f>
        <v>0</v>
      </c>
      <c r="H5645" s="6" t="s">
        <v>2189</v>
      </c>
      <c r="I5645" t="s">
        <v>1561</v>
      </c>
      <c r="J5645" t="s">
        <v>1561</v>
      </c>
      <c r="L5645">
        <f t="shared" si="323"/>
        <v>1</v>
      </c>
    </row>
    <row r="5646" spans="1:12" x14ac:dyDescent="0.35">
      <c r="A5646">
        <f t="shared" si="324"/>
        <v>5645</v>
      </c>
      <c r="B5646" t="s">
        <v>754</v>
      </c>
      <c r="C5646" s="109" t="str">
        <f>IF(ISBLANK(K5646),IFERROR(VLOOKUP(I5646,FS_input_data!$C$458:$N$648,Export!J5646,FALSE),""),K5646)</f>
        <v/>
      </c>
      <c r="D5646" s="6"/>
      <c r="E5646" s="6"/>
      <c r="F5646" s="6"/>
      <c r="G5646" s="115" t="b">
        <f>VLOOKUP(I5634,FS_input_noty,J5634,FALSE)=""</f>
        <v>0</v>
      </c>
      <c r="H5646" s="6" t="s">
        <v>2189</v>
      </c>
      <c r="I5646" t="s">
        <v>1561</v>
      </c>
      <c r="J5646" t="s">
        <v>1561</v>
      </c>
      <c r="L5646" s="26" t="e">
        <f t="shared" si="323"/>
        <v>#VALUE!</v>
      </c>
    </row>
    <row r="5647" spans="1:12" x14ac:dyDescent="0.35">
      <c r="A5647" s="9">
        <f t="shared" si="324"/>
        <v>5646</v>
      </c>
      <c r="B5647" t="s">
        <v>755</v>
      </c>
      <c r="C5647" s="109">
        <f>IF(ISBLANK(K5647),IFERROR(VLOOKUP(I5647,FS_input_data!$C$458:$N$648,Export!J5647,FALSE),""),K5647)</f>
        <v>95</v>
      </c>
      <c r="D5647" s="6" t="b">
        <v>1</v>
      </c>
      <c r="E5647" s="6"/>
      <c r="F5647" s="6"/>
      <c r="G5647" s="115" t="b">
        <f>VLOOKUP(I5634,FS_input_noty,J5634,FALSE)=""</f>
        <v>0</v>
      </c>
      <c r="H5647" s="6" t="s">
        <v>2189</v>
      </c>
      <c r="I5647" t="s">
        <v>2000</v>
      </c>
      <c r="J5647">
        <v>2</v>
      </c>
      <c r="L5647" s="26" t="e">
        <f t="shared" si="323"/>
        <v>#VALUE!</v>
      </c>
    </row>
    <row r="5648" spans="1:12" x14ac:dyDescent="0.35">
      <c r="A5648">
        <f t="shared" si="324"/>
        <v>5647</v>
      </c>
      <c r="B5648" t="s">
        <v>756</v>
      </c>
      <c r="C5648" s="109" t="str">
        <f>IF(ISBLANK(K5648),IFERROR(VLOOKUP(I5648,FS_input_data!$C$458:$N$648,Export!J5648,FALSE),""),K5648)</f>
        <v/>
      </c>
      <c r="D5648" s="6"/>
      <c r="E5648" s="6"/>
      <c r="F5648" s="6"/>
      <c r="G5648" s="115" t="b">
        <f>VLOOKUP(I5634,FS_input_noty,J5634,FALSE)=""</f>
        <v>0</v>
      </c>
      <c r="H5648" s="6" t="s">
        <v>2189</v>
      </c>
      <c r="I5648" t="s">
        <v>1561</v>
      </c>
      <c r="J5648" t="s">
        <v>1561</v>
      </c>
      <c r="L5648">
        <f t="shared" si="323"/>
        <v>1</v>
      </c>
    </row>
    <row r="5649" spans="1:12" x14ac:dyDescent="0.35">
      <c r="A5649" s="9">
        <f t="shared" si="324"/>
        <v>5648</v>
      </c>
      <c r="B5649" t="s">
        <v>757</v>
      </c>
      <c r="C5649" s="109">
        <f>IF(ISBLANK(K5649),IFERROR(VLOOKUP(I5649,FS_input_data!$C$458:$N$648,Export!J5649,FALSE),""),K5649)</f>
        <v>195</v>
      </c>
      <c r="D5649" s="6" t="b">
        <v>0</v>
      </c>
      <c r="E5649" s="6"/>
      <c r="F5649" s="6"/>
      <c r="G5649" s="115" t="b">
        <f>VLOOKUP(I5634,FS_input_noty,J5634,FALSE)=""</f>
        <v>0</v>
      </c>
      <c r="H5649" s="6" t="s">
        <v>2189</v>
      </c>
      <c r="I5649" t="s">
        <v>2000</v>
      </c>
      <c r="J5649">
        <v>3</v>
      </c>
      <c r="L5649" s="26" t="e">
        <f t="shared" si="323"/>
        <v>#VALUE!</v>
      </c>
    </row>
    <row r="5650" spans="1:12" x14ac:dyDescent="0.35">
      <c r="A5650">
        <f t="shared" si="324"/>
        <v>5649</v>
      </c>
      <c r="B5650" t="s">
        <v>758</v>
      </c>
      <c r="C5650" s="109" t="str">
        <f>IF(ISBLANK(K5650),IFERROR(VLOOKUP(I5650,FS_input_data!$C$458:$N$648,Export!J5650,FALSE),""),K5650)</f>
        <v/>
      </c>
      <c r="D5650" s="6"/>
      <c r="E5650" s="6"/>
      <c r="F5650" s="6"/>
      <c r="G5650" s="115" t="b">
        <f>VLOOKUP(I5634,FS_input_noty,J5634,FALSE)=""</f>
        <v>0</v>
      </c>
      <c r="H5650" s="6" t="s">
        <v>2189</v>
      </c>
      <c r="I5650" t="s">
        <v>1561</v>
      </c>
      <c r="J5650" t="s">
        <v>1561</v>
      </c>
      <c r="L5650">
        <f t="shared" si="323"/>
        <v>1</v>
      </c>
    </row>
    <row r="5651" spans="1:12" x14ac:dyDescent="0.35">
      <c r="A5651" s="9">
        <f t="shared" si="324"/>
        <v>5650</v>
      </c>
      <c r="B5651" t="s">
        <v>759</v>
      </c>
      <c r="C5651" s="109">
        <f>IF(ISBLANK(K5651),IFERROR(VLOOKUP(I5651,FS_input_data!$C$458:$N$648,Export!J5651,FALSE),""),K5651)</f>
        <v>295</v>
      </c>
      <c r="D5651" s="6" t="b">
        <v>0</v>
      </c>
      <c r="E5651" s="6"/>
      <c r="F5651" s="6"/>
      <c r="G5651" s="115" t="b">
        <f>VLOOKUP(I5634,FS_input_noty,J5634,FALSE)=""</f>
        <v>0</v>
      </c>
      <c r="H5651" s="6" t="s">
        <v>2189</v>
      </c>
      <c r="I5651" t="s">
        <v>2000</v>
      </c>
      <c r="J5651">
        <v>4</v>
      </c>
      <c r="L5651" s="26" t="e">
        <f t="shared" si="323"/>
        <v>#VALUE!</v>
      </c>
    </row>
    <row r="5652" spans="1:12" x14ac:dyDescent="0.35">
      <c r="A5652">
        <f t="shared" si="324"/>
        <v>5651</v>
      </c>
      <c r="B5652" t="s">
        <v>760</v>
      </c>
      <c r="C5652" s="109" t="str">
        <f>IF(ISBLANK(K5652),IFERROR(VLOOKUP(I5652,FS_input_data!$C$458:$N$648,Export!J5652,FALSE),""),K5652)</f>
        <v/>
      </c>
      <c r="D5652" s="6"/>
      <c r="E5652" s="6"/>
      <c r="F5652" s="6"/>
      <c r="G5652" s="115" t="b">
        <f>VLOOKUP(I5634,FS_input_noty,J5634,FALSE)=""</f>
        <v>0</v>
      </c>
      <c r="H5652" s="6" t="s">
        <v>2189</v>
      </c>
      <c r="I5652" t="s">
        <v>1561</v>
      </c>
      <c r="J5652" t="s">
        <v>1561</v>
      </c>
      <c r="L5652">
        <f t="shared" si="323"/>
        <v>1</v>
      </c>
    </row>
    <row r="5653" spans="1:12" x14ac:dyDescent="0.35">
      <c r="A5653" s="9">
        <f t="shared" si="324"/>
        <v>5652</v>
      </c>
      <c r="B5653" t="s">
        <v>761</v>
      </c>
      <c r="C5653" s="109" t="str">
        <f>IF(ISBLANK(K5653),IFERROR(VLOOKUP(I5653,FS_input_data!$C$458:$N$648,Export!J5653,FALSE),""),K5653)</f>
        <v>i</v>
      </c>
      <c r="D5653" s="6" t="b">
        <v>0</v>
      </c>
      <c r="E5653" s="6"/>
      <c r="F5653" s="6"/>
      <c r="G5653" s="115" t="b">
        <f>VLOOKUP(I5634,FS_input_noty,J5634,FALSE)=""</f>
        <v>0</v>
      </c>
      <c r="H5653" s="6" t="s">
        <v>2189</v>
      </c>
      <c r="I5653" t="s">
        <v>2000</v>
      </c>
      <c r="J5653">
        <v>5</v>
      </c>
      <c r="L5653" s="26" t="e">
        <f t="shared" si="323"/>
        <v>#VALUE!</v>
      </c>
    </row>
    <row r="5654" spans="1:12" x14ac:dyDescent="0.35">
      <c r="A5654">
        <f t="shared" si="324"/>
        <v>5653</v>
      </c>
      <c r="B5654" t="s">
        <v>762</v>
      </c>
      <c r="C5654" s="109" t="str">
        <f>IF(ISBLANK(K5654),IFERROR(VLOOKUP(I5654,FS_input_data!$C$458:$N$648,Export!J5654,FALSE),""),K5654)</f>
        <v/>
      </c>
      <c r="D5654" s="6"/>
      <c r="E5654" s="6"/>
      <c r="F5654" s="6"/>
      <c r="G5654" s="115" t="b">
        <f>VLOOKUP(I5634,FS_input_noty,J5634,FALSE)=""</f>
        <v>0</v>
      </c>
      <c r="H5654" s="6" t="s">
        <v>2189</v>
      </c>
      <c r="I5654" t="s">
        <v>1561</v>
      </c>
      <c r="J5654" t="s">
        <v>1561</v>
      </c>
      <c r="L5654">
        <f t="shared" si="323"/>
        <v>1</v>
      </c>
    </row>
    <row r="5655" spans="1:12" x14ac:dyDescent="0.35">
      <c r="A5655">
        <f t="shared" si="324"/>
        <v>5654</v>
      </c>
      <c r="B5655" t="s">
        <v>763</v>
      </c>
      <c r="C5655" s="109" t="str">
        <f>IF(ISBLANK(K5655),IFERROR(VLOOKUP(I5655,FS_input_data!$C$458:$N$648,Export!J5655,FALSE),""),K5655)</f>
        <v/>
      </c>
      <c r="D5655" s="6"/>
      <c r="E5655" s="6"/>
      <c r="F5655" s="6"/>
      <c r="G5655" s="115" t="b">
        <f>VLOOKUP(I5634,FS_input_noty,J5634,FALSE)=""</f>
        <v>0</v>
      </c>
      <c r="H5655" s="6" t="s">
        <v>2189</v>
      </c>
      <c r="I5655" t="s">
        <v>1561</v>
      </c>
      <c r="J5655" t="s">
        <v>1561</v>
      </c>
      <c r="L5655">
        <f t="shared" si="323"/>
        <v>1</v>
      </c>
    </row>
    <row r="5656" spans="1:12" x14ac:dyDescent="0.35">
      <c r="A5656">
        <f t="shared" si="324"/>
        <v>5655</v>
      </c>
      <c r="B5656" t="s">
        <v>743</v>
      </c>
      <c r="C5656" s="109" t="str">
        <f>IF(ISBLANK(K5656),IFERROR(VLOOKUP(I5656,FS_input_data!$C$458:$N$648,Export!J5656,FALSE),""),K5656)</f>
        <v/>
      </c>
      <c r="D5656" s="6"/>
      <c r="E5656" s="6"/>
      <c r="F5656" s="6"/>
      <c r="G5656" s="115" t="b">
        <f>VLOOKUP(I5634,FS_input_noty,J5634,FALSE)=""</f>
        <v>0</v>
      </c>
      <c r="H5656" s="6" t="s">
        <v>2189</v>
      </c>
      <c r="I5656" t="s">
        <v>1561</v>
      </c>
      <c r="J5656" t="s">
        <v>1561</v>
      </c>
      <c r="L5656">
        <f t="shared" si="323"/>
        <v>1</v>
      </c>
    </row>
    <row r="5657" spans="1:12" x14ac:dyDescent="0.35">
      <c r="A5657">
        <f t="shared" si="324"/>
        <v>5656</v>
      </c>
      <c r="B5657" t="s">
        <v>744</v>
      </c>
      <c r="C5657" s="109" t="str">
        <f>IF(ISBLANK(K5657),IFERROR(VLOOKUP(I5657,FS_input_data!$C$458:$N$648,Export!J5657,FALSE),""),K5657)</f>
        <v/>
      </c>
      <c r="D5657" s="6"/>
      <c r="E5657" s="6"/>
      <c r="F5657" s="6"/>
      <c r="G5657" s="115" t="b">
        <f t="shared" ref="G5657:G5664" si="325">RP_tax</f>
        <v>1</v>
      </c>
      <c r="H5657" s="6" t="s">
        <v>2189</v>
      </c>
      <c r="I5657" t="s">
        <v>1561</v>
      </c>
      <c r="J5657" t="s">
        <v>1561</v>
      </c>
      <c r="L5657" s="26" t="e">
        <f t="shared" si="323"/>
        <v>#VALUE!</v>
      </c>
    </row>
    <row r="5658" spans="1:12" x14ac:dyDescent="0.35">
      <c r="A5658" s="9">
        <f t="shared" si="324"/>
        <v>5657</v>
      </c>
      <c r="B5658" t="s">
        <v>109</v>
      </c>
      <c r="C5658" s="109">
        <f>IF(ISBLANK(K5658),IFERROR(VLOOKUP(I5658,FS_input_data!$C$458:$N$648,Export!J5658,FALSE),""),K5658)</f>
        <v>95000</v>
      </c>
      <c r="D5658" s="6" t="b">
        <v>1</v>
      </c>
      <c r="E5658" s="6"/>
      <c r="F5658" s="6"/>
      <c r="G5658" s="115" t="b">
        <f t="shared" si="325"/>
        <v>1</v>
      </c>
      <c r="H5658" s="6" t="s">
        <v>2189</v>
      </c>
      <c r="I5658" t="s">
        <v>2000</v>
      </c>
      <c r="J5658">
        <v>10</v>
      </c>
      <c r="L5658" s="26" t="e">
        <f t="shared" si="323"/>
        <v>#VALUE!</v>
      </c>
    </row>
    <row r="5659" spans="1:12" x14ac:dyDescent="0.35">
      <c r="A5659">
        <f t="shared" si="324"/>
        <v>5658</v>
      </c>
      <c r="B5659" t="s">
        <v>110</v>
      </c>
      <c r="C5659" s="109" t="str">
        <f>IF(ISBLANK(K5659),IFERROR(VLOOKUP(I5659,FS_input_data!$C$458:$N$648,Export!J5659,FALSE),""),K5659)</f>
        <v/>
      </c>
      <c r="D5659" s="6"/>
      <c r="E5659" s="6"/>
      <c r="F5659" s="6"/>
      <c r="G5659" s="115" t="b">
        <f t="shared" si="325"/>
        <v>1</v>
      </c>
      <c r="H5659" s="6" t="s">
        <v>2189</v>
      </c>
      <c r="I5659" t="s">
        <v>1561</v>
      </c>
      <c r="J5659" t="s">
        <v>1561</v>
      </c>
      <c r="L5659">
        <f t="shared" si="323"/>
        <v>1</v>
      </c>
    </row>
    <row r="5660" spans="1:12" x14ac:dyDescent="0.35">
      <c r="A5660" s="9">
        <f t="shared" si="324"/>
        <v>5659</v>
      </c>
      <c r="B5660" t="s">
        <v>111</v>
      </c>
      <c r="C5660" s="109">
        <f>IF(ISBLANK(K5660),IFERROR(VLOOKUP(I5660,FS_input_data!$C$458:$N$648,Export!J5660,FALSE),""),K5660)</f>
        <v>47500</v>
      </c>
      <c r="D5660" s="6" t="b">
        <v>0</v>
      </c>
      <c r="E5660" s="6"/>
      <c r="F5660" s="6"/>
      <c r="G5660" s="115" t="b">
        <f t="shared" si="325"/>
        <v>1</v>
      </c>
      <c r="H5660" s="6" t="s">
        <v>2189</v>
      </c>
      <c r="I5660" t="s">
        <v>2000</v>
      </c>
      <c r="J5660">
        <v>11</v>
      </c>
      <c r="L5660" s="26" t="e">
        <f t="shared" si="323"/>
        <v>#VALUE!</v>
      </c>
    </row>
    <row r="5661" spans="1:12" x14ac:dyDescent="0.35">
      <c r="A5661">
        <f t="shared" si="324"/>
        <v>5660</v>
      </c>
      <c r="B5661" t="s">
        <v>112</v>
      </c>
      <c r="C5661" s="109" t="str">
        <f>IF(ISBLANK(K5661),IFERROR(VLOOKUP(I5661,FS_input_data!$C$458:$N$648,Export!J5661,FALSE),""),K5661)</f>
        <v/>
      </c>
      <c r="D5661" s="6"/>
      <c r="E5661" s="6"/>
      <c r="F5661" s="6"/>
      <c r="G5661" s="115" t="b">
        <f t="shared" si="325"/>
        <v>1</v>
      </c>
      <c r="H5661" s="6" t="s">
        <v>2189</v>
      </c>
      <c r="I5661" t="s">
        <v>1561</v>
      </c>
      <c r="J5661" t="s">
        <v>1561</v>
      </c>
      <c r="L5661">
        <f t="shared" si="323"/>
        <v>1</v>
      </c>
    </row>
    <row r="5662" spans="1:12" x14ac:dyDescent="0.35">
      <c r="A5662" s="9">
        <f t="shared" si="324"/>
        <v>5661</v>
      </c>
      <c r="B5662" t="s">
        <v>749</v>
      </c>
      <c r="C5662" s="109">
        <f>IF(ISBLANK(K5662),IFERROR(VLOOKUP(I5662,FS_input_data!$C$458:$N$648,Export!J5662,FALSE),""),K5662)</f>
        <v>47500</v>
      </c>
      <c r="D5662" s="6" t="b">
        <v>0</v>
      </c>
      <c r="E5662" s="6"/>
      <c r="F5662" s="6"/>
      <c r="G5662" s="115" t="b">
        <f t="shared" si="325"/>
        <v>1</v>
      </c>
      <c r="H5662" s="6" t="s">
        <v>2189</v>
      </c>
      <c r="I5662" t="s">
        <v>2000</v>
      </c>
      <c r="J5662">
        <v>12</v>
      </c>
      <c r="L5662" s="26" t="e">
        <f t="shared" si="323"/>
        <v>#VALUE!</v>
      </c>
    </row>
    <row r="5663" spans="1:12" x14ac:dyDescent="0.35">
      <c r="A5663">
        <f t="shared" si="324"/>
        <v>5662</v>
      </c>
      <c r="B5663" t="s">
        <v>750</v>
      </c>
      <c r="C5663" s="109" t="str">
        <f>IF(ISBLANK(K5663),IFERROR(VLOOKUP(I5663,FS_input_data!$C$458:$N$648,Export!J5663,FALSE),""),K5663)</f>
        <v/>
      </c>
      <c r="D5663" s="6"/>
      <c r="E5663" s="6"/>
      <c r="F5663" s="6"/>
      <c r="G5663" s="115" t="b">
        <f t="shared" si="325"/>
        <v>1</v>
      </c>
      <c r="H5663" s="6" t="s">
        <v>2189</v>
      </c>
      <c r="I5663" t="s">
        <v>1561</v>
      </c>
      <c r="J5663" t="s">
        <v>1561</v>
      </c>
      <c r="L5663">
        <f t="shared" si="323"/>
        <v>1</v>
      </c>
    </row>
    <row r="5664" spans="1:12" x14ac:dyDescent="0.35">
      <c r="A5664">
        <f t="shared" si="324"/>
        <v>5663</v>
      </c>
      <c r="B5664" t="s">
        <v>745</v>
      </c>
      <c r="C5664" s="109" t="str">
        <f>IF(ISBLANK(K5664),IFERROR(VLOOKUP(I5664,FS_input_data!$C$458:$N$648,Export!J5664,FALSE),""),K5664)</f>
        <v/>
      </c>
      <c r="D5664" s="6"/>
      <c r="E5664" s="6"/>
      <c r="F5664" s="6"/>
      <c r="G5664" s="115" t="b">
        <f t="shared" si="325"/>
        <v>1</v>
      </c>
      <c r="H5664" s="6" t="s">
        <v>2189</v>
      </c>
      <c r="I5664" t="s">
        <v>1561</v>
      </c>
      <c r="J5664" t="s">
        <v>1561</v>
      </c>
      <c r="L5664">
        <f t="shared" si="323"/>
        <v>1</v>
      </c>
    </row>
    <row r="5665" spans="1:12" x14ac:dyDescent="0.35">
      <c r="A5665">
        <f t="shared" si="324"/>
        <v>5664</v>
      </c>
      <c r="B5665" t="s">
        <v>764</v>
      </c>
      <c r="C5665" s="109" t="str">
        <f>IF(ISBLANK(K5665),IFERROR(VLOOKUP(I5665,FS_input_data!$C$458:$N$648,Export!J5665,FALSE),""),K5665)</f>
        <v/>
      </c>
      <c r="D5665" s="6"/>
      <c r="E5665" s="6"/>
      <c r="F5665" s="6"/>
      <c r="G5665" s="115" t="b">
        <f>VLOOKUP(I5634,FS_input_noty,J5634,FALSE)=""</f>
        <v>0</v>
      </c>
      <c r="H5665" s="6" t="s">
        <v>2189</v>
      </c>
      <c r="I5665" t="s">
        <v>1561</v>
      </c>
      <c r="J5665" t="s">
        <v>1561</v>
      </c>
      <c r="L5665">
        <f t="shared" si="323"/>
        <v>1</v>
      </c>
    </row>
    <row r="5666" spans="1:12" x14ac:dyDescent="0.35">
      <c r="A5666">
        <f t="shared" si="324"/>
        <v>5665</v>
      </c>
      <c r="B5666" t="s">
        <v>765</v>
      </c>
      <c r="C5666" s="109" t="str">
        <f>IF(ISBLANK(K5666),IFERROR(VLOOKUP(I5666,FS_input_data!$C$458:$N$648,Export!J5666,FALSE),""),K5666)</f>
        <v/>
      </c>
      <c r="D5666" s="6"/>
      <c r="E5666" s="6"/>
      <c r="F5666" s="6"/>
      <c r="G5666" s="115" t="b">
        <f>VLOOKUP(I5634,FS_input_noty,J5634,FALSE)=""</f>
        <v>0</v>
      </c>
      <c r="H5666" s="6" t="s">
        <v>2189</v>
      </c>
      <c r="I5666" t="s">
        <v>1561</v>
      </c>
      <c r="J5666" t="s">
        <v>1561</v>
      </c>
      <c r="L5666">
        <f t="shared" si="323"/>
        <v>1</v>
      </c>
    </row>
    <row r="5667" spans="1:12" x14ac:dyDescent="0.35">
      <c r="A5667">
        <f t="shared" si="324"/>
        <v>5666</v>
      </c>
      <c r="B5667" t="s">
        <v>752</v>
      </c>
      <c r="C5667" s="109" t="str">
        <f>IF(ISBLANK(K5667),IFERROR(VLOOKUP(I5667,FS_input_data!$C$458:$N$648,Export!J5667,FALSE),""),K5667)</f>
        <v/>
      </c>
      <c r="D5667" s="6"/>
      <c r="E5667" s="6"/>
      <c r="F5667" s="6"/>
      <c r="G5667" s="115" t="b">
        <f>VLOOKUP(I5668,FS_input_noty,J5668,FALSE)=""</f>
        <v>0</v>
      </c>
      <c r="H5667" s="6" t="s">
        <v>2189</v>
      </c>
      <c r="I5667" t="s">
        <v>1561</v>
      </c>
      <c r="J5667" t="s">
        <v>1561</v>
      </c>
      <c r="L5667" s="26" t="e">
        <f t="shared" si="323"/>
        <v>#VALUE!</v>
      </c>
    </row>
    <row r="5668" spans="1:12" x14ac:dyDescent="0.35">
      <c r="A5668" s="9">
        <f t="shared" si="324"/>
        <v>5667</v>
      </c>
      <c r="B5668" t="s">
        <v>101</v>
      </c>
      <c r="C5668" s="109" t="str">
        <f>IF(ISBLANK(K5668),IFERROR(VLOOKUP(I5668,FS_input_data!$C$458:$N$648,Export!J5668,FALSE),""),K5668)</f>
        <v>OC73</v>
      </c>
      <c r="D5668" s="6" t="b">
        <v>1</v>
      </c>
      <c r="E5668" s="6"/>
      <c r="F5668" s="6"/>
      <c r="G5668" s="115" t="b">
        <f>VLOOKUP(I5668,FS_input_noty,J5668,FALSE)=""</f>
        <v>0</v>
      </c>
      <c r="H5668" s="6" t="s">
        <v>2189</v>
      </c>
      <c r="I5668" t="s">
        <v>2002</v>
      </c>
      <c r="J5668">
        <v>6</v>
      </c>
      <c r="L5668" s="26" t="e">
        <f t="shared" si="323"/>
        <v>#VALUE!</v>
      </c>
    </row>
    <row r="5669" spans="1:12" x14ac:dyDescent="0.35">
      <c r="A5669">
        <f t="shared" si="324"/>
        <v>5668</v>
      </c>
      <c r="B5669" t="s">
        <v>102</v>
      </c>
      <c r="C5669" s="109" t="str">
        <f>IF(ISBLANK(K5669),IFERROR(VLOOKUP(I5669,FS_input_data!$C$458:$N$648,Export!J5669,FALSE),""),K5669)</f>
        <v/>
      </c>
      <c r="D5669" s="6"/>
      <c r="E5669" s="6"/>
      <c r="F5669" s="6"/>
      <c r="G5669" s="115" t="b">
        <f>VLOOKUP(I5668,FS_input_noty,J5668,FALSE)=""</f>
        <v>0</v>
      </c>
      <c r="H5669" s="6" t="s">
        <v>2189</v>
      </c>
      <c r="I5669" t="s">
        <v>1561</v>
      </c>
      <c r="J5669" t="s">
        <v>1561</v>
      </c>
      <c r="L5669">
        <f t="shared" si="323"/>
        <v>1</v>
      </c>
    </row>
    <row r="5670" spans="1:12" x14ac:dyDescent="0.35">
      <c r="A5670">
        <f t="shared" si="324"/>
        <v>5669</v>
      </c>
      <c r="B5670" t="s">
        <v>753</v>
      </c>
      <c r="C5670" s="109" t="str">
        <f>IF(ISBLANK(K5670),IFERROR(VLOOKUP(I5670,FS_input_data!$C$458:$N$648,Export!J5670,FALSE),""),K5670)</f>
        <v/>
      </c>
      <c r="D5670" s="6"/>
      <c r="E5670" s="6"/>
      <c r="F5670" s="6"/>
      <c r="G5670" s="115" t="b">
        <f>VLOOKUP(I5668,FS_input_noty,J5668,FALSE)=""</f>
        <v>0</v>
      </c>
      <c r="H5670" s="6" t="s">
        <v>2189</v>
      </c>
      <c r="I5670" t="s">
        <v>1561</v>
      </c>
      <c r="J5670" t="s">
        <v>1561</v>
      </c>
      <c r="L5670" s="26" t="e">
        <f t="shared" si="323"/>
        <v>#VALUE!</v>
      </c>
    </row>
    <row r="5671" spans="1:12" x14ac:dyDescent="0.35">
      <c r="A5671">
        <f t="shared" si="324"/>
        <v>5670</v>
      </c>
      <c r="B5671" t="s">
        <v>742</v>
      </c>
      <c r="C5671" s="109" t="str">
        <f>IF(ISBLANK(K5671),IFERROR(VLOOKUP(I5671,FS_input_data!$C$458:$N$648,Export!J5671,FALSE),""),K5671)</f>
        <v/>
      </c>
      <c r="D5671" s="6"/>
      <c r="E5671" s="6"/>
      <c r="F5671" s="6"/>
      <c r="G5671" s="115" t="b">
        <f>VLOOKUP(I5668,FS_input_noty,J5668,FALSE)=""</f>
        <v>0</v>
      </c>
      <c r="H5671" s="6" t="s">
        <v>2189</v>
      </c>
      <c r="I5671" t="s">
        <v>1561</v>
      </c>
      <c r="J5671" t="s">
        <v>1561</v>
      </c>
      <c r="L5671" s="26" t="e">
        <f t="shared" si="323"/>
        <v>#VALUE!</v>
      </c>
    </row>
    <row r="5672" spans="1:12" x14ac:dyDescent="0.35">
      <c r="A5672">
        <f t="shared" si="324"/>
        <v>5671</v>
      </c>
      <c r="B5672" t="s">
        <v>748</v>
      </c>
      <c r="C5672" s="109" t="str">
        <f>IF(ISBLANK(K5672),IFERROR(VLOOKUP(I5672,FS_input_data!$C$458:$N$648,Export!J5672,FALSE),""),K5672)</f>
        <v/>
      </c>
      <c r="D5672" s="6"/>
      <c r="E5672" s="6"/>
      <c r="F5672" s="6"/>
      <c r="G5672" s="115" t="b">
        <f>VLOOKUP(I5668,FS_input_noty,J5668,FALSE)=""</f>
        <v>0</v>
      </c>
      <c r="H5672" s="6" t="s">
        <v>2189</v>
      </c>
      <c r="I5672" t="s">
        <v>1561</v>
      </c>
      <c r="J5672" t="s">
        <v>1561</v>
      </c>
      <c r="L5672" s="26" t="e">
        <f t="shared" si="323"/>
        <v>#VALUE!</v>
      </c>
    </row>
    <row r="5673" spans="1:12" x14ac:dyDescent="0.35">
      <c r="A5673" s="9">
        <f t="shared" si="324"/>
        <v>5672</v>
      </c>
      <c r="B5673" t="s">
        <v>109</v>
      </c>
      <c r="C5673" s="109">
        <f>IF(ISBLANK(K5673),IFERROR(VLOOKUP(I5673,FS_input_data!$C$458:$N$648,Export!J5673,FALSE),""),K5673)</f>
        <v>96000</v>
      </c>
      <c r="D5673" s="6" t="b">
        <v>1</v>
      </c>
      <c r="E5673" s="6"/>
      <c r="F5673" s="6"/>
      <c r="G5673" s="115" t="b">
        <f>VLOOKUP(I5668,FS_input_noty,J5668,FALSE)=""</f>
        <v>0</v>
      </c>
      <c r="H5673" s="6" t="s">
        <v>2189</v>
      </c>
      <c r="I5673" t="s">
        <v>2002</v>
      </c>
      <c r="J5673">
        <v>7</v>
      </c>
      <c r="L5673" s="26" t="e">
        <f t="shared" si="323"/>
        <v>#VALUE!</v>
      </c>
    </row>
    <row r="5674" spans="1:12" x14ac:dyDescent="0.35">
      <c r="A5674">
        <f t="shared" si="324"/>
        <v>5673</v>
      </c>
      <c r="B5674" t="s">
        <v>110</v>
      </c>
      <c r="C5674" s="109" t="str">
        <f>IF(ISBLANK(K5674),IFERROR(VLOOKUP(I5674,FS_input_data!$C$458:$N$648,Export!J5674,FALSE),""),K5674)</f>
        <v/>
      </c>
      <c r="D5674" s="6"/>
      <c r="E5674" s="6"/>
      <c r="F5674" s="6"/>
      <c r="G5674" s="115" t="b">
        <f>VLOOKUP(I5668,FS_input_noty,J5668,FALSE)=""</f>
        <v>0</v>
      </c>
      <c r="H5674" s="6" t="s">
        <v>2189</v>
      </c>
      <c r="I5674" t="s">
        <v>1561</v>
      </c>
      <c r="J5674" t="s">
        <v>1561</v>
      </c>
      <c r="L5674">
        <f t="shared" si="323"/>
        <v>1</v>
      </c>
    </row>
    <row r="5675" spans="1:12" x14ac:dyDescent="0.35">
      <c r="A5675" s="9">
        <f t="shared" si="324"/>
        <v>5674</v>
      </c>
      <c r="B5675" t="s">
        <v>111</v>
      </c>
      <c r="C5675" s="109">
        <f>IF(ISBLANK(K5675),IFERROR(VLOOKUP(I5675,FS_input_data!$C$458:$N$648,Export!J5675,FALSE),""),K5675)</f>
        <v>48000</v>
      </c>
      <c r="D5675" s="6" t="b">
        <v>0</v>
      </c>
      <c r="E5675" s="6"/>
      <c r="F5675" s="6"/>
      <c r="G5675" s="115" t="b">
        <f>VLOOKUP(I5668,FS_input_noty,J5668,TRUE)=""</f>
        <v>0</v>
      </c>
      <c r="H5675" s="6" t="s">
        <v>2189</v>
      </c>
      <c r="I5675" t="s">
        <v>2002</v>
      </c>
      <c r="J5675">
        <v>8</v>
      </c>
      <c r="L5675" s="26" t="e">
        <f t="shared" si="323"/>
        <v>#VALUE!</v>
      </c>
    </row>
    <row r="5676" spans="1:12" x14ac:dyDescent="0.35">
      <c r="A5676">
        <f t="shared" si="324"/>
        <v>5675</v>
      </c>
      <c r="B5676" t="s">
        <v>112</v>
      </c>
      <c r="C5676" s="109" t="str">
        <f>IF(ISBLANK(K5676),IFERROR(VLOOKUP(I5676,FS_input_data!$C$458:$N$648,Export!J5676,FALSE),""),K5676)</f>
        <v/>
      </c>
      <c r="D5676" s="6"/>
      <c r="E5676" s="6"/>
      <c r="F5676" s="6"/>
      <c r="G5676" s="115" t="b">
        <f>VLOOKUP(I5668,FS_input_noty,J5668,FALSE)=""</f>
        <v>0</v>
      </c>
      <c r="H5676" s="6" t="s">
        <v>2189</v>
      </c>
      <c r="I5676" t="s">
        <v>1561</v>
      </c>
      <c r="J5676" t="s">
        <v>1561</v>
      </c>
      <c r="L5676">
        <f t="shared" si="323"/>
        <v>1</v>
      </c>
    </row>
    <row r="5677" spans="1:12" x14ac:dyDescent="0.35">
      <c r="A5677" s="9">
        <f t="shared" si="324"/>
        <v>5676</v>
      </c>
      <c r="B5677" t="s">
        <v>749</v>
      </c>
      <c r="C5677" s="109">
        <f>IF(ISBLANK(K5677),IFERROR(VLOOKUP(I5677,FS_input_data!$C$458:$N$648,Export!J5677,FALSE),""),K5677)</f>
        <v>48000</v>
      </c>
      <c r="D5677" s="6" t="b">
        <v>0</v>
      </c>
      <c r="E5677" s="6"/>
      <c r="F5677" s="6"/>
      <c r="G5677" s="115" t="b">
        <f>VLOOKUP(I5668,FS_input_noty,J5668,FALSE)=""</f>
        <v>0</v>
      </c>
      <c r="H5677" s="6" t="s">
        <v>2189</v>
      </c>
      <c r="I5677" t="s">
        <v>2002</v>
      </c>
      <c r="J5677">
        <v>9</v>
      </c>
      <c r="L5677" s="26" t="e">
        <f t="shared" si="323"/>
        <v>#VALUE!</v>
      </c>
    </row>
    <row r="5678" spans="1:12" x14ac:dyDescent="0.35">
      <c r="A5678">
        <f t="shared" si="324"/>
        <v>5677</v>
      </c>
      <c r="B5678" t="s">
        <v>750</v>
      </c>
      <c r="C5678" s="109" t="str">
        <f>IF(ISBLANK(K5678),IFERROR(VLOOKUP(I5678,FS_input_data!$C$458:$N$648,Export!J5678,FALSE),""),K5678)</f>
        <v/>
      </c>
      <c r="D5678" s="6"/>
      <c r="E5678" s="6"/>
      <c r="F5678" s="6"/>
      <c r="G5678" s="115" t="b">
        <f>VLOOKUP(I5668,FS_input_noty,J5668,FALSE)=""</f>
        <v>0</v>
      </c>
      <c r="H5678" s="6" t="s">
        <v>2189</v>
      </c>
      <c r="I5678" t="s">
        <v>1561</v>
      </c>
      <c r="J5678" t="s">
        <v>1561</v>
      </c>
      <c r="L5678">
        <f t="shared" si="323"/>
        <v>1</v>
      </c>
    </row>
    <row r="5679" spans="1:12" x14ac:dyDescent="0.35">
      <c r="A5679">
        <f t="shared" si="324"/>
        <v>5678</v>
      </c>
      <c r="B5679" t="s">
        <v>751</v>
      </c>
      <c r="C5679" s="109" t="str">
        <f>IF(ISBLANK(K5679),IFERROR(VLOOKUP(I5679,FS_input_data!$C$458:$N$648,Export!J5679,FALSE),""),K5679)</f>
        <v/>
      </c>
      <c r="D5679" s="6"/>
      <c r="E5679" s="6"/>
      <c r="F5679" s="6"/>
      <c r="G5679" s="115" t="b">
        <f>VLOOKUP(I5668,FS_input_noty,J5668,FALSE)=""</f>
        <v>0</v>
      </c>
      <c r="H5679" s="6" t="s">
        <v>2189</v>
      </c>
      <c r="I5679" t="s">
        <v>1561</v>
      </c>
      <c r="J5679" t="s">
        <v>1561</v>
      </c>
      <c r="L5679">
        <f t="shared" si="323"/>
        <v>1</v>
      </c>
    </row>
    <row r="5680" spans="1:12" x14ac:dyDescent="0.35">
      <c r="A5680">
        <f t="shared" si="324"/>
        <v>5679</v>
      </c>
      <c r="B5680" t="s">
        <v>754</v>
      </c>
      <c r="C5680" s="109" t="str">
        <f>IF(ISBLANK(K5680),IFERROR(VLOOKUP(I5680,FS_input_data!$C$458:$N$648,Export!J5680,FALSE),""),K5680)</f>
        <v/>
      </c>
      <c r="D5680" s="6"/>
      <c r="E5680" s="6"/>
      <c r="F5680" s="6"/>
      <c r="G5680" s="115" t="b">
        <f>VLOOKUP(I5668,FS_input_noty,J5668,FALSE)=""</f>
        <v>0</v>
      </c>
      <c r="H5680" s="6" t="s">
        <v>2189</v>
      </c>
      <c r="I5680" t="s">
        <v>1561</v>
      </c>
      <c r="J5680" t="s">
        <v>1561</v>
      </c>
      <c r="L5680" s="26" t="e">
        <f t="shared" si="323"/>
        <v>#VALUE!</v>
      </c>
    </row>
    <row r="5681" spans="1:12" x14ac:dyDescent="0.35">
      <c r="A5681" s="9">
        <f t="shared" si="324"/>
        <v>5680</v>
      </c>
      <c r="B5681" t="s">
        <v>755</v>
      </c>
      <c r="C5681" s="109">
        <f>IF(ISBLANK(K5681),IFERROR(VLOOKUP(I5681,FS_input_data!$C$458:$N$648,Export!J5681,FALSE),""),K5681)</f>
        <v>96</v>
      </c>
      <c r="D5681" s="6" t="b">
        <v>1</v>
      </c>
      <c r="E5681" s="6"/>
      <c r="F5681" s="6"/>
      <c r="G5681" s="115" t="b">
        <f>VLOOKUP(I5668,FS_input_noty,J5668,FALSE)=""</f>
        <v>0</v>
      </c>
      <c r="H5681" s="6" t="s">
        <v>2189</v>
      </c>
      <c r="I5681" t="s">
        <v>2002</v>
      </c>
      <c r="J5681">
        <v>2</v>
      </c>
      <c r="L5681" s="26" t="e">
        <f t="shared" si="323"/>
        <v>#VALUE!</v>
      </c>
    </row>
    <row r="5682" spans="1:12" x14ac:dyDescent="0.35">
      <c r="A5682">
        <f t="shared" si="324"/>
        <v>5681</v>
      </c>
      <c r="B5682" t="s">
        <v>756</v>
      </c>
      <c r="C5682" s="109" t="str">
        <f>IF(ISBLANK(K5682),IFERROR(VLOOKUP(I5682,FS_input_data!$C$458:$N$648,Export!J5682,FALSE),""),K5682)</f>
        <v/>
      </c>
      <c r="D5682" s="6"/>
      <c r="E5682" s="6"/>
      <c r="F5682" s="6"/>
      <c r="G5682" s="115" t="b">
        <f>VLOOKUP(I5668,FS_input_noty,J5668,FALSE)=""</f>
        <v>0</v>
      </c>
      <c r="H5682" s="6" t="s">
        <v>2189</v>
      </c>
      <c r="I5682" t="s">
        <v>1561</v>
      </c>
      <c r="J5682" t="s">
        <v>1561</v>
      </c>
      <c r="L5682">
        <f t="shared" si="323"/>
        <v>1</v>
      </c>
    </row>
    <row r="5683" spans="1:12" x14ac:dyDescent="0.35">
      <c r="A5683" s="9">
        <f t="shared" si="324"/>
        <v>5682</v>
      </c>
      <c r="B5683" t="s">
        <v>757</v>
      </c>
      <c r="C5683" s="109">
        <f>IF(ISBLANK(K5683),IFERROR(VLOOKUP(I5683,FS_input_data!$C$458:$N$648,Export!J5683,FALSE),""),K5683)</f>
        <v>196</v>
      </c>
      <c r="D5683" s="6" t="b">
        <v>0</v>
      </c>
      <c r="E5683" s="6"/>
      <c r="F5683" s="6"/>
      <c r="G5683" s="115" t="b">
        <f>VLOOKUP(I5668,FS_input_noty,J5668,FALSE)=""</f>
        <v>0</v>
      </c>
      <c r="H5683" s="6" t="s">
        <v>2189</v>
      </c>
      <c r="I5683" t="s">
        <v>2002</v>
      </c>
      <c r="J5683">
        <v>3</v>
      </c>
      <c r="L5683" s="26" t="e">
        <f t="shared" si="323"/>
        <v>#VALUE!</v>
      </c>
    </row>
    <row r="5684" spans="1:12" x14ac:dyDescent="0.35">
      <c r="A5684">
        <f t="shared" si="324"/>
        <v>5683</v>
      </c>
      <c r="B5684" t="s">
        <v>758</v>
      </c>
      <c r="C5684" s="109" t="str">
        <f>IF(ISBLANK(K5684),IFERROR(VLOOKUP(I5684,FS_input_data!$C$458:$N$648,Export!J5684,FALSE),""),K5684)</f>
        <v/>
      </c>
      <c r="D5684" s="6"/>
      <c r="E5684" s="6"/>
      <c r="F5684" s="6"/>
      <c r="G5684" s="115" t="b">
        <f>VLOOKUP(I5668,FS_input_noty,J5668,FALSE)=""</f>
        <v>0</v>
      </c>
      <c r="H5684" s="6" t="s">
        <v>2189</v>
      </c>
      <c r="I5684" t="s">
        <v>1561</v>
      </c>
      <c r="J5684" t="s">
        <v>1561</v>
      </c>
      <c r="L5684">
        <f t="shared" si="323"/>
        <v>1</v>
      </c>
    </row>
    <row r="5685" spans="1:12" x14ac:dyDescent="0.35">
      <c r="A5685" s="9">
        <f t="shared" si="324"/>
        <v>5684</v>
      </c>
      <c r="B5685" t="s">
        <v>759</v>
      </c>
      <c r="C5685" s="109">
        <f>IF(ISBLANK(K5685),IFERROR(VLOOKUP(I5685,FS_input_data!$C$458:$N$648,Export!J5685,FALSE),""),K5685)</f>
        <v>296</v>
      </c>
      <c r="D5685" s="6" t="b">
        <v>0</v>
      </c>
      <c r="E5685" s="6"/>
      <c r="F5685" s="6"/>
      <c r="G5685" s="115" t="b">
        <f>VLOOKUP(I5668,FS_input_noty,J5668,FALSE)=""</f>
        <v>0</v>
      </c>
      <c r="H5685" s="6" t="s">
        <v>2189</v>
      </c>
      <c r="I5685" t="s">
        <v>2002</v>
      </c>
      <c r="J5685">
        <v>4</v>
      </c>
      <c r="L5685" s="26" t="e">
        <f t="shared" si="323"/>
        <v>#VALUE!</v>
      </c>
    </row>
    <row r="5686" spans="1:12" x14ac:dyDescent="0.35">
      <c r="A5686">
        <f t="shared" si="324"/>
        <v>5685</v>
      </c>
      <c r="B5686" t="s">
        <v>760</v>
      </c>
      <c r="C5686" s="109" t="str">
        <f>IF(ISBLANK(K5686),IFERROR(VLOOKUP(I5686,FS_input_data!$C$458:$N$648,Export!J5686,FALSE),""),K5686)</f>
        <v/>
      </c>
      <c r="D5686" s="6"/>
      <c r="E5686" s="6"/>
      <c r="F5686" s="6"/>
      <c r="G5686" s="115" t="b">
        <f>VLOOKUP(I5668,FS_input_noty,J5668,FALSE)=""</f>
        <v>0</v>
      </c>
      <c r="H5686" s="6" t="s">
        <v>2189</v>
      </c>
      <c r="I5686" t="s">
        <v>1561</v>
      </c>
      <c r="J5686" t="s">
        <v>1561</v>
      </c>
      <c r="L5686">
        <f t="shared" si="323"/>
        <v>1</v>
      </c>
    </row>
    <row r="5687" spans="1:12" x14ac:dyDescent="0.35">
      <c r="A5687" s="9">
        <f t="shared" si="324"/>
        <v>5686</v>
      </c>
      <c r="B5687" t="s">
        <v>761</v>
      </c>
      <c r="C5687" s="109" t="str">
        <f>IF(ISBLANK(K5687),IFERROR(VLOOKUP(I5687,FS_input_data!$C$458:$N$648,Export!J5687,FALSE),""),K5687)</f>
        <v>j</v>
      </c>
      <c r="D5687" s="6" t="b">
        <v>0</v>
      </c>
      <c r="E5687" s="6"/>
      <c r="F5687" s="6"/>
      <c r="G5687" s="115" t="b">
        <f>VLOOKUP(I5668,FS_input_noty,J5668,FALSE)=""</f>
        <v>0</v>
      </c>
      <c r="H5687" s="6" t="s">
        <v>2189</v>
      </c>
      <c r="I5687" t="s">
        <v>2002</v>
      </c>
      <c r="J5687">
        <v>5</v>
      </c>
      <c r="L5687" s="26" t="e">
        <f t="shared" si="323"/>
        <v>#VALUE!</v>
      </c>
    </row>
    <row r="5688" spans="1:12" x14ac:dyDescent="0.35">
      <c r="A5688">
        <f t="shared" si="324"/>
        <v>5687</v>
      </c>
      <c r="B5688" t="s">
        <v>762</v>
      </c>
      <c r="C5688" s="109" t="str">
        <f>IF(ISBLANK(K5688),IFERROR(VLOOKUP(I5688,FS_input_data!$C$458:$N$648,Export!J5688,FALSE),""),K5688)</f>
        <v/>
      </c>
      <c r="D5688" s="6"/>
      <c r="E5688" s="6"/>
      <c r="F5688" s="6"/>
      <c r="G5688" s="115" t="b">
        <f>VLOOKUP(I5668,FS_input_noty,J5668,FALSE)=""</f>
        <v>0</v>
      </c>
      <c r="H5688" s="6" t="s">
        <v>2189</v>
      </c>
      <c r="I5688" t="s">
        <v>1561</v>
      </c>
      <c r="J5688" t="s">
        <v>1561</v>
      </c>
      <c r="L5688">
        <f t="shared" si="323"/>
        <v>1</v>
      </c>
    </row>
    <row r="5689" spans="1:12" x14ac:dyDescent="0.35">
      <c r="A5689">
        <f t="shared" si="324"/>
        <v>5688</v>
      </c>
      <c r="B5689" t="s">
        <v>763</v>
      </c>
      <c r="C5689" s="109" t="str">
        <f>IF(ISBLANK(K5689),IFERROR(VLOOKUP(I5689,FS_input_data!$C$458:$N$648,Export!J5689,FALSE),""),K5689)</f>
        <v/>
      </c>
      <c r="D5689" s="6"/>
      <c r="E5689" s="6"/>
      <c r="F5689" s="6"/>
      <c r="G5689" s="115" t="b">
        <f>VLOOKUP(I5668,FS_input_noty,J5668,FALSE)=""</f>
        <v>0</v>
      </c>
      <c r="H5689" s="6" t="s">
        <v>2189</v>
      </c>
      <c r="I5689" t="s">
        <v>1561</v>
      </c>
      <c r="J5689" t="s">
        <v>1561</v>
      </c>
      <c r="L5689">
        <f t="shared" si="323"/>
        <v>1</v>
      </c>
    </row>
    <row r="5690" spans="1:12" x14ac:dyDescent="0.35">
      <c r="A5690">
        <f t="shared" si="324"/>
        <v>5689</v>
      </c>
      <c r="B5690" t="s">
        <v>743</v>
      </c>
      <c r="C5690" s="109" t="str">
        <f>IF(ISBLANK(K5690),IFERROR(VLOOKUP(I5690,FS_input_data!$C$458:$N$648,Export!J5690,FALSE),""),K5690)</f>
        <v/>
      </c>
      <c r="D5690" s="6"/>
      <c r="E5690" s="6"/>
      <c r="F5690" s="6"/>
      <c r="G5690" s="115" t="b">
        <f>VLOOKUP(I5668,FS_input_noty,J5668,FALSE)=""</f>
        <v>0</v>
      </c>
      <c r="H5690" s="6" t="s">
        <v>2189</v>
      </c>
      <c r="I5690" t="s">
        <v>1561</v>
      </c>
      <c r="J5690" t="s">
        <v>1561</v>
      </c>
      <c r="L5690">
        <f t="shared" si="323"/>
        <v>1</v>
      </c>
    </row>
    <row r="5691" spans="1:12" x14ac:dyDescent="0.35">
      <c r="A5691">
        <f t="shared" si="324"/>
        <v>5690</v>
      </c>
      <c r="B5691" t="s">
        <v>744</v>
      </c>
      <c r="C5691" s="109" t="str">
        <f>IF(ISBLANK(K5691),IFERROR(VLOOKUP(I5691,FS_input_data!$C$458:$N$648,Export!J5691,FALSE),""),K5691)</f>
        <v/>
      </c>
      <c r="D5691" s="6"/>
      <c r="E5691" s="6"/>
      <c r="F5691" s="6"/>
      <c r="G5691" s="115" t="b">
        <f t="shared" ref="G5691:G5698" si="326">RP_tax</f>
        <v>1</v>
      </c>
      <c r="H5691" s="6" t="s">
        <v>2189</v>
      </c>
      <c r="I5691" t="s">
        <v>1561</v>
      </c>
      <c r="J5691" t="s">
        <v>1561</v>
      </c>
      <c r="L5691" s="26" t="e">
        <f t="shared" si="323"/>
        <v>#VALUE!</v>
      </c>
    </row>
    <row r="5692" spans="1:12" x14ac:dyDescent="0.35">
      <c r="A5692" s="9">
        <f t="shared" si="324"/>
        <v>5691</v>
      </c>
      <c r="B5692" t="s">
        <v>109</v>
      </c>
      <c r="C5692" s="109">
        <f>IF(ISBLANK(K5692),IFERROR(VLOOKUP(I5692,FS_input_data!$C$458:$N$648,Export!J5692,FALSE),""),K5692)</f>
        <v>96000</v>
      </c>
      <c r="D5692" s="6" t="b">
        <v>1</v>
      </c>
      <c r="E5692" s="6"/>
      <c r="F5692" s="6"/>
      <c r="G5692" s="115" t="b">
        <f t="shared" si="326"/>
        <v>1</v>
      </c>
      <c r="H5692" s="6" t="s">
        <v>2189</v>
      </c>
      <c r="I5692" t="s">
        <v>2002</v>
      </c>
      <c r="J5692">
        <v>10</v>
      </c>
      <c r="L5692" s="26" t="e">
        <f t="shared" si="323"/>
        <v>#VALUE!</v>
      </c>
    </row>
    <row r="5693" spans="1:12" x14ac:dyDescent="0.35">
      <c r="A5693">
        <f t="shared" si="324"/>
        <v>5692</v>
      </c>
      <c r="B5693" t="s">
        <v>110</v>
      </c>
      <c r="C5693" s="109" t="str">
        <f>IF(ISBLANK(K5693),IFERROR(VLOOKUP(I5693,FS_input_data!$C$458:$N$648,Export!J5693,FALSE),""),K5693)</f>
        <v/>
      </c>
      <c r="D5693" s="6"/>
      <c r="E5693" s="6"/>
      <c r="F5693" s="6"/>
      <c r="G5693" s="115" t="b">
        <f t="shared" si="326"/>
        <v>1</v>
      </c>
      <c r="H5693" s="6" t="s">
        <v>2189</v>
      </c>
      <c r="I5693" t="s">
        <v>1561</v>
      </c>
      <c r="J5693" t="s">
        <v>1561</v>
      </c>
      <c r="L5693">
        <f t="shared" si="323"/>
        <v>1</v>
      </c>
    </row>
    <row r="5694" spans="1:12" x14ac:dyDescent="0.35">
      <c r="A5694" s="9">
        <f t="shared" si="324"/>
        <v>5693</v>
      </c>
      <c r="B5694" t="s">
        <v>111</v>
      </c>
      <c r="C5694" s="109">
        <f>IF(ISBLANK(K5694),IFERROR(VLOOKUP(I5694,FS_input_data!$C$458:$N$648,Export!J5694,FALSE),""),K5694)</f>
        <v>48000</v>
      </c>
      <c r="D5694" s="6" t="b">
        <v>0</v>
      </c>
      <c r="E5694" s="6"/>
      <c r="F5694" s="6"/>
      <c r="G5694" s="115" t="b">
        <f t="shared" si="326"/>
        <v>1</v>
      </c>
      <c r="H5694" s="6" t="s">
        <v>2189</v>
      </c>
      <c r="I5694" t="s">
        <v>2002</v>
      </c>
      <c r="J5694">
        <v>11</v>
      </c>
      <c r="L5694" s="26" t="e">
        <f t="shared" si="323"/>
        <v>#VALUE!</v>
      </c>
    </row>
    <row r="5695" spans="1:12" x14ac:dyDescent="0.35">
      <c r="A5695">
        <f t="shared" si="324"/>
        <v>5694</v>
      </c>
      <c r="B5695" t="s">
        <v>112</v>
      </c>
      <c r="C5695" s="109" t="str">
        <f>IF(ISBLANK(K5695),IFERROR(VLOOKUP(I5695,FS_input_data!$C$458:$N$648,Export!J5695,FALSE),""),K5695)</f>
        <v/>
      </c>
      <c r="D5695" s="6"/>
      <c r="E5695" s="6"/>
      <c r="F5695" s="6"/>
      <c r="G5695" s="115" t="b">
        <f t="shared" si="326"/>
        <v>1</v>
      </c>
      <c r="H5695" s="6" t="s">
        <v>2189</v>
      </c>
      <c r="I5695" t="s">
        <v>1561</v>
      </c>
      <c r="J5695" t="s">
        <v>1561</v>
      </c>
      <c r="L5695">
        <f t="shared" si="323"/>
        <v>1</v>
      </c>
    </row>
    <row r="5696" spans="1:12" x14ac:dyDescent="0.35">
      <c r="A5696" s="9">
        <f t="shared" si="324"/>
        <v>5695</v>
      </c>
      <c r="B5696" t="s">
        <v>749</v>
      </c>
      <c r="C5696" s="109">
        <f>IF(ISBLANK(K5696),IFERROR(VLOOKUP(I5696,FS_input_data!$C$458:$N$648,Export!J5696,FALSE),""),K5696)</f>
        <v>48000</v>
      </c>
      <c r="D5696" s="6" t="b">
        <v>0</v>
      </c>
      <c r="E5696" s="6"/>
      <c r="F5696" s="6"/>
      <c r="G5696" s="115" t="b">
        <f t="shared" si="326"/>
        <v>1</v>
      </c>
      <c r="H5696" s="6" t="s">
        <v>2189</v>
      </c>
      <c r="I5696" t="s">
        <v>2002</v>
      </c>
      <c r="J5696">
        <v>12</v>
      </c>
      <c r="L5696" s="26" t="e">
        <f t="shared" si="323"/>
        <v>#VALUE!</v>
      </c>
    </row>
    <row r="5697" spans="1:12" x14ac:dyDescent="0.35">
      <c r="A5697">
        <f t="shared" si="324"/>
        <v>5696</v>
      </c>
      <c r="B5697" t="s">
        <v>750</v>
      </c>
      <c r="C5697" s="109" t="str">
        <f>IF(ISBLANK(K5697),IFERROR(VLOOKUP(I5697,FS_input_data!$C$458:$N$648,Export!J5697,FALSE),""),K5697)</f>
        <v/>
      </c>
      <c r="D5697" s="6"/>
      <c r="E5697" s="6"/>
      <c r="F5697" s="6"/>
      <c r="G5697" s="115" t="b">
        <f t="shared" si="326"/>
        <v>1</v>
      </c>
      <c r="H5697" s="6" t="s">
        <v>2189</v>
      </c>
      <c r="I5697" t="s">
        <v>1561</v>
      </c>
      <c r="J5697" t="s">
        <v>1561</v>
      </c>
      <c r="L5697">
        <f t="shared" si="323"/>
        <v>1</v>
      </c>
    </row>
    <row r="5698" spans="1:12" x14ac:dyDescent="0.35">
      <c r="A5698">
        <f t="shared" si="324"/>
        <v>5697</v>
      </c>
      <c r="B5698" t="s">
        <v>745</v>
      </c>
      <c r="C5698" s="109" t="str">
        <f>IF(ISBLANK(K5698),IFERROR(VLOOKUP(I5698,FS_input_data!$C$458:$N$648,Export!J5698,FALSE),""),K5698)</f>
        <v/>
      </c>
      <c r="D5698" s="6"/>
      <c r="E5698" s="6"/>
      <c r="F5698" s="6"/>
      <c r="G5698" s="115" t="b">
        <f t="shared" si="326"/>
        <v>1</v>
      </c>
      <c r="H5698" s="6" t="s">
        <v>2189</v>
      </c>
      <c r="I5698" t="s">
        <v>1561</v>
      </c>
      <c r="J5698" t="s">
        <v>1561</v>
      </c>
      <c r="L5698">
        <f t="shared" ref="L5698:L5761" si="327">FIND("/",B5698)</f>
        <v>1</v>
      </c>
    </row>
    <row r="5699" spans="1:12" x14ac:dyDescent="0.35">
      <c r="A5699">
        <f t="shared" ref="A5699:A5762" si="328">A5698+1</f>
        <v>5698</v>
      </c>
      <c r="B5699" t="s">
        <v>764</v>
      </c>
      <c r="C5699" s="109" t="str">
        <f>IF(ISBLANK(K5699),IFERROR(VLOOKUP(I5699,FS_input_data!$C$458:$N$648,Export!J5699,FALSE),""),K5699)</f>
        <v/>
      </c>
      <c r="D5699" s="6"/>
      <c r="E5699" s="6"/>
      <c r="F5699" s="6"/>
      <c r="G5699" s="115" t="b">
        <f>VLOOKUP(I5668,FS_input_noty,J5668,FALSE)=""</f>
        <v>0</v>
      </c>
      <c r="H5699" s="6" t="s">
        <v>2189</v>
      </c>
      <c r="I5699" t="s">
        <v>1561</v>
      </c>
      <c r="J5699" t="s">
        <v>1561</v>
      </c>
      <c r="L5699">
        <f t="shared" si="327"/>
        <v>1</v>
      </c>
    </row>
    <row r="5700" spans="1:12" x14ac:dyDescent="0.35">
      <c r="A5700">
        <f t="shared" si="328"/>
        <v>5699</v>
      </c>
      <c r="B5700" t="s">
        <v>765</v>
      </c>
      <c r="C5700" s="109" t="str">
        <f>IF(ISBLANK(K5700),IFERROR(VLOOKUP(I5700,FS_input_data!$C$458:$N$648,Export!J5700,FALSE),""),K5700)</f>
        <v/>
      </c>
      <c r="D5700" s="6"/>
      <c r="E5700" s="6"/>
      <c r="F5700" s="6"/>
      <c r="G5700" s="115" t="b">
        <f>VLOOKUP(I5668,FS_input_noty,J5668,FALSE)=""</f>
        <v>0</v>
      </c>
      <c r="H5700" s="6" t="s">
        <v>2189</v>
      </c>
      <c r="I5700" t="s">
        <v>1561</v>
      </c>
      <c r="J5700" t="s">
        <v>1561</v>
      </c>
      <c r="L5700">
        <f t="shared" si="327"/>
        <v>1</v>
      </c>
    </row>
    <row r="5701" spans="1:12" x14ac:dyDescent="0.35">
      <c r="A5701">
        <f t="shared" si="328"/>
        <v>5700</v>
      </c>
      <c r="B5701" t="s">
        <v>766</v>
      </c>
      <c r="C5701" s="109" t="str">
        <f>IF(ISBLANK(K5701),IFERROR(VLOOKUP(I5701,FS_input_data!$C$458:$N$648,Export!J5701,FALSE),""),K5701)</f>
        <v/>
      </c>
      <c r="D5701" s="6"/>
      <c r="E5701" s="6"/>
      <c r="F5701" s="6"/>
      <c r="G5701" s="119" t="b">
        <f t="shared" ref="G5701:G5709" si="329">VLOOKUP($I$5703,FS_input_noty,$J$5703,FALSE)=""</f>
        <v>0</v>
      </c>
      <c r="H5701" s="6" t="s">
        <v>2189</v>
      </c>
      <c r="I5701" t="s">
        <v>1561</v>
      </c>
      <c r="J5701" t="s">
        <v>1561</v>
      </c>
      <c r="L5701" s="26" t="e">
        <f t="shared" si="327"/>
        <v>#VALUE!</v>
      </c>
    </row>
    <row r="5702" spans="1:12" x14ac:dyDescent="0.35">
      <c r="A5702">
        <f t="shared" si="328"/>
        <v>5701</v>
      </c>
      <c r="B5702" t="s">
        <v>742</v>
      </c>
      <c r="C5702" s="109" t="str">
        <f>IF(ISBLANK(K5702),IFERROR(VLOOKUP(I5702,FS_input_data!$C$458:$N$648,Export!J5702,FALSE),""),K5702)</f>
        <v/>
      </c>
      <c r="D5702" s="6"/>
      <c r="E5702" s="6"/>
      <c r="F5702" s="6"/>
      <c r="G5702" s="119" t="b">
        <f t="shared" si="329"/>
        <v>0</v>
      </c>
      <c r="H5702" s="6" t="s">
        <v>2189</v>
      </c>
      <c r="I5702" t="s">
        <v>1561</v>
      </c>
      <c r="J5702" t="s">
        <v>1561</v>
      </c>
      <c r="L5702" s="26" t="e">
        <f t="shared" si="327"/>
        <v>#VALUE!</v>
      </c>
    </row>
    <row r="5703" spans="1:12" x14ac:dyDescent="0.35">
      <c r="A5703" s="9">
        <f t="shared" si="328"/>
        <v>5702</v>
      </c>
      <c r="B5703" t="s">
        <v>109</v>
      </c>
      <c r="C5703" s="109">
        <f>IF(ISBLANK(K5703),IFERROR(VLOOKUP(I5703,FS_input_data!$C$458:$N$648,Export!J5703,FALSE),""),K5703)</f>
        <v>97000</v>
      </c>
      <c r="D5703" s="6" t="b">
        <v>1</v>
      </c>
      <c r="E5703" s="6"/>
      <c r="F5703" s="6"/>
      <c r="G5703" s="119" t="b">
        <f t="shared" si="329"/>
        <v>0</v>
      </c>
      <c r="H5703" s="6" t="s">
        <v>2189</v>
      </c>
      <c r="I5703" t="s">
        <v>2199</v>
      </c>
      <c r="J5703">
        <v>7</v>
      </c>
      <c r="L5703" s="26" t="e">
        <f t="shared" si="327"/>
        <v>#VALUE!</v>
      </c>
    </row>
    <row r="5704" spans="1:12" x14ac:dyDescent="0.35">
      <c r="A5704">
        <f t="shared" si="328"/>
        <v>5703</v>
      </c>
      <c r="B5704" t="s">
        <v>110</v>
      </c>
      <c r="C5704" s="109" t="str">
        <f>IF(ISBLANK(K5704),IFERROR(VLOOKUP(I5704,FS_input_data!$C$458:$N$648,Export!J5704,FALSE),""),K5704)</f>
        <v/>
      </c>
      <c r="D5704" s="6"/>
      <c r="E5704" s="6"/>
      <c r="F5704" s="6"/>
      <c r="G5704" s="119" t="b">
        <f t="shared" si="329"/>
        <v>0</v>
      </c>
      <c r="H5704" s="6" t="s">
        <v>2189</v>
      </c>
      <c r="I5704" t="s">
        <v>1561</v>
      </c>
      <c r="J5704" t="s">
        <v>1561</v>
      </c>
      <c r="L5704">
        <f t="shared" si="327"/>
        <v>1</v>
      </c>
    </row>
    <row r="5705" spans="1:12" x14ac:dyDescent="0.35">
      <c r="A5705" s="9">
        <f t="shared" si="328"/>
        <v>5704</v>
      </c>
      <c r="B5705" t="s">
        <v>111</v>
      </c>
      <c r="C5705" s="109">
        <f>IF(ISBLANK(K5705),IFERROR(VLOOKUP(I5705,FS_input_data!$C$458:$N$648,Export!J5705,FALSE),""),K5705)</f>
        <v>48500</v>
      </c>
      <c r="D5705" s="6" t="b">
        <v>0</v>
      </c>
      <c r="E5705" s="6"/>
      <c r="F5705" s="6"/>
      <c r="G5705" s="119" t="b">
        <f t="shared" si="329"/>
        <v>0</v>
      </c>
      <c r="H5705" s="6" t="s">
        <v>2189</v>
      </c>
      <c r="I5705" t="s">
        <v>2199</v>
      </c>
      <c r="J5705">
        <v>8</v>
      </c>
      <c r="L5705" s="26" t="e">
        <f t="shared" si="327"/>
        <v>#VALUE!</v>
      </c>
    </row>
    <row r="5706" spans="1:12" x14ac:dyDescent="0.35">
      <c r="A5706">
        <f t="shared" si="328"/>
        <v>5705</v>
      </c>
      <c r="B5706" t="s">
        <v>112</v>
      </c>
      <c r="C5706" s="109" t="str">
        <f>IF(ISBLANK(K5706),IFERROR(VLOOKUP(I5706,FS_input_data!$C$458:$N$648,Export!J5706,FALSE),""),K5706)</f>
        <v/>
      </c>
      <c r="D5706" s="6"/>
      <c r="E5706" s="6"/>
      <c r="F5706" s="6"/>
      <c r="G5706" s="119" t="b">
        <f t="shared" si="329"/>
        <v>0</v>
      </c>
      <c r="H5706" s="6" t="s">
        <v>2189</v>
      </c>
      <c r="I5706" t="s">
        <v>1561</v>
      </c>
      <c r="J5706" t="s">
        <v>1561</v>
      </c>
      <c r="L5706">
        <f t="shared" si="327"/>
        <v>1</v>
      </c>
    </row>
    <row r="5707" spans="1:12" x14ac:dyDescent="0.35">
      <c r="A5707" s="9">
        <f t="shared" si="328"/>
        <v>5706</v>
      </c>
      <c r="B5707" t="s">
        <v>749</v>
      </c>
      <c r="C5707" s="109">
        <f>IF(ISBLANK(K5707),IFERROR(VLOOKUP(I5707,FS_input_data!$C$458:$N$648,Export!J5707,FALSE),""),K5707)</f>
        <v>48500</v>
      </c>
      <c r="D5707" s="6" t="b">
        <v>0</v>
      </c>
      <c r="E5707" s="6"/>
      <c r="F5707" s="6"/>
      <c r="G5707" s="119" t="b">
        <f t="shared" si="329"/>
        <v>0</v>
      </c>
      <c r="H5707" s="6" t="s">
        <v>2189</v>
      </c>
      <c r="I5707" t="s">
        <v>2199</v>
      </c>
      <c r="J5707">
        <v>9</v>
      </c>
      <c r="L5707" s="26" t="e">
        <f t="shared" si="327"/>
        <v>#VALUE!</v>
      </c>
    </row>
    <row r="5708" spans="1:12" x14ac:dyDescent="0.35">
      <c r="A5708">
        <f t="shared" si="328"/>
        <v>5707</v>
      </c>
      <c r="B5708" t="s">
        <v>750</v>
      </c>
      <c r="C5708" s="109" t="str">
        <f>IF(ISBLANK(K5708),IFERROR(VLOOKUP(I5708,FS_input_data!$C$458:$N$648,Export!J5708,FALSE),""),K5708)</f>
        <v/>
      </c>
      <c r="D5708" s="6"/>
      <c r="E5708" s="6"/>
      <c r="F5708" s="6"/>
      <c r="G5708" s="119" t="b">
        <f t="shared" si="329"/>
        <v>0</v>
      </c>
      <c r="H5708" s="6" t="s">
        <v>2189</v>
      </c>
      <c r="I5708" t="s">
        <v>1561</v>
      </c>
      <c r="J5708" t="s">
        <v>1561</v>
      </c>
      <c r="L5708">
        <f t="shared" si="327"/>
        <v>1</v>
      </c>
    </row>
    <row r="5709" spans="1:12" x14ac:dyDescent="0.35">
      <c r="A5709">
        <f t="shared" si="328"/>
        <v>5708</v>
      </c>
      <c r="B5709" t="s">
        <v>743</v>
      </c>
      <c r="C5709" s="109" t="str">
        <f>IF(ISBLANK(K5709),IFERROR(VLOOKUP(I5709,FS_input_data!$C$458:$N$648,Export!J5709,FALSE),""),K5709)</f>
        <v/>
      </c>
      <c r="D5709" s="6"/>
      <c r="E5709" s="6"/>
      <c r="F5709" s="6"/>
      <c r="G5709" s="119" t="b">
        <f t="shared" si="329"/>
        <v>0</v>
      </c>
      <c r="H5709" s="6" t="s">
        <v>2189</v>
      </c>
      <c r="I5709" t="s">
        <v>1561</v>
      </c>
      <c r="J5709" t="s">
        <v>1561</v>
      </c>
      <c r="L5709">
        <f t="shared" si="327"/>
        <v>1</v>
      </c>
    </row>
    <row r="5710" spans="1:12" x14ac:dyDescent="0.35">
      <c r="A5710">
        <f t="shared" si="328"/>
        <v>5709</v>
      </c>
      <c r="B5710" t="s">
        <v>744</v>
      </c>
      <c r="C5710" s="109" t="str">
        <f>IF(ISBLANK(K5710),IFERROR(VLOOKUP(I5710,FS_input_data!$C$458:$N$648,Export!J5710,FALSE),""),K5710)</f>
        <v/>
      </c>
      <c r="D5710" s="6"/>
      <c r="E5710" s="6"/>
      <c r="F5710" s="6"/>
      <c r="G5710" s="119" t="b">
        <f t="shared" ref="G5710:G5717" si="330">RP_tax</f>
        <v>1</v>
      </c>
      <c r="H5710" s="6" t="s">
        <v>2189</v>
      </c>
      <c r="I5710" t="s">
        <v>1561</v>
      </c>
      <c r="J5710" t="s">
        <v>1561</v>
      </c>
      <c r="L5710" s="26" t="e">
        <f t="shared" si="327"/>
        <v>#VALUE!</v>
      </c>
    </row>
    <row r="5711" spans="1:12" x14ac:dyDescent="0.35">
      <c r="A5711" s="9">
        <f t="shared" si="328"/>
        <v>5710</v>
      </c>
      <c r="B5711" t="s">
        <v>109</v>
      </c>
      <c r="C5711" s="109">
        <f>IF(ISBLANK(K5711),IFERROR(VLOOKUP(I5711,FS_input_data!$C$458:$N$648,Export!J5711,FALSE),""),K5711)</f>
        <v>97000</v>
      </c>
      <c r="D5711" s="6" t="b">
        <v>1</v>
      </c>
      <c r="E5711" s="6"/>
      <c r="F5711" s="6"/>
      <c r="G5711" s="119" t="b">
        <f t="shared" si="330"/>
        <v>1</v>
      </c>
      <c r="H5711" s="6" t="s">
        <v>2189</v>
      </c>
      <c r="I5711" t="s">
        <v>2199</v>
      </c>
      <c r="J5711">
        <v>10</v>
      </c>
      <c r="L5711" s="26" t="e">
        <f t="shared" si="327"/>
        <v>#VALUE!</v>
      </c>
    </row>
    <row r="5712" spans="1:12" x14ac:dyDescent="0.35">
      <c r="A5712">
        <f t="shared" si="328"/>
        <v>5711</v>
      </c>
      <c r="B5712" t="s">
        <v>110</v>
      </c>
      <c r="C5712" s="109" t="str">
        <f>IF(ISBLANK(K5712),IFERROR(VLOOKUP(I5712,FS_input_data!$C$458:$N$648,Export!J5712,FALSE),""),K5712)</f>
        <v/>
      </c>
      <c r="D5712" s="6"/>
      <c r="E5712" s="6"/>
      <c r="F5712" s="6"/>
      <c r="G5712" s="119" t="b">
        <f t="shared" si="330"/>
        <v>1</v>
      </c>
      <c r="H5712" s="6" t="s">
        <v>2189</v>
      </c>
      <c r="I5712" t="s">
        <v>1561</v>
      </c>
      <c r="J5712" t="s">
        <v>1561</v>
      </c>
      <c r="L5712">
        <f t="shared" si="327"/>
        <v>1</v>
      </c>
    </row>
    <row r="5713" spans="1:12" x14ac:dyDescent="0.35">
      <c r="A5713" s="9">
        <f t="shared" si="328"/>
        <v>5712</v>
      </c>
      <c r="B5713" t="s">
        <v>111</v>
      </c>
      <c r="C5713" s="109">
        <f>IF(ISBLANK(K5713),IFERROR(VLOOKUP(I5713,FS_input_data!$C$458:$N$648,Export!J5713,FALSE),""),K5713)</f>
        <v>48500</v>
      </c>
      <c r="D5713" s="6" t="b">
        <v>0</v>
      </c>
      <c r="E5713" s="6"/>
      <c r="F5713" s="6"/>
      <c r="G5713" s="119" t="b">
        <f t="shared" si="330"/>
        <v>1</v>
      </c>
      <c r="H5713" s="6" t="s">
        <v>2189</v>
      </c>
      <c r="I5713" t="s">
        <v>2199</v>
      </c>
      <c r="J5713">
        <v>11</v>
      </c>
      <c r="L5713" s="26" t="e">
        <f t="shared" si="327"/>
        <v>#VALUE!</v>
      </c>
    </row>
    <row r="5714" spans="1:12" x14ac:dyDescent="0.35">
      <c r="A5714">
        <f t="shared" si="328"/>
        <v>5713</v>
      </c>
      <c r="B5714" t="s">
        <v>112</v>
      </c>
      <c r="C5714" s="109" t="str">
        <f>IF(ISBLANK(K5714),IFERROR(VLOOKUP(I5714,FS_input_data!$C$458:$N$648,Export!J5714,FALSE),""),K5714)</f>
        <v/>
      </c>
      <c r="D5714" s="6"/>
      <c r="E5714" s="6"/>
      <c r="F5714" s="6"/>
      <c r="G5714" s="119" t="b">
        <f t="shared" si="330"/>
        <v>1</v>
      </c>
      <c r="H5714" s="6" t="s">
        <v>2189</v>
      </c>
      <c r="I5714" t="s">
        <v>1561</v>
      </c>
      <c r="J5714" t="s">
        <v>1561</v>
      </c>
      <c r="L5714">
        <f t="shared" si="327"/>
        <v>1</v>
      </c>
    </row>
    <row r="5715" spans="1:12" x14ac:dyDescent="0.35">
      <c r="A5715" s="9">
        <f t="shared" si="328"/>
        <v>5714</v>
      </c>
      <c r="B5715" t="s">
        <v>749</v>
      </c>
      <c r="C5715" s="109">
        <f>IF(ISBLANK(K5715),IFERROR(VLOOKUP(I5715,FS_input_data!$C$458:$N$648,Export!J5715,FALSE),""),K5715)</f>
        <v>48500</v>
      </c>
      <c r="D5715" s="6" t="b">
        <v>0</v>
      </c>
      <c r="E5715" s="6"/>
      <c r="F5715" s="6"/>
      <c r="G5715" s="119" t="b">
        <f t="shared" si="330"/>
        <v>1</v>
      </c>
      <c r="H5715" s="6" t="s">
        <v>2189</v>
      </c>
      <c r="I5715" t="s">
        <v>2199</v>
      </c>
      <c r="J5715">
        <v>12</v>
      </c>
      <c r="L5715" s="26" t="e">
        <f t="shared" si="327"/>
        <v>#VALUE!</v>
      </c>
    </row>
    <row r="5716" spans="1:12" x14ac:dyDescent="0.35">
      <c r="A5716">
        <f t="shared" si="328"/>
        <v>5715</v>
      </c>
      <c r="B5716" t="s">
        <v>750</v>
      </c>
      <c r="C5716" s="109" t="str">
        <f>IF(ISBLANK(K5716),IFERROR(VLOOKUP(I5716,FS_input_data!$C$458:$N$648,Export!J5716,FALSE),""),K5716)</f>
        <v/>
      </c>
      <c r="D5716" s="6"/>
      <c r="E5716" s="6"/>
      <c r="F5716" s="6"/>
      <c r="G5716" s="119" t="b">
        <f t="shared" si="330"/>
        <v>1</v>
      </c>
      <c r="H5716" s="6" t="s">
        <v>2189</v>
      </c>
      <c r="I5716" t="s">
        <v>1561</v>
      </c>
      <c r="J5716" t="s">
        <v>1561</v>
      </c>
      <c r="L5716">
        <f t="shared" si="327"/>
        <v>1</v>
      </c>
    </row>
    <row r="5717" spans="1:12" x14ac:dyDescent="0.35">
      <c r="A5717">
        <f t="shared" si="328"/>
        <v>5716</v>
      </c>
      <c r="B5717" t="s">
        <v>745</v>
      </c>
      <c r="C5717" s="109" t="str">
        <f>IF(ISBLANK(K5717),IFERROR(VLOOKUP(I5717,FS_input_data!$C$458:$N$648,Export!J5717,FALSE),""),K5717)</f>
        <v/>
      </c>
      <c r="D5717" s="6"/>
      <c r="E5717" s="6"/>
      <c r="F5717" s="6"/>
      <c r="G5717" s="119" t="b">
        <f t="shared" si="330"/>
        <v>1</v>
      </c>
      <c r="H5717" s="6" t="s">
        <v>2189</v>
      </c>
      <c r="I5717" t="s">
        <v>1561</v>
      </c>
      <c r="J5717" t="s">
        <v>1561</v>
      </c>
      <c r="L5717">
        <f t="shared" si="327"/>
        <v>1</v>
      </c>
    </row>
    <row r="5718" spans="1:12" x14ac:dyDescent="0.35">
      <c r="A5718">
        <f t="shared" si="328"/>
        <v>5717</v>
      </c>
      <c r="B5718" t="s">
        <v>767</v>
      </c>
      <c r="C5718" s="109" t="str">
        <f>IF(ISBLANK(K5718),IFERROR(VLOOKUP(I5718,FS_input_data!$C$458:$N$648,Export!J5718,FALSE),""),K5718)</f>
        <v/>
      </c>
      <c r="D5718" s="6"/>
      <c r="E5718" s="6"/>
      <c r="F5718" s="6"/>
      <c r="G5718" s="119" t="b">
        <f t="shared" ref="G5718:G5729" si="331">VLOOKUP($I$5703,FS_input_noty,$J$5703,FALSE)=""</f>
        <v>0</v>
      </c>
      <c r="H5718" s="6" t="s">
        <v>2189</v>
      </c>
      <c r="I5718" t="s">
        <v>1561</v>
      </c>
      <c r="J5718" t="s">
        <v>1561</v>
      </c>
      <c r="L5718">
        <f t="shared" si="327"/>
        <v>1</v>
      </c>
    </row>
    <row r="5719" spans="1:12" x14ac:dyDescent="0.35">
      <c r="A5719">
        <f t="shared" si="328"/>
        <v>5718</v>
      </c>
      <c r="B5719" t="s">
        <v>774</v>
      </c>
      <c r="C5719" s="109" t="str">
        <f>IF(ISBLANK(K5719),IFERROR(VLOOKUP(I5719,FS_input_data!$C$458:$N$648,Export!J5719,FALSE),""),K5719)</f>
        <v/>
      </c>
      <c r="D5719" s="6"/>
      <c r="E5719" s="6"/>
      <c r="F5719" s="6"/>
      <c r="G5719" s="119" t="b">
        <f t="shared" si="331"/>
        <v>0</v>
      </c>
      <c r="H5719" s="6" t="s">
        <v>2189</v>
      </c>
      <c r="I5719" t="s">
        <v>1561</v>
      </c>
      <c r="J5719" t="s">
        <v>1561</v>
      </c>
      <c r="L5719">
        <f t="shared" si="327"/>
        <v>1</v>
      </c>
    </row>
    <row r="5720" spans="1:12" x14ac:dyDescent="0.35">
      <c r="A5720">
        <f t="shared" si="328"/>
        <v>5719</v>
      </c>
      <c r="B5720" t="s">
        <v>775</v>
      </c>
      <c r="C5720" s="109" t="str">
        <f>IF(ISBLANK(K5720),IFERROR(VLOOKUP(I5720,FS_input_data!$C$458:$N$648,Export!J5720,FALSE),""),K5720)</f>
        <v/>
      </c>
      <c r="D5720" s="6"/>
      <c r="E5720" s="43" t="s">
        <v>2234</v>
      </c>
      <c r="F5720" s="6"/>
      <c r="G5720" s="119" t="b">
        <f t="shared" si="331"/>
        <v>0</v>
      </c>
      <c r="H5720" s="6" t="s">
        <v>2189</v>
      </c>
      <c r="I5720" t="s">
        <v>1561</v>
      </c>
      <c r="J5720" t="s">
        <v>1561</v>
      </c>
      <c r="L5720" s="26" t="e">
        <f t="shared" si="327"/>
        <v>#VALUE!</v>
      </c>
    </row>
    <row r="5721" spans="1:12" x14ac:dyDescent="0.35">
      <c r="A5721">
        <f t="shared" si="328"/>
        <v>5720</v>
      </c>
      <c r="B5721" t="s">
        <v>748</v>
      </c>
      <c r="C5721" s="109" t="str">
        <f>IF(ISBLANK(K5721),IFERROR(VLOOKUP(I5721,FS_input_data!$C$458:$N$648,Export!J5721,FALSE),""),K5721)</f>
        <v/>
      </c>
      <c r="D5721" s="6"/>
      <c r="E5721" s="6"/>
      <c r="F5721" s="6"/>
      <c r="G5721" s="119" t="b">
        <f t="shared" si="331"/>
        <v>0</v>
      </c>
      <c r="H5721" s="6" t="s">
        <v>2189</v>
      </c>
      <c r="I5721" t="s">
        <v>1561</v>
      </c>
      <c r="J5721" t="s">
        <v>1561</v>
      </c>
      <c r="L5721" s="26" t="e">
        <f t="shared" si="327"/>
        <v>#VALUE!</v>
      </c>
    </row>
    <row r="5722" spans="1:12" x14ac:dyDescent="0.35">
      <c r="A5722">
        <f t="shared" si="328"/>
        <v>5721</v>
      </c>
      <c r="B5722" t="s">
        <v>742</v>
      </c>
      <c r="C5722" s="109" t="str">
        <f>IF(ISBLANK(K5722),IFERROR(VLOOKUP(I5722,FS_input_data!$C$458:$N$648,Export!J5722,FALSE),""),K5722)</f>
        <v/>
      </c>
      <c r="E5722" s="6"/>
      <c r="F5722" s="6"/>
      <c r="G5722" s="119" t="b">
        <f t="shared" si="331"/>
        <v>0</v>
      </c>
      <c r="H5722" s="6" t="s">
        <v>2189</v>
      </c>
      <c r="I5722" t="s">
        <v>1561</v>
      </c>
      <c r="J5722" t="s">
        <v>1561</v>
      </c>
      <c r="L5722" s="26" t="e">
        <f t="shared" si="327"/>
        <v>#VALUE!</v>
      </c>
    </row>
    <row r="5723" spans="1:12" x14ac:dyDescent="0.35">
      <c r="A5723" s="9">
        <f t="shared" si="328"/>
        <v>5722</v>
      </c>
      <c r="B5723" t="s">
        <v>109</v>
      </c>
      <c r="C5723" s="109">
        <f>IF(ISBLANK(K5723),IFERROR(VLOOKUP(I5723,FS_input_data!$C$458:$N$648,Export!J5723,FALSE),""),K5723)</f>
        <v>22000</v>
      </c>
      <c r="D5723" s="6" t="b">
        <v>1</v>
      </c>
      <c r="E5723" s="6"/>
      <c r="F5723" s="6"/>
      <c r="G5723" s="119" t="b">
        <f t="shared" si="331"/>
        <v>0</v>
      </c>
      <c r="H5723" s="6" t="s">
        <v>2189</v>
      </c>
      <c r="I5723" t="s">
        <v>2197</v>
      </c>
      <c r="J5723">
        <v>7</v>
      </c>
      <c r="L5723" s="26" t="e">
        <f t="shared" si="327"/>
        <v>#VALUE!</v>
      </c>
    </row>
    <row r="5724" spans="1:12" x14ac:dyDescent="0.35">
      <c r="A5724">
        <f t="shared" si="328"/>
        <v>5723</v>
      </c>
      <c r="B5724" t="s">
        <v>110</v>
      </c>
      <c r="C5724" s="109" t="str">
        <f>IF(ISBLANK(K5724),IFERROR(VLOOKUP(I5724,FS_input_data!$C$458:$N$648,Export!J5724,FALSE),""),K5724)</f>
        <v/>
      </c>
      <c r="D5724" s="6"/>
      <c r="E5724" s="6"/>
      <c r="F5724" s="6"/>
      <c r="G5724" s="119" t="b">
        <f t="shared" si="331"/>
        <v>0</v>
      </c>
      <c r="H5724" s="6" t="s">
        <v>2189</v>
      </c>
      <c r="I5724" t="s">
        <v>1561</v>
      </c>
      <c r="J5724" t="s">
        <v>1561</v>
      </c>
      <c r="L5724">
        <f t="shared" si="327"/>
        <v>1</v>
      </c>
    </row>
    <row r="5725" spans="1:12" x14ac:dyDescent="0.35">
      <c r="A5725" s="9">
        <f t="shared" si="328"/>
        <v>5724</v>
      </c>
      <c r="B5725" t="s">
        <v>111</v>
      </c>
      <c r="C5725" s="109">
        <f>IF(ISBLANK(K5725),IFERROR(VLOOKUP(I5725,FS_input_data!$C$458:$N$648,Export!J5725,FALSE),""),K5725)</f>
        <v>11000</v>
      </c>
      <c r="D5725" s="6" t="b">
        <v>0</v>
      </c>
      <c r="E5725" s="6"/>
      <c r="F5725" s="6"/>
      <c r="G5725" s="119" t="b">
        <f t="shared" si="331"/>
        <v>0</v>
      </c>
      <c r="H5725" s="6" t="s">
        <v>2189</v>
      </c>
      <c r="I5725" t="s">
        <v>2197</v>
      </c>
      <c r="J5725">
        <v>8</v>
      </c>
      <c r="L5725" s="26" t="e">
        <f t="shared" si="327"/>
        <v>#VALUE!</v>
      </c>
    </row>
    <row r="5726" spans="1:12" x14ac:dyDescent="0.35">
      <c r="A5726">
        <f t="shared" si="328"/>
        <v>5725</v>
      </c>
      <c r="B5726" t="s">
        <v>112</v>
      </c>
      <c r="C5726" s="109" t="str">
        <f>IF(ISBLANK(K5726),IFERROR(VLOOKUP(I5726,FS_input_data!$C$458:$N$648,Export!J5726,FALSE),""),K5726)</f>
        <v/>
      </c>
      <c r="D5726" s="6"/>
      <c r="E5726" s="6"/>
      <c r="F5726" s="6"/>
      <c r="G5726" s="119" t="b">
        <f t="shared" si="331"/>
        <v>0</v>
      </c>
      <c r="H5726" s="6" t="s">
        <v>2189</v>
      </c>
      <c r="I5726" t="s">
        <v>1561</v>
      </c>
      <c r="J5726" t="s">
        <v>1561</v>
      </c>
      <c r="L5726">
        <f t="shared" si="327"/>
        <v>1</v>
      </c>
    </row>
    <row r="5727" spans="1:12" x14ac:dyDescent="0.35">
      <c r="A5727" s="9">
        <f t="shared" si="328"/>
        <v>5726</v>
      </c>
      <c r="B5727" t="s">
        <v>749</v>
      </c>
      <c r="C5727" s="109">
        <f>IF(ISBLANK(K5727),IFERROR(VLOOKUP(I5727,FS_input_data!$C$458:$N$648,Export!J5727,FALSE),""),K5727)</f>
        <v>11000</v>
      </c>
      <c r="D5727" s="6" t="b">
        <v>0</v>
      </c>
      <c r="E5727" s="6"/>
      <c r="F5727" s="6"/>
      <c r="G5727" s="119" t="b">
        <f t="shared" si="331"/>
        <v>0</v>
      </c>
      <c r="H5727" s="6" t="s">
        <v>2189</v>
      </c>
      <c r="I5727" t="s">
        <v>2197</v>
      </c>
      <c r="J5727">
        <v>9</v>
      </c>
      <c r="L5727" s="26" t="e">
        <f t="shared" si="327"/>
        <v>#VALUE!</v>
      </c>
    </row>
    <row r="5728" spans="1:12" x14ac:dyDescent="0.35">
      <c r="A5728">
        <f t="shared" si="328"/>
        <v>5727</v>
      </c>
      <c r="B5728" t="s">
        <v>750</v>
      </c>
      <c r="C5728" s="109" t="str">
        <f>IF(ISBLANK(K5728),IFERROR(VLOOKUP(I5728,FS_input_data!$C$458:$N$648,Export!J5728,FALSE),""),K5728)</f>
        <v/>
      </c>
      <c r="E5728" s="6"/>
      <c r="F5728" s="6"/>
      <c r="G5728" s="119" t="b">
        <f t="shared" si="331"/>
        <v>0</v>
      </c>
      <c r="H5728" s="6" t="s">
        <v>2189</v>
      </c>
      <c r="I5728" t="s">
        <v>1561</v>
      </c>
      <c r="J5728" t="s">
        <v>1561</v>
      </c>
      <c r="L5728">
        <f t="shared" si="327"/>
        <v>1</v>
      </c>
    </row>
    <row r="5729" spans="1:12" x14ac:dyDescent="0.35">
      <c r="A5729">
        <f t="shared" si="328"/>
        <v>5728</v>
      </c>
      <c r="B5729" t="s">
        <v>743</v>
      </c>
      <c r="C5729" s="109" t="str">
        <f>IF(ISBLANK(K5729),IFERROR(VLOOKUP(I5729,FS_input_data!$C$458:$N$648,Export!J5729,FALSE),""),K5729)</f>
        <v/>
      </c>
      <c r="E5729" s="6"/>
      <c r="F5729" s="6"/>
      <c r="G5729" s="119" t="b">
        <f t="shared" si="331"/>
        <v>0</v>
      </c>
      <c r="H5729" s="6" t="s">
        <v>2189</v>
      </c>
      <c r="I5729" t="s">
        <v>1561</v>
      </c>
      <c r="J5729" t="s">
        <v>1561</v>
      </c>
      <c r="L5729">
        <f t="shared" si="327"/>
        <v>1</v>
      </c>
    </row>
    <row r="5730" spans="1:12" x14ac:dyDescent="0.35">
      <c r="A5730">
        <f t="shared" si="328"/>
        <v>5729</v>
      </c>
      <c r="B5730" t="s">
        <v>744</v>
      </c>
      <c r="C5730" s="109" t="str">
        <f>IF(ISBLANK(K5730),IFERROR(VLOOKUP(I5730,FS_input_data!$C$458:$N$648,Export!J5730,FALSE),""),K5730)</f>
        <v/>
      </c>
      <c r="E5730" s="6"/>
      <c r="F5730" s="6"/>
      <c r="G5730" s="119" t="b">
        <f t="shared" ref="G5730:G5737" si="332">RP_tax</f>
        <v>1</v>
      </c>
      <c r="H5730" s="6" t="s">
        <v>2189</v>
      </c>
      <c r="I5730" t="s">
        <v>1561</v>
      </c>
      <c r="J5730" t="s">
        <v>1561</v>
      </c>
      <c r="L5730" s="26" t="e">
        <f t="shared" si="327"/>
        <v>#VALUE!</v>
      </c>
    </row>
    <row r="5731" spans="1:12" x14ac:dyDescent="0.35">
      <c r="A5731" s="9">
        <f t="shared" si="328"/>
        <v>5730</v>
      </c>
      <c r="B5731" t="s">
        <v>109</v>
      </c>
      <c r="C5731" s="109">
        <f>IF(ISBLANK(K5731),IFERROR(VLOOKUP(I5731,FS_input_data!$C$458:$N$648,Export!J5731,FALSE),""),K5731)</f>
        <v>22000</v>
      </c>
      <c r="D5731" s="6" t="b">
        <v>1</v>
      </c>
      <c r="E5731" s="6"/>
      <c r="F5731" s="6"/>
      <c r="G5731" s="119" t="b">
        <f t="shared" si="332"/>
        <v>1</v>
      </c>
      <c r="H5731" s="6" t="s">
        <v>2189</v>
      </c>
      <c r="I5731" t="s">
        <v>2197</v>
      </c>
      <c r="J5731">
        <v>10</v>
      </c>
      <c r="L5731" s="26" t="e">
        <f t="shared" si="327"/>
        <v>#VALUE!</v>
      </c>
    </row>
    <row r="5732" spans="1:12" x14ac:dyDescent="0.35">
      <c r="A5732">
        <f t="shared" si="328"/>
        <v>5731</v>
      </c>
      <c r="B5732" t="s">
        <v>110</v>
      </c>
      <c r="C5732" s="109" t="str">
        <f>IF(ISBLANK(K5732),IFERROR(VLOOKUP(I5732,FS_input_data!$C$458:$N$648,Export!J5732,FALSE),""),K5732)</f>
        <v/>
      </c>
      <c r="D5732" s="6"/>
      <c r="E5732" s="6"/>
      <c r="F5732" s="6"/>
      <c r="G5732" s="119" t="b">
        <f t="shared" si="332"/>
        <v>1</v>
      </c>
      <c r="H5732" s="6" t="s">
        <v>2189</v>
      </c>
      <c r="I5732" t="s">
        <v>1561</v>
      </c>
      <c r="J5732" t="s">
        <v>1561</v>
      </c>
      <c r="L5732">
        <f t="shared" si="327"/>
        <v>1</v>
      </c>
    </row>
    <row r="5733" spans="1:12" x14ac:dyDescent="0.35">
      <c r="A5733" s="9">
        <f t="shared" si="328"/>
        <v>5732</v>
      </c>
      <c r="B5733" t="s">
        <v>111</v>
      </c>
      <c r="C5733" s="109">
        <f>IF(ISBLANK(K5733),IFERROR(VLOOKUP(I5733,FS_input_data!$C$458:$N$648,Export!J5733,FALSE),""),K5733)</f>
        <v>11000</v>
      </c>
      <c r="D5733" s="6" t="b">
        <v>0</v>
      </c>
      <c r="E5733" s="6"/>
      <c r="F5733" s="6"/>
      <c r="G5733" s="119" t="b">
        <f t="shared" si="332"/>
        <v>1</v>
      </c>
      <c r="H5733" s="6" t="s">
        <v>2189</v>
      </c>
      <c r="I5733" t="s">
        <v>2197</v>
      </c>
      <c r="J5733">
        <v>11</v>
      </c>
      <c r="L5733" s="26" t="e">
        <f t="shared" si="327"/>
        <v>#VALUE!</v>
      </c>
    </row>
    <row r="5734" spans="1:12" x14ac:dyDescent="0.35">
      <c r="A5734">
        <f t="shared" si="328"/>
        <v>5733</v>
      </c>
      <c r="B5734" t="s">
        <v>112</v>
      </c>
      <c r="C5734" s="109" t="str">
        <f>IF(ISBLANK(K5734),IFERROR(VLOOKUP(I5734,FS_input_data!$C$458:$N$648,Export!J5734,FALSE),""),K5734)</f>
        <v/>
      </c>
      <c r="D5734" s="6"/>
      <c r="E5734" s="6"/>
      <c r="F5734" s="6"/>
      <c r="G5734" s="119" t="b">
        <f t="shared" si="332"/>
        <v>1</v>
      </c>
      <c r="H5734" s="6" t="s">
        <v>2189</v>
      </c>
      <c r="I5734" t="s">
        <v>1561</v>
      </c>
      <c r="J5734" t="s">
        <v>1561</v>
      </c>
      <c r="L5734">
        <f t="shared" si="327"/>
        <v>1</v>
      </c>
    </row>
    <row r="5735" spans="1:12" x14ac:dyDescent="0.35">
      <c r="A5735" s="9">
        <f t="shared" si="328"/>
        <v>5734</v>
      </c>
      <c r="B5735" t="s">
        <v>749</v>
      </c>
      <c r="C5735" s="109">
        <f>IF(ISBLANK(K5735),IFERROR(VLOOKUP(I5735,FS_input_data!$C$458:$N$648,Export!J5735,FALSE),""),K5735)</f>
        <v>11000</v>
      </c>
      <c r="D5735" s="6" t="b">
        <v>0</v>
      </c>
      <c r="E5735" s="6"/>
      <c r="F5735" s="6"/>
      <c r="G5735" s="119" t="b">
        <f t="shared" si="332"/>
        <v>1</v>
      </c>
      <c r="H5735" s="6" t="s">
        <v>2189</v>
      </c>
      <c r="I5735" t="s">
        <v>2197</v>
      </c>
      <c r="J5735">
        <v>12</v>
      </c>
      <c r="L5735" s="26" t="e">
        <f t="shared" si="327"/>
        <v>#VALUE!</v>
      </c>
    </row>
    <row r="5736" spans="1:12" x14ac:dyDescent="0.35">
      <c r="A5736">
        <f t="shared" si="328"/>
        <v>5735</v>
      </c>
      <c r="B5736" t="s">
        <v>750</v>
      </c>
      <c r="C5736" s="109" t="str">
        <f>IF(ISBLANK(K5736),IFERROR(VLOOKUP(I5736,FS_input_data!$C$458:$N$648,Export!J5736,FALSE),""),K5736)</f>
        <v/>
      </c>
      <c r="D5736" s="6"/>
      <c r="E5736" s="6"/>
      <c r="F5736" s="6"/>
      <c r="G5736" s="119" t="b">
        <f t="shared" si="332"/>
        <v>1</v>
      </c>
      <c r="H5736" s="6" t="s">
        <v>2189</v>
      </c>
      <c r="I5736" t="s">
        <v>1561</v>
      </c>
      <c r="J5736" t="s">
        <v>1561</v>
      </c>
      <c r="L5736">
        <f t="shared" si="327"/>
        <v>1</v>
      </c>
    </row>
    <row r="5737" spans="1:12" x14ac:dyDescent="0.35">
      <c r="A5737">
        <f t="shared" si="328"/>
        <v>5736</v>
      </c>
      <c r="B5737" t="s">
        <v>745</v>
      </c>
      <c r="C5737" s="109" t="str">
        <f>IF(ISBLANK(K5737),IFERROR(VLOOKUP(I5737,FS_input_data!$C$458:$N$648,Export!J5737,FALSE),""),K5737)</f>
        <v/>
      </c>
      <c r="D5737" s="6"/>
      <c r="E5737" s="6"/>
      <c r="F5737" s="6"/>
      <c r="G5737" s="119" t="b">
        <f t="shared" si="332"/>
        <v>1</v>
      </c>
      <c r="H5737" s="6" t="s">
        <v>2189</v>
      </c>
      <c r="I5737" t="s">
        <v>1561</v>
      </c>
      <c r="J5737" t="s">
        <v>1561</v>
      </c>
      <c r="L5737">
        <f t="shared" si="327"/>
        <v>1</v>
      </c>
    </row>
    <row r="5738" spans="1:12" x14ac:dyDescent="0.35">
      <c r="A5738">
        <f t="shared" si="328"/>
        <v>5737</v>
      </c>
      <c r="B5738" t="s">
        <v>751</v>
      </c>
      <c r="C5738" s="109" t="str">
        <f>IF(ISBLANK(K5738),IFERROR(VLOOKUP(I5738,FS_input_data!$C$458:$N$648,Export!J5738,FALSE),""),K5738)</f>
        <v/>
      </c>
      <c r="D5738" s="6"/>
      <c r="E5738" s="6"/>
      <c r="F5738" s="6"/>
      <c r="G5738" s="119" t="b">
        <f t="shared" ref="G5738:G5762" si="333">VLOOKUP($I$5703,FS_input_noty,$J$5703,FALSE)=""</f>
        <v>0</v>
      </c>
      <c r="H5738" s="6" t="s">
        <v>2189</v>
      </c>
      <c r="I5738" t="s">
        <v>1561</v>
      </c>
      <c r="J5738" t="s">
        <v>1561</v>
      </c>
      <c r="L5738">
        <f t="shared" si="327"/>
        <v>1</v>
      </c>
    </row>
    <row r="5739" spans="1:12" x14ac:dyDescent="0.35">
      <c r="A5739">
        <f t="shared" si="328"/>
        <v>5738</v>
      </c>
      <c r="B5739" t="s">
        <v>752</v>
      </c>
      <c r="C5739" s="109" t="str">
        <f>IF(ISBLANK(K5739),IFERROR(VLOOKUP(I5739,FS_input_data!$C$458:$N$648,Export!J5739,FALSE),""),K5739)</f>
        <v/>
      </c>
      <c r="D5739" s="6"/>
      <c r="E5739" s="6"/>
      <c r="F5739" s="6"/>
      <c r="G5739" s="119" t="b">
        <f t="shared" si="333"/>
        <v>0</v>
      </c>
      <c r="H5739" s="6" t="s">
        <v>2189</v>
      </c>
      <c r="I5739" t="s">
        <v>1561</v>
      </c>
      <c r="J5739" t="s">
        <v>1561</v>
      </c>
      <c r="L5739" s="26" t="e">
        <f t="shared" si="327"/>
        <v>#VALUE!</v>
      </c>
    </row>
    <row r="5740" spans="1:12" x14ac:dyDescent="0.35">
      <c r="A5740" s="9">
        <f t="shared" si="328"/>
        <v>5739</v>
      </c>
      <c r="B5740" t="s">
        <v>101</v>
      </c>
      <c r="C5740" s="109" t="str">
        <f>IF(ISBLANK(K5740),IFERROR(VLOOKUP(I5740,FS_input_data!$C$458:$N$648,Export!J5740,FALSE),""),K5740)</f>
        <v>OC76</v>
      </c>
      <c r="D5740" s="6" t="b">
        <v>1</v>
      </c>
      <c r="E5740" s="6"/>
      <c r="F5740" s="6"/>
      <c r="G5740" s="119" t="b">
        <f t="shared" si="333"/>
        <v>0</v>
      </c>
      <c r="H5740" s="6" t="s">
        <v>2189</v>
      </c>
      <c r="I5740" t="s">
        <v>2008</v>
      </c>
      <c r="J5740">
        <v>6</v>
      </c>
      <c r="L5740" s="26" t="e">
        <f t="shared" si="327"/>
        <v>#VALUE!</v>
      </c>
    </row>
    <row r="5741" spans="1:12" x14ac:dyDescent="0.35">
      <c r="A5741">
        <f t="shared" si="328"/>
        <v>5740</v>
      </c>
      <c r="B5741" t="s">
        <v>102</v>
      </c>
      <c r="C5741" s="109" t="str">
        <f>IF(ISBLANK(K5741),IFERROR(VLOOKUP(I5741,FS_input_data!$C$458:$N$648,Export!J5741,FALSE),""),K5741)</f>
        <v/>
      </c>
      <c r="D5741" s="6"/>
      <c r="E5741" s="6"/>
      <c r="F5741" s="6"/>
      <c r="G5741" s="119" t="b">
        <f t="shared" si="333"/>
        <v>0</v>
      </c>
      <c r="H5741" s="6" t="s">
        <v>2189</v>
      </c>
      <c r="I5741" t="s">
        <v>1561</v>
      </c>
      <c r="J5741" t="s">
        <v>1561</v>
      </c>
      <c r="L5741">
        <f t="shared" si="327"/>
        <v>1</v>
      </c>
    </row>
    <row r="5742" spans="1:12" x14ac:dyDescent="0.35">
      <c r="A5742">
        <f t="shared" si="328"/>
        <v>5741</v>
      </c>
      <c r="B5742" t="s">
        <v>753</v>
      </c>
      <c r="C5742" s="109" t="str">
        <f>IF(ISBLANK(K5742),IFERROR(VLOOKUP(I5742,FS_input_data!$C$458:$N$648,Export!J5742,FALSE),""),K5742)</f>
        <v/>
      </c>
      <c r="D5742" s="6"/>
      <c r="E5742" s="6"/>
      <c r="F5742" s="6"/>
      <c r="G5742" s="119" t="b">
        <f t="shared" si="333"/>
        <v>0</v>
      </c>
      <c r="H5742" s="6" t="s">
        <v>2189</v>
      </c>
      <c r="I5742" t="s">
        <v>1561</v>
      </c>
      <c r="J5742" t="s">
        <v>1561</v>
      </c>
      <c r="L5742" s="26" t="e">
        <f t="shared" si="327"/>
        <v>#VALUE!</v>
      </c>
    </row>
    <row r="5743" spans="1:12" x14ac:dyDescent="0.35">
      <c r="A5743">
        <f t="shared" si="328"/>
        <v>5742</v>
      </c>
      <c r="B5743" t="s">
        <v>742</v>
      </c>
      <c r="C5743" s="109" t="str">
        <f>IF(ISBLANK(K5743),IFERROR(VLOOKUP(I5743,FS_input_data!$C$458:$N$648,Export!J5743,FALSE),""),K5743)</f>
        <v/>
      </c>
      <c r="D5743" s="6"/>
      <c r="E5743" s="6"/>
      <c r="F5743" s="6"/>
      <c r="G5743" s="119" t="b">
        <f t="shared" si="333"/>
        <v>0</v>
      </c>
      <c r="H5743" s="6" t="s">
        <v>2189</v>
      </c>
      <c r="I5743" t="s">
        <v>1561</v>
      </c>
      <c r="J5743" t="s">
        <v>1561</v>
      </c>
      <c r="L5743" s="26" t="e">
        <f t="shared" si="327"/>
        <v>#VALUE!</v>
      </c>
    </row>
    <row r="5744" spans="1:12" x14ac:dyDescent="0.35">
      <c r="A5744">
        <f t="shared" si="328"/>
        <v>5743</v>
      </c>
      <c r="B5744" t="s">
        <v>748</v>
      </c>
      <c r="C5744" s="109" t="str">
        <f>IF(ISBLANK(K5744),IFERROR(VLOOKUP(I5744,FS_input_data!$C$458:$N$648,Export!J5744,FALSE),""),K5744)</f>
        <v/>
      </c>
      <c r="D5744" s="6"/>
      <c r="E5744" s="6"/>
      <c r="F5744" s="6"/>
      <c r="G5744" s="119" t="b">
        <f t="shared" si="333"/>
        <v>0</v>
      </c>
      <c r="H5744" s="6" t="s">
        <v>2189</v>
      </c>
      <c r="I5744" t="s">
        <v>1561</v>
      </c>
      <c r="J5744" t="s">
        <v>1561</v>
      </c>
      <c r="L5744" s="26" t="e">
        <f t="shared" si="327"/>
        <v>#VALUE!</v>
      </c>
    </row>
    <row r="5745" spans="1:12" x14ac:dyDescent="0.35">
      <c r="A5745" s="9">
        <f t="shared" si="328"/>
        <v>5744</v>
      </c>
      <c r="B5745" t="s">
        <v>109</v>
      </c>
      <c r="C5745" s="109">
        <f>IF(ISBLANK(K5745),IFERROR(VLOOKUP(I5745,FS_input_data!$C$458:$N$648,Export!J5745,FALSE),""),K5745)</f>
        <v>-208000</v>
      </c>
      <c r="D5745" s="6" t="b">
        <v>1</v>
      </c>
      <c r="E5745" s="6"/>
      <c r="F5745" s="6"/>
      <c r="G5745" s="119" t="b">
        <f t="shared" si="333"/>
        <v>0</v>
      </c>
      <c r="H5745" s="6" t="s">
        <v>2189</v>
      </c>
      <c r="I5745" t="s">
        <v>2008</v>
      </c>
      <c r="J5745">
        <v>7</v>
      </c>
      <c r="L5745" s="26" t="e">
        <f t="shared" si="327"/>
        <v>#VALUE!</v>
      </c>
    </row>
    <row r="5746" spans="1:12" x14ac:dyDescent="0.35">
      <c r="A5746">
        <f t="shared" si="328"/>
        <v>5745</v>
      </c>
      <c r="B5746" t="s">
        <v>110</v>
      </c>
      <c r="C5746" s="109" t="str">
        <f>IF(ISBLANK(K5746),IFERROR(VLOOKUP(I5746,FS_input_data!$C$458:$N$648,Export!J5746,FALSE),""),K5746)</f>
        <v/>
      </c>
      <c r="D5746" s="6"/>
      <c r="E5746" s="6"/>
      <c r="F5746" s="6"/>
      <c r="G5746" s="119" t="b">
        <f t="shared" si="333"/>
        <v>0</v>
      </c>
      <c r="H5746" s="6" t="s">
        <v>2189</v>
      </c>
      <c r="I5746" t="s">
        <v>1561</v>
      </c>
      <c r="J5746" t="s">
        <v>1561</v>
      </c>
      <c r="L5746">
        <f t="shared" si="327"/>
        <v>1</v>
      </c>
    </row>
    <row r="5747" spans="1:12" x14ac:dyDescent="0.35">
      <c r="A5747" s="9">
        <f t="shared" si="328"/>
        <v>5746</v>
      </c>
      <c r="B5747" t="s">
        <v>111</v>
      </c>
      <c r="C5747" s="109">
        <f>IF(ISBLANK(K5747),IFERROR(VLOOKUP(I5747,FS_input_data!$C$458:$N$648,Export!J5747,FALSE),""),K5747)</f>
        <v>-104000</v>
      </c>
      <c r="D5747" s="6" t="b">
        <v>0</v>
      </c>
      <c r="E5747" s="6"/>
      <c r="F5747" s="6"/>
      <c r="G5747" s="119" t="b">
        <f t="shared" si="333"/>
        <v>0</v>
      </c>
      <c r="H5747" s="6" t="s">
        <v>2189</v>
      </c>
      <c r="I5747" t="s">
        <v>2008</v>
      </c>
      <c r="J5747">
        <v>8</v>
      </c>
      <c r="L5747" s="26" t="e">
        <f t="shared" si="327"/>
        <v>#VALUE!</v>
      </c>
    </row>
    <row r="5748" spans="1:12" x14ac:dyDescent="0.35">
      <c r="A5748">
        <f t="shared" si="328"/>
        <v>5747</v>
      </c>
      <c r="B5748" t="s">
        <v>112</v>
      </c>
      <c r="C5748" s="109" t="str">
        <f>IF(ISBLANK(K5748),IFERROR(VLOOKUP(I5748,FS_input_data!$C$458:$N$648,Export!J5748,FALSE),""),K5748)</f>
        <v/>
      </c>
      <c r="D5748" s="6"/>
      <c r="E5748" s="6"/>
      <c r="F5748" s="6"/>
      <c r="G5748" s="119" t="b">
        <f t="shared" si="333"/>
        <v>0</v>
      </c>
      <c r="H5748" s="6" t="s">
        <v>2189</v>
      </c>
      <c r="I5748" t="s">
        <v>1561</v>
      </c>
      <c r="J5748" t="s">
        <v>1561</v>
      </c>
      <c r="L5748">
        <f t="shared" si="327"/>
        <v>1</v>
      </c>
    </row>
    <row r="5749" spans="1:12" x14ac:dyDescent="0.35">
      <c r="A5749" s="9">
        <f t="shared" si="328"/>
        <v>5748</v>
      </c>
      <c r="B5749" t="s">
        <v>749</v>
      </c>
      <c r="C5749" s="109">
        <f>IF(ISBLANK(K5749),IFERROR(VLOOKUP(I5749,FS_input_data!$C$458:$N$648,Export!J5749,FALSE),""),K5749)</f>
        <v>-104000</v>
      </c>
      <c r="D5749" s="6" t="b">
        <v>0</v>
      </c>
      <c r="E5749" s="6"/>
      <c r="F5749" s="6"/>
      <c r="G5749" s="119" t="b">
        <f t="shared" si="333"/>
        <v>0</v>
      </c>
      <c r="H5749" s="6" t="s">
        <v>2189</v>
      </c>
      <c r="I5749" t="s">
        <v>2008</v>
      </c>
      <c r="J5749">
        <v>9</v>
      </c>
      <c r="L5749" s="26" t="e">
        <f t="shared" si="327"/>
        <v>#VALUE!</v>
      </c>
    </row>
    <row r="5750" spans="1:12" x14ac:dyDescent="0.35">
      <c r="A5750">
        <f t="shared" si="328"/>
        <v>5749</v>
      </c>
      <c r="B5750" t="s">
        <v>750</v>
      </c>
      <c r="C5750" s="109" t="str">
        <f>IF(ISBLANK(K5750),IFERROR(VLOOKUP(I5750,FS_input_data!$C$458:$N$648,Export!J5750,FALSE),""),K5750)</f>
        <v/>
      </c>
      <c r="D5750" s="6"/>
      <c r="E5750" s="6"/>
      <c r="F5750" s="6"/>
      <c r="G5750" s="119" t="b">
        <f t="shared" si="333"/>
        <v>0</v>
      </c>
      <c r="H5750" s="6" t="s">
        <v>2189</v>
      </c>
      <c r="I5750" t="s">
        <v>1561</v>
      </c>
      <c r="J5750" t="s">
        <v>1561</v>
      </c>
      <c r="L5750">
        <f t="shared" si="327"/>
        <v>1</v>
      </c>
    </row>
    <row r="5751" spans="1:12" x14ac:dyDescent="0.35">
      <c r="A5751">
        <f t="shared" si="328"/>
        <v>5750</v>
      </c>
      <c r="B5751" t="s">
        <v>751</v>
      </c>
      <c r="C5751" s="109" t="str">
        <f>IF(ISBLANK(K5751),IFERROR(VLOOKUP(I5751,FS_input_data!$C$458:$N$648,Export!J5751,FALSE),""),K5751)</f>
        <v/>
      </c>
      <c r="D5751" s="6"/>
      <c r="E5751" s="6"/>
      <c r="F5751" s="6"/>
      <c r="G5751" s="119" t="b">
        <f t="shared" si="333"/>
        <v>0</v>
      </c>
      <c r="H5751" s="6" t="s">
        <v>2189</v>
      </c>
      <c r="I5751" t="s">
        <v>1561</v>
      </c>
      <c r="J5751" t="s">
        <v>1561</v>
      </c>
      <c r="L5751">
        <f t="shared" si="327"/>
        <v>1</v>
      </c>
    </row>
    <row r="5752" spans="1:12" x14ac:dyDescent="0.35">
      <c r="A5752">
        <f t="shared" si="328"/>
        <v>5751</v>
      </c>
      <c r="B5752" t="s">
        <v>754</v>
      </c>
      <c r="C5752" s="109" t="str">
        <f>IF(ISBLANK(K5752),IFERROR(VLOOKUP(I5752,FS_input_data!$C$458:$N$648,Export!J5752,FALSE),""),K5752)</f>
        <v/>
      </c>
      <c r="D5752" s="6"/>
      <c r="E5752" s="6"/>
      <c r="F5752" s="6"/>
      <c r="G5752" s="119" t="b">
        <f t="shared" si="333"/>
        <v>0</v>
      </c>
      <c r="H5752" s="6" t="s">
        <v>2189</v>
      </c>
      <c r="I5752" t="s">
        <v>1561</v>
      </c>
      <c r="J5752" t="s">
        <v>1561</v>
      </c>
      <c r="L5752" s="26" t="e">
        <f t="shared" si="327"/>
        <v>#VALUE!</v>
      </c>
    </row>
    <row r="5753" spans="1:12" x14ac:dyDescent="0.35">
      <c r="A5753" s="9">
        <f t="shared" si="328"/>
        <v>5752</v>
      </c>
      <c r="B5753" t="s">
        <v>755</v>
      </c>
      <c r="C5753" s="109">
        <f>IF(ISBLANK(K5753),IFERROR(VLOOKUP(I5753,FS_input_data!$C$458:$N$648,Export!J5753,FALSE),""),K5753)</f>
        <v>99</v>
      </c>
      <c r="D5753" s="6" t="b">
        <v>1</v>
      </c>
      <c r="E5753" s="6"/>
      <c r="F5753" s="6"/>
      <c r="G5753" s="119" t="b">
        <f t="shared" si="333"/>
        <v>0</v>
      </c>
      <c r="H5753" s="6" t="s">
        <v>2189</v>
      </c>
      <c r="I5753" t="s">
        <v>2008</v>
      </c>
      <c r="J5753">
        <v>2</v>
      </c>
      <c r="L5753" s="26" t="e">
        <f t="shared" si="327"/>
        <v>#VALUE!</v>
      </c>
    </row>
    <row r="5754" spans="1:12" x14ac:dyDescent="0.35">
      <c r="A5754">
        <f t="shared" si="328"/>
        <v>5753</v>
      </c>
      <c r="B5754" t="s">
        <v>756</v>
      </c>
      <c r="C5754" s="109" t="str">
        <f>IF(ISBLANK(K5754),IFERROR(VLOOKUP(I5754,FS_input_data!$C$458:$N$648,Export!J5754,FALSE),""),K5754)</f>
        <v/>
      </c>
      <c r="D5754" s="6"/>
      <c r="E5754" s="6"/>
      <c r="F5754" s="6"/>
      <c r="G5754" s="119" t="b">
        <f t="shared" si="333"/>
        <v>0</v>
      </c>
      <c r="H5754" s="6" t="s">
        <v>2189</v>
      </c>
      <c r="I5754" t="s">
        <v>1561</v>
      </c>
      <c r="J5754" t="s">
        <v>1561</v>
      </c>
      <c r="L5754">
        <f t="shared" si="327"/>
        <v>1</v>
      </c>
    </row>
    <row r="5755" spans="1:12" x14ac:dyDescent="0.35">
      <c r="A5755" s="9">
        <f t="shared" si="328"/>
        <v>5754</v>
      </c>
      <c r="B5755" t="s">
        <v>757</v>
      </c>
      <c r="C5755" s="109">
        <f>IF(ISBLANK(K5755),IFERROR(VLOOKUP(I5755,FS_input_data!$C$458:$N$648,Export!J5755,FALSE),""),K5755)</f>
        <v>199</v>
      </c>
      <c r="D5755" s="6" t="b">
        <v>0</v>
      </c>
      <c r="E5755" s="6"/>
      <c r="F5755" s="6"/>
      <c r="G5755" s="119" t="b">
        <f t="shared" si="333"/>
        <v>0</v>
      </c>
      <c r="H5755" s="6" t="s">
        <v>2189</v>
      </c>
      <c r="I5755" t="s">
        <v>2008</v>
      </c>
      <c r="J5755">
        <v>3</v>
      </c>
      <c r="L5755" s="26" t="e">
        <f t="shared" si="327"/>
        <v>#VALUE!</v>
      </c>
    </row>
    <row r="5756" spans="1:12" x14ac:dyDescent="0.35">
      <c r="A5756">
        <f t="shared" si="328"/>
        <v>5755</v>
      </c>
      <c r="B5756" t="s">
        <v>758</v>
      </c>
      <c r="C5756" s="109" t="str">
        <f>IF(ISBLANK(K5756),IFERROR(VLOOKUP(I5756,FS_input_data!$C$458:$N$648,Export!J5756,FALSE),""),K5756)</f>
        <v/>
      </c>
      <c r="D5756" s="6"/>
      <c r="E5756" s="6"/>
      <c r="F5756" s="6"/>
      <c r="G5756" s="119" t="b">
        <f t="shared" si="333"/>
        <v>0</v>
      </c>
      <c r="H5756" s="6" t="s">
        <v>2189</v>
      </c>
      <c r="I5756" t="s">
        <v>1561</v>
      </c>
      <c r="J5756" t="s">
        <v>1561</v>
      </c>
      <c r="L5756">
        <f t="shared" si="327"/>
        <v>1</v>
      </c>
    </row>
    <row r="5757" spans="1:12" x14ac:dyDescent="0.35">
      <c r="A5757" s="9">
        <f t="shared" si="328"/>
        <v>5756</v>
      </c>
      <c r="B5757" t="s">
        <v>759</v>
      </c>
      <c r="C5757" s="109">
        <f>IF(ISBLANK(K5757),IFERROR(VLOOKUP(I5757,FS_input_data!$C$458:$N$648,Export!J5757,FALSE),""),K5757)</f>
        <v>299</v>
      </c>
      <c r="D5757" s="6" t="b">
        <v>0</v>
      </c>
      <c r="E5757" s="6"/>
      <c r="F5757" s="6"/>
      <c r="G5757" s="119" t="b">
        <f t="shared" si="333"/>
        <v>0</v>
      </c>
      <c r="H5757" s="6" t="s">
        <v>2189</v>
      </c>
      <c r="I5757" t="s">
        <v>2008</v>
      </c>
      <c r="J5757">
        <v>4</v>
      </c>
      <c r="L5757" s="26" t="e">
        <f t="shared" si="327"/>
        <v>#VALUE!</v>
      </c>
    </row>
    <row r="5758" spans="1:12" x14ac:dyDescent="0.35">
      <c r="A5758">
        <f t="shared" si="328"/>
        <v>5757</v>
      </c>
      <c r="B5758" t="s">
        <v>760</v>
      </c>
      <c r="C5758" s="109" t="str">
        <f>IF(ISBLANK(K5758),IFERROR(VLOOKUP(I5758,FS_input_data!$C$458:$N$648,Export!J5758,FALSE),""),K5758)</f>
        <v/>
      </c>
      <c r="D5758" s="6"/>
      <c r="E5758" s="6"/>
      <c r="F5758" s="6"/>
      <c r="G5758" s="119" t="b">
        <f t="shared" si="333"/>
        <v>0</v>
      </c>
      <c r="H5758" s="6" t="s">
        <v>2189</v>
      </c>
      <c r="I5758" t="s">
        <v>1561</v>
      </c>
      <c r="J5758" t="s">
        <v>1561</v>
      </c>
      <c r="L5758">
        <f t="shared" si="327"/>
        <v>1</v>
      </c>
    </row>
    <row r="5759" spans="1:12" x14ac:dyDescent="0.35">
      <c r="A5759" s="9">
        <f t="shared" si="328"/>
        <v>5758</v>
      </c>
      <c r="B5759" t="s">
        <v>761</v>
      </c>
      <c r="C5759" s="109" t="str">
        <f>IF(ISBLANK(K5759),IFERROR(VLOOKUP(I5759,FS_input_data!$C$458:$N$648,Export!J5759,FALSE),""),K5759)</f>
        <v>c</v>
      </c>
      <c r="D5759" s="6" t="b">
        <v>0</v>
      </c>
      <c r="E5759" s="6"/>
      <c r="F5759" s="6"/>
      <c r="G5759" s="119" t="b">
        <f t="shared" si="333"/>
        <v>0</v>
      </c>
      <c r="H5759" s="6" t="s">
        <v>2189</v>
      </c>
      <c r="I5759" t="s">
        <v>2008</v>
      </c>
      <c r="J5759">
        <v>5</v>
      </c>
      <c r="L5759" s="26" t="e">
        <f t="shared" si="327"/>
        <v>#VALUE!</v>
      </c>
    </row>
    <row r="5760" spans="1:12" x14ac:dyDescent="0.35">
      <c r="A5760">
        <f t="shared" si="328"/>
        <v>5759</v>
      </c>
      <c r="B5760" t="s">
        <v>762</v>
      </c>
      <c r="C5760" s="109" t="str">
        <f>IF(ISBLANK(K5760),IFERROR(VLOOKUP(I5760,FS_input_data!$C$458:$N$648,Export!J5760,FALSE),""),K5760)</f>
        <v/>
      </c>
      <c r="D5760" s="6"/>
      <c r="E5760" s="6"/>
      <c r="F5760" s="6"/>
      <c r="G5760" s="119" t="b">
        <f t="shared" si="333"/>
        <v>0</v>
      </c>
      <c r="H5760" s="6" t="s">
        <v>2189</v>
      </c>
      <c r="I5760" t="s">
        <v>1561</v>
      </c>
      <c r="J5760" t="s">
        <v>1561</v>
      </c>
      <c r="L5760">
        <f t="shared" si="327"/>
        <v>1</v>
      </c>
    </row>
    <row r="5761" spans="1:12" x14ac:dyDescent="0.35">
      <c r="A5761">
        <f t="shared" si="328"/>
        <v>5760</v>
      </c>
      <c r="B5761" t="s">
        <v>763</v>
      </c>
      <c r="C5761" s="109" t="str">
        <f>IF(ISBLANK(K5761),IFERROR(VLOOKUP(I5761,FS_input_data!$C$458:$N$648,Export!J5761,FALSE),""),K5761)</f>
        <v/>
      </c>
      <c r="D5761" s="6"/>
      <c r="E5761" s="6"/>
      <c r="F5761" s="6"/>
      <c r="G5761" s="119" t="b">
        <f t="shared" si="333"/>
        <v>0</v>
      </c>
      <c r="H5761" s="6" t="s">
        <v>2189</v>
      </c>
      <c r="I5761" t="s">
        <v>1561</v>
      </c>
      <c r="J5761" t="s">
        <v>1561</v>
      </c>
      <c r="L5761">
        <f t="shared" si="327"/>
        <v>1</v>
      </c>
    </row>
    <row r="5762" spans="1:12" x14ac:dyDescent="0.35">
      <c r="A5762">
        <f t="shared" si="328"/>
        <v>5761</v>
      </c>
      <c r="B5762" t="s">
        <v>743</v>
      </c>
      <c r="C5762" s="109" t="str">
        <f>IF(ISBLANK(K5762),IFERROR(VLOOKUP(I5762,FS_input_data!$C$458:$N$648,Export!J5762,FALSE),""),K5762)</f>
        <v/>
      </c>
      <c r="D5762" s="6"/>
      <c r="E5762" s="6"/>
      <c r="F5762" s="6"/>
      <c r="G5762" s="119" t="b">
        <f t="shared" si="333"/>
        <v>0</v>
      </c>
      <c r="H5762" s="6" t="s">
        <v>2189</v>
      </c>
      <c r="I5762" t="s">
        <v>1561</v>
      </c>
      <c r="J5762" t="s">
        <v>1561</v>
      </c>
      <c r="L5762">
        <f t="shared" ref="L5762:L5825" si="334">FIND("/",B5762)</f>
        <v>1</v>
      </c>
    </row>
    <row r="5763" spans="1:12" x14ac:dyDescent="0.35">
      <c r="A5763">
        <f t="shared" ref="A5763:A5826" si="335">A5762+1</f>
        <v>5762</v>
      </c>
      <c r="B5763" t="s">
        <v>744</v>
      </c>
      <c r="C5763" s="109" t="str">
        <f>IF(ISBLANK(K5763),IFERROR(VLOOKUP(I5763,FS_input_data!$C$458:$N$648,Export!J5763,FALSE),""),K5763)</f>
        <v/>
      </c>
      <c r="D5763" s="6"/>
      <c r="E5763" s="6"/>
      <c r="F5763" s="6"/>
      <c r="G5763" s="119" t="b">
        <f t="shared" ref="G5763:G5770" si="336">RP_tax</f>
        <v>1</v>
      </c>
      <c r="H5763" s="6" t="s">
        <v>2189</v>
      </c>
      <c r="I5763" t="s">
        <v>1561</v>
      </c>
      <c r="J5763" t="s">
        <v>1561</v>
      </c>
      <c r="L5763" s="26" t="e">
        <f t="shared" si="334"/>
        <v>#VALUE!</v>
      </c>
    </row>
    <row r="5764" spans="1:12" x14ac:dyDescent="0.35">
      <c r="A5764" s="9">
        <f t="shared" si="335"/>
        <v>5763</v>
      </c>
      <c r="B5764" t="s">
        <v>109</v>
      </c>
      <c r="C5764" s="109">
        <f>IF(ISBLANK(K5764),IFERROR(VLOOKUP(I5764,FS_input_data!$C$458:$N$648,Export!J5764,FALSE),""),K5764)</f>
        <v>-208000</v>
      </c>
      <c r="D5764" s="6" t="b">
        <v>1</v>
      </c>
      <c r="E5764" s="6"/>
      <c r="F5764" s="6"/>
      <c r="G5764" s="119" t="b">
        <f t="shared" si="336"/>
        <v>1</v>
      </c>
      <c r="H5764" s="6" t="s">
        <v>2189</v>
      </c>
      <c r="I5764" t="s">
        <v>2008</v>
      </c>
      <c r="J5764">
        <v>10</v>
      </c>
      <c r="L5764" s="26" t="e">
        <f t="shared" si="334"/>
        <v>#VALUE!</v>
      </c>
    </row>
    <row r="5765" spans="1:12" x14ac:dyDescent="0.35">
      <c r="A5765">
        <f t="shared" si="335"/>
        <v>5764</v>
      </c>
      <c r="B5765" t="s">
        <v>110</v>
      </c>
      <c r="C5765" s="109" t="str">
        <f>IF(ISBLANK(K5765),IFERROR(VLOOKUP(I5765,FS_input_data!$C$458:$N$648,Export!J5765,FALSE),""),K5765)</f>
        <v/>
      </c>
      <c r="D5765" s="6"/>
      <c r="E5765" s="6"/>
      <c r="F5765" s="6"/>
      <c r="G5765" s="119" t="b">
        <f t="shared" si="336"/>
        <v>1</v>
      </c>
      <c r="H5765" s="6" t="s">
        <v>2189</v>
      </c>
      <c r="I5765" t="s">
        <v>1561</v>
      </c>
      <c r="J5765" t="s">
        <v>1561</v>
      </c>
      <c r="L5765">
        <f t="shared" si="334"/>
        <v>1</v>
      </c>
    </row>
    <row r="5766" spans="1:12" x14ac:dyDescent="0.35">
      <c r="A5766" s="9">
        <f t="shared" si="335"/>
        <v>5765</v>
      </c>
      <c r="B5766" t="s">
        <v>111</v>
      </c>
      <c r="C5766" s="109">
        <f>IF(ISBLANK(K5766),IFERROR(VLOOKUP(I5766,FS_input_data!$C$458:$N$648,Export!J5766,FALSE),""),K5766)</f>
        <v>-104000</v>
      </c>
      <c r="D5766" s="6" t="b">
        <v>0</v>
      </c>
      <c r="E5766" s="6"/>
      <c r="F5766" s="6"/>
      <c r="G5766" s="119" t="b">
        <f t="shared" si="336"/>
        <v>1</v>
      </c>
      <c r="H5766" s="6" t="s">
        <v>2189</v>
      </c>
      <c r="I5766" t="s">
        <v>2008</v>
      </c>
      <c r="J5766">
        <v>11</v>
      </c>
      <c r="L5766" s="26" t="e">
        <f t="shared" si="334"/>
        <v>#VALUE!</v>
      </c>
    </row>
    <row r="5767" spans="1:12" x14ac:dyDescent="0.35">
      <c r="A5767">
        <f t="shared" si="335"/>
        <v>5766</v>
      </c>
      <c r="B5767" t="s">
        <v>112</v>
      </c>
      <c r="C5767" s="109" t="str">
        <f>IF(ISBLANK(K5767),IFERROR(VLOOKUP(I5767,FS_input_data!$C$458:$N$648,Export!J5767,FALSE),""),K5767)</f>
        <v/>
      </c>
      <c r="D5767" s="6"/>
      <c r="E5767" s="6"/>
      <c r="F5767" s="6"/>
      <c r="G5767" s="119" t="b">
        <f t="shared" si="336"/>
        <v>1</v>
      </c>
      <c r="H5767" s="6" t="s">
        <v>2189</v>
      </c>
      <c r="I5767" t="s">
        <v>1561</v>
      </c>
      <c r="J5767" t="s">
        <v>1561</v>
      </c>
      <c r="L5767">
        <f t="shared" si="334"/>
        <v>1</v>
      </c>
    </row>
    <row r="5768" spans="1:12" x14ac:dyDescent="0.35">
      <c r="A5768" s="9">
        <f t="shared" si="335"/>
        <v>5767</v>
      </c>
      <c r="B5768" t="s">
        <v>749</v>
      </c>
      <c r="C5768" s="109">
        <f>IF(ISBLANK(K5768),IFERROR(VLOOKUP(I5768,FS_input_data!$C$458:$N$648,Export!J5768,FALSE),""),K5768)</f>
        <v>-104000</v>
      </c>
      <c r="D5768" s="6" t="b">
        <v>0</v>
      </c>
      <c r="E5768" s="6"/>
      <c r="F5768" s="6"/>
      <c r="G5768" s="119" t="b">
        <f t="shared" si="336"/>
        <v>1</v>
      </c>
      <c r="H5768" s="6" t="s">
        <v>2189</v>
      </c>
      <c r="I5768" t="s">
        <v>2008</v>
      </c>
      <c r="J5768">
        <v>12</v>
      </c>
      <c r="L5768" s="26" t="e">
        <f t="shared" si="334"/>
        <v>#VALUE!</v>
      </c>
    </row>
    <row r="5769" spans="1:12" x14ac:dyDescent="0.35">
      <c r="A5769">
        <f t="shared" si="335"/>
        <v>5768</v>
      </c>
      <c r="B5769" t="s">
        <v>750</v>
      </c>
      <c r="C5769" s="109" t="str">
        <f>IF(ISBLANK(K5769),IFERROR(VLOOKUP(I5769,FS_input_data!$C$458:$N$648,Export!J5769,FALSE),""),K5769)</f>
        <v/>
      </c>
      <c r="D5769" s="6"/>
      <c r="E5769" s="6"/>
      <c r="F5769" s="6"/>
      <c r="G5769" s="119" t="b">
        <f t="shared" si="336"/>
        <v>1</v>
      </c>
      <c r="H5769" s="6" t="s">
        <v>2189</v>
      </c>
      <c r="I5769" t="s">
        <v>1561</v>
      </c>
      <c r="J5769" t="s">
        <v>1561</v>
      </c>
      <c r="L5769">
        <f t="shared" si="334"/>
        <v>1</v>
      </c>
    </row>
    <row r="5770" spans="1:12" x14ac:dyDescent="0.35">
      <c r="A5770">
        <f t="shared" si="335"/>
        <v>5769</v>
      </c>
      <c r="B5770" t="s">
        <v>745</v>
      </c>
      <c r="C5770" s="109" t="str">
        <f>IF(ISBLANK(K5770),IFERROR(VLOOKUP(I5770,FS_input_data!$C$458:$N$648,Export!J5770,FALSE),""),K5770)</f>
        <v/>
      </c>
      <c r="D5770" s="6"/>
      <c r="E5770" s="6"/>
      <c r="F5770" s="6"/>
      <c r="G5770" s="119" t="b">
        <f t="shared" si="336"/>
        <v>1</v>
      </c>
      <c r="H5770" s="6" t="s">
        <v>2189</v>
      </c>
      <c r="I5770" t="s">
        <v>1561</v>
      </c>
      <c r="J5770" t="s">
        <v>1561</v>
      </c>
      <c r="L5770">
        <f t="shared" si="334"/>
        <v>1</v>
      </c>
    </row>
    <row r="5771" spans="1:12" x14ac:dyDescent="0.35">
      <c r="A5771">
        <f t="shared" si="335"/>
        <v>5770</v>
      </c>
      <c r="B5771" t="s">
        <v>764</v>
      </c>
      <c r="C5771" s="109" t="str">
        <f>IF(ISBLANK(K5771),IFERROR(VLOOKUP(I5771,FS_input_data!$C$458:$N$648,Export!J5771,FALSE),""),K5771)</f>
        <v/>
      </c>
      <c r="D5771" s="6"/>
      <c r="E5771" s="6"/>
      <c r="F5771" s="6"/>
      <c r="G5771" s="119" t="b">
        <f>VLOOKUP($I$5703,FS_input_noty,$J$5703,FALSE)=""</f>
        <v>0</v>
      </c>
      <c r="H5771" s="6" t="s">
        <v>2189</v>
      </c>
      <c r="I5771" t="s">
        <v>1561</v>
      </c>
      <c r="J5771" t="s">
        <v>1561</v>
      </c>
      <c r="L5771">
        <f t="shared" si="334"/>
        <v>1</v>
      </c>
    </row>
    <row r="5772" spans="1:12" x14ac:dyDescent="0.35">
      <c r="A5772">
        <f t="shared" si="335"/>
        <v>5771</v>
      </c>
      <c r="B5772" t="s">
        <v>765</v>
      </c>
      <c r="C5772" s="109" t="str">
        <f>IF(ISBLANK(K5772),IFERROR(VLOOKUP(I5772,FS_input_data!$C$458:$N$648,Export!J5772,FALSE),""),K5772)</f>
        <v/>
      </c>
      <c r="D5772" s="6"/>
      <c r="E5772" s="6"/>
      <c r="F5772" s="6"/>
      <c r="G5772" s="119" t="b">
        <f>VLOOKUP($I$5703,FS_input_noty,$J$5703,FALSE)=""</f>
        <v>0</v>
      </c>
      <c r="H5772" s="6" t="s">
        <v>2189</v>
      </c>
      <c r="I5772" t="s">
        <v>1561</v>
      </c>
      <c r="J5772" t="s">
        <v>1561</v>
      </c>
      <c r="L5772">
        <f t="shared" si="334"/>
        <v>1</v>
      </c>
    </row>
    <row r="5773" spans="1:12" x14ac:dyDescent="0.35">
      <c r="A5773">
        <f t="shared" si="335"/>
        <v>5772</v>
      </c>
      <c r="B5773" t="s">
        <v>752</v>
      </c>
      <c r="C5773" s="109" t="str">
        <f>IF(ISBLANK(K5773),IFERROR(VLOOKUP(I5773,FS_input_data!$C$458:$N$648,Export!J5773,FALSE),""),K5773)</f>
        <v/>
      </c>
      <c r="D5773" s="6"/>
      <c r="E5773" s="6"/>
      <c r="F5773" s="6"/>
      <c r="G5773" s="115" t="b">
        <f>VLOOKUP(I5774,FS_input_noty,J5774,FALSE)=""</f>
        <v>0</v>
      </c>
      <c r="H5773" s="6" t="s">
        <v>2189</v>
      </c>
      <c r="I5773" t="s">
        <v>1561</v>
      </c>
      <c r="J5773" t="s">
        <v>1561</v>
      </c>
      <c r="L5773" s="26" t="e">
        <f t="shared" si="334"/>
        <v>#VALUE!</v>
      </c>
    </row>
    <row r="5774" spans="1:12" x14ac:dyDescent="0.35">
      <c r="A5774" s="9">
        <f t="shared" si="335"/>
        <v>5773</v>
      </c>
      <c r="B5774" t="s">
        <v>101</v>
      </c>
      <c r="C5774" s="109" t="str">
        <f>IF(ISBLANK(K5774),IFERROR(VLOOKUP(I5774,FS_input_data!$C$458:$N$648,Export!J5774,FALSE),""),K5774)</f>
        <v>OC77</v>
      </c>
      <c r="D5774" s="6" t="b">
        <v>1</v>
      </c>
      <c r="E5774" s="6"/>
      <c r="F5774" s="6"/>
      <c r="G5774" s="115" t="b">
        <f>VLOOKUP(I5774,FS_input_noty,J5774,FALSE)=""</f>
        <v>0</v>
      </c>
      <c r="H5774" s="6" t="s">
        <v>2189</v>
      </c>
      <c r="I5774" t="s">
        <v>2010</v>
      </c>
      <c r="J5774">
        <v>6</v>
      </c>
      <c r="L5774" s="26" t="e">
        <f t="shared" si="334"/>
        <v>#VALUE!</v>
      </c>
    </row>
    <row r="5775" spans="1:12" x14ac:dyDescent="0.35">
      <c r="A5775">
        <f t="shared" si="335"/>
        <v>5774</v>
      </c>
      <c r="B5775" t="s">
        <v>102</v>
      </c>
      <c r="C5775" s="109" t="str">
        <f>IF(ISBLANK(K5775),IFERROR(VLOOKUP(I5775,FS_input_data!$C$458:$N$648,Export!J5775,FALSE),""),K5775)</f>
        <v/>
      </c>
      <c r="D5775" s="6"/>
      <c r="E5775" s="6"/>
      <c r="F5775" s="6"/>
      <c r="G5775" s="115" t="b">
        <f>VLOOKUP(I5774,FS_input_noty,J5774,FALSE)=""</f>
        <v>0</v>
      </c>
      <c r="H5775" s="6" t="s">
        <v>2189</v>
      </c>
      <c r="I5775" t="s">
        <v>1561</v>
      </c>
      <c r="J5775" t="s">
        <v>1561</v>
      </c>
      <c r="L5775">
        <f t="shared" si="334"/>
        <v>1</v>
      </c>
    </row>
    <row r="5776" spans="1:12" x14ac:dyDescent="0.35">
      <c r="A5776">
        <f t="shared" si="335"/>
        <v>5775</v>
      </c>
      <c r="B5776" t="s">
        <v>753</v>
      </c>
      <c r="C5776" s="109" t="str">
        <f>IF(ISBLANK(K5776),IFERROR(VLOOKUP(I5776,FS_input_data!$C$458:$N$648,Export!J5776,FALSE),""),K5776)</f>
        <v/>
      </c>
      <c r="D5776" s="6"/>
      <c r="E5776" s="6"/>
      <c r="F5776" s="6"/>
      <c r="G5776" s="115" t="b">
        <f>VLOOKUP(I5774,FS_input_noty,J5774,FALSE)=""</f>
        <v>0</v>
      </c>
      <c r="H5776" s="6" t="s">
        <v>2189</v>
      </c>
      <c r="I5776" t="s">
        <v>1561</v>
      </c>
      <c r="J5776" t="s">
        <v>1561</v>
      </c>
      <c r="L5776" s="26" t="e">
        <f t="shared" si="334"/>
        <v>#VALUE!</v>
      </c>
    </row>
    <row r="5777" spans="1:12" x14ac:dyDescent="0.35">
      <c r="A5777">
        <f t="shared" si="335"/>
        <v>5776</v>
      </c>
      <c r="B5777" t="s">
        <v>742</v>
      </c>
      <c r="C5777" s="109" t="str">
        <f>IF(ISBLANK(K5777),IFERROR(VLOOKUP(I5777,FS_input_data!$C$458:$N$648,Export!J5777,FALSE),""),K5777)</f>
        <v/>
      </c>
      <c r="D5777" s="6"/>
      <c r="E5777" s="6"/>
      <c r="F5777" s="6"/>
      <c r="G5777" s="115" t="b">
        <f>VLOOKUP(I5774,FS_input_noty,J5774,FALSE)=""</f>
        <v>0</v>
      </c>
      <c r="H5777" s="6" t="s">
        <v>2189</v>
      </c>
      <c r="I5777" t="s">
        <v>1561</v>
      </c>
      <c r="J5777" t="s">
        <v>1561</v>
      </c>
      <c r="L5777" s="26" t="e">
        <f t="shared" si="334"/>
        <v>#VALUE!</v>
      </c>
    </row>
    <row r="5778" spans="1:12" x14ac:dyDescent="0.35">
      <c r="A5778">
        <f t="shared" si="335"/>
        <v>5777</v>
      </c>
      <c r="B5778" t="s">
        <v>748</v>
      </c>
      <c r="C5778" s="109" t="str">
        <f>IF(ISBLANK(K5778),IFERROR(VLOOKUP(I5778,FS_input_data!$C$458:$N$648,Export!J5778,FALSE),""),K5778)</f>
        <v/>
      </c>
      <c r="D5778" s="6"/>
      <c r="E5778" s="6"/>
      <c r="F5778" s="6"/>
      <c r="G5778" s="115" t="b">
        <f>VLOOKUP(I5774,FS_input_noty,J5774,FALSE)=""</f>
        <v>0</v>
      </c>
      <c r="H5778" s="6" t="s">
        <v>2189</v>
      </c>
      <c r="I5778" t="s">
        <v>1561</v>
      </c>
      <c r="J5778" t="s">
        <v>1561</v>
      </c>
      <c r="L5778" s="26" t="e">
        <f t="shared" si="334"/>
        <v>#VALUE!</v>
      </c>
    </row>
    <row r="5779" spans="1:12" x14ac:dyDescent="0.35">
      <c r="A5779" s="9">
        <f t="shared" si="335"/>
        <v>5778</v>
      </c>
      <c r="B5779" t="s">
        <v>109</v>
      </c>
      <c r="C5779" s="109">
        <f>IF(ISBLANK(K5779),IFERROR(VLOOKUP(I5779,FS_input_data!$C$458:$N$648,Export!J5779,FALSE),""),K5779)</f>
        <v>2000</v>
      </c>
      <c r="D5779" s="6" t="b">
        <v>1</v>
      </c>
      <c r="E5779" s="6"/>
      <c r="F5779" s="6"/>
      <c r="G5779" s="115" t="b">
        <f>VLOOKUP(I5774,FS_input_noty,J5774,FALSE)=""</f>
        <v>0</v>
      </c>
      <c r="H5779" s="6" t="s">
        <v>2189</v>
      </c>
      <c r="I5779" t="s">
        <v>2010</v>
      </c>
      <c r="J5779">
        <v>7</v>
      </c>
      <c r="L5779" s="26" t="e">
        <f t="shared" si="334"/>
        <v>#VALUE!</v>
      </c>
    </row>
    <row r="5780" spans="1:12" x14ac:dyDescent="0.35">
      <c r="A5780">
        <f t="shared" si="335"/>
        <v>5779</v>
      </c>
      <c r="B5780" t="s">
        <v>110</v>
      </c>
      <c r="C5780" s="109" t="str">
        <f>IF(ISBLANK(K5780),IFERROR(VLOOKUP(I5780,FS_input_data!$C$458:$N$648,Export!J5780,FALSE),""),K5780)</f>
        <v/>
      </c>
      <c r="D5780" s="6"/>
      <c r="E5780" s="6"/>
      <c r="F5780" s="6"/>
      <c r="G5780" s="115" t="b">
        <f>VLOOKUP(I5774,FS_input_noty,J5774,FALSE)=""</f>
        <v>0</v>
      </c>
      <c r="H5780" s="6" t="s">
        <v>2189</v>
      </c>
      <c r="I5780" t="s">
        <v>1561</v>
      </c>
      <c r="J5780" t="s">
        <v>1561</v>
      </c>
      <c r="L5780">
        <f t="shared" si="334"/>
        <v>1</v>
      </c>
    </row>
    <row r="5781" spans="1:12" x14ac:dyDescent="0.35">
      <c r="A5781" s="9">
        <f t="shared" si="335"/>
        <v>5780</v>
      </c>
      <c r="B5781" t="s">
        <v>111</v>
      </c>
      <c r="C5781" s="109">
        <f>IF(ISBLANK(K5781),IFERROR(VLOOKUP(I5781,FS_input_data!$C$458:$N$648,Export!J5781,FALSE),""),K5781)</f>
        <v>1000</v>
      </c>
      <c r="D5781" s="6" t="b">
        <v>0</v>
      </c>
      <c r="E5781" s="6"/>
      <c r="F5781" s="6"/>
      <c r="G5781" s="115" t="b">
        <f>VLOOKUP(I5774,FS_input_noty,J5774,TRUE)=""</f>
        <v>0</v>
      </c>
      <c r="H5781" s="6" t="s">
        <v>2189</v>
      </c>
      <c r="I5781" t="s">
        <v>2010</v>
      </c>
      <c r="J5781">
        <v>8</v>
      </c>
      <c r="L5781" s="26" t="e">
        <f t="shared" si="334"/>
        <v>#VALUE!</v>
      </c>
    </row>
    <row r="5782" spans="1:12" x14ac:dyDescent="0.35">
      <c r="A5782">
        <f t="shared" si="335"/>
        <v>5781</v>
      </c>
      <c r="B5782" t="s">
        <v>112</v>
      </c>
      <c r="C5782" s="109" t="str">
        <f>IF(ISBLANK(K5782),IFERROR(VLOOKUP(I5782,FS_input_data!$C$458:$N$648,Export!J5782,FALSE),""),K5782)</f>
        <v/>
      </c>
      <c r="D5782" s="6"/>
      <c r="E5782" s="6"/>
      <c r="F5782" s="6"/>
      <c r="G5782" s="115" t="b">
        <f>VLOOKUP(I5774,FS_input_noty,J5774,FALSE)=""</f>
        <v>0</v>
      </c>
      <c r="H5782" s="6" t="s">
        <v>2189</v>
      </c>
      <c r="I5782" t="s">
        <v>1561</v>
      </c>
      <c r="J5782" t="s">
        <v>1561</v>
      </c>
      <c r="L5782">
        <f t="shared" si="334"/>
        <v>1</v>
      </c>
    </row>
    <row r="5783" spans="1:12" x14ac:dyDescent="0.35">
      <c r="A5783" s="9">
        <f t="shared" si="335"/>
        <v>5782</v>
      </c>
      <c r="B5783" t="s">
        <v>749</v>
      </c>
      <c r="C5783" s="109">
        <f>IF(ISBLANK(K5783),IFERROR(VLOOKUP(I5783,FS_input_data!$C$458:$N$648,Export!J5783,FALSE),""),K5783)</f>
        <v>1000</v>
      </c>
      <c r="D5783" s="6" t="b">
        <v>0</v>
      </c>
      <c r="E5783" s="6"/>
      <c r="F5783" s="6"/>
      <c r="G5783" s="115" t="b">
        <f>VLOOKUP(I5774,FS_input_noty,J5774,FALSE)=""</f>
        <v>0</v>
      </c>
      <c r="H5783" s="6" t="s">
        <v>2189</v>
      </c>
      <c r="I5783" t="s">
        <v>2010</v>
      </c>
      <c r="J5783">
        <v>9</v>
      </c>
      <c r="L5783" s="26" t="e">
        <f t="shared" si="334"/>
        <v>#VALUE!</v>
      </c>
    </row>
    <row r="5784" spans="1:12" x14ac:dyDescent="0.35">
      <c r="A5784">
        <f t="shared" si="335"/>
        <v>5783</v>
      </c>
      <c r="B5784" t="s">
        <v>750</v>
      </c>
      <c r="C5784" s="109" t="str">
        <f>IF(ISBLANK(K5784),IFERROR(VLOOKUP(I5784,FS_input_data!$C$458:$N$648,Export!J5784,FALSE),""),K5784)</f>
        <v/>
      </c>
      <c r="D5784" s="6"/>
      <c r="E5784" s="6"/>
      <c r="F5784" s="6"/>
      <c r="G5784" s="115" t="b">
        <f>VLOOKUP(I5774,FS_input_noty,J5774,FALSE)=""</f>
        <v>0</v>
      </c>
      <c r="H5784" s="6" t="s">
        <v>2189</v>
      </c>
      <c r="I5784" t="s">
        <v>1561</v>
      </c>
      <c r="J5784" t="s">
        <v>1561</v>
      </c>
      <c r="L5784">
        <f t="shared" si="334"/>
        <v>1</v>
      </c>
    </row>
    <row r="5785" spans="1:12" x14ac:dyDescent="0.35">
      <c r="A5785">
        <f t="shared" si="335"/>
        <v>5784</v>
      </c>
      <c r="B5785" t="s">
        <v>751</v>
      </c>
      <c r="C5785" s="109" t="str">
        <f>IF(ISBLANK(K5785),IFERROR(VLOOKUP(I5785,FS_input_data!$C$458:$N$648,Export!J5785,FALSE),""),K5785)</f>
        <v/>
      </c>
      <c r="D5785" s="6"/>
      <c r="E5785" s="6"/>
      <c r="F5785" s="6"/>
      <c r="G5785" s="115" t="b">
        <f>VLOOKUP(I5774,FS_input_noty,J5774,FALSE)=""</f>
        <v>0</v>
      </c>
      <c r="H5785" s="6" t="s">
        <v>2189</v>
      </c>
      <c r="I5785" t="s">
        <v>1561</v>
      </c>
      <c r="J5785" t="s">
        <v>1561</v>
      </c>
      <c r="L5785">
        <f t="shared" si="334"/>
        <v>1</v>
      </c>
    </row>
    <row r="5786" spans="1:12" x14ac:dyDescent="0.35">
      <c r="A5786">
        <f t="shared" si="335"/>
        <v>5785</v>
      </c>
      <c r="B5786" t="s">
        <v>754</v>
      </c>
      <c r="C5786" s="109" t="str">
        <f>IF(ISBLANK(K5786),IFERROR(VLOOKUP(I5786,FS_input_data!$C$458:$N$648,Export!J5786,FALSE),""),K5786)</f>
        <v/>
      </c>
      <c r="D5786" s="6"/>
      <c r="E5786" s="6"/>
      <c r="F5786" s="6"/>
      <c r="G5786" s="115" t="b">
        <f>VLOOKUP(I5774,FS_input_noty,J5774,FALSE)=""</f>
        <v>0</v>
      </c>
      <c r="H5786" s="6" t="s">
        <v>2189</v>
      </c>
      <c r="I5786" t="s">
        <v>1561</v>
      </c>
      <c r="J5786" t="s">
        <v>1561</v>
      </c>
      <c r="L5786" s="26" t="e">
        <f t="shared" si="334"/>
        <v>#VALUE!</v>
      </c>
    </row>
    <row r="5787" spans="1:12" x14ac:dyDescent="0.35">
      <c r="A5787" s="9">
        <f t="shared" si="335"/>
        <v>5786</v>
      </c>
      <c r="B5787" t="s">
        <v>755</v>
      </c>
      <c r="C5787" s="109">
        <f>IF(ISBLANK(K5787),IFERROR(VLOOKUP(I5787,FS_input_data!$C$458:$N$648,Export!J5787,FALSE),""),K5787)</f>
        <v>100</v>
      </c>
      <c r="D5787" s="6" t="b">
        <v>1</v>
      </c>
      <c r="E5787" s="6"/>
      <c r="F5787" s="6"/>
      <c r="G5787" s="115" t="b">
        <f>VLOOKUP(I5774,FS_input_noty,J5774,FALSE)=""</f>
        <v>0</v>
      </c>
      <c r="H5787" s="6" t="s">
        <v>2189</v>
      </c>
      <c r="I5787" t="s">
        <v>2010</v>
      </c>
      <c r="J5787">
        <v>2</v>
      </c>
      <c r="L5787" s="26" t="e">
        <f t="shared" si="334"/>
        <v>#VALUE!</v>
      </c>
    </row>
    <row r="5788" spans="1:12" x14ac:dyDescent="0.35">
      <c r="A5788">
        <f t="shared" si="335"/>
        <v>5787</v>
      </c>
      <c r="B5788" t="s">
        <v>756</v>
      </c>
      <c r="C5788" s="109" t="str">
        <f>IF(ISBLANK(K5788),IFERROR(VLOOKUP(I5788,FS_input_data!$C$458:$N$648,Export!J5788,FALSE),""),K5788)</f>
        <v/>
      </c>
      <c r="D5788" s="6"/>
      <c r="E5788" s="6"/>
      <c r="F5788" s="6"/>
      <c r="G5788" s="115" t="b">
        <f>VLOOKUP(I5774,FS_input_noty,J5774,FALSE)=""</f>
        <v>0</v>
      </c>
      <c r="H5788" s="6" t="s">
        <v>2189</v>
      </c>
      <c r="I5788" t="s">
        <v>1561</v>
      </c>
      <c r="J5788" t="s">
        <v>1561</v>
      </c>
      <c r="L5788">
        <f t="shared" si="334"/>
        <v>1</v>
      </c>
    </row>
    <row r="5789" spans="1:12" x14ac:dyDescent="0.35">
      <c r="A5789" s="9">
        <f t="shared" si="335"/>
        <v>5788</v>
      </c>
      <c r="B5789" t="s">
        <v>757</v>
      </c>
      <c r="C5789" s="109">
        <f>IF(ISBLANK(K5789),IFERROR(VLOOKUP(I5789,FS_input_data!$C$458:$N$648,Export!J5789,FALSE),""),K5789)</f>
        <v>200</v>
      </c>
      <c r="D5789" s="6" t="b">
        <v>0</v>
      </c>
      <c r="E5789" s="6"/>
      <c r="F5789" s="6"/>
      <c r="G5789" s="115" t="b">
        <f>VLOOKUP(I5774,FS_input_noty,J5774,FALSE)=""</f>
        <v>0</v>
      </c>
      <c r="H5789" s="6" t="s">
        <v>2189</v>
      </c>
      <c r="I5789" t="s">
        <v>2010</v>
      </c>
      <c r="J5789">
        <v>3</v>
      </c>
      <c r="L5789" s="26" t="e">
        <f t="shared" si="334"/>
        <v>#VALUE!</v>
      </c>
    </row>
    <row r="5790" spans="1:12" x14ac:dyDescent="0.35">
      <c r="A5790">
        <f t="shared" si="335"/>
        <v>5789</v>
      </c>
      <c r="B5790" t="s">
        <v>758</v>
      </c>
      <c r="C5790" s="109" t="str">
        <f>IF(ISBLANK(K5790),IFERROR(VLOOKUP(I5790,FS_input_data!$C$458:$N$648,Export!J5790,FALSE),""),K5790)</f>
        <v/>
      </c>
      <c r="D5790" s="6"/>
      <c r="E5790" s="6"/>
      <c r="F5790" s="6"/>
      <c r="G5790" s="115" t="b">
        <f>VLOOKUP(I5774,FS_input_noty,J5774,FALSE)=""</f>
        <v>0</v>
      </c>
      <c r="H5790" s="6" t="s">
        <v>2189</v>
      </c>
      <c r="I5790" t="s">
        <v>1561</v>
      </c>
      <c r="J5790" t="s">
        <v>1561</v>
      </c>
      <c r="L5790">
        <f t="shared" si="334"/>
        <v>1</v>
      </c>
    </row>
    <row r="5791" spans="1:12" x14ac:dyDescent="0.35">
      <c r="A5791" s="9">
        <f t="shared" si="335"/>
        <v>5790</v>
      </c>
      <c r="B5791" t="s">
        <v>759</v>
      </c>
      <c r="C5791" s="109">
        <f>IF(ISBLANK(K5791),IFERROR(VLOOKUP(I5791,FS_input_data!$C$458:$N$648,Export!J5791,FALSE),""),K5791)</f>
        <v>300</v>
      </c>
      <c r="D5791" s="6" t="b">
        <v>0</v>
      </c>
      <c r="E5791" s="6"/>
      <c r="F5791" s="6"/>
      <c r="G5791" s="115" t="b">
        <f>VLOOKUP(I5774,FS_input_noty,J5774,FALSE)=""</f>
        <v>0</v>
      </c>
      <c r="H5791" s="6" t="s">
        <v>2189</v>
      </c>
      <c r="I5791" t="s">
        <v>2010</v>
      </c>
      <c r="J5791">
        <v>4</v>
      </c>
      <c r="L5791" s="26" t="e">
        <f t="shared" si="334"/>
        <v>#VALUE!</v>
      </c>
    </row>
    <row r="5792" spans="1:12" x14ac:dyDescent="0.35">
      <c r="A5792">
        <f t="shared" si="335"/>
        <v>5791</v>
      </c>
      <c r="B5792" t="s">
        <v>760</v>
      </c>
      <c r="C5792" s="109" t="str">
        <f>IF(ISBLANK(K5792),IFERROR(VLOOKUP(I5792,FS_input_data!$C$458:$N$648,Export!J5792,FALSE),""),K5792)</f>
        <v/>
      </c>
      <c r="D5792" s="6"/>
      <c r="E5792" s="6"/>
      <c r="F5792" s="6"/>
      <c r="G5792" s="115" t="b">
        <f>VLOOKUP(I5774,FS_input_noty,J5774,FALSE)=""</f>
        <v>0</v>
      </c>
      <c r="H5792" s="6" t="s">
        <v>2189</v>
      </c>
      <c r="I5792" t="s">
        <v>1561</v>
      </c>
      <c r="J5792" t="s">
        <v>1561</v>
      </c>
      <c r="L5792">
        <f t="shared" si="334"/>
        <v>1</v>
      </c>
    </row>
    <row r="5793" spans="1:12" x14ac:dyDescent="0.35">
      <c r="A5793" s="9">
        <f t="shared" si="335"/>
        <v>5792</v>
      </c>
      <c r="B5793" t="s">
        <v>761</v>
      </c>
      <c r="C5793" s="109" t="str">
        <f>IF(ISBLANK(K5793),IFERROR(VLOOKUP(I5793,FS_input_data!$C$458:$N$648,Export!J5793,FALSE),""),K5793)</f>
        <v>d</v>
      </c>
      <c r="D5793" s="6" t="b">
        <v>0</v>
      </c>
      <c r="E5793" s="6"/>
      <c r="F5793" s="6"/>
      <c r="G5793" s="116" t="b">
        <f>VLOOKUP(I5774,FS_input_noty,J5774,FALSE)=""</f>
        <v>0</v>
      </c>
      <c r="H5793" s="6" t="s">
        <v>2189</v>
      </c>
      <c r="I5793" t="s">
        <v>2010</v>
      </c>
      <c r="J5793">
        <v>5</v>
      </c>
      <c r="L5793" s="26" t="e">
        <f t="shared" si="334"/>
        <v>#VALUE!</v>
      </c>
    </row>
    <row r="5794" spans="1:12" x14ac:dyDescent="0.35">
      <c r="A5794">
        <f t="shared" si="335"/>
        <v>5793</v>
      </c>
      <c r="B5794" t="s">
        <v>762</v>
      </c>
      <c r="C5794" s="109" t="str">
        <f>IF(ISBLANK(K5794),IFERROR(VLOOKUP(I5794,FS_input_data!$C$458:$N$648,Export!J5794,FALSE),""),K5794)</f>
        <v/>
      </c>
      <c r="D5794" s="6"/>
      <c r="E5794" s="6"/>
      <c r="F5794" s="6"/>
      <c r="G5794" s="116" t="b">
        <f>VLOOKUP(I5774,FS_input_noty,J5774,FALSE)=""</f>
        <v>0</v>
      </c>
      <c r="H5794" s="6" t="s">
        <v>2189</v>
      </c>
      <c r="I5794" t="s">
        <v>1561</v>
      </c>
      <c r="J5794" t="s">
        <v>1561</v>
      </c>
      <c r="L5794">
        <f t="shared" si="334"/>
        <v>1</v>
      </c>
    </row>
    <row r="5795" spans="1:12" x14ac:dyDescent="0.35">
      <c r="A5795">
        <f t="shared" si="335"/>
        <v>5794</v>
      </c>
      <c r="B5795" t="s">
        <v>763</v>
      </c>
      <c r="C5795" s="109" t="str">
        <f>IF(ISBLANK(K5795),IFERROR(VLOOKUP(I5795,FS_input_data!$C$458:$N$648,Export!J5795,FALSE),""),K5795)</f>
        <v/>
      </c>
      <c r="D5795" s="6"/>
      <c r="E5795" s="6"/>
      <c r="F5795" s="6"/>
      <c r="G5795" s="116" t="b">
        <f>VLOOKUP(I5774,FS_input_noty,J5774,FALSE)=""</f>
        <v>0</v>
      </c>
      <c r="H5795" s="6" t="s">
        <v>2189</v>
      </c>
      <c r="I5795" t="s">
        <v>1561</v>
      </c>
      <c r="J5795" t="s">
        <v>1561</v>
      </c>
      <c r="L5795">
        <f t="shared" si="334"/>
        <v>1</v>
      </c>
    </row>
    <row r="5796" spans="1:12" x14ac:dyDescent="0.35">
      <c r="A5796">
        <f t="shared" si="335"/>
        <v>5795</v>
      </c>
      <c r="B5796" t="s">
        <v>743</v>
      </c>
      <c r="C5796" s="109" t="str">
        <f>IF(ISBLANK(K5796),IFERROR(VLOOKUP(I5796,FS_input_data!$C$458:$N$648,Export!J5796,FALSE),""),K5796)</f>
        <v/>
      </c>
      <c r="D5796" s="6"/>
      <c r="E5796" s="6"/>
      <c r="F5796" s="6"/>
      <c r="G5796" s="116" t="b">
        <f>VLOOKUP(I5774,FS_input_noty,J5774,FALSE)=""</f>
        <v>0</v>
      </c>
      <c r="H5796" s="6" t="s">
        <v>2189</v>
      </c>
      <c r="I5796" t="s">
        <v>1561</v>
      </c>
      <c r="J5796" t="s">
        <v>1561</v>
      </c>
      <c r="L5796">
        <f t="shared" si="334"/>
        <v>1</v>
      </c>
    </row>
    <row r="5797" spans="1:12" x14ac:dyDescent="0.35">
      <c r="A5797">
        <f t="shared" si="335"/>
        <v>5796</v>
      </c>
      <c r="B5797" t="s">
        <v>744</v>
      </c>
      <c r="C5797" s="109" t="str">
        <f>IF(ISBLANK(K5797),IFERROR(VLOOKUP(I5797,FS_input_data!$C$458:$N$648,Export!J5797,FALSE),""),K5797)</f>
        <v/>
      </c>
      <c r="D5797" s="6"/>
      <c r="E5797" s="6"/>
      <c r="F5797" s="6"/>
      <c r="G5797" s="115" t="b">
        <f t="shared" ref="G5797:G5804" si="337">RP_tax</f>
        <v>1</v>
      </c>
      <c r="H5797" s="6" t="s">
        <v>2189</v>
      </c>
      <c r="I5797" t="s">
        <v>1561</v>
      </c>
      <c r="J5797" t="s">
        <v>1561</v>
      </c>
      <c r="L5797" s="26" t="e">
        <f t="shared" si="334"/>
        <v>#VALUE!</v>
      </c>
    </row>
    <row r="5798" spans="1:12" x14ac:dyDescent="0.35">
      <c r="A5798" s="9">
        <f t="shared" si="335"/>
        <v>5797</v>
      </c>
      <c r="B5798" t="s">
        <v>109</v>
      </c>
      <c r="C5798" s="109">
        <f>IF(ISBLANK(K5798),IFERROR(VLOOKUP(I5798,FS_input_data!$C$458:$N$648,Export!J5798,FALSE),""),K5798)</f>
        <v>2000</v>
      </c>
      <c r="D5798" s="6" t="b">
        <v>1</v>
      </c>
      <c r="E5798" s="6"/>
      <c r="F5798" s="6"/>
      <c r="G5798" s="115" t="b">
        <f t="shared" si="337"/>
        <v>1</v>
      </c>
      <c r="H5798" s="6" t="s">
        <v>2189</v>
      </c>
      <c r="I5798" t="s">
        <v>2010</v>
      </c>
      <c r="J5798">
        <v>10</v>
      </c>
      <c r="L5798" s="26" t="e">
        <f t="shared" si="334"/>
        <v>#VALUE!</v>
      </c>
    </row>
    <row r="5799" spans="1:12" x14ac:dyDescent="0.35">
      <c r="A5799">
        <f t="shared" si="335"/>
        <v>5798</v>
      </c>
      <c r="B5799" t="s">
        <v>110</v>
      </c>
      <c r="C5799" s="109" t="str">
        <f>IF(ISBLANK(K5799),IFERROR(VLOOKUP(I5799,FS_input_data!$C$458:$N$648,Export!J5799,FALSE),""),K5799)</f>
        <v/>
      </c>
      <c r="D5799" s="6"/>
      <c r="E5799" s="6"/>
      <c r="F5799" s="6"/>
      <c r="G5799" s="115" t="b">
        <f t="shared" si="337"/>
        <v>1</v>
      </c>
      <c r="H5799" s="6" t="s">
        <v>2189</v>
      </c>
      <c r="I5799" t="s">
        <v>1561</v>
      </c>
      <c r="J5799" t="s">
        <v>1561</v>
      </c>
      <c r="L5799">
        <f t="shared" si="334"/>
        <v>1</v>
      </c>
    </row>
    <row r="5800" spans="1:12" x14ac:dyDescent="0.35">
      <c r="A5800" s="9">
        <f t="shared" si="335"/>
        <v>5799</v>
      </c>
      <c r="B5800" t="s">
        <v>111</v>
      </c>
      <c r="C5800" s="109">
        <f>IF(ISBLANK(K5800),IFERROR(VLOOKUP(I5800,FS_input_data!$C$458:$N$648,Export!J5800,FALSE),""),K5800)</f>
        <v>1000</v>
      </c>
      <c r="D5800" s="6" t="b">
        <v>0</v>
      </c>
      <c r="E5800" s="6"/>
      <c r="F5800" s="6"/>
      <c r="G5800" s="115" t="b">
        <f t="shared" si="337"/>
        <v>1</v>
      </c>
      <c r="H5800" s="6" t="s">
        <v>2189</v>
      </c>
      <c r="I5800" t="s">
        <v>2010</v>
      </c>
      <c r="J5800">
        <v>11</v>
      </c>
      <c r="L5800" s="26" t="e">
        <f t="shared" si="334"/>
        <v>#VALUE!</v>
      </c>
    </row>
    <row r="5801" spans="1:12" x14ac:dyDescent="0.35">
      <c r="A5801">
        <f t="shared" si="335"/>
        <v>5800</v>
      </c>
      <c r="B5801" t="s">
        <v>112</v>
      </c>
      <c r="C5801" s="109" t="str">
        <f>IF(ISBLANK(K5801),IFERROR(VLOOKUP(I5801,FS_input_data!$C$458:$N$648,Export!J5801,FALSE),""),K5801)</f>
        <v/>
      </c>
      <c r="D5801" s="6"/>
      <c r="E5801" s="6"/>
      <c r="F5801" s="6"/>
      <c r="G5801" s="115" t="b">
        <f t="shared" si="337"/>
        <v>1</v>
      </c>
      <c r="H5801" s="6" t="s">
        <v>2189</v>
      </c>
      <c r="I5801" t="s">
        <v>1561</v>
      </c>
      <c r="J5801" t="s">
        <v>1561</v>
      </c>
      <c r="L5801">
        <f t="shared" si="334"/>
        <v>1</v>
      </c>
    </row>
    <row r="5802" spans="1:12" x14ac:dyDescent="0.35">
      <c r="A5802" s="9">
        <f t="shared" si="335"/>
        <v>5801</v>
      </c>
      <c r="B5802" t="s">
        <v>749</v>
      </c>
      <c r="C5802" s="109">
        <f>IF(ISBLANK(K5802),IFERROR(VLOOKUP(I5802,FS_input_data!$C$458:$N$648,Export!J5802,FALSE),""),K5802)</f>
        <v>1000</v>
      </c>
      <c r="D5802" s="6" t="b">
        <v>0</v>
      </c>
      <c r="E5802" s="6"/>
      <c r="F5802" s="6"/>
      <c r="G5802" s="115" t="b">
        <f t="shared" si="337"/>
        <v>1</v>
      </c>
      <c r="H5802" s="6" t="s">
        <v>2189</v>
      </c>
      <c r="I5802" t="s">
        <v>2010</v>
      </c>
      <c r="J5802">
        <v>12</v>
      </c>
      <c r="L5802" s="26" t="e">
        <f t="shared" si="334"/>
        <v>#VALUE!</v>
      </c>
    </row>
    <row r="5803" spans="1:12" x14ac:dyDescent="0.35">
      <c r="A5803">
        <f t="shared" si="335"/>
        <v>5802</v>
      </c>
      <c r="B5803" t="s">
        <v>750</v>
      </c>
      <c r="C5803" s="109" t="str">
        <f>IF(ISBLANK(K5803),IFERROR(VLOOKUP(I5803,FS_input_data!$C$458:$N$648,Export!J5803,FALSE),""),K5803)</f>
        <v/>
      </c>
      <c r="D5803" s="6"/>
      <c r="E5803" s="6"/>
      <c r="F5803" s="6"/>
      <c r="G5803" s="115" t="b">
        <f t="shared" si="337"/>
        <v>1</v>
      </c>
      <c r="H5803" s="6" t="s">
        <v>2189</v>
      </c>
      <c r="I5803" t="s">
        <v>1561</v>
      </c>
      <c r="J5803" t="s">
        <v>1561</v>
      </c>
      <c r="L5803">
        <f t="shared" si="334"/>
        <v>1</v>
      </c>
    </row>
    <row r="5804" spans="1:12" x14ac:dyDescent="0.35">
      <c r="A5804">
        <f t="shared" si="335"/>
        <v>5803</v>
      </c>
      <c r="B5804" t="s">
        <v>745</v>
      </c>
      <c r="C5804" s="109" t="str">
        <f>IF(ISBLANK(K5804),IFERROR(VLOOKUP(I5804,FS_input_data!$C$458:$N$648,Export!J5804,FALSE),""),K5804)</f>
        <v/>
      </c>
      <c r="D5804" s="6"/>
      <c r="E5804" s="6"/>
      <c r="F5804" s="6"/>
      <c r="G5804" s="115" t="b">
        <f t="shared" si="337"/>
        <v>1</v>
      </c>
      <c r="H5804" s="6" t="s">
        <v>2189</v>
      </c>
      <c r="I5804" t="s">
        <v>1561</v>
      </c>
      <c r="J5804" t="s">
        <v>1561</v>
      </c>
      <c r="L5804">
        <f t="shared" si="334"/>
        <v>1</v>
      </c>
    </row>
    <row r="5805" spans="1:12" x14ac:dyDescent="0.35">
      <c r="A5805">
        <f t="shared" si="335"/>
        <v>5804</v>
      </c>
      <c r="B5805" t="s">
        <v>764</v>
      </c>
      <c r="C5805" s="109" t="str">
        <f>IF(ISBLANK(K5805),IFERROR(VLOOKUP(I5805,FS_input_data!$C$458:$N$648,Export!J5805,FALSE),""),K5805)</f>
        <v/>
      </c>
      <c r="D5805" s="6"/>
      <c r="E5805" s="6"/>
      <c r="F5805" s="6"/>
      <c r="G5805" s="115" t="b">
        <f>VLOOKUP(I5774,FS_input_noty,J5774,FALSE)=""</f>
        <v>0</v>
      </c>
      <c r="H5805" s="6" t="s">
        <v>2189</v>
      </c>
      <c r="I5805" t="s">
        <v>1561</v>
      </c>
      <c r="J5805" t="s">
        <v>1561</v>
      </c>
      <c r="L5805">
        <f t="shared" si="334"/>
        <v>1</v>
      </c>
    </row>
    <row r="5806" spans="1:12" x14ac:dyDescent="0.35">
      <c r="A5806">
        <f t="shared" si="335"/>
        <v>5805</v>
      </c>
      <c r="B5806" t="s">
        <v>765</v>
      </c>
      <c r="C5806" s="109" t="str">
        <f>IF(ISBLANK(K5806),IFERROR(VLOOKUP(I5806,FS_input_data!$C$458:$N$648,Export!J5806,FALSE),""),K5806)</f>
        <v/>
      </c>
      <c r="D5806" s="6"/>
      <c r="E5806" s="6"/>
      <c r="F5806" s="6"/>
      <c r="G5806" s="115" t="b">
        <f>VLOOKUP(I5774,FS_input_noty,J5774,FALSE)=""</f>
        <v>0</v>
      </c>
      <c r="H5806" s="6" t="s">
        <v>2189</v>
      </c>
      <c r="I5806" t="s">
        <v>1561</v>
      </c>
      <c r="J5806" t="s">
        <v>1561</v>
      </c>
      <c r="L5806">
        <f t="shared" si="334"/>
        <v>1</v>
      </c>
    </row>
    <row r="5807" spans="1:12" x14ac:dyDescent="0.35">
      <c r="A5807">
        <f t="shared" si="335"/>
        <v>5806</v>
      </c>
      <c r="B5807" t="s">
        <v>752</v>
      </c>
      <c r="C5807" s="109" t="str">
        <f>IF(ISBLANK(K5807),IFERROR(VLOOKUP(I5807,FS_input_data!$C$458:$N$648,Export!J5807,FALSE),""),K5807)</f>
        <v/>
      </c>
      <c r="D5807" s="6"/>
      <c r="E5807" s="6"/>
      <c r="F5807" s="6"/>
      <c r="G5807" s="115" t="b">
        <f>VLOOKUP(I5808,FS_input_noty,J5808,FALSE)=""</f>
        <v>0</v>
      </c>
      <c r="H5807" s="6" t="s">
        <v>2189</v>
      </c>
      <c r="I5807" t="s">
        <v>1561</v>
      </c>
      <c r="J5807" t="s">
        <v>1561</v>
      </c>
      <c r="L5807" s="26" t="e">
        <f t="shared" si="334"/>
        <v>#VALUE!</v>
      </c>
    </row>
    <row r="5808" spans="1:12" x14ac:dyDescent="0.35">
      <c r="A5808" s="9">
        <f t="shared" si="335"/>
        <v>5807</v>
      </c>
      <c r="B5808" t="s">
        <v>101</v>
      </c>
      <c r="C5808" s="109" t="str">
        <f>IF(ISBLANK(K5808),IFERROR(VLOOKUP(I5808,FS_input_data!$C$458:$N$648,Export!J5808,FALSE),""),K5808)</f>
        <v>OC78</v>
      </c>
      <c r="D5808" s="6" t="b">
        <v>1</v>
      </c>
      <c r="E5808" s="6"/>
      <c r="F5808" s="6"/>
      <c r="G5808" s="115" t="b">
        <f>VLOOKUP(I5808,FS_input_noty,J5808,FALSE)=""</f>
        <v>0</v>
      </c>
      <c r="H5808" s="6" t="s">
        <v>2189</v>
      </c>
      <c r="I5808" t="s">
        <v>2012</v>
      </c>
      <c r="J5808">
        <v>6</v>
      </c>
      <c r="L5808" s="26" t="e">
        <f t="shared" si="334"/>
        <v>#VALUE!</v>
      </c>
    </row>
    <row r="5809" spans="1:12" x14ac:dyDescent="0.35">
      <c r="A5809">
        <f t="shared" si="335"/>
        <v>5808</v>
      </c>
      <c r="B5809" t="s">
        <v>102</v>
      </c>
      <c r="C5809" s="109" t="str">
        <f>IF(ISBLANK(K5809),IFERROR(VLOOKUP(I5809,FS_input_data!$C$458:$N$648,Export!J5809,FALSE),""),K5809)</f>
        <v/>
      </c>
      <c r="D5809" s="6"/>
      <c r="E5809" s="6"/>
      <c r="F5809" s="6"/>
      <c r="G5809" s="115" t="b">
        <f>VLOOKUP(I5808,FS_input_noty,J5808,FALSE)=""</f>
        <v>0</v>
      </c>
      <c r="H5809" s="6" t="s">
        <v>2189</v>
      </c>
      <c r="I5809" t="s">
        <v>1561</v>
      </c>
      <c r="J5809" t="s">
        <v>1561</v>
      </c>
      <c r="L5809">
        <f t="shared" si="334"/>
        <v>1</v>
      </c>
    </row>
    <row r="5810" spans="1:12" x14ac:dyDescent="0.35">
      <c r="A5810">
        <f t="shared" si="335"/>
        <v>5809</v>
      </c>
      <c r="B5810" t="s">
        <v>753</v>
      </c>
      <c r="C5810" s="109" t="str">
        <f>IF(ISBLANK(K5810),IFERROR(VLOOKUP(I5810,FS_input_data!$C$458:$N$648,Export!J5810,FALSE),""),K5810)</f>
        <v/>
      </c>
      <c r="D5810" s="6"/>
      <c r="E5810" s="6"/>
      <c r="F5810" s="6"/>
      <c r="G5810" s="115" t="b">
        <f>VLOOKUP(I5808,FS_input_noty,J5808,FALSE)=""</f>
        <v>0</v>
      </c>
      <c r="H5810" s="6" t="s">
        <v>2189</v>
      </c>
      <c r="I5810" t="s">
        <v>1561</v>
      </c>
      <c r="J5810" t="s">
        <v>1561</v>
      </c>
      <c r="L5810" s="26" t="e">
        <f t="shared" si="334"/>
        <v>#VALUE!</v>
      </c>
    </row>
    <row r="5811" spans="1:12" x14ac:dyDescent="0.35">
      <c r="A5811">
        <f t="shared" si="335"/>
        <v>5810</v>
      </c>
      <c r="B5811" t="s">
        <v>742</v>
      </c>
      <c r="C5811" s="109" t="str">
        <f>IF(ISBLANK(K5811),IFERROR(VLOOKUP(I5811,FS_input_data!$C$458:$N$648,Export!J5811,FALSE),""),K5811)</f>
        <v/>
      </c>
      <c r="D5811" s="6"/>
      <c r="E5811" s="6"/>
      <c r="F5811" s="6"/>
      <c r="G5811" s="115" t="b">
        <f>VLOOKUP(I5808,FS_input_noty,J5808,FALSE)=""</f>
        <v>0</v>
      </c>
      <c r="H5811" s="6" t="s">
        <v>2189</v>
      </c>
      <c r="I5811" t="s">
        <v>1561</v>
      </c>
      <c r="J5811" t="s">
        <v>1561</v>
      </c>
      <c r="L5811" s="26" t="e">
        <f t="shared" si="334"/>
        <v>#VALUE!</v>
      </c>
    </row>
    <row r="5812" spans="1:12" x14ac:dyDescent="0.35">
      <c r="A5812">
        <f t="shared" si="335"/>
        <v>5811</v>
      </c>
      <c r="B5812" t="s">
        <v>748</v>
      </c>
      <c r="C5812" s="109" t="str">
        <f>IF(ISBLANK(K5812),IFERROR(VLOOKUP(I5812,FS_input_data!$C$458:$N$648,Export!J5812,FALSE),""),K5812)</f>
        <v/>
      </c>
      <c r="D5812" s="6"/>
      <c r="E5812" s="6"/>
      <c r="F5812" s="6"/>
      <c r="G5812" s="115" t="b">
        <f>VLOOKUP(I5808,FS_input_noty,J5808,FALSE)=""</f>
        <v>0</v>
      </c>
      <c r="H5812" s="6" t="s">
        <v>2189</v>
      </c>
      <c r="I5812" t="s">
        <v>1561</v>
      </c>
      <c r="J5812" t="s">
        <v>1561</v>
      </c>
      <c r="L5812" s="26" t="e">
        <f t="shared" si="334"/>
        <v>#VALUE!</v>
      </c>
    </row>
    <row r="5813" spans="1:12" x14ac:dyDescent="0.35">
      <c r="A5813" s="9">
        <f t="shared" si="335"/>
        <v>5812</v>
      </c>
      <c r="B5813" t="s">
        <v>109</v>
      </c>
      <c r="C5813" s="109">
        <f>IF(ISBLANK(K5813),IFERROR(VLOOKUP(I5813,FS_input_data!$C$458:$N$648,Export!J5813,FALSE),""),K5813)</f>
        <v>3000</v>
      </c>
      <c r="D5813" s="6" t="b">
        <v>1</v>
      </c>
      <c r="E5813" s="6"/>
      <c r="F5813" s="6"/>
      <c r="G5813" s="115" t="b">
        <f>VLOOKUP(I5808,FS_input_noty,J5808,FALSE)=""</f>
        <v>0</v>
      </c>
      <c r="H5813" s="6" t="s">
        <v>2189</v>
      </c>
      <c r="I5813" t="s">
        <v>2012</v>
      </c>
      <c r="J5813">
        <v>7</v>
      </c>
      <c r="L5813" s="26" t="e">
        <f t="shared" si="334"/>
        <v>#VALUE!</v>
      </c>
    </row>
    <row r="5814" spans="1:12" x14ac:dyDescent="0.35">
      <c r="A5814">
        <f t="shared" si="335"/>
        <v>5813</v>
      </c>
      <c r="B5814" t="s">
        <v>110</v>
      </c>
      <c r="C5814" s="109" t="str">
        <f>IF(ISBLANK(K5814),IFERROR(VLOOKUP(I5814,FS_input_data!$C$458:$N$648,Export!J5814,FALSE),""),K5814)</f>
        <v/>
      </c>
      <c r="D5814" s="6"/>
      <c r="E5814" s="6"/>
      <c r="F5814" s="6"/>
      <c r="G5814" s="115" t="b">
        <f>VLOOKUP(I5808,FS_input_noty,J5808,FALSE)=""</f>
        <v>0</v>
      </c>
      <c r="H5814" s="6" t="s">
        <v>2189</v>
      </c>
      <c r="I5814" t="s">
        <v>1561</v>
      </c>
      <c r="J5814" t="s">
        <v>1561</v>
      </c>
      <c r="L5814">
        <f t="shared" si="334"/>
        <v>1</v>
      </c>
    </row>
    <row r="5815" spans="1:12" x14ac:dyDescent="0.35">
      <c r="A5815" s="9">
        <f t="shared" si="335"/>
        <v>5814</v>
      </c>
      <c r="B5815" t="s">
        <v>111</v>
      </c>
      <c r="C5815" s="109">
        <f>IF(ISBLANK(K5815),IFERROR(VLOOKUP(I5815,FS_input_data!$C$458:$N$648,Export!J5815,FALSE),""),K5815)</f>
        <v>1500</v>
      </c>
      <c r="D5815" s="6" t="b">
        <v>0</v>
      </c>
      <c r="E5815" s="6"/>
      <c r="F5815" s="6"/>
      <c r="G5815" s="115" t="b">
        <f>VLOOKUP(I5808,FS_input_noty,J5808,TRUE)=""</f>
        <v>0</v>
      </c>
      <c r="H5815" s="6" t="s">
        <v>2189</v>
      </c>
      <c r="I5815" t="s">
        <v>2012</v>
      </c>
      <c r="J5815">
        <v>8</v>
      </c>
      <c r="L5815" s="26" t="e">
        <f t="shared" si="334"/>
        <v>#VALUE!</v>
      </c>
    </row>
    <row r="5816" spans="1:12" x14ac:dyDescent="0.35">
      <c r="A5816">
        <f t="shared" si="335"/>
        <v>5815</v>
      </c>
      <c r="B5816" t="s">
        <v>112</v>
      </c>
      <c r="C5816" s="109" t="str">
        <f>IF(ISBLANK(K5816),IFERROR(VLOOKUP(I5816,FS_input_data!$C$458:$N$648,Export!J5816,FALSE),""),K5816)</f>
        <v/>
      </c>
      <c r="D5816" s="6"/>
      <c r="E5816" s="6"/>
      <c r="F5816" s="6"/>
      <c r="G5816" s="115" t="b">
        <f>VLOOKUP(I5808,FS_input_noty,J5808,FALSE)=""</f>
        <v>0</v>
      </c>
      <c r="H5816" s="6" t="s">
        <v>2189</v>
      </c>
      <c r="I5816" t="s">
        <v>1561</v>
      </c>
      <c r="J5816" t="s">
        <v>1561</v>
      </c>
      <c r="L5816">
        <f t="shared" si="334"/>
        <v>1</v>
      </c>
    </row>
    <row r="5817" spans="1:12" x14ac:dyDescent="0.35">
      <c r="A5817" s="9">
        <f t="shared" si="335"/>
        <v>5816</v>
      </c>
      <c r="B5817" t="s">
        <v>749</v>
      </c>
      <c r="C5817" s="109">
        <f>IF(ISBLANK(K5817),IFERROR(VLOOKUP(I5817,FS_input_data!$C$458:$N$648,Export!J5817,FALSE),""),K5817)</f>
        <v>1500</v>
      </c>
      <c r="D5817" s="6" t="b">
        <v>0</v>
      </c>
      <c r="E5817" s="6"/>
      <c r="F5817" s="6"/>
      <c r="G5817" s="115" t="b">
        <f>VLOOKUP(I5808,FS_input_noty,J5808,FALSE)=""</f>
        <v>0</v>
      </c>
      <c r="H5817" s="6" t="s">
        <v>2189</v>
      </c>
      <c r="I5817" t="s">
        <v>2012</v>
      </c>
      <c r="J5817">
        <v>9</v>
      </c>
      <c r="L5817" s="26" t="e">
        <f t="shared" si="334"/>
        <v>#VALUE!</v>
      </c>
    </row>
    <row r="5818" spans="1:12" x14ac:dyDescent="0.35">
      <c r="A5818">
        <f t="shared" si="335"/>
        <v>5817</v>
      </c>
      <c r="B5818" t="s">
        <v>750</v>
      </c>
      <c r="C5818" s="109" t="str">
        <f>IF(ISBLANK(K5818),IFERROR(VLOOKUP(I5818,FS_input_data!$C$458:$N$648,Export!J5818,FALSE),""),K5818)</f>
        <v/>
      </c>
      <c r="D5818" s="6"/>
      <c r="E5818" s="6"/>
      <c r="F5818" s="6"/>
      <c r="G5818" s="115" t="b">
        <f>VLOOKUP(I5808,FS_input_noty,J5808,FALSE)=""</f>
        <v>0</v>
      </c>
      <c r="H5818" s="6" t="s">
        <v>2189</v>
      </c>
      <c r="I5818" t="s">
        <v>1561</v>
      </c>
      <c r="J5818" t="s">
        <v>1561</v>
      </c>
      <c r="L5818">
        <f t="shared" si="334"/>
        <v>1</v>
      </c>
    </row>
    <row r="5819" spans="1:12" x14ac:dyDescent="0.35">
      <c r="A5819">
        <f t="shared" si="335"/>
        <v>5818</v>
      </c>
      <c r="B5819" t="s">
        <v>751</v>
      </c>
      <c r="C5819" s="109" t="str">
        <f>IF(ISBLANK(K5819),IFERROR(VLOOKUP(I5819,FS_input_data!$C$458:$N$648,Export!J5819,FALSE),""),K5819)</f>
        <v/>
      </c>
      <c r="D5819" s="6"/>
      <c r="E5819" s="6"/>
      <c r="F5819" s="6"/>
      <c r="G5819" s="115" t="b">
        <f>VLOOKUP(I5808,FS_input_noty,J5808,FALSE)=""</f>
        <v>0</v>
      </c>
      <c r="H5819" s="6" t="s">
        <v>2189</v>
      </c>
      <c r="I5819" t="s">
        <v>1561</v>
      </c>
      <c r="J5819" t="s">
        <v>1561</v>
      </c>
      <c r="L5819">
        <f t="shared" si="334"/>
        <v>1</v>
      </c>
    </row>
    <row r="5820" spans="1:12" x14ac:dyDescent="0.35">
      <c r="A5820">
        <f t="shared" si="335"/>
        <v>5819</v>
      </c>
      <c r="B5820" t="s">
        <v>754</v>
      </c>
      <c r="C5820" s="109" t="str">
        <f>IF(ISBLANK(K5820),IFERROR(VLOOKUP(I5820,FS_input_data!$C$458:$N$648,Export!J5820,FALSE),""),K5820)</f>
        <v/>
      </c>
      <c r="D5820" s="6"/>
      <c r="E5820" s="6"/>
      <c r="F5820" s="6"/>
      <c r="G5820" s="115" t="b">
        <f>VLOOKUP(I5808,FS_input_noty,J5808,FALSE)=""</f>
        <v>0</v>
      </c>
      <c r="H5820" s="6" t="s">
        <v>2189</v>
      </c>
      <c r="I5820" t="s">
        <v>1561</v>
      </c>
      <c r="J5820" t="s">
        <v>1561</v>
      </c>
      <c r="L5820" s="26" t="e">
        <f t="shared" si="334"/>
        <v>#VALUE!</v>
      </c>
    </row>
    <row r="5821" spans="1:12" x14ac:dyDescent="0.35">
      <c r="A5821" s="9">
        <f t="shared" si="335"/>
        <v>5820</v>
      </c>
      <c r="B5821" t="s">
        <v>755</v>
      </c>
      <c r="C5821" s="109">
        <f>IF(ISBLANK(K5821),IFERROR(VLOOKUP(I5821,FS_input_data!$C$458:$N$648,Export!J5821,FALSE),""),K5821)</f>
        <v>101</v>
      </c>
      <c r="D5821" s="6" t="b">
        <v>1</v>
      </c>
      <c r="E5821" s="6"/>
      <c r="F5821" s="6"/>
      <c r="G5821" s="115" t="b">
        <f>VLOOKUP(I5808,FS_input_noty,J5808,FALSE)=""</f>
        <v>0</v>
      </c>
      <c r="H5821" s="6" t="s">
        <v>2189</v>
      </c>
      <c r="I5821" t="s">
        <v>2012</v>
      </c>
      <c r="J5821">
        <v>2</v>
      </c>
      <c r="L5821" s="26" t="e">
        <f t="shared" si="334"/>
        <v>#VALUE!</v>
      </c>
    </row>
    <row r="5822" spans="1:12" x14ac:dyDescent="0.35">
      <c r="A5822">
        <f t="shared" si="335"/>
        <v>5821</v>
      </c>
      <c r="B5822" t="s">
        <v>756</v>
      </c>
      <c r="C5822" s="109" t="str">
        <f>IF(ISBLANK(K5822),IFERROR(VLOOKUP(I5822,FS_input_data!$C$458:$N$648,Export!J5822,FALSE),""),K5822)</f>
        <v/>
      </c>
      <c r="D5822" s="6"/>
      <c r="E5822" s="6"/>
      <c r="F5822" s="6"/>
      <c r="G5822" s="115" t="b">
        <f>VLOOKUP(I5808,FS_input_noty,J5808,FALSE)=""</f>
        <v>0</v>
      </c>
      <c r="H5822" s="6" t="s">
        <v>2189</v>
      </c>
      <c r="I5822" t="s">
        <v>1561</v>
      </c>
      <c r="J5822" t="s">
        <v>1561</v>
      </c>
      <c r="L5822">
        <f t="shared" si="334"/>
        <v>1</v>
      </c>
    </row>
    <row r="5823" spans="1:12" x14ac:dyDescent="0.35">
      <c r="A5823" s="9">
        <f t="shared" si="335"/>
        <v>5822</v>
      </c>
      <c r="B5823" t="s">
        <v>757</v>
      </c>
      <c r="C5823" s="109">
        <f>IF(ISBLANK(K5823),IFERROR(VLOOKUP(I5823,FS_input_data!$C$458:$N$648,Export!J5823,FALSE),""),K5823)</f>
        <v>201</v>
      </c>
      <c r="D5823" s="6" t="b">
        <v>0</v>
      </c>
      <c r="E5823" s="6"/>
      <c r="F5823" s="6"/>
      <c r="G5823" s="115" t="b">
        <f>VLOOKUP(I5808,FS_input_noty,J5808,FALSE)=""</f>
        <v>0</v>
      </c>
      <c r="H5823" s="6" t="s">
        <v>2189</v>
      </c>
      <c r="I5823" t="s">
        <v>2012</v>
      </c>
      <c r="J5823">
        <v>3</v>
      </c>
      <c r="L5823" s="26" t="e">
        <f t="shared" si="334"/>
        <v>#VALUE!</v>
      </c>
    </row>
    <row r="5824" spans="1:12" x14ac:dyDescent="0.35">
      <c r="A5824">
        <f t="shared" si="335"/>
        <v>5823</v>
      </c>
      <c r="B5824" t="s">
        <v>758</v>
      </c>
      <c r="C5824" s="109" t="str">
        <f>IF(ISBLANK(K5824),IFERROR(VLOOKUP(I5824,FS_input_data!$C$458:$N$648,Export!J5824,FALSE),""),K5824)</f>
        <v/>
      </c>
      <c r="D5824" s="6"/>
      <c r="E5824" s="6"/>
      <c r="F5824" s="6"/>
      <c r="G5824" s="115" t="b">
        <f>VLOOKUP(I5808,FS_input_noty,J5808,FALSE)=""</f>
        <v>0</v>
      </c>
      <c r="H5824" s="6" t="s">
        <v>2189</v>
      </c>
      <c r="I5824" t="s">
        <v>1561</v>
      </c>
      <c r="J5824" t="s">
        <v>1561</v>
      </c>
      <c r="L5824">
        <f t="shared" si="334"/>
        <v>1</v>
      </c>
    </row>
    <row r="5825" spans="1:12" x14ac:dyDescent="0.35">
      <c r="A5825" s="9">
        <f t="shared" si="335"/>
        <v>5824</v>
      </c>
      <c r="B5825" t="s">
        <v>759</v>
      </c>
      <c r="C5825" s="109">
        <f>IF(ISBLANK(K5825),IFERROR(VLOOKUP(I5825,FS_input_data!$C$458:$N$648,Export!J5825,FALSE),""),K5825)</f>
        <v>301</v>
      </c>
      <c r="D5825" s="6" t="b">
        <v>0</v>
      </c>
      <c r="E5825" s="6"/>
      <c r="F5825" s="6"/>
      <c r="G5825" s="115" t="b">
        <f>VLOOKUP(I5808,FS_input_noty,J5808,FALSE)=""</f>
        <v>0</v>
      </c>
      <c r="H5825" s="6" t="s">
        <v>2189</v>
      </c>
      <c r="I5825" t="s">
        <v>2012</v>
      </c>
      <c r="J5825">
        <v>4</v>
      </c>
      <c r="L5825" s="26" t="e">
        <f t="shared" si="334"/>
        <v>#VALUE!</v>
      </c>
    </row>
    <row r="5826" spans="1:12" x14ac:dyDescent="0.35">
      <c r="A5826">
        <f t="shared" si="335"/>
        <v>5825</v>
      </c>
      <c r="B5826" t="s">
        <v>760</v>
      </c>
      <c r="C5826" s="109" t="str">
        <f>IF(ISBLANK(K5826),IFERROR(VLOOKUP(I5826,FS_input_data!$C$458:$N$648,Export!J5826,FALSE),""),K5826)</f>
        <v/>
      </c>
      <c r="D5826" s="6"/>
      <c r="E5826" s="6"/>
      <c r="F5826" s="6"/>
      <c r="G5826" s="115" t="b">
        <f>VLOOKUP(I5808,FS_input_noty,J5808,FALSE)=""</f>
        <v>0</v>
      </c>
      <c r="H5826" s="6" t="s">
        <v>2189</v>
      </c>
      <c r="I5826" t="s">
        <v>1561</v>
      </c>
      <c r="J5826" t="s">
        <v>1561</v>
      </c>
      <c r="L5826">
        <f t="shared" ref="L5826:L5889" si="338">FIND("/",B5826)</f>
        <v>1</v>
      </c>
    </row>
    <row r="5827" spans="1:12" x14ac:dyDescent="0.35">
      <c r="A5827" s="9">
        <f t="shared" ref="A5827:A5890" si="339">A5826+1</f>
        <v>5826</v>
      </c>
      <c r="B5827" t="s">
        <v>761</v>
      </c>
      <c r="C5827" s="109" t="str">
        <f>IF(ISBLANK(K5827),IFERROR(VLOOKUP(I5827,FS_input_data!$C$458:$N$648,Export!J5827,FALSE),""),K5827)</f>
        <v>e</v>
      </c>
      <c r="D5827" s="6" t="b">
        <v>0</v>
      </c>
      <c r="E5827" s="6"/>
      <c r="F5827" s="6"/>
      <c r="G5827" s="115" t="b">
        <f>VLOOKUP(I5808,FS_input_noty,J5808,FALSE)=""</f>
        <v>0</v>
      </c>
      <c r="H5827" s="6" t="s">
        <v>2189</v>
      </c>
      <c r="I5827" t="s">
        <v>2012</v>
      </c>
      <c r="J5827">
        <v>5</v>
      </c>
      <c r="L5827" s="26" t="e">
        <f t="shared" si="338"/>
        <v>#VALUE!</v>
      </c>
    </row>
    <row r="5828" spans="1:12" x14ac:dyDescent="0.35">
      <c r="A5828">
        <f t="shared" si="339"/>
        <v>5827</v>
      </c>
      <c r="B5828" t="s">
        <v>762</v>
      </c>
      <c r="C5828" s="109" t="str">
        <f>IF(ISBLANK(K5828),IFERROR(VLOOKUP(I5828,FS_input_data!$C$458:$N$648,Export!J5828,FALSE),""),K5828)</f>
        <v/>
      </c>
      <c r="D5828" s="6"/>
      <c r="E5828" s="6"/>
      <c r="F5828" s="6"/>
      <c r="G5828" s="115" t="b">
        <f>VLOOKUP(I5808,FS_input_noty,J5808,FALSE)=""</f>
        <v>0</v>
      </c>
      <c r="H5828" s="6" t="s">
        <v>2189</v>
      </c>
      <c r="I5828" t="s">
        <v>1561</v>
      </c>
      <c r="J5828" t="s">
        <v>1561</v>
      </c>
      <c r="L5828">
        <f t="shared" si="338"/>
        <v>1</v>
      </c>
    </row>
    <row r="5829" spans="1:12" x14ac:dyDescent="0.35">
      <c r="A5829">
        <f t="shared" si="339"/>
        <v>5828</v>
      </c>
      <c r="B5829" t="s">
        <v>763</v>
      </c>
      <c r="C5829" s="109" t="str">
        <f>IF(ISBLANK(K5829),IFERROR(VLOOKUP(I5829,FS_input_data!$C$458:$N$648,Export!J5829,FALSE),""),K5829)</f>
        <v/>
      </c>
      <c r="D5829" s="6"/>
      <c r="E5829" s="6"/>
      <c r="F5829" s="6"/>
      <c r="G5829" s="115" t="b">
        <f>VLOOKUP(I5808,FS_input_noty,J5808,FALSE)=""</f>
        <v>0</v>
      </c>
      <c r="H5829" s="6" t="s">
        <v>2189</v>
      </c>
      <c r="I5829" t="s">
        <v>1561</v>
      </c>
      <c r="J5829" t="s">
        <v>1561</v>
      </c>
      <c r="L5829">
        <f t="shared" si="338"/>
        <v>1</v>
      </c>
    </row>
    <row r="5830" spans="1:12" x14ac:dyDescent="0.35">
      <c r="A5830">
        <f t="shared" si="339"/>
        <v>5829</v>
      </c>
      <c r="B5830" t="s">
        <v>743</v>
      </c>
      <c r="C5830" s="109" t="str">
        <f>IF(ISBLANK(K5830),IFERROR(VLOOKUP(I5830,FS_input_data!$C$458:$N$648,Export!J5830,FALSE),""),K5830)</f>
        <v/>
      </c>
      <c r="D5830" s="6"/>
      <c r="E5830" s="6"/>
      <c r="F5830" s="6"/>
      <c r="G5830" s="115" t="b">
        <f>VLOOKUP(I5808,FS_input_noty,J5808,FALSE)=""</f>
        <v>0</v>
      </c>
      <c r="H5830" s="6" t="s">
        <v>2189</v>
      </c>
      <c r="I5830" t="s">
        <v>1561</v>
      </c>
      <c r="J5830" t="s">
        <v>1561</v>
      </c>
      <c r="L5830">
        <f t="shared" si="338"/>
        <v>1</v>
      </c>
    </row>
    <row r="5831" spans="1:12" x14ac:dyDescent="0.35">
      <c r="A5831">
        <f t="shared" si="339"/>
        <v>5830</v>
      </c>
      <c r="B5831" t="s">
        <v>744</v>
      </c>
      <c r="C5831" s="109" t="str">
        <f>IF(ISBLANK(K5831),IFERROR(VLOOKUP(I5831,FS_input_data!$C$458:$N$648,Export!J5831,FALSE),""),K5831)</f>
        <v/>
      </c>
      <c r="D5831" s="6"/>
      <c r="E5831" s="6"/>
      <c r="F5831" s="6"/>
      <c r="G5831" s="115" t="b">
        <f t="shared" ref="G5831:G5838" si="340">RP_tax</f>
        <v>1</v>
      </c>
      <c r="H5831" s="6" t="s">
        <v>2189</v>
      </c>
      <c r="I5831" t="s">
        <v>1561</v>
      </c>
      <c r="J5831" t="s">
        <v>1561</v>
      </c>
      <c r="L5831" s="26" t="e">
        <f t="shared" si="338"/>
        <v>#VALUE!</v>
      </c>
    </row>
    <row r="5832" spans="1:12" x14ac:dyDescent="0.35">
      <c r="A5832" s="9">
        <f t="shared" si="339"/>
        <v>5831</v>
      </c>
      <c r="B5832" t="s">
        <v>109</v>
      </c>
      <c r="C5832" s="109">
        <f>IF(ISBLANK(K5832),IFERROR(VLOOKUP(I5832,FS_input_data!$C$458:$N$648,Export!J5832,FALSE),""),K5832)</f>
        <v>3000</v>
      </c>
      <c r="D5832" s="6" t="b">
        <v>1</v>
      </c>
      <c r="E5832" s="6"/>
      <c r="F5832" s="6"/>
      <c r="G5832" s="115" t="b">
        <f t="shared" si="340"/>
        <v>1</v>
      </c>
      <c r="H5832" s="6" t="s">
        <v>2189</v>
      </c>
      <c r="I5832" t="s">
        <v>2012</v>
      </c>
      <c r="J5832">
        <v>10</v>
      </c>
      <c r="L5832" s="26" t="e">
        <f t="shared" si="338"/>
        <v>#VALUE!</v>
      </c>
    </row>
    <row r="5833" spans="1:12" x14ac:dyDescent="0.35">
      <c r="A5833">
        <f t="shared" si="339"/>
        <v>5832</v>
      </c>
      <c r="B5833" t="s">
        <v>110</v>
      </c>
      <c r="C5833" s="109" t="str">
        <f>IF(ISBLANK(K5833),IFERROR(VLOOKUP(I5833,FS_input_data!$C$458:$N$648,Export!J5833,FALSE),""),K5833)</f>
        <v/>
      </c>
      <c r="D5833" s="6"/>
      <c r="E5833" s="6"/>
      <c r="F5833" s="6"/>
      <c r="G5833" s="115" t="b">
        <f t="shared" si="340"/>
        <v>1</v>
      </c>
      <c r="H5833" s="6" t="s">
        <v>2189</v>
      </c>
      <c r="I5833" t="s">
        <v>1561</v>
      </c>
      <c r="J5833" t="s">
        <v>1561</v>
      </c>
      <c r="L5833">
        <f t="shared" si="338"/>
        <v>1</v>
      </c>
    </row>
    <row r="5834" spans="1:12" x14ac:dyDescent="0.35">
      <c r="A5834" s="9">
        <f t="shared" si="339"/>
        <v>5833</v>
      </c>
      <c r="B5834" t="s">
        <v>111</v>
      </c>
      <c r="C5834" s="109">
        <f>IF(ISBLANK(K5834),IFERROR(VLOOKUP(I5834,FS_input_data!$C$458:$N$648,Export!J5834,FALSE),""),K5834)</f>
        <v>1500</v>
      </c>
      <c r="D5834" s="6" t="b">
        <v>0</v>
      </c>
      <c r="E5834" s="6"/>
      <c r="F5834" s="6"/>
      <c r="G5834" s="115" t="b">
        <f t="shared" si="340"/>
        <v>1</v>
      </c>
      <c r="H5834" s="6" t="s">
        <v>2189</v>
      </c>
      <c r="I5834" t="s">
        <v>2012</v>
      </c>
      <c r="J5834">
        <v>11</v>
      </c>
      <c r="L5834" s="26" t="e">
        <f t="shared" si="338"/>
        <v>#VALUE!</v>
      </c>
    </row>
    <row r="5835" spans="1:12" x14ac:dyDescent="0.35">
      <c r="A5835">
        <f t="shared" si="339"/>
        <v>5834</v>
      </c>
      <c r="B5835" t="s">
        <v>112</v>
      </c>
      <c r="C5835" s="109" t="str">
        <f>IF(ISBLANK(K5835),IFERROR(VLOOKUP(I5835,FS_input_data!$C$458:$N$648,Export!J5835,FALSE),""),K5835)</f>
        <v/>
      </c>
      <c r="D5835" s="6"/>
      <c r="E5835" s="6"/>
      <c r="F5835" s="6"/>
      <c r="G5835" s="115" t="b">
        <f t="shared" si="340"/>
        <v>1</v>
      </c>
      <c r="H5835" s="6" t="s">
        <v>2189</v>
      </c>
      <c r="I5835" t="s">
        <v>1561</v>
      </c>
      <c r="J5835" t="s">
        <v>1561</v>
      </c>
      <c r="L5835">
        <f t="shared" si="338"/>
        <v>1</v>
      </c>
    </row>
    <row r="5836" spans="1:12" x14ac:dyDescent="0.35">
      <c r="A5836" s="9">
        <f t="shared" si="339"/>
        <v>5835</v>
      </c>
      <c r="B5836" t="s">
        <v>749</v>
      </c>
      <c r="C5836" s="109">
        <f>IF(ISBLANK(K5836),IFERROR(VLOOKUP(I5836,FS_input_data!$C$458:$N$648,Export!J5836,FALSE),""),K5836)</f>
        <v>1500</v>
      </c>
      <c r="D5836" s="6" t="b">
        <v>0</v>
      </c>
      <c r="E5836" s="6"/>
      <c r="F5836" s="6"/>
      <c r="G5836" s="115" t="b">
        <f t="shared" si="340"/>
        <v>1</v>
      </c>
      <c r="H5836" s="6" t="s">
        <v>2189</v>
      </c>
      <c r="I5836" t="s">
        <v>2012</v>
      </c>
      <c r="J5836">
        <v>12</v>
      </c>
      <c r="L5836" s="26" t="e">
        <f t="shared" si="338"/>
        <v>#VALUE!</v>
      </c>
    </row>
    <row r="5837" spans="1:12" x14ac:dyDescent="0.35">
      <c r="A5837">
        <f t="shared" si="339"/>
        <v>5836</v>
      </c>
      <c r="B5837" t="s">
        <v>750</v>
      </c>
      <c r="C5837" s="109" t="str">
        <f>IF(ISBLANK(K5837),IFERROR(VLOOKUP(I5837,FS_input_data!$C$458:$N$648,Export!J5837,FALSE),""),K5837)</f>
        <v/>
      </c>
      <c r="D5837" s="6"/>
      <c r="E5837" s="6"/>
      <c r="F5837" s="6"/>
      <c r="G5837" s="115" t="b">
        <f t="shared" si="340"/>
        <v>1</v>
      </c>
      <c r="H5837" s="6" t="s">
        <v>2189</v>
      </c>
      <c r="I5837" t="s">
        <v>1561</v>
      </c>
      <c r="J5837" t="s">
        <v>1561</v>
      </c>
      <c r="L5837">
        <f t="shared" si="338"/>
        <v>1</v>
      </c>
    </row>
    <row r="5838" spans="1:12" x14ac:dyDescent="0.35">
      <c r="A5838">
        <f t="shared" si="339"/>
        <v>5837</v>
      </c>
      <c r="B5838" t="s">
        <v>745</v>
      </c>
      <c r="C5838" s="109" t="str">
        <f>IF(ISBLANK(K5838),IFERROR(VLOOKUP(I5838,FS_input_data!$C$458:$N$648,Export!J5838,FALSE),""),K5838)</f>
        <v/>
      </c>
      <c r="D5838" s="6"/>
      <c r="E5838" s="6"/>
      <c r="F5838" s="6"/>
      <c r="G5838" s="115" t="b">
        <f t="shared" si="340"/>
        <v>1</v>
      </c>
      <c r="H5838" s="6" t="s">
        <v>2189</v>
      </c>
      <c r="I5838" t="s">
        <v>1561</v>
      </c>
      <c r="J5838" t="s">
        <v>1561</v>
      </c>
      <c r="L5838">
        <f t="shared" si="338"/>
        <v>1</v>
      </c>
    </row>
    <row r="5839" spans="1:12" x14ac:dyDescent="0.35">
      <c r="A5839">
        <f t="shared" si="339"/>
        <v>5838</v>
      </c>
      <c r="B5839" t="s">
        <v>764</v>
      </c>
      <c r="C5839" s="109" t="str">
        <f>IF(ISBLANK(K5839),IFERROR(VLOOKUP(I5839,FS_input_data!$C$458:$N$648,Export!J5839,FALSE),""),K5839)</f>
        <v/>
      </c>
      <c r="D5839" s="6"/>
      <c r="E5839" s="6"/>
      <c r="F5839" s="6"/>
      <c r="G5839" s="115" t="b">
        <f>VLOOKUP(I5808,FS_input_noty,J5808,FALSE)=""</f>
        <v>0</v>
      </c>
      <c r="H5839" s="6" t="s">
        <v>2189</v>
      </c>
      <c r="I5839" t="s">
        <v>1561</v>
      </c>
      <c r="J5839" t="s">
        <v>1561</v>
      </c>
      <c r="L5839">
        <f t="shared" si="338"/>
        <v>1</v>
      </c>
    </row>
    <row r="5840" spans="1:12" x14ac:dyDescent="0.35">
      <c r="A5840">
        <f t="shared" si="339"/>
        <v>5839</v>
      </c>
      <c r="B5840" t="s">
        <v>765</v>
      </c>
      <c r="C5840" s="109" t="str">
        <f>IF(ISBLANK(K5840),IFERROR(VLOOKUP(I5840,FS_input_data!$C$458:$N$648,Export!J5840,FALSE),""),K5840)</f>
        <v/>
      </c>
      <c r="D5840" s="6"/>
      <c r="E5840" s="6"/>
      <c r="F5840" s="6"/>
      <c r="G5840" s="115" t="b">
        <f>VLOOKUP(I5808,FS_input_noty,J5808,FALSE)=""</f>
        <v>0</v>
      </c>
      <c r="H5840" s="6" t="s">
        <v>2189</v>
      </c>
      <c r="I5840" t="s">
        <v>1561</v>
      </c>
      <c r="J5840" t="s">
        <v>1561</v>
      </c>
      <c r="L5840">
        <f t="shared" si="338"/>
        <v>1</v>
      </c>
    </row>
    <row r="5841" spans="1:12" x14ac:dyDescent="0.35">
      <c r="A5841">
        <f t="shared" si="339"/>
        <v>5840</v>
      </c>
      <c r="B5841" t="s">
        <v>752</v>
      </c>
      <c r="C5841" s="109" t="str">
        <f>IF(ISBLANK(K5841),IFERROR(VLOOKUP(I5841,FS_input_data!$C$458:$N$648,Export!J5841,FALSE),""),K5841)</f>
        <v/>
      </c>
      <c r="D5841" s="6"/>
      <c r="E5841" s="6"/>
      <c r="F5841" s="6"/>
      <c r="G5841" s="115" t="b">
        <f>VLOOKUP(I5842,FS_input_noty,J5842,FALSE)=""</f>
        <v>0</v>
      </c>
      <c r="H5841" s="6" t="s">
        <v>2189</v>
      </c>
      <c r="I5841" t="s">
        <v>1561</v>
      </c>
      <c r="J5841" t="s">
        <v>1561</v>
      </c>
      <c r="L5841" s="26" t="e">
        <f t="shared" si="338"/>
        <v>#VALUE!</v>
      </c>
    </row>
    <row r="5842" spans="1:12" x14ac:dyDescent="0.35">
      <c r="A5842" s="9">
        <f t="shared" si="339"/>
        <v>5841</v>
      </c>
      <c r="B5842" t="s">
        <v>101</v>
      </c>
      <c r="C5842" s="109" t="str">
        <f>IF(ISBLANK(K5842),IFERROR(VLOOKUP(I5842,FS_input_data!$C$458:$N$648,Export!J5842,FALSE),""),K5842)</f>
        <v>OC79</v>
      </c>
      <c r="D5842" s="6" t="b">
        <v>1</v>
      </c>
      <c r="E5842" s="6"/>
      <c r="F5842" s="6"/>
      <c r="G5842" s="115" t="b">
        <f>VLOOKUP(I5842,FS_input_noty,J5842,FALSE)=""</f>
        <v>0</v>
      </c>
      <c r="H5842" s="6" t="s">
        <v>2189</v>
      </c>
      <c r="I5842" t="s">
        <v>2014</v>
      </c>
      <c r="J5842">
        <v>6</v>
      </c>
      <c r="L5842" s="26" t="e">
        <f t="shared" si="338"/>
        <v>#VALUE!</v>
      </c>
    </row>
    <row r="5843" spans="1:12" x14ac:dyDescent="0.35">
      <c r="A5843">
        <f t="shared" si="339"/>
        <v>5842</v>
      </c>
      <c r="B5843" t="s">
        <v>102</v>
      </c>
      <c r="C5843" s="109" t="str">
        <f>IF(ISBLANK(K5843),IFERROR(VLOOKUP(I5843,FS_input_data!$C$458:$N$648,Export!J5843,FALSE),""),K5843)</f>
        <v/>
      </c>
      <c r="D5843" s="6"/>
      <c r="E5843" s="6"/>
      <c r="F5843" s="6"/>
      <c r="G5843" s="115" t="b">
        <f>VLOOKUP(I5842,FS_input_noty,J5842,FALSE)=""</f>
        <v>0</v>
      </c>
      <c r="H5843" s="6" t="s">
        <v>2189</v>
      </c>
      <c r="I5843" t="s">
        <v>1561</v>
      </c>
      <c r="J5843" t="s">
        <v>1561</v>
      </c>
      <c r="L5843">
        <f t="shared" si="338"/>
        <v>1</v>
      </c>
    </row>
    <row r="5844" spans="1:12" x14ac:dyDescent="0.35">
      <c r="A5844">
        <f t="shared" si="339"/>
        <v>5843</v>
      </c>
      <c r="B5844" t="s">
        <v>753</v>
      </c>
      <c r="C5844" s="109" t="str">
        <f>IF(ISBLANK(K5844),IFERROR(VLOOKUP(I5844,FS_input_data!$C$458:$N$648,Export!J5844,FALSE),""),K5844)</f>
        <v/>
      </c>
      <c r="D5844" s="6"/>
      <c r="E5844" s="6"/>
      <c r="F5844" s="6"/>
      <c r="G5844" s="115" t="b">
        <f>VLOOKUP(I5842,FS_input_noty,J5842,FALSE)=""</f>
        <v>0</v>
      </c>
      <c r="H5844" s="6" t="s">
        <v>2189</v>
      </c>
      <c r="I5844" t="s">
        <v>1561</v>
      </c>
      <c r="J5844" t="s">
        <v>1561</v>
      </c>
      <c r="L5844" s="26" t="e">
        <f t="shared" si="338"/>
        <v>#VALUE!</v>
      </c>
    </row>
    <row r="5845" spans="1:12" x14ac:dyDescent="0.35">
      <c r="A5845">
        <f t="shared" si="339"/>
        <v>5844</v>
      </c>
      <c r="B5845" t="s">
        <v>742</v>
      </c>
      <c r="C5845" s="109" t="str">
        <f>IF(ISBLANK(K5845),IFERROR(VLOOKUP(I5845,FS_input_data!$C$458:$N$648,Export!J5845,FALSE),""),K5845)</f>
        <v/>
      </c>
      <c r="D5845" s="6"/>
      <c r="E5845" s="6"/>
      <c r="F5845" s="6"/>
      <c r="G5845" s="115" t="b">
        <f>VLOOKUP(I5842,FS_input_noty,J5842,FALSE)=""</f>
        <v>0</v>
      </c>
      <c r="H5845" s="6" t="s">
        <v>2189</v>
      </c>
      <c r="I5845" t="s">
        <v>1561</v>
      </c>
      <c r="J5845" t="s">
        <v>1561</v>
      </c>
      <c r="L5845" s="26" t="e">
        <f t="shared" si="338"/>
        <v>#VALUE!</v>
      </c>
    </row>
    <row r="5846" spans="1:12" x14ac:dyDescent="0.35">
      <c r="A5846">
        <f t="shared" si="339"/>
        <v>5845</v>
      </c>
      <c r="B5846" t="s">
        <v>748</v>
      </c>
      <c r="C5846" s="109" t="str">
        <f>IF(ISBLANK(K5846),IFERROR(VLOOKUP(I5846,FS_input_data!$C$458:$N$648,Export!J5846,FALSE),""),K5846)</f>
        <v/>
      </c>
      <c r="D5846" s="6"/>
      <c r="E5846" s="6"/>
      <c r="F5846" s="6"/>
      <c r="G5846" s="115" t="b">
        <f>VLOOKUP(I5842,FS_input_noty,J5842,FALSE)=""</f>
        <v>0</v>
      </c>
      <c r="H5846" s="6" t="s">
        <v>2189</v>
      </c>
      <c r="I5846" t="s">
        <v>1561</v>
      </c>
      <c r="J5846" t="s">
        <v>1561</v>
      </c>
      <c r="L5846" s="26" t="e">
        <f t="shared" si="338"/>
        <v>#VALUE!</v>
      </c>
    </row>
    <row r="5847" spans="1:12" x14ac:dyDescent="0.35">
      <c r="A5847" s="9">
        <f t="shared" si="339"/>
        <v>5846</v>
      </c>
      <c r="B5847" t="s">
        <v>109</v>
      </c>
      <c r="C5847" s="109">
        <f>IF(ISBLANK(K5847),IFERROR(VLOOKUP(I5847,FS_input_data!$C$458:$N$648,Export!J5847,FALSE),""),K5847)</f>
        <v>4000</v>
      </c>
      <c r="D5847" s="6" t="b">
        <v>1</v>
      </c>
      <c r="E5847" s="6"/>
      <c r="F5847" s="6"/>
      <c r="G5847" s="115" t="b">
        <f>VLOOKUP(I5842,FS_input_noty,J5842,FALSE)=""</f>
        <v>0</v>
      </c>
      <c r="H5847" s="6" t="s">
        <v>2189</v>
      </c>
      <c r="I5847" t="s">
        <v>2014</v>
      </c>
      <c r="J5847">
        <v>7</v>
      </c>
      <c r="L5847" s="26" t="e">
        <f t="shared" si="338"/>
        <v>#VALUE!</v>
      </c>
    </row>
    <row r="5848" spans="1:12" x14ac:dyDescent="0.35">
      <c r="A5848">
        <f t="shared" si="339"/>
        <v>5847</v>
      </c>
      <c r="B5848" t="s">
        <v>110</v>
      </c>
      <c r="C5848" s="109" t="str">
        <f>IF(ISBLANK(K5848),IFERROR(VLOOKUP(I5848,FS_input_data!$C$458:$N$648,Export!J5848,FALSE),""),K5848)</f>
        <v/>
      </c>
      <c r="D5848" s="6"/>
      <c r="E5848" s="6"/>
      <c r="F5848" s="6"/>
      <c r="G5848" s="115" t="b">
        <f>VLOOKUP(I5842,FS_input_noty,J5842,FALSE)=""</f>
        <v>0</v>
      </c>
      <c r="H5848" s="6" t="s">
        <v>2189</v>
      </c>
      <c r="I5848" t="s">
        <v>1561</v>
      </c>
      <c r="J5848" t="s">
        <v>1561</v>
      </c>
      <c r="L5848">
        <f t="shared" si="338"/>
        <v>1</v>
      </c>
    </row>
    <row r="5849" spans="1:12" x14ac:dyDescent="0.35">
      <c r="A5849" s="9">
        <f t="shared" si="339"/>
        <v>5848</v>
      </c>
      <c r="B5849" t="s">
        <v>111</v>
      </c>
      <c r="C5849" s="109">
        <f>IF(ISBLANK(K5849),IFERROR(VLOOKUP(I5849,FS_input_data!$C$458:$N$648,Export!J5849,FALSE),""),K5849)</f>
        <v>2000</v>
      </c>
      <c r="D5849" s="6" t="b">
        <v>0</v>
      </c>
      <c r="E5849" s="6"/>
      <c r="F5849" s="6"/>
      <c r="G5849" s="115" t="b">
        <f>VLOOKUP(I5842,FS_input_noty,J5842,TRUE)=""</f>
        <v>0</v>
      </c>
      <c r="H5849" s="6" t="s">
        <v>2189</v>
      </c>
      <c r="I5849" t="s">
        <v>2014</v>
      </c>
      <c r="J5849">
        <v>8</v>
      </c>
      <c r="L5849" s="26" t="e">
        <f t="shared" si="338"/>
        <v>#VALUE!</v>
      </c>
    </row>
    <row r="5850" spans="1:12" x14ac:dyDescent="0.35">
      <c r="A5850">
        <f t="shared" si="339"/>
        <v>5849</v>
      </c>
      <c r="B5850" t="s">
        <v>112</v>
      </c>
      <c r="C5850" s="109" t="str">
        <f>IF(ISBLANK(K5850),IFERROR(VLOOKUP(I5850,FS_input_data!$C$458:$N$648,Export!J5850,FALSE),""),K5850)</f>
        <v/>
      </c>
      <c r="D5850" s="6"/>
      <c r="E5850" s="6"/>
      <c r="F5850" s="6"/>
      <c r="G5850" s="115" t="b">
        <f>VLOOKUP(I5842,FS_input_noty,J5842,FALSE)=""</f>
        <v>0</v>
      </c>
      <c r="H5850" s="6" t="s">
        <v>2189</v>
      </c>
      <c r="I5850" t="s">
        <v>1561</v>
      </c>
      <c r="J5850" t="s">
        <v>1561</v>
      </c>
      <c r="L5850">
        <f t="shared" si="338"/>
        <v>1</v>
      </c>
    </row>
    <row r="5851" spans="1:12" x14ac:dyDescent="0.35">
      <c r="A5851" s="9">
        <f t="shared" si="339"/>
        <v>5850</v>
      </c>
      <c r="B5851" t="s">
        <v>749</v>
      </c>
      <c r="C5851" s="109">
        <f>IF(ISBLANK(K5851),IFERROR(VLOOKUP(I5851,FS_input_data!$C$458:$N$648,Export!J5851,FALSE),""),K5851)</f>
        <v>2000</v>
      </c>
      <c r="D5851" s="6" t="b">
        <v>0</v>
      </c>
      <c r="E5851" s="6"/>
      <c r="F5851" s="6"/>
      <c r="G5851" s="115" t="b">
        <f>VLOOKUP(I5842,FS_input_noty,J5842,FALSE)=""</f>
        <v>0</v>
      </c>
      <c r="H5851" s="6" t="s">
        <v>2189</v>
      </c>
      <c r="I5851" t="s">
        <v>2014</v>
      </c>
      <c r="J5851">
        <v>9</v>
      </c>
      <c r="L5851" s="26" t="e">
        <f t="shared" si="338"/>
        <v>#VALUE!</v>
      </c>
    </row>
    <row r="5852" spans="1:12" x14ac:dyDescent="0.35">
      <c r="A5852">
        <f t="shared" si="339"/>
        <v>5851</v>
      </c>
      <c r="B5852" t="s">
        <v>750</v>
      </c>
      <c r="C5852" s="109" t="str">
        <f>IF(ISBLANK(K5852),IFERROR(VLOOKUP(I5852,FS_input_data!$C$458:$N$648,Export!J5852,FALSE),""),K5852)</f>
        <v/>
      </c>
      <c r="D5852" s="6"/>
      <c r="E5852" s="6"/>
      <c r="F5852" s="6"/>
      <c r="G5852" s="115" t="b">
        <f>VLOOKUP(I5842,FS_input_noty,J5842,FALSE)=""</f>
        <v>0</v>
      </c>
      <c r="H5852" s="6" t="s">
        <v>2189</v>
      </c>
      <c r="I5852" t="s">
        <v>1561</v>
      </c>
      <c r="J5852" t="s">
        <v>1561</v>
      </c>
      <c r="L5852">
        <f t="shared" si="338"/>
        <v>1</v>
      </c>
    </row>
    <row r="5853" spans="1:12" x14ac:dyDescent="0.35">
      <c r="A5853">
        <f t="shared" si="339"/>
        <v>5852</v>
      </c>
      <c r="B5853" t="s">
        <v>751</v>
      </c>
      <c r="C5853" s="109" t="str">
        <f>IF(ISBLANK(K5853),IFERROR(VLOOKUP(I5853,FS_input_data!$C$458:$N$648,Export!J5853,FALSE),""),K5853)</f>
        <v/>
      </c>
      <c r="D5853" s="6"/>
      <c r="E5853" s="6"/>
      <c r="F5853" s="6"/>
      <c r="G5853" s="115" t="b">
        <f>VLOOKUP(I5842,FS_input_noty,J5842,FALSE)=""</f>
        <v>0</v>
      </c>
      <c r="H5853" s="6" t="s">
        <v>2189</v>
      </c>
      <c r="I5853" t="s">
        <v>1561</v>
      </c>
      <c r="J5853" t="s">
        <v>1561</v>
      </c>
      <c r="L5853">
        <f t="shared" si="338"/>
        <v>1</v>
      </c>
    </row>
    <row r="5854" spans="1:12" x14ac:dyDescent="0.35">
      <c r="A5854">
        <f t="shared" si="339"/>
        <v>5853</v>
      </c>
      <c r="B5854" t="s">
        <v>754</v>
      </c>
      <c r="C5854" s="109" t="str">
        <f>IF(ISBLANK(K5854),IFERROR(VLOOKUP(I5854,FS_input_data!$C$458:$N$648,Export!J5854,FALSE),""),K5854)</f>
        <v/>
      </c>
      <c r="D5854" s="6"/>
      <c r="E5854" s="6"/>
      <c r="F5854" s="6"/>
      <c r="G5854" s="115" t="b">
        <f>VLOOKUP(I5842,FS_input_noty,J5842,FALSE)=""</f>
        <v>0</v>
      </c>
      <c r="H5854" s="6" t="s">
        <v>2189</v>
      </c>
      <c r="I5854" t="s">
        <v>1561</v>
      </c>
      <c r="J5854" t="s">
        <v>1561</v>
      </c>
      <c r="L5854" s="26" t="e">
        <f t="shared" si="338"/>
        <v>#VALUE!</v>
      </c>
    </row>
    <row r="5855" spans="1:12" x14ac:dyDescent="0.35">
      <c r="A5855" s="9">
        <f t="shared" si="339"/>
        <v>5854</v>
      </c>
      <c r="B5855" t="s">
        <v>755</v>
      </c>
      <c r="C5855" s="109">
        <f>IF(ISBLANK(K5855),IFERROR(VLOOKUP(I5855,FS_input_data!$C$458:$N$648,Export!J5855,FALSE),""),K5855)</f>
        <v>102</v>
      </c>
      <c r="D5855" s="6" t="b">
        <v>1</v>
      </c>
      <c r="E5855" s="6"/>
      <c r="F5855" s="6"/>
      <c r="G5855" s="115" t="b">
        <f>VLOOKUP(I5842,FS_input_noty,J5842,FALSE)=""</f>
        <v>0</v>
      </c>
      <c r="H5855" s="6" t="s">
        <v>2189</v>
      </c>
      <c r="I5855" t="s">
        <v>2014</v>
      </c>
      <c r="J5855">
        <v>2</v>
      </c>
      <c r="L5855" s="26" t="e">
        <f t="shared" si="338"/>
        <v>#VALUE!</v>
      </c>
    </row>
    <row r="5856" spans="1:12" x14ac:dyDescent="0.35">
      <c r="A5856">
        <f t="shared" si="339"/>
        <v>5855</v>
      </c>
      <c r="B5856" t="s">
        <v>756</v>
      </c>
      <c r="C5856" s="109" t="str">
        <f>IF(ISBLANK(K5856),IFERROR(VLOOKUP(I5856,FS_input_data!$C$458:$N$648,Export!J5856,FALSE),""),K5856)</f>
        <v/>
      </c>
      <c r="D5856" s="6"/>
      <c r="E5856" s="6"/>
      <c r="F5856" s="6"/>
      <c r="G5856" s="115" t="b">
        <f>VLOOKUP(I5842,FS_input_noty,J5842,FALSE)=""</f>
        <v>0</v>
      </c>
      <c r="H5856" s="6" t="s">
        <v>2189</v>
      </c>
      <c r="I5856" t="s">
        <v>1561</v>
      </c>
      <c r="J5856" t="s">
        <v>1561</v>
      </c>
      <c r="L5856">
        <f t="shared" si="338"/>
        <v>1</v>
      </c>
    </row>
    <row r="5857" spans="1:12" x14ac:dyDescent="0.35">
      <c r="A5857" s="9">
        <f t="shared" si="339"/>
        <v>5856</v>
      </c>
      <c r="B5857" t="s">
        <v>757</v>
      </c>
      <c r="C5857" s="109">
        <f>IF(ISBLANK(K5857),IFERROR(VLOOKUP(I5857,FS_input_data!$C$458:$N$648,Export!J5857,FALSE),""),K5857)</f>
        <v>202</v>
      </c>
      <c r="D5857" s="6" t="b">
        <v>0</v>
      </c>
      <c r="E5857" s="6"/>
      <c r="F5857" s="6"/>
      <c r="G5857" s="115" t="b">
        <f>VLOOKUP(I5842,FS_input_noty,J5842,FALSE)=""</f>
        <v>0</v>
      </c>
      <c r="H5857" s="6" t="s">
        <v>2189</v>
      </c>
      <c r="I5857" t="s">
        <v>2014</v>
      </c>
      <c r="J5857">
        <v>3</v>
      </c>
      <c r="L5857" s="26" t="e">
        <f t="shared" si="338"/>
        <v>#VALUE!</v>
      </c>
    </row>
    <row r="5858" spans="1:12" x14ac:dyDescent="0.35">
      <c r="A5858">
        <f t="shared" si="339"/>
        <v>5857</v>
      </c>
      <c r="B5858" t="s">
        <v>758</v>
      </c>
      <c r="C5858" s="109" t="str">
        <f>IF(ISBLANK(K5858),IFERROR(VLOOKUP(I5858,FS_input_data!$C$458:$N$648,Export!J5858,FALSE),""),K5858)</f>
        <v/>
      </c>
      <c r="D5858" s="6"/>
      <c r="E5858" s="6"/>
      <c r="F5858" s="6"/>
      <c r="G5858" s="115" t="b">
        <f>VLOOKUP(I5842,FS_input_noty,J5842,FALSE)=""</f>
        <v>0</v>
      </c>
      <c r="H5858" s="6" t="s">
        <v>2189</v>
      </c>
      <c r="I5858" t="s">
        <v>1561</v>
      </c>
      <c r="J5858" t="s">
        <v>1561</v>
      </c>
      <c r="L5858">
        <f t="shared" si="338"/>
        <v>1</v>
      </c>
    </row>
    <row r="5859" spans="1:12" x14ac:dyDescent="0.35">
      <c r="A5859" s="9">
        <f t="shared" si="339"/>
        <v>5858</v>
      </c>
      <c r="B5859" t="s">
        <v>759</v>
      </c>
      <c r="C5859" s="109">
        <f>IF(ISBLANK(K5859),IFERROR(VLOOKUP(I5859,FS_input_data!$C$458:$N$648,Export!J5859,FALSE),""),K5859)</f>
        <v>302</v>
      </c>
      <c r="D5859" s="6" t="b">
        <v>0</v>
      </c>
      <c r="E5859" s="6"/>
      <c r="F5859" s="6"/>
      <c r="G5859" s="115" t="b">
        <f>VLOOKUP(I5842,FS_input_noty,J5842,FALSE)=""</f>
        <v>0</v>
      </c>
      <c r="H5859" s="6" t="s">
        <v>2189</v>
      </c>
      <c r="I5859" t="s">
        <v>2014</v>
      </c>
      <c r="J5859">
        <v>4</v>
      </c>
      <c r="L5859" s="26" t="e">
        <f t="shared" si="338"/>
        <v>#VALUE!</v>
      </c>
    </row>
    <row r="5860" spans="1:12" x14ac:dyDescent="0.35">
      <c r="A5860">
        <f t="shared" si="339"/>
        <v>5859</v>
      </c>
      <c r="B5860" t="s">
        <v>760</v>
      </c>
      <c r="C5860" s="109" t="str">
        <f>IF(ISBLANK(K5860),IFERROR(VLOOKUP(I5860,FS_input_data!$C$458:$N$648,Export!J5860,FALSE),""),K5860)</f>
        <v/>
      </c>
      <c r="D5860" s="6"/>
      <c r="E5860" s="6"/>
      <c r="F5860" s="6"/>
      <c r="G5860" s="115" t="b">
        <f>VLOOKUP(I5842,FS_input_noty,J5842,FALSE)=""</f>
        <v>0</v>
      </c>
      <c r="H5860" s="6" t="s">
        <v>2189</v>
      </c>
      <c r="I5860" t="s">
        <v>1561</v>
      </c>
      <c r="J5860" t="s">
        <v>1561</v>
      </c>
      <c r="L5860">
        <f t="shared" si="338"/>
        <v>1</v>
      </c>
    </row>
    <row r="5861" spans="1:12" x14ac:dyDescent="0.35">
      <c r="A5861" s="9">
        <f t="shared" si="339"/>
        <v>5860</v>
      </c>
      <c r="B5861" t="s">
        <v>761</v>
      </c>
      <c r="C5861" s="109" t="str">
        <f>IF(ISBLANK(K5861),IFERROR(VLOOKUP(I5861,FS_input_data!$C$458:$N$648,Export!J5861,FALSE),""),K5861)</f>
        <v>f</v>
      </c>
      <c r="D5861" s="6" t="b">
        <v>0</v>
      </c>
      <c r="E5861" s="6"/>
      <c r="F5861" s="6"/>
      <c r="G5861" s="115" t="b">
        <f>VLOOKUP(I5842,FS_input_noty,J5842,FALSE)=""</f>
        <v>0</v>
      </c>
      <c r="H5861" s="6" t="s">
        <v>2189</v>
      </c>
      <c r="I5861" t="s">
        <v>2014</v>
      </c>
      <c r="J5861">
        <v>5</v>
      </c>
      <c r="L5861" s="26" t="e">
        <f t="shared" si="338"/>
        <v>#VALUE!</v>
      </c>
    </row>
    <row r="5862" spans="1:12" x14ac:dyDescent="0.35">
      <c r="A5862">
        <f t="shared" si="339"/>
        <v>5861</v>
      </c>
      <c r="B5862" t="s">
        <v>762</v>
      </c>
      <c r="C5862" s="109" t="str">
        <f>IF(ISBLANK(K5862),IFERROR(VLOOKUP(I5862,FS_input_data!$C$458:$N$648,Export!J5862,FALSE),""),K5862)</f>
        <v/>
      </c>
      <c r="D5862" s="6"/>
      <c r="E5862" s="6"/>
      <c r="F5862" s="6"/>
      <c r="G5862" s="115" t="b">
        <f>VLOOKUP(I5842,FS_input_noty,J5842,FALSE)=""</f>
        <v>0</v>
      </c>
      <c r="H5862" s="6" t="s">
        <v>2189</v>
      </c>
      <c r="I5862" t="s">
        <v>1561</v>
      </c>
      <c r="J5862" t="s">
        <v>1561</v>
      </c>
      <c r="L5862">
        <f t="shared" si="338"/>
        <v>1</v>
      </c>
    </row>
    <row r="5863" spans="1:12" x14ac:dyDescent="0.35">
      <c r="A5863">
        <f t="shared" si="339"/>
        <v>5862</v>
      </c>
      <c r="B5863" t="s">
        <v>763</v>
      </c>
      <c r="C5863" s="109" t="str">
        <f>IF(ISBLANK(K5863),IFERROR(VLOOKUP(I5863,FS_input_data!$C$458:$N$648,Export!J5863,FALSE),""),K5863)</f>
        <v/>
      </c>
      <c r="D5863" s="6"/>
      <c r="E5863" s="6"/>
      <c r="F5863" s="6"/>
      <c r="G5863" s="115" t="b">
        <f>VLOOKUP(I5842,FS_input_noty,J5842,FALSE)=""</f>
        <v>0</v>
      </c>
      <c r="H5863" s="6" t="s">
        <v>2189</v>
      </c>
      <c r="I5863" t="s">
        <v>1561</v>
      </c>
      <c r="J5863" t="s">
        <v>1561</v>
      </c>
      <c r="L5863">
        <f t="shared" si="338"/>
        <v>1</v>
      </c>
    </row>
    <row r="5864" spans="1:12" x14ac:dyDescent="0.35">
      <c r="A5864">
        <f t="shared" si="339"/>
        <v>5863</v>
      </c>
      <c r="B5864" t="s">
        <v>743</v>
      </c>
      <c r="C5864" s="109" t="str">
        <f>IF(ISBLANK(K5864),IFERROR(VLOOKUP(I5864,FS_input_data!$C$458:$N$648,Export!J5864,FALSE),""),K5864)</f>
        <v/>
      </c>
      <c r="D5864" s="6"/>
      <c r="E5864" s="6"/>
      <c r="F5864" s="6"/>
      <c r="G5864" s="115" t="b">
        <f>VLOOKUP(I5842,FS_input_noty,J5842,FALSE)=""</f>
        <v>0</v>
      </c>
      <c r="H5864" s="6" t="s">
        <v>2189</v>
      </c>
      <c r="I5864" t="s">
        <v>1561</v>
      </c>
      <c r="J5864" t="s">
        <v>1561</v>
      </c>
      <c r="L5864">
        <f t="shared" si="338"/>
        <v>1</v>
      </c>
    </row>
    <row r="5865" spans="1:12" x14ac:dyDescent="0.35">
      <c r="A5865">
        <f t="shared" si="339"/>
        <v>5864</v>
      </c>
      <c r="B5865" t="s">
        <v>744</v>
      </c>
      <c r="C5865" s="109" t="str">
        <f>IF(ISBLANK(K5865),IFERROR(VLOOKUP(I5865,FS_input_data!$C$458:$N$648,Export!J5865,FALSE),""),K5865)</f>
        <v/>
      </c>
      <c r="D5865" s="6"/>
      <c r="E5865" s="6"/>
      <c r="F5865" s="6"/>
      <c r="G5865" s="115" t="b">
        <f t="shared" ref="G5865:G5872" si="341">RP_tax</f>
        <v>1</v>
      </c>
      <c r="H5865" s="6" t="s">
        <v>2189</v>
      </c>
      <c r="I5865" t="s">
        <v>1561</v>
      </c>
      <c r="J5865" t="s">
        <v>1561</v>
      </c>
      <c r="L5865" s="26" t="e">
        <f t="shared" si="338"/>
        <v>#VALUE!</v>
      </c>
    </row>
    <row r="5866" spans="1:12" x14ac:dyDescent="0.35">
      <c r="A5866" s="9">
        <f t="shared" si="339"/>
        <v>5865</v>
      </c>
      <c r="B5866" t="s">
        <v>109</v>
      </c>
      <c r="C5866" s="109">
        <f>IF(ISBLANK(K5866),IFERROR(VLOOKUP(I5866,FS_input_data!$C$458:$N$648,Export!J5866,FALSE),""),K5866)</f>
        <v>4000</v>
      </c>
      <c r="D5866" s="6" t="b">
        <v>1</v>
      </c>
      <c r="E5866" s="6"/>
      <c r="F5866" s="6"/>
      <c r="G5866" s="115" t="b">
        <f t="shared" si="341"/>
        <v>1</v>
      </c>
      <c r="H5866" s="6" t="s">
        <v>2189</v>
      </c>
      <c r="I5866" t="s">
        <v>2014</v>
      </c>
      <c r="J5866">
        <v>10</v>
      </c>
      <c r="L5866" s="26" t="e">
        <f t="shared" si="338"/>
        <v>#VALUE!</v>
      </c>
    </row>
    <row r="5867" spans="1:12" x14ac:dyDescent="0.35">
      <c r="A5867">
        <f t="shared" si="339"/>
        <v>5866</v>
      </c>
      <c r="B5867" t="s">
        <v>110</v>
      </c>
      <c r="C5867" s="109" t="str">
        <f>IF(ISBLANK(K5867),IFERROR(VLOOKUP(I5867,FS_input_data!$C$458:$N$648,Export!J5867,FALSE),""),K5867)</f>
        <v/>
      </c>
      <c r="D5867" s="6"/>
      <c r="E5867" s="6"/>
      <c r="F5867" s="6"/>
      <c r="G5867" s="115" t="b">
        <f t="shared" si="341"/>
        <v>1</v>
      </c>
      <c r="H5867" s="6" t="s">
        <v>2189</v>
      </c>
      <c r="I5867" t="s">
        <v>1561</v>
      </c>
      <c r="J5867" t="s">
        <v>1561</v>
      </c>
      <c r="L5867">
        <f t="shared" si="338"/>
        <v>1</v>
      </c>
    </row>
    <row r="5868" spans="1:12" x14ac:dyDescent="0.35">
      <c r="A5868" s="9">
        <f t="shared" si="339"/>
        <v>5867</v>
      </c>
      <c r="B5868" t="s">
        <v>111</v>
      </c>
      <c r="C5868" s="109">
        <f>IF(ISBLANK(K5868),IFERROR(VLOOKUP(I5868,FS_input_data!$C$458:$N$648,Export!J5868,FALSE),""),K5868)</f>
        <v>2000</v>
      </c>
      <c r="D5868" s="6" t="b">
        <v>0</v>
      </c>
      <c r="E5868" s="6"/>
      <c r="F5868" s="6"/>
      <c r="G5868" s="115" t="b">
        <f t="shared" si="341"/>
        <v>1</v>
      </c>
      <c r="H5868" s="6" t="s">
        <v>2189</v>
      </c>
      <c r="I5868" t="s">
        <v>2014</v>
      </c>
      <c r="J5868">
        <v>11</v>
      </c>
      <c r="L5868" s="26" t="e">
        <f t="shared" si="338"/>
        <v>#VALUE!</v>
      </c>
    </row>
    <row r="5869" spans="1:12" x14ac:dyDescent="0.35">
      <c r="A5869">
        <f t="shared" si="339"/>
        <v>5868</v>
      </c>
      <c r="B5869" t="s">
        <v>112</v>
      </c>
      <c r="C5869" s="109" t="str">
        <f>IF(ISBLANK(K5869),IFERROR(VLOOKUP(I5869,FS_input_data!$C$458:$N$648,Export!J5869,FALSE),""),K5869)</f>
        <v/>
      </c>
      <c r="D5869" s="6"/>
      <c r="E5869" s="6"/>
      <c r="F5869" s="6"/>
      <c r="G5869" s="115" t="b">
        <f t="shared" si="341"/>
        <v>1</v>
      </c>
      <c r="H5869" s="6" t="s">
        <v>2189</v>
      </c>
      <c r="I5869" t="s">
        <v>1561</v>
      </c>
      <c r="J5869" t="s">
        <v>1561</v>
      </c>
      <c r="L5869">
        <f t="shared" si="338"/>
        <v>1</v>
      </c>
    </row>
    <row r="5870" spans="1:12" x14ac:dyDescent="0.35">
      <c r="A5870" s="9">
        <f t="shared" si="339"/>
        <v>5869</v>
      </c>
      <c r="B5870" t="s">
        <v>749</v>
      </c>
      <c r="C5870" s="109">
        <f>IF(ISBLANK(K5870),IFERROR(VLOOKUP(I5870,FS_input_data!$C$458:$N$648,Export!J5870,FALSE),""),K5870)</f>
        <v>2000</v>
      </c>
      <c r="D5870" s="6" t="b">
        <v>0</v>
      </c>
      <c r="E5870" s="6"/>
      <c r="F5870" s="6"/>
      <c r="G5870" s="115" t="b">
        <f t="shared" si="341"/>
        <v>1</v>
      </c>
      <c r="H5870" s="6" t="s">
        <v>2189</v>
      </c>
      <c r="I5870" t="s">
        <v>2014</v>
      </c>
      <c r="J5870">
        <v>12</v>
      </c>
      <c r="L5870" s="26" t="e">
        <f t="shared" si="338"/>
        <v>#VALUE!</v>
      </c>
    </row>
    <row r="5871" spans="1:12" x14ac:dyDescent="0.35">
      <c r="A5871">
        <f t="shared" si="339"/>
        <v>5870</v>
      </c>
      <c r="B5871" t="s">
        <v>750</v>
      </c>
      <c r="C5871" s="109" t="str">
        <f>IF(ISBLANK(K5871),IFERROR(VLOOKUP(I5871,FS_input_data!$C$458:$N$648,Export!J5871,FALSE),""),K5871)</f>
        <v/>
      </c>
      <c r="D5871" s="6"/>
      <c r="E5871" s="6"/>
      <c r="F5871" s="6"/>
      <c r="G5871" s="115" t="b">
        <f t="shared" si="341"/>
        <v>1</v>
      </c>
      <c r="H5871" s="6" t="s">
        <v>2189</v>
      </c>
      <c r="I5871" t="s">
        <v>1561</v>
      </c>
      <c r="J5871" t="s">
        <v>1561</v>
      </c>
      <c r="L5871">
        <f t="shared" si="338"/>
        <v>1</v>
      </c>
    </row>
    <row r="5872" spans="1:12" x14ac:dyDescent="0.35">
      <c r="A5872">
        <f t="shared" si="339"/>
        <v>5871</v>
      </c>
      <c r="B5872" t="s">
        <v>745</v>
      </c>
      <c r="C5872" s="109" t="str">
        <f>IF(ISBLANK(K5872),IFERROR(VLOOKUP(I5872,FS_input_data!$C$458:$N$648,Export!J5872,FALSE),""),K5872)</f>
        <v/>
      </c>
      <c r="D5872" s="6"/>
      <c r="E5872" s="6"/>
      <c r="F5872" s="6"/>
      <c r="G5872" s="115" t="b">
        <f t="shared" si="341"/>
        <v>1</v>
      </c>
      <c r="H5872" s="6" t="s">
        <v>2189</v>
      </c>
      <c r="I5872" t="s">
        <v>1561</v>
      </c>
      <c r="J5872" t="s">
        <v>1561</v>
      </c>
      <c r="L5872">
        <f t="shared" si="338"/>
        <v>1</v>
      </c>
    </row>
    <row r="5873" spans="1:12" x14ac:dyDescent="0.35">
      <c r="A5873">
        <f t="shared" si="339"/>
        <v>5872</v>
      </c>
      <c r="B5873" t="s">
        <v>764</v>
      </c>
      <c r="C5873" s="109" t="str">
        <f>IF(ISBLANK(K5873),IFERROR(VLOOKUP(I5873,FS_input_data!$C$458:$N$648,Export!J5873,FALSE),""),K5873)</f>
        <v/>
      </c>
      <c r="D5873" s="6"/>
      <c r="E5873" s="6"/>
      <c r="F5873" s="6"/>
      <c r="G5873" s="115" t="b">
        <f>VLOOKUP(I5842,FS_input_noty,J5842,FALSE)=""</f>
        <v>0</v>
      </c>
      <c r="H5873" s="6" t="s">
        <v>2189</v>
      </c>
      <c r="I5873" t="s">
        <v>1561</v>
      </c>
      <c r="J5873" t="s">
        <v>1561</v>
      </c>
      <c r="L5873">
        <f t="shared" si="338"/>
        <v>1</v>
      </c>
    </row>
    <row r="5874" spans="1:12" x14ac:dyDescent="0.35">
      <c r="A5874">
        <f t="shared" si="339"/>
        <v>5873</v>
      </c>
      <c r="B5874" t="s">
        <v>765</v>
      </c>
      <c r="C5874" s="109" t="str">
        <f>IF(ISBLANK(K5874),IFERROR(VLOOKUP(I5874,FS_input_data!$C$458:$N$648,Export!J5874,FALSE),""),K5874)</f>
        <v/>
      </c>
      <c r="D5874" s="6"/>
      <c r="E5874" s="6"/>
      <c r="F5874" s="6"/>
      <c r="G5874" s="115" t="b">
        <f>VLOOKUP(I5842,FS_input_noty,J5842,FALSE)=""</f>
        <v>0</v>
      </c>
      <c r="H5874" s="6" t="s">
        <v>2189</v>
      </c>
      <c r="I5874" t="s">
        <v>1561</v>
      </c>
      <c r="J5874" t="s">
        <v>1561</v>
      </c>
      <c r="L5874">
        <f t="shared" si="338"/>
        <v>1</v>
      </c>
    </row>
    <row r="5875" spans="1:12" x14ac:dyDescent="0.35">
      <c r="A5875">
        <f t="shared" si="339"/>
        <v>5874</v>
      </c>
      <c r="B5875" t="s">
        <v>752</v>
      </c>
      <c r="C5875" s="109" t="str">
        <f>IF(ISBLANK(K5875),IFERROR(VLOOKUP(I5875,FS_input_data!$C$458:$N$648,Export!J5875,FALSE),""),K5875)</f>
        <v/>
      </c>
      <c r="D5875" s="6"/>
      <c r="E5875" s="6"/>
      <c r="F5875" s="6"/>
      <c r="G5875" s="115" t="b">
        <f>VLOOKUP(I5876,FS_input_noty,J5876,FALSE)=""</f>
        <v>0</v>
      </c>
      <c r="H5875" s="6" t="s">
        <v>2189</v>
      </c>
      <c r="I5875" t="s">
        <v>1561</v>
      </c>
      <c r="J5875" t="s">
        <v>1561</v>
      </c>
      <c r="L5875" s="26" t="e">
        <f t="shared" si="338"/>
        <v>#VALUE!</v>
      </c>
    </row>
    <row r="5876" spans="1:12" x14ac:dyDescent="0.35">
      <c r="A5876" s="9">
        <f t="shared" si="339"/>
        <v>5875</v>
      </c>
      <c r="B5876" t="s">
        <v>101</v>
      </c>
      <c r="C5876" s="109" t="str">
        <f>IF(ISBLANK(K5876),IFERROR(VLOOKUP(I5876,FS_input_data!$C$458:$N$648,Export!J5876,FALSE),""),K5876)</f>
        <v>OC80</v>
      </c>
      <c r="D5876" s="6" t="b">
        <v>1</v>
      </c>
      <c r="E5876" s="6"/>
      <c r="F5876" s="6"/>
      <c r="G5876" s="115" t="b">
        <f>VLOOKUP(I5876,FS_input_noty,J5876,FALSE)=""</f>
        <v>0</v>
      </c>
      <c r="H5876" s="6" t="s">
        <v>2189</v>
      </c>
      <c r="I5876" t="s">
        <v>2016</v>
      </c>
      <c r="J5876">
        <v>6</v>
      </c>
      <c r="L5876" s="26" t="e">
        <f t="shared" si="338"/>
        <v>#VALUE!</v>
      </c>
    </row>
    <row r="5877" spans="1:12" x14ac:dyDescent="0.35">
      <c r="A5877">
        <f t="shared" si="339"/>
        <v>5876</v>
      </c>
      <c r="B5877" t="s">
        <v>102</v>
      </c>
      <c r="C5877" s="109" t="str">
        <f>IF(ISBLANK(K5877),IFERROR(VLOOKUP(I5877,FS_input_data!$C$458:$N$648,Export!J5877,FALSE),""),K5877)</f>
        <v/>
      </c>
      <c r="D5877" s="6"/>
      <c r="E5877" s="6"/>
      <c r="F5877" s="6"/>
      <c r="G5877" s="115" t="b">
        <f>VLOOKUP(I5876,FS_input_noty,J5876,FALSE)=""</f>
        <v>0</v>
      </c>
      <c r="H5877" s="6" t="s">
        <v>2189</v>
      </c>
      <c r="I5877" t="s">
        <v>1561</v>
      </c>
      <c r="J5877" t="s">
        <v>1561</v>
      </c>
      <c r="L5877">
        <f t="shared" si="338"/>
        <v>1</v>
      </c>
    </row>
    <row r="5878" spans="1:12" x14ac:dyDescent="0.35">
      <c r="A5878">
        <f t="shared" si="339"/>
        <v>5877</v>
      </c>
      <c r="B5878" t="s">
        <v>753</v>
      </c>
      <c r="C5878" s="109" t="str">
        <f>IF(ISBLANK(K5878),IFERROR(VLOOKUP(I5878,FS_input_data!$C$458:$N$648,Export!J5878,FALSE),""),K5878)</f>
        <v/>
      </c>
      <c r="D5878" s="6"/>
      <c r="E5878" s="6"/>
      <c r="F5878" s="6"/>
      <c r="G5878" s="115" t="b">
        <f>VLOOKUP(I5876,FS_input_noty,J5876,FALSE)=""</f>
        <v>0</v>
      </c>
      <c r="H5878" s="6" t="s">
        <v>2189</v>
      </c>
      <c r="I5878" t="s">
        <v>1561</v>
      </c>
      <c r="J5878" t="s">
        <v>1561</v>
      </c>
      <c r="L5878" s="26" t="e">
        <f t="shared" si="338"/>
        <v>#VALUE!</v>
      </c>
    </row>
    <row r="5879" spans="1:12" x14ac:dyDescent="0.35">
      <c r="A5879">
        <f t="shared" si="339"/>
        <v>5878</v>
      </c>
      <c r="B5879" t="s">
        <v>742</v>
      </c>
      <c r="C5879" s="109" t="str">
        <f>IF(ISBLANK(K5879),IFERROR(VLOOKUP(I5879,FS_input_data!$C$458:$N$648,Export!J5879,FALSE),""),K5879)</f>
        <v/>
      </c>
      <c r="D5879" s="6"/>
      <c r="E5879" s="6"/>
      <c r="F5879" s="6"/>
      <c r="G5879" s="115" t="b">
        <f>VLOOKUP(I5876,FS_input_noty,J5876,FALSE)=""</f>
        <v>0</v>
      </c>
      <c r="H5879" s="6" t="s">
        <v>2189</v>
      </c>
      <c r="I5879" t="s">
        <v>1561</v>
      </c>
      <c r="J5879" t="s">
        <v>1561</v>
      </c>
      <c r="L5879" s="26" t="e">
        <f t="shared" si="338"/>
        <v>#VALUE!</v>
      </c>
    </row>
    <row r="5880" spans="1:12" x14ac:dyDescent="0.35">
      <c r="A5880">
        <f t="shared" si="339"/>
        <v>5879</v>
      </c>
      <c r="B5880" t="s">
        <v>748</v>
      </c>
      <c r="C5880" s="109" t="str">
        <f>IF(ISBLANK(K5880),IFERROR(VLOOKUP(I5880,FS_input_data!$C$458:$N$648,Export!J5880,FALSE),""),K5880)</f>
        <v/>
      </c>
      <c r="D5880" s="6"/>
      <c r="E5880" s="6"/>
      <c r="F5880" s="6"/>
      <c r="G5880" s="115" t="b">
        <f>VLOOKUP(I5876,FS_input_noty,J5876,FALSE)=""</f>
        <v>0</v>
      </c>
      <c r="H5880" s="6" t="s">
        <v>2189</v>
      </c>
      <c r="I5880" t="s">
        <v>1561</v>
      </c>
      <c r="J5880" t="s">
        <v>1561</v>
      </c>
      <c r="L5880" s="26" t="e">
        <f t="shared" si="338"/>
        <v>#VALUE!</v>
      </c>
    </row>
    <row r="5881" spans="1:12" x14ac:dyDescent="0.35">
      <c r="A5881" s="9">
        <f t="shared" si="339"/>
        <v>5880</v>
      </c>
      <c r="B5881" t="s">
        <v>109</v>
      </c>
      <c r="C5881" s="109">
        <f>IF(ISBLANK(K5881),IFERROR(VLOOKUP(I5881,FS_input_data!$C$458:$N$648,Export!J5881,FALSE),""),K5881)</f>
        <v>5000</v>
      </c>
      <c r="D5881" s="6" t="b">
        <v>1</v>
      </c>
      <c r="E5881" s="6"/>
      <c r="F5881" s="6"/>
      <c r="G5881" s="115" t="b">
        <f>VLOOKUP(I5876,FS_input_noty,J5876,FALSE)=""</f>
        <v>0</v>
      </c>
      <c r="H5881" s="6" t="s">
        <v>2189</v>
      </c>
      <c r="I5881" t="s">
        <v>2016</v>
      </c>
      <c r="J5881">
        <v>7</v>
      </c>
      <c r="L5881" s="26" t="e">
        <f t="shared" si="338"/>
        <v>#VALUE!</v>
      </c>
    </row>
    <row r="5882" spans="1:12" x14ac:dyDescent="0.35">
      <c r="A5882">
        <f t="shared" si="339"/>
        <v>5881</v>
      </c>
      <c r="B5882" t="s">
        <v>110</v>
      </c>
      <c r="C5882" s="109" t="str">
        <f>IF(ISBLANK(K5882),IFERROR(VLOOKUP(I5882,FS_input_data!$C$458:$N$648,Export!J5882,FALSE),""),K5882)</f>
        <v/>
      </c>
      <c r="D5882" s="6"/>
      <c r="E5882" s="6"/>
      <c r="F5882" s="6"/>
      <c r="G5882" s="115" t="b">
        <f>VLOOKUP(I5876,FS_input_noty,J5876,FALSE)=""</f>
        <v>0</v>
      </c>
      <c r="H5882" s="6" t="s">
        <v>2189</v>
      </c>
      <c r="I5882" t="s">
        <v>1561</v>
      </c>
      <c r="J5882" t="s">
        <v>1561</v>
      </c>
      <c r="L5882">
        <f t="shared" si="338"/>
        <v>1</v>
      </c>
    </row>
    <row r="5883" spans="1:12" x14ac:dyDescent="0.35">
      <c r="A5883" s="9">
        <f t="shared" si="339"/>
        <v>5882</v>
      </c>
      <c r="B5883" t="s">
        <v>111</v>
      </c>
      <c r="C5883" s="109">
        <f>IF(ISBLANK(K5883),IFERROR(VLOOKUP(I5883,FS_input_data!$C$458:$N$648,Export!J5883,FALSE),""),K5883)</f>
        <v>2500</v>
      </c>
      <c r="D5883" s="6" t="b">
        <v>0</v>
      </c>
      <c r="E5883" s="6"/>
      <c r="F5883" s="6"/>
      <c r="G5883" s="115" t="b">
        <f>VLOOKUP(I5876,FS_input_noty,J5876,TRUE)=""</f>
        <v>0</v>
      </c>
      <c r="H5883" s="6" t="s">
        <v>2189</v>
      </c>
      <c r="I5883" t="s">
        <v>2016</v>
      </c>
      <c r="J5883">
        <v>8</v>
      </c>
      <c r="L5883" s="26" t="e">
        <f t="shared" si="338"/>
        <v>#VALUE!</v>
      </c>
    </row>
    <row r="5884" spans="1:12" x14ac:dyDescent="0.35">
      <c r="A5884">
        <f t="shared" si="339"/>
        <v>5883</v>
      </c>
      <c r="B5884" t="s">
        <v>112</v>
      </c>
      <c r="C5884" s="109" t="str">
        <f>IF(ISBLANK(K5884),IFERROR(VLOOKUP(I5884,FS_input_data!$C$458:$N$648,Export!J5884,FALSE),""),K5884)</f>
        <v/>
      </c>
      <c r="D5884" s="6"/>
      <c r="E5884" s="6"/>
      <c r="F5884" s="6"/>
      <c r="G5884" s="115" t="b">
        <f>VLOOKUP(I5876,FS_input_noty,J5876,FALSE)=""</f>
        <v>0</v>
      </c>
      <c r="H5884" s="6" t="s">
        <v>2189</v>
      </c>
      <c r="I5884" t="s">
        <v>1561</v>
      </c>
      <c r="J5884" t="s">
        <v>1561</v>
      </c>
      <c r="L5884">
        <f t="shared" si="338"/>
        <v>1</v>
      </c>
    </row>
    <row r="5885" spans="1:12" x14ac:dyDescent="0.35">
      <c r="A5885" s="9">
        <f t="shared" si="339"/>
        <v>5884</v>
      </c>
      <c r="B5885" t="s">
        <v>749</v>
      </c>
      <c r="C5885" s="109">
        <f>IF(ISBLANK(K5885),IFERROR(VLOOKUP(I5885,FS_input_data!$C$458:$N$648,Export!J5885,FALSE),""),K5885)</f>
        <v>2500</v>
      </c>
      <c r="D5885" s="6" t="b">
        <v>0</v>
      </c>
      <c r="E5885" s="6"/>
      <c r="F5885" s="6"/>
      <c r="G5885" s="115" t="b">
        <f>VLOOKUP(I5876,FS_input_noty,J5876,FALSE)=""</f>
        <v>0</v>
      </c>
      <c r="H5885" s="6" t="s">
        <v>2189</v>
      </c>
      <c r="I5885" t="s">
        <v>2016</v>
      </c>
      <c r="J5885">
        <v>9</v>
      </c>
      <c r="L5885" s="26" t="e">
        <f t="shared" si="338"/>
        <v>#VALUE!</v>
      </c>
    </row>
    <row r="5886" spans="1:12" x14ac:dyDescent="0.35">
      <c r="A5886">
        <f t="shared" si="339"/>
        <v>5885</v>
      </c>
      <c r="B5886" t="s">
        <v>750</v>
      </c>
      <c r="C5886" s="109" t="str">
        <f>IF(ISBLANK(K5886),IFERROR(VLOOKUP(I5886,FS_input_data!$C$458:$N$648,Export!J5886,FALSE),""),K5886)</f>
        <v/>
      </c>
      <c r="D5886" s="6"/>
      <c r="E5886" s="6"/>
      <c r="F5886" s="6"/>
      <c r="G5886" s="115" t="b">
        <f>VLOOKUP(I5876,FS_input_noty,J5876,FALSE)=""</f>
        <v>0</v>
      </c>
      <c r="H5886" s="6" t="s">
        <v>2189</v>
      </c>
      <c r="I5886" t="s">
        <v>1561</v>
      </c>
      <c r="J5886" t="s">
        <v>1561</v>
      </c>
      <c r="L5886">
        <f t="shared" si="338"/>
        <v>1</v>
      </c>
    </row>
    <row r="5887" spans="1:12" x14ac:dyDescent="0.35">
      <c r="A5887">
        <f t="shared" si="339"/>
        <v>5886</v>
      </c>
      <c r="B5887" t="s">
        <v>751</v>
      </c>
      <c r="C5887" s="109" t="str">
        <f>IF(ISBLANK(K5887),IFERROR(VLOOKUP(I5887,FS_input_data!$C$458:$N$648,Export!J5887,FALSE),""),K5887)</f>
        <v/>
      </c>
      <c r="D5887" s="6"/>
      <c r="E5887" s="6"/>
      <c r="F5887" s="6"/>
      <c r="G5887" s="115" t="b">
        <f>VLOOKUP(I5876,FS_input_noty,J5876,FALSE)=""</f>
        <v>0</v>
      </c>
      <c r="H5887" s="6" t="s">
        <v>2189</v>
      </c>
      <c r="I5887" t="s">
        <v>1561</v>
      </c>
      <c r="J5887" t="s">
        <v>1561</v>
      </c>
      <c r="L5887">
        <f t="shared" si="338"/>
        <v>1</v>
      </c>
    </row>
    <row r="5888" spans="1:12" x14ac:dyDescent="0.35">
      <c r="A5888">
        <f t="shared" si="339"/>
        <v>5887</v>
      </c>
      <c r="B5888" t="s">
        <v>754</v>
      </c>
      <c r="C5888" s="109" t="str">
        <f>IF(ISBLANK(K5888),IFERROR(VLOOKUP(I5888,FS_input_data!$C$458:$N$648,Export!J5888,FALSE),""),K5888)</f>
        <v/>
      </c>
      <c r="D5888" s="6"/>
      <c r="E5888" s="6"/>
      <c r="F5888" s="6"/>
      <c r="G5888" s="115" t="b">
        <f>VLOOKUP(I5876,FS_input_noty,J5876,FALSE)=""</f>
        <v>0</v>
      </c>
      <c r="H5888" s="6" t="s">
        <v>2189</v>
      </c>
      <c r="I5888" t="s">
        <v>1561</v>
      </c>
      <c r="J5888" t="s">
        <v>1561</v>
      </c>
      <c r="L5888" s="26" t="e">
        <f t="shared" si="338"/>
        <v>#VALUE!</v>
      </c>
    </row>
    <row r="5889" spans="1:12" x14ac:dyDescent="0.35">
      <c r="A5889" s="9">
        <f t="shared" si="339"/>
        <v>5888</v>
      </c>
      <c r="B5889" t="s">
        <v>755</v>
      </c>
      <c r="C5889" s="109">
        <f>IF(ISBLANK(K5889),IFERROR(VLOOKUP(I5889,FS_input_data!$C$458:$N$648,Export!J5889,FALSE),""),K5889)</f>
        <v>103</v>
      </c>
      <c r="D5889" s="6" t="b">
        <v>1</v>
      </c>
      <c r="E5889" s="6"/>
      <c r="F5889" s="6"/>
      <c r="G5889" s="115" t="b">
        <f>VLOOKUP(I5876,FS_input_noty,J5876,FALSE)=""</f>
        <v>0</v>
      </c>
      <c r="H5889" s="6" t="s">
        <v>2189</v>
      </c>
      <c r="I5889" t="s">
        <v>2016</v>
      </c>
      <c r="J5889">
        <v>2</v>
      </c>
      <c r="L5889" s="26" t="e">
        <f t="shared" si="338"/>
        <v>#VALUE!</v>
      </c>
    </row>
    <row r="5890" spans="1:12" x14ac:dyDescent="0.35">
      <c r="A5890">
        <f t="shared" si="339"/>
        <v>5889</v>
      </c>
      <c r="B5890" t="s">
        <v>756</v>
      </c>
      <c r="C5890" s="109" t="str">
        <f>IF(ISBLANK(K5890),IFERROR(VLOOKUP(I5890,FS_input_data!$C$458:$N$648,Export!J5890,FALSE),""),K5890)</f>
        <v/>
      </c>
      <c r="D5890" s="6"/>
      <c r="E5890" s="6"/>
      <c r="F5890" s="6"/>
      <c r="G5890" s="115" t="b">
        <f>VLOOKUP(I5876,FS_input_noty,J5876,FALSE)=""</f>
        <v>0</v>
      </c>
      <c r="H5890" s="6" t="s">
        <v>2189</v>
      </c>
      <c r="I5890" t="s">
        <v>1561</v>
      </c>
      <c r="J5890" t="s">
        <v>1561</v>
      </c>
      <c r="L5890">
        <f t="shared" ref="L5890:L5953" si="342">FIND("/",B5890)</f>
        <v>1</v>
      </c>
    </row>
    <row r="5891" spans="1:12" x14ac:dyDescent="0.35">
      <c r="A5891" s="9">
        <f t="shared" ref="A5891:A5954" si="343">A5890+1</f>
        <v>5890</v>
      </c>
      <c r="B5891" t="s">
        <v>757</v>
      </c>
      <c r="C5891" s="109">
        <f>IF(ISBLANK(K5891),IFERROR(VLOOKUP(I5891,FS_input_data!$C$458:$N$648,Export!J5891,FALSE),""),K5891)</f>
        <v>203</v>
      </c>
      <c r="D5891" s="6" t="b">
        <v>0</v>
      </c>
      <c r="E5891" s="6"/>
      <c r="F5891" s="6"/>
      <c r="G5891" s="115" t="b">
        <f>VLOOKUP(I5876,FS_input_noty,J5876,FALSE)=""</f>
        <v>0</v>
      </c>
      <c r="H5891" s="6" t="s">
        <v>2189</v>
      </c>
      <c r="I5891" t="s">
        <v>2016</v>
      </c>
      <c r="J5891">
        <v>3</v>
      </c>
      <c r="L5891" s="26" t="e">
        <f t="shared" si="342"/>
        <v>#VALUE!</v>
      </c>
    </row>
    <row r="5892" spans="1:12" x14ac:dyDescent="0.35">
      <c r="A5892">
        <f t="shared" si="343"/>
        <v>5891</v>
      </c>
      <c r="B5892" t="s">
        <v>758</v>
      </c>
      <c r="C5892" s="109" t="str">
        <f>IF(ISBLANK(K5892),IFERROR(VLOOKUP(I5892,FS_input_data!$C$458:$N$648,Export!J5892,FALSE),""),K5892)</f>
        <v/>
      </c>
      <c r="D5892" s="6"/>
      <c r="E5892" s="6"/>
      <c r="F5892" s="6"/>
      <c r="G5892" s="115" t="b">
        <f>VLOOKUP(I5876,FS_input_noty,J5876,FALSE)=""</f>
        <v>0</v>
      </c>
      <c r="H5892" s="6" t="s">
        <v>2189</v>
      </c>
      <c r="I5892" t="s">
        <v>1561</v>
      </c>
      <c r="J5892" t="s">
        <v>1561</v>
      </c>
      <c r="L5892">
        <f t="shared" si="342"/>
        <v>1</v>
      </c>
    </row>
    <row r="5893" spans="1:12" x14ac:dyDescent="0.35">
      <c r="A5893" s="9">
        <f t="shared" si="343"/>
        <v>5892</v>
      </c>
      <c r="B5893" t="s">
        <v>759</v>
      </c>
      <c r="C5893" s="109">
        <f>IF(ISBLANK(K5893),IFERROR(VLOOKUP(I5893,FS_input_data!$C$458:$N$648,Export!J5893,FALSE),""),K5893)</f>
        <v>303</v>
      </c>
      <c r="D5893" s="6" t="b">
        <v>0</v>
      </c>
      <c r="E5893" s="6"/>
      <c r="F5893" s="6"/>
      <c r="G5893" s="115" t="b">
        <f>VLOOKUP(I5876,FS_input_noty,J5876,FALSE)=""</f>
        <v>0</v>
      </c>
      <c r="H5893" s="6" t="s">
        <v>2189</v>
      </c>
      <c r="I5893" t="s">
        <v>2016</v>
      </c>
      <c r="J5893">
        <v>4</v>
      </c>
      <c r="L5893" s="26" t="e">
        <f t="shared" si="342"/>
        <v>#VALUE!</v>
      </c>
    </row>
    <row r="5894" spans="1:12" x14ac:dyDescent="0.35">
      <c r="A5894">
        <f t="shared" si="343"/>
        <v>5893</v>
      </c>
      <c r="B5894" t="s">
        <v>760</v>
      </c>
      <c r="C5894" s="109" t="str">
        <f>IF(ISBLANK(K5894),IFERROR(VLOOKUP(I5894,FS_input_data!$C$458:$N$648,Export!J5894,FALSE),""),K5894)</f>
        <v/>
      </c>
      <c r="D5894" s="6"/>
      <c r="E5894" s="6"/>
      <c r="F5894" s="6"/>
      <c r="G5894" s="115" t="b">
        <f>VLOOKUP(I5876,FS_input_noty,J5876,FALSE)=""</f>
        <v>0</v>
      </c>
      <c r="H5894" s="6" t="s">
        <v>2189</v>
      </c>
      <c r="I5894" t="s">
        <v>1561</v>
      </c>
      <c r="J5894" t="s">
        <v>1561</v>
      </c>
      <c r="L5894">
        <f t="shared" si="342"/>
        <v>1</v>
      </c>
    </row>
    <row r="5895" spans="1:12" x14ac:dyDescent="0.35">
      <c r="A5895" s="9">
        <f t="shared" si="343"/>
        <v>5894</v>
      </c>
      <c r="B5895" t="s">
        <v>761</v>
      </c>
      <c r="C5895" s="109" t="str">
        <f>IF(ISBLANK(K5895),IFERROR(VLOOKUP(I5895,FS_input_data!$C$458:$N$648,Export!J5895,FALSE),""),K5895)</f>
        <v>g</v>
      </c>
      <c r="D5895" s="6" t="b">
        <v>0</v>
      </c>
      <c r="E5895" s="6"/>
      <c r="F5895" s="6"/>
      <c r="G5895" s="115" t="b">
        <f>VLOOKUP(I5876,FS_input_noty,J5876,FALSE)=""</f>
        <v>0</v>
      </c>
      <c r="H5895" s="6" t="s">
        <v>2189</v>
      </c>
      <c r="I5895" t="s">
        <v>2016</v>
      </c>
      <c r="J5895">
        <v>5</v>
      </c>
      <c r="L5895" s="26" t="e">
        <f t="shared" si="342"/>
        <v>#VALUE!</v>
      </c>
    </row>
    <row r="5896" spans="1:12" x14ac:dyDescent="0.35">
      <c r="A5896">
        <f t="shared" si="343"/>
        <v>5895</v>
      </c>
      <c r="B5896" t="s">
        <v>762</v>
      </c>
      <c r="C5896" s="109" t="str">
        <f>IF(ISBLANK(K5896),IFERROR(VLOOKUP(I5896,FS_input_data!$C$458:$N$648,Export!J5896,FALSE),""),K5896)</f>
        <v/>
      </c>
      <c r="D5896" s="6"/>
      <c r="E5896" s="6"/>
      <c r="F5896" s="6"/>
      <c r="G5896" s="115" t="b">
        <f>VLOOKUP(I5876,FS_input_noty,J5876,FALSE)=""</f>
        <v>0</v>
      </c>
      <c r="H5896" s="6" t="s">
        <v>2189</v>
      </c>
      <c r="I5896" t="s">
        <v>1561</v>
      </c>
      <c r="J5896" t="s">
        <v>1561</v>
      </c>
      <c r="L5896">
        <f t="shared" si="342"/>
        <v>1</v>
      </c>
    </row>
    <row r="5897" spans="1:12" x14ac:dyDescent="0.35">
      <c r="A5897">
        <f t="shared" si="343"/>
        <v>5896</v>
      </c>
      <c r="B5897" t="s">
        <v>763</v>
      </c>
      <c r="C5897" s="109" t="str">
        <f>IF(ISBLANK(K5897),IFERROR(VLOOKUP(I5897,FS_input_data!$C$458:$N$648,Export!J5897,FALSE),""),K5897)</f>
        <v/>
      </c>
      <c r="D5897" s="6"/>
      <c r="E5897" s="6"/>
      <c r="F5897" s="6"/>
      <c r="G5897" s="115" t="b">
        <f>VLOOKUP(I5876,FS_input_noty,J5876,FALSE)=""</f>
        <v>0</v>
      </c>
      <c r="H5897" s="6" t="s">
        <v>2189</v>
      </c>
      <c r="I5897" t="s">
        <v>1561</v>
      </c>
      <c r="J5897" t="s">
        <v>1561</v>
      </c>
      <c r="L5897">
        <f t="shared" si="342"/>
        <v>1</v>
      </c>
    </row>
    <row r="5898" spans="1:12" x14ac:dyDescent="0.35">
      <c r="A5898">
        <f t="shared" si="343"/>
        <v>5897</v>
      </c>
      <c r="B5898" t="s">
        <v>743</v>
      </c>
      <c r="C5898" s="109" t="str">
        <f>IF(ISBLANK(K5898),IFERROR(VLOOKUP(I5898,FS_input_data!$C$458:$N$648,Export!J5898,FALSE),""),K5898)</f>
        <v/>
      </c>
      <c r="D5898" s="6"/>
      <c r="E5898" s="6"/>
      <c r="F5898" s="6"/>
      <c r="G5898" s="115" t="b">
        <f>VLOOKUP(I5876,FS_input_noty,J5876,FALSE)=""</f>
        <v>0</v>
      </c>
      <c r="H5898" s="6" t="s">
        <v>2189</v>
      </c>
      <c r="I5898" t="s">
        <v>1561</v>
      </c>
      <c r="J5898" t="s">
        <v>1561</v>
      </c>
      <c r="L5898">
        <f t="shared" si="342"/>
        <v>1</v>
      </c>
    </row>
    <row r="5899" spans="1:12" x14ac:dyDescent="0.35">
      <c r="A5899">
        <f t="shared" si="343"/>
        <v>5898</v>
      </c>
      <c r="B5899" t="s">
        <v>744</v>
      </c>
      <c r="C5899" s="109" t="str">
        <f>IF(ISBLANK(K5899),IFERROR(VLOOKUP(I5899,FS_input_data!$C$458:$N$648,Export!J5899,FALSE),""),K5899)</f>
        <v/>
      </c>
      <c r="D5899" s="6"/>
      <c r="E5899" s="6"/>
      <c r="F5899" s="6"/>
      <c r="G5899" s="115" t="b">
        <f t="shared" ref="G5899:G5906" si="344">RP_tax</f>
        <v>1</v>
      </c>
      <c r="H5899" s="6" t="s">
        <v>2189</v>
      </c>
      <c r="I5899" t="s">
        <v>1561</v>
      </c>
      <c r="J5899" t="s">
        <v>1561</v>
      </c>
      <c r="L5899" s="26" t="e">
        <f t="shared" si="342"/>
        <v>#VALUE!</v>
      </c>
    </row>
    <row r="5900" spans="1:12" x14ac:dyDescent="0.35">
      <c r="A5900" s="9">
        <f t="shared" si="343"/>
        <v>5899</v>
      </c>
      <c r="B5900" t="s">
        <v>109</v>
      </c>
      <c r="C5900" s="109">
        <f>IF(ISBLANK(K5900),IFERROR(VLOOKUP(I5900,FS_input_data!$C$458:$N$648,Export!J5900,FALSE),""),K5900)</f>
        <v>5000</v>
      </c>
      <c r="D5900" s="6" t="b">
        <v>1</v>
      </c>
      <c r="E5900" s="6"/>
      <c r="F5900" s="6"/>
      <c r="G5900" s="115" t="b">
        <f t="shared" si="344"/>
        <v>1</v>
      </c>
      <c r="H5900" s="6" t="s">
        <v>2189</v>
      </c>
      <c r="I5900" t="s">
        <v>2016</v>
      </c>
      <c r="J5900">
        <v>10</v>
      </c>
      <c r="L5900" s="26" t="e">
        <f t="shared" si="342"/>
        <v>#VALUE!</v>
      </c>
    </row>
    <row r="5901" spans="1:12" x14ac:dyDescent="0.35">
      <c r="A5901">
        <f t="shared" si="343"/>
        <v>5900</v>
      </c>
      <c r="B5901" t="s">
        <v>110</v>
      </c>
      <c r="C5901" s="109" t="str">
        <f>IF(ISBLANK(K5901),IFERROR(VLOOKUP(I5901,FS_input_data!$C$458:$N$648,Export!J5901,FALSE),""),K5901)</f>
        <v/>
      </c>
      <c r="D5901" s="6"/>
      <c r="E5901" s="6"/>
      <c r="F5901" s="6"/>
      <c r="G5901" s="115" t="b">
        <f t="shared" si="344"/>
        <v>1</v>
      </c>
      <c r="H5901" s="6" t="s">
        <v>2189</v>
      </c>
      <c r="I5901" t="s">
        <v>1561</v>
      </c>
      <c r="J5901" t="s">
        <v>1561</v>
      </c>
      <c r="L5901">
        <f t="shared" si="342"/>
        <v>1</v>
      </c>
    </row>
    <row r="5902" spans="1:12" x14ac:dyDescent="0.35">
      <c r="A5902" s="9">
        <f t="shared" si="343"/>
        <v>5901</v>
      </c>
      <c r="B5902" t="s">
        <v>111</v>
      </c>
      <c r="C5902" s="109">
        <f>IF(ISBLANK(K5902),IFERROR(VLOOKUP(I5902,FS_input_data!$C$458:$N$648,Export!J5902,FALSE),""),K5902)</f>
        <v>2500</v>
      </c>
      <c r="D5902" s="6" t="b">
        <v>0</v>
      </c>
      <c r="E5902" s="6"/>
      <c r="F5902" s="6"/>
      <c r="G5902" s="115" t="b">
        <f t="shared" si="344"/>
        <v>1</v>
      </c>
      <c r="H5902" s="6" t="s">
        <v>2189</v>
      </c>
      <c r="I5902" t="s">
        <v>2016</v>
      </c>
      <c r="J5902">
        <v>11</v>
      </c>
      <c r="L5902" s="26" t="e">
        <f t="shared" si="342"/>
        <v>#VALUE!</v>
      </c>
    </row>
    <row r="5903" spans="1:12" x14ac:dyDescent="0.35">
      <c r="A5903">
        <f t="shared" si="343"/>
        <v>5902</v>
      </c>
      <c r="B5903" t="s">
        <v>112</v>
      </c>
      <c r="C5903" s="109" t="str">
        <f>IF(ISBLANK(K5903),IFERROR(VLOOKUP(I5903,FS_input_data!$C$458:$N$648,Export!J5903,FALSE),""),K5903)</f>
        <v/>
      </c>
      <c r="D5903" s="6"/>
      <c r="E5903" s="6"/>
      <c r="F5903" s="6"/>
      <c r="G5903" s="115" t="b">
        <f t="shared" si="344"/>
        <v>1</v>
      </c>
      <c r="H5903" s="6" t="s">
        <v>2189</v>
      </c>
      <c r="I5903" t="s">
        <v>1561</v>
      </c>
      <c r="J5903" t="s">
        <v>1561</v>
      </c>
      <c r="L5903">
        <f t="shared" si="342"/>
        <v>1</v>
      </c>
    </row>
    <row r="5904" spans="1:12" x14ac:dyDescent="0.35">
      <c r="A5904" s="9">
        <f t="shared" si="343"/>
        <v>5903</v>
      </c>
      <c r="B5904" t="s">
        <v>749</v>
      </c>
      <c r="C5904" s="109">
        <f>IF(ISBLANK(K5904),IFERROR(VLOOKUP(I5904,FS_input_data!$C$458:$N$648,Export!J5904,FALSE),""),K5904)</f>
        <v>2500</v>
      </c>
      <c r="D5904" s="6" t="b">
        <v>0</v>
      </c>
      <c r="E5904" s="6"/>
      <c r="F5904" s="6"/>
      <c r="G5904" s="115" t="b">
        <f t="shared" si="344"/>
        <v>1</v>
      </c>
      <c r="H5904" s="6" t="s">
        <v>2189</v>
      </c>
      <c r="I5904" t="s">
        <v>2016</v>
      </c>
      <c r="J5904">
        <v>12</v>
      </c>
      <c r="L5904" s="26" t="e">
        <f t="shared" si="342"/>
        <v>#VALUE!</v>
      </c>
    </row>
    <row r="5905" spans="1:12" x14ac:dyDescent="0.35">
      <c r="A5905">
        <f t="shared" si="343"/>
        <v>5904</v>
      </c>
      <c r="B5905" t="s">
        <v>750</v>
      </c>
      <c r="C5905" s="109" t="str">
        <f>IF(ISBLANK(K5905),IFERROR(VLOOKUP(I5905,FS_input_data!$C$458:$N$648,Export!J5905,FALSE),""),K5905)</f>
        <v/>
      </c>
      <c r="D5905" s="6"/>
      <c r="E5905" s="6"/>
      <c r="F5905" s="6"/>
      <c r="G5905" s="115" t="b">
        <f t="shared" si="344"/>
        <v>1</v>
      </c>
      <c r="H5905" s="6" t="s">
        <v>2189</v>
      </c>
      <c r="I5905" t="s">
        <v>1561</v>
      </c>
      <c r="J5905" t="s">
        <v>1561</v>
      </c>
      <c r="L5905">
        <f t="shared" si="342"/>
        <v>1</v>
      </c>
    </row>
    <row r="5906" spans="1:12" x14ac:dyDescent="0.35">
      <c r="A5906">
        <f t="shared" si="343"/>
        <v>5905</v>
      </c>
      <c r="B5906" t="s">
        <v>745</v>
      </c>
      <c r="C5906" s="109" t="str">
        <f>IF(ISBLANK(K5906),IFERROR(VLOOKUP(I5906,FS_input_data!$C$458:$N$648,Export!J5906,FALSE),""),K5906)</f>
        <v/>
      </c>
      <c r="D5906" s="6"/>
      <c r="E5906" s="6"/>
      <c r="F5906" s="6"/>
      <c r="G5906" s="115" t="b">
        <f t="shared" si="344"/>
        <v>1</v>
      </c>
      <c r="H5906" s="6" t="s">
        <v>2189</v>
      </c>
      <c r="I5906" t="s">
        <v>1561</v>
      </c>
      <c r="J5906" t="s">
        <v>1561</v>
      </c>
      <c r="L5906">
        <f t="shared" si="342"/>
        <v>1</v>
      </c>
    </row>
    <row r="5907" spans="1:12" x14ac:dyDescent="0.35">
      <c r="A5907">
        <f t="shared" si="343"/>
        <v>5906</v>
      </c>
      <c r="B5907" t="s">
        <v>764</v>
      </c>
      <c r="C5907" s="109" t="str">
        <f>IF(ISBLANK(K5907),IFERROR(VLOOKUP(I5907,FS_input_data!$C$458:$N$648,Export!J5907,FALSE),""),K5907)</f>
        <v/>
      </c>
      <c r="D5907" s="6"/>
      <c r="E5907" s="6"/>
      <c r="F5907" s="6"/>
      <c r="G5907" s="115" t="b">
        <f>VLOOKUP(I5876,FS_input_noty,J5876,FALSE)=""</f>
        <v>0</v>
      </c>
      <c r="H5907" s="6" t="s">
        <v>2189</v>
      </c>
      <c r="I5907" t="s">
        <v>1561</v>
      </c>
      <c r="J5907" t="s">
        <v>1561</v>
      </c>
      <c r="L5907">
        <f t="shared" si="342"/>
        <v>1</v>
      </c>
    </row>
    <row r="5908" spans="1:12" x14ac:dyDescent="0.35">
      <c r="A5908">
        <f t="shared" si="343"/>
        <v>5907</v>
      </c>
      <c r="B5908" t="s">
        <v>765</v>
      </c>
      <c r="C5908" s="109" t="str">
        <f>IF(ISBLANK(K5908),IFERROR(VLOOKUP(I5908,FS_input_data!$C$458:$N$648,Export!J5908,FALSE),""),K5908)</f>
        <v/>
      </c>
      <c r="D5908" s="6"/>
      <c r="E5908" s="6"/>
      <c r="F5908" s="6"/>
      <c r="G5908" s="115" t="b">
        <f>VLOOKUP(I5876,FS_input_noty,J5876,FALSE)=""</f>
        <v>0</v>
      </c>
      <c r="H5908" s="6" t="s">
        <v>2189</v>
      </c>
      <c r="I5908" t="s">
        <v>1561</v>
      </c>
      <c r="J5908" t="s">
        <v>1561</v>
      </c>
      <c r="L5908">
        <f t="shared" si="342"/>
        <v>1</v>
      </c>
    </row>
    <row r="5909" spans="1:12" x14ac:dyDescent="0.35">
      <c r="A5909">
        <f t="shared" si="343"/>
        <v>5908</v>
      </c>
      <c r="B5909" t="s">
        <v>752</v>
      </c>
      <c r="C5909" s="109" t="str">
        <f>IF(ISBLANK(K5909),IFERROR(VLOOKUP(I5909,FS_input_data!$C$458:$N$648,Export!J5909,FALSE),""),K5909)</f>
        <v/>
      </c>
      <c r="D5909" s="6"/>
      <c r="E5909" s="6"/>
      <c r="F5909" s="6"/>
      <c r="G5909" s="115" t="b">
        <f>VLOOKUP(I5910,FS_input_noty,J5910,FALSE)=""</f>
        <v>0</v>
      </c>
      <c r="H5909" s="6" t="s">
        <v>2189</v>
      </c>
      <c r="I5909" t="s">
        <v>1561</v>
      </c>
      <c r="J5909" t="s">
        <v>1561</v>
      </c>
      <c r="L5909" s="26" t="e">
        <f t="shared" si="342"/>
        <v>#VALUE!</v>
      </c>
    </row>
    <row r="5910" spans="1:12" x14ac:dyDescent="0.35">
      <c r="A5910" s="9">
        <f t="shared" si="343"/>
        <v>5909</v>
      </c>
      <c r="B5910" t="s">
        <v>101</v>
      </c>
      <c r="C5910" s="109" t="str">
        <f>IF(ISBLANK(K5910),IFERROR(VLOOKUP(I5910,FS_input_data!$C$458:$N$648,Export!J5910,FALSE),""),K5910)</f>
        <v>OC81</v>
      </c>
      <c r="D5910" s="6" t="b">
        <v>1</v>
      </c>
      <c r="E5910" s="6"/>
      <c r="F5910" s="6"/>
      <c r="G5910" s="115" t="b">
        <f>VLOOKUP(I5910,FS_input_noty,J5910,FALSE)=""</f>
        <v>0</v>
      </c>
      <c r="H5910" s="6" t="s">
        <v>2189</v>
      </c>
      <c r="I5910" t="s">
        <v>2018</v>
      </c>
      <c r="J5910">
        <v>6</v>
      </c>
      <c r="L5910" s="26" t="e">
        <f t="shared" si="342"/>
        <v>#VALUE!</v>
      </c>
    </row>
    <row r="5911" spans="1:12" x14ac:dyDescent="0.35">
      <c r="A5911">
        <f t="shared" si="343"/>
        <v>5910</v>
      </c>
      <c r="B5911" t="s">
        <v>102</v>
      </c>
      <c r="C5911" s="109" t="str">
        <f>IF(ISBLANK(K5911),IFERROR(VLOOKUP(I5911,FS_input_data!$C$458:$N$648,Export!J5911,FALSE),""),K5911)</f>
        <v/>
      </c>
      <c r="E5911" s="6"/>
      <c r="F5911" s="6"/>
      <c r="G5911" s="115" t="b">
        <f>VLOOKUP(I5910,FS_input_noty,J5910,FALSE)=""</f>
        <v>0</v>
      </c>
      <c r="H5911" s="6" t="s">
        <v>2189</v>
      </c>
      <c r="I5911" t="s">
        <v>1561</v>
      </c>
      <c r="J5911" t="s">
        <v>1561</v>
      </c>
      <c r="L5911">
        <f t="shared" si="342"/>
        <v>1</v>
      </c>
    </row>
    <row r="5912" spans="1:12" x14ac:dyDescent="0.35">
      <c r="A5912">
        <f t="shared" si="343"/>
        <v>5911</v>
      </c>
      <c r="B5912" t="s">
        <v>753</v>
      </c>
      <c r="C5912" s="109" t="str">
        <f>IF(ISBLANK(K5912),IFERROR(VLOOKUP(I5912,FS_input_data!$C$458:$N$648,Export!J5912,FALSE),""),K5912)</f>
        <v/>
      </c>
      <c r="E5912" s="6"/>
      <c r="F5912" s="6"/>
      <c r="G5912" s="115" t="b">
        <f>VLOOKUP(I5910,FS_input_noty,J5910,FALSE)=""</f>
        <v>0</v>
      </c>
      <c r="H5912" s="6" t="s">
        <v>2189</v>
      </c>
      <c r="I5912" t="s">
        <v>1561</v>
      </c>
      <c r="J5912" t="s">
        <v>1561</v>
      </c>
      <c r="L5912" s="26" t="e">
        <f t="shared" si="342"/>
        <v>#VALUE!</v>
      </c>
    </row>
    <row r="5913" spans="1:12" x14ac:dyDescent="0.35">
      <c r="A5913">
        <f t="shared" si="343"/>
        <v>5912</v>
      </c>
      <c r="B5913" t="s">
        <v>742</v>
      </c>
      <c r="C5913" s="109" t="str">
        <f>IF(ISBLANK(K5913),IFERROR(VLOOKUP(I5913,FS_input_data!$C$458:$N$648,Export!J5913,FALSE),""),K5913)</f>
        <v/>
      </c>
      <c r="E5913" s="6"/>
      <c r="F5913" s="6"/>
      <c r="G5913" s="115" t="b">
        <f>VLOOKUP(I5910,FS_input_noty,J5910,FALSE)=""</f>
        <v>0</v>
      </c>
      <c r="H5913" s="6" t="s">
        <v>2189</v>
      </c>
      <c r="I5913" t="s">
        <v>1561</v>
      </c>
      <c r="J5913" t="s">
        <v>1561</v>
      </c>
      <c r="L5913" s="26" t="e">
        <f t="shared" si="342"/>
        <v>#VALUE!</v>
      </c>
    </row>
    <row r="5914" spans="1:12" x14ac:dyDescent="0.35">
      <c r="A5914">
        <f t="shared" si="343"/>
        <v>5913</v>
      </c>
      <c r="B5914" t="s">
        <v>748</v>
      </c>
      <c r="C5914" s="109" t="str">
        <f>IF(ISBLANK(K5914),IFERROR(VLOOKUP(I5914,FS_input_data!$C$458:$N$648,Export!J5914,FALSE),""),K5914)</f>
        <v/>
      </c>
      <c r="E5914" s="6"/>
      <c r="F5914" s="6"/>
      <c r="G5914" s="115" t="b">
        <f>VLOOKUP(I5910,FS_input_noty,J5910,FALSE)=""</f>
        <v>0</v>
      </c>
      <c r="H5914" s="6" t="s">
        <v>2189</v>
      </c>
      <c r="I5914" t="s">
        <v>1561</v>
      </c>
      <c r="J5914" t="s">
        <v>1561</v>
      </c>
      <c r="L5914" s="26" t="e">
        <f t="shared" si="342"/>
        <v>#VALUE!</v>
      </c>
    </row>
    <row r="5915" spans="1:12" x14ac:dyDescent="0.35">
      <c r="A5915" s="9">
        <f t="shared" si="343"/>
        <v>5914</v>
      </c>
      <c r="B5915" t="s">
        <v>109</v>
      </c>
      <c r="C5915" s="109">
        <f>IF(ISBLANK(K5915),IFERROR(VLOOKUP(I5915,FS_input_data!$C$458:$N$648,Export!J5915,FALSE),""),K5915)</f>
        <v>6000</v>
      </c>
      <c r="D5915" s="6" t="b">
        <v>1</v>
      </c>
      <c r="E5915" s="6"/>
      <c r="F5915" s="6"/>
      <c r="G5915" s="115" t="b">
        <f>VLOOKUP(I5910,FS_input_noty,J5910,FALSE)=""</f>
        <v>0</v>
      </c>
      <c r="H5915" s="6" t="s">
        <v>2189</v>
      </c>
      <c r="I5915" t="s">
        <v>2018</v>
      </c>
      <c r="J5915">
        <v>7</v>
      </c>
      <c r="L5915" s="26" t="e">
        <f t="shared" si="342"/>
        <v>#VALUE!</v>
      </c>
    </row>
    <row r="5916" spans="1:12" x14ac:dyDescent="0.35">
      <c r="A5916">
        <f t="shared" si="343"/>
        <v>5915</v>
      </c>
      <c r="B5916" t="s">
        <v>110</v>
      </c>
      <c r="C5916" s="109" t="str">
        <f>IF(ISBLANK(K5916),IFERROR(VLOOKUP(I5916,FS_input_data!$C$458:$N$648,Export!J5916,FALSE),""),K5916)</f>
        <v/>
      </c>
      <c r="D5916" s="6"/>
      <c r="E5916" s="6"/>
      <c r="F5916" s="6"/>
      <c r="G5916" s="115" t="b">
        <f>VLOOKUP(I5910,FS_input_noty,J5910,FALSE)=""</f>
        <v>0</v>
      </c>
      <c r="H5916" s="6" t="s">
        <v>2189</v>
      </c>
      <c r="I5916" t="s">
        <v>1561</v>
      </c>
      <c r="J5916" t="s">
        <v>1561</v>
      </c>
      <c r="L5916">
        <f t="shared" si="342"/>
        <v>1</v>
      </c>
    </row>
    <row r="5917" spans="1:12" x14ac:dyDescent="0.35">
      <c r="A5917" s="9">
        <f t="shared" si="343"/>
        <v>5916</v>
      </c>
      <c r="B5917" t="s">
        <v>111</v>
      </c>
      <c r="C5917" s="109">
        <f>IF(ISBLANK(K5917),IFERROR(VLOOKUP(I5917,FS_input_data!$C$458:$N$648,Export!J5917,FALSE),""),K5917)</f>
        <v>3000</v>
      </c>
      <c r="D5917" s="6" t="b">
        <v>0</v>
      </c>
      <c r="E5917" s="6"/>
      <c r="F5917" s="6"/>
      <c r="G5917" s="115" t="b">
        <f>VLOOKUP(I5910,FS_input_noty,J5910,TRUE)=""</f>
        <v>0</v>
      </c>
      <c r="H5917" s="6" t="s">
        <v>2189</v>
      </c>
      <c r="I5917" t="s">
        <v>2018</v>
      </c>
      <c r="J5917">
        <v>8</v>
      </c>
      <c r="L5917" s="26" t="e">
        <f t="shared" si="342"/>
        <v>#VALUE!</v>
      </c>
    </row>
    <row r="5918" spans="1:12" x14ac:dyDescent="0.35">
      <c r="A5918">
        <f t="shared" si="343"/>
        <v>5917</v>
      </c>
      <c r="B5918" t="s">
        <v>112</v>
      </c>
      <c r="C5918" s="109" t="str">
        <f>IF(ISBLANK(K5918),IFERROR(VLOOKUP(I5918,FS_input_data!$C$458:$N$648,Export!J5918,FALSE),""),K5918)</f>
        <v/>
      </c>
      <c r="D5918" s="6"/>
      <c r="E5918" s="6"/>
      <c r="F5918" s="6"/>
      <c r="G5918" s="115" t="b">
        <f>VLOOKUP(I5910,FS_input_noty,J5910,FALSE)=""</f>
        <v>0</v>
      </c>
      <c r="H5918" s="6" t="s">
        <v>2189</v>
      </c>
      <c r="I5918" t="s">
        <v>1561</v>
      </c>
      <c r="J5918" t="s">
        <v>1561</v>
      </c>
      <c r="L5918">
        <f t="shared" si="342"/>
        <v>1</v>
      </c>
    </row>
    <row r="5919" spans="1:12" x14ac:dyDescent="0.35">
      <c r="A5919" s="9">
        <f t="shared" si="343"/>
        <v>5918</v>
      </c>
      <c r="B5919" t="s">
        <v>749</v>
      </c>
      <c r="C5919" s="109">
        <f>IF(ISBLANK(K5919),IFERROR(VLOOKUP(I5919,FS_input_data!$C$458:$N$648,Export!J5919,FALSE),""),K5919)</f>
        <v>3000</v>
      </c>
      <c r="D5919" s="6" t="b">
        <v>0</v>
      </c>
      <c r="E5919" s="6"/>
      <c r="F5919" s="6"/>
      <c r="G5919" s="115" t="b">
        <f>VLOOKUP(I5910,FS_input_noty,J5910,FALSE)=""</f>
        <v>0</v>
      </c>
      <c r="H5919" s="6" t="s">
        <v>2189</v>
      </c>
      <c r="I5919" t="s">
        <v>2018</v>
      </c>
      <c r="J5919">
        <v>9</v>
      </c>
      <c r="L5919" s="26" t="e">
        <f t="shared" si="342"/>
        <v>#VALUE!</v>
      </c>
    </row>
    <row r="5920" spans="1:12" x14ac:dyDescent="0.35">
      <c r="A5920">
        <f t="shared" si="343"/>
        <v>5919</v>
      </c>
      <c r="B5920" t="s">
        <v>750</v>
      </c>
      <c r="C5920" s="109" t="str">
        <f>IF(ISBLANK(K5920),IFERROR(VLOOKUP(I5920,FS_input_data!$C$458:$N$648,Export!J5920,FALSE),""),K5920)</f>
        <v/>
      </c>
      <c r="D5920" s="6"/>
      <c r="E5920" s="6"/>
      <c r="F5920" s="6"/>
      <c r="G5920" s="115" t="b">
        <f>VLOOKUP(I5910,FS_input_noty,J5910,FALSE)=""</f>
        <v>0</v>
      </c>
      <c r="H5920" s="6" t="s">
        <v>2189</v>
      </c>
      <c r="I5920" t="s">
        <v>1561</v>
      </c>
      <c r="J5920" t="s">
        <v>1561</v>
      </c>
      <c r="L5920">
        <f t="shared" si="342"/>
        <v>1</v>
      </c>
    </row>
    <row r="5921" spans="1:12" x14ac:dyDescent="0.35">
      <c r="A5921">
        <f t="shared" si="343"/>
        <v>5920</v>
      </c>
      <c r="B5921" t="s">
        <v>751</v>
      </c>
      <c r="C5921" s="109" t="str">
        <f>IF(ISBLANK(K5921),IFERROR(VLOOKUP(I5921,FS_input_data!$C$458:$N$648,Export!J5921,FALSE),""),K5921)</f>
        <v/>
      </c>
      <c r="D5921" s="6"/>
      <c r="E5921" s="6"/>
      <c r="F5921" s="6"/>
      <c r="G5921" s="115" t="b">
        <f>VLOOKUP(I5910,FS_input_noty,J5910,FALSE)=""</f>
        <v>0</v>
      </c>
      <c r="H5921" s="6" t="s">
        <v>2189</v>
      </c>
      <c r="I5921" t="s">
        <v>1561</v>
      </c>
      <c r="J5921" t="s">
        <v>1561</v>
      </c>
      <c r="L5921">
        <f t="shared" si="342"/>
        <v>1</v>
      </c>
    </row>
    <row r="5922" spans="1:12" x14ac:dyDescent="0.35">
      <c r="A5922">
        <f t="shared" si="343"/>
        <v>5921</v>
      </c>
      <c r="B5922" t="s">
        <v>754</v>
      </c>
      <c r="C5922" s="109" t="str">
        <f>IF(ISBLANK(K5922),IFERROR(VLOOKUP(I5922,FS_input_data!$C$458:$N$648,Export!J5922,FALSE),""),K5922)</f>
        <v/>
      </c>
      <c r="D5922" s="6"/>
      <c r="E5922" s="6"/>
      <c r="F5922" s="6"/>
      <c r="G5922" s="115" t="b">
        <f>VLOOKUP(I5910,FS_input_noty,J5910,FALSE)=""</f>
        <v>0</v>
      </c>
      <c r="H5922" s="6" t="s">
        <v>2189</v>
      </c>
      <c r="I5922" t="s">
        <v>1561</v>
      </c>
      <c r="J5922" t="s">
        <v>1561</v>
      </c>
      <c r="L5922" s="26" t="e">
        <f t="shared" si="342"/>
        <v>#VALUE!</v>
      </c>
    </row>
    <row r="5923" spans="1:12" x14ac:dyDescent="0.35">
      <c r="A5923" s="9">
        <f t="shared" si="343"/>
        <v>5922</v>
      </c>
      <c r="B5923" t="s">
        <v>755</v>
      </c>
      <c r="C5923" s="109">
        <f>IF(ISBLANK(K5923),IFERROR(VLOOKUP(I5923,FS_input_data!$C$458:$N$648,Export!J5923,FALSE),""),K5923)</f>
        <v>104</v>
      </c>
      <c r="D5923" s="6" t="b">
        <v>1</v>
      </c>
      <c r="E5923" s="6"/>
      <c r="F5923" s="6"/>
      <c r="G5923" s="115" t="b">
        <f>VLOOKUP(I5910,FS_input_noty,J5910,FALSE)=""</f>
        <v>0</v>
      </c>
      <c r="H5923" s="6" t="s">
        <v>2189</v>
      </c>
      <c r="I5923" t="s">
        <v>2018</v>
      </c>
      <c r="J5923">
        <v>2</v>
      </c>
      <c r="L5923" s="26" t="e">
        <f t="shared" si="342"/>
        <v>#VALUE!</v>
      </c>
    </row>
    <row r="5924" spans="1:12" x14ac:dyDescent="0.35">
      <c r="A5924">
        <f t="shared" si="343"/>
        <v>5923</v>
      </c>
      <c r="B5924" t="s">
        <v>756</v>
      </c>
      <c r="C5924" s="109" t="str">
        <f>IF(ISBLANK(K5924),IFERROR(VLOOKUP(I5924,FS_input_data!$C$458:$N$648,Export!J5924,FALSE),""),K5924)</f>
        <v/>
      </c>
      <c r="D5924" s="6"/>
      <c r="E5924" s="6"/>
      <c r="F5924" s="6"/>
      <c r="G5924" s="115" t="b">
        <f>VLOOKUP(I5910,FS_input_noty,J5910,FALSE)=""</f>
        <v>0</v>
      </c>
      <c r="H5924" s="6" t="s">
        <v>2189</v>
      </c>
      <c r="I5924" t="s">
        <v>1561</v>
      </c>
      <c r="J5924" t="s">
        <v>1561</v>
      </c>
      <c r="L5924">
        <f t="shared" si="342"/>
        <v>1</v>
      </c>
    </row>
    <row r="5925" spans="1:12" x14ac:dyDescent="0.35">
      <c r="A5925" s="9">
        <f t="shared" si="343"/>
        <v>5924</v>
      </c>
      <c r="B5925" t="s">
        <v>757</v>
      </c>
      <c r="C5925" s="109">
        <f>IF(ISBLANK(K5925),IFERROR(VLOOKUP(I5925,FS_input_data!$C$458:$N$648,Export!J5925,FALSE),""),K5925)</f>
        <v>204</v>
      </c>
      <c r="D5925" s="6" t="b">
        <v>0</v>
      </c>
      <c r="E5925" s="6"/>
      <c r="F5925" s="6"/>
      <c r="G5925" s="115" t="b">
        <f>VLOOKUP(I5910,FS_input_noty,J5910,FALSE)=""</f>
        <v>0</v>
      </c>
      <c r="H5925" s="6" t="s">
        <v>2189</v>
      </c>
      <c r="I5925" t="s">
        <v>2018</v>
      </c>
      <c r="J5925">
        <v>3</v>
      </c>
      <c r="L5925" s="26" t="e">
        <f t="shared" si="342"/>
        <v>#VALUE!</v>
      </c>
    </row>
    <row r="5926" spans="1:12" x14ac:dyDescent="0.35">
      <c r="A5926">
        <f t="shared" si="343"/>
        <v>5925</v>
      </c>
      <c r="B5926" t="s">
        <v>758</v>
      </c>
      <c r="C5926" s="109" t="str">
        <f>IF(ISBLANK(K5926),IFERROR(VLOOKUP(I5926,FS_input_data!$C$458:$N$648,Export!J5926,FALSE),""),K5926)</f>
        <v/>
      </c>
      <c r="D5926" s="6"/>
      <c r="E5926" s="6"/>
      <c r="F5926" s="6"/>
      <c r="G5926" s="115" t="b">
        <f>VLOOKUP(I5910,FS_input_noty,J5910,FALSE)=""</f>
        <v>0</v>
      </c>
      <c r="H5926" s="6" t="s">
        <v>2189</v>
      </c>
      <c r="I5926" t="s">
        <v>1561</v>
      </c>
      <c r="J5926" t="s">
        <v>1561</v>
      </c>
      <c r="L5926">
        <f t="shared" si="342"/>
        <v>1</v>
      </c>
    </row>
    <row r="5927" spans="1:12" x14ac:dyDescent="0.35">
      <c r="A5927" s="9">
        <f t="shared" si="343"/>
        <v>5926</v>
      </c>
      <c r="B5927" t="s">
        <v>759</v>
      </c>
      <c r="C5927" s="109">
        <f>IF(ISBLANK(K5927),IFERROR(VLOOKUP(I5927,FS_input_data!$C$458:$N$648,Export!J5927,FALSE),""),K5927)</f>
        <v>304</v>
      </c>
      <c r="D5927" s="6" t="b">
        <v>0</v>
      </c>
      <c r="E5927" s="6"/>
      <c r="F5927" s="6"/>
      <c r="G5927" s="115" t="b">
        <f>VLOOKUP(I5910,FS_input_noty,J5910,FALSE)=""</f>
        <v>0</v>
      </c>
      <c r="H5927" s="6" t="s">
        <v>2189</v>
      </c>
      <c r="I5927" t="s">
        <v>2018</v>
      </c>
      <c r="J5927">
        <v>4</v>
      </c>
      <c r="L5927" s="26" t="e">
        <f t="shared" si="342"/>
        <v>#VALUE!</v>
      </c>
    </row>
    <row r="5928" spans="1:12" x14ac:dyDescent="0.35">
      <c r="A5928">
        <f t="shared" si="343"/>
        <v>5927</v>
      </c>
      <c r="B5928" t="s">
        <v>760</v>
      </c>
      <c r="C5928" s="109" t="str">
        <f>IF(ISBLANK(K5928),IFERROR(VLOOKUP(I5928,FS_input_data!$C$458:$N$648,Export!J5928,FALSE),""),K5928)</f>
        <v/>
      </c>
      <c r="D5928" s="6"/>
      <c r="E5928" s="6"/>
      <c r="F5928" s="6"/>
      <c r="G5928" s="115" t="b">
        <f>VLOOKUP(I5910,FS_input_noty,J5910,FALSE)=""</f>
        <v>0</v>
      </c>
      <c r="H5928" s="6" t="s">
        <v>2189</v>
      </c>
      <c r="I5928" t="s">
        <v>1561</v>
      </c>
      <c r="J5928" t="s">
        <v>1561</v>
      </c>
      <c r="L5928">
        <f t="shared" si="342"/>
        <v>1</v>
      </c>
    </row>
    <row r="5929" spans="1:12" x14ac:dyDescent="0.35">
      <c r="A5929" s="9">
        <f t="shared" si="343"/>
        <v>5928</v>
      </c>
      <c r="B5929" t="s">
        <v>761</v>
      </c>
      <c r="C5929" s="109" t="str">
        <f>IF(ISBLANK(K5929),IFERROR(VLOOKUP(I5929,FS_input_data!$C$458:$N$648,Export!J5929,FALSE),""),K5929)</f>
        <v>h</v>
      </c>
      <c r="D5929" s="6" t="b">
        <v>0</v>
      </c>
      <c r="E5929" s="6"/>
      <c r="F5929" s="6"/>
      <c r="G5929" s="116" t="b">
        <f>VLOOKUP(I5910,FS_input_noty,J5910,FALSE)=""</f>
        <v>0</v>
      </c>
      <c r="H5929" s="6" t="s">
        <v>2189</v>
      </c>
      <c r="I5929" t="s">
        <v>2018</v>
      </c>
      <c r="J5929">
        <v>5</v>
      </c>
      <c r="L5929" s="26" t="e">
        <f t="shared" si="342"/>
        <v>#VALUE!</v>
      </c>
    </row>
    <row r="5930" spans="1:12" x14ac:dyDescent="0.35">
      <c r="A5930">
        <f t="shared" si="343"/>
        <v>5929</v>
      </c>
      <c r="B5930" t="s">
        <v>762</v>
      </c>
      <c r="C5930" s="109" t="str">
        <f>IF(ISBLANK(K5930),IFERROR(VLOOKUP(I5930,FS_input_data!$C$458:$N$648,Export!J5930,FALSE),""),K5930)</f>
        <v/>
      </c>
      <c r="D5930" s="6"/>
      <c r="E5930" s="6"/>
      <c r="F5930" s="6"/>
      <c r="G5930" s="116" t="b">
        <f>VLOOKUP(I5910,FS_input_noty,J5910,FALSE)=""</f>
        <v>0</v>
      </c>
      <c r="H5930" s="6" t="s">
        <v>2189</v>
      </c>
      <c r="I5930" t="s">
        <v>1561</v>
      </c>
      <c r="J5930" t="s">
        <v>1561</v>
      </c>
      <c r="L5930">
        <f t="shared" si="342"/>
        <v>1</v>
      </c>
    </row>
    <row r="5931" spans="1:12" x14ac:dyDescent="0.35">
      <c r="A5931">
        <f t="shared" si="343"/>
        <v>5930</v>
      </c>
      <c r="B5931" t="s">
        <v>763</v>
      </c>
      <c r="C5931" s="109" t="str">
        <f>IF(ISBLANK(K5931),IFERROR(VLOOKUP(I5931,FS_input_data!$C$458:$N$648,Export!J5931,FALSE),""),K5931)</f>
        <v/>
      </c>
      <c r="D5931" s="6"/>
      <c r="E5931" s="6"/>
      <c r="F5931" s="6"/>
      <c r="G5931" s="116" t="b">
        <f>VLOOKUP(I5910,FS_input_noty,J5910,FALSE)=""</f>
        <v>0</v>
      </c>
      <c r="H5931" s="6" t="s">
        <v>2189</v>
      </c>
      <c r="I5931" t="s">
        <v>1561</v>
      </c>
      <c r="J5931" t="s">
        <v>1561</v>
      </c>
      <c r="L5931">
        <f t="shared" si="342"/>
        <v>1</v>
      </c>
    </row>
    <row r="5932" spans="1:12" x14ac:dyDescent="0.35">
      <c r="A5932">
        <f t="shared" si="343"/>
        <v>5931</v>
      </c>
      <c r="B5932" t="s">
        <v>743</v>
      </c>
      <c r="C5932" s="109" t="str">
        <f>IF(ISBLANK(K5932),IFERROR(VLOOKUP(I5932,FS_input_data!$C$458:$N$648,Export!J5932,FALSE),""),K5932)</f>
        <v/>
      </c>
      <c r="D5932" s="6"/>
      <c r="E5932" s="6"/>
      <c r="F5932" s="6"/>
      <c r="G5932" s="116" t="b">
        <f>VLOOKUP(I5910,FS_input_noty,J5910,FALSE)=""</f>
        <v>0</v>
      </c>
      <c r="H5932" s="6" t="s">
        <v>2189</v>
      </c>
      <c r="I5932" t="s">
        <v>1561</v>
      </c>
      <c r="J5932" t="s">
        <v>1561</v>
      </c>
      <c r="L5932">
        <f t="shared" si="342"/>
        <v>1</v>
      </c>
    </row>
    <row r="5933" spans="1:12" x14ac:dyDescent="0.35">
      <c r="A5933">
        <f t="shared" si="343"/>
        <v>5932</v>
      </c>
      <c r="B5933" t="s">
        <v>744</v>
      </c>
      <c r="C5933" s="109" t="str">
        <f>IF(ISBLANK(K5933),IFERROR(VLOOKUP(I5933,FS_input_data!$C$458:$N$648,Export!J5933,FALSE),""),K5933)</f>
        <v/>
      </c>
      <c r="D5933" s="6"/>
      <c r="E5933" s="6"/>
      <c r="F5933" s="6"/>
      <c r="G5933" s="115" t="b">
        <f t="shared" ref="G5933:G5940" si="345">RP_tax</f>
        <v>1</v>
      </c>
      <c r="H5933" s="6" t="s">
        <v>2189</v>
      </c>
      <c r="I5933" t="s">
        <v>1561</v>
      </c>
      <c r="J5933" t="s">
        <v>1561</v>
      </c>
      <c r="L5933" s="26" t="e">
        <f t="shared" si="342"/>
        <v>#VALUE!</v>
      </c>
    </row>
    <row r="5934" spans="1:12" x14ac:dyDescent="0.35">
      <c r="A5934" s="9">
        <f t="shared" si="343"/>
        <v>5933</v>
      </c>
      <c r="B5934" t="s">
        <v>109</v>
      </c>
      <c r="C5934" s="109">
        <f>IF(ISBLANK(K5934),IFERROR(VLOOKUP(I5934,FS_input_data!$C$458:$N$648,Export!J5934,FALSE),""),K5934)</f>
        <v>6000</v>
      </c>
      <c r="D5934" s="6" t="b">
        <v>1</v>
      </c>
      <c r="E5934" s="6"/>
      <c r="F5934" s="6"/>
      <c r="G5934" s="115" t="b">
        <f t="shared" si="345"/>
        <v>1</v>
      </c>
      <c r="H5934" s="6" t="s">
        <v>2189</v>
      </c>
      <c r="I5934" t="s">
        <v>2018</v>
      </c>
      <c r="J5934">
        <v>10</v>
      </c>
      <c r="L5934" s="26" t="e">
        <f t="shared" si="342"/>
        <v>#VALUE!</v>
      </c>
    </row>
    <row r="5935" spans="1:12" x14ac:dyDescent="0.35">
      <c r="A5935">
        <f t="shared" si="343"/>
        <v>5934</v>
      </c>
      <c r="B5935" t="s">
        <v>110</v>
      </c>
      <c r="C5935" s="109" t="str">
        <f>IF(ISBLANK(K5935),IFERROR(VLOOKUP(I5935,FS_input_data!$C$458:$N$648,Export!J5935,FALSE),""),K5935)</f>
        <v/>
      </c>
      <c r="D5935" s="6"/>
      <c r="E5935" s="6"/>
      <c r="F5935" s="6"/>
      <c r="G5935" s="115" t="b">
        <f t="shared" si="345"/>
        <v>1</v>
      </c>
      <c r="H5935" s="6" t="s">
        <v>2189</v>
      </c>
      <c r="I5935" t="s">
        <v>1561</v>
      </c>
      <c r="J5935" t="s">
        <v>1561</v>
      </c>
      <c r="L5935">
        <f t="shared" si="342"/>
        <v>1</v>
      </c>
    </row>
    <row r="5936" spans="1:12" x14ac:dyDescent="0.35">
      <c r="A5936" s="9">
        <f t="shared" si="343"/>
        <v>5935</v>
      </c>
      <c r="B5936" t="s">
        <v>111</v>
      </c>
      <c r="C5936" s="109">
        <f>IF(ISBLANK(K5936),IFERROR(VLOOKUP(I5936,FS_input_data!$C$458:$N$648,Export!J5936,FALSE),""),K5936)</f>
        <v>3000</v>
      </c>
      <c r="D5936" s="6" t="b">
        <v>0</v>
      </c>
      <c r="E5936" s="6"/>
      <c r="F5936" s="6"/>
      <c r="G5936" s="115" t="b">
        <f t="shared" si="345"/>
        <v>1</v>
      </c>
      <c r="H5936" s="6" t="s">
        <v>2189</v>
      </c>
      <c r="I5936" t="s">
        <v>2018</v>
      </c>
      <c r="J5936">
        <v>11</v>
      </c>
      <c r="L5936" s="26" t="e">
        <f t="shared" si="342"/>
        <v>#VALUE!</v>
      </c>
    </row>
    <row r="5937" spans="1:12" x14ac:dyDescent="0.35">
      <c r="A5937">
        <f t="shared" si="343"/>
        <v>5936</v>
      </c>
      <c r="B5937" t="s">
        <v>112</v>
      </c>
      <c r="C5937" s="109" t="str">
        <f>IF(ISBLANK(K5937),IFERROR(VLOOKUP(I5937,FS_input_data!$C$458:$N$648,Export!J5937,FALSE),""),K5937)</f>
        <v/>
      </c>
      <c r="D5937" s="6"/>
      <c r="E5937" s="6"/>
      <c r="F5937" s="6"/>
      <c r="G5937" s="115" t="b">
        <f t="shared" si="345"/>
        <v>1</v>
      </c>
      <c r="H5937" s="6" t="s">
        <v>2189</v>
      </c>
      <c r="I5937" t="s">
        <v>1561</v>
      </c>
      <c r="J5937" t="s">
        <v>1561</v>
      </c>
      <c r="L5937">
        <f t="shared" si="342"/>
        <v>1</v>
      </c>
    </row>
    <row r="5938" spans="1:12" x14ac:dyDescent="0.35">
      <c r="A5938" s="9">
        <f t="shared" si="343"/>
        <v>5937</v>
      </c>
      <c r="B5938" t="s">
        <v>749</v>
      </c>
      <c r="C5938" s="109">
        <f>IF(ISBLANK(K5938),IFERROR(VLOOKUP(I5938,FS_input_data!$C$458:$N$648,Export!J5938,FALSE),""),K5938)</f>
        <v>3000</v>
      </c>
      <c r="D5938" s="6" t="b">
        <v>0</v>
      </c>
      <c r="E5938" s="6"/>
      <c r="F5938" s="6"/>
      <c r="G5938" s="115" t="b">
        <f t="shared" si="345"/>
        <v>1</v>
      </c>
      <c r="H5938" s="6" t="s">
        <v>2189</v>
      </c>
      <c r="I5938" t="s">
        <v>2018</v>
      </c>
      <c r="J5938">
        <v>12</v>
      </c>
      <c r="L5938" s="26" t="e">
        <f t="shared" si="342"/>
        <v>#VALUE!</v>
      </c>
    </row>
    <row r="5939" spans="1:12" x14ac:dyDescent="0.35">
      <c r="A5939">
        <f t="shared" si="343"/>
        <v>5938</v>
      </c>
      <c r="B5939" t="s">
        <v>750</v>
      </c>
      <c r="C5939" s="109" t="str">
        <f>IF(ISBLANK(K5939),IFERROR(VLOOKUP(I5939,FS_input_data!$C$458:$N$648,Export!J5939,FALSE),""),K5939)</f>
        <v/>
      </c>
      <c r="D5939" s="6"/>
      <c r="E5939" s="6"/>
      <c r="F5939" s="6"/>
      <c r="G5939" s="115" t="b">
        <f t="shared" si="345"/>
        <v>1</v>
      </c>
      <c r="H5939" s="6" t="s">
        <v>2189</v>
      </c>
      <c r="I5939" t="s">
        <v>1561</v>
      </c>
      <c r="J5939" t="s">
        <v>1561</v>
      </c>
      <c r="L5939">
        <f t="shared" si="342"/>
        <v>1</v>
      </c>
    </row>
    <row r="5940" spans="1:12" x14ac:dyDescent="0.35">
      <c r="A5940">
        <f t="shared" si="343"/>
        <v>5939</v>
      </c>
      <c r="B5940" t="s">
        <v>745</v>
      </c>
      <c r="C5940" s="109" t="str">
        <f>IF(ISBLANK(K5940),IFERROR(VLOOKUP(I5940,FS_input_data!$C$458:$N$648,Export!J5940,FALSE),""),K5940)</f>
        <v/>
      </c>
      <c r="D5940" s="6"/>
      <c r="E5940" s="6"/>
      <c r="F5940" s="6"/>
      <c r="G5940" s="115" t="b">
        <f t="shared" si="345"/>
        <v>1</v>
      </c>
      <c r="H5940" s="6" t="s">
        <v>2189</v>
      </c>
      <c r="I5940" t="s">
        <v>1561</v>
      </c>
      <c r="J5940" t="s">
        <v>1561</v>
      </c>
      <c r="L5940">
        <f t="shared" si="342"/>
        <v>1</v>
      </c>
    </row>
    <row r="5941" spans="1:12" x14ac:dyDescent="0.35">
      <c r="A5941">
        <f t="shared" si="343"/>
        <v>5940</v>
      </c>
      <c r="B5941" t="s">
        <v>764</v>
      </c>
      <c r="C5941" s="109" t="str">
        <f>IF(ISBLANK(K5941),IFERROR(VLOOKUP(I5941,FS_input_data!$C$458:$N$648,Export!J5941,FALSE),""),K5941)</f>
        <v/>
      </c>
      <c r="D5941" s="6"/>
      <c r="E5941" s="6"/>
      <c r="F5941" s="6"/>
      <c r="G5941" s="115" t="b">
        <f>VLOOKUP(I5910,FS_input_noty,J5910,FALSE)=""</f>
        <v>0</v>
      </c>
      <c r="H5941" s="6" t="s">
        <v>2189</v>
      </c>
      <c r="I5941" t="s">
        <v>1561</v>
      </c>
      <c r="J5941" t="s">
        <v>1561</v>
      </c>
      <c r="L5941">
        <f t="shared" si="342"/>
        <v>1</v>
      </c>
    </row>
    <row r="5942" spans="1:12" x14ac:dyDescent="0.35">
      <c r="A5942">
        <f t="shared" si="343"/>
        <v>5941</v>
      </c>
      <c r="B5942" t="s">
        <v>765</v>
      </c>
      <c r="C5942" s="109" t="str">
        <f>IF(ISBLANK(K5942),IFERROR(VLOOKUP(I5942,FS_input_data!$C$458:$N$648,Export!J5942,FALSE),""),K5942)</f>
        <v/>
      </c>
      <c r="D5942" s="6"/>
      <c r="E5942" s="6"/>
      <c r="F5942" s="6"/>
      <c r="G5942" s="115" t="b">
        <f>VLOOKUP(I5910,FS_input_noty,J5910,FALSE)=""</f>
        <v>0</v>
      </c>
      <c r="H5942" s="6" t="s">
        <v>2189</v>
      </c>
      <c r="I5942" t="s">
        <v>1561</v>
      </c>
      <c r="J5942" t="s">
        <v>1561</v>
      </c>
      <c r="L5942">
        <f t="shared" si="342"/>
        <v>1</v>
      </c>
    </row>
    <row r="5943" spans="1:12" x14ac:dyDescent="0.35">
      <c r="A5943">
        <f t="shared" si="343"/>
        <v>5942</v>
      </c>
      <c r="B5943" t="s">
        <v>752</v>
      </c>
      <c r="C5943" s="109" t="str">
        <f>IF(ISBLANK(K5943),IFERROR(VLOOKUP(I5943,FS_input_data!$C$458:$N$648,Export!J5943,FALSE),""),K5943)</f>
        <v/>
      </c>
      <c r="D5943" s="6"/>
      <c r="E5943" s="6"/>
      <c r="F5943" s="6"/>
      <c r="G5943" s="115" t="b">
        <f>VLOOKUP(I5944,FS_input_noty,J5944,FALSE)=""</f>
        <v>0</v>
      </c>
      <c r="H5943" s="6" t="s">
        <v>2189</v>
      </c>
      <c r="I5943" t="s">
        <v>1561</v>
      </c>
      <c r="J5943" t="s">
        <v>1561</v>
      </c>
      <c r="L5943" s="26" t="e">
        <f t="shared" si="342"/>
        <v>#VALUE!</v>
      </c>
    </row>
    <row r="5944" spans="1:12" x14ac:dyDescent="0.35">
      <c r="A5944" s="9">
        <f t="shared" si="343"/>
        <v>5943</v>
      </c>
      <c r="B5944" t="s">
        <v>101</v>
      </c>
      <c r="C5944" s="109" t="str">
        <f>IF(ISBLANK(K5944),IFERROR(VLOOKUP(I5944,FS_input_data!$C$458:$N$648,Export!J5944,FALSE),""),K5944)</f>
        <v>OC82</v>
      </c>
      <c r="D5944" s="6" t="b">
        <v>1</v>
      </c>
      <c r="E5944" s="6"/>
      <c r="F5944" s="6"/>
      <c r="G5944" s="115" t="b">
        <f>VLOOKUP(I5944,FS_input_noty,J5944,FALSE)=""</f>
        <v>0</v>
      </c>
      <c r="H5944" s="6" t="s">
        <v>2189</v>
      </c>
      <c r="I5944" t="s">
        <v>2020</v>
      </c>
      <c r="J5944">
        <v>6</v>
      </c>
      <c r="L5944" s="26" t="e">
        <f t="shared" si="342"/>
        <v>#VALUE!</v>
      </c>
    </row>
    <row r="5945" spans="1:12" x14ac:dyDescent="0.35">
      <c r="A5945">
        <f t="shared" si="343"/>
        <v>5944</v>
      </c>
      <c r="B5945" t="s">
        <v>102</v>
      </c>
      <c r="C5945" s="109" t="str">
        <f>IF(ISBLANK(K5945),IFERROR(VLOOKUP(I5945,FS_input_data!$C$458:$N$648,Export!J5945,FALSE),""),K5945)</f>
        <v/>
      </c>
      <c r="D5945" s="6"/>
      <c r="E5945" s="6"/>
      <c r="F5945" s="6"/>
      <c r="G5945" s="115" t="b">
        <f>VLOOKUP(I5944,FS_input_noty,J5944,FALSE)=""</f>
        <v>0</v>
      </c>
      <c r="H5945" s="6" t="s">
        <v>2189</v>
      </c>
      <c r="I5945" t="s">
        <v>1561</v>
      </c>
      <c r="J5945" t="s">
        <v>1561</v>
      </c>
      <c r="L5945">
        <f t="shared" si="342"/>
        <v>1</v>
      </c>
    </row>
    <row r="5946" spans="1:12" x14ac:dyDescent="0.35">
      <c r="A5946">
        <f t="shared" si="343"/>
        <v>5945</v>
      </c>
      <c r="B5946" t="s">
        <v>753</v>
      </c>
      <c r="C5946" s="109" t="str">
        <f>IF(ISBLANK(K5946),IFERROR(VLOOKUP(I5946,FS_input_data!$C$458:$N$648,Export!J5946,FALSE),""),K5946)</f>
        <v/>
      </c>
      <c r="D5946" s="6"/>
      <c r="E5946" s="6"/>
      <c r="F5946" s="6"/>
      <c r="G5946" s="115" t="b">
        <f>VLOOKUP(I5944,FS_input_noty,J5944,FALSE)=""</f>
        <v>0</v>
      </c>
      <c r="H5946" s="6" t="s">
        <v>2189</v>
      </c>
      <c r="I5946" t="s">
        <v>1561</v>
      </c>
      <c r="J5946" t="s">
        <v>1561</v>
      </c>
      <c r="L5946" s="26" t="e">
        <f t="shared" si="342"/>
        <v>#VALUE!</v>
      </c>
    </row>
    <row r="5947" spans="1:12" x14ac:dyDescent="0.35">
      <c r="A5947">
        <f t="shared" si="343"/>
        <v>5946</v>
      </c>
      <c r="B5947" t="s">
        <v>742</v>
      </c>
      <c r="C5947" s="109" t="str">
        <f>IF(ISBLANK(K5947),IFERROR(VLOOKUP(I5947,FS_input_data!$C$458:$N$648,Export!J5947,FALSE),""),K5947)</f>
        <v/>
      </c>
      <c r="D5947" s="6"/>
      <c r="E5947" s="6"/>
      <c r="F5947" s="6"/>
      <c r="G5947" s="115" t="b">
        <f>VLOOKUP(I5944,FS_input_noty,J5944,FALSE)=""</f>
        <v>0</v>
      </c>
      <c r="H5947" s="6" t="s">
        <v>2189</v>
      </c>
      <c r="I5947" t="s">
        <v>1561</v>
      </c>
      <c r="J5947" t="s">
        <v>1561</v>
      </c>
      <c r="L5947" s="26" t="e">
        <f t="shared" si="342"/>
        <v>#VALUE!</v>
      </c>
    </row>
    <row r="5948" spans="1:12" x14ac:dyDescent="0.35">
      <c r="A5948">
        <f t="shared" si="343"/>
        <v>5947</v>
      </c>
      <c r="B5948" t="s">
        <v>748</v>
      </c>
      <c r="C5948" s="109" t="str">
        <f>IF(ISBLANK(K5948),IFERROR(VLOOKUP(I5948,FS_input_data!$C$458:$N$648,Export!J5948,FALSE),""),K5948)</f>
        <v/>
      </c>
      <c r="D5948" s="6"/>
      <c r="E5948" s="6"/>
      <c r="F5948" s="6"/>
      <c r="G5948" s="115" t="b">
        <f>VLOOKUP(I5944,FS_input_noty,J5944,FALSE)=""</f>
        <v>0</v>
      </c>
      <c r="H5948" s="6" t="s">
        <v>2189</v>
      </c>
      <c r="I5948" t="s">
        <v>1561</v>
      </c>
      <c r="J5948" t="s">
        <v>1561</v>
      </c>
      <c r="L5948" s="26" t="e">
        <f t="shared" si="342"/>
        <v>#VALUE!</v>
      </c>
    </row>
    <row r="5949" spans="1:12" x14ac:dyDescent="0.35">
      <c r="A5949" s="9">
        <f t="shared" si="343"/>
        <v>5948</v>
      </c>
      <c r="B5949" t="s">
        <v>109</v>
      </c>
      <c r="C5949" s="109">
        <f>IF(ISBLANK(K5949),IFERROR(VLOOKUP(I5949,FS_input_data!$C$458:$N$648,Export!J5949,FALSE),""),K5949)</f>
        <v>7000</v>
      </c>
      <c r="D5949" s="6" t="b">
        <v>1</v>
      </c>
      <c r="E5949" s="6"/>
      <c r="F5949" s="6"/>
      <c r="G5949" s="115" t="b">
        <f>VLOOKUP(I5944,FS_input_noty,J5944,FALSE)=""</f>
        <v>0</v>
      </c>
      <c r="H5949" s="6" t="s">
        <v>2189</v>
      </c>
      <c r="I5949" t="s">
        <v>2020</v>
      </c>
      <c r="J5949">
        <v>7</v>
      </c>
      <c r="L5949" s="26" t="e">
        <f t="shared" si="342"/>
        <v>#VALUE!</v>
      </c>
    </row>
    <row r="5950" spans="1:12" x14ac:dyDescent="0.35">
      <c r="A5950">
        <f t="shared" si="343"/>
        <v>5949</v>
      </c>
      <c r="B5950" t="s">
        <v>110</v>
      </c>
      <c r="C5950" s="109" t="str">
        <f>IF(ISBLANK(K5950),IFERROR(VLOOKUP(I5950,FS_input_data!$C$458:$N$648,Export!J5950,FALSE),""),K5950)</f>
        <v/>
      </c>
      <c r="D5950" s="6"/>
      <c r="E5950" s="6"/>
      <c r="F5950" s="6"/>
      <c r="G5950" s="115" t="b">
        <f>VLOOKUP(I5944,FS_input_noty,J5944,FALSE)=""</f>
        <v>0</v>
      </c>
      <c r="H5950" s="6" t="s">
        <v>2189</v>
      </c>
      <c r="I5950" t="s">
        <v>1561</v>
      </c>
      <c r="J5950" t="s">
        <v>1561</v>
      </c>
      <c r="L5950">
        <f t="shared" si="342"/>
        <v>1</v>
      </c>
    </row>
    <row r="5951" spans="1:12" x14ac:dyDescent="0.35">
      <c r="A5951" s="9">
        <f t="shared" si="343"/>
        <v>5950</v>
      </c>
      <c r="B5951" t="s">
        <v>111</v>
      </c>
      <c r="C5951" s="109">
        <f>IF(ISBLANK(K5951),IFERROR(VLOOKUP(I5951,FS_input_data!$C$458:$N$648,Export!J5951,FALSE),""),K5951)</f>
        <v>3500</v>
      </c>
      <c r="D5951" s="6" t="b">
        <v>0</v>
      </c>
      <c r="E5951" s="6"/>
      <c r="F5951" s="6"/>
      <c r="G5951" s="115" t="b">
        <f>VLOOKUP(I5944,FS_input_noty,J5944,TRUE)=""</f>
        <v>0</v>
      </c>
      <c r="H5951" s="6" t="s">
        <v>2189</v>
      </c>
      <c r="I5951" t="s">
        <v>2020</v>
      </c>
      <c r="J5951">
        <v>8</v>
      </c>
      <c r="L5951" s="26" t="e">
        <f t="shared" si="342"/>
        <v>#VALUE!</v>
      </c>
    </row>
    <row r="5952" spans="1:12" x14ac:dyDescent="0.35">
      <c r="A5952">
        <f t="shared" si="343"/>
        <v>5951</v>
      </c>
      <c r="B5952" t="s">
        <v>112</v>
      </c>
      <c r="C5952" s="109" t="str">
        <f>IF(ISBLANK(K5952),IFERROR(VLOOKUP(I5952,FS_input_data!$C$458:$N$648,Export!J5952,FALSE),""),K5952)</f>
        <v/>
      </c>
      <c r="D5952" s="6"/>
      <c r="E5952" s="6"/>
      <c r="F5952" s="6"/>
      <c r="G5952" s="115" t="b">
        <f>VLOOKUP(I5944,FS_input_noty,J5944,FALSE)=""</f>
        <v>0</v>
      </c>
      <c r="H5952" s="6" t="s">
        <v>2189</v>
      </c>
      <c r="I5952" t="s">
        <v>1561</v>
      </c>
      <c r="J5952" t="s">
        <v>1561</v>
      </c>
      <c r="L5952">
        <f t="shared" si="342"/>
        <v>1</v>
      </c>
    </row>
    <row r="5953" spans="1:12" x14ac:dyDescent="0.35">
      <c r="A5953" s="9">
        <f t="shared" si="343"/>
        <v>5952</v>
      </c>
      <c r="B5953" t="s">
        <v>749</v>
      </c>
      <c r="C5953" s="109">
        <f>IF(ISBLANK(K5953),IFERROR(VLOOKUP(I5953,FS_input_data!$C$458:$N$648,Export!J5953,FALSE),""),K5953)</f>
        <v>3500</v>
      </c>
      <c r="D5953" s="6" t="b">
        <v>0</v>
      </c>
      <c r="E5953" s="6"/>
      <c r="F5953" s="6"/>
      <c r="G5953" s="115" t="b">
        <f>VLOOKUP(I5944,FS_input_noty,J5944,FALSE)=""</f>
        <v>0</v>
      </c>
      <c r="H5953" s="6" t="s">
        <v>2189</v>
      </c>
      <c r="I5953" t="s">
        <v>2020</v>
      </c>
      <c r="J5953">
        <v>9</v>
      </c>
      <c r="L5953" s="26" t="e">
        <f t="shared" si="342"/>
        <v>#VALUE!</v>
      </c>
    </row>
    <row r="5954" spans="1:12" x14ac:dyDescent="0.35">
      <c r="A5954">
        <f t="shared" si="343"/>
        <v>5953</v>
      </c>
      <c r="B5954" t="s">
        <v>750</v>
      </c>
      <c r="C5954" s="109" t="str">
        <f>IF(ISBLANK(K5954),IFERROR(VLOOKUP(I5954,FS_input_data!$C$458:$N$648,Export!J5954,FALSE),""),K5954)</f>
        <v/>
      </c>
      <c r="D5954" s="6"/>
      <c r="E5954" s="6"/>
      <c r="F5954" s="6"/>
      <c r="G5954" s="115" t="b">
        <f>VLOOKUP(I5944,FS_input_noty,J5944,FALSE)=""</f>
        <v>0</v>
      </c>
      <c r="H5954" s="6" t="s">
        <v>2189</v>
      </c>
      <c r="I5954" t="s">
        <v>1561</v>
      </c>
      <c r="J5954" t="s">
        <v>1561</v>
      </c>
      <c r="L5954">
        <f t="shared" ref="L5954:L6017" si="346">FIND("/",B5954)</f>
        <v>1</v>
      </c>
    </row>
    <row r="5955" spans="1:12" x14ac:dyDescent="0.35">
      <c r="A5955">
        <f t="shared" ref="A5955:A6018" si="347">A5954+1</f>
        <v>5954</v>
      </c>
      <c r="B5955" t="s">
        <v>751</v>
      </c>
      <c r="C5955" s="109" t="str">
        <f>IF(ISBLANK(K5955),IFERROR(VLOOKUP(I5955,FS_input_data!$C$458:$N$648,Export!J5955,FALSE),""),K5955)</f>
        <v/>
      </c>
      <c r="D5955" s="6"/>
      <c r="E5955" s="6"/>
      <c r="F5955" s="6"/>
      <c r="G5955" s="115" t="b">
        <f>VLOOKUP(I5944,FS_input_noty,J5944,FALSE)=""</f>
        <v>0</v>
      </c>
      <c r="H5955" s="6" t="s">
        <v>2189</v>
      </c>
      <c r="I5955" t="s">
        <v>1561</v>
      </c>
      <c r="J5955" t="s">
        <v>1561</v>
      </c>
      <c r="L5955">
        <f t="shared" si="346"/>
        <v>1</v>
      </c>
    </row>
    <row r="5956" spans="1:12" x14ac:dyDescent="0.35">
      <c r="A5956">
        <f t="shared" si="347"/>
        <v>5955</v>
      </c>
      <c r="B5956" t="s">
        <v>754</v>
      </c>
      <c r="C5956" s="109" t="str">
        <f>IF(ISBLANK(K5956),IFERROR(VLOOKUP(I5956,FS_input_data!$C$458:$N$648,Export!J5956,FALSE),""),K5956)</f>
        <v/>
      </c>
      <c r="D5956" s="6"/>
      <c r="E5956" s="6"/>
      <c r="F5956" s="6"/>
      <c r="G5956" s="115" t="b">
        <f>VLOOKUP(I5944,FS_input_noty,J5944,FALSE)=""</f>
        <v>0</v>
      </c>
      <c r="H5956" s="6" t="s">
        <v>2189</v>
      </c>
      <c r="I5956" t="s">
        <v>1561</v>
      </c>
      <c r="J5956" t="s">
        <v>1561</v>
      </c>
      <c r="L5956" s="26" t="e">
        <f t="shared" si="346"/>
        <v>#VALUE!</v>
      </c>
    </row>
    <row r="5957" spans="1:12" x14ac:dyDescent="0.35">
      <c r="A5957" s="9">
        <f t="shared" si="347"/>
        <v>5956</v>
      </c>
      <c r="B5957" t="s">
        <v>755</v>
      </c>
      <c r="C5957" s="109">
        <f>IF(ISBLANK(K5957),IFERROR(VLOOKUP(I5957,FS_input_data!$C$458:$N$648,Export!J5957,FALSE),""),K5957)</f>
        <v>105</v>
      </c>
      <c r="D5957" s="6" t="b">
        <v>1</v>
      </c>
      <c r="E5957" s="6"/>
      <c r="F5957" s="6"/>
      <c r="G5957" s="115" t="b">
        <f>VLOOKUP(I5944,FS_input_noty,J5944,FALSE)=""</f>
        <v>0</v>
      </c>
      <c r="H5957" s="6" t="s">
        <v>2189</v>
      </c>
      <c r="I5957" t="s">
        <v>2020</v>
      </c>
      <c r="J5957">
        <v>2</v>
      </c>
      <c r="L5957" s="26" t="e">
        <f t="shared" si="346"/>
        <v>#VALUE!</v>
      </c>
    </row>
    <row r="5958" spans="1:12" x14ac:dyDescent="0.35">
      <c r="A5958">
        <f t="shared" si="347"/>
        <v>5957</v>
      </c>
      <c r="B5958" t="s">
        <v>756</v>
      </c>
      <c r="C5958" s="109" t="str">
        <f>IF(ISBLANK(K5958),IFERROR(VLOOKUP(I5958,FS_input_data!$C$458:$N$648,Export!J5958,FALSE),""),K5958)</f>
        <v/>
      </c>
      <c r="D5958" s="6"/>
      <c r="E5958" s="6"/>
      <c r="F5958" s="6"/>
      <c r="G5958" s="115" t="b">
        <f>VLOOKUP(I5944,FS_input_noty,J5944,FALSE)=""</f>
        <v>0</v>
      </c>
      <c r="H5958" s="6" t="s">
        <v>2189</v>
      </c>
      <c r="I5958" t="s">
        <v>1561</v>
      </c>
      <c r="J5958" t="s">
        <v>1561</v>
      </c>
      <c r="L5958">
        <f t="shared" si="346"/>
        <v>1</v>
      </c>
    </row>
    <row r="5959" spans="1:12" x14ac:dyDescent="0.35">
      <c r="A5959" s="9">
        <f t="shared" si="347"/>
        <v>5958</v>
      </c>
      <c r="B5959" t="s">
        <v>757</v>
      </c>
      <c r="C5959" s="109">
        <f>IF(ISBLANK(K5959),IFERROR(VLOOKUP(I5959,FS_input_data!$C$458:$N$648,Export!J5959,FALSE),""),K5959)</f>
        <v>205</v>
      </c>
      <c r="D5959" s="6" t="b">
        <v>0</v>
      </c>
      <c r="E5959" s="6"/>
      <c r="F5959" s="6"/>
      <c r="G5959" s="115" t="b">
        <f>VLOOKUP(I5944,FS_input_noty,J5944,FALSE)=""</f>
        <v>0</v>
      </c>
      <c r="H5959" s="6" t="s">
        <v>2189</v>
      </c>
      <c r="I5959" t="s">
        <v>2020</v>
      </c>
      <c r="J5959">
        <v>3</v>
      </c>
      <c r="L5959" s="26" t="e">
        <f t="shared" si="346"/>
        <v>#VALUE!</v>
      </c>
    </row>
    <row r="5960" spans="1:12" x14ac:dyDescent="0.35">
      <c r="A5960">
        <f t="shared" si="347"/>
        <v>5959</v>
      </c>
      <c r="B5960" t="s">
        <v>758</v>
      </c>
      <c r="C5960" s="109" t="str">
        <f>IF(ISBLANK(K5960),IFERROR(VLOOKUP(I5960,FS_input_data!$C$458:$N$648,Export!J5960,FALSE),""),K5960)</f>
        <v/>
      </c>
      <c r="D5960" s="6"/>
      <c r="E5960" s="6"/>
      <c r="F5960" s="6"/>
      <c r="G5960" s="115" t="b">
        <f>VLOOKUP(I5944,FS_input_noty,J5944,FALSE)=""</f>
        <v>0</v>
      </c>
      <c r="H5960" s="6" t="s">
        <v>2189</v>
      </c>
      <c r="I5960" t="s">
        <v>1561</v>
      </c>
      <c r="J5960" t="s">
        <v>1561</v>
      </c>
      <c r="L5960">
        <f t="shared" si="346"/>
        <v>1</v>
      </c>
    </row>
    <row r="5961" spans="1:12" x14ac:dyDescent="0.35">
      <c r="A5961" s="9">
        <f t="shared" si="347"/>
        <v>5960</v>
      </c>
      <c r="B5961" t="s">
        <v>759</v>
      </c>
      <c r="C5961" s="109">
        <f>IF(ISBLANK(K5961),IFERROR(VLOOKUP(I5961,FS_input_data!$C$458:$N$648,Export!J5961,FALSE),""),K5961)</f>
        <v>305</v>
      </c>
      <c r="D5961" s="6" t="b">
        <v>0</v>
      </c>
      <c r="E5961" s="6"/>
      <c r="F5961" s="6"/>
      <c r="G5961" s="115" t="b">
        <f>VLOOKUP(I5944,FS_input_noty,J5944,FALSE)=""</f>
        <v>0</v>
      </c>
      <c r="H5961" s="6" t="s">
        <v>2189</v>
      </c>
      <c r="I5961" t="s">
        <v>2020</v>
      </c>
      <c r="J5961">
        <v>4</v>
      </c>
      <c r="L5961" s="26" t="e">
        <f t="shared" si="346"/>
        <v>#VALUE!</v>
      </c>
    </row>
    <row r="5962" spans="1:12" x14ac:dyDescent="0.35">
      <c r="A5962">
        <f t="shared" si="347"/>
        <v>5961</v>
      </c>
      <c r="B5962" t="s">
        <v>760</v>
      </c>
      <c r="C5962" s="109" t="str">
        <f>IF(ISBLANK(K5962),IFERROR(VLOOKUP(I5962,FS_input_data!$C$458:$N$648,Export!J5962,FALSE),""),K5962)</f>
        <v/>
      </c>
      <c r="D5962" s="6"/>
      <c r="E5962" s="6"/>
      <c r="F5962" s="6"/>
      <c r="G5962" s="115" t="b">
        <f>VLOOKUP(I5944,FS_input_noty,J5944,FALSE)=""</f>
        <v>0</v>
      </c>
      <c r="H5962" s="6" t="s">
        <v>2189</v>
      </c>
      <c r="I5962" t="s">
        <v>1561</v>
      </c>
      <c r="J5962" t="s">
        <v>1561</v>
      </c>
      <c r="L5962">
        <f t="shared" si="346"/>
        <v>1</v>
      </c>
    </row>
    <row r="5963" spans="1:12" x14ac:dyDescent="0.35">
      <c r="A5963" s="9">
        <f t="shared" si="347"/>
        <v>5962</v>
      </c>
      <c r="B5963" t="s">
        <v>761</v>
      </c>
      <c r="C5963" s="109" t="str">
        <f>IF(ISBLANK(K5963),IFERROR(VLOOKUP(I5963,FS_input_data!$C$458:$N$648,Export!J5963,FALSE),""),K5963)</f>
        <v>i</v>
      </c>
      <c r="D5963" s="6" t="b">
        <v>0</v>
      </c>
      <c r="E5963" s="6"/>
      <c r="F5963" s="6"/>
      <c r="G5963" s="115" t="b">
        <f>VLOOKUP(I5944,FS_input_noty,J5944,FALSE)=""</f>
        <v>0</v>
      </c>
      <c r="H5963" s="6" t="s">
        <v>2189</v>
      </c>
      <c r="I5963" t="s">
        <v>2020</v>
      </c>
      <c r="J5963">
        <v>5</v>
      </c>
      <c r="L5963" s="26" t="e">
        <f t="shared" si="346"/>
        <v>#VALUE!</v>
      </c>
    </row>
    <row r="5964" spans="1:12" x14ac:dyDescent="0.35">
      <c r="A5964">
        <f t="shared" si="347"/>
        <v>5963</v>
      </c>
      <c r="B5964" t="s">
        <v>762</v>
      </c>
      <c r="C5964" s="109" t="str">
        <f>IF(ISBLANK(K5964),IFERROR(VLOOKUP(I5964,FS_input_data!$C$458:$N$648,Export!J5964,FALSE),""),K5964)</f>
        <v/>
      </c>
      <c r="D5964" s="6"/>
      <c r="E5964" s="6"/>
      <c r="F5964" s="6"/>
      <c r="G5964" s="115" t="b">
        <f>VLOOKUP(I5944,FS_input_noty,J5944,FALSE)=""</f>
        <v>0</v>
      </c>
      <c r="H5964" s="6" t="s">
        <v>2189</v>
      </c>
      <c r="I5964" t="s">
        <v>1561</v>
      </c>
      <c r="J5964" t="s">
        <v>1561</v>
      </c>
      <c r="L5964">
        <f t="shared" si="346"/>
        <v>1</v>
      </c>
    </row>
    <row r="5965" spans="1:12" x14ac:dyDescent="0.35">
      <c r="A5965">
        <f t="shared" si="347"/>
        <v>5964</v>
      </c>
      <c r="B5965" t="s">
        <v>763</v>
      </c>
      <c r="C5965" s="109" t="str">
        <f>IF(ISBLANK(K5965),IFERROR(VLOOKUP(I5965,FS_input_data!$C$458:$N$648,Export!J5965,FALSE),""),K5965)</f>
        <v/>
      </c>
      <c r="D5965" s="6"/>
      <c r="E5965" s="6"/>
      <c r="F5965" s="6"/>
      <c r="G5965" s="115" t="b">
        <f>VLOOKUP(I5944,FS_input_noty,J5944,FALSE)=""</f>
        <v>0</v>
      </c>
      <c r="H5965" s="6" t="s">
        <v>2189</v>
      </c>
      <c r="I5965" t="s">
        <v>1561</v>
      </c>
      <c r="J5965" t="s">
        <v>1561</v>
      </c>
      <c r="L5965">
        <f t="shared" si="346"/>
        <v>1</v>
      </c>
    </row>
    <row r="5966" spans="1:12" x14ac:dyDescent="0.35">
      <c r="A5966">
        <f t="shared" si="347"/>
        <v>5965</v>
      </c>
      <c r="B5966" t="s">
        <v>743</v>
      </c>
      <c r="C5966" s="109" t="str">
        <f>IF(ISBLANK(K5966),IFERROR(VLOOKUP(I5966,FS_input_data!$C$458:$N$648,Export!J5966,FALSE),""),K5966)</f>
        <v/>
      </c>
      <c r="D5966" s="6"/>
      <c r="E5966" s="6"/>
      <c r="F5966" s="6"/>
      <c r="G5966" s="115" t="b">
        <f>VLOOKUP(I5944,FS_input_noty,J5944,FALSE)=""</f>
        <v>0</v>
      </c>
      <c r="H5966" s="6" t="s">
        <v>2189</v>
      </c>
      <c r="I5966" t="s">
        <v>1561</v>
      </c>
      <c r="J5966" t="s">
        <v>1561</v>
      </c>
      <c r="L5966">
        <f t="shared" si="346"/>
        <v>1</v>
      </c>
    </row>
    <row r="5967" spans="1:12" x14ac:dyDescent="0.35">
      <c r="A5967">
        <f t="shared" si="347"/>
        <v>5966</v>
      </c>
      <c r="B5967" t="s">
        <v>744</v>
      </c>
      <c r="C5967" s="109" t="str">
        <f>IF(ISBLANK(K5967),IFERROR(VLOOKUP(I5967,FS_input_data!$C$458:$N$648,Export!J5967,FALSE),""),K5967)</f>
        <v/>
      </c>
      <c r="D5967" s="6"/>
      <c r="E5967" s="6"/>
      <c r="F5967" s="6"/>
      <c r="G5967" s="115" t="b">
        <f t="shared" ref="G5967:G5974" si="348">RP_tax</f>
        <v>1</v>
      </c>
      <c r="H5967" s="6" t="s">
        <v>2189</v>
      </c>
      <c r="I5967" t="s">
        <v>1561</v>
      </c>
      <c r="J5967" t="s">
        <v>1561</v>
      </c>
      <c r="L5967" s="26" t="e">
        <f t="shared" si="346"/>
        <v>#VALUE!</v>
      </c>
    </row>
    <row r="5968" spans="1:12" x14ac:dyDescent="0.35">
      <c r="A5968" s="9">
        <f t="shared" si="347"/>
        <v>5967</v>
      </c>
      <c r="B5968" t="s">
        <v>109</v>
      </c>
      <c r="C5968" s="109">
        <f>IF(ISBLANK(K5968),IFERROR(VLOOKUP(I5968,FS_input_data!$C$458:$N$648,Export!J5968,FALSE),""),K5968)</f>
        <v>7000</v>
      </c>
      <c r="D5968" s="6" t="b">
        <v>1</v>
      </c>
      <c r="E5968" s="6"/>
      <c r="F5968" s="6"/>
      <c r="G5968" s="115" t="b">
        <f t="shared" si="348"/>
        <v>1</v>
      </c>
      <c r="H5968" s="6" t="s">
        <v>2189</v>
      </c>
      <c r="I5968" t="s">
        <v>2020</v>
      </c>
      <c r="J5968">
        <v>10</v>
      </c>
      <c r="L5968" s="26" t="e">
        <f t="shared" si="346"/>
        <v>#VALUE!</v>
      </c>
    </row>
    <row r="5969" spans="1:12" x14ac:dyDescent="0.35">
      <c r="A5969">
        <f t="shared" si="347"/>
        <v>5968</v>
      </c>
      <c r="B5969" t="s">
        <v>110</v>
      </c>
      <c r="C5969" s="109" t="str">
        <f>IF(ISBLANK(K5969),IFERROR(VLOOKUP(I5969,FS_input_data!$C$458:$N$648,Export!J5969,FALSE),""),K5969)</f>
        <v/>
      </c>
      <c r="D5969" s="6"/>
      <c r="E5969" s="6"/>
      <c r="F5969" s="6"/>
      <c r="G5969" s="115" t="b">
        <f t="shared" si="348"/>
        <v>1</v>
      </c>
      <c r="H5969" s="6" t="s">
        <v>2189</v>
      </c>
      <c r="I5969" t="s">
        <v>1561</v>
      </c>
      <c r="J5969" t="s">
        <v>1561</v>
      </c>
      <c r="L5969">
        <f t="shared" si="346"/>
        <v>1</v>
      </c>
    </row>
    <row r="5970" spans="1:12" x14ac:dyDescent="0.35">
      <c r="A5970" s="9">
        <f t="shared" si="347"/>
        <v>5969</v>
      </c>
      <c r="B5970" t="s">
        <v>111</v>
      </c>
      <c r="C5970" s="109">
        <f>IF(ISBLANK(K5970),IFERROR(VLOOKUP(I5970,FS_input_data!$C$458:$N$648,Export!J5970,FALSE),""),K5970)</f>
        <v>3500</v>
      </c>
      <c r="D5970" s="6" t="b">
        <v>0</v>
      </c>
      <c r="E5970" s="6"/>
      <c r="F5970" s="6"/>
      <c r="G5970" s="115" t="b">
        <f t="shared" si="348"/>
        <v>1</v>
      </c>
      <c r="H5970" s="6" t="s">
        <v>2189</v>
      </c>
      <c r="I5970" t="s">
        <v>2020</v>
      </c>
      <c r="J5970">
        <v>11</v>
      </c>
      <c r="L5970" s="26" t="e">
        <f t="shared" si="346"/>
        <v>#VALUE!</v>
      </c>
    </row>
    <row r="5971" spans="1:12" x14ac:dyDescent="0.35">
      <c r="A5971">
        <f t="shared" si="347"/>
        <v>5970</v>
      </c>
      <c r="B5971" t="s">
        <v>112</v>
      </c>
      <c r="C5971" s="109" t="str">
        <f>IF(ISBLANK(K5971),IFERROR(VLOOKUP(I5971,FS_input_data!$C$458:$N$648,Export!J5971,FALSE),""),K5971)</f>
        <v/>
      </c>
      <c r="D5971" s="6"/>
      <c r="E5971" s="6"/>
      <c r="F5971" s="6"/>
      <c r="G5971" s="115" t="b">
        <f t="shared" si="348"/>
        <v>1</v>
      </c>
      <c r="H5971" s="6" t="s">
        <v>2189</v>
      </c>
      <c r="I5971" t="s">
        <v>1561</v>
      </c>
      <c r="J5971" t="s">
        <v>1561</v>
      </c>
      <c r="L5971">
        <f t="shared" si="346"/>
        <v>1</v>
      </c>
    </row>
    <row r="5972" spans="1:12" x14ac:dyDescent="0.35">
      <c r="A5972" s="9">
        <f t="shared" si="347"/>
        <v>5971</v>
      </c>
      <c r="B5972" t="s">
        <v>749</v>
      </c>
      <c r="C5972" s="109">
        <f>IF(ISBLANK(K5972),IFERROR(VLOOKUP(I5972,FS_input_data!$C$458:$N$648,Export!J5972,FALSE),""),K5972)</f>
        <v>3500</v>
      </c>
      <c r="D5972" s="6" t="b">
        <v>0</v>
      </c>
      <c r="E5972" s="6"/>
      <c r="F5972" s="6"/>
      <c r="G5972" s="115" t="b">
        <f t="shared" si="348"/>
        <v>1</v>
      </c>
      <c r="H5972" s="6" t="s">
        <v>2189</v>
      </c>
      <c r="I5972" t="s">
        <v>2020</v>
      </c>
      <c r="J5972">
        <v>12</v>
      </c>
      <c r="L5972" s="26" t="e">
        <f t="shared" si="346"/>
        <v>#VALUE!</v>
      </c>
    </row>
    <row r="5973" spans="1:12" x14ac:dyDescent="0.35">
      <c r="A5973">
        <f t="shared" si="347"/>
        <v>5972</v>
      </c>
      <c r="B5973" t="s">
        <v>750</v>
      </c>
      <c r="C5973" s="109" t="str">
        <f>IF(ISBLANK(K5973),IFERROR(VLOOKUP(I5973,FS_input_data!$C$458:$N$648,Export!J5973,FALSE),""),K5973)</f>
        <v/>
      </c>
      <c r="D5973" s="6"/>
      <c r="E5973" s="6"/>
      <c r="F5973" s="6"/>
      <c r="G5973" s="115" t="b">
        <f t="shared" si="348"/>
        <v>1</v>
      </c>
      <c r="H5973" s="6" t="s">
        <v>2189</v>
      </c>
      <c r="I5973" t="s">
        <v>1561</v>
      </c>
      <c r="J5973" t="s">
        <v>1561</v>
      </c>
      <c r="L5973">
        <f t="shared" si="346"/>
        <v>1</v>
      </c>
    </row>
    <row r="5974" spans="1:12" x14ac:dyDescent="0.35">
      <c r="A5974">
        <f t="shared" si="347"/>
        <v>5973</v>
      </c>
      <c r="B5974" t="s">
        <v>745</v>
      </c>
      <c r="C5974" s="109" t="str">
        <f>IF(ISBLANK(K5974),IFERROR(VLOOKUP(I5974,FS_input_data!$C$458:$N$648,Export!J5974,FALSE),""),K5974)</f>
        <v/>
      </c>
      <c r="D5974" s="6"/>
      <c r="E5974" s="6"/>
      <c r="F5974" s="6"/>
      <c r="G5974" s="115" t="b">
        <f t="shared" si="348"/>
        <v>1</v>
      </c>
      <c r="H5974" s="6" t="s">
        <v>2189</v>
      </c>
      <c r="I5974" t="s">
        <v>1561</v>
      </c>
      <c r="J5974" t="s">
        <v>1561</v>
      </c>
      <c r="L5974">
        <f t="shared" si="346"/>
        <v>1</v>
      </c>
    </row>
    <row r="5975" spans="1:12" x14ac:dyDescent="0.35">
      <c r="A5975">
        <f t="shared" si="347"/>
        <v>5974</v>
      </c>
      <c r="B5975" t="s">
        <v>764</v>
      </c>
      <c r="C5975" s="109" t="str">
        <f>IF(ISBLANK(K5975),IFERROR(VLOOKUP(I5975,FS_input_data!$C$458:$N$648,Export!J5975,FALSE),""),K5975)</f>
        <v/>
      </c>
      <c r="D5975" s="6"/>
      <c r="E5975" s="6"/>
      <c r="F5975" s="6"/>
      <c r="G5975" s="115" t="b">
        <f>VLOOKUP(I5944,FS_input_noty,J5944,FALSE)=""</f>
        <v>0</v>
      </c>
      <c r="H5975" s="6" t="s">
        <v>2189</v>
      </c>
      <c r="I5975" t="s">
        <v>1561</v>
      </c>
      <c r="J5975" t="s">
        <v>1561</v>
      </c>
      <c r="L5975">
        <f t="shared" si="346"/>
        <v>1</v>
      </c>
    </row>
    <row r="5976" spans="1:12" x14ac:dyDescent="0.35">
      <c r="A5976">
        <f t="shared" si="347"/>
        <v>5975</v>
      </c>
      <c r="B5976" t="s">
        <v>765</v>
      </c>
      <c r="C5976" s="109" t="str">
        <f>IF(ISBLANK(K5976),IFERROR(VLOOKUP(I5976,FS_input_data!$C$458:$N$648,Export!J5976,FALSE),""),K5976)</f>
        <v/>
      </c>
      <c r="D5976" s="6"/>
      <c r="E5976" s="6"/>
      <c r="F5976" s="6"/>
      <c r="G5976" s="115" t="b">
        <f>VLOOKUP(I5944,FS_input_noty,J5944,FALSE)=""</f>
        <v>0</v>
      </c>
      <c r="H5976" s="6" t="s">
        <v>2189</v>
      </c>
      <c r="I5976" t="s">
        <v>1561</v>
      </c>
      <c r="J5976" t="s">
        <v>1561</v>
      </c>
      <c r="L5976">
        <f t="shared" si="346"/>
        <v>1</v>
      </c>
    </row>
    <row r="5977" spans="1:12" x14ac:dyDescent="0.35">
      <c r="A5977">
        <f t="shared" si="347"/>
        <v>5976</v>
      </c>
      <c r="B5977" t="s">
        <v>752</v>
      </c>
      <c r="C5977" s="109" t="str">
        <f>IF(ISBLANK(K5977),IFERROR(VLOOKUP(I5977,FS_input_data!$C$458:$N$648,Export!J5977,FALSE),""),K5977)</f>
        <v/>
      </c>
      <c r="D5977" s="6"/>
      <c r="E5977" s="6"/>
      <c r="F5977" s="6"/>
      <c r="G5977" s="115" t="b">
        <f>VLOOKUP(I5978,FS_input_noty,J5978,FALSE)=""</f>
        <v>0</v>
      </c>
      <c r="H5977" s="6" t="s">
        <v>2189</v>
      </c>
      <c r="I5977" t="s">
        <v>1561</v>
      </c>
      <c r="J5977" t="s">
        <v>1561</v>
      </c>
      <c r="L5977" s="26" t="e">
        <f t="shared" si="346"/>
        <v>#VALUE!</v>
      </c>
    </row>
    <row r="5978" spans="1:12" x14ac:dyDescent="0.35">
      <c r="A5978" s="9">
        <f t="shared" si="347"/>
        <v>5977</v>
      </c>
      <c r="B5978" t="s">
        <v>101</v>
      </c>
      <c r="C5978" s="109" t="str">
        <f>IF(ISBLANK(K5978),IFERROR(VLOOKUP(I5978,FS_input_data!$C$458:$N$648,Export!J5978,FALSE),""),K5978)</f>
        <v>OC83</v>
      </c>
      <c r="D5978" s="6" t="b">
        <v>1</v>
      </c>
      <c r="E5978" s="6"/>
      <c r="F5978" s="6"/>
      <c r="G5978" s="115" t="b">
        <f>VLOOKUP(I5978,FS_input_noty,J5978,FALSE)=""</f>
        <v>0</v>
      </c>
      <c r="H5978" s="6" t="s">
        <v>2189</v>
      </c>
      <c r="I5978" t="s">
        <v>2022</v>
      </c>
      <c r="J5978">
        <v>6</v>
      </c>
      <c r="L5978" s="26" t="e">
        <f t="shared" si="346"/>
        <v>#VALUE!</v>
      </c>
    </row>
    <row r="5979" spans="1:12" x14ac:dyDescent="0.35">
      <c r="A5979">
        <f t="shared" si="347"/>
        <v>5978</v>
      </c>
      <c r="B5979" t="s">
        <v>102</v>
      </c>
      <c r="C5979" s="109" t="str">
        <f>IF(ISBLANK(K5979),IFERROR(VLOOKUP(I5979,FS_input_data!$C$458:$N$648,Export!J5979,FALSE),""),K5979)</f>
        <v/>
      </c>
      <c r="D5979" s="6"/>
      <c r="E5979" s="6"/>
      <c r="F5979" s="6"/>
      <c r="G5979" s="115" t="b">
        <f>VLOOKUP(I5978,FS_input_noty,J5978,FALSE)=""</f>
        <v>0</v>
      </c>
      <c r="H5979" s="6" t="s">
        <v>2189</v>
      </c>
      <c r="I5979" t="s">
        <v>1561</v>
      </c>
      <c r="J5979" t="s">
        <v>1561</v>
      </c>
      <c r="L5979">
        <f t="shared" si="346"/>
        <v>1</v>
      </c>
    </row>
    <row r="5980" spans="1:12" x14ac:dyDescent="0.35">
      <c r="A5980">
        <f t="shared" si="347"/>
        <v>5979</v>
      </c>
      <c r="B5980" t="s">
        <v>753</v>
      </c>
      <c r="C5980" s="109" t="str">
        <f>IF(ISBLANK(K5980),IFERROR(VLOOKUP(I5980,FS_input_data!$C$458:$N$648,Export!J5980,FALSE),""),K5980)</f>
        <v/>
      </c>
      <c r="D5980" s="6"/>
      <c r="E5980" s="6"/>
      <c r="F5980" s="6"/>
      <c r="G5980" s="115" t="b">
        <f>VLOOKUP(I5978,FS_input_noty,J5978,FALSE)=""</f>
        <v>0</v>
      </c>
      <c r="H5980" s="6" t="s">
        <v>2189</v>
      </c>
      <c r="I5980" t="s">
        <v>1561</v>
      </c>
      <c r="J5980" t="s">
        <v>1561</v>
      </c>
      <c r="L5980" s="26" t="e">
        <f t="shared" si="346"/>
        <v>#VALUE!</v>
      </c>
    </row>
    <row r="5981" spans="1:12" x14ac:dyDescent="0.35">
      <c r="A5981">
        <f t="shared" si="347"/>
        <v>5980</v>
      </c>
      <c r="B5981" t="s">
        <v>742</v>
      </c>
      <c r="C5981" s="109" t="str">
        <f>IF(ISBLANK(K5981),IFERROR(VLOOKUP(I5981,FS_input_data!$C$458:$N$648,Export!J5981,FALSE),""),K5981)</f>
        <v/>
      </c>
      <c r="D5981" s="6"/>
      <c r="E5981" s="6"/>
      <c r="F5981" s="6"/>
      <c r="G5981" s="115" t="b">
        <f>VLOOKUP(I5978,FS_input_noty,J5978,FALSE)=""</f>
        <v>0</v>
      </c>
      <c r="H5981" s="6" t="s">
        <v>2189</v>
      </c>
      <c r="I5981" t="s">
        <v>1561</v>
      </c>
      <c r="J5981" t="s">
        <v>1561</v>
      </c>
      <c r="L5981" s="26" t="e">
        <f t="shared" si="346"/>
        <v>#VALUE!</v>
      </c>
    </row>
    <row r="5982" spans="1:12" x14ac:dyDescent="0.35">
      <c r="A5982">
        <f t="shared" si="347"/>
        <v>5981</v>
      </c>
      <c r="B5982" t="s">
        <v>748</v>
      </c>
      <c r="C5982" s="109" t="str">
        <f>IF(ISBLANK(K5982),IFERROR(VLOOKUP(I5982,FS_input_data!$C$458:$N$648,Export!J5982,FALSE),""),K5982)</f>
        <v/>
      </c>
      <c r="D5982" s="6"/>
      <c r="E5982" s="6"/>
      <c r="F5982" s="6"/>
      <c r="G5982" s="115" t="b">
        <f>VLOOKUP(I5978,FS_input_noty,J5978,FALSE)=""</f>
        <v>0</v>
      </c>
      <c r="H5982" s="6" t="s">
        <v>2189</v>
      </c>
      <c r="I5982" t="s">
        <v>1561</v>
      </c>
      <c r="J5982" t="s">
        <v>1561</v>
      </c>
      <c r="L5982" s="26" t="e">
        <f t="shared" si="346"/>
        <v>#VALUE!</v>
      </c>
    </row>
    <row r="5983" spans="1:12" x14ac:dyDescent="0.35">
      <c r="A5983" s="9">
        <f t="shared" si="347"/>
        <v>5982</v>
      </c>
      <c r="B5983" t="s">
        <v>109</v>
      </c>
      <c r="C5983" s="109">
        <f>IF(ISBLANK(K5983),IFERROR(VLOOKUP(I5983,FS_input_data!$C$458:$N$648,Export!J5983,FALSE),""),K5983)</f>
        <v>8000</v>
      </c>
      <c r="D5983" s="6" t="b">
        <v>1</v>
      </c>
      <c r="E5983" s="6"/>
      <c r="F5983" s="6"/>
      <c r="G5983" s="115" t="b">
        <f>VLOOKUP(I5978,FS_input_noty,J5978,FALSE)=""</f>
        <v>0</v>
      </c>
      <c r="H5983" s="6" t="s">
        <v>2189</v>
      </c>
      <c r="I5983" t="s">
        <v>2022</v>
      </c>
      <c r="J5983">
        <v>7</v>
      </c>
      <c r="L5983" s="26" t="e">
        <f t="shared" si="346"/>
        <v>#VALUE!</v>
      </c>
    </row>
    <row r="5984" spans="1:12" x14ac:dyDescent="0.35">
      <c r="A5984">
        <f t="shared" si="347"/>
        <v>5983</v>
      </c>
      <c r="B5984" t="s">
        <v>110</v>
      </c>
      <c r="C5984" s="109" t="str">
        <f>IF(ISBLANK(K5984),IFERROR(VLOOKUP(I5984,FS_input_data!$C$458:$N$648,Export!J5984,FALSE),""),K5984)</f>
        <v/>
      </c>
      <c r="D5984" s="6"/>
      <c r="E5984" s="6"/>
      <c r="F5984" s="6"/>
      <c r="G5984" s="115" t="b">
        <f>VLOOKUP(I5978,FS_input_noty,J5978,FALSE)=""</f>
        <v>0</v>
      </c>
      <c r="H5984" s="6" t="s">
        <v>2189</v>
      </c>
      <c r="I5984" t="s">
        <v>1561</v>
      </c>
      <c r="J5984" t="s">
        <v>1561</v>
      </c>
      <c r="L5984">
        <f t="shared" si="346"/>
        <v>1</v>
      </c>
    </row>
    <row r="5985" spans="1:12" x14ac:dyDescent="0.35">
      <c r="A5985" s="9">
        <f t="shared" si="347"/>
        <v>5984</v>
      </c>
      <c r="B5985" t="s">
        <v>111</v>
      </c>
      <c r="C5985" s="109">
        <f>IF(ISBLANK(K5985),IFERROR(VLOOKUP(I5985,FS_input_data!$C$458:$N$648,Export!J5985,FALSE),""),K5985)</f>
        <v>4000</v>
      </c>
      <c r="D5985" s="6" t="b">
        <v>0</v>
      </c>
      <c r="E5985" s="6"/>
      <c r="F5985" s="6"/>
      <c r="G5985" s="115" t="b">
        <f>VLOOKUP(I5978,FS_input_noty,J5978,TRUE)=""</f>
        <v>0</v>
      </c>
      <c r="H5985" s="6" t="s">
        <v>2189</v>
      </c>
      <c r="I5985" t="s">
        <v>2022</v>
      </c>
      <c r="J5985">
        <v>8</v>
      </c>
      <c r="L5985" s="26" t="e">
        <f t="shared" si="346"/>
        <v>#VALUE!</v>
      </c>
    </row>
    <row r="5986" spans="1:12" x14ac:dyDescent="0.35">
      <c r="A5986">
        <f t="shared" si="347"/>
        <v>5985</v>
      </c>
      <c r="B5986" t="s">
        <v>112</v>
      </c>
      <c r="C5986" s="109" t="str">
        <f>IF(ISBLANK(K5986),IFERROR(VLOOKUP(I5986,FS_input_data!$C$458:$N$648,Export!J5986,FALSE),""),K5986)</f>
        <v/>
      </c>
      <c r="D5986" s="6"/>
      <c r="E5986" s="6"/>
      <c r="F5986" s="6"/>
      <c r="G5986" s="115" t="b">
        <f>VLOOKUP(I5978,FS_input_noty,J5978,FALSE)=""</f>
        <v>0</v>
      </c>
      <c r="H5986" s="6" t="s">
        <v>2189</v>
      </c>
      <c r="I5986" t="s">
        <v>1561</v>
      </c>
      <c r="J5986" t="s">
        <v>1561</v>
      </c>
      <c r="L5986">
        <f t="shared" si="346"/>
        <v>1</v>
      </c>
    </row>
    <row r="5987" spans="1:12" x14ac:dyDescent="0.35">
      <c r="A5987" s="9">
        <f t="shared" si="347"/>
        <v>5986</v>
      </c>
      <c r="B5987" t="s">
        <v>749</v>
      </c>
      <c r="C5987" s="109">
        <f>IF(ISBLANK(K5987),IFERROR(VLOOKUP(I5987,FS_input_data!$C$458:$N$648,Export!J5987,FALSE),""),K5987)</f>
        <v>4000</v>
      </c>
      <c r="D5987" s="6" t="b">
        <v>0</v>
      </c>
      <c r="E5987" s="6"/>
      <c r="F5987" s="6"/>
      <c r="G5987" s="115" t="b">
        <f>VLOOKUP(I5978,FS_input_noty,J5978,FALSE)=""</f>
        <v>0</v>
      </c>
      <c r="H5987" s="6" t="s">
        <v>2189</v>
      </c>
      <c r="I5987" t="s">
        <v>2022</v>
      </c>
      <c r="J5987">
        <v>9</v>
      </c>
      <c r="L5987" s="26" t="e">
        <f t="shared" si="346"/>
        <v>#VALUE!</v>
      </c>
    </row>
    <row r="5988" spans="1:12" x14ac:dyDescent="0.35">
      <c r="A5988">
        <f t="shared" si="347"/>
        <v>5987</v>
      </c>
      <c r="B5988" t="s">
        <v>750</v>
      </c>
      <c r="C5988" s="109" t="str">
        <f>IF(ISBLANK(K5988),IFERROR(VLOOKUP(I5988,FS_input_data!$C$458:$N$648,Export!J5988,FALSE),""),K5988)</f>
        <v/>
      </c>
      <c r="D5988" s="6"/>
      <c r="E5988" s="6"/>
      <c r="F5988" s="6"/>
      <c r="G5988" s="115" t="b">
        <f>VLOOKUP(I5978,FS_input_noty,J5978,FALSE)=""</f>
        <v>0</v>
      </c>
      <c r="H5988" s="6" t="s">
        <v>2189</v>
      </c>
      <c r="I5988" t="s">
        <v>1561</v>
      </c>
      <c r="J5988" t="s">
        <v>1561</v>
      </c>
      <c r="L5988">
        <f t="shared" si="346"/>
        <v>1</v>
      </c>
    </row>
    <row r="5989" spans="1:12" x14ac:dyDescent="0.35">
      <c r="A5989">
        <f t="shared" si="347"/>
        <v>5988</v>
      </c>
      <c r="B5989" t="s">
        <v>751</v>
      </c>
      <c r="C5989" s="109" t="str">
        <f>IF(ISBLANK(K5989),IFERROR(VLOOKUP(I5989,FS_input_data!$C$458:$N$648,Export!J5989,FALSE),""),K5989)</f>
        <v/>
      </c>
      <c r="D5989" s="6"/>
      <c r="E5989" s="6"/>
      <c r="F5989" s="6"/>
      <c r="G5989" s="115" t="b">
        <f>VLOOKUP(I5978,FS_input_noty,J5978,FALSE)=""</f>
        <v>0</v>
      </c>
      <c r="H5989" s="6" t="s">
        <v>2189</v>
      </c>
      <c r="I5989" t="s">
        <v>1561</v>
      </c>
      <c r="J5989" t="s">
        <v>1561</v>
      </c>
      <c r="L5989">
        <f t="shared" si="346"/>
        <v>1</v>
      </c>
    </row>
    <row r="5990" spans="1:12" x14ac:dyDescent="0.35">
      <c r="A5990">
        <f t="shared" si="347"/>
        <v>5989</v>
      </c>
      <c r="B5990" t="s">
        <v>754</v>
      </c>
      <c r="C5990" s="109" t="str">
        <f>IF(ISBLANK(K5990),IFERROR(VLOOKUP(I5990,FS_input_data!$C$458:$N$648,Export!J5990,FALSE),""),K5990)</f>
        <v/>
      </c>
      <c r="D5990" s="6"/>
      <c r="E5990" s="6"/>
      <c r="F5990" s="6"/>
      <c r="G5990" s="115" t="b">
        <f>VLOOKUP(I5978,FS_input_noty,J5978,FALSE)=""</f>
        <v>0</v>
      </c>
      <c r="H5990" s="6" t="s">
        <v>2189</v>
      </c>
      <c r="I5990" t="s">
        <v>1561</v>
      </c>
      <c r="J5990" t="s">
        <v>1561</v>
      </c>
      <c r="L5990" s="26" t="e">
        <f t="shared" si="346"/>
        <v>#VALUE!</v>
      </c>
    </row>
    <row r="5991" spans="1:12" x14ac:dyDescent="0.35">
      <c r="A5991" s="9">
        <f t="shared" si="347"/>
        <v>5990</v>
      </c>
      <c r="B5991" t="s">
        <v>755</v>
      </c>
      <c r="C5991" s="109">
        <f>IF(ISBLANK(K5991),IFERROR(VLOOKUP(I5991,FS_input_data!$C$458:$N$648,Export!J5991,FALSE),""),K5991)</f>
        <v>106</v>
      </c>
      <c r="D5991" s="6" t="b">
        <v>1</v>
      </c>
      <c r="E5991" s="6"/>
      <c r="F5991" s="6"/>
      <c r="G5991" s="115" t="b">
        <f>VLOOKUP(I5978,FS_input_noty,J5978,FALSE)=""</f>
        <v>0</v>
      </c>
      <c r="H5991" s="6" t="s">
        <v>2189</v>
      </c>
      <c r="I5991" t="s">
        <v>2022</v>
      </c>
      <c r="J5991">
        <v>2</v>
      </c>
      <c r="L5991" s="26" t="e">
        <f t="shared" si="346"/>
        <v>#VALUE!</v>
      </c>
    </row>
    <row r="5992" spans="1:12" x14ac:dyDescent="0.35">
      <c r="A5992">
        <f t="shared" si="347"/>
        <v>5991</v>
      </c>
      <c r="B5992" t="s">
        <v>756</v>
      </c>
      <c r="C5992" s="109" t="str">
        <f>IF(ISBLANK(K5992),IFERROR(VLOOKUP(I5992,FS_input_data!$C$458:$N$648,Export!J5992,FALSE),""),K5992)</f>
        <v/>
      </c>
      <c r="D5992" s="6"/>
      <c r="E5992" s="6"/>
      <c r="F5992" s="6"/>
      <c r="G5992" s="115" t="b">
        <f>VLOOKUP(I5978,FS_input_noty,J5978,FALSE)=""</f>
        <v>0</v>
      </c>
      <c r="H5992" s="6" t="s">
        <v>2189</v>
      </c>
      <c r="I5992" t="s">
        <v>1561</v>
      </c>
      <c r="J5992" t="s">
        <v>1561</v>
      </c>
      <c r="L5992">
        <f t="shared" si="346"/>
        <v>1</v>
      </c>
    </row>
    <row r="5993" spans="1:12" x14ac:dyDescent="0.35">
      <c r="A5993" s="9">
        <f t="shared" si="347"/>
        <v>5992</v>
      </c>
      <c r="B5993" t="s">
        <v>757</v>
      </c>
      <c r="C5993" s="109">
        <f>IF(ISBLANK(K5993),IFERROR(VLOOKUP(I5993,FS_input_data!$C$458:$N$648,Export!J5993,FALSE),""),K5993)</f>
        <v>206</v>
      </c>
      <c r="D5993" s="6" t="b">
        <v>0</v>
      </c>
      <c r="E5993" s="6"/>
      <c r="F5993" s="6"/>
      <c r="G5993" s="115" t="b">
        <f>VLOOKUP(I5978,FS_input_noty,J5978,FALSE)=""</f>
        <v>0</v>
      </c>
      <c r="H5993" s="6" t="s">
        <v>2189</v>
      </c>
      <c r="I5993" t="s">
        <v>2022</v>
      </c>
      <c r="J5993">
        <v>3</v>
      </c>
      <c r="L5993" s="26" t="e">
        <f t="shared" si="346"/>
        <v>#VALUE!</v>
      </c>
    </row>
    <row r="5994" spans="1:12" x14ac:dyDescent="0.35">
      <c r="A5994">
        <f t="shared" si="347"/>
        <v>5993</v>
      </c>
      <c r="B5994" t="s">
        <v>758</v>
      </c>
      <c r="C5994" s="109" t="str">
        <f>IF(ISBLANK(K5994),IFERROR(VLOOKUP(I5994,FS_input_data!$C$458:$N$648,Export!J5994,FALSE),""),K5994)</f>
        <v/>
      </c>
      <c r="D5994" s="6"/>
      <c r="E5994" s="6"/>
      <c r="F5994" s="6"/>
      <c r="G5994" s="115" t="b">
        <f>VLOOKUP(I5978,FS_input_noty,J5978,FALSE)=""</f>
        <v>0</v>
      </c>
      <c r="H5994" s="6" t="s">
        <v>2189</v>
      </c>
      <c r="I5994" t="s">
        <v>1561</v>
      </c>
      <c r="J5994" t="s">
        <v>1561</v>
      </c>
      <c r="L5994">
        <f t="shared" si="346"/>
        <v>1</v>
      </c>
    </row>
    <row r="5995" spans="1:12" x14ac:dyDescent="0.35">
      <c r="A5995" s="9">
        <f t="shared" si="347"/>
        <v>5994</v>
      </c>
      <c r="B5995" t="s">
        <v>759</v>
      </c>
      <c r="C5995" s="109">
        <f>IF(ISBLANK(K5995),IFERROR(VLOOKUP(I5995,FS_input_data!$C$458:$N$648,Export!J5995,FALSE),""),K5995)</f>
        <v>306</v>
      </c>
      <c r="D5995" s="6" t="b">
        <v>0</v>
      </c>
      <c r="E5995" s="6"/>
      <c r="F5995" s="6"/>
      <c r="G5995" s="115" t="b">
        <f>VLOOKUP(I5978,FS_input_noty,J5978,FALSE)=""</f>
        <v>0</v>
      </c>
      <c r="H5995" s="6" t="s">
        <v>2189</v>
      </c>
      <c r="I5995" t="s">
        <v>2022</v>
      </c>
      <c r="J5995">
        <v>4</v>
      </c>
      <c r="L5995" s="26" t="e">
        <f t="shared" si="346"/>
        <v>#VALUE!</v>
      </c>
    </row>
    <row r="5996" spans="1:12" x14ac:dyDescent="0.35">
      <c r="A5996">
        <f t="shared" si="347"/>
        <v>5995</v>
      </c>
      <c r="B5996" t="s">
        <v>760</v>
      </c>
      <c r="C5996" s="109" t="str">
        <f>IF(ISBLANK(K5996),IFERROR(VLOOKUP(I5996,FS_input_data!$C$458:$N$648,Export!J5996,FALSE),""),K5996)</f>
        <v/>
      </c>
      <c r="D5996" s="6"/>
      <c r="E5996" s="6"/>
      <c r="F5996" s="6"/>
      <c r="G5996" s="115" t="b">
        <f>VLOOKUP(I5978,FS_input_noty,J5978,FALSE)=""</f>
        <v>0</v>
      </c>
      <c r="H5996" s="6" t="s">
        <v>2189</v>
      </c>
      <c r="I5996" t="s">
        <v>1561</v>
      </c>
      <c r="J5996" t="s">
        <v>1561</v>
      </c>
      <c r="L5996">
        <f t="shared" si="346"/>
        <v>1</v>
      </c>
    </row>
    <row r="5997" spans="1:12" x14ac:dyDescent="0.35">
      <c r="A5997" s="9">
        <f t="shared" si="347"/>
        <v>5996</v>
      </c>
      <c r="B5997" t="s">
        <v>761</v>
      </c>
      <c r="C5997" s="109" t="str">
        <f>IF(ISBLANK(K5997),IFERROR(VLOOKUP(I5997,FS_input_data!$C$458:$N$648,Export!J5997,FALSE),""),K5997)</f>
        <v>o</v>
      </c>
      <c r="D5997" s="6" t="b">
        <v>0</v>
      </c>
      <c r="E5997" s="6"/>
      <c r="F5997" s="6"/>
      <c r="G5997" s="115" t="b">
        <f>VLOOKUP(I5978,FS_input_noty,J5978,FALSE)=""</f>
        <v>0</v>
      </c>
      <c r="H5997" s="6" t="s">
        <v>2189</v>
      </c>
      <c r="I5997" t="s">
        <v>2022</v>
      </c>
      <c r="J5997">
        <v>5</v>
      </c>
      <c r="L5997" s="26" t="e">
        <f t="shared" si="346"/>
        <v>#VALUE!</v>
      </c>
    </row>
    <row r="5998" spans="1:12" x14ac:dyDescent="0.35">
      <c r="A5998">
        <f t="shared" si="347"/>
        <v>5997</v>
      </c>
      <c r="B5998" t="s">
        <v>762</v>
      </c>
      <c r="C5998" s="109" t="str">
        <f>IF(ISBLANK(K5998),IFERROR(VLOOKUP(I5998,FS_input_data!$C$458:$N$648,Export!J5998,FALSE),""),K5998)</f>
        <v/>
      </c>
      <c r="D5998" s="6"/>
      <c r="E5998" s="6"/>
      <c r="F5998" s="6"/>
      <c r="G5998" s="115" t="b">
        <f>VLOOKUP(I5978,FS_input_noty,J5978,FALSE)=""</f>
        <v>0</v>
      </c>
      <c r="H5998" s="6" t="s">
        <v>2189</v>
      </c>
      <c r="I5998" t="s">
        <v>1561</v>
      </c>
      <c r="J5998" t="s">
        <v>1561</v>
      </c>
      <c r="L5998">
        <f t="shared" si="346"/>
        <v>1</v>
      </c>
    </row>
    <row r="5999" spans="1:12" x14ac:dyDescent="0.35">
      <c r="A5999">
        <f t="shared" si="347"/>
        <v>5998</v>
      </c>
      <c r="B5999" t="s">
        <v>763</v>
      </c>
      <c r="C5999" s="109" t="str">
        <f>IF(ISBLANK(K5999),IFERROR(VLOOKUP(I5999,FS_input_data!$C$458:$N$648,Export!J5999,FALSE),""),K5999)</f>
        <v/>
      </c>
      <c r="D5999" s="6"/>
      <c r="E5999" s="6"/>
      <c r="F5999" s="6"/>
      <c r="G5999" s="115" t="b">
        <f>VLOOKUP(I5978,FS_input_noty,J5978,FALSE)=""</f>
        <v>0</v>
      </c>
      <c r="H5999" s="6" t="s">
        <v>2189</v>
      </c>
      <c r="I5999" t="s">
        <v>1561</v>
      </c>
      <c r="J5999" t="s">
        <v>1561</v>
      </c>
      <c r="L5999">
        <f t="shared" si="346"/>
        <v>1</v>
      </c>
    </row>
    <row r="6000" spans="1:12" x14ac:dyDescent="0.35">
      <c r="A6000">
        <f t="shared" si="347"/>
        <v>5999</v>
      </c>
      <c r="B6000" t="s">
        <v>743</v>
      </c>
      <c r="C6000" s="109" t="str">
        <f>IF(ISBLANK(K6000),IFERROR(VLOOKUP(I6000,FS_input_data!$C$458:$N$648,Export!J6000,FALSE),""),K6000)</f>
        <v/>
      </c>
      <c r="D6000" s="6"/>
      <c r="E6000" s="6"/>
      <c r="F6000" s="6"/>
      <c r="G6000" s="115" t="b">
        <f>VLOOKUP(I5978,FS_input_noty,J5978,FALSE)=""</f>
        <v>0</v>
      </c>
      <c r="H6000" s="6" t="s">
        <v>2189</v>
      </c>
      <c r="I6000" t="s">
        <v>1561</v>
      </c>
      <c r="J6000" t="s">
        <v>1561</v>
      </c>
      <c r="L6000">
        <f t="shared" si="346"/>
        <v>1</v>
      </c>
    </row>
    <row r="6001" spans="1:12" x14ac:dyDescent="0.35">
      <c r="A6001">
        <f t="shared" si="347"/>
        <v>6000</v>
      </c>
      <c r="B6001" t="s">
        <v>744</v>
      </c>
      <c r="C6001" s="109" t="str">
        <f>IF(ISBLANK(K6001),IFERROR(VLOOKUP(I6001,FS_input_data!$C$458:$N$648,Export!J6001,FALSE),""),K6001)</f>
        <v/>
      </c>
      <c r="D6001" s="6"/>
      <c r="E6001" s="6"/>
      <c r="F6001" s="6"/>
      <c r="G6001" s="115" t="b">
        <f t="shared" ref="G6001:G6008" si="349">RP_tax</f>
        <v>1</v>
      </c>
      <c r="H6001" s="6" t="s">
        <v>2189</v>
      </c>
      <c r="I6001" t="s">
        <v>1561</v>
      </c>
      <c r="J6001" t="s">
        <v>1561</v>
      </c>
      <c r="L6001" s="26" t="e">
        <f t="shared" si="346"/>
        <v>#VALUE!</v>
      </c>
    </row>
    <row r="6002" spans="1:12" x14ac:dyDescent="0.35">
      <c r="A6002" s="9">
        <f t="shared" si="347"/>
        <v>6001</v>
      </c>
      <c r="B6002" t="s">
        <v>109</v>
      </c>
      <c r="C6002" s="109">
        <f>IF(ISBLANK(K6002),IFERROR(VLOOKUP(I6002,FS_input_data!$C$458:$N$648,Export!J6002,FALSE),""),K6002)</f>
        <v>8000</v>
      </c>
      <c r="D6002" s="6" t="b">
        <v>1</v>
      </c>
      <c r="E6002" s="6"/>
      <c r="F6002" s="6"/>
      <c r="G6002" s="115" t="b">
        <f t="shared" si="349"/>
        <v>1</v>
      </c>
      <c r="H6002" s="6" t="s">
        <v>2189</v>
      </c>
      <c r="I6002" t="s">
        <v>2022</v>
      </c>
      <c r="J6002">
        <v>10</v>
      </c>
      <c r="L6002" s="26" t="e">
        <f t="shared" si="346"/>
        <v>#VALUE!</v>
      </c>
    </row>
    <row r="6003" spans="1:12" x14ac:dyDescent="0.35">
      <c r="A6003">
        <f t="shared" si="347"/>
        <v>6002</v>
      </c>
      <c r="B6003" t="s">
        <v>110</v>
      </c>
      <c r="C6003" s="109" t="str">
        <f>IF(ISBLANK(K6003),IFERROR(VLOOKUP(I6003,FS_input_data!$C$458:$N$648,Export!J6003,FALSE),""),K6003)</f>
        <v/>
      </c>
      <c r="D6003" s="6"/>
      <c r="E6003" s="6"/>
      <c r="F6003" s="6"/>
      <c r="G6003" s="115" t="b">
        <f t="shared" si="349"/>
        <v>1</v>
      </c>
      <c r="H6003" s="6" t="s">
        <v>2189</v>
      </c>
      <c r="I6003" t="s">
        <v>1561</v>
      </c>
      <c r="J6003" t="s">
        <v>1561</v>
      </c>
      <c r="L6003">
        <f t="shared" si="346"/>
        <v>1</v>
      </c>
    </row>
    <row r="6004" spans="1:12" x14ac:dyDescent="0.35">
      <c r="A6004" s="9">
        <f t="shared" si="347"/>
        <v>6003</v>
      </c>
      <c r="B6004" t="s">
        <v>111</v>
      </c>
      <c r="C6004" s="109">
        <f>IF(ISBLANK(K6004),IFERROR(VLOOKUP(I6004,FS_input_data!$C$458:$N$648,Export!J6004,FALSE),""),K6004)</f>
        <v>4000</v>
      </c>
      <c r="D6004" s="6" t="b">
        <v>0</v>
      </c>
      <c r="E6004" s="6"/>
      <c r="F6004" s="6"/>
      <c r="G6004" s="115" t="b">
        <f t="shared" si="349"/>
        <v>1</v>
      </c>
      <c r="H6004" s="6" t="s">
        <v>2189</v>
      </c>
      <c r="I6004" t="s">
        <v>2022</v>
      </c>
      <c r="J6004">
        <v>11</v>
      </c>
      <c r="L6004" s="26" t="e">
        <f t="shared" si="346"/>
        <v>#VALUE!</v>
      </c>
    </row>
    <row r="6005" spans="1:12" x14ac:dyDescent="0.35">
      <c r="A6005">
        <f t="shared" si="347"/>
        <v>6004</v>
      </c>
      <c r="B6005" t="s">
        <v>112</v>
      </c>
      <c r="C6005" s="109" t="str">
        <f>IF(ISBLANK(K6005),IFERROR(VLOOKUP(I6005,FS_input_data!$C$458:$N$648,Export!J6005,FALSE),""),K6005)</f>
        <v/>
      </c>
      <c r="D6005" s="6"/>
      <c r="E6005" s="6"/>
      <c r="F6005" s="6"/>
      <c r="G6005" s="115" t="b">
        <f t="shared" si="349"/>
        <v>1</v>
      </c>
      <c r="H6005" s="6" t="s">
        <v>2189</v>
      </c>
      <c r="I6005" t="s">
        <v>1561</v>
      </c>
      <c r="J6005" t="s">
        <v>1561</v>
      </c>
      <c r="L6005">
        <f t="shared" si="346"/>
        <v>1</v>
      </c>
    </row>
    <row r="6006" spans="1:12" x14ac:dyDescent="0.35">
      <c r="A6006" s="9">
        <f t="shared" si="347"/>
        <v>6005</v>
      </c>
      <c r="B6006" t="s">
        <v>749</v>
      </c>
      <c r="C6006" s="109">
        <f>IF(ISBLANK(K6006),IFERROR(VLOOKUP(I6006,FS_input_data!$C$458:$N$648,Export!J6006,FALSE),""),K6006)</f>
        <v>4000</v>
      </c>
      <c r="D6006" s="6" t="b">
        <v>0</v>
      </c>
      <c r="E6006" s="6"/>
      <c r="F6006" s="6"/>
      <c r="G6006" s="115" t="b">
        <f t="shared" si="349"/>
        <v>1</v>
      </c>
      <c r="H6006" s="6" t="s">
        <v>2189</v>
      </c>
      <c r="I6006" t="s">
        <v>2022</v>
      </c>
      <c r="J6006">
        <v>12</v>
      </c>
      <c r="L6006" s="26" t="e">
        <f t="shared" si="346"/>
        <v>#VALUE!</v>
      </c>
    </row>
    <row r="6007" spans="1:12" x14ac:dyDescent="0.35">
      <c r="A6007">
        <f t="shared" si="347"/>
        <v>6006</v>
      </c>
      <c r="B6007" t="s">
        <v>750</v>
      </c>
      <c r="C6007" s="109" t="str">
        <f>IF(ISBLANK(K6007),IFERROR(VLOOKUP(I6007,FS_input_data!$C$458:$N$648,Export!J6007,FALSE),""),K6007)</f>
        <v/>
      </c>
      <c r="D6007" s="6"/>
      <c r="E6007" s="6"/>
      <c r="F6007" s="6"/>
      <c r="G6007" s="115" t="b">
        <f t="shared" si="349"/>
        <v>1</v>
      </c>
      <c r="H6007" s="6" t="s">
        <v>2189</v>
      </c>
      <c r="I6007" t="s">
        <v>1561</v>
      </c>
      <c r="J6007" t="s">
        <v>1561</v>
      </c>
      <c r="L6007">
        <f t="shared" si="346"/>
        <v>1</v>
      </c>
    </row>
    <row r="6008" spans="1:12" x14ac:dyDescent="0.35">
      <c r="A6008">
        <f t="shared" si="347"/>
        <v>6007</v>
      </c>
      <c r="B6008" t="s">
        <v>745</v>
      </c>
      <c r="C6008" s="109" t="str">
        <f>IF(ISBLANK(K6008),IFERROR(VLOOKUP(I6008,FS_input_data!$C$458:$N$648,Export!J6008,FALSE),""),K6008)</f>
        <v/>
      </c>
      <c r="D6008" s="6"/>
      <c r="E6008" s="6"/>
      <c r="F6008" s="6"/>
      <c r="G6008" s="115" t="b">
        <f t="shared" si="349"/>
        <v>1</v>
      </c>
      <c r="H6008" s="6" t="s">
        <v>2189</v>
      </c>
      <c r="I6008" t="s">
        <v>1561</v>
      </c>
      <c r="J6008" t="s">
        <v>1561</v>
      </c>
      <c r="L6008">
        <f t="shared" si="346"/>
        <v>1</v>
      </c>
    </row>
    <row r="6009" spans="1:12" x14ac:dyDescent="0.35">
      <c r="A6009">
        <f t="shared" si="347"/>
        <v>6008</v>
      </c>
      <c r="B6009" t="s">
        <v>764</v>
      </c>
      <c r="C6009" s="109" t="str">
        <f>IF(ISBLANK(K6009),IFERROR(VLOOKUP(I6009,FS_input_data!$C$458:$N$648,Export!J6009,FALSE),""),K6009)</f>
        <v/>
      </c>
      <c r="D6009" s="6"/>
      <c r="E6009" s="6"/>
      <c r="F6009" s="6"/>
      <c r="G6009" s="115" t="b">
        <f>VLOOKUP(I5978,FS_input_noty,J5978,FALSE)=""</f>
        <v>0</v>
      </c>
      <c r="H6009" s="6" t="s">
        <v>2189</v>
      </c>
      <c r="I6009" t="s">
        <v>1561</v>
      </c>
      <c r="J6009" t="s">
        <v>1561</v>
      </c>
      <c r="L6009">
        <f t="shared" si="346"/>
        <v>1</v>
      </c>
    </row>
    <row r="6010" spans="1:12" x14ac:dyDescent="0.35">
      <c r="A6010">
        <f t="shared" si="347"/>
        <v>6009</v>
      </c>
      <c r="B6010" t="s">
        <v>765</v>
      </c>
      <c r="C6010" s="109" t="str">
        <f>IF(ISBLANK(K6010),IFERROR(VLOOKUP(I6010,FS_input_data!$C$458:$N$648,Export!J6010,FALSE),""),K6010)</f>
        <v/>
      </c>
      <c r="D6010" s="6"/>
      <c r="E6010" s="6"/>
      <c r="F6010" s="6"/>
      <c r="G6010" s="115" t="b">
        <f>VLOOKUP(I5978,FS_input_noty,J5978,FALSE)=""</f>
        <v>0</v>
      </c>
      <c r="H6010" s="6" t="s">
        <v>2189</v>
      </c>
      <c r="I6010" t="s">
        <v>1561</v>
      </c>
      <c r="J6010" t="s">
        <v>1561</v>
      </c>
      <c r="L6010">
        <f t="shared" si="346"/>
        <v>1</v>
      </c>
    </row>
    <row r="6011" spans="1:12" x14ac:dyDescent="0.35">
      <c r="A6011">
        <f t="shared" si="347"/>
        <v>6010</v>
      </c>
      <c r="B6011" t="s">
        <v>752</v>
      </c>
      <c r="C6011" s="109" t="str">
        <f>IF(ISBLANK(K6011),IFERROR(VLOOKUP(I6011,FS_input_data!$C$458:$N$648,Export!J6011,FALSE),""),K6011)</f>
        <v/>
      </c>
      <c r="D6011" s="6"/>
      <c r="E6011" s="6"/>
      <c r="F6011" s="6"/>
      <c r="G6011" s="115" t="b">
        <f>VLOOKUP(I6012,FS_input_noty,J6012,FALSE)=""</f>
        <v>0</v>
      </c>
      <c r="H6011" s="6" t="s">
        <v>2189</v>
      </c>
      <c r="I6011" t="s">
        <v>1561</v>
      </c>
      <c r="J6011" t="s">
        <v>1561</v>
      </c>
      <c r="L6011" s="26" t="e">
        <f t="shared" si="346"/>
        <v>#VALUE!</v>
      </c>
    </row>
    <row r="6012" spans="1:12" x14ac:dyDescent="0.35">
      <c r="A6012" s="9">
        <f t="shared" si="347"/>
        <v>6011</v>
      </c>
      <c r="B6012" t="s">
        <v>101</v>
      </c>
      <c r="C6012" s="109" t="str">
        <f>IF(ISBLANK(K6012),IFERROR(VLOOKUP(I6012,FS_input_data!$C$458:$N$648,Export!J6012,FALSE),""),K6012)</f>
        <v>OC84</v>
      </c>
      <c r="D6012" s="6" t="b">
        <v>1</v>
      </c>
      <c r="E6012" s="6"/>
      <c r="F6012" s="6"/>
      <c r="G6012" s="115" t="b">
        <f>VLOOKUP(I6012,FS_input_noty,J6012,FALSE)=""</f>
        <v>0</v>
      </c>
      <c r="H6012" s="6" t="s">
        <v>2189</v>
      </c>
      <c r="I6012" t="s">
        <v>2024</v>
      </c>
      <c r="J6012">
        <v>6</v>
      </c>
      <c r="L6012" s="26" t="e">
        <f t="shared" si="346"/>
        <v>#VALUE!</v>
      </c>
    </row>
    <row r="6013" spans="1:12" x14ac:dyDescent="0.35">
      <c r="A6013">
        <f t="shared" si="347"/>
        <v>6012</v>
      </c>
      <c r="B6013" t="s">
        <v>102</v>
      </c>
      <c r="C6013" s="109" t="str">
        <f>IF(ISBLANK(K6013),IFERROR(VLOOKUP(I6013,FS_input_data!$C$458:$N$648,Export!J6013,FALSE),""),K6013)</f>
        <v/>
      </c>
      <c r="D6013" s="6"/>
      <c r="E6013" s="6"/>
      <c r="F6013" s="6"/>
      <c r="G6013" s="115" t="b">
        <f>VLOOKUP(I6012,FS_input_noty,J6012,FALSE)=""</f>
        <v>0</v>
      </c>
      <c r="H6013" s="6" t="s">
        <v>2189</v>
      </c>
      <c r="I6013" t="s">
        <v>1561</v>
      </c>
      <c r="J6013" t="s">
        <v>1561</v>
      </c>
      <c r="L6013">
        <f t="shared" si="346"/>
        <v>1</v>
      </c>
    </row>
    <row r="6014" spans="1:12" x14ac:dyDescent="0.35">
      <c r="A6014">
        <f t="shared" si="347"/>
        <v>6013</v>
      </c>
      <c r="B6014" t="s">
        <v>753</v>
      </c>
      <c r="C6014" s="109" t="str">
        <f>IF(ISBLANK(K6014),IFERROR(VLOOKUP(I6014,FS_input_data!$C$458:$N$648,Export!J6014,FALSE),""),K6014)</f>
        <v/>
      </c>
      <c r="D6014" s="6"/>
      <c r="E6014" s="6"/>
      <c r="F6014" s="6"/>
      <c r="G6014" s="115" t="b">
        <f>VLOOKUP(I6012,FS_input_noty,J6012,FALSE)=""</f>
        <v>0</v>
      </c>
      <c r="H6014" s="6" t="s">
        <v>2189</v>
      </c>
      <c r="I6014" t="s">
        <v>1561</v>
      </c>
      <c r="J6014" t="s">
        <v>1561</v>
      </c>
      <c r="L6014" s="26" t="e">
        <f t="shared" si="346"/>
        <v>#VALUE!</v>
      </c>
    </row>
    <row r="6015" spans="1:12" x14ac:dyDescent="0.35">
      <c r="A6015">
        <f t="shared" si="347"/>
        <v>6014</v>
      </c>
      <c r="B6015" t="s">
        <v>742</v>
      </c>
      <c r="C6015" s="109" t="str">
        <f>IF(ISBLANK(K6015),IFERROR(VLOOKUP(I6015,FS_input_data!$C$458:$N$648,Export!J6015,FALSE),""),K6015)</f>
        <v/>
      </c>
      <c r="D6015" s="6"/>
      <c r="E6015" s="6"/>
      <c r="F6015" s="6"/>
      <c r="G6015" s="115" t="b">
        <f>VLOOKUP(I6012,FS_input_noty,J6012,FALSE)=""</f>
        <v>0</v>
      </c>
      <c r="H6015" s="6" t="s">
        <v>2189</v>
      </c>
      <c r="I6015" t="s">
        <v>1561</v>
      </c>
      <c r="J6015" t="s">
        <v>1561</v>
      </c>
      <c r="L6015" s="26" t="e">
        <f t="shared" si="346"/>
        <v>#VALUE!</v>
      </c>
    </row>
    <row r="6016" spans="1:12" x14ac:dyDescent="0.35">
      <c r="A6016">
        <f t="shared" si="347"/>
        <v>6015</v>
      </c>
      <c r="B6016" t="s">
        <v>748</v>
      </c>
      <c r="C6016" s="109" t="str">
        <f>IF(ISBLANK(K6016),IFERROR(VLOOKUP(I6016,FS_input_data!$C$458:$N$648,Export!J6016,FALSE),""),K6016)</f>
        <v/>
      </c>
      <c r="D6016" s="6"/>
      <c r="E6016" s="6"/>
      <c r="F6016" s="6"/>
      <c r="G6016" s="115" t="b">
        <f>VLOOKUP(I6012,FS_input_noty,J6012,FALSE)=""</f>
        <v>0</v>
      </c>
      <c r="H6016" s="6" t="s">
        <v>2189</v>
      </c>
      <c r="I6016" t="s">
        <v>1561</v>
      </c>
      <c r="J6016" t="s">
        <v>1561</v>
      </c>
      <c r="L6016" s="26" t="e">
        <f t="shared" si="346"/>
        <v>#VALUE!</v>
      </c>
    </row>
    <row r="6017" spans="1:12" x14ac:dyDescent="0.35">
      <c r="A6017" s="9">
        <f t="shared" si="347"/>
        <v>6016</v>
      </c>
      <c r="B6017" t="s">
        <v>109</v>
      </c>
      <c r="C6017" s="109">
        <f>IF(ISBLANK(K6017),IFERROR(VLOOKUP(I6017,FS_input_data!$C$458:$N$648,Export!J6017,FALSE),""),K6017)</f>
        <v>9000</v>
      </c>
      <c r="D6017" s="6" t="b">
        <v>1</v>
      </c>
      <c r="E6017" s="6"/>
      <c r="F6017" s="6"/>
      <c r="G6017" s="115" t="b">
        <f>VLOOKUP(I6012,FS_input_noty,J6012,FALSE)=""</f>
        <v>0</v>
      </c>
      <c r="H6017" s="6" t="s">
        <v>2189</v>
      </c>
      <c r="I6017" t="s">
        <v>2024</v>
      </c>
      <c r="J6017">
        <v>7</v>
      </c>
      <c r="L6017" s="26" t="e">
        <f t="shared" si="346"/>
        <v>#VALUE!</v>
      </c>
    </row>
    <row r="6018" spans="1:12" x14ac:dyDescent="0.35">
      <c r="A6018">
        <f t="shared" si="347"/>
        <v>6017</v>
      </c>
      <c r="B6018" t="s">
        <v>110</v>
      </c>
      <c r="C6018" s="109" t="str">
        <f>IF(ISBLANK(K6018),IFERROR(VLOOKUP(I6018,FS_input_data!$C$458:$N$648,Export!J6018,FALSE),""),K6018)</f>
        <v/>
      </c>
      <c r="D6018" s="6"/>
      <c r="E6018" s="6"/>
      <c r="F6018" s="6"/>
      <c r="G6018" s="115" t="b">
        <f>VLOOKUP(I6012,FS_input_noty,J6012,FALSE)=""</f>
        <v>0</v>
      </c>
      <c r="H6018" s="6" t="s">
        <v>2189</v>
      </c>
      <c r="I6018" t="s">
        <v>1561</v>
      </c>
      <c r="J6018" t="s">
        <v>1561</v>
      </c>
      <c r="L6018">
        <f t="shared" ref="L6018:L6081" si="350">FIND("/",B6018)</f>
        <v>1</v>
      </c>
    </row>
    <row r="6019" spans="1:12" x14ac:dyDescent="0.35">
      <c r="A6019" s="9">
        <f t="shared" ref="A6019:A6082" si="351">A6018+1</f>
        <v>6018</v>
      </c>
      <c r="B6019" t="s">
        <v>111</v>
      </c>
      <c r="C6019" s="109">
        <f>IF(ISBLANK(K6019),IFERROR(VLOOKUP(I6019,FS_input_data!$C$458:$N$648,Export!J6019,FALSE),""),K6019)</f>
        <v>4500</v>
      </c>
      <c r="D6019" s="6" t="b">
        <v>0</v>
      </c>
      <c r="E6019" s="6"/>
      <c r="F6019" s="6"/>
      <c r="G6019" s="115" t="b">
        <f>VLOOKUP(I6012,FS_input_noty,J6012,TRUE)=""</f>
        <v>0</v>
      </c>
      <c r="H6019" s="6" t="s">
        <v>2189</v>
      </c>
      <c r="I6019" t="s">
        <v>2024</v>
      </c>
      <c r="J6019">
        <v>8</v>
      </c>
      <c r="L6019" s="26" t="e">
        <f t="shared" si="350"/>
        <v>#VALUE!</v>
      </c>
    </row>
    <row r="6020" spans="1:12" x14ac:dyDescent="0.35">
      <c r="A6020">
        <f t="shared" si="351"/>
        <v>6019</v>
      </c>
      <c r="B6020" t="s">
        <v>112</v>
      </c>
      <c r="C6020" s="109" t="str">
        <f>IF(ISBLANK(K6020),IFERROR(VLOOKUP(I6020,FS_input_data!$C$458:$N$648,Export!J6020,FALSE),""),K6020)</f>
        <v/>
      </c>
      <c r="D6020" s="6"/>
      <c r="E6020" s="6"/>
      <c r="F6020" s="6"/>
      <c r="G6020" s="115" t="b">
        <f>VLOOKUP(I6012,FS_input_noty,J6012,FALSE)=""</f>
        <v>0</v>
      </c>
      <c r="H6020" s="6" t="s">
        <v>2189</v>
      </c>
      <c r="I6020" t="s">
        <v>1561</v>
      </c>
      <c r="J6020" t="s">
        <v>1561</v>
      </c>
      <c r="L6020">
        <f t="shared" si="350"/>
        <v>1</v>
      </c>
    </row>
    <row r="6021" spans="1:12" x14ac:dyDescent="0.35">
      <c r="A6021" s="9">
        <f t="shared" si="351"/>
        <v>6020</v>
      </c>
      <c r="B6021" t="s">
        <v>749</v>
      </c>
      <c r="C6021" s="109">
        <f>IF(ISBLANK(K6021),IFERROR(VLOOKUP(I6021,FS_input_data!$C$458:$N$648,Export!J6021,FALSE),""),K6021)</f>
        <v>4500</v>
      </c>
      <c r="D6021" s="6" t="b">
        <v>0</v>
      </c>
      <c r="E6021" s="6"/>
      <c r="F6021" s="6"/>
      <c r="G6021" s="115" t="b">
        <f>VLOOKUP(I6012,FS_input_noty,J6012,FALSE)=""</f>
        <v>0</v>
      </c>
      <c r="H6021" s="6" t="s">
        <v>2189</v>
      </c>
      <c r="I6021" t="s">
        <v>2024</v>
      </c>
      <c r="J6021">
        <v>9</v>
      </c>
      <c r="L6021" s="26" t="e">
        <f t="shared" si="350"/>
        <v>#VALUE!</v>
      </c>
    </row>
    <row r="6022" spans="1:12" x14ac:dyDescent="0.35">
      <c r="A6022">
        <f t="shared" si="351"/>
        <v>6021</v>
      </c>
      <c r="B6022" t="s">
        <v>750</v>
      </c>
      <c r="C6022" s="109" t="str">
        <f>IF(ISBLANK(K6022),IFERROR(VLOOKUP(I6022,FS_input_data!$C$458:$N$648,Export!J6022,FALSE),""),K6022)</f>
        <v/>
      </c>
      <c r="D6022" s="6"/>
      <c r="E6022" s="6"/>
      <c r="F6022" s="6"/>
      <c r="G6022" s="115" t="b">
        <f>VLOOKUP(I6012,FS_input_noty,J6012,FALSE)=""</f>
        <v>0</v>
      </c>
      <c r="H6022" s="6" t="s">
        <v>2189</v>
      </c>
      <c r="I6022" t="s">
        <v>1561</v>
      </c>
      <c r="J6022" t="s">
        <v>1561</v>
      </c>
      <c r="L6022">
        <f t="shared" si="350"/>
        <v>1</v>
      </c>
    </row>
    <row r="6023" spans="1:12" x14ac:dyDescent="0.35">
      <c r="A6023">
        <f t="shared" si="351"/>
        <v>6022</v>
      </c>
      <c r="B6023" t="s">
        <v>751</v>
      </c>
      <c r="C6023" s="109" t="str">
        <f>IF(ISBLANK(K6023),IFERROR(VLOOKUP(I6023,FS_input_data!$C$458:$N$648,Export!J6023,FALSE),""),K6023)</f>
        <v/>
      </c>
      <c r="D6023" s="6"/>
      <c r="E6023" s="6"/>
      <c r="F6023" s="6"/>
      <c r="G6023" s="115" t="b">
        <f>VLOOKUP(I6012,FS_input_noty,J6012,FALSE)=""</f>
        <v>0</v>
      </c>
      <c r="H6023" s="6" t="s">
        <v>2189</v>
      </c>
      <c r="I6023" t="s">
        <v>1561</v>
      </c>
      <c r="J6023" t="s">
        <v>1561</v>
      </c>
      <c r="L6023">
        <f t="shared" si="350"/>
        <v>1</v>
      </c>
    </row>
    <row r="6024" spans="1:12" x14ac:dyDescent="0.35">
      <c r="A6024">
        <f t="shared" si="351"/>
        <v>6023</v>
      </c>
      <c r="B6024" t="s">
        <v>754</v>
      </c>
      <c r="C6024" s="109" t="str">
        <f>IF(ISBLANK(K6024),IFERROR(VLOOKUP(I6024,FS_input_data!$C$458:$N$648,Export!J6024,FALSE),""),K6024)</f>
        <v/>
      </c>
      <c r="D6024" s="6"/>
      <c r="E6024" s="6"/>
      <c r="F6024" s="6"/>
      <c r="G6024" s="115" t="b">
        <f>VLOOKUP(I6012,FS_input_noty,J6012,FALSE)=""</f>
        <v>0</v>
      </c>
      <c r="H6024" s="6" t="s">
        <v>2189</v>
      </c>
      <c r="I6024" t="s">
        <v>1561</v>
      </c>
      <c r="J6024" t="s">
        <v>1561</v>
      </c>
      <c r="L6024" s="26" t="e">
        <f t="shared" si="350"/>
        <v>#VALUE!</v>
      </c>
    </row>
    <row r="6025" spans="1:12" x14ac:dyDescent="0.35">
      <c r="A6025" s="9">
        <f t="shared" si="351"/>
        <v>6024</v>
      </c>
      <c r="B6025" t="s">
        <v>755</v>
      </c>
      <c r="C6025" s="109">
        <f>IF(ISBLANK(K6025),IFERROR(VLOOKUP(I6025,FS_input_data!$C$458:$N$648,Export!J6025,FALSE),""),K6025)</f>
        <v>107</v>
      </c>
      <c r="D6025" s="6" t="b">
        <v>1</v>
      </c>
      <c r="E6025" s="6"/>
      <c r="F6025" s="6"/>
      <c r="G6025" s="115" t="b">
        <f>VLOOKUP(I6012,FS_input_noty,J6012,FALSE)=""</f>
        <v>0</v>
      </c>
      <c r="H6025" s="6" t="s">
        <v>2189</v>
      </c>
      <c r="I6025" t="s">
        <v>2024</v>
      </c>
      <c r="J6025">
        <v>2</v>
      </c>
      <c r="L6025" s="26" t="e">
        <f t="shared" si="350"/>
        <v>#VALUE!</v>
      </c>
    </row>
    <row r="6026" spans="1:12" x14ac:dyDescent="0.35">
      <c r="A6026">
        <f t="shared" si="351"/>
        <v>6025</v>
      </c>
      <c r="B6026" t="s">
        <v>756</v>
      </c>
      <c r="C6026" s="109" t="str">
        <f>IF(ISBLANK(K6026),IFERROR(VLOOKUP(I6026,FS_input_data!$C$458:$N$648,Export!J6026,FALSE),""),K6026)</f>
        <v/>
      </c>
      <c r="D6026" s="6"/>
      <c r="E6026" s="6"/>
      <c r="F6026" s="6"/>
      <c r="G6026" s="115" t="b">
        <f>VLOOKUP(I6012,FS_input_noty,J6012,FALSE)=""</f>
        <v>0</v>
      </c>
      <c r="H6026" s="6" t="s">
        <v>2189</v>
      </c>
      <c r="I6026" t="s">
        <v>1561</v>
      </c>
      <c r="J6026" t="s">
        <v>1561</v>
      </c>
      <c r="L6026">
        <f t="shared" si="350"/>
        <v>1</v>
      </c>
    </row>
    <row r="6027" spans="1:12" x14ac:dyDescent="0.35">
      <c r="A6027" s="9">
        <f t="shared" si="351"/>
        <v>6026</v>
      </c>
      <c r="B6027" t="s">
        <v>757</v>
      </c>
      <c r="C6027" s="109">
        <f>IF(ISBLANK(K6027),IFERROR(VLOOKUP(I6027,FS_input_data!$C$458:$N$648,Export!J6027,FALSE),""),K6027)</f>
        <v>207</v>
      </c>
      <c r="D6027" s="6" t="b">
        <v>0</v>
      </c>
      <c r="E6027" s="6"/>
      <c r="F6027" s="6"/>
      <c r="G6027" s="115" t="b">
        <f>VLOOKUP(I6012,FS_input_noty,J6012,FALSE)=""</f>
        <v>0</v>
      </c>
      <c r="H6027" s="6" t="s">
        <v>2189</v>
      </c>
      <c r="I6027" t="s">
        <v>2024</v>
      </c>
      <c r="J6027">
        <v>3</v>
      </c>
      <c r="L6027" s="26" t="e">
        <f t="shared" si="350"/>
        <v>#VALUE!</v>
      </c>
    </row>
    <row r="6028" spans="1:12" x14ac:dyDescent="0.35">
      <c r="A6028">
        <f t="shared" si="351"/>
        <v>6027</v>
      </c>
      <c r="B6028" t="s">
        <v>758</v>
      </c>
      <c r="C6028" s="109" t="str">
        <f>IF(ISBLANK(K6028),IFERROR(VLOOKUP(I6028,FS_input_data!$C$458:$N$648,Export!J6028,FALSE),""),K6028)</f>
        <v/>
      </c>
      <c r="D6028" s="6"/>
      <c r="E6028" s="6"/>
      <c r="F6028" s="6"/>
      <c r="G6028" s="115" t="b">
        <f>VLOOKUP(I6012,FS_input_noty,J6012,FALSE)=""</f>
        <v>0</v>
      </c>
      <c r="H6028" s="6" t="s">
        <v>2189</v>
      </c>
      <c r="I6028" t="s">
        <v>1561</v>
      </c>
      <c r="J6028" t="s">
        <v>1561</v>
      </c>
      <c r="L6028">
        <f t="shared" si="350"/>
        <v>1</v>
      </c>
    </row>
    <row r="6029" spans="1:12" x14ac:dyDescent="0.35">
      <c r="A6029" s="9">
        <f t="shared" si="351"/>
        <v>6028</v>
      </c>
      <c r="B6029" t="s">
        <v>759</v>
      </c>
      <c r="C6029" s="109">
        <f>IF(ISBLANK(K6029),IFERROR(VLOOKUP(I6029,FS_input_data!$C$458:$N$648,Export!J6029,FALSE),""),K6029)</f>
        <v>307</v>
      </c>
      <c r="D6029" s="6" t="b">
        <v>0</v>
      </c>
      <c r="E6029" s="6"/>
      <c r="F6029" s="6"/>
      <c r="G6029" s="115" t="b">
        <f>VLOOKUP(I6012,FS_input_noty,J6012,FALSE)=""</f>
        <v>0</v>
      </c>
      <c r="H6029" s="6" t="s">
        <v>2189</v>
      </c>
      <c r="I6029" t="s">
        <v>2024</v>
      </c>
      <c r="J6029">
        <v>4</v>
      </c>
      <c r="L6029" s="26" t="e">
        <f t="shared" si="350"/>
        <v>#VALUE!</v>
      </c>
    </row>
    <row r="6030" spans="1:12" x14ac:dyDescent="0.35">
      <c r="A6030">
        <f t="shared" si="351"/>
        <v>6029</v>
      </c>
      <c r="B6030" t="s">
        <v>760</v>
      </c>
      <c r="C6030" s="109" t="str">
        <f>IF(ISBLANK(K6030),IFERROR(VLOOKUP(I6030,FS_input_data!$C$458:$N$648,Export!J6030,FALSE),""),K6030)</f>
        <v/>
      </c>
      <c r="D6030" s="6"/>
      <c r="E6030" s="6"/>
      <c r="F6030" s="6"/>
      <c r="G6030" s="115" t="b">
        <f>VLOOKUP(I6012,FS_input_noty,J6012,FALSE)=""</f>
        <v>0</v>
      </c>
      <c r="H6030" s="6" t="s">
        <v>2189</v>
      </c>
      <c r="I6030" t="s">
        <v>1561</v>
      </c>
      <c r="J6030" t="s">
        <v>1561</v>
      </c>
      <c r="L6030">
        <f t="shared" si="350"/>
        <v>1</v>
      </c>
    </row>
    <row r="6031" spans="1:12" x14ac:dyDescent="0.35">
      <c r="A6031" s="9">
        <f t="shared" si="351"/>
        <v>6030</v>
      </c>
      <c r="B6031" t="s">
        <v>761</v>
      </c>
      <c r="C6031" s="109" t="str">
        <f>IF(ISBLANK(K6031),IFERROR(VLOOKUP(I6031,FS_input_data!$C$458:$N$648,Export!J6031,FALSE),""),K6031)</f>
        <v>a</v>
      </c>
      <c r="D6031" s="6" t="b">
        <v>0</v>
      </c>
      <c r="E6031" s="6"/>
      <c r="F6031" s="6"/>
      <c r="G6031" s="115" t="b">
        <f>VLOOKUP(I6012,FS_input_noty,J6012,FALSE)=""</f>
        <v>0</v>
      </c>
      <c r="H6031" s="6" t="s">
        <v>2189</v>
      </c>
      <c r="I6031" t="s">
        <v>2024</v>
      </c>
      <c r="J6031">
        <v>5</v>
      </c>
      <c r="L6031" s="26" t="e">
        <f t="shared" si="350"/>
        <v>#VALUE!</v>
      </c>
    </row>
    <row r="6032" spans="1:12" x14ac:dyDescent="0.35">
      <c r="A6032">
        <f t="shared" si="351"/>
        <v>6031</v>
      </c>
      <c r="B6032" t="s">
        <v>762</v>
      </c>
      <c r="C6032" s="109" t="str">
        <f>IF(ISBLANK(K6032),IFERROR(VLOOKUP(I6032,FS_input_data!$C$458:$N$648,Export!J6032,FALSE),""),K6032)</f>
        <v/>
      </c>
      <c r="D6032" s="6"/>
      <c r="E6032" s="6"/>
      <c r="F6032" s="6"/>
      <c r="G6032" s="115" t="b">
        <f>VLOOKUP(I6012,FS_input_noty,J6012,FALSE)=""</f>
        <v>0</v>
      </c>
      <c r="H6032" s="6" t="s">
        <v>2189</v>
      </c>
      <c r="I6032" t="s">
        <v>1561</v>
      </c>
      <c r="J6032" t="s">
        <v>1561</v>
      </c>
      <c r="L6032">
        <f t="shared" si="350"/>
        <v>1</v>
      </c>
    </row>
    <row r="6033" spans="1:12" x14ac:dyDescent="0.35">
      <c r="A6033">
        <f t="shared" si="351"/>
        <v>6032</v>
      </c>
      <c r="B6033" t="s">
        <v>763</v>
      </c>
      <c r="C6033" s="109" t="str">
        <f>IF(ISBLANK(K6033),IFERROR(VLOOKUP(I6033,FS_input_data!$C$458:$N$648,Export!J6033,FALSE),""),K6033)</f>
        <v/>
      </c>
      <c r="D6033" s="6"/>
      <c r="E6033" s="6"/>
      <c r="F6033" s="6"/>
      <c r="G6033" s="115" t="b">
        <f>VLOOKUP(I6012,FS_input_noty,J6012,FALSE)=""</f>
        <v>0</v>
      </c>
      <c r="H6033" s="6" t="s">
        <v>2189</v>
      </c>
      <c r="I6033" t="s">
        <v>1561</v>
      </c>
      <c r="J6033" t="s">
        <v>1561</v>
      </c>
      <c r="L6033">
        <f t="shared" si="350"/>
        <v>1</v>
      </c>
    </row>
    <row r="6034" spans="1:12" x14ac:dyDescent="0.35">
      <c r="A6034">
        <f t="shared" si="351"/>
        <v>6033</v>
      </c>
      <c r="B6034" t="s">
        <v>743</v>
      </c>
      <c r="C6034" s="109" t="str">
        <f>IF(ISBLANK(K6034),IFERROR(VLOOKUP(I6034,FS_input_data!$C$458:$N$648,Export!J6034,FALSE),""),K6034)</f>
        <v/>
      </c>
      <c r="D6034" s="6"/>
      <c r="E6034" s="6"/>
      <c r="F6034" s="6"/>
      <c r="G6034" s="115" t="b">
        <f>VLOOKUP(I6012,FS_input_noty,J6012,FALSE)=""</f>
        <v>0</v>
      </c>
      <c r="H6034" s="6" t="s">
        <v>2189</v>
      </c>
      <c r="I6034" t="s">
        <v>1561</v>
      </c>
      <c r="J6034" t="s">
        <v>1561</v>
      </c>
      <c r="L6034">
        <f t="shared" si="350"/>
        <v>1</v>
      </c>
    </row>
    <row r="6035" spans="1:12" x14ac:dyDescent="0.35">
      <c r="A6035">
        <f t="shared" si="351"/>
        <v>6034</v>
      </c>
      <c r="B6035" t="s">
        <v>744</v>
      </c>
      <c r="C6035" s="109" t="str">
        <f>IF(ISBLANK(K6035),IFERROR(VLOOKUP(I6035,FS_input_data!$C$458:$N$648,Export!J6035,FALSE),""),K6035)</f>
        <v/>
      </c>
      <c r="D6035" s="6"/>
      <c r="E6035" s="6"/>
      <c r="F6035" s="6"/>
      <c r="G6035" s="115" t="b">
        <f t="shared" ref="G6035:G6042" si="352">RP_tax</f>
        <v>1</v>
      </c>
      <c r="H6035" s="6" t="s">
        <v>2189</v>
      </c>
      <c r="I6035" t="s">
        <v>1561</v>
      </c>
      <c r="J6035" t="s">
        <v>1561</v>
      </c>
      <c r="L6035" s="26" t="e">
        <f t="shared" si="350"/>
        <v>#VALUE!</v>
      </c>
    </row>
    <row r="6036" spans="1:12" x14ac:dyDescent="0.35">
      <c r="A6036" s="9">
        <f t="shared" si="351"/>
        <v>6035</v>
      </c>
      <c r="B6036" t="s">
        <v>109</v>
      </c>
      <c r="C6036" s="109">
        <f>IF(ISBLANK(K6036),IFERROR(VLOOKUP(I6036,FS_input_data!$C$458:$N$648,Export!J6036,FALSE),""),K6036)</f>
        <v>9000</v>
      </c>
      <c r="D6036" s="6" t="b">
        <v>1</v>
      </c>
      <c r="E6036" s="6"/>
      <c r="F6036" s="6"/>
      <c r="G6036" s="115" t="b">
        <f t="shared" si="352"/>
        <v>1</v>
      </c>
      <c r="H6036" s="6" t="s">
        <v>2189</v>
      </c>
      <c r="I6036" t="s">
        <v>2024</v>
      </c>
      <c r="J6036">
        <v>10</v>
      </c>
      <c r="L6036" s="26" t="e">
        <f t="shared" si="350"/>
        <v>#VALUE!</v>
      </c>
    </row>
    <row r="6037" spans="1:12" x14ac:dyDescent="0.35">
      <c r="A6037">
        <f t="shared" si="351"/>
        <v>6036</v>
      </c>
      <c r="B6037" t="s">
        <v>110</v>
      </c>
      <c r="C6037" s="109" t="str">
        <f>IF(ISBLANK(K6037),IFERROR(VLOOKUP(I6037,FS_input_data!$C$458:$N$648,Export!J6037,FALSE),""),K6037)</f>
        <v/>
      </c>
      <c r="D6037" s="6"/>
      <c r="E6037" s="6"/>
      <c r="F6037" s="6"/>
      <c r="G6037" s="115" t="b">
        <f t="shared" si="352"/>
        <v>1</v>
      </c>
      <c r="H6037" s="6" t="s">
        <v>2189</v>
      </c>
      <c r="I6037" t="s">
        <v>1561</v>
      </c>
      <c r="J6037" t="s">
        <v>1561</v>
      </c>
      <c r="L6037">
        <f t="shared" si="350"/>
        <v>1</v>
      </c>
    </row>
    <row r="6038" spans="1:12" x14ac:dyDescent="0.35">
      <c r="A6038" s="9">
        <f t="shared" si="351"/>
        <v>6037</v>
      </c>
      <c r="B6038" t="s">
        <v>111</v>
      </c>
      <c r="C6038" s="109">
        <f>IF(ISBLANK(K6038),IFERROR(VLOOKUP(I6038,FS_input_data!$C$458:$N$648,Export!J6038,FALSE),""),K6038)</f>
        <v>4500</v>
      </c>
      <c r="D6038" s="6" t="b">
        <v>0</v>
      </c>
      <c r="E6038" s="6"/>
      <c r="F6038" s="6"/>
      <c r="G6038" s="115" t="b">
        <f t="shared" si="352"/>
        <v>1</v>
      </c>
      <c r="H6038" s="6" t="s">
        <v>2189</v>
      </c>
      <c r="I6038" t="s">
        <v>2024</v>
      </c>
      <c r="J6038">
        <v>11</v>
      </c>
      <c r="L6038" s="26" t="e">
        <f t="shared" si="350"/>
        <v>#VALUE!</v>
      </c>
    </row>
    <row r="6039" spans="1:12" x14ac:dyDescent="0.35">
      <c r="A6039">
        <f t="shared" si="351"/>
        <v>6038</v>
      </c>
      <c r="B6039" t="s">
        <v>112</v>
      </c>
      <c r="C6039" s="109" t="str">
        <f>IF(ISBLANK(K6039),IFERROR(VLOOKUP(I6039,FS_input_data!$C$458:$N$648,Export!J6039,FALSE),""),K6039)</f>
        <v/>
      </c>
      <c r="D6039" s="6"/>
      <c r="E6039" s="6"/>
      <c r="F6039" s="6"/>
      <c r="G6039" s="115" t="b">
        <f t="shared" si="352"/>
        <v>1</v>
      </c>
      <c r="H6039" s="6" t="s">
        <v>2189</v>
      </c>
      <c r="I6039" t="s">
        <v>1561</v>
      </c>
      <c r="J6039" t="s">
        <v>1561</v>
      </c>
      <c r="L6039">
        <f t="shared" si="350"/>
        <v>1</v>
      </c>
    </row>
    <row r="6040" spans="1:12" x14ac:dyDescent="0.35">
      <c r="A6040" s="9">
        <f t="shared" si="351"/>
        <v>6039</v>
      </c>
      <c r="B6040" t="s">
        <v>749</v>
      </c>
      <c r="C6040" s="109">
        <f>IF(ISBLANK(K6040),IFERROR(VLOOKUP(I6040,FS_input_data!$C$458:$N$648,Export!J6040,FALSE),""),K6040)</f>
        <v>4500</v>
      </c>
      <c r="D6040" s="6" t="b">
        <v>0</v>
      </c>
      <c r="E6040" s="6"/>
      <c r="F6040" s="6"/>
      <c r="G6040" s="115" t="b">
        <f t="shared" si="352"/>
        <v>1</v>
      </c>
      <c r="H6040" s="6" t="s">
        <v>2189</v>
      </c>
      <c r="I6040" t="s">
        <v>2024</v>
      </c>
      <c r="J6040">
        <v>12</v>
      </c>
      <c r="L6040" s="26" t="e">
        <f t="shared" si="350"/>
        <v>#VALUE!</v>
      </c>
    </row>
    <row r="6041" spans="1:12" x14ac:dyDescent="0.35">
      <c r="A6041">
        <f t="shared" si="351"/>
        <v>6040</v>
      </c>
      <c r="B6041" t="s">
        <v>750</v>
      </c>
      <c r="C6041" s="109" t="str">
        <f>IF(ISBLANK(K6041),IFERROR(VLOOKUP(I6041,FS_input_data!$C$458:$N$648,Export!J6041,FALSE),""),K6041)</f>
        <v/>
      </c>
      <c r="D6041" s="6"/>
      <c r="E6041" s="6"/>
      <c r="F6041" s="6"/>
      <c r="G6041" s="115" t="b">
        <f t="shared" si="352"/>
        <v>1</v>
      </c>
      <c r="H6041" s="6" t="s">
        <v>2189</v>
      </c>
      <c r="I6041" t="s">
        <v>1561</v>
      </c>
      <c r="J6041" t="s">
        <v>1561</v>
      </c>
      <c r="L6041">
        <f t="shared" si="350"/>
        <v>1</v>
      </c>
    </row>
    <row r="6042" spans="1:12" x14ac:dyDescent="0.35">
      <c r="A6042">
        <f t="shared" si="351"/>
        <v>6041</v>
      </c>
      <c r="B6042" t="s">
        <v>745</v>
      </c>
      <c r="C6042" s="109" t="str">
        <f>IF(ISBLANK(K6042),IFERROR(VLOOKUP(I6042,FS_input_data!$C$458:$N$648,Export!J6042,FALSE),""),K6042)</f>
        <v/>
      </c>
      <c r="D6042" s="6"/>
      <c r="E6042" s="6"/>
      <c r="F6042" s="6"/>
      <c r="G6042" s="115" t="b">
        <f t="shared" si="352"/>
        <v>1</v>
      </c>
      <c r="H6042" s="6" t="s">
        <v>2189</v>
      </c>
      <c r="I6042" t="s">
        <v>1561</v>
      </c>
      <c r="J6042" t="s">
        <v>1561</v>
      </c>
      <c r="L6042">
        <f t="shared" si="350"/>
        <v>1</v>
      </c>
    </row>
    <row r="6043" spans="1:12" x14ac:dyDescent="0.35">
      <c r="A6043">
        <f t="shared" si="351"/>
        <v>6042</v>
      </c>
      <c r="B6043" t="s">
        <v>764</v>
      </c>
      <c r="C6043" s="109" t="str">
        <f>IF(ISBLANK(K6043),IFERROR(VLOOKUP(I6043,FS_input_data!$C$458:$N$648,Export!J6043,FALSE),""),K6043)</f>
        <v/>
      </c>
      <c r="D6043" s="6"/>
      <c r="E6043" s="6"/>
      <c r="F6043" s="6"/>
      <c r="G6043" s="115" t="b">
        <f>VLOOKUP(I6012,FS_input_noty,J6012,FALSE)=""</f>
        <v>0</v>
      </c>
      <c r="H6043" s="6" t="s">
        <v>2189</v>
      </c>
      <c r="I6043" t="s">
        <v>1561</v>
      </c>
      <c r="J6043" t="s">
        <v>1561</v>
      </c>
      <c r="L6043">
        <f t="shared" si="350"/>
        <v>1</v>
      </c>
    </row>
    <row r="6044" spans="1:12" x14ac:dyDescent="0.35">
      <c r="A6044">
        <f t="shared" si="351"/>
        <v>6043</v>
      </c>
      <c r="B6044" t="s">
        <v>765</v>
      </c>
      <c r="C6044" s="109" t="str">
        <f>IF(ISBLANK(K6044),IFERROR(VLOOKUP(I6044,FS_input_data!$C$458:$N$648,Export!J6044,FALSE),""),K6044)</f>
        <v/>
      </c>
      <c r="D6044" s="6"/>
      <c r="E6044" s="6"/>
      <c r="F6044" s="6"/>
      <c r="G6044" s="115" t="b">
        <f>VLOOKUP(I6012,FS_input_noty,J6012,FALSE)=""</f>
        <v>0</v>
      </c>
      <c r="H6044" s="6" t="s">
        <v>2189</v>
      </c>
      <c r="I6044" t="s">
        <v>1561</v>
      </c>
      <c r="J6044" t="s">
        <v>1561</v>
      </c>
      <c r="L6044">
        <f t="shared" si="350"/>
        <v>1</v>
      </c>
    </row>
    <row r="6045" spans="1:12" x14ac:dyDescent="0.35">
      <c r="A6045">
        <f t="shared" si="351"/>
        <v>6044</v>
      </c>
      <c r="B6045" t="s">
        <v>752</v>
      </c>
      <c r="C6045" s="109" t="str">
        <f>IF(ISBLANK(K6045),IFERROR(VLOOKUP(I6045,FS_input_data!$C$458:$N$648,Export!J6045,FALSE),""),K6045)</f>
        <v/>
      </c>
      <c r="D6045" s="6"/>
      <c r="E6045" s="6"/>
      <c r="F6045" s="6"/>
      <c r="G6045" s="115" t="b">
        <f>VLOOKUP(I6046,FS_input_noty,J6046,FALSE)=""</f>
        <v>0</v>
      </c>
      <c r="H6045" s="6" t="s">
        <v>2189</v>
      </c>
      <c r="I6045" t="s">
        <v>1561</v>
      </c>
      <c r="J6045" t="s">
        <v>1561</v>
      </c>
      <c r="L6045" s="26" t="e">
        <f t="shared" si="350"/>
        <v>#VALUE!</v>
      </c>
    </row>
    <row r="6046" spans="1:12" x14ac:dyDescent="0.35">
      <c r="A6046" s="9">
        <f t="shared" si="351"/>
        <v>6045</v>
      </c>
      <c r="B6046" t="s">
        <v>101</v>
      </c>
      <c r="C6046" s="109" t="str">
        <f>IF(ISBLANK(K6046),IFERROR(VLOOKUP(I6046,FS_input_data!$C$458:$N$648,Export!J6046,FALSE),""),K6046)</f>
        <v>OC85</v>
      </c>
      <c r="D6046" s="6" t="b">
        <v>1</v>
      </c>
      <c r="E6046" s="6"/>
      <c r="F6046" s="6"/>
      <c r="G6046" s="115" t="b">
        <f>VLOOKUP(I6046,FS_input_noty,J6046,FALSE)=""</f>
        <v>0</v>
      </c>
      <c r="H6046" s="6" t="s">
        <v>2189</v>
      </c>
      <c r="I6046" t="s">
        <v>2026</v>
      </c>
      <c r="J6046">
        <v>6</v>
      </c>
      <c r="L6046" s="26" t="e">
        <f t="shared" si="350"/>
        <v>#VALUE!</v>
      </c>
    </row>
    <row r="6047" spans="1:12" x14ac:dyDescent="0.35">
      <c r="A6047">
        <f t="shared" si="351"/>
        <v>6046</v>
      </c>
      <c r="B6047" t="s">
        <v>102</v>
      </c>
      <c r="C6047" s="109" t="str">
        <f>IF(ISBLANK(K6047),IFERROR(VLOOKUP(I6047,FS_input_data!$C$458:$N$648,Export!J6047,FALSE),""),K6047)</f>
        <v/>
      </c>
      <c r="D6047" s="6"/>
      <c r="E6047" s="6"/>
      <c r="F6047" s="6"/>
      <c r="G6047" s="115" t="b">
        <f>VLOOKUP(I6046,FS_input_noty,J6046,FALSE)=""</f>
        <v>0</v>
      </c>
      <c r="H6047" s="6" t="s">
        <v>2189</v>
      </c>
      <c r="I6047" t="s">
        <v>1561</v>
      </c>
      <c r="J6047" t="s">
        <v>1561</v>
      </c>
      <c r="L6047">
        <f t="shared" si="350"/>
        <v>1</v>
      </c>
    </row>
    <row r="6048" spans="1:12" x14ac:dyDescent="0.35">
      <c r="A6048">
        <f t="shared" si="351"/>
        <v>6047</v>
      </c>
      <c r="B6048" t="s">
        <v>753</v>
      </c>
      <c r="C6048" s="109" t="str">
        <f>IF(ISBLANK(K6048),IFERROR(VLOOKUP(I6048,FS_input_data!$C$458:$N$648,Export!J6048,FALSE),""),K6048)</f>
        <v/>
      </c>
      <c r="D6048" s="6"/>
      <c r="E6048" s="6"/>
      <c r="F6048" s="6"/>
      <c r="G6048" s="115" t="b">
        <f>VLOOKUP(I6046,FS_input_noty,J6046,FALSE)=""</f>
        <v>0</v>
      </c>
      <c r="H6048" s="6" t="s">
        <v>2189</v>
      </c>
      <c r="I6048" t="s">
        <v>1561</v>
      </c>
      <c r="J6048" t="s">
        <v>1561</v>
      </c>
      <c r="L6048" s="26" t="e">
        <f t="shared" si="350"/>
        <v>#VALUE!</v>
      </c>
    </row>
    <row r="6049" spans="1:12" x14ac:dyDescent="0.35">
      <c r="A6049">
        <f t="shared" si="351"/>
        <v>6048</v>
      </c>
      <c r="B6049" t="s">
        <v>742</v>
      </c>
      <c r="C6049" s="109" t="str">
        <f>IF(ISBLANK(K6049),IFERROR(VLOOKUP(I6049,FS_input_data!$C$458:$N$648,Export!J6049,FALSE),""),K6049)</f>
        <v/>
      </c>
      <c r="D6049" s="6"/>
      <c r="E6049" s="6"/>
      <c r="F6049" s="6"/>
      <c r="G6049" s="115" t="b">
        <f>VLOOKUP(I6046,FS_input_noty,J6046,FALSE)=""</f>
        <v>0</v>
      </c>
      <c r="H6049" s="6" t="s">
        <v>2189</v>
      </c>
      <c r="I6049" t="s">
        <v>1561</v>
      </c>
      <c r="J6049" t="s">
        <v>1561</v>
      </c>
      <c r="L6049" s="26" t="e">
        <f t="shared" si="350"/>
        <v>#VALUE!</v>
      </c>
    </row>
    <row r="6050" spans="1:12" x14ac:dyDescent="0.35">
      <c r="A6050">
        <f t="shared" si="351"/>
        <v>6049</v>
      </c>
      <c r="B6050" t="s">
        <v>748</v>
      </c>
      <c r="C6050" s="109" t="str">
        <f>IF(ISBLANK(K6050),IFERROR(VLOOKUP(I6050,FS_input_data!$C$458:$N$648,Export!J6050,FALSE),""),K6050)</f>
        <v/>
      </c>
      <c r="D6050" s="6"/>
      <c r="E6050" s="6"/>
      <c r="F6050" s="6"/>
      <c r="G6050" s="115" t="b">
        <f>VLOOKUP(I6046,FS_input_noty,J6046,FALSE)=""</f>
        <v>0</v>
      </c>
      <c r="H6050" s="6" t="s">
        <v>2189</v>
      </c>
      <c r="I6050" t="s">
        <v>1561</v>
      </c>
      <c r="J6050" t="s">
        <v>1561</v>
      </c>
      <c r="L6050" s="26" t="e">
        <f t="shared" si="350"/>
        <v>#VALUE!</v>
      </c>
    </row>
    <row r="6051" spans="1:12" x14ac:dyDescent="0.35">
      <c r="A6051" s="9">
        <f t="shared" si="351"/>
        <v>6050</v>
      </c>
      <c r="B6051" t="s">
        <v>109</v>
      </c>
      <c r="C6051" s="109">
        <f>IF(ISBLANK(K6051),IFERROR(VLOOKUP(I6051,FS_input_data!$C$458:$N$648,Export!J6051,FALSE),""),K6051)</f>
        <v>10000</v>
      </c>
      <c r="D6051" s="6" t="b">
        <v>1</v>
      </c>
      <c r="E6051" s="6"/>
      <c r="F6051" s="6"/>
      <c r="G6051" s="115" t="b">
        <f>VLOOKUP(I6046,FS_input_noty,J6046,FALSE)=""</f>
        <v>0</v>
      </c>
      <c r="H6051" s="6" t="s">
        <v>2189</v>
      </c>
      <c r="I6051" t="s">
        <v>2026</v>
      </c>
      <c r="J6051">
        <v>7</v>
      </c>
      <c r="L6051" s="26" t="e">
        <f t="shared" si="350"/>
        <v>#VALUE!</v>
      </c>
    </row>
    <row r="6052" spans="1:12" x14ac:dyDescent="0.35">
      <c r="A6052">
        <f t="shared" si="351"/>
        <v>6051</v>
      </c>
      <c r="B6052" t="s">
        <v>110</v>
      </c>
      <c r="C6052" s="109" t="str">
        <f>IF(ISBLANK(K6052),IFERROR(VLOOKUP(I6052,FS_input_data!$C$458:$N$648,Export!J6052,FALSE),""),K6052)</f>
        <v/>
      </c>
      <c r="D6052" s="6"/>
      <c r="E6052" s="6"/>
      <c r="F6052" s="6"/>
      <c r="G6052" s="115" t="b">
        <f>VLOOKUP(I6046,FS_input_noty,J6046,FALSE)=""</f>
        <v>0</v>
      </c>
      <c r="H6052" s="6" t="s">
        <v>2189</v>
      </c>
      <c r="I6052" t="s">
        <v>1561</v>
      </c>
      <c r="J6052" t="s">
        <v>1561</v>
      </c>
      <c r="L6052">
        <f t="shared" si="350"/>
        <v>1</v>
      </c>
    </row>
    <row r="6053" spans="1:12" x14ac:dyDescent="0.35">
      <c r="A6053" s="9">
        <f t="shared" si="351"/>
        <v>6052</v>
      </c>
      <c r="B6053" t="s">
        <v>111</v>
      </c>
      <c r="C6053" s="109">
        <f>IF(ISBLANK(K6053),IFERROR(VLOOKUP(I6053,FS_input_data!$C$458:$N$648,Export!J6053,FALSE),""),K6053)</f>
        <v>5000</v>
      </c>
      <c r="D6053" s="6" t="b">
        <v>0</v>
      </c>
      <c r="E6053" s="6"/>
      <c r="F6053" s="6"/>
      <c r="G6053" s="115" t="b">
        <f>VLOOKUP(I6046,FS_input_noty,J6046,TRUE)=""</f>
        <v>0</v>
      </c>
      <c r="H6053" s="6" t="s">
        <v>2189</v>
      </c>
      <c r="I6053" t="s">
        <v>2026</v>
      </c>
      <c r="J6053">
        <v>8</v>
      </c>
      <c r="L6053" s="26" t="e">
        <f t="shared" si="350"/>
        <v>#VALUE!</v>
      </c>
    </row>
    <row r="6054" spans="1:12" x14ac:dyDescent="0.35">
      <c r="A6054">
        <f t="shared" si="351"/>
        <v>6053</v>
      </c>
      <c r="B6054" t="s">
        <v>112</v>
      </c>
      <c r="C6054" s="109" t="str">
        <f>IF(ISBLANK(K6054),IFERROR(VLOOKUP(I6054,FS_input_data!$C$458:$N$648,Export!J6054,FALSE),""),K6054)</f>
        <v/>
      </c>
      <c r="D6054" s="6"/>
      <c r="E6054" s="6"/>
      <c r="F6054" s="6"/>
      <c r="G6054" s="115" t="b">
        <f>VLOOKUP(I6046,FS_input_noty,J6046,FALSE)=""</f>
        <v>0</v>
      </c>
      <c r="H6054" s="6" t="s">
        <v>2189</v>
      </c>
      <c r="I6054" t="s">
        <v>1561</v>
      </c>
      <c r="J6054" t="s">
        <v>1561</v>
      </c>
      <c r="L6054">
        <f t="shared" si="350"/>
        <v>1</v>
      </c>
    </row>
    <row r="6055" spans="1:12" x14ac:dyDescent="0.35">
      <c r="A6055" s="9">
        <f t="shared" si="351"/>
        <v>6054</v>
      </c>
      <c r="B6055" t="s">
        <v>749</v>
      </c>
      <c r="C6055" s="109">
        <f>IF(ISBLANK(K6055),IFERROR(VLOOKUP(I6055,FS_input_data!$C$458:$N$648,Export!J6055,FALSE),""),K6055)</f>
        <v>5000</v>
      </c>
      <c r="D6055" s="6" t="b">
        <v>0</v>
      </c>
      <c r="E6055" s="6"/>
      <c r="F6055" s="6"/>
      <c r="G6055" s="115" t="b">
        <f>VLOOKUP(I6046,FS_input_noty,J6046,FALSE)=""</f>
        <v>0</v>
      </c>
      <c r="H6055" s="6" t="s">
        <v>2189</v>
      </c>
      <c r="I6055" t="s">
        <v>2026</v>
      </c>
      <c r="J6055">
        <v>9</v>
      </c>
      <c r="L6055" s="26" t="e">
        <f t="shared" si="350"/>
        <v>#VALUE!</v>
      </c>
    </row>
    <row r="6056" spans="1:12" x14ac:dyDescent="0.35">
      <c r="A6056">
        <f t="shared" si="351"/>
        <v>6055</v>
      </c>
      <c r="B6056" t="s">
        <v>750</v>
      </c>
      <c r="C6056" s="109" t="str">
        <f>IF(ISBLANK(K6056),IFERROR(VLOOKUP(I6056,FS_input_data!$C$458:$N$648,Export!J6056,FALSE),""),K6056)</f>
        <v/>
      </c>
      <c r="D6056" s="6"/>
      <c r="E6056" s="6"/>
      <c r="F6056" s="6"/>
      <c r="G6056" s="115" t="b">
        <f>VLOOKUP(I6046,FS_input_noty,J6046,FALSE)=""</f>
        <v>0</v>
      </c>
      <c r="H6056" s="6" t="s">
        <v>2189</v>
      </c>
      <c r="I6056" t="s">
        <v>1561</v>
      </c>
      <c r="J6056" t="s">
        <v>1561</v>
      </c>
      <c r="L6056">
        <f t="shared" si="350"/>
        <v>1</v>
      </c>
    </row>
    <row r="6057" spans="1:12" x14ac:dyDescent="0.35">
      <c r="A6057">
        <f t="shared" si="351"/>
        <v>6056</v>
      </c>
      <c r="B6057" t="s">
        <v>751</v>
      </c>
      <c r="C6057" s="109" t="str">
        <f>IF(ISBLANK(K6057),IFERROR(VLOOKUP(I6057,FS_input_data!$C$458:$N$648,Export!J6057,FALSE),""),K6057)</f>
        <v/>
      </c>
      <c r="D6057" s="6"/>
      <c r="E6057" s="6"/>
      <c r="F6057" s="6"/>
      <c r="G6057" s="115" t="b">
        <f>VLOOKUP(I6046,FS_input_noty,J6046,FALSE)=""</f>
        <v>0</v>
      </c>
      <c r="H6057" s="6" t="s">
        <v>2189</v>
      </c>
      <c r="I6057" t="s">
        <v>1561</v>
      </c>
      <c r="J6057" t="s">
        <v>1561</v>
      </c>
      <c r="L6057">
        <f t="shared" si="350"/>
        <v>1</v>
      </c>
    </row>
    <row r="6058" spans="1:12" x14ac:dyDescent="0.35">
      <c r="A6058">
        <f t="shared" si="351"/>
        <v>6057</v>
      </c>
      <c r="B6058" t="s">
        <v>754</v>
      </c>
      <c r="C6058" s="109" t="str">
        <f>IF(ISBLANK(K6058),IFERROR(VLOOKUP(I6058,FS_input_data!$C$458:$N$648,Export!J6058,FALSE),""),K6058)</f>
        <v/>
      </c>
      <c r="D6058" s="6"/>
      <c r="E6058" s="6"/>
      <c r="F6058" s="6"/>
      <c r="G6058" s="115" t="b">
        <f>VLOOKUP(I6046,FS_input_noty,J6046,FALSE)=""</f>
        <v>0</v>
      </c>
      <c r="H6058" s="6" t="s">
        <v>2189</v>
      </c>
      <c r="I6058" t="s">
        <v>1561</v>
      </c>
      <c r="J6058" t="s">
        <v>1561</v>
      </c>
      <c r="L6058" s="26" t="e">
        <f t="shared" si="350"/>
        <v>#VALUE!</v>
      </c>
    </row>
    <row r="6059" spans="1:12" x14ac:dyDescent="0.35">
      <c r="A6059" s="9">
        <f t="shared" si="351"/>
        <v>6058</v>
      </c>
      <c r="B6059" t="s">
        <v>755</v>
      </c>
      <c r="C6059" s="109">
        <f>IF(ISBLANK(K6059),IFERROR(VLOOKUP(I6059,FS_input_data!$C$458:$N$648,Export!J6059,FALSE),""),K6059)</f>
        <v>108</v>
      </c>
      <c r="D6059" s="6" t="b">
        <v>1</v>
      </c>
      <c r="E6059" s="6"/>
      <c r="F6059" s="6"/>
      <c r="G6059" s="115" t="b">
        <f>VLOOKUP(I6046,FS_input_noty,J6046,FALSE)=""</f>
        <v>0</v>
      </c>
      <c r="H6059" s="6" t="s">
        <v>2189</v>
      </c>
      <c r="I6059" t="s">
        <v>2026</v>
      </c>
      <c r="J6059">
        <v>2</v>
      </c>
      <c r="L6059" s="26" t="e">
        <f t="shared" si="350"/>
        <v>#VALUE!</v>
      </c>
    </row>
    <row r="6060" spans="1:12" x14ac:dyDescent="0.35">
      <c r="A6060">
        <f t="shared" si="351"/>
        <v>6059</v>
      </c>
      <c r="B6060" t="s">
        <v>756</v>
      </c>
      <c r="C6060" s="109" t="str">
        <f>IF(ISBLANK(K6060),IFERROR(VLOOKUP(I6060,FS_input_data!$C$458:$N$648,Export!J6060,FALSE),""),K6060)</f>
        <v/>
      </c>
      <c r="D6060" s="6"/>
      <c r="E6060" s="6"/>
      <c r="F6060" s="6"/>
      <c r="G6060" s="115" t="b">
        <f>VLOOKUP(I6046,FS_input_noty,J6046,FALSE)=""</f>
        <v>0</v>
      </c>
      <c r="H6060" s="6" t="s">
        <v>2189</v>
      </c>
      <c r="I6060" t="s">
        <v>1561</v>
      </c>
      <c r="J6060" t="s">
        <v>1561</v>
      </c>
      <c r="L6060">
        <f t="shared" si="350"/>
        <v>1</v>
      </c>
    </row>
    <row r="6061" spans="1:12" x14ac:dyDescent="0.35">
      <c r="A6061" s="9">
        <f t="shared" si="351"/>
        <v>6060</v>
      </c>
      <c r="B6061" t="s">
        <v>757</v>
      </c>
      <c r="C6061" s="109">
        <f>IF(ISBLANK(K6061),IFERROR(VLOOKUP(I6061,FS_input_data!$C$458:$N$648,Export!J6061,FALSE),""),K6061)</f>
        <v>208</v>
      </c>
      <c r="D6061" s="6" t="b">
        <v>0</v>
      </c>
      <c r="E6061" s="6"/>
      <c r="F6061" s="6"/>
      <c r="G6061" s="115" t="b">
        <f>VLOOKUP(I6046,FS_input_noty,J6046,FALSE)=""</f>
        <v>0</v>
      </c>
      <c r="H6061" s="6" t="s">
        <v>2189</v>
      </c>
      <c r="I6061" t="s">
        <v>2026</v>
      </c>
      <c r="J6061">
        <v>3</v>
      </c>
      <c r="L6061" s="26" t="e">
        <f t="shared" si="350"/>
        <v>#VALUE!</v>
      </c>
    </row>
    <row r="6062" spans="1:12" x14ac:dyDescent="0.35">
      <c r="A6062">
        <f t="shared" si="351"/>
        <v>6061</v>
      </c>
      <c r="B6062" t="s">
        <v>758</v>
      </c>
      <c r="C6062" s="109" t="str">
        <f>IF(ISBLANK(K6062),IFERROR(VLOOKUP(I6062,FS_input_data!$C$458:$N$648,Export!J6062,FALSE),""),K6062)</f>
        <v/>
      </c>
      <c r="D6062" s="6"/>
      <c r="E6062" s="6"/>
      <c r="F6062" s="6"/>
      <c r="G6062" s="115" t="b">
        <f>VLOOKUP(I6046,FS_input_noty,J6046,FALSE)=""</f>
        <v>0</v>
      </c>
      <c r="H6062" s="6" t="s">
        <v>2189</v>
      </c>
      <c r="I6062" t="s">
        <v>1561</v>
      </c>
      <c r="J6062" t="s">
        <v>1561</v>
      </c>
      <c r="L6062">
        <f t="shared" si="350"/>
        <v>1</v>
      </c>
    </row>
    <row r="6063" spans="1:12" x14ac:dyDescent="0.35">
      <c r="A6063" s="9">
        <f t="shared" si="351"/>
        <v>6062</v>
      </c>
      <c r="B6063" t="s">
        <v>759</v>
      </c>
      <c r="C6063" s="109">
        <f>IF(ISBLANK(K6063),IFERROR(VLOOKUP(I6063,FS_input_data!$C$458:$N$648,Export!J6063,FALSE),""),K6063)</f>
        <v>308</v>
      </c>
      <c r="D6063" s="6" t="b">
        <v>0</v>
      </c>
      <c r="E6063" s="6"/>
      <c r="F6063" s="6"/>
      <c r="G6063" s="115" t="b">
        <f>VLOOKUP(I6046,FS_input_noty,J6046,FALSE)=""</f>
        <v>0</v>
      </c>
      <c r="H6063" s="6" t="s">
        <v>2189</v>
      </c>
      <c r="I6063" t="s">
        <v>2026</v>
      </c>
      <c r="J6063">
        <v>4</v>
      </c>
      <c r="L6063" s="26" t="e">
        <f t="shared" si="350"/>
        <v>#VALUE!</v>
      </c>
    </row>
    <row r="6064" spans="1:12" x14ac:dyDescent="0.35">
      <c r="A6064">
        <f t="shared" si="351"/>
        <v>6063</v>
      </c>
      <c r="B6064" t="s">
        <v>760</v>
      </c>
      <c r="C6064" s="109" t="str">
        <f>IF(ISBLANK(K6064),IFERROR(VLOOKUP(I6064,FS_input_data!$C$458:$N$648,Export!J6064,FALSE),""),K6064)</f>
        <v/>
      </c>
      <c r="D6064" s="6"/>
      <c r="E6064" s="6"/>
      <c r="F6064" s="6"/>
      <c r="G6064" s="115" t="b">
        <f>VLOOKUP(I6046,FS_input_noty,J6046,FALSE)=""</f>
        <v>0</v>
      </c>
      <c r="H6064" s="6" t="s">
        <v>2189</v>
      </c>
      <c r="I6064" t="s">
        <v>1561</v>
      </c>
      <c r="J6064" t="s">
        <v>1561</v>
      </c>
      <c r="L6064">
        <f t="shared" si="350"/>
        <v>1</v>
      </c>
    </row>
    <row r="6065" spans="1:12" x14ac:dyDescent="0.35">
      <c r="A6065" s="9">
        <f t="shared" si="351"/>
        <v>6064</v>
      </c>
      <c r="B6065" t="s">
        <v>761</v>
      </c>
      <c r="C6065" s="109" t="str">
        <f>IF(ISBLANK(K6065),IFERROR(VLOOKUP(I6065,FS_input_data!$C$458:$N$648,Export!J6065,FALSE),""),K6065)</f>
        <v>b</v>
      </c>
      <c r="D6065" s="6" t="b">
        <v>0</v>
      </c>
      <c r="E6065" s="6"/>
      <c r="F6065" s="6"/>
      <c r="G6065" s="116" t="b">
        <f>VLOOKUP(I6046,FS_input_noty,J6046,FALSE)=""</f>
        <v>0</v>
      </c>
      <c r="H6065" s="6" t="s">
        <v>2189</v>
      </c>
      <c r="I6065" t="s">
        <v>2026</v>
      </c>
      <c r="J6065">
        <v>5</v>
      </c>
      <c r="L6065" s="26" t="e">
        <f t="shared" si="350"/>
        <v>#VALUE!</v>
      </c>
    </row>
    <row r="6066" spans="1:12" x14ac:dyDescent="0.35">
      <c r="A6066">
        <f t="shared" si="351"/>
        <v>6065</v>
      </c>
      <c r="B6066" t="s">
        <v>762</v>
      </c>
      <c r="C6066" s="109" t="str">
        <f>IF(ISBLANK(K6066),IFERROR(VLOOKUP(I6066,FS_input_data!$C$458:$N$648,Export!J6066,FALSE),""),K6066)</f>
        <v/>
      </c>
      <c r="D6066" s="6"/>
      <c r="E6066" s="6"/>
      <c r="F6066" s="6"/>
      <c r="G6066" s="116" t="b">
        <f>VLOOKUP(I6046,FS_input_noty,J6046,FALSE)=""</f>
        <v>0</v>
      </c>
      <c r="H6066" s="6" t="s">
        <v>2189</v>
      </c>
      <c r="I6066" t="s">
        <v>1561</v>
      </c>
      <c r="J6066" t="s">
        <v>1561</v>
      </c>
      <c r="L6066">
        <f t="shared" si="350"/>
        <v>1</v>
      </c>
    </row>
    <row r="6067" spans="1:12" x14ac:dyDescent="0.35">
      <c r="A6067">
        <f t="shared" si="351"/>
        <v>6066</v>
      </c>
      <c r="B6067" t="s">
        <v>763</v>
      </c>
      <c r="C6067" s="109" t="str">
        <f>IF(ISBLANK(K6067),IFERROR(VLOOKUP(I6067,FS_input_data!$C$458:$N$648,Export!J6067,FALSE),""),K6067)</f>
        <v/>
      </c>
      <c r="D6067" s="6"/>
      <c r="E6067" s="6"/>
      <c r="F6067" s="6"/>
      <c r="G6067" s="116" t="b">
        <f>VLOOKUP(I6046,FS_input_noty,J6046,FALSE)=""</f>
        <v>0</v>
      </c>
      <c r="H6067" s="6" t="s">
        <v>2189</v>
      </c>
      <c r="I6067" t="s">
        <v>1561</v>
      </c>
      <c r="J6067" t="s">
        <v>1561</v>
      </c>
      <c r="L6067">
        <f t="shared" si="350"/>
        <v>1</v>
      </c>
    </row>
    <row r="6068" spans="1:12" x14ac:dyDescent="0.35">
      <c r="A6068">
        <f t="shared" si="351"/>
        <v>6067</v>
      </c>
      <c r="B6068" t="s">
        <v>743</v>
      </c>
      <c r="C6068" s="109" t="str">
        <f>IF(ISBLANK(K6068),IFERROR(VLOOKUP(I6068,FS_input_data!$C$458:$N$648,Export!J6068,FALSE),""),K6068)</f>
        <v/>
      </c>
      <c r="D6068" s="6"/>
      <c r="E6068" s="6"/>
      <c r="F6068" s="6"/>
      <c r="G6068" s="116" t="b">
        <f>VLOOKUP(I6046,FS_input_noty,J6046,FALSE)=""</f>
        <v>0</v>
      </c>
      <c r="H6068" s="6" t="s">
        <v>2189</v>
      </c>
      <c r="I6068" t="s">
        <v>1561</v>
      </c>
      <c r="J6068" t="s">
        <v>1561</v>
      </c>
      <c r="L6068">
        <f t="shared" si="350"/>
        <v>1</v>
      </c>
    </row>
    <row r="6069" spans="1:12" x14ac:dyDescent="0.35">
      <c r="A6069">
        <f t="shared" si="351"/>
        <v>6068</v>
      </c>
      <c r="B6069" t="s">
        <v>744</v>
      </c>
      <c r="C6069" s="109" t="str">
        <f>IF(ISBLANK(K6069),IFERROR(VLOOKUP(I6069,FS_input_data!$C$458:$N$648,Export!J6069,FALSE),""),K6069)</f>
        <v/>
      </c>
      <c r="D6069" s="6"/>
      <c r="E6069" s="6"/>
      <c r="F6069" s="6"/>
      <c r="G6069" s="115" t="b">
        <f t="shared" ref="G6069:G6076" si="353">RP_tax</f>
        <v>1</v>
      </c>
      <c r="H6069" s="6" t="s">
        <v>2189</v>
      </c>
      <c r="I6069" t="s">
        <v>1561</v>
      </c>
      <c r="J6069" t="s">
        <v>1561</v>
      </c>
      <c r="L6069" s="26" t="e">
        <f t="shared" si="350"/>
        <v>#VALUE!</v>
      </c>
    </row>
    <row r="6070" spans="1:12" x14ac:dyDescent="0.35">
      <c r="A6070" s="9">
        <f t="shared" si="351"/>
        <v>6069</v>
      </c>
      <c r="B6070" t="s">
        <v>109</v>
      </c>
      <c r="C6070" s="109">
        <f>IF(ISBLANK(K6070),IFERROR(VLOOKUP(I6070,FS_input_data!$C$458:$N$648,Export!J6070,FALSE),""),K6070)</f>
        <v>10000</v>
      </c>
      <c r="D6070" s="6" t="b">
        <v>1</v>
      </c>
      <c r="E6070" s="6"/>
      <c r="F6070" s="6"/>
      <c r="G6070" s="115" t="b">
        <f t="shared" si="353"/>
        <v>1</v>
      </c>
      <c r="H6070" s="6" t="s">
        <v>2189</v>
      </c>
      <c r="I6070" t="s">
        <v>2026</v>
      </c>
      <c r="J6070">
        <v>10</v>
      </c>
      <c r="L6070" s="26" t="e">
        <f t="shared" si="350"/>
        <v>#VALUE!</v>
      </c>
    </row>
    <row r="6071" spans="1:12" x14ac:dyDescent="0.35">
      <c r="A6071">
        <f t="shared" si="351"/>
        <v>6070</v>
      </c>
      <c r="B6071" t="s">
        <v>110</v>
      </c>
      <c r="C6071" s="109" t="str">
        <f>IF(ISBLANK(K6071),IFERROR(VLOOKUP(I6071,FS_input_data!$C$458:$N$648,Export!J6071,FALSE),""),K6071)</f>
        <v/>
      </c>
      <c r="D6071" s="6"/>
      <c r="E6071" s="6"/>
      <c r="F6071" s="6"/>
      <c r="G6071" s="115" t="b">
        <f t="shared" si="353"/>
        <v>1</v>
      </c>
      <c r="H6071" s="6" t="s">
        <v>2189</v>
      </c>
      <c r="I6071" t="s">
        <v>1561</v>
      </c>
      <c r="J6071" t="s">
        <v>1561</v>
      </c>
      <c r="L6071">
        <f t="shared" si="350"/>
        <v>1</v>
      </c>
    </row>
    <row r="6072" spans="1:12" x14ac:dyDescent="0.35">
      <c r="A6072" s="9">
        <f t="shared" si="351"/>
        <v>6071</v>
      </c>
      <c r="B6072" t="s">
        <v>111</v>
      </c>
      <c r="C6072" s="109">
        <f>IF(ISBLANK(K6072),IFERROR(VLOOKUP(I6072,FS_input_data!$C$458:$N$648,Export!J6072,FALSE),""),K6072)</f>
        <v>5000</v>
      </c>
      <c r="D6072" s="6" t="b">
        <v>0</v>
      </c>
      <c r="E6072" s="6"/>
      <c r="F6072" s="6"/>
      <c r="G6072" s="115" t="b">
        <f t="shared" si="353"/>
        <v>1</v>
      </c>
      <c r="H6072" s="6" t="s">
        <v>2189</v>
      </c>
      <c r="I6072" t="s">
        <v>2026</v>
      </c>
      <c r="J6072">
        <v>11</v>
      </c>
      <c r="L6072" s="26" t="e">
        <f t="shared" si="350"/>
        <v>#VALUE!</v>
      </c>
    </row>
    <row r="6073" spans="1:12" x14ac:dyDescent="0.35">
      <c r="A6073">
        <f t="shared" si="351"/>
        <v>6072</v>
      </c>
      <c r="B6073" t="s">
        <v>112</v>
      </c>
      <c r="C6073" s="109" t="str">
        <f>IF(ISBLANK(K6073),IFERROR(VLOOKUP(I6073,FS_input_data!$C$458:$N$648,Export!J6073,FALSE),""),K6073)</f>
        <v/>
      </c>
      <c r="D6073" s="6"/>
      <c r="E6073" s="6"/>
      <c r="F6073" s="6"/>
      <c r="G6073" s="115" t="b">
        <f t="shared" si="353"/>
        <v>1</v>
      </c>
      <c r="H6073" s="6" t="s">
        <v>2189</v>
      </c>
      <c r="I6073" t="s">
        <v>1561</v>
      </c>
      <c r="J6073" t="s">
        <v>1561</v>
      </c>
      <c r="L6073">
        <f t="shared" si="350"/>
        <v>1</v>
      </c>
    </row>
    <row r="6074" spans="1:12" x14ac:dyDescent="0.35">
      <c r="A6074" s="9">
        <f t="shared" si="351"/>
        <v>6073</v>
      </c>
      <c r="B6074" t="s">
        <v>749</v>
      </c>
      <c r="C6074" s="109">
        <f>IF(ISBLANK(K6074),IFERROR(VLOOKUP(I6074,FS_input_data!$C$458:$N$648,Export!J6074,FALSE),""),K6074)</f>
        <v>5000</v>
      </c>
      <c r="D6074" s="6" t="b">
        <v>0</v>
      </c>
      <c r="E6074" s="6"/>
      <c r="F6074" s="6"/>
      <c r="G6074" s="115" t="b">
        <f t="shared" si="353"/>
        <v>1</v>
      </c>
      <c r="H6074" s="6" t="s">
        <v>2189</v>
      </c>
      <c r="I6074" t="s">
        <v>2026</v>
      </c>
      <c r="J6074">
        <v>12</v>
      </c>
      <c r="L6074" s="26" t="e">
        <f t="shared" si="350"/>
        <v>#VALUE!</v>
      </c>
    </row>
    <row r="6075" spans="1:12" x14ac:dyDescent="0.35">
      <c r="A6075">
        <f t="shared" si="351"/>
        <v>6074</v>
      </c>
      <c r="B6075" t="s">
        <v>750</v>
      </c>
      <c r="C6075" s="109" t="str">
        <f>IF(ISBLANK(K6075),IFERROR(VLOOKUP(I6075,FS_input_data!$C$458:$N$648,Export!J6075,FALSE),""),K6075)</f>
        <v/>
      </c>
      <c r="D6075" s="6"/>
      <c r="E6075" s="6"/>
      <c r="F6075" s="6"/>
      <c r="G6075" s="115" t="b">
        <f t="shared" si="353"/>
        <v>1</v>
      </c>
      <c r="H6075" s="6" t="s">
        <v>2189</v>
      </c>
      <c r="I6075" t="s">
        <v>1561</v>
      </c>
      <c r="J6075" t="s">
        <v>1561</v>
      </c>
      <c r="L6075">
        <f t="shared" si="350"/>
        <v>1</v>
      </c>
    </row>
    <row r="6076" spans="1:12" x14ac:dyDescent="0.35">
      <c r="A6076">
        <f t="shared" si="351"/>
        <v>6075</v>
      </c>
      <c r="B6076" t="s">
        <v>745</v>
      </c>
      <c r="C6076" s="109" t="str">
        <f>IF(ISBLANK(K6076),IFERROR(VLOOKUP(I6076,FS_input_data!$C$458:$N$648,Export!J6076,FALSE),""),K6076)</f>
        <v/>
      </c>
      <c r="D6076" s="6"/>
      <c r="E6076" s="6"/>
      <c r="F6076" s="6"/>
      <c r="G6076" s="115" t="b">
        <f t="shared" si="353"/>
        <v>1</v>
      </c>
      <c r="H6076" s="6" t="s">
        <v>2189</v>
      </c>
      <c r="I6076" t="s">
        <v>1561</v>
      </c>
      <c r="J6076" t="s">
        <v>1561</v>
      </c>
      <c r="L6076">
        <f t="shared" si="350"/>
        <v>1</v>
      </c>
    </row>
    <row r="6077" spans="1:12" x14ac:dyDescent="0.35">
      <c r="A6077">
        <f t="shared" si="351"/>
        <v>6076</v>
      </c>
      <c r="B6077" t="s">
        <v>764</v>
      </c>
      <c r="C6077" s="109" t="str">
        <f>IF(ISBLANK(K6077),IFERROR(VLOOKUP(I6077,FS_input_data!$C$458:$N$648,Export!J6077,FALSE),""),K6077)</f>
        <v/>
      </c>
      <c r="D6077" s="6"/>
      <c r="E6077" s="6"/>
      <c r="F6077" s="6"/>
      <c r="G6077" s="115" t="b">
        <f>VLOOKUP(I6046,FS_input_noty,J6046,FALSE)=""</f>
        <v>0</v>
      </c>
      <c r="H6077" s="6" t="s">
        <v>2189</v>
      </c>
      <c r="I6077" t="s">
        <v>1561</v>
      </c>
      <c r="J6077" t="s">
        <v>1561</v>
      </c>
      <c r="L6077">
        <f t="shared" si="350"/>
        <v>1</v>
      </c>
    </row>
    <row r="6078" spans="1:12" x14ac:dyDescent="0.35">
      <c r="A6078">
        <f t="shared" si="351"/>
        <v>6077</v>
      </c>
      <c r="B6078" t="s">
        <v>765</v>
      </c>
      <c r="C6078" s="109" t="str">
        <f>IF(ISBLANK(K6078),IFERROR(VLOOKUP(I6078,FS_input_data!$C$458:$N$648,Export!J6078,FALSE),""),K6078)</f>
        <v/>
      </c>
      <c r="D6078" s="6"/>
      <c r="E6078" s="6"/>
      <c r="F6078" s="6"/>
      <c r="G6078" s="115" t="b">
        <f>VLOOKUP(I6046,FS_input_noty,J6046,FALSE)=""</f>
        <v>0</v>
      </c>
      <c r="H6078" s="6" t="s">
        <v>2189</v>
      </c>
      <c r="I6078" t="s">
        <v>1561</v>
      </c>
      <c r="J6078" t="s">
        <v>1561</v>
      </c>
      <c r="L6078">
        <f t="shared" si="350"/>
        <v>1</v>
      </c>
    </row>
    <row r="6079" spans="1:12" x14ac:dyDescent="0.35">
      <c r="A6079">
        <f t="shared" si="351"/>
        <v>6078</v>
      </c>
      <c r="B6079" t="s">
        <v>752</v>
      </c>
      <c r="C6079" s="109" t="str">
        <f>IF(ISBLANK(K6079),IFERROR(VLOOKUP(I6079,FS_input_data!$C$458:$N$648,Export!J6079,FALSE),""),K6079)</f>
        <v/>
      </c>
      <c r="D6079" s="6"/>
      <c r="E6079" s="6"/>
      <c r="F6079" s="6"/>
      <c r="G6079" s="115" t="b">
        <f>VLOOKUP(I6080,FS_input_noty,J6080,FALSE)=""</f>
        <v>0</v>
      </c>
      <c r="H6079" s="6" t="s">
        <v>2189</v>
      </c>
      <c r="I6079" t="s">
        <v>1561</v>
      </c>
      <c r="J6079" t="s">
        <v>1561</v>
      </c>
      <c r="L6079" s="26" t="e">
        <f t="shared" si="350"/>
        <v>#VALUE!</v>
      </c>
    </row>
    <row r="6080" spans="1:12" x14ac:dyDescent="0.35">
      <c r="A6080" s="9">
        <f t="shared" si="351"/>
        <v>6079</v>
      </c>
      <c r="B6080" t="s">
        <v>101</v>
      </c>
      <c r="C6080" s="109" t="str">
        <f>IF(ISBLANK(K6080),IFERROR(VLOOKUP(I6080,FS_input_data!$C$458:$N$648,Export!J6080,FALSE),""),K6080)</f>
        <v>OC86</v>
      </c>
      <c r="D6080" s="6" t="b">
        <v>1</v>
      </c>
      <c r="E6080" s="6"/>
      <c r="F6080" s="6"/>
      <c r="G6080" s="115" t="b">
        <f>VLOOKUP(I6080,FS_input_noty,J6080,FALSE)=""</f>
        <v>0</v>
      </c>
      <c r="H6080" s="6" t="s">
        <v>2189</v>
      </c>
      <c r="I6080" t="s">
        <v>2028</v>
      </c>
      <c r="J6080">
        <v>6</v>
      </c>
      <c r="L6080" s="26" t="e">
        <f t="shared" si="350"/>
        <v>#VALUE!</v>
      </c>
    </row>
    <row r="6081" spans="1:12" x14ac:dyDescent="0.35">
      <c r="A6081">
        <f t="shared" si="351"/>
        <v>6080</v>
      </c>
      <c r="B6081" t="s">
        <v>102</v>
      </c>
      <c r="C6081" s="109" t="str">
        <f>IF(ISBLANK(K6081),IFERROR(VLOOKUP(I6081,FS_input_data!$C$458:$N$648,Export!J6081,FALSE),""),K6081)</f>
        <v/>
      </c>
      <c r="D6081" s="6"/>
      <c r="E6081" s="6"/>
      <c r="F6081" s="6"/>
      <c r="G6081" s="115" t="b">
        <f>VLOOKUP(I6080,FS_input_noty,J6080,FALSE)=""</f>
        <v>0</v>
      </c>
      <c r="H6081" s="6" t="s">
        <v>2189</v>
      </c>
      <c r="I6081" t="s">
        <v>1561</v>
      </c>
      <c r="J6081" t="s">
        <v>1561</v>
      </c>
      <c r="L6081">
        <f t="shared" si="350"/>
        <v>1</v>
      </c>
    </row>
    <row r="6082" spans="1:12" x14ac:dyDescent="0.35">
      <c r="A6082">
        <f t="shared" si="351"/>
        <v>6081</v>
      </c>
      <c r="B6082" t="s">
        <v>753</v>
      </c>
      <c r="C6082" s="109" t="str">
        <f>IF(ISBLANK(K6082),IFERROR(VLOOKUP(I6082,FS_input_data!$C$458:$N$648,Export!J6082,FALSE),""),K6082)</f>
        <v/>
      </c>
      <c r="D6082" s="6"/>
      <c r="E6082" s="6"/>
      <c r="F6082" s="6"/>
      <c r="G6082" s="115" t="b">
        <f>VLOOKUP(I6080,FS_input_noty,J6080,FALSE)=""</f>
        <v>0</v>
      </c>
      <c r="H6082" s="6" t="s">
        <v>2189</v>
      </c>
      <c r="I6082" t="s">
        <v>1561</v>
      </c>
      <c r="J6082" t="s">
        <v>1561</v>
      </c>
      <c r="L6082" s="26" t="e">
        <f t="shared" ref="L6082:L6145" si="354">FIND("/",B6082)</f>
        <v>#VALUE!</v>
      </c>
    </row>
    <row r="6083" spans="1:12" x14ac:dyDescent="0.35">
      <c r="A6083">
        <f t="shared" ref="A6083:A6146" si="355">A6082+1</f>
        <v>6082</v>
      </c>
      <c r="B6083" t="s">
        <v>742</v>
      </c>
      <c r="C6083" s="109" t="str">
        <f>IF(ISBLANK(K6083),IFERROR(VLOOKUP(I6083,FS_input_data!$C$458:$N$648,Export!J6083,FALSE),""),K6083)</f>
        <v/>
      </c>
      <c r="D6083" s="6"/>
      <c r="E6083" s="6"/>
      <c r="F6083" s="6"/>
      <c r="G6083" s="115" t="b">
        <f>VLOOKUP(I6080,FS_input_noty,J6080,FALSE)=""</f>
        <v>0</v>
      </c>
      <c r="H6083" s="6" t="s">
        <v>2189</v>
      </c>
      <c r="I6083" t="s">
        <v>1561</v>
      </c>
      <c r="J6083" t="s">
        <v>1561</v>
      </c>
      <c r="L6083" s="26" t="e">
        <f t="shared" si="354"/>
        <v>#VALUE!</v>
      </c>
    </row>
    <row r="6084" spans="1:12" x14ac:dyDescent="0.35">
      <c r="A6084">
        <f t="shared" si="355"/>
        <v>6083</v>
      </c>
      <c r="B6084" t="s">
        <v>748</v>
      </c>
      <c r="C6084" s="109" t="str">
        <f>IF(ISBLANK(K6084),IFERROR(VLOOKUP(I6084,FS_input_data!$C$458:$N$648,Export!J6084,FALSE),""),K6084)</f>
        <v/>
      </c>
      <c r="D6084" s="6"/>
      <c r="E6084" s="6"/>
      <c r="F6084" s="6"/>
      <c r="G6084" s="115" t="b">
        <f>VLOOKUP(I6080,FS_input_noty,J6080,FALSE)=""</f>
        <v>0</v>
      </c>
      <c r="H6084" s="6" t="s">
        <v>2189</v>
      </c>
      <c r="I6084" t="s">
        <v>1561</v>
      </c>
      <c r="J6084" t="s">
        <v>1561</v>
      </c>
      <c r="L6084" s="26" t="e">
        <f t="shared" si="354"/>
        <v>#VALUE!</v>
      </c>
    </row>
    <row r="6085" spans="1:12" x14ac:dyDescent="0.35">
      <c r="A6085" s="9">
        <f t="shared" si="355"/>
        <v>6084</v>
      </c>
      <c r="B6085" t="s">
        <v>109</v>
      </c>
      <c r="C6085" s="109">
        <f>IF(ISBLANK(K6085),IFERROR(VLOOKUP(I6085,FS_input_data!$C$458:$N$648,Export!J6085,FALSE),""),K6085)</f>
        <v>11000</v>
      </c>
      <c r="D6085" s="6" t="b">
        <v>1</v>
      </c>
      <c r="E6085" s="6"/>
      <c r="F6085" s="6"/>
      <c r="G6085" s="115" t="b">
        <f>VLOOKUP(I6080,FS_input_noty,J6080,FALSE)=""</f>
        <v>0</v>
      </c>
      <c r="H6085" s="6" t="s">
        <v>2189</v>
      </c>
      <c r="I6085" t="s">
        <v>2028</v>
      </c>
      <c r="J6085">
        <v>7</v>
      </c>
      <c r="L6085" s="26" t="e">
        <f t="shared" si="354"/>
        <v>#VALUE!</v>
      </c>
    </row>
    <row r="6086" spans="1:12" x14ac:dyDescent="0.35">
      <c r="A6086">
        <f t="shared" si="355"/>
        <v>6085</v>
      </c>
      <c r="B6086" t="s">
        <v>110</v>
      </c>
      <c r="C6086" s="109" t="str">
        <f>IF(ISBLANK(K6086),IFERROR(VLOOKUP(I6086,FS_input_data!$C$458:$N$648,Export!J6086,FALSE),""),K6086)</f>
        <v/>
      </c>
      <c r="D6086" s="6"/>
      <c r="E6086" s="6"/>
      <c r="F6086" s="6"/>
      <c r="G6086" s="115" t="b">
        <f>VLOOKUP(I6080,FS_input_noty,J6080,FALSE)=""</f>
        <v>0</v>
      </c>
      <c r="H6086" s="6" t="s">
        <v>2189</v>
      </c>
      <c r="I6086" t="s">
        <v>1561</v>
      </c>
      <c r="J6086" t="s">
        <v>1561</v>
      </c>
      <c r="L6086">
        <f t="shared" si="354"/>
        <v>1</v>
      </c>
    </row>
    <row r="6087" spans="1:12" x14ac:dyDescent="0.35">
      <c r="A6087" s="9">
        <f t="shared" si="355"/>
        <v>6086</v>
      </c>
      <c r="B6087" t="s">
        <v>111</v>
      </c>
      <c r="C6087" s="109">
        <f>IF(ISBLANK(K6087),IFERROR(VLOOKUP(I6087,FS_input_data!$C$458:$N$648,Export!J6087,FALSE),""),K6087)</f>
        <v>5500</v>
      </c>
      <c r="D6087" s="6" t="b">
        <v>0</v>
      </c>
      <c r="E6087" s="6"/>
      <c r="F6087" s="6"/>
      <c r="G6087" s="115" t="b">
        <f>VLOOKUP(I6080,FS_input_noty,J6080,TRUE)=""</f>
        <v>0</v>
      </c>
      <c r="H6087" s="6" t="s">
        <v>2189</v>
      </c>
      <c r="I6087" t="s">
        <v>2028</v>
      </c>
      <c r="J6087">
        <v>8</v>
      </c>
      <c r="L6087" s="26" t="e">
        <f t="shared" si="354"/>
        <v>#VALUE!</v>
      </c>
    </row>
    <row r="6088" spans="1:12" x14ac:dyDescent="0.35">
      <c r="A6088">
        <f t="shared" si="355"/>
        <v>6087</v>
      </c>
      <c r="B6088" t="s">
        <v>112</v>
      </c>
      <c r="C6088" s="109" t="str">
        <f>IF(ISBLANK(K6088),IFERROR(VLOOKUP(I6088,FS_input_data!$C$458:$N$648,Export!J6088,FALSE),""),K6088)</f>
        <v/>
      </c>
      <c r="D6088" s="6"/>
      <c r="E6088" s="6"/>
      <c r="F6088" s="6"/>
      <c r="G6088" s="115" t="b">
        <f>VLOOKUP(I6080,FS_input_noty,J6080,FALSE)=""</f>
        <v>0</v>
      </c>
      <c r="H6088" s="6" t="s">
        <v>2189</v>
      </c>
      <c r="I6088" t="s">
        <v>1561</v>
      </c>
      <c r="J6088" t="s">
        <v>1561</v>
      </c>
      <c r="L6088">
        <f t="shared" si="354"/>
        <v>1</v>
      </c>
    </row>
    <row r="6089" spans="1:12" x14ac:dyDescent="0.35">
      <c r="A6089" s="9">
        <f t="shared" si="355"/>
        <v>6088</v>
      </c>
      <c r="B6089" t="s">
        <v>749</v>
      </c>
      <c r="C6089" s="109">
        <f>IF(ISBLANK(K6089),IFERROR(VLOOKUP(I6089,FS_input_data!$C$458:$N$648,Export!J6089,FALSE),""),K6089)</f>
        <v>5500</v>
      </c>
      <c r="D6089" s="6" t="b">
        <v>0</v>
      </c>
      <c r="E6089" s="6"/>
      <c r="F6089" s="6"/>
      <c r="G6089" s="115" t="b">
        <f>VLOOKUP(I6080,FS_input_noty,J6080,FALSE)=""</f>
        <v>0</v>
      </c>
      <c r="H6089" s="6" t="s">
        <v>2189</v>
      </c>
      <c r="I6089" t="s">
        <v>2028</v>
      </c>
      <c r="J6089">
        <v>9</v>
      </c>
      <c r="L6089" s="26" t="e">
        <f t="shared" si="354"/>
        <v>#VALUE!</v>
      </c>
    </row>
    <row r="6090" spans="1:12" x14ac:dyDescent="0.35">
      <c r="A6090">
        <f t="shared" si="355"/>
        <v>6089</v>
      </c>
      <c r="B6090" t="s">
        <v>750</v>
      </c>
      <c r="C6090" s="109" t="str">
        <f>IF(ISBLANK(K6090),IFERROR(VLOOKUP(I6090,FS_input_data!$C$458:$N$648,Export!J6090,FALSE),""),K6090)</f>
        <v/>
      </c>
      <c r="D6090" s="6"/>
      <c r="E6090" s="6"/>
      <c r="F6090" s="6"/>
      <c r="G6090" s="115" t="b">
        <f>VLOOKUP(I6080,FS_input_noty,J6080,FALSE)=""</f>
        <v>0</v>
      </c>
      <c r="H6090" s="6" t="s">
        <v>2189</v>
      </c>
      <c r="I6090" t="s">
        <v>1561</v>
      </c>
      <c r="J6090" t="s">
        <v>1561</v>
      </c>
      <c r="L6090">
        <f t="shared" si="354"/>
        <v>1</v>
      </c>
    </row>
    <row r="6091" spans="1:12" x14ac:dyDescent="0.35">
      <c r="A6091">
        <f t="shared" si="355"/>
        <v>6090</v>
      </c>
      <c r="B6091" t="s">
        <v>751</v>
      </c>
      <c r="C6091" s="109" t="str">
        <f>IF(ISBLANK(K6091),IFERROR(VLOOKUP(I6091,FS_input_data!$C$458:$N$648,Export!J6091,FALSE),""),K6091)</f>
        <v/>
      </c>
      <c r="D6091" s="6"/>
      <c r="E6091" s="6"/>
      <c r="F6091" s="6"/>
      <c r="G6091" s="115" t="b">
        <f>VLOOKUP(I6080,FS_input_noty,J6080,FALSE)=""</f>
        <v>0</v>
      </c>
      <c r="H6091" s="6" t="s">
        <v>2189</v>
      </c>
      <c r="I6091" t="s">
        <v>1561</v>
      </c>
      <c r="J6091" t="s">
        <v>1561</v>
      </c>
      <c r="L6091">
        <f t="shared" si="354"/>
        <v>1</v>
      </c>
    </row>
    <row r="6092" spans="1:12" x14ac:dyDescent="0.35">
      <c r="A6092">
        <f t="shared" si="355"/>
        <v>6091</v>
      </c>
      <c r="B6092" t="s">
        <v>754</v>
      </c>
      <c r="C6092" s="109" t="str">
        <f>IF(ISBLANK(K6092),IFERROR(VLOOKUP(I6092,FS_input_data!$C$458:$N$648,Export!J6092,FALSE),""),K6092)</f>
        <v/>
      </c>
      <c r="D6092" s="6"/>
      <c r="E6092" s="6"/>
      <c r="F6092" s="6"/>
      <c r="G6092" s="115" t="b">
        <f>VLOOKUP(I6080,FS_input_noty,J6080,FALSE)=""</f>
        <v>0</v>
      </c>
      <c r="H6092" s="6" t="s">
        <v>2189</v>
      </c>
      <c r="I6092" t="s">
        <v>1561</v>
      </c>
      <c r="J6092" t="s">
        <v>1561</v>
      </c>
      <c r="L6092" s="26" t="e">
        <f t="shared" si="354"/>
        <v>#VALUE!</v>
      </c>
    </row>
    <row r="6093" spans="1:12" x14ac:dyDescent="0.35">
      <c r="A6093" s="9">
        <f t="shared" si="355"/>
        <v>6092</v>
      </c>
      <c r="B6093" t="s">
        <v>755</v>
      </c>
      <c r="C6093" s="109">
        <f>IF(ISBLANK(K6093),IFERROR(VLOOKUP(I6093,FS_input_data!$C$458:$N$648,Export!J6093,FALSE),""),K6093)</f>
        <v>109</v>
      </c>
      <c r="D6093" s="6" t="b">
        <v>1</v>
      </c>
      <c r="E6093" s="6"/>
      <c r="F6093" s="6"/>
      <c r="G6093" s="115" t="b">
        <f>VLOOKUP(I6080,FS_input_noty,J6080,FALSE)=""</f>
        <v>0</v>
      </c>
      <c r="H6093" s="6" t="s">
        <v>2189</v>
      </c>
      <c r="I6093" t="s">
        <v>2028</v>
      </c>
      <c r="J6093">
        <v>2</v>
      </c>
      <c r="L6093" s="26" t="e">
        <f t="shared" si="354"/>
        <v>#VALUE!</v>
      </c>
    </row>
    <row r="6094" spans="1:12" x14ac:dyDescent="0.35">
      <c r="A6094">
        <f t="shared" si="355"/>
        <v>6093</v>
      </c>
      <c r="B6094" t="s">
        <v>756</v>
      </c>
      <c r="C6094" s="109" t="str">
        <f>IF(ISBLANK(K6094),IFERROR(VLOOKUP(I6094,FS_input_data!$C$458:$N$648,Export!J6094,FALSE),""),K6094)</f>
        <v/>
      </c>
      <c r="D6094" s="6"/>
      <c r="E6094" s="6"/>
      <c r="F6094" s="6"/>
      <c r="G6094" s="115" t="b">
        <f>VLOOKUP(I6080,FS_input_noty,J6080,FALSE)=""</f>
        <v>0</v>
      </c>
      <c r="H6094" s="6" t="s">
        <v>2189</v>
      </c>
      <c r="I6094" t="s">
        <v>1561</v>
      </c>
      <c r="J6094" t="s">
        <v>1561</v>
      </c>
      <c r="L6094">
        <f t="shared" si="354"/>
        <v>1</v>
      </c>
    </row>
    <row r="6095" spans="1:12" x14ac:dyDescent="0.35">
      <c r="A6095" s="9">
        <f t="shared" si="355"/>
        <v>6094</v>
      </c>
      <c r="B6095" t="s">
        <v>757</v>
      </c>
      <c r="C6095" s="109">
        <f>IF(ISBLANK(K6095),IFERROR(VLOOKUP(I6095,FS_input_data!$C$458:$N$648,Export!J6095,FALSE),""),K6095)</f>
        <v>209</v>
      </c>
      <c r="D6095" s="6" t="b">
        <v>0</v>
      </c>
      <c r="E6095" s="6"/>
      <c r="F6095" s="6"/>
      <c r="G6095" s="115" t="b">
        <f>VLOOKUP(I6080,FS_input_noty,J6080,FALSE)=""</f>
        <v>0</v>
      </c>
      <c r="H6095" s="6" t="s">
        <v>2189</v>
      </c>
      <c r="I6095" t="s">
        <v>2028</v>
      </c>
      <c r="J6095">
        <v>3</v>
      </c>
      <c r="L6095" s="26" t="e">
        <f t="shared" si="354"/>
        <v>#VALUE!</v>
      </c>
    </row>
    <row r="6096" spans="1:12" x14ac:dyDescent="0.35">
      <c r="A6096">
        <f t="shared" si="355"/>
        <v>6095</v>
      </c>
      <c r="B6096" t="s">
        <v>758</v>
      </c>
      <c r="C6096" s="109" t="str">
        <f>IF(ISBLANK(K6096),IFERROR(VLOOKUP(I6096,FS_input_data!$C$458:$N$648,Export!J6096,FALSE),""),K6096)</f>
        <v/>
      </c>
      <c r="D6096" s="6"/>
      <c r="E6096" s="6"/>
      <c r="F6096" s="6"/>
      <c r="G6096" s="115" t="b">
        <f>VLOOKUP(I6080,FS_input_noty,J6080,FALSE)=""</f>
        <v>0</v>
      </c>
      <c r="H6096" s="6" t="s">
        <v>2189</v>
      </c>
      <c r="I6096" t="s">
        <v>1561</v>
      </c>
      <c r="J6096" t="s">
        <v>1561</v>
      </c>
      <c r="L6096">
        <f t="shared" si="354"/>
        <v>1</v>
      </c>
    </row>
    <row r="6097" spans="1:12" x14ac:dyDescent="0.35">
      <c r="A6097" s="9">
        <f t="shared" si="355"/>
        <v>6096</v>
      </c>
      <c r="B6097" t="s">
        <v>759</v>
      </c>
      <c r="C6097" s="109">
        <f>IF(ISBLANK(K6097),IFERROR(VLOOKUP(I6097,FS_input_data!$C$458:$N$648,Export!J6097,FALSE),""),K6097)</f>
        <v>309</v>
      </c>
      <c r="D6097" s="6" t="b">
        <v>0</v>
      </c>
      <c r="E6097" s="6"/>
      <c r="F6097" s="6"/>
      <c r="G6097" s="115" t="b">
        <f>VLOOKUP(I6080,FS_input_noty,J6080,FALSE)=""</f>
        <v>0</v>
      </c>
      <c r="H6097" s="6" t="s">
        <v>2189</v>
      </c>
      <c r="I6097" t="s">
        <v>2028</v>
      </c>
      <c r="J6097">
        <v>4</v>
      </c>
      <c r="L6097" s="26" t="e">
        <f t="shared" si="354"/>
        <v>#VALUE!</v>
      </c>
    </row>
    <row r="6098" spans="1:12" x14ac:dyDescent="0.35">
      <c r="A6098">
        <f t="shared" si="355"/>
        <v>6097</v>
      </c>
      <c r="B6098" t="s">
        <v>760</v>
      </c>
      <c r="C6098" s="109" t="str">
        <f>IF(ISBLANK(K6098),IFERROR(VLOOKUP(I6098,FS_input_data!$C$458:$N$648,Export!J6098,FALSE),""),K6098)</f>
        <v/>
      </c>
      <c r="D6098" s="6"/>
      <c r="E6098" s="6"/>
      <c r="F6098" s="6"/>
      <c r="G6098" s="115" t="b">
        <f>VLOOKUP(I6080,FS_input_noty,J6080,FALSE)=""</f>
        <v>0</v>
      </c>
      <c r="H6098" s="6" t="s">
        <v>2189</v>
      </c>
      <c r="I6098" t="s">
        <v>1561</v>
      </c>
      <c r="J6098" t="s">
        <v>1561</v>
      </c>
      <c r="L6098">
        <f t="shared" si="354"/>
        <v>1</v>
      </c>
    </row>
    <row r="6099" spans="1:12" x14ac:dyDescent="0.35">
      <c r="A6099" s="9">
        <f t="shared" si="355"/>
        <v>6098</v>
      </c>
      <c r="B6099" t="s">
        <v>761</v>
      </c>
      <c r="C6099" s="109" t="str">
        <f>IF(ISBLANK(K6099),IFERROR(VLOOKUP(I6099,FS_input_data!$C$458:$N$648,Export!J6099,FALSE),""),K6099)</f>
        <v>c</v>
      </c>
      <c r="D6099" s="6" t="b">
        <v>0</v>
      </c>
      <c r="E6099" s="6"/>
      <c r="F6099" s="6"/>
      <c r="G6099" s="115" t="b">
        <f>VLOOKUP(I6080,FS_input_noty,J6080,FALSE)=""</f>
        <v>0</v>
      </c>
      <c r="H6099" s="6" t="s">
        <v>2189</v>
      </c>
      <c r="I6099" t="s">
        <v>2028</v>
      </c>
      <c r="J6099">
        <v>5</v>
      </c>
      <c r="L6099" s="26" t="e">
        <f t="shared" si="354"/>
        <v>#VALUE!</v>
      </c>
    </row>
    <row r="6100" spans="1:12" x14ac:dyDescent="0.35">
      <c r="A6100">
        <f t="shared" si="355"/>
        <v>6099</v>
      </c>
      <c r="B6100" t="s">
        <v>762</v>
      </c>
      <c r="C6100" s="109" t="str">
        <f>IF(ISBLANK(K6100),IFERROR(VLOOKUP(I6100,FS_input_data!$C$458:$N$648,Export!J6100,FALSE),""),K6100)</f>
        <v/>
      </c>
      <c r="D6100" s="6"/>
      <c r="E6100" s="6"/>
      <c r="F6100" s="6"/>
      <c r="G6100" s="115" t="b">
        <f>VLOOKUP(I6080,FS_input_noty,J6080,FALSE)=""</f>
        <v>0</v>
      </c>
      <c r="H6100" s="6" t="s">
        <v>2189</v>
      </c>
      <c r="I6100" t="s">
        <v>1561</v>
      </c>
      <c r="J6100" t="s">
        <v>1561</v>
      </c>
      <c r="L6100">
        <f t="shared" si="354"/>
        <v>1</v>
      </c>
    </row>
    <row r="6101" spans="1:12" x14ac:dyDescent="0.35">
      <c r="A6101">
        <f t="shared" si="355"/>
        <v>6100</v>
      </c>
      <c r="B6101" t="s">
        <v>763</v>
      </c>
      <c r="C6101" s="109" t="str">
        <f>IF(ISBLANK(K6101),IFERROR(VLOOKUP(I6101,FS_input_data!$C$458:$N$648,Export!J6101,FALSE),""),K6101)</f>
        <v/>
      </c>
      <c r="D6101" s="6"/>
      <c r="E6101" s="6"/>
      <c r="F6101" s="6"/>
      <c r="G6101" s="115" t="b">
        <f>VLOOKUP(I6080,FS_input_noty,J6080,FALSE)=""</f>
        <v>0</v>
      </c>
      <c r="H6101" s="6" t="s">
        <v>2189</v>
      </c>
      <c r="I6101" t="s">
        <v>1561</v>
      </c>
      <c r="J6101" t="s">
        <v>1561</v>
      </c>
      <c r="L6101">
        <f t="shared" si="354"/>
        <v>1</v>
      </c>
    </row>
    <row r="6102" spans="1:12" x14ac:dyDescent="0.35">
      <c r="A6102">
        <f t="shared" si="355"/>
        <v>6101</v>
      </c>
      <c r="B6102" t="s">
        <v>743</v>
      </c>
      <c r="C6102" s="109" t="str">
        <f>IF(ISBLANK(K6102),IFERROR(VLOOKUP(I6102,FS_input_data!$C$458:$N$648,Export!J6102,FALSE),""),K6102)</f>
        <v/>
      </c>
      <c r="D6102" s="6"/>
      <c r="E6102" s="6"/>
      <c r="F6102" s="6"/>
      <c r="G6102" s="115" t="b">
        <f>VLOOKUP(I6080,FS_input_noty,J6080,FALSE)=""</f>
        <v>0</v>
      </c>
      <c r="H6102" s="6" t="s">
        <v>2189</v>
      </c>
      <c r="I6102" t="s">
        <v>1561</v>
      </c>
      <c r="J6102" t="s">
        <v>1561</v>
      </c>
      <c r="L6102">
        <f t="shared" si="354"/>
        <v>1</v>
      </c>
    </row>
    <row r="6103" spans="1:12" x14ac:dyDescent="0.35">
      <c r="A6103">
        <f t="shared" si="355"/>
        <v>6102</v>
      </c>
      <c r="B6103" t="s">
        <v>744</v>
      </c>
      <c r="C6103" s="109" t="str">
        <f>IF(ISBLANK(K6103),IFERROR(VLOOKUP(I6103,FS_input_data!$C$458:$N$648,Export!J6103,FALSE),""),K6103)</f>
        <v/>
      </c>
      <c r="D6103" s="6"/>
      <c r="E6103" s="6"/>
      <c r="F6103" s="6"/>
      <c r="G6103" s="115" t="b">
        <f t="shared" ref="G6103:G6110" si="356">RP_tax</f>
        <v>1</v>
      </c>
      <c r="H6103" s="6" t="s">
        <v>2189</v>
      </c>
      <c r="I6103" t="s">
        <v>1561</v>
      </c>
      <c r="J6103" t="s">
        <v>1561</v>
      </c>
      <c r="L6103" s="26" t="e">
        <f t="shared" si="354"/>
        <v>#VALUE!</v>
      </c>
    </row>
    <row r="6104" spans="1:12" x14ac:dyDescent="0.35">
      <c r="A6104" s="9">
        <f t="shared" si="355"/>
        <v>6103</v>
      </c>
      <c r="B6104" t="s">
        <v>109</v>
      </c>
      <c r="C6104" s="109">
        <f>IF(ISBLANK(K6104),IFERROR(VLOOKUP(I6104,FS_input_data!$C$458:$N$648,Export!J6104,FALSE),""),K6104)</f>
        <v>11000</v>
      </c>
      <c r="D6104" s="6" t="b">
        <v>1</v>
      </c>
      <c r="E6104" s="6"/>
      <c r="F6104" s="6"/>
      <c r="G6104" s="115" t="b">
        <f t="shared" si="356"/>
        <v>1</v>
      </c>
      <c r="H6104" s="6" t="s">
        <v>2189</v>
      </c>
      <c r="I6104" t="s">
        <v>2028</v>
      </c>
      <c r="J6104">
        <v>10</v>
      </c>
      <c r="L6104" s="26" t="e">
        <f t="shared" si="354"/>
        <v>#VALUE!</v>
      </c>
    </row>
    <row r="6105" spans="1:12" x14ac:dyDescent="0.35">
      <c r="A6105">
        <f t="shared" si="355"/>
        <v>6104</v>
      </c>
      <c r="B6105" t="s">
        <v>110</v>
      </c>
      <c r="C6105" s="109" t="str">
        <f>IF(ISBLANK(K6105),IFERROR(VLOOKUP(I6105,FS_input_data!$C$458:$N$648,Export!J6105,FALSE),""),K6105)</f>
        <v/>
      </c>
      <c r="D6105" s="6"/>
      <c r="E6105" s="6"/>
      <c r="F6105" s="6"/>
      <c r="G6105" s="115" t="b">
        <f t="shared" si="356"/>
        <v>1</v>
      </c>
      <c r="H6105" s="6" t="s">
        <v>2189</v>
      </c>
      <c r="I6105" t="s">
        <v>1561</v>
      </c>
      <c r="J6105" t="s">
        <v>1561</v>
      </c>
      <c r="L6105">
        <f t="shared" si="354"/>
        <v>1</v>
      </c>
    </row>
    <row r="6106" spans="1:12" x14ac:dyDescent="0.35">
      <c r="A6106" s="9">
        <f t="shared" si="355"/>
        <v>6105</v>
      </c>
      <c r="B6106" t="s">
        <v>111</v>
      </c>
      <c r="C6106" s="109">
        <f>IF(ISBLANK(K6106),IFERROR(VLOOKUP(I6106,FS_input_data!$C$458:$N$648,Export!J6106,FALSE),""),K6106)</f>
        <v>5500</v>
      </c>
      <c r="D6106" s="6" t="b">
        <v>0</v>
      </c>
      <c r="E6106" s="6"/>
      <c r="F6106" s="6"/>
      <c r="G6106" s="115" t="b">
        <f t="shared" si="356"/>
        <v>1</v>
      </c>
      <c r="H6106" s="6" t="s">
        <v>2189</v>
      </c>
      <c r="I6106" t="s">
        <v>2028</v>
      </c>
      <c r="J6106">
        <v>11</v>
      </c>
      <c r="L6106" s="26" t="e">
        <f t="shared" si="354"/>
        <v>#VALUE!</v>
      </c>
    </row>
    <row r="6107" spans="1:12" x14ac:dyDescent="0.35">
      <c r="A6107">
        <f t="shared" si="355"/>
        <v>6106</v>
      </c>
      <c r="B6107" t="s">
        <v>112</v>
      </c>
      <c r="C6107" s="109" t="str">
        <f>IF(ISBLANK(K6107),IFERROR(VLOOKUP(I6107,FS_input_data!$C$458:$N$648,Export!J6107,FALSE),""),K6107)</f>
        <v/>
      </c>
      <c r="D6107" s="6"/>
      <c r="E6107" s="6"/>
      <c r="F6107" s="6"/>
      <c r="G6107" s="115" t="b">
        <f t="shared" si="356"/>
        <v>1</v>
      </c>
      <c r="H6107" s="6" t="s">
        <v>2189</v>
      </c>
      <c r="I6107" t="s">
        <v>1561</v>
      </c>
      <c r="J6107" t="s">
        <v>1561</v>
      </c>
      <c r="L6107">
        <f t="shared" si="354"/>
        <v>1</v>
      </c>
    </row>
    <row r="6108" spans="1:12" x14ac:dyDescent="0.35">
      <c r="A6108" s="9">
        <f t="shared" si="355"/>
        <v>6107</v>
      </c>
      <c r="B6108" t="s">
        <v>749</v>
      </c>
      <c r="C6108" s="109">
        <f>IF(ISBLANK(K6108),IFERROR(VLOOKUP(I6108,FS_input_data!$C$458:$N$648,Export!J6108,FALSE),""),K6108)</f>
        <v>5500</v>
      </c>
      <c r="D6108" s="6" t="b">
        <v>0</v>
      </c>
      <c r="E6108" s="6"/>
      <c r="F6108" s="6"/>
      <c r="G6108" s="115" t="b">
        <f t="shared" si="356"/>
        <v>1</v>
      </c>
      <c r="H6108" s="6" t="s">
        <v>2189</v>
      </c>
      <c r="I6108" t="s">
        <v>2028</v>
      </c>
      <c r="J6108">
        <v>12</v>
      </c>
      <c r="L6108" s="26" t="e">
        <f t="shared" si="354"/>
        <v>#VALUE!</v>
      </c>
    </row>
    <row r="6109" spans="1:12" x14ac:dyDescent="0.35">
      <c r="A6109">
        <f t="shared" si="355"/>
        <v>6108</v>
      </c>
      <c r="B6109" t="s">
        <v>750</v>
      </c>
      <c r="C6109" s="109" t="str">
        <f>IF(ISBLANK(K6109),IFERROR(VLOOKUP(I6109,FS_input_data!$C$458:$N$648,Export!J6109,FALSE),""),K6109)</f>
        <v/>
      </c>
      <c r="D6109" s="6"/>
      <c r="E6109" s="6"/>
      <c r="F6109" s="6"/>
      <c r="G6109" s="115" t="b">
        <f t="shared" si="356"/>
        <v>1</v>
      </c>
      <c r="H6109" s="6" t="s">
        <v>2189</v>
      </c>
      <c r="I6109" t="s">
        <v>1561</v>
      </c>
      <c r="J6109" t="s">
        <v>1561</v>
      </c>
      <c r="L6109">
        <f t="shared" si="354"/>
        <v>1</v>
      </c>
    </row>
    <row r="6110" spans="1:12" x14ac:dyDescent="0.35">
      <c r="A6110">
        <f t="shared" si="355"/>
        <v>6109</v>
      </c>
      <c r="B6110" t="s">
        <v>745</v>
      </c>
      <c r="C6110" s="109" t="str">
        <f>IF(ISBLANK(K6110),IFERROR(VLOOKUP(I6110,FS_input_data!$C$458:$N$648,Export!J6110,FALSE),""),K6110)</f>
        <v/>
      </c>
      <c r="D6110" s="6"/>
      <c r="E6110" s="6"/>
      <c r="F6110" s="6"/>
      <c r="G6110" s="115" t="b">
        <f t="shared" si="356"/>
        <v>1</v>
      </c>
      <c r="H6110" s="6" t="s">
        <v>2189</v>
      </c>
      <c r="I6110" t="s">
        <v>1561</v>
      </c>
      <c r="J6110" t="s">
        <v>1561</v>
      </c>
      <c r="L6110">
        <f t="shared" si="354"/>
        <v>1</v>
      </c>
    </row>
    <row r="6111" spans="1:12" x14ac:dyDescent="0.35">
      <c r="A6111">
        <f t="shared" si="355"/>
        <v>6110</v>
      </c>
      <c r="B6111" t="s">
        <v>764</v>
      </c>
      <c r="C6111" s="109" t="str">
        <f>IF(ISBLANK(K6111),IFERROR(VLOOKUP(I6111,FS_input_data!$C$458:$N$648,Export!J6111,FALSE),""),K6111)</f>
        <v/>
      </c>
      <c r="D6111" s="6"/>
      <c r="E6111" s="6"/>
      <c r="F6111" s="6"/>
      <c r="G6111" s="115" t="b">
        <f>VLOOKUP(I6080,FS_input_noty,J6080,FALSE)=""</f>
        <v>0</v>
      </c>
      <c r="H6111" s="6" t="s">
        <v>2189</v>
      </c>
      <c r="I6111" t="s">
        <v>1561</v>
      </c>
      <c r="J6111" t="s">
        <v>1561</v>
      </c>
      <c r="L6111">
        <f t="shared" si="354"/>
        <v>1</v>
      </c>
    </row>
    <row r="6112" spans="1:12" x14ac:dyDescent="0.35">
      <c r="A6112">
        <f t="shared" si="355"/>
        <v>6111</v>
      </c>
      <c r="B6112" t="s">
        <v>765</v>
      </c>
      <c r="C6112" s="109" t="str">
        <f>IF(ISBLANK(K6112),IFERROR(VLOOKUP(I6112,FS_input_data!$C$458:$N$648,Export!J6112,FALSE),""),K6112)</f>
        <v/>
      </c>
      <c r="D6112" s="6"/>
      <c r="E6112" s="6"/>
      <c r="F6112" s="6"/>
      <c r="G6112" s="115" t="b">
        <f>VLOOKUP(I6080,FS_input_noty,J6080,FALSE)=""</f>
        <v>0</v>
      </c>
      <c r="H6112" s="6" t="s">
        <v>2189</v>
      </c>
      <c r="I6112" t="s">
        <v>1561</v>
      </c>
      <c r="J6112" t="s">
        <v>1561</v>
      </c>
      <c r="L6112">
        <f t="shared" si="354"/>
        <v>1</v>
      </c>
    </row>
    <row r="6113" spans="1:12" x14ac:dyDescent="0.35">
      <c r="A6113">
        <f t="shared" si="355"/>
        <v>6112</v>
      </c>
      <c r="B6113" t="s">
        <v>752</v>
      </c>
      <c r="C6113" s="109" t="str">
        <f>IF(ISBLANK(K6113),IFERROR(VLOOKUP(I6113,FS_input_data!$C$458:$N$648,Export!J6113,FALSE),""),K6113)</f>
        <v/>
      </c>
      <c r="D6113" s="6"/>
      <c r="E6113" s="6"/>
      <c r="F6113" s="6"/>
      <c r="G6113" s="115" t="b">
        <f>VLOOKUP(I6114,FS_input_noty,J6114,FALSE)=""</f>
        <v>0</v>
      </c>
      <c r="H6113" s="6" t="s">
        <v>2189</v>
      </c>
      <c r="I6113" t="s">
        <v>1561</v>
      </c>
      <c r="J6113" t="s">
        <v>1561</v>
      </c>
      <c r="L6113" s="26" t="e">
        <f t="shared" si="354"/>
        <v>#VALUE!</v>
      </c>
    </row>
    <row r="6114" spans="1:12" x14ac:dyDescent="0.35">
      <c r="A6114" s="9">
        <f t="shared" si="355"/>
        <v>6113</v>
      </c>
      <c r="B6114" t="s">
        <v>101</v>
      </c>
      <c r="C6114" s="109" t="str">
        <f>IF(ISBLANK(K6114),IFERROR(VLOOKUP(I6114,FS_input_data!$C$458:$N$648,Export!J6114,FALSE),""),K6114)</f>
        <v>OC87</v>
      </c>
      <c r="D6114" s="6" t="b">
        <v>1</v>
      </c>
      <c r="E6114" s="6"/>
      <c r="F6114" s="6"/>
      <c r="G6114" s="115" t="b">
        <f>VLOOKUP(I6114,FS_input_noty,J6114,FALSE)=""</f>
        <v>0</v>
      </c>
      <c r="H6114" s="6" t="s">
        <v>2189</v>
      </c>
      <c r="I6114" t="s">
        <v>2030</v>
      </c>
      <c r="J6114">
        <v>6</v>
      </c>
      <c r="L6114" s="26" t="e">
        <f t="shared" si="354"/>
        <v>#VALUE!</v>
      </c>
    </row>
    <row r="6115" spans="1:12" x14ac:dyDescent="0.35">
      <c r="A6115">
        <f t="shared" si="355"/>
        <v>6114</v>
      </c>
      <c r="B6115" t="s">
        <v>102</v>
      </c>
      <c r="C6115" s="109" t="str">
        <f>IF(ISBLANK(K6115),IFERROR(VLOOKUP(I6115,FS_input_data!$C$458:$N$648,Export!J6115,FALSE),""),K6115)</f>
        <v/>
      </c>
      <c r="D6115" s="6"/>
      <c r="E6115" s="6"/>
      <c r="F6115" s="6"/>
      <c r="G6115" s="115" t="b">
        <f>VLOOKUP(I6114,FS_input_noty,J6114,FALSE)=""</f>
        <v>0</v>
      </c>
      <c r="H6115" s="6" t="s">
        <v>2189</v>
      </c>
      <c r="I6115" t="s">
        <v>1561</v>
      </c>
      <c r="J6115" t="s">
        <v>1561</v>
      </c>
      <c r="L6115">
        <f t="shared" si="354"/>
        <v>1</v>
      </c>
    </row>
    <row r="6116" spans="1:12" x14ac:dyDescent="0.35">
      <c r="A6116">
        <f t="shared" si="355"/>
        <v>6115</v>
      </c>
      <c r="B6116" t="s">
        <v>753</v>
      </c>
      <c r="C6116" s="109" t="str">
        <f>IF(ISBLANK(K6116),IFERROR(VLOOKUP(I6116,FS_input_data!$C$458:$N$648,Export!J6116,FALSE),""),K6116)</f>
        <v/>
      </c>
      <c r="D6116" s="6"/>
      <c r="E6116" s="6"/>
      <c r="F6116" s="6"/>
      <c r="G6116" s="115" t="b">
        <f>VLOOKUP(I6114,FS_input_noty,J6114,FALSE)=""</f>
        <v>0</v>
      </c>
      <c r="H6116" s="6" t="s">
        <v>2189</v>
      </c>
      <c r="I6116" t="s">
        <v>1561</v>
      </c>
      <c r="J6116" t="s">
        <v>1561</v>
      </c>
      <c r="L6116" s="26" t="e">
        <f t="shared" si="354"/>
        <v>#VALUE!</v>
      </c>
    </row>
    <row r="6117" spans="1:12" x14ac:dyDescent="0.35">
      <c r="A6117">
        <f t="shared" si="355"/>
        <v>6116</v>
      </c>
      <c r="B6117" t="s">
        <v>742</v>
      </c>
      <c r="C6117" s="109" t="str">
        <f>IF(ISBLANK(K6117),IFERROR(VLOOKUP(I6117,FS_input_data!$C$458:$N$648,Export!J6117,FALSE),""),K6117)</f>
        <v/>
      </c>
      <c r="D6117" s="6"/>
      <c r="E6117" s="6"/>
      <c r="F6117" s="6"/>
      <c r="G6117" s="115" t="b">
        <f>VLOOKUP(I6114,FS_input_noty,J6114,FALSE)=""</f>
        <v>0</v>
      </c>
      <c r="H6117" s="6" t="s">
        <v>2189</v>
      </c>
      <c r="I6117" t="s">
        <v>1561</v>
      </c>
      <c r="J6117" t="s">
        <v>1561</v>
      </c>
      <c r="L6117" s="26" t="e">
        <f t="shared" si="354"/>
        <v>#VALUE!</v>
      </c>
    </row>
    <row r="6118" spans="1:12" x14ac:dyDescent="0.35">
      <c r="A6118">
        <f t="shared" si="355"/>
        <v>6117</v>
      </c>
      <c r="B6118" t="s">
        <v>748</v>
      </c>
      <c r="C6118" s="109" t="str">
        <f>IF(ISBLANK(K6118),IFERROR(VLOOKUP(I6118,FS_input_data!$C$458:$N$648,Export!J6118,FALSE),""),K6118)</f>
        <v/>
      </c>
      <c r="D6118" s="6"/>
      <c r="E6118" s="6"/>
      <c r="F6118" s="6"/>
      <c r="G6118" s="115" t="b">
        <f>VLOOKUP(I6114,FS_input_noty,J6114,FALSE)=""</f>
        <v>0</v>
      </c>
      <c r="H6118" s="6" t="s">
        <v>2189</v>
      </c>
      <c r="I6118" t="s">
        <v>1561</v>
      </c>
      <c r="J6118" t="s">
        <v>1561</v>
      </c>
      <c r="L6118" s="26" t="e">
        <f t="shared" si="354"/>
        <v>#VALUE!</v>
      </c>
    </row>
    <row r="6119" spans="1:12" x14ac:dyDescent="0.35">
      <c r="A6119" s="9">
        <f t="shared" si="355"/>
        <v>6118</v>
      </c>
      <c r="B6119" t="s">
        <v>109</v>
      </c>
      <c r="C6119" s="109">
        <f>IF(ISBLANK(K6119),IFERROR(VLOOKUP(I6119,FS_input_data!$C$458:$N$648,Export!J6119,FALSE),""),K6119)</f>
        <v>12000</v>
      </c>
      <c r="D6119" s="6" t="b">
        <v>1</v>
      </c>
      <c r="E6119" s="6"/>
      <c r="F6119" s="6"/>
      <c r="G6119" s="115" t="b">
        <f>VLOOKUP(I6114,FS_input_noty,J6114,FALSE)=""</f>
        <v>0</v>
      </c>
      <c r="H6119" s="6" t="s">
        <v>2189</v>
      </c>
      <c r="I6119" t="s">
        <v>2030</v>
      </c>
      <c r="J6119">
        <v>7</v>
      </c>
      <c r="L6119" s="26" t="e">
        <f t="shared" si="354"/>
        <v>#VALUE!</v>
      </c>
    </row>
    <row r="6120" spans="1:12" x14ac:dyDescent="0.35">
      <c r="A6120">
        <f t="shared" si="355"/>
        <v>6119</v>
      </c>
      <c r="B6120" t="s">
        <v>110</v>
      </c>
      <c r="C6120" s="109" t="str">
        <f>IF(ISBLANK(K6120),IFERROR(VLOOKUP(I6120,FS_input_data!$C$458:$N$648,Export!J6120,FALSE),""),K6120)</f>
        <v/>
      </c>
      <c r="D6120" s="6"/>
      <c r="E6120" s="6"/>
      <c r="F6120" s="6"/>
      <c r="G6120" s="115" t="b">
        <f>VLOOKUP(I6114,FS_input_noty,J6114,FALSE)=""</f>
        <v>0</v>
      </c>
      <c r="H6120" s="6" t="s">
        <v>2189</v>
      </c>
      <c r="I6120" t="s">
        <v>1561</v>
      </c>
      <c r="J6120" t="s">
        <v>1561</v>
      </c>
      <c r="L6120">
        <f t="shared" si="354"/>
        <v>1</v>
      </c>
    </row>
    <row r="6121" spans="1:12" x14ac:dyDescent="0.35">
      <c r="A6121" s="9">
        <f t="shared" si="355"/>
        <v>6120</v>
      </c>
      <c r="B6121" t="s">
        <v>111</v>
      </c>
      <c r="C6121" s="109">
        <f>IF(ISBLANK(K6121),IFERROR(VLOOKUP(I6121,FS_input_data!$C$458:$N$648,Export!J6121,FALSE),""),K6121)</f>
        <v>6000</v>
      </c>
      <c r="D6121" s="6" t="b">
        <v>0</v>
      </c>
      <c r="E6121" s="6"/>
      <c r="F6121" s="6"/>
      <c r="G6121" s="115" t="b">
        <f>VLOOKUP(I6114,FS_input_noty,J6114,TRUE)=""</f>
        <v>0</v>
      </c>
      <c r="H6121" s="6" t="s">
        <v>2189</v>
      </c>
      <c r="I6121" t="s">
        <v>2030</v>
      </c>
      <c r="J6121">
        <v>8</v>
      </c>
      <c r="L6121" s="26" t="e">
        <f t="shared" si="354"/>
        <v>#VALUE!</v>
      </c>
    </row>
    <row r="6122" spans="1:12" x14ac:dyDescent="0.35">
      <c r="A6122">
        <f t="shared" si="355"/>
        <v>6121</v>
      </c>
      <c r="B6122" t="s">
        <v>112</v>
      </c>
      <c r="C6122" s="109" t="str">
        <f>IF(ISBLANK(K6122),IFERROR(VLOOKUP(I6122,FS_input_data!$C$458:$N$648,Export!J6122,FALSE),""),K6122)</f>
        <v/>
      </c>
      <c r="D6122" s="6"/>
      <c r="E6122" s="6"/>
      <c r="F6122" s="6"/>
      <c r="G6122" s="115" t="b">
        <f>VLOOKUP(I6114,FS_input_noty,J6114,FALSE)=""</f>
        <v>0</v>
      </c>
      <c r="H6122" s="6" t="s">
        <v>2189</v>
      </c>
      <c r="I6122" t="s">
        <v>1561</v>
      </c>
      <c r="J6122" t="s">
        <v>1561</v>
      </c>
      <c r="L6122">
        <f t="shared" si="354"/>
        <v>1</v>
      </c>
    </row>
    <row r="6123" spans="1:12" x14ac:dyDescent="0.35">
      <c r="A6123" s="9">
        <f t="shared" si="355"/>
        <v>6122</v>
      </c>
      <c r="B6123" t="s">
        <v>749</v>
      </c>
      <c r="C6123" s="109">
        <f>IF(ISBLANK(K6123),IFERROR(VLOOKUP(I6123,FS_input_data!$C$458:$N$648,Export!J6123,FALSE),""),K6123)</f>
        <v>6000</v>
      </c>
      <c r="D6123" s="6" t="b">
        <v>0</v>
      </c>
      <c r="E6123" s="6"/>
      <c r="F6123" s="6"/>
      <c r="G6123" s="115" t="b">
        <f>VLOOKUP(I6114,FS_input_noty,J6114,FALSE)=""</f>
        <v>0</v>
      </c>
      <c r="H6123" s="6" t="s">
        <v>2189</v>
      </c>
      <c r="I6123" t="s">
        <v>2030</v>
      </c>
      <c r="J6123">
        <v>9</v>
      </c>
      <c r="L6123" s="26" t="e">
        <f t="shared" si="354"/>
        <v>#VALUE!</v>
      </c>
    </row>
    <row r="6124" spans="1:12" x14ac:dyDescent="0.35">
      <c r="A6124">
        <f t="shared" si="355"/>
        <v>6123</v>
      </c>
      <c r="B6124" t="s">
        <v>750</v>
      </c>
      <c r="C6124" s="109" t="str">
        <f>IF(ISBLANK(K6124),IFERROR(VLOOKUP(I6124,FS_input_data!$C$458:$N$648,Export!J6124,FALSE),""),K6124)</f>
        <v/>
      </c>
      <c r="D6124" s="6"/>
      <c r="E6124" s="6"/>
      <c r="F6124" s="6"/>
      <c r="G6124" s="115" t="b">
        <f>VLOOKUP(I6114,FS_input_noty,J6114,FALSE)=""</f>
        <v>0</v>
      </c>
      <c r="H6124" s="6" t="s">
        <v>2189</v>
      </c>
      <c r="I6124" t="s">
        <v>1561</v>
      </c>
      <c r="J6124" t="s">
        <v>1561</v>
      </c>
      <c r="L6124">
        <f t="shared" si="354"/>
        <v>1</v>
      </c>
    </row>
    <row r="6125" spans="1:12" x14ac:dyDescent="0.35">
      <c r="A6125">
        <f t="shared" si="355"/>
        <v>6124</v>
      </c>
      <c r="B6125" t="s">
        <v>751</v>
      </c>
      <c r="C6125" s="109" t="str">
        <f>IF(ISBLANK(K6125),IFERROR(VLOOKUP(I6125,FS_input_data!$C$458:$N$648,Export!J6125,FALSE),""),K6125)</f>
        <v/>
      </c>
      <c r="D6125" s="6"/>
      <c r="E6125" s="6"/>
      <c r="F6125" s="6"/>
      <c r="G6125" s="115" t="b">
        <f>VLOOKUP(I6114,FS_input_noty,J6114,FALSE)=""</f>
        <v>0</v>
      </c>
      <c r="H6125" s="6" t="s">
        <v>2189</v>
      </c>
      <c r="I6125" t="s">
        <v>1561</v>
      </c>
      <c r="J6125" t="s">
        <v>1561</v>
      </c>
      <c r="L6125">
        <f t="shared" si="354"/>
        <v>1</v>
      </c>
    </row>
    <row r="6126" spans="1:12" x14ac:dyDescent="0.35">
      <c r="A6126">
        <f t="shared" si="355"/>
        <v>6125</v>
      </c>
      <c r="B6126" t="s">
        <v>754</v>
      </c>
      <c r="C6126" s="109" t="str">
        <f>IF(ISBLANK(K6126),IFERROR(VLOOKUP(I6126,FS_input_data!$C$458:$N$648,Export!J6126,FALSE),""),K6126)</f>
        <v/>
      </c>
      <c r="D6126" s="6"/>
      <c r="E6126" s="6"/>
      <c r="F6126" s="6"/>
      <c r="G6126" s="115" t="b">
        <f>VLOOKUP(I6114,FS_input_noty,J6114,FALSE)=""</f>
        <v>0</v>
      </c>
      <c r="H6126" s="6" t="s">
        <v>2189</v>
      </c>
      <c r="I6126" t="s">
        <v>1561</v>
      </c>
      <c r="J6126" t="s">
        <v>1561</v>
      </c>
      <c r="L6126" s="26" t="e">
        <f t="shared" si="354"/>
        <v>#VALUE!</v>
      </c>
    </row>
    <row r="6127" spans="1:12" x14ac:dyDescent="0.35">
      <c r="A6127" s="9">
        <f t="shared" si="355"/>
        <v>6126</v>
      </c>
      <c r="B6127" t="s">
        <v>755</v>
      </c>
      <c r="C6127" s="109">
        <f>IF(ISBLANK(K6127),IFERROR(VLOOKUP(I6127,FS_input_data!$C$458:$N$648,Export!J6127,FALSE),""),K6127)</f>
        <v>110</v>
      </c>
      <c r="D6127" s="6" t="b">
        <v>1</v>
      </c>
      <c r="E6127" s="6"/>
      <c r="F6127" s="6"/>
      <c r="G6127" s="115" t="b">
        <f>VLOOKUP(I6114,FS_input_noty,J6114,FALSE)=""</f>
        <v>0</v>
      </c>
      <c r="H6127" s="6" t="s">
        <v>2189</v>
      </c>
      <c r="I6127" t="s">
        <v>2030</v>
      </c>
      <c r="J6127">
        <v>2</v>
      </c>
      <c r="L6127" s="26" t="e">
        <f t="shared" si="354"/>
        <v>#VALUE!</v>
      </c>
    </row>
    <row r="6128" spans="1:12" x14ac:dyDescent="0.35">
      <c r="A6128">
        <f t="shared" si="355"/>
        <v>6127</v>
      </c>
      <c r="B6128" t="s">
        <v>756</v>
      </c>
      <c r="C6128" s="109" t="str">
        <f>IF(ISBLANK(K6128),IFERROR(VLOOKUP(I6128,FS_input_data!$C$458:$N$648,Export!J6128,FALSE),""),K6128)</f>
        <v/>
      </c>
      <c r="D6128" s="6"/>
      <c r="E6128" s="6"/>
      <c r="F6128" s="6"/>
      <c r="G6128" s="115" t="b">
        <f>VLOOKUP(I6114,FS_input_noty,J6114,FALSE)=""</f>
        <v>0</v>
      </c>
      <c r="H6128" s="6" t="s">
        <v>2189</v>
      </c>
      <c r="I6128" t="s">
        <v>1561</v>
      </c>
      <c r="J6128" t="s">
        <v>1561</v>
      </c>
      <c r="L6128">
        <f t="shared" si="354"/>
        <v>1</v>
      </c>
    </row>
    <row r="6129" spans="1:12" x14ac:dyDescent="0.35">
      <c r="A6129" s="9">
        <f t="shared" si="355"/>
        <v>6128</v>
      </c>
      <c r="B6129" t="s">
        <v>757</v>
      </c>
      <c r="C6129" s="109">
        <f>IF(ISBLANK(K6129),IFERROR(VLOOKUP(I6129,FS_input_data!$C$458:$N$648,Export!J6129,FALSE),""),K6129)</f>
        <v>210</v>
      </c>
      <c r="D6129" s="6" t="b">
        <v>0</v>
      </c>
      <c r="E6129" s="6"/>
      <c r="F6129" s="6"/>
      <c r="G6129" s="115" t="b">
        <f>VLOOKUP(I6114,FS_input_noty,J6114,FALSE)=""</f>
        <v>0</v>
      </c>
      <c r="H6129" s="6" t="s">
        <v>2189</v>
      </c>
      <c r="I6129" t="s">
        <v>2030</v>
      </c>
      <c r="J6129">
        <v>3</v>
      </c>
      <c r="L6129" s="26" t="e">
        <f t="shared" si="354"/>
        <v>#VALUE!</v>
      </c>
    </row>
    <row r="6130" spans="1:12" x14ac:dyDescent="0.35">
      <c r="A6130">
        <f t="shared" si="355"/>
        <v>6129</v>
      </c>
      <c r="B6130" t="s">
        <v>758</v>
      </c>
      <c r="C6130" s="109" t="str">
        <f>IF(ISBLANK(K6130),IFERROR(VLOOKUP(I6130,FS_input_data!$C$458:$N$648,Export!J6130,FALSE),""),K6130)</f>
        <v/>
      </c>
      <c r="D6130" s="6"/>
      <c r="E6130" s="6"/>
      <c r="F6130" s="6"/>
      <c r="G6130" s="115" t="b">
        <f>VLOOKUP(I6114,FS_input_noty,J6114,FALSE)=""</f>
        <v>0</v>
      </c>
      <c r="H6130" s="6" t="s">
        <v>2189</v>
      </c>
      <c r="I6130" t="s">
        <v>1561</v>
      </c>
      <c r="J6130" t="s">
        <v>1561</v>
      </c>
      <c r="L6130">
        <f t="shared" si="354"/>
        <v>1</v>
      </c>
    </row>
    <row r="6131" spans="1:12" x14ac:dyDescent="0.35">
      <c r="A6131" s="9">
        <f t="shared" si="355"/>
        <v>6130</v>
      </c>
      <c r="B6131" t="s">
        <v>759</v>
      </c>
      <c r="C6131" s="109">
        <f>IF(ISBLANK(K6131),IFERROR(VLOOKUP(I6131,FS_input_data!$C$458:$N$648,Export!J6131,FALSE),""),K6131)</f>
        <v>310</v>
      </c>
      <c r="D6131" s="6" t="b">
        <v>0</v>
      </c>
      <c r="E6131" s="6"/>
      <c r="F6131" s="6"/>
      <c r="G6131" s="115" t="b">
        <f>VLOOKUP(I6114,FS_input_noty,J6114,FALSE)=""</f>
        <v>0</v>
      </c>
      <c r="H6131" s="6" t="s">
        <v>2189</v>
      </c>
      <c r="I6131" t="s">
        <v>2030</v>
      </c>
      <c r="J6131">
        <v>4</v>
      </c>
      <c r="L6131" s="26" t="e">
        <f t="shared" si="354"/>
        <v>#VALUE!</v>
      </c>
    </row>
    <row r="6132" spans="1:12" x14ac:dyDescent="0.35">
      <c r="A6132">
        <f t="shared" si="355"/>
        <v>6131</v>
      </c>
      <c r="B6132" t="s">
        <v>760</v>
      </c>
      <c r="C6132" s="109" t="str">
        <f>IF(ISBLANK(K6132),IFERROR(VLOOKUP(I6132,FS_input_data!$C$458:$N$648,Export!J6132,FALSE),""),K6132)</f>
        <v/>
      </c>
      <c r="D6132" s="6"/>
      <c r="E6132" s="6"/>
      <c r="F6132" s="6"/>
      <c r="G6132" s="115" t="b">
        <f>VLOOKUP(I6114,FS_input_noty,J6114,FALSE)=""</f>
        <v>0</v>
      </c>
      <c r="H6132" s="6" t="s">
        <v>2189</v>
      </c>
      <c r="I6132" t="s">
        <v>1561</v>
      </c>
      <c r="J6132" t="s">
        <v>1561</v>
      </c>
      <c r="L6132">
        <f t="shared" si="354"/>
        <v>1</v>
      </c>
    </row>
    <row r="6133" spans="1:12" x14ac:dyDescent="0.35">
      <c r="A6133" s="9">
        <f t="shared" si="355"/>
        <v>6132</v>
      </c>
      <c r="B6133" t="s">
        <v>761</v>
      </c>
      <c r="C6133" s="109" t="str">
        <f>IF(ISBLANK(K6133),IFERROR(VLOOKUP(I6133,FS_input_data!$C$458:$N$648,Export!J6133,FALSE),""),K6133)</f>
        <v>d</v>
      </c>
      <c r="D6133" s="6" t="b">
        <v>0</v>
      </c>
      <c r="E6133" s="6"/>
      <c r="F6133" s="6"/>
      <c r="G6133" s="115" t="b">
        <f>VLOOKUP(I6114,FS_input_noty,J6114,FALSE)=""</f>
        <v>0</v>
      </c>
      <c r="H6133" s="6" t="s">
        <v>2189</v>
      </c>
      <c r="I6133" t="s">
        <v>2030</v>
      </c>
      <c r="J6133">
        <v>5</v>
      </c>
      <c r="L6133" s="26" t="e">
        <f t="shared" si="354"/>
        <v>#VALUE!</v>
      </c>
    </row>
    <row r="6134" spans="1:12" x14ac:dyDescent="0.35">
      <c r="A6134">
        <f t="shared" si="355"/>
        <v>6133</v>
      </c>
      <c r="B6134" t="s">
        <v>762</v>
      </c>
      <c r="C6134" s="109" t="str">
        <f>IF(ISBLANK(K6134),IFERROR(VLOOKUP(I6134,FS_input_data!$C$458:$N$648,Export!J6134,FALSE),""),K6134)</f>
        <v/>
      </c>
      <c r="D6134" s="6"/>
      <c r="E6134" s="6"/>
      <c r="F6134" s="6"/>
      <c r="G6134" s="115" t="b">
        <f>VLOOKUP(I6114,FS_input_noty,J6114,FALSE)=""</f>
        <v>0</v>
      </c>
      <c r="H6134" s="6" t="s">
        <v>2189</v>
      </c>
      <c r="I6134" t="s">
        <v>1561</v>
      </c>
      <c r="J6134" t="s">
        <v>1561</v>
      </c>
      <c r="L6134">
        <f t="shared" si="354"/>
        <v>1</v>
      </c>
    </row>
    <row r="6135" spans="1:12" x14ac:dyDescent="0.35">
      <c r="A6135">
        <f t="shared" si="355"/>
        <v>6134</v>
      </c>
      <c r="B6135" t="s">
        <v>763</v>
      </c>
      <c r="C6135" s="109" t="str">
        <f>IF(ISBLANK(K6135),IFERROR(VLOOKUP(I6135,FS_input_data!$C$458:$N$648,Export!J6135,FALSE),""),K6135)</f>
        <v/>
      </c>
      <c r="D6135" s="6"/>
      <c r="E6135" s="6"/>
      <c r="F6135" s="6"/>
      <c r="G6135" s="115" t="b">
        <f>VLOOKUP(I6114,FS_input_noty,J6114,FALSE)=""</f>
        <v>0</v>
      </c>
      <c r="H6135" s="6" t="s">
        <v>2189</v>
      </c>
      <c r="I6135" t="s">
        <v>1561</v>
      </c>
      <c r="J6135" t="s">
        <v>1561</v>
      </c>
      <c r="L6135">
        <f t="shared" si="354"/>
        <v>1</v>
      </c>
    </row>
    <row r="6136" spans="1:12" x14ac:dyDescent="0.35">
      <c r="A6136">
        <f t="shared" si="355"/>
        <v>6135</v>
      </c>
      <c r="B6136" t="s">
        <v>743</v>
      </c>
      <c r="C6136" s="109" t="str">
        <f>IF(ISBLANK(K6136),IFERROR(VLOOKUP(I6136,FS_input_data!$C$458:$N$648,Export!J6136,FALSE),""),K6136)</f>
        <v/>
      </c>
      <c r="D6136" s="6"/>
      <c r="E6136" s="6"/>
      <c r="F6136" s="6"/>
      <c r="G6136" s="115" t="b">
        <f>VLOOKUP(I6114,FS_input_noty,J6114,FALSE)=""</f>
        <v>0</v>
      </c>
      <c r="H6136" s="6" t="s">
        <v>2189</v>
      </c>
      <c r="I6136" t="s">
        <v>1561</v>
      </c>
      <c r="J6136" t="s">
        <v>1561</v>
      </c>
      <c r="L6136">
        <f t="shared" si="354"/>
        <v>1</v>
      </c>
    </row>
    <row r="6137" spans="1:12" x14ac:dyDescent="0.35">
      <c r="A6137">
        <f t="shared" si="355"/>
        <v>6136</v>
      </c>
      <c r="B6137" t="s">
        <v>744</v>
      </c>
      <c r="C6137" s="109" t="str">
        <f>IF(ISBLANK(K6137),IFERROR(VLOOKUP(I6137,FS_input_data!$C$458:$N$648,Export!J6137,FALSE),""),K6137)</f>
        <v/>
      </c>
      <c r="D6137" s="6"/>
      <c r="E6137" s="6"/>
      <c r="F6137" s="6"/>
      <c r="G6137" s="115" t="b">
        <f t="shared" ref="G6137:G6144" si="357">RP_tax</f>
        <v>1</v>
      </c>
      <c r="H6137" s="6" t="s">
        <v>2189</v>
      </c>
      <c r="I6137" t="s">
        <v>1561</v>
      </c>
      <c r="J6137" t="s">
        <v>1561</v>
      </c>
      <c r="L6137" s="26" t="e">
        <f t="shared" si="354"/>
        <v>#VALUE!</v>
      </c>
    </row>
    <row r="6138" spans="1:12" x14ac:dyDescent="0.35">
      <c r="A6138" s="9">
        <f t="shared" si="355"/>
        <v>6137</v>
      </c>
      <c r="B6138" t="s">
        <v>109</v>
      </c>
      <c r="C6138" s="109">
        <f>IF(ISBLANK(K6138),IFERROR(VLOOKUP(I6138,FS_input_data!$C$458:$N$648,Export!J6138,FALSE),""),K6138)</f>
        <v>12000</v>
      </c>
      <c r="D6138" s="6" t="b">
        <v>1</v>
      </c>
      <c r="E6138" s="6"/>
      <c r="F6138" s="6"/>
      <c r="G6138" s="115" t="b">
        <f t="shared" si="357"/>
        <v>1</v>
      </c>
      <c r="H6138" s="6" t="s">
        <v>2189</v>
      </c>
      <c r="I6138" t="s">
        <v>2030</v>
      </c>
      <c r="J6138">
        <v>10</v>
      </c>
      <c r="L6138" s="26" t="e">
        <f t="shared" si="354"/>
        <v>#VALUE!</v>
      </c>
    </row>
    <row r="6139" spans="1:12" x14ac:dyDescent="0.35">
      <c r="A6139">
        <f t="shared" si="355"/>
        <v>6138</v>
      </c>
      <c r="B6139" t="s">
        <v>110</v>
      </c>
      <c r="C6139" s="109" t="str">
        <f>IF(ISBLANK(K6139),IFERROR(VLOOKUP(I6139,FS_input_data!$C$458:$N$648,Export!J6139,FALSE),""),K6139)</f>
        <v/>
      </c>
      <c r="D6139" s="6"/>
      <c r="E6139" s="6"/>
      <c r="F6139" s="6"/>
      <c r="G6139" s="115" t="b">
        <f t="shared" si="357"/>
        <v>1</v>
      </c>
      <c r="H6139" s="6" t="s">
        <v>2189</v>
      </c>
      <c r="I6139" t="s">
        <v>1561</v>
      </c>
      <c r="J6139" t="s">
        <v>1561</v>
      </c>
      <c r="L6139">
        <f t="shared" si="354"/>
        <v>1</v>
      </c>
    </row>
    <row r="6140" spans="1:12" x14ac:dyDescent="0.35">
      <c r="A6140" s="9">
        <f t="shared" si="355"/>
        <v>6139</v>
      </c>
      <c r="B6140" t="s">
        <v>111</v>
      </c>
      <c r="C6140" s="109">
        <f>IF(ISBLANK(K6140),IFERROR(VLOOKUP(I6140,FS_input_data!$C$458:$N$648,Export!J6140,FALSE),""),K6140)</f>
        <v>6000</v>
      </c>
      <c r="D6140" s="6" t="b">
        <v>0</v>
      </c>
      <c r="E6140" s="6"/>
      <c r="F6140" s="6"/>
      <c r="G6140" s="115" t="b">
        <f t="shared" si="357"/>
        <v>1</v>
      </c>
      <c r="H6140" s="6" t="s">
        <v>2189</v>
      </c>
      <c r="I6140" t="s">
        <v>2030</v>
      </c>
      <c r="J6140">
        <v>11</v>
      </c>
      <c r="L6140" s="26" t="e">
        <f t="shared" si="354"/>
        <v>#VALUE!</v>
      </c>
    </row>
    <row r="6141" spans="1:12" x14ac:dyDescent="0.35">
      <c r="A6141">
        <f t="shared" si="355"/>
        <v>6140</v>
      </c>
      <c r="B6141" t="s">
        <v>112</v>
      </c>
      <c r="C6141" s="109" t="str">
        <f>IF(ISBLANK(K6141),IFERROR(VLOOKUP(I6141,FS_input_data!$C$458:$N$648,Export!J6141,FALSE),""),K6141)</f>
        <v/>
      </c>
      <c r="D6141" s="6"/>
      <c r="E6141" s="6"/>
      <c r="F6141" s="6"/>
      <c r="G6141" s="115" t="b">
        <f t="shared" si="357"/>
        <v>1</v>
      </c>
      <c r="H6141" s="6" t="s">
        <v>2189</v>
      </c>
      <c r="I6141" t="s">
        <v>1561</v>
      </c>
      <c r="J6141" t="s">
        <v>1561</v>
      </c>
      <c r="L6141">
        <f t="shared" si="354"/>
        <v>1</v>
      </c>
    </row>
    <row r="6142" spans="1:12" x14ac:dyDescent="0.35">
      <c r="A6142" s="9">
        <f t="shared" si="355"/>
        <v>6141</v>
      </c>
      <c r="B6142" t="s">
        <v>749</v>
      </c>
      <c r="C6142" s="109">
        <f>IF(ISBLANK(K6142),IFERROR(VLOOKUP(I6142,FS_input_data!$C$458:$N$648,Export!J6142,FALSE),""),K6142)</f>
        <v>6000</v>
      </c>
      <c r="D6142" s="6" t="b">
        <v>0</v>
      </c>
      <c r="E6142" s="6"/>
      <c r="F6142" s="6"/>
      <c r="G6142" s="115" t="b">
        <f t="shared" si="357"/>
        <v>1</v>
      </c>
      <c r="H6142" s="6" t="s">
        <v>2189</v>
      </c>
      <c r="I6142" t="s">
        <v>2030</v>
      </c>
      <c r="J6142">
        <v>12</v>
      </c>
      <c r="L6142" s="26" t="e">
        <f t="shared" si="354"/>
        <v>#VALUE!</v>
      </c>
    </row>
    <row r="6143" spans="1:12" x14ac:dyDescent="0.35">
      <c r="A6143">
        <f t="shared" si="355"/>
        <v>6142</v>
      </c>
      <c r="B6143" t="s">
        <v>750</v>
      </c>
      <c r="C6143" s="109" t="str">
        <f>IF(ISBLANK(K6143),IFERROR(VLOOKUP(I6143,FS_input_data!$C$458:$N$648,Export!J6143,FALSE),""),K6143)</f>
        <v/>
      </c>
      <c r="D6143" s="6"/>
      <c r="E6143" s="6"/>
      <c r="F6143" s="6"/>
      <c r="G6143" s="115" t="b">
        <f t="shared" si="357"/>
        <v>1</v>
      </c>
      <c r="H6143" s="6" t="s">
        <v>2189</v>
      </c>
      <c r="I6143" t="s">
        <v>1561</v>
      </c>
      <c r="J6143" t="s">
        <v>1561</v>
      </c>
      <c r="L6143">
        <f t="shared" si="354"/>
        <v>1</v>
      </c>
    </row>
    <row r="6144" spans="1:12" x14ac:dyDescent="0.35">
      <c r="A6144">
        <f t="shared" si="355"/>
        <v>6143</v>
      </c>
      <c r="B6144" t="s">
        <v>745</v>
      </c>
      <c r="C6144" s="109" t="str">
        <f>IF(ISBLANK(K6144),IFERROR(VLOOKUP(I6144,FS_input_data!$C$458:$N$648,Export!J6144,FALSE),""),K6144)</f>
        <v/>
      </c>
      <c r="D6144" s="6"/>
      <c r="E6144" s="6"/>
      <c r="F6144" s="6"/>
      <c r="G6144" s="115" t="b">
        <f t="shared" si="357"/>
        <v>1</v>
      </c>
      <c r="H6144" s="6" t="s">
        <v>2189</v>
      </c>
      <c r="I6144" t="s">
        <v>1561</v>
      </c>
      <c r="J6144" t="s">
        <v>1561</v>
      </c>
      <c r="L6144">
        <f t="shared" si="354"/>
        <v>1</v>
      </c>
    </row>
    <row r="6145" spans="1:12" x14ac:dyDescent="0.35">
      <c r="A6145">
        <f t="shared" si="355"/>
        <v>6144</v>
      </c>
      <c r="B6145" t="s">
        <v>764</v>
      </c>
      <c r="C6145" s="109" t="str">
        <f>IF(ISBLANK(K6145),IFERROR(VLOOKUP(I6145,FS_input_data!$C$458:$N$648,Export!J6145,FALSE),""),K6145)</f>
        <v/>
      </c>
      <c r="D6145" s="6"/>
      <c r="E6145" s="6"/>
      <c r="F6145" s="6"/>
      <c r="G6145" s="115" t="b">
        <f>VLOOKUP(I6114,FS_input_noty,J6114,FALSE)=""</f>
        <v>0</v>
      </c>
      <c r="H6145" s="6" t="s">
        <v>2189</v>
      </c>
      <c r="I6145" t="s">
        <v>1561</v>
      </c>
      <c r="J6145" t="s">
        <v>1561</v>
      </c>
      <c r="L6145">
        <f t="shared" si="354"/>
        <v>1</v>
      </c>
    </row>
    <row r="6146" spans="1:12" x14ac:dyDescent="0.35">
      <c r="A6146">
        <f t="shared" si="355"/>
        <v>6145</v>
      </c>
      <c r="B6146" t="s">
        <v>765</v>
      </c>
      <c r="C6146" s="109" t="str">
        <f>IF(ISBLANK(K6146),IFERROR(VLOOKUP(I6146,FS_input_data!$C$458:$N$648,Export!J6146,FALSE),""),K6146)</f>
        <v/>
      </c>
      <c r="D6146" s="6"/>
      <c r="E6146" s="6"/>
      <c r="F6146" s="6"/>
      <c r="G6146" s="115" t="b">
        <f>VLOOKUP(I6114,FS_input_noty,J6114,FALSE)=""</f>
        <v>0</v>
      </c>
      <c r="H6146" s="6" t="s">
        <v>2189</v>
      </c>
      <c r="I6146" t="s">
        <v>1561</v>
      </c>
      <c r="J6146" t="s">
        <v>1561</v>
      </c>
      <c r="L6146">
        <f t="shared" ref="L6146:L6209" si="358">FIND("/",B6146)</f>
        <v>1</v>
      </c>
    </row>
    <row r="6147" spans="1:12" x14ac:dyDescent="0.35">
      <c r="A6147">
        <f t="shared" ref="A6147:A6210" si="359">A6146+1</f>
        <v>6146</v>
      </c>
      <c r="B6147" t="s">
        <v>752</v>
      </c>
      <c r="C6147" s="109" t="str">
        <f>IF(ISBLANK(K6147),IFERROR(VLOOKUP(I6147,FS_input_data!$C$458:$N$648,Export!J6147,FALSE),""),K6147)</f>
        <v/>
      </c>
      <c r="D6147" s="6"/>
      <c r="E6147" s="6"/>
      <c r="F6147" s="6"/>
      <c r="G6147" s="115" t="b">
        <f>VLOOKUP(I6148,FS_input_noty,J6148,FALSE)=""</f>
        <v>0</v>
      </c>
      <c r="H6147" s="6" t="s">
        <v>2189</v>
      </c>
      <c r="I6147" t="s">
        <v>1561</v>
      </c>
      <c r="J6147" t="s">
        <v>1561</v>
      </c>
      <c r="L6147" s="26" t="e">
        <f t="shared" si="358"/>
        <v>#VALUE!</v>
      </c>
    </row>
    <row r="6148" spans="1:12" x14ac:dyDescent="0.35">
      <c r="A6148" s="9">
        <f t="shared" si="359"/>
        <v>6147</v>
      </c>
      <c r="B6148" t="s">
        <v>101</v>
      </c>
      <c r="C6148" s="109" t="str">
        <f>IF(ISBLANK(K6148),IFERROR(VLOOKUP(I6148,FS_input_data!$C$458:$N$648,Export!J6148,FALSE),""),K6148)</f>
        <v>OC88</v>
      </c>
      <c r="D6148" s="6" t="b">
        <v>1</v>
      </c>
      <c r="E6148" s="6"/>
      <c r="F6148" s="6"/>
      <c r="G6148" s="115" t="b">
        <f>VLOOKUP(I6148,FS_input_noty,J6148,FALSE)=""</f>
        <v>0</v>
      </c>
      <c r="H6148" s="6" t="s">
        <v>2189</v>
      </c>
      <c r="I6148" t="s">
        <v>2032</v>
      </c>
      <c r="J6148">
        <v>6</v>
      </c>
      <c r="L6148" s="26" t="e">
        <f t="shared" si="358"/>
        <v>#VALUE!</v>
      </c>
    </row>
    <row r="6149" spans="1:12" x14ac:dyDescent="0.35">
      <c r="A6149">
        <f t="shared" si="359"/>
        <v>6148</v>
      </c>
      <c r="B6149" t="s">
        <v>102</v>
      </c>
      <c r="C6149" s="109" t="str">
        <f>IF(ISBLANK(K6149),IFERROR(VLOOKUP(I6149,FS_input_data!$C$458:$N$648,Export!J6149,FALSE),""),K6149)</f>
        <v/>
      </c>
      <c r="D6149" s="6"/>
      <c r="E6149" s="6"/>
      <c r="F6149" s="6"/>
      <c r="G6149" s="115" t="b">
        <f>VLOOKUP(I6148,FS_input_noty,J6148,FALSE)=""</f>
        <v>0</v>
      </c>
      <c r="H6149" s="6" t="s">
        <v>2189</v>
      </c>
      <c r="I6149" t="s">
        <v>1561</v>
      </c>
      <c r="J6149" t="s">
        <v>1561</v>
      </c>
      <c r="L6149">
        <f t="shared" si="358"/>
        <v>1</v>
      </c>
    </row>
    <row r="6150" spans="1:12" x14ac:dyDescent="0.35">
      <c r="A6150">
        <f t="shared" si="359"/>
        <v>6149</v>
      </c>
      <c r="B6150" t="s">
        <v>753</v>
      </c>
      <c r="C6150" s="109" t="str">
        <f>IF(ISBLANK(K6150),IFERROR(VLOOKUP(I6150,FS_input_data!$C$458:$N$648,Export!J6150,FALSE),""),K6150)</f>
        <v/>
      </c>
      <c r="D6150" s="6"/>
      <c r="E6150" s="6"/>
      <c r="F6150" s="6"/>
      <c r="G6150" s="115" t="b">
        <f>VLOOKUP(I6148,FS_input_noty,J6148,FALSE)=""</f>
        <v>0</v>
      </c>
      <c r="H6150" s="6" t="s">
        <v>2189</v>
      </c>
      <c r="I6150" t="s">
        <v>1561</v>
      </c>
      <c r="J6150" t="s">
        <v>1561</v>
      </c>
      <c r="L6150" s="26" t="e">
        <f t="shared" si="358"/>
        <v>#VALUE!</v>
      </c>
    </row>
    <row r="6151" spans="1:12" x14ac:dyDescent="0.35">
      <c r="A6151">
        <f t="shared" si="359"/>
        <v>6150</v>
      </c>
      <c r="B6151" t="s">
        <v>742</v>
      </c>
      <c r="C6151" s="109" t="str">
        <f>IF(ISBLANK(K6151),IFERROR(VLOOKUP(I6151,FS_input_data!$C$458:$N$648,Export!J6151,FALSE),""),K6151)</f>
        <v/>
      </c>
      <c r="D6151" s="6"/>
      <c r="E6151" s="6"/>
      <c r="F6151" s="6"/>
      <c r="G6151" s="115" t="b">
        <f>VLOOKUP(I6148,FS_input_noty,J6148,FALSE)=""</f>
        <v>0</v>
      </c>
      <c r="H6151" s="6" t="s">
        <v>2189</v>
      </c>
      <c r="I6151" t="s">
        <v>1561</v>
      </c>
      <c r="J6151" t="s">
        <v>1561</v>
      </c>
      <c r="L6151" s="26" t="e">
        <f t="shared" si="358"/>
        <v>#VALUE!</v>
      </c>
    </row>
    <row r="6152" spans="1:12" x14ac:dyDescent="0.35">
      <c r="A6152">
        <f t="shared" si="359"/>
        <v>6151</v>
      </c>
      <c r="B6152" t="s">
        <v>748</v>
      </c>
      <c r="C6152" s="109" t="str">
        <f>IF(ISBLANK(K6152),IFERROR(VLOOKUP(I6152,FS_input_data!$C$458:$N$648,Export!J6152,FALSE),""),K6152)</f>
        <v/>
      </c>
      <c r="D6152" s="6"/>
      <c r="E6152" s="6"/>
      <c r="F6152" s="6"/>
      <c r="G6152" s="115" t="b">
        <f>VLOOKUP(I6148,FS_input_noty,J6148,FALSE)=""</f>
        <v>0</v>
      </c>
      <c r="H6152" s="6" t="s">
        <v>2189</v>
      </c>
      <c r="I6152" t="s">
        <v>1561</v>
      </c>
      <c r="J6152" t="s">
        <v>1561</v>
      </c>
      <c r="L6152" s="26" t="e">
        <f t="shared" si="358"/>
        <v>#VALUE!</v>
      </c>
    </row>
    <row r="6153" spans="1:12" x14ac:dyDescent="0.35">
      <c r="A6153" s="9">
        <f t="shared" si="359"/>
        <v>6152</v>
      </c>
      <c r="B6153" t="s">
        <v>109</v>
      </c>
      <c r="C6153" s="109">
        <f>IF(ISBLANK(K6153),IFERROR(VLOOKUP(I6153,FS_input_data!$C$458:$N$648,Export!J6153,FALSE),""),K6153)</f>
        <v>13000</v>
      </c>
      <c r="D6153" s="6" t="b">
        <v>1</v>
      </c>
      <c r="E6153" s="6"/>
      <c r="F6153" s="6"/>
      <c r="G6153" s="115" t="b">
        <f>VLOOKUP(I6148,FS_input_noty,J6148,FALSE)=""</f>
        <v>0</v>
      </c>
      <c r="H6153" s="6" t="s">
        <v>2189</v>
      </c>
      <c r="I6153" t="s">
        <v>2032</v>
      </c>
      <c r="J6153">
        <v>7</v>
      </c>
      <c r="L6153" s="26" t="e">
        <f t="shared" si="358"/>
        <v>#VALUE!</v>
      </c>
    </row>
    <row r="6154" spans="1:12" x14ac:dyDescent="0.35">
      <c r="A6154">
        <f t="shared" si="359"/>
        <v>6153</v>
      </c>
      <c r="B6154" t="s">
        <v>110</v>
      </c>
      <c r="C6154" s="109" t="str">
        <f>IF(ISBLANK(K6154),IFERROR(VLOOKUP(I6154,FS_input_data!$C$458:$N$648,Export!J6154,FALSE),""),K6154)</f>
        <v/>
      </c>
      <c r="D6154" s="6"/>
      <c r="E6154" s="6"/>
      <c r="F6154" s="6"/>
      <c r="G6154" s="115" t="b">
        <f>VLOOKUP(I6148,FS_input_noty,J6148,FALSE)=""</f>
        <v>0</v>
      </c>
      <c r="H6154" s="6" t="s">
        <v>2189</v>
      </c>
      <c r="I6154" t="s">
        <v>1561</v>
      </c>
      <c r="J6154" t="s">
        <v>1561</v>
      </c>
      <c r="L6154">
        <f t="shared" si="358"/>
        <v>1</v>
      </c>
    </row>
    <row r="6155" spans="1:12" x14ac:dyDescent="0.35">
      <c r="A6155" s="9">
        <f t="shared" si="359"/>
        <v>6154</v>
      </c>
      <c r="B6155" t="s">
        <v>111</v>
      </c>
      <c r="C6155" s="109">
        <f>IF(ISBLANK(K6155),IFERROR(VLOOKUP(I6155,FS_input_data!$C$458:$N$648,Export!J6155,FALSE),""),K6155)</f>
        <v>6500</v>
      </c>
      <c r="D6155" s="6" t="b">
        <v>0</v>
      </c>
      <c r="E6155" s="6"/>
      <c r="F6155" s="6"/>
      <c r="G6155" s="115" t="b">
        <f>VLOOKUP(I6148,FS_input_noty,J6148,TRUE)=""</f>
        <v>0</v>
      </c>
      <c r="H6155" s="6" t="s">
        <v>2189</v>
      </c>
      <c r="I6155" t="s">
        <v>2032</v>
      </c>
      <c r="J6155">
        <v>8</v>
      </c>
      <c r="L6155" s="26" t="e">
        <f t="shared" si="358"/>
        <v>#VALUE!</v>
      </c>
    </row>
    <row r="6156" spans="1:12" x14ac:dyDescent="0.35">
      <c r="A6156">
        <f t="shared" si="359"/>
        <v>6155</v>
      </c>
      <c r="B6156" t="s">
        <v>112</v>
      </c>
      <c r="C6156" s="109" t="str">
        <f>IF(ISBLANK(K6156),IFERROR(VLOOKUP(I6156,FS_input_data!$C$458:$N$648,Export!J6156,FALSE),""),K6156)</f>
        <v/>
      </c>
      <c r="D6156" s="6"/>
      <c r="E6156" s="6"/>
      <c r="F6156" s="6"/>
      <c r="G6156" s="115" t="b">
        <f>VLOOKUP(I6148,FS_input_noty,J6148,FALSE)=""</f>
        <v>0</v>
      </c>
      <c r="H6156" s="6" t="s">
        <v>2189</v>
      </c>
      <c r="I6156" t="s">
        <v>1561</v>
      </c>
      <c r="J6156" t="s">
        <v>1561</v>
      </c>
      <c r="L6156">
        <f t="shared" si="358"/>
        <v>1</v>
      </c>
    </row>
    <row r="6157" spans="1:12" x14ac:dyDescent="0.35">
      <c r="A6157" s="9">
        <f t="shared" si="359"/>
        <v>6156</v>
      </c>
      <c r="B6157" t="s">
        <v>749</v>
      </c>
      <c r="C6157" s="109">
        <f>IF(ISBLANK(K6157),IFERROR(VLOOKUP(I6157,FS_input_data!$C$458:$N$648,Export!J6157,FALSE),""),K6157)</f>
        <v>6500</v>
      </c>
      <c r="D6157" s="6" t="b">
        <v>0</v>
      </c>
      <c r="E6157" s="6"/>
      <c r="F6157" s="6"/>
      <c r="G6157" s="115" t="b">
        <f>VLOOKUP(I6148,FS_input_noty,J6148,FALSE)=""</f>
        <v>0</v>
      </c>
      <c r="H6157" s="6" t="s">
        <v>2189</v>
      </c>
      <c r="I6157" t="s">
        <v>2032</v>
      </c>
      <c r="J6157">
        <v>9</v>
      </c>
      <c r="L6157" s="26" t="e">
        <f t="shared" si="358"/>
        <v>#VALUE!</v>
      </c>
    </row>
    <row r="6158" spans="1:12" x14ac:dyDescent="0.35">
      <c r="A6158">
        <f t="shared" si="359"/>
        <v>6157</v>
      </c>
      <c r="B6158" t="s">
        <v>750</v>
      </c>
      <c r="C6158" s="109" t="str">
        <f>IF(ISBLANK(K6158),IFERROR(VLOOKUP(I6158,FS_input_data!$C$458:$N$648,Export!J6158,FALSE),""),K6158)</f>
        <v/>
      </c>
      <c r="D6158" s="6"/>
      <c r="E6158" s="6"/>
      <c r="F6158" s="6"/>
      <c r="G6158" s="115" t="b">
        <f>VLOOKUP(I6148,FS_input_noty,J6148,FALSE)=""</f>
        <v>0</v>
      </c>
      <c r="H6158" s="6" t="s">
        <v>2189</v>
      </c>
      <c r="I6158" t="s">
        <v>1561</v>
      </c>
      <c r="J6158" t="s">
        <v>1561</v>
      </c>
      <c r="L6158">
        <f t="shared" si="358"/>
        <v>1</v>
      </c>
    </row>
    <row r="6159" spans="1:12" x14ac:dyDescent="0.35">
      <c r="A6159">
        <f t="shared" si="359"/>
        <v>6158</v>
      </c>
      <c r="B6159" t="s">
        <v>751</v>
      </c>
      <c r="C6159" s="109" t="str">
        <f>IF(ISBLANK(K6159),IFERROR(VLOOKUP(I6159,FS_input_data!$C$458:$N$648,Export!J6159,FALSE),""),K6159)</f>
        <v/>
      </c>
      <c r="D6159" s="6"/>
      <c r="E6159" s="6"/>
      <c r="F6159" s="6"/>
      <c r="G6159" s="115" t="b">
        <f>VLOOKUP(I6148,FS_input_noty,J6148,FALSE)=""</f>
        <v>0</v>
      </c>
      <c r="H6159" s="6" t="s">
        <v>2189</v>
      </c>
      <c r="I6159" t="s">
        <v>1561</v>
      </c>
      <c r="J6159" t="s">
        <v>1561</v>
      </c>
      <c r="L6159">
        <f t="shared" si="358"/>
        <v>1</v>
      </c>
    </row>
    <row r="6160" spans="1:12" x14ac:dyDescent="0.35">
      <c r="A6160">
        <f t="shared" si="359"/>
        <v>6159</v>
      </c>
      <c r="B6160" t="s">
        <v>754</v>
      </c>
      <c r="C6160" s="109" t="str">
        <f>IF(ISBLANK(K6160),IFERROR(VLOOKUP(I6160,FS_input_data!$C$458:$N$648,Export!J6160,FALSE),""),K6160)</f>
        <v/>
      </c>
      <c r="D6160" s="6"/>
      <c r="E6160" s="6"/>
      <c r="F6160" s="6"/>
      <c r="G6160" s="115" t="b">
        <f>VLOOKUP(I6148,FS_input_noty,J6148,FALSE)=""</f>
        <v>0</v>
      </c>
      <c r="H6160" s="6" t="s">
        <v>2189</v>
      </c>
      <c r="I6160" t="s">
        <v>1561</v>
      </c>
      <c r="J6160" t="s">
        <v>1561</v>
      </c>
      <c r="L6160" s="26" t="e">
        <f t="shared" si="358"/>
        <v>#VALUE!</v>
      </c>
    </row>
    <row r="6161" spans="1:12" x14ac:dyDescent="0.35">
      <c r="A6161" s="9">
        <f t="shared" si="359"/>
        <v>6160</v>
      </c>
      <c r="B6161" t="s">
        <v>755</v>
      </c>
      <c r="C6161" s="109">
        <f>IF(ISBLANK(K6161),IFERROR(VLOOKUP(I6161,FS_input_data!$C$458:$N$648,Export!J6161,FALSE),""),K6161)</f>
        <v>111</v>
      </c>
      <c r="D6161" s="6" t="b">
        <v>1</v>
      </c>
      <c r="E6161" s="6"/>
      <c r="F6161" s="6"/>
      <c r="G6161" s="115" t="b">
        <f>VLOOKUP(I6148,FS_input_noty,J6148,FALSE)=""</f>
        <v>0</v>
      </c>
      <c r="H6161" s="6" t="s">
        <v>2189</v>
      </c>
      <c r="I6161" t="s">
        <v>2032</v>
      </c>
      <c r="J6161">
        <v>2</v>
      </c>
      <c r="L6161" s="26" t="e">
        <f t="shared" si="358"/>
        <v>#VALUE!</v>
      </c>
    </row>
    <row r="6162" spans="1:12" x14ac:dyDescent="0.35">
      <c r="A6162">
        <f t="shared" si="359"/>
        <v>6161</v>
      </c>
      <c r="B6162" t="s">
        <v>756</v>
      </c>
      <c r="C6162" s="109" t="str">
        <f>IF(ISBLANK(K6162),IFERROR(VLOOKUP(I6162,FS_input_data!$C$458:$N$648,Export!J6162,FALSE),""),K6162)</f>
        <v/>
      </c>
      <c r="D6162" s="6"/>
      <c r="E6162" s="6"/>
      <c r="F6162" s="6"/>
      <c r="G6162" s="115" t="b">
        <f>VLOOKUP(I6148,FS_input_noty,J6148,FALSE)=""</f>
        <v>0</v>
      </c>
      <c r="H6162" s="6" t="s">
        <v>2189</v>
      </c>
      <c r="I6162" t="s">
        <v>1561</v>
      </c>
      <c r="J6162" t="s">
        <v>1561</v>
      </c>
      <c r="L6162">
        <f t="shared" si="358"/>
        <v>1</v>
      </c>
    </row>
    <row r="6163" spans="1:12" x14ac:dyDescent="0.35">
      <c r="A6163" s="9">
        <f t="shared" si="359"/>
        <v>6162</v>
      </c>
      <c r="B6163" t="s">
        <v>757</v>
      </c>
      <c r="C6163" s="109">
        <f>IF(ISBLANK(K6163),IFERROR(VLOOKUP(I6163,FS_input_data!$C$458:$N$648,Export!J6163,FALSE),""),K6163)</f>
        <v>211</v>
      </c>
      <c r="D6163" s="6" t="b">
        <v>0</v>
      </c>
      <c r="E6163" s="6"/>
      <c r="F6163" s="6"/>
      <c r="G6163" s="115" t="b">
        <f>VLOOKUP(I6148,FS_input_noty,J6148,FALSE)=""</f>
        <v>0</v>
      </c>
      <c r="H6163" s="6" t="s">
        <v>2189</v>
      </c>
      <c r="I6163" t="s">
        <v>2032</v>
      </c>
      <c r="J6163">
        <v>3</v>
      </c>
      <c r="L6163" s="26" t="e">
        <f t="shared" si="358"/>
        <v>#VALUE!</v>
      </c>
    </row>
    <row r="6164" spans="1:12" x14ac:dyDescent="0.35">
      <c r="A6164">
        <f t="shared" si="359"/>
        <v>6163</v>
      </c>
      <c r="B6164" t="s">
        <v>758</v>
      </c>
      <c r="C6164" s="109" t="str">
        <f>IF(ISBLANK(K6164),IFERROR(VLOOKUP(I6164,FS_input_data!$C$458:$N$648,Export!J6164,FALSE),""),K6164)</f>
        <v/>
      </c>
      <c r="D6164" s="6"/>
      <c r="E6164" s="6"/>
      <c r="F6164" s="6"/>
      <c r="G6164" s="115" t="b">
        <f>VLOOKUP(I6148,FS_input_noty,J6148,FALSE)=""</f>
        <v>0</v>
      </c>
      <c r="H6164" s="6" t="s">
        <v>2189</v>
      </c>
      <c r="I6164" t="s">
        <v>1561</v>
      </c>
      <c r="J6164" t="s">
        <v>1561</v>
      </c>
      <c r="L6164">
        <f t="shared" si="358"/>
        <v>1</v>
      </c>
    </row>
    <row r="6165" spans="1:12" x14ac:dyDescent="0.35">
      <c r="A6165" s="9">
        <f t="shared" si="359"/>
        <v>6164</v>
      </c>
      <c r="B6165" t="s">
        <v>759</v>
      </c>
      <c r="C6165" s="109">
        <f>IF(ISBLANK(K6165),IFERROR(VLOOKUP(I6165,FS_input_data!$C$458:$N$648,Export!J6165,FALSE),""),K6165)</f>
        <v>311</v>
      </c>
      <c r="D6165" s="6" t="b">
        <v>0</v>
      </c>
      <c r="E6165" s="6"/>
      <c r="F6165" s="6"/>
      <c r="G6165" s="115" t="b">
        <f>VLOOKUP(I6148,FS_input_noty,J6148,FALSE)=""</f>
        <v>0</v>
      </c>
      <c r="H6165" s="6" t="s">
        <v>2189</v>
      </c>
      <c r="I6165" t="s">
        <v>2032</v>
      </c>
      <c r="J6165">
        <v>4</v>
      </c>
      <c r="L6165" s="26" t="e">
        <f t="shared" si="358"/>
        <v>#VALUE!</v>
      </c>
    </row>
    <row r="6166" spans="1:12" x14ac:dyDescent="0.35">
      <c r="A6166">
        <f t="shared" si="359"/>
        <v>6165</v>
      </c>
      <c r="B6166" t="s">
        <v>760</v>
      </c>
      <c r="C6166" s="109" t="str">
        <f>IF(ISBLANK(K6166),IFERROR(VLOOKUP(I6166,FS_input_data!$C$458:$N$648,Export!J6166,FALSE),""),K6166)</f>
        <v/>
      </c>
      <c r="D6166" s="6"/>
      <c r="E6166" s="6"/>
      <c r="F6166" s="6"/>
      <c r="G6166" s="115" t="b">
        <f>VLOOKUP(I6148,FS_input_noty,J6148,FALSE)=""</f>
        <v>0</v>
      </c>
      <c r="H6166" s="6" t="s">
        <v>2189</v>
      </c>
      <c r="I6166" t="s">
        <v>1561</v>
      </c>
      <c r="J6166" t="s">
        <v>1561</v>
      </c>
      <c r="L6166">
        <f t="shared" si="358"/>
        <v>1</v>
      </c>
    </row>
    <row r="6167" spans="1:12" x14ac:dyDescent="0.35">
      <c r="A6167" s="9">
        <f t="shared" si="359"/>
        <v>6166</v>
      </c>
      <c r="B6167" t="s">
        <v>761</v>
      </c>
      <c r="C6167" s="109" t="str">
        <f>IF(ISBLANK(K6167),IFERROR(VLOOKUP(I6167,FS_input_data!$C$458:$N$648,Export!J6167,FALSE),""),K6167)</f>
        <v>e</v>
      </c>
      <c r="D6167" s="6" t="b">
        <v>0</v>
      </c>
      <c r="E6167" s="6"/>
      <c r="F6167" s="6"/>
      <c r="G6167" s="115" t="b">
        <f>VLOOKUP(I6148,FS_input_noty,J6148,FALSE)=""</f>
        <v>0</v>
      </c>
      <c r="H6167" s="6" t="s">
        <v>2189</v>
      </c>
      <c r="I6167" t="s">
        <v>2032</v>
      </c>
      <c r="J6167">
        <v>5</v>
      </c>
      <c r="L6167" s="26" t="e">
        <f t="shared" si="358"/>
        <v>#VALUE!</v>
      </c>
    </row>
    <row r="6168" spans="1:12" x14ac:dyDescent="0.35">
      <c r="A6168">
        <f t="shared" si="359"/>
        <v>6167</v>
      </c>
      <c r="B6168" t="s">
        <v>762</v>
      </c>
      <c r="C6168" s="109" t="str">
        <f>IF(ISBLANK(K6168),IFERROR(VLOOKUP(I6168,FS_input_data!$C$458:$N$648,Export!J6168,FALSE),""),K6168)</f>
        <v/>
      </c>
      <c r="D6168" s="6"/>
      <c r="E6168" s="6"/>
      <c r="F6168" s="6"/>
      <c r="G6168" s="115" t="b">
        <f>VLOOKUP(I6148,FS_input_noty,J6148,FALSE)=""</f>
        <v>0</v>
      </c>
      <c r="H6168" s="6" t="s">
        <v>2189</v>
      </c>
      <c r="I6168" t="s">
        <v>1561</v>
      </c>
      <c r="J6168" t="s">
        <v>1561</v>
      </c>
      <c r="L6168">
        <f t="shared" si="358"/>
        <v>1</v>
      </c>
    </row>
    <row r="6169" spans="1:12" x14ac:dyDescent="0.35">
      <c r="A6169">
        <f t="shared" si="359"/>
        <v>6168</v>
      </c>
      <c r="B6169" t="s">
        <v>763</v>
      </c>
      <c r="C6169" s="109" t="str">
        <f>IF(ISBLANK(K6169),IFERROR(VLOOKUP(I6169,FS_input_data!$C$458:$N$648,Export!J6169,FALSE),""),K6169)</f>
        <v/>
      </c>
      <c r="D6169" s="6"/>
      <c r="E6169" s="6"/>
      <c r="F6169" s="6"/>
      <c r="G6169" s="115" t="b">
        <f>VLOOKUP(I6148,FS_input_noty,J6148,FALSE)=""</f>
        <v>0</v>
      </c>
      <c r="H6169" s="6" t="s">
        <v>2189</v>
      </c>
      <c r="I6169" t="s">
        <v>1561</v>
      </c>
      <c r="J6169" t="s">
        <v>1561</v>
      </c>
      <c r="L6169">
        <f t="shared" si="358"/>
        <v>1</v>
      </c>
    </row>
    <row r="6170" spans="1:12" x14ac:dyDescent="0.35">
      <c r="A6170">
        <f t="shared" si="359"/>
        <v>6169</v>
      </c>
      <c r="B6170" t="s">
        <v>743</v>
      </c>
      <c r="C6170" s="109" t="str">
        <f>IF(ISBLANK(K6170),IFERROR(VLOOKUP(I6170,FS_input_data!$C$458:$N$648,Export!J6170,FALSE),""),K6170)</f>
        <v/>
      </c>
      <c r="D6170" s="6"/>
      <c r="E6170" s="6"/>
      <c r="F6170" s="6"/>
      <c r="G6170" s="115" t="b">
        <f>VLOOKUP(I6148,FS_input_noty,J6148,FALSE)=""</f>
        <v>0</v>
      </c>
      <c r="H6170" s="6" t="s">
        <v>2189</v>
      </c>
      <c r="I6170" t="s">
        <v>1561</v>
      </c>
      <c r="J6170" t="s">
        <v>1561</v>
      </c>
      <c r="L6170">
        <f t="shared" si="358"/>
        <v>1</v>
      </c>
    </row>
    <row r="6171" spans="1:12" x14ac:dyDescent="0.35">
      <c r="A6171">
        <f t="shared" si="359"/>
        <v>6170</v>
      </c>
      <c r="B6171" t="s">
        <v>744</v>
      </c>
      <c r="C6171" s="109" t="str">
        <f>IF(ISBLANK(K6171),IFERROR(VLOOKUP(I6171,FS_input_data!$C$458:$N$648,Export!J6171,FALSE),""),K6171)</f>
        <v/>
      </c>
      <c r="D6171" s="6"/>
      <c r="E6171" s="6"/>
      <c r="F6171" s="6"/>
      <c r="G6171" s="115" t="b">
        <f t="shared" ref="G6171:G6178" si="360">RP_tax</f>
        <v>1</v>
      </c>
      <c r="H6171" s="6" t="s">
        <v>2189</v>
      </c>
      <c r="I6171" t="s">
        <v>1561</v>
      </c>
      <c r="J6171" t="s">
        <v>1561</v>
      </c>
      <c r="L6171" s="26" t="e">
        <f t="shared" si="358"/>
        <v>#VALUE!</v>
      </c>
    </row>
    <row r="6172" spans="1:12" x14ac:dyDescent="0.35">
      <c r="A6172" s="9">
        <f t="shared" si="359"/>
        <v>6171</v>
      </c>
      <c r="B6172" t="s">
        <v>109</v>
      </c>
      <c r="C6172" s="109">
        <f>IF(ISBLANK(K6172),IFERROR(VLOOKUP(I6172,FS_input_data!$C$458:$N$648,Export!J6172,FALSE),""),K6172)</f>
        <v>13000</v>
      </c>
      <c r="D6172" s="6" t="b">
        <v>1</v>
      </c>
      <c r="E6172" s="6"/>
      <c r="F6172" s="6"/>
      <c r="G6172" s="115" t="b">
        <f t="shared" si="360"/>
        <v>1</v>
      </c>
      <c r="H6172" s="6" t="s">
        <v>2189</v>
      </c>
      <c r="I6172" t="s">
        <v>2032</v>
      </c>
      <c r="J6172">
        <v>10</v>
      </c>
      <c r="L6172" s="26" t="e">
        <f t="shared" si="358"/>
        <v>#VALUE!</v>
      </c>
    </row>
    <row r="6173" spans="1:12" x14ac:dyDescent="0.35">
      <c r="A6173">
        <f t="shared" si="359"/>
        <v>6172</v>
      </c>
      <c r="B6173" t="s">
        <v>110</v>
      </c>
      <c r="C6173" s="109" t="str">
        <f>IF(ISBLANK(K6173),IFERROR(VLOOKUP(I6173,FS_input_data!$C$458:$N$648,Export!J6173,FALSE),""),K6173)</f>
        <v/>
      </c>
      <c r="D6173" s="6"/>
      <c r="E6173" s="6"/>
      <c r="F6173" s="6"/>
      <c r="G6173" s="115" t="b">
        <f t="shared" si="360"/>
        <v>1</v>
      </c>
      <c r="H6173" s="6" t="s">
        <v>2189</v>
      </c>
      <c r="I6173" t="s">
        <v>1561</v>
      </c>
      <c r="J6173" t="s">
        <v>1561</v>
      </c>
      <c r="L6173">
        <f t="shared" si="358"/>
        <v>1</v>
      </c>
    </row>
    <row r="6174" spans="1:12" x14ac:dyDescent="0.35">
      <c r="A6174" s="9">
        <f t="shared" si="359"/>
        <v>6173</v>
      </c>
      <c r="B6174" t="s">
        <v>111</v>
      </c>
      <c r="C6174" s="109">
        <f>IF(ISBLANK(K6174),IFERROR(VLOOKUP(I6174,FS_input_data!$C$458:$N$648,Export!J6174,FALSE),""),K6174)</f>
        <v>6500</v>
      </c>
      <c r="D6174" s="6" t="b">
        <v>0</v>
      </c>
      <c r="E6174" s="6"/>
      <c r="F6174" s="6"/>
      <c r="G6174" s="115" t="b">
        <f t="shared" si="360"/>
        <v>1</v>
      </c>
      <c r="H6174" s="6" t="s">
        <v>2189</v>
      </c>
      <c r="I6174" t="s">
        <v>2032</v>
      </c>
      <c r="J6174">
        <v>11</v>
      </c>
      <c r="L6174" s="26" t="e">
        <f t="shared" si="358"/>
        <v>#VALUE!</v>
      </c>
    </row>
    <row r="6175" spans="1:12" x14ac:dyDescent="0.35">
      <c r="A6175">
        <f t="shared" si="359"/>
        <v>6174</v>
      </c>
      <c r="B6175" t="s">
        <v>112</v>
      </c>
      <c r="C6175" s="109" t="str">
        <f>IF(ISBLANK(K6175),IFERROR(VLOOKUP(I6175,FS_input_data!$C$458:$N$648,Export!J6175,FALSE),""),K6175)</f>
        <v/>
      </c>
      <c r="D6175" s="6"/>
      <c r="E6175" s="6"/>
      <c r="F6175" s="6"/>
      <c r="G6175" s="115" t="b">
        <f t="shared" si="360"/>
        <v>1</v>
      </c>
      <c r="H6175" s="6" t="s">
        <v>2189</v>
      </c>
      <c r="I6175" t="s">
        <v>1561</v>
      </c>
      <c r="J6175" t="s">
        <v>1561</v>
      </c>
      <c r="L6175">
        <f t="shared" si="358"/>
        <v>1</v>
      </c>
    </row>
    <row r="6176" spans="1:12" x14ac:dyDescent="0.35">
      <c r="A6176" s="9">
        <f t="shared" si="359"/>
        <v>6175</v>
      </c>
      <c r="B6176" t="s">
        <v>749</v>
      </c>
      <c r="C6176" s="109">
        <f>IF(ISBLANK(K6176),IFERROR(VLOOKUP(I6176,FS_input_data!$C$458:$N$648,Export!J6176,FALSE),""),K6176)</f>
        <v>6500</v>
      </c>
      <c r="D6176" s="6" t="b">
        <v>0</v>
      </c>
      <c r="E6176" s="6"/>
      <c r="F6176" s="6"/>
      <c r="G6176" s="115" t="b">
        <f t="shared" si="360"/>
        <v>1</v>
      </c>
      <c r="H6176" s="6" t="s">
        <v>2189</v>
      </c>
      <c r="I6176" t="s">
        <v>2032</v>
      </c>
      <c r="J6176">
        <v>12</v>
      </c>
      <c r="L6176" s="26" t="e">
        <f t="shared" si="358"/>
        <v>#VALUE!</v>
      </c>
    </row>
    <row r="6177" spans="1:12" x14ac:dyDescent="0.35">
      <c r="A6177">
        <f t="shared" si="359"/>
        <v>6176</v>
      </c>
      <c r="B6177" t="s">
        <v>750</v>
      </c>
      <c r="C6177" s="109" t="str">
        <f>IF(ISBLANK(K6177),IFERROR(VLOOKUP(I6177,FS_input_data!$C$458:$N$648,Export!J6177,FALSE),""),K6177)</f>
        <v/>
      </c>
      <c r="D6177" s="6"/>
      <c r="E6177" s="6"/>
      <c r="F6177" s="6"/>
      <c r="G6177" s="115" t="b">
        <f t="shared" si="360"/>
        <v>1</v>
      </c>
      <c r="H6177" s="6" t="s">
        <v>2189</v>
      </c>
      <c r="I6177" t="s">
        <v>1561</v>
      </c>
      <c r="J6177" t="s">
        <v>1561</v>
      </c>
      <c r="L6177">
        <f t="shared" si="358"/>
        <v>1</v>
      </c>
    </row>
    <row r="6178" spans="1:12" x14ac:dyDescent="0.35">
      <c r="A6178">
        <f t="shared" si="359"/>
        <v>6177</v>
      </c>
      <c r="B6178" t="s">
        <v>745</v>
      </c>
      <c r="C6178" s="109" t="str">
        <f>IF(ISBLANK(K6178),IFERROR(VLOOKUP(I6178,FS_input_data!$C$458:$N$648,Export!J6178,FALSE),""),K6178)</f>
        <v/>
      </c>
      <c r="D6178" s="6"/>
      <c r="E6178" s="6"/>
      <c r="F6178" s="6"/>
      <c r="G6178" s="115" t="b">
        <f t="shared" si="360"/>
        <v>1</v>
      </c>
      <c r="H6178" s="6" t="s">
        <v>2189</v>
      </c>
      <c r="I6178" t="s">
        <v>1561</v>
      </c>
      <c r="J6178" t="s">
        <v>1561</v>
      </c>
      <c r="L6178">
        <f t="shared" si="358"/>
        <v>1</v>
      </c>
    </row>
    <row r="6179" spans="1:12" x14ac:dyDescent="0.35">
      <c r="A6179">
        <f t="shared" si="359"/>
        <v>6178</v>
      </c>
      <c r="B6179" t="s">
        <v>764</v>
      </c>
      <c r="C6179" s="109" t="str">
        <f>IF(ISBLANK(K6179),IFERROR(VLOOKUP(I6179,FS_input_data!$C$458:$N$648,Export!J6179,FALSE),""),K6179)</f>
        <v/>
      </c>
      <c r="D6179" s="6"/>
      <c r="E6179" s="6"/>
      <c r="F6179" s="6"/>
      <c r="G6179" s="115" t="b">
        <f>VLOOKUP(I6148,FS_input_noty,J6148,FALSE)=""</f>
        <v>0</v>
      </c>
      <c r="H6179" s="6" t="s">
        <v>2189</v>
      </c>
      <c r="I6179" t="s">
        <v>1561</v>
      </c>
      <c r="J6179" t="s">
        <v>1561</v>
      </c>
      <c r="L6179">
        <f t="shared" si="358"/>
        <v>1</v>
      </c>
    </row>
    <row r="6180" spans="1:12" x14ac:dyDescent="0.35">
      <c r="A6180">
        <f t="shared" si="359"/>
        <v>6179</v>
      </c>
      <c r="B6180" t="s">
        <v>765</v>
      </c>
      <c r="C6180" s="109" t="str">
        <f>IF(ISBLANK(K6180),IFERROR(VLOOKUP(I6180,FS_input_data!$C$458:$N$648,Export!J6180,FALSE),""),K6180)</f>
        <v/>
      </c>
      <c r="D6180" s="6"/>
      <c r="E6180" s="6"/>
      <c r="F6180" s="6"/>
      <c r="G6180" s="115" t="b">
        <f>VLOOKUP(I6148,FS_input_noty,J6148,FALSE)=""</f>
        <v>0</v>
      </c>
      <c r="H6180" s="6" t="s">
        <v>2189</v>
      </c>
      <c r="I6180" t="s">
        <v>1561</v>
      </c>
      <c r="J6180" t="s">
        <v>1561</v>
      </c>
      <c r="L6180">
        <f t="shared" si="358"/>
        <v>1</v>
      </c>
    </row>
    <row r="6181" spans="1:12" x14ac:dyDescent="0.35">
      <c r="A6181">
        <f t="shared" si="359"/>
        <v>6180</v>
      </c>
      <c r="B6181" t="s">
        <v>752</v>
      </c>
      <c r="C6181" s="109" t="str">
        <f>IF(ISBLANK(K6181),IFERROR(VLOOKUP(I6181,FS_input_data!$C$458:$N$648,Export!J6181,FALSE),""),K6181)</f>
        <v/>
      </c>
      <c r="D6181" s="6"/>
      <c r="E6181" s="6"/>
      <c r="F6181" s="6"/>
      <c r="G6181" s="115" t="b">
        <f>VLOOKUP(I6182,FS_input_noty,J6182,FALSE)=""</f>
        <v>0</v>
      </c>
      <c r="H6181" s="6" t="s">
        <v>2189</v>
      </c>
      <c r="I6181" t="s">
        <v>1561</v>
      </c>
      <c r="J6181" t="s">
        <v>1561</v>
      </c>
      <c r="L6181" s="26" t="e">
        <f t="shared" si="358"/>
        <v>#VALUE!</v>
      </c>
    </row>
    <row r="6182" spans="1:12" x14ac:dyDescent="0.35">
      <c r="A6182" s="9">
        <f t="shared" si="359"/>
        <v>6181</v>
      </c>
      <c r="B6182" t="s">
        <v>101</v>
      </c>
      <c r="C6182" s="109" t="str">
        <f>IF(ISBLANK(K6182),IFERROR(VLOOKUP(I6182,FS_input_data!$C$458:$N$648,Export!J6182,FALSE),""),K6182)</f>
        <v>OC89</v>
      </c>
      <c r="D6182" s="6" t="b">
        <v>1</v>
      </c>
      <c r="E6182" s="6"/>
      <c r="F6182" s="6"/>
      <c r="G6182" s="115" t="b">
        <f>VLOOKUP(I6182,FS_input_noty,J6182,FALSE)=""</f>
        <v>0</v>
      </c>
      <c r="H6182" s="6" t="s">
        <v>2189</v>
      </c>
      <c r="I6182" t="s">
        <v>2034</v>
      </c>
      <c r="J6182">
        <v>6</v>
      </c>
      <c r="L6182" s="26" t="e">
        <f t="shared" si="358"/>
        <v>#VALUE!</v>
      </c>
    </row>
    <row r="6183" spans="1:12" x14ac:dyDescent="0.35">
      <c r="A6183">
        <f t="shared" si="359"/>
        <v>6182</v>
      </c>
      <c r="B6183" t="s">
        <v>102</v>
      </c>
      <c r="C6183" s="109" t="str">
        <f>IF(ISBLANK(K6183),IFERROR(VLOOKUP(I6183,FS_input_data!$C$458:$N$648,Export!J6183,FALSE),""),K6183)</f>
        <v/>
      </c>
      <c r="D6183" s="6"/>
      <c r="E6183" s="6"/>
      <c r="F6183" s="6"/>
      <c r="G6183" s="115" t="b">
        <f>VLOOKUP(I6182,FS_input_noty,J6182,FALSE)=""</f>
        <v>0</v>
      </c>
      <c r="H6183" s="6" t="s">
        <v>2189</v>
      </c>
      <c r="I6183" t="s">
        <v>1561</v>
      </c>
      <c r="J6183" t="s">
        <v>1561</v>
      </c>
      <c r="L6183">
        <f t="shared" si="358"/>
        <v>1</v>
      </c>
    </row>
    <row r="6184" spans="1:12" x14ac:dyDescent="0.35">
      <c r="A6184">
        <f t="shared" si="359"/>
        <v>6183</v>
      </c>
      <c r="B6184" t="s">
        <v>753</v>
      </c>
      <c r="C6184" s="109" t="str">
        <f>IF(ISBLANK(K6184),IFERROR(VLOOKUP(I6184,FS_input_data!$C$458:$N$648,Export!J6184,FALSE),""),K6184)</f>
        <v/>
      </c>
      <c r="D6184" s="6"/>
      <c r="E6184" s="6"/>
      <c r="F6184" s="6"/>
      <c r="G6184" s="115" t="b">
        <f>VLOOKUP(I6182,FS_input_noty,J6182,FALSE)=""</f>
        <v>0</v>
      </c>
      <c r="H6184" s="6" t="s">
        <v>2189</v>
      </c>
      <c r="I6184" t="s">
        <v>1561</v>
      </c>
      <c r="J6184" t="s">
        <v>1561</v>
      </c>
      <c r="L6184" s="26" t="e">
        <f t="shared" si="358"/>
        <v>#VALUE!</v>
      </c>
    </row>
    <row r="6185" spans="1:12" x14ac:dyDescent="0.35">
      <c r="A6185">
        <f t="shared" si="359"/>
        <v>6184</v>
      </c>
      <c r="B6185" t="s">
        <v>742</v>
      </c>
      <c r="C6185" s="109" t="str">
        <f>IF(ISBLANK(K6185),IFERROR(VLOOKUP(I6185,FS_input_data!$C$458:$N$648,Export!J6185,FALSE),""),K6185)</f>
        <v/>
      </c>
      <c r="D6185" s="6"/>
      <c r="E6185" s="6"/>
      <c r="F6185" s="6"/>
      <c r="G6185" s="115" t="b">
        <f>VLOOKUP(I6182,FS_input_noty,J6182,FALSE)=""</f>
        <v>0</v>
      </c>
      <c r="H6185" s="6" t="s">
        <v>2189</v>
      </c>
      <c r="I6185" t="s">
        <v>1561</v>
      </c>
      <c r="J6185" t="s">
        <v>1561</v>
      </c>
      <c r="L6185" s="26" t="e">
        <f t="shared" si="358"/>
        <v>#VALUE!</v>
      </c>
    </row>
    <row r="6186" spans="1:12" x14ac:dyDescent="0.35">
      <c r="A6186">
        <f t="shared" si="359"/>
        <v>6185</v>
      </c>
      <c r="B6186" t="s">
        <v>748</v>
      </c>
      <c r="C6186" s="109" t="str">
        <f>IF(ISBLANK(K6186),IFERROR(VLOOKUP(I6186,FS_input_data!$C$458:$N$648,Export!J6186,FALSE),""),K6186)</f>
        <v/>
      </c>
      <c r="D6186" s="6"/>
      <c r="E6186" s="6"/>
      <c r="F6186" s="6"/>
      <c r="G6186" s="115" t="b">
        <f>VLOOKUP(I6182,FS_input_noty,J6182,FALSE)=""</f>
        <v>0</v>
      </c>
      <c r="H6186" s="6" t="s">
        <v>2189</v>
      </c>
      <c r="I6186" t="s">
        <v>1561</v>
      </c>
      <c r="J6186" t="s">
        <v>1561</v>
      </c>
      <c r="L6186" s="26" t="e">
        <f t="shared" si="358"/>
        <v>#VALUE!</v>
      </c>
    </row>
    <row r="6187" spans="1:12" x14ac:dyDescent="0.35">
      <c r="A6187" s="9">
        <f t="shared" si="359"/>
        <v>6186</v>
      </c>
      <c r="B6187" t="s">
        <v>109</v>
      </c>
      <c r="C6187" s="109">
        <f>IF(ISBLANK(K6187),IFERROR(VLOOKUP(I6187,FS_input_data!$C$458:$N$648,Export!J6187,FALSE),""),K6187)</f>
        <v>14000</v>
      </c>
      <c r="D6187" s="6" t="b">
        <v>1</v>
      </c>
      <c r="E6187" s="6"/>
      <c r="F6187" s="6"/>
      <c r="G6187" s="115" t="b">
        <f>VLOOKUP(I6182,FS_input_noty,J6182,FALSE)=""</f>
        <v>0</v>
      </c>
      <c r="H6187" s="6" t="s">
        <v>2189</v>
      </c>
      <c r="I6187" t="s">
        <v>2034</v>
      </c>
      <c r="J6187">
        <v>7</v>
      </c>
      <c r="L6187" s="26" t="e">
        <f t="shared" si="358"/>
        <v>#VALUE!</v>
      </c>
    </row>
    <row r="6188" spans="1:12" x14ac:dyDescent="0.35">
      <c r="A6188">
        <f t="shared" si="359"/>
        <v>6187</v>
      </c>
      <c r="B6188" t="s">
        <v>110</v>
      </c>
      <c r="C6188" s="109" t="str">
        <f>IF(ISBLANK(K6188),IFERROR(VLOOKUP(I6188,FS_input_data!$C$458:$N$648,Export!J6188,FALSE),""),K6188)</f>
        <v/>
      </c>
      <c r="D6188" s="6"/>
      <c r="E6188" s="6"/>
      <c r="F6188" s="6"/>
      <c r="G6188" s="115" t="b">
        <f>VLOOKUP(I6182,FS_input_noty,J6182,FALSE)=""</f>
        <v>0</v>
      </c>
      <c r="H6188" s="6" t="s">
        <v>2189</v>
      </c>
      <c r="I6188" t="s">
        <v>1561</v>
      </c>
      <c r="J6188" t="s">
        <v>1561</v>
      </c>
      <c r="L6188">
        <f t="shared" si="358"/>
        <v>1</v>
      </c>
    </row>
    <row r="6189" spans="1:12" x14ac:dyDescent="0.35">
      <c r="A6189" s="9">
        <f t="shared" si="359"/>
        <v>6188</v>
      </c>
      <c r="B6189" t="s">
        <v>111</v>
      </c>
      <c r="C6189" s="109">
        <f>IF(ISBLANK(K6189),IFERROR(VLOOKUP(I6189,FS_input_data!$C$458:$N$648,Export!J6189,FALSE),""),K6189)</f>
        <v>7000</v>
      </c>
      <c r="D6189" s="6" t="b">
        <v>0</v>
      </c>
      <c r="E6189" s="6"/>
      <c r="F6189" s="6"/>
      <c r="G6189" s="115" t="b">
        <f>VLOOKUP(I6182,FS_input_noty,J6182,TRUE)=""</f>
        <v>0</v>
      </c>
      <c r="H6189" s="6" t="s">
        <v>2189</v>
      </c>
      <c r="I6189" t="s">
        <v>2034</v>
      </c>
      <c r="J6189">
        <v>8</v>
      </c>
      <c r="L6189" s="26" t="e">
        <f t="shared" si="358"/>
        <v>#VALUE!</v>
      </c>
    </row>
    <row r="6190" spans="1:12" x14ac:dyDescent="0.35">
      <c r="A6190">
        <f t="shared" si="359"/>
        <v>6189</v>
      </c>
      <c r="B6190" t="s">
        <v>112</v>
      </c>
      <c r="C6190" s="109" t="str">
        <f>IF(ISBLANK(K6190),IFERROR(VLOOKUP(I6190,FS_input_data!$C$458:$N$648,Export!J6190,FALSE),""),K6190)</f>
        <v/>
      </c>
      <c r="D6190" s="6"/>
      <c r="E6190" s="6"/>
      <c r="F6190" s="6"/>
      <c r="G6190" s="115" t="b">
        <f>VLOOKUP(I6182,FS_input_noty,J6182,FALSE)=""</f>
        <v>0</v>
      </c>
      <c r="H6190" s="6" t="s">
        <v>2189</v>
      </c>
      <c r="I6190" t="s">
        <v>1561</v>
      </c>
      <c r="J6190" t="s">
        <v>1561</v>
      </c>
      <c r="L6190">
        <f t="shared" si="358"/>
        <v>1</v>
      </c>
    </row>
    <row r="6191" spans="1:12" x14ac:dyDescent="0.35">
      <c r="A6191" s="9">
        <f t="shared" si="359"/>
        <v>6190</v>
      </c>
      <c r="B6191" t="s">
        <v>749</v>
      </c>
      <c r="C6191" s="109">
        <f>IF(ISBLANK(K6191),IFERROR(VLOOKUP(I6191,FS_input_data!$C$458:$N$648,Export!J6191,FALSE),""),K6191)</f>
        <v>7000</v>
      </c>
      <c r="D6191" s="6" t="b">
        <v>0</v>
      </c>
      <c r="E6191" s="6"/>
      <c r="F6191" s="6"/>
      <c r="G6191" s="115" t="b">
        <f>VLOOKUP(I6182,FS_input_noty,J6182,FALSE)=""</f>
        <v>0</v>
      </c>
      <c r="H6191" s="6" t="s">
        <v>2189</v>
      </c>
      <c r="I6191" t="s">
        <v>2034</v>
      </c>
      <c r="J6191">
        <v>9</v>
      </c>
      <c r="L6191" s="26" t="e">
        <f t="shared" si="358"/>
        <v>#VALUE!</v>
      </c>
    </row>
    <row r="6192" spans="1:12" x14ac:dyDescent="0.35">
      <c r="A6192">
        <f t="shared" si="359"/>
        <v>6191</v>
      </c>
      <c r="B6192" t="s">
        <v>750</v>
      </c>
      <c r="C6192" s="109" t="str">
        <f>IF(ISBLANK(K6192),IFERROR(VLOOKUP(I6192,FS_input_data!$C$458:$N$648,Export!J6192,FALSE),""),K6192)</f>
        <v/>
      </c>
      <c r="D6192" s="6"/>
      <c r="E6192" s="6"/>
      <c r="F6192" s="6"/>
      <c r="G6192" s="115" t="b">
        <f>VLOOKUP(I6182,FS_input_noty,J6182,FALSE)=""</f>
        <v>0</v>
      </c>
      <c r="H6192" s="6" t="s">
        <v>2189</v>
      </c>
      <c r="I6192" t="s">
        <v>1561</v>
      </c>
      <c r="J6192" t="s">
        <v>1561</v>
      </c>
      <c r="L6192">
        <f t="shared" si="358"/>
        <v>1</v>
      </c>
    </row>
    <row r="6193" spans="1:12" x14ac:dyDescent="0.35">
      <c r="A6193">
        <f t="shared" si="359"/>
        <v>6192</v>
      </c>
      <c r="B6193" t="s">
        <v>751</v>
      </c>
      <c r="C6193" s="109" t="str">
        <f>IF(ISBLANK(K6193),IFERROR(VLOOKUP(I6193,FS_input_data!$C$458:$N$648,Export!J6193,FALSE),""),K6193)</f>
        <v/>
      </c>
      <c r="D6193" s="6"/>
      <c r="E6193" s="6"/>
      <c r="F6193" s="6"/>
      <c r="G6193" s="115" t="b">
        <f>VLOOKUP(I6182,FS_input_noty,J6182,FALSE)=""</f>
        <v>0</v>
      </c>
      <c r="H6193" s="6" t="s">
        <v>2189</v>
      </c>
      <c r="I6193" t="s">
        <v>1561</v>
      </c>
      <c r="J6193" t="s">
        <v>1561</v>
      </c>
      <c r="L6193">
        <f t="shared" si="358"/>
        <v>1</v>
      </c>
    </row>
    <row r="6194" spans="1:12" x14ac:dyDescent="0.35">
      <c r="A6194">
        <f t="shared" si="359"/>
        <v>6193</v>
      </c>
      <c r="B6194" t="s">
        <v>754</v>
      </c>
      <c r="C6194" s="109" t="str">
        <f>IF(ISBLANK(K6194),IFERROR(VLOOKUP(I6194,FS_input_data!$C$458:$N$648,Export!J6194,FALSE),""),K6194)</f>
        <v/>
      </c>
      <c r="D6194" s="6"/>
      <c r="E6194" s="6"/>
      <c r="F6194" s="6"/>
      <c r="G6194" s="115" t="b">
        <f>VLOOKUP(I6182,FS_input_noty,J6182,FALSE)=""</f>
        <v>0</v>
      </c>
      <c r="H6194" s="6" t="s">
        <v>2189</v>
      </c>
      <c r="I6194" t="s">
        <v>1561</v>
      </c>
      <c r="J6194" t="s">
        <v>1561</v>
      </c>
      <c r="L6194" s="26" t="e">
        <f t="shared" si="358"/>
        <v>#VALUE!</v>
      </c>
    </row>
    <row r="6195" spans="1:12" x14ac:dyDescent="0.35">
      <c r="A6195" s="9">
        <f t="shared" si="359"/>
        <v>6194</v>
      </c>
      <c r="B6195" t="s">
        <v>755</v>
      </c>
      <c r="C6195" s="109">
        <f>IF(ISBLANK(K6195),IFERROR(VLOOKUP(I6195,FS_input_data!$C$458:$N$648,Export!J6195,FALSE),""),K6195)</f>
        <v>112</v>
      </c>
      <c r="D6195" s="6" t="b">
        <v>1</v>
      </c>
      <c r="E6195" s="6"/>
      <c r="F6195" s="6"/>
      <c r="G6195" s="115" t="b">
        <f>VLOOKUP(I6182,FS_input_noty,J6182,FALSE)=""</f>
        <v>0</v>
      </c>
      <c r="H6195" s="6" t="s">
        <v>2189</v>
      </c>
      <c r="I6195" t="s">
        <v>2034</v>
      </c>
      <c r="J6195">
        <v>2</v>
      </c>
      <c r="L6195" s="26" t="e">
        <f t="shared" si="358"/>
        <v>#VALUE!</v>
      </c>
    </row>
    <row r="6196" spans="1:12" x14ac:dyDescent="0.35">
      <c r="A6196">
        <f t="shared" si="359"/>
        <v>6195</v>
      </c>
      <c r="B6196" t="s">
        <v>756</v>
      </c>
      <c r="C6196" s="109" t="str">
        <f>IF(ISBLANK(K6196),IFERROR(VLOOKUP(I6196,FS_input_data!$C$458:$N$648,Export!J6196,FALSE),""),K6196)</f>
        <v/>
      </c>
      <c r="D6196" s="6"/>
      <c r="E6196" s="6"/>
      <c r="F6196" s="6"/>
      <c r="G6196" s="115" t="b">
        <f>VLOOKUP(I6182,FS_input_noty,J6182,FALSE)=""</f>
        <v>0</v>
      </c>
      <c r="H6196" s="6" t="s">
        <v>2189</v>
      </c>
      <c r="I6196" t="s">
        <v>1561</v>
      </c>
      <c r="J6196" t="s">
        <v>1561</v>
      </c>
      <c r="L6196">
        <f t="shared" si="358"/>
        <v>1</v>
      </c>
    </row>
    <row r="6197" spans="1:12" x14ac:dyDescent="0.35">
      <c r="A6197" s="9">
        <f t="shared" si="359"/>
        <v>6196</v>
      </c>
      <c r="B6197" t="s">
        <v>757</v>
      </c>
      <c r="C6197" s="109">
        <f>IF(ISBLANK(K6197),IFERROR(VLOOKUP(I6197,FS_input_data!$C$458:$N$648,Export!J6197,FALSE),""),K6197)</f>
        <v>212</v>
      </c>
      <c r="D6197" s="6" t="b">
        <v>0</v>
      </c>
      <c r="E6197" s="6"/>
      <c r="F6197" s="6"/>
      <c r="G6197" s="115" t="b">
        <f>VLOOKUP(I6182,FS_input_noty,J6182,FALSE)=""</f>
        <v>0</v>
      </c>
      <c r="H6197" s="6" t="s">
        <v>2189</v>
      </c>
      <c r="I6197" t="s">
        <v>2034</v>
      </c>
      <c r="J6197">
        <v>3</v>
      </c>
      <c r="L6197" s="26" t="e">
        <f t="shared" si="358"/>
        <v>#VALUE!</v>
      </c>
    </row>
    <row r="6198" spans="1:12" x14ac:dyDescent="0.35">
      <c r="A6198">
        <f t="shared" si="359"/>
        <v>6197</v>
      </c>
      <c r="B6198" t="s">
        <v>758</v>
      </c>
      <c r="C6198" s="109" t="str">
        <f>IF(ISBLANK(K6198),IFERROR(VLOOKUP(I6198,FS_input_data!$C$458:$N$648,Export!J6198,FALSE),""),K6198)</f>
        <v/>
      </c>
      <c r="D6198" s="6"/>
      <c r="E6198" s="6"/>
      <c r="F6198" s="6"/>
      <c r="G6198" s="115" t="b">
        <f>VLOOKUP(I6182,FS_input_noty,J6182,FALSE)=""</f>
        <v>0</v>
      </c>
      <c r="H6198" s="6" t="s">
        <v>2189</v>
      </c>
      <c r="I6198" t="s">
        <v>1561</v>
      </c>
      <c r="J6198" t="s">
        <v>1561</v>
      </c>
      <c r="L6198">
        <f t="shared" si="358"/>
        <v>1</v>
      </c>
    </row>
    <row r="6199" spans="1:12" x14ac:dyDescent="0.35">
      <c r="A6199" s="9">
        <f t="shared" si="359"/>
        <v>6198</v>
      </c>
      <c r="B6199" t="s">
        <v>759</v>
      </c>
      <c r="C6199" s="109">
        <f>IF(ISBLANK(K6199),IFERROR(VLOOKUP(I6199,FS_input_data!$C$458:$N$648,Export!J6199,FALSE),""),K6199)</f>
        <v>312</v>
      </c>
      <c r="D6199" s="6" t="b">
        <v>0</v>
      </c>
      <c r="E6199" s="6"/>
      <c r="F6199" s="6"/>
      <c r="G6199" s="115" t="b">
        <f>VLOOKUP(I6182,FS_input_noty,J6182,FALSE)=""</f>
        <v>0</v>
      </c>
      <c r="H6199" s="6" t="s">
        <v>2189</v>
      </c>
      <c r="I6199" t="s">
        <v>2034</v>
      </c>
      <c r="J6199">
        <v>4</v>
      </c>
      <c r="L6199" s="26" t="e">
        <f t="shared" si="358"/>
        <v>#VALUE!</v>
      </c>
    </row>
    <row r="6200" spans="1:12" x14ac:dyDescent="0.35">
      <c r="A6200">
        <f t="shared" si="359"/>
        <v>6199</v>
      </c>
      <c r="B6200" t="s">
        <v>760</v>
      </c>
      <c r="C6200" s="109" t="str">
        <f>IF(ISBLANK(K6200),IFERROR(VLOOKUP(I6200,FS_input_data!$C$458:$N$648,Export!J6200,FALSE),""),K6200)</f>
        <v/>
      </c>
      <c r="D6200" s="6"/>
      <c r="E6200" s="6"/>
      <c r="F6200" s="6"/>
      <c r="G6200" s="115" t="b">
        <f>VLOOKUP(I6182,FS_input_noty,J6182,FALSE)=""</f>
        <v>0</v>
      </c>
      <c r="H6200" s="6" t="s">
        <v>2189</v>
      </c>
      <c r="I6200" t="s">
        <v>1561</v>
      </c>
      <c r="J6200" t="s">
        <v>1561</v>
      </c>
      <c r="L6200">
        <f t="shared" si="358"/>
        <v>1</v>
      </c>
    </row>
    <row r="6201" spans="1:12" x14ac:dyDescent="0.35">
      <c r="A6201" s="9">
        <f t="shared" si="359"/>
        <v>6200</v>
      </c>
      <c r="B6201" t="s">
        <v>761</v>
      </c>
      <c r="C6201" s="109" t="str">
        <f>IF(ISBLANK(K6201),IFERROR(VLOOKUP(I6201,FS_input_data!$C$458:$N$648,Export!J6201,FALSE),""),K6201)</f>
        <v>f</v>
      </c>
      <c r="D6201" s="6" t="b">
        <v>0</v>
      </c>
      <c r="E6201" s="6"/>
      <c r="F6201" s="6"/>
      <c r="G6201" s="116" t="b">
        <f>VLOOKUP(I6182,FS_input_noty,J6182,FALSE)=""</f>
        <v>0</v>
      </c>
      <c r="H6201" s="6" t="s">
        <v>2189</v>
      </c>
      <c r="I6201" t="s">
        <v>2034</v>
      </c>
      <c r="J6201">
        <v>5</v>
      </c>
      <c r="L6201" s="26" t="e">
        <f t="shared" si="358"/>
        <v>#VALUE!</v>
      </c>
    </row>
    <row r="6202" spans="1:12" x14ac:dyDescent="0.35">
      <c r="A6202">
        <f t="shared" si="359"/>
        <v>6201</v>
      </c>
      <c r="B6202" t="s">
        <v>762</v>
      </c>
      <c r="C6202" s="109" t="str">
        <f>IF(ISBLANK(K6202),IFERROR(VLOOKUP(I6202,FS_input_data!$C$458:$N$648,Export!J6202,FALSE),""),K6202)</f>
        <v/>
      </c>
      <c r="D6202" s="6"/>
      <c r="E6202" s="6"/>
      <c r="F6202" s="6"/>
      <c r="G6202" s="116" t="b">
        <f>VLOOKUP(I6182,FS_input_noty,J6182,FALSE)=""</f>
        <v>0</v>
      </c>
      <c r="H6202" s="6" t="s">
        <v>2189</v>
      </c>
      <c r="I6202" t="s">
        <v>1561</v>
      </c>
      <c r="J6202" t="s">
        <v>1561</v>
      </c>
      <c r="L6202">
        <f t="shared" si="358"/>
        <v>1</v>
      </c>
    </row>
    <row r="6203" spans="1:12" x14ac:dyDescent="0.35">
      <c r="A6203">
        <f t="shared" si="359"/>
        <v>6202</v>
      </c>
      <c r="B6203" t="s">
        <v>763</v>
      </c>
      <c r="C6203" s="109" t="str">
        <f>IF(ISBLANK(K6203),IFERROR(VLOOKUP(I6203,FS_input_data!$C$458:$N$648,Export!J6203,FALSE),""),K6203)</f>
        <v/>
      </c>
      <c r="D6203" s="6"/>
      <c r="E6203" s="6"/>
      <c r="F6203" s="6"/>
      <c r="G6203" s="116" t="b">
        <f>VLOOKUP(I6182,FS_input_noty,J6182,FALSE)=""</f>
        <v>0</v>
      </c>
      <c r="H6203" s="6" t="s">
        <v>2189</v>
      </c>
      <c r="I6203" t="s">
        <v>1561</v>
      </c>
      <c r="J6203" t="s">
        <v>1561</v>
      </c>
      <c r="L6203">
        <f t="shared" si="358"/>
        <v>1</v>
      </c>
    </row>
    <row r="6204" spans="1:12" x14ac:dyDescent="0.35">
      <c r="A6204">
        <f t="shared" si="359"/>
        <v>6203</v>
      </c>
      <c r="B6204" t="s">
        <v>743</v>
      </c>
      <c r="C6204" s="109" t="str">
        <f>IF(ISBLANK(K6204),IFERROR(VLOOKUP(I6204,FS_input_data!$C$458:$N$648,Export!J6204,FALSE),""),K6204)</f>
        <v/>
      </c>
      <c r="D6204" s="6"/>
      <c r="E6204" s="6"/>
      <c r="F6204" s="6"/>
      <c r="G6204" s="116" t="b">
        <f>VLOOKUP(I6182,FS_input_noty,J6182,FALSE)=""</f>
        <v>0</v>
      </c>
      <c r="H6204" s="6" t="s">
        <v>2189</v>
      </c>
      <c r="I6204" t="s">
        <v>1561</v>
      </c>
      <c r="J6204" t="s">
        <v>1561</v>
      </c>
      <c r="L6204">
        <f t="shared" si="358"/>
        <v>1</v>
      </c>
    </row>
    <row r="6205" spans="1:12" x14ac:dyDescent="0.35">
      <c r="A6205">
        <f t="shared" si="359"/>
        <v>6204</v>
      </c>
      <c r="B6205" t="s">
        <v>744</v>
      </c>
      <c r="C6205" s="109" t="str">
        <f>IF(ISBLANK(K6205),IFERROR(VLOOKUP(I6205,FS_input_data!$C$458:$N$648,Export!J6205,FALSE),""),K6205)</f>
        <v/>
      </c>
      <c r="D6205" s="6"/>
      <c r="E6205" s="6"/>
      <c r="F6205" s="6"/>
      <c r="G6205" s="115" t="b">
        <f t="shared" ref="G6205:G6212" si="361">RP_tax</f>
        <v>1</v>
      </c>
      <c r="H6205" s="6" t="s">
        <v>2189</v>
      </c>
      <c r="I6205" t="s">
        <v>1561</v>
      </c>
      <c r="J6205" t="s">
        <v>1561</v>
      </c>
      <c r="L6205" s="26" t="e">
        <f t="shared" si="358"/>
        <v>#VALUE!</v>
      </c>
    </row>
    <row r="6206" spans="1:12" x14ac:dyDescent="0.35">
      <c r="A6206" s="9">
        <f t="shared" si="359"/>
        <v>6205</v>
      </c>
      <c r="B6206" t="s">
        <v>109</v>
      </c>
      <c r="C6206" s="109">
        <f>IF(ISBLANK(K6206),IFERROR(VLOOKUP(I6206,FS_input_data!$C$458:$N$648,Export!J6206,FALSE),""),K6206)</f>
        <v>14000</v>
      </c>
      <c r="D6206" s="6" t="b">
        <v>1</v>
      </c>
      <c r="E6206" s="6"/>
      <c r="F6206" s="6"/>
      <c r="G6206" s="115" t="b">
        <f t="shared" si="361"/>
        <v>1</v>
      </c>
      <c r="H6206" s="6" t="s">
        <v>2189</v>
      </c>
      <c r="I6206" t="s">
        <v>2034</v>
      </c>
      <c r="J6206">
        <v>10</v>
      </c>
      <c r="L6206" s="26" t="e">
        <f t="shared" si="358"/>
        <v>#VALUE!</v>
      </c>
    </row>
    <row r="6207" spans="1:12" x14ac:dyDescent="0.35">
      <c r="A6207">
        <f t="shared" si="359"/>
        <v>6206</v>
      </c>
      <c r="B6207" t="s">
        <v>110</v>
      </c>
      <c r="C6207" s="109" t="str">
        <f>IF(ISBLANK(K6207),IFERROR(VLOOKUP(I6207,FS_input_data!$C$458:$N$648,Export!J6207,FALSE),""),K6207)</f>
        <v/>
      </c>
      <c r="D6207" s="6"/>
      <c r="E6207" s="6"/>
      <c r="F6207" s="6"/>
      <c r="G6207" s="115" t="b">
        <f t="shared" si="361"/>
        <v>1</v>
      </c>
      <c r="H6207" s="6" t="s">
        <v>2189</v>
      </c>
      <c r="I6207" t="s">
        <v>1561</v>
      </c>
      <c r="J6207" t="s">
        <v>1561</v>
      </c>
      <c r="L6207">
        <f t="shared" si="358"/>
        <v>1</v>
      </c>
    </row>
    <row r="6208" spans="1:12" x14ac:dyDescent="0.35">
      <c r="A6208" s="9">
        <f t="shared" si="359"/>
        <v>6207</v>
      </c>
      <c r="B6208" t="s">
        <v>111</v>
      </c>
      <c r="C6208" s="109">
        <f>IF(ISBLANK(K6208),IFERROR(VLOOKUP(I6208,FS_input_data!$C$458:$N$648,Export!J6208,FALSE),""),K6208)</f>
        <v>7000</v>
      </c>
      <c r="D6208" s="6" t="b">
        <v>0</v>
      </c>
      <c r="E6208" s="6"/>
      <c r="F6208" s="6"/>
      <c r="G6208" s="115" t="b">
        <f t="shared" si="361"/>
        <v>1</v>
      </c>
      <c r="H6208" s="6" t="s">
        <v>2189</v>
      </c>
      <c r="I6208" t="s">
        <v>2034</v>
      </c>
      <c r="J6208">
        <v>11</v>
      </c>
      <c r="L6208" s="26" t="e">
        <f t="shared" si="358"/>
        <v>#VALUE!</v>
      </c>
    </row>
    <row r="6209" spans="1:12" x14ac:dyDescent="0.35">
      <c r="A6209">
        <f t="shared" si="359"/>
        <v>6208</v>
      </c>
      <c r="B6209" t="s">
        <v>112</v>
      </c>
      <c r="C6209" s="109" t="str">
        <f>IF(ISBLANK(K6209),IFERROR(VLOOKUP(I6209,FS_input_data!$C$458:$N$648,Export!J6209,FALSE),""),K6209)</f>
        <v/>
      </c>
      <c r="D6209" s="6"/>
      <c r="E6209" s="6"/>
      <c r="F6209" s="6"/>
      <c r="G6209" s="115" t="b">
        <f t="shared" si="361"/>
        <v>1</v>
      </c>
      <c r="H6209" s="6" t="s">
        <v>2189</v>
      </c>
      <c r="I6209" t="s">
        <v>1561</v>
      </c>
      <c r="J6209" t="s">
        <v>1561</v>
      </c>
      <c r="L6209">
        <f t="shared" si="358"/>
        <v>1</v>
      </c>
    </row>
    <row r="6210" spans="1:12" x14ac:dyDescent="0.35">
      <c r="A6210" s="9">
        <f t="shared" si="359"/>
        <v>6209</v>
      </c>
      <c r="B6210" t="s">
        <v>749</v>
      </c>
      <c r="C6210" s="109">
        <f>IF(ISBLANK(K6210),IFERROR(VLOOKUP(I6210,FS_input_data!$C$458:$N$648,Export!J6210,FALSE),""),K6210)</f>
        <v>7000</v>
      </c>
      <c r="D6210" s="6" t="b">
        <v>0</v>
      </c>
      <c r="E6210" s="6"/>
      <c r="F6210" s="6"/>
      <c r="G6210" s="115" t="b">
        <f t="shared" si="361"/>
        <v>1</v>
      </c>
      <c r="H6210" s="6" t="s">
        <v>2189</v>
      </c>
      <c r="I6210" t="s">
        <v>2034</v>
      </c>
      <c r="J6210">
        <v>12</v>
      </c>
      <c r="L6210" s="26" t="e">
        <f t="shared" ref="L6210:L6273" si="362">FIND("/",B6210)</f>
        <v>#VALUE!</v>
      </c>
    </row>
    <row r="6211" spans="1:12" x14ac:dyDescent="0.35">
      <c r="A6211">
        <f t="shared" ref="A6211:A6274" si="363">A6210+1</f>
        <v>6210</v>
      </c>
      <c r="B6211" t="s">
        <v>750</v>
      </c>
      <c r="C6211" s="109" t="str">
        <f>IF(ISBLANK(K6211),IFERROR(VLOOKUP(I6211,FS_input_data!$C$458:$N$648,Export!J6211,FALSE),""),K6211)</f>
        <v/>
      </c>
      <c r="D6211" s="6"/>
      <c r="E6211" s="6"/>
      <c r="F6211" s="6"/>
      <c r="G6211" s="115" t="b">
        <f t="shared" si="361"/>
        <v>1</v>
      </c>
      <c r="H6211" s="6" t="s">
        <v>2189</v>
      </c>
      <c r="I6211" t="s">
        <v>1561</v>
      </c>
      <c r="J6211" t="s">
        <v>1561</v>
      </c>
      <c r="L6211">
        <f t="shared" si="362"/>
        <v>1</v>
      </c>
    </row>
    <row r="6212" spans="1:12" x14ac:dyDescent="0.35">
      <c r="A6212">
        <f t="shared" si="363"/>
        <v>6211</v>
      </c>
      <c r="B6212" t="s">
        <v>745</v>
      </c>
      <c r="C6212" s="109" t="str">
        <f>IF(ISBLANK(K6212),IFERROR(VLOOKUP(I6212,FS_input_data!$C$458:$N$648,Export!J6212,FALSE),""),K6212)</f>
        <v/>
      </c>
      <c r="D6212" s="6"/>
      <c r="E6212" s="6"/>
      <c r="F6212" s="6"/>
      <c r="G6212" s="115" t="b">
        <f t="shared" si="361"/>
        <v>1</v>
      </c>
      <c r="H6212" s="6" t="s">
        <v>2189</v>
      </c>
      <c r="I6212" t="s">
        <v>1561</v>
      </c>
      <c r="J6212" t="s">
        <v>1561</v>
      </c>
      <c r="L6212">
        <f t="shared" si="362"/>
        <v>1</v>
      </c>
    </row>
    <row r="6213" spans="1:12" x14ac:dyDescent="0.35">
      <c r="A6213">
        <f t="shared" si="363"/>
        <v>6212</v>
      </c>
      <c r="B6213" t="s">
        <v>764</v>
      </c>
      <c r="C6213" s="109" t="str">
        <f>IF(ISBLANK(K6213),IFERROR(VLOOKUP(I6213,FS_input_data!$C$458:$N$648,Export!J6213,FALSE),""),K6213)</f>
        <v/>
      </c>
      <c r="D6213" s="6"/>
      <c r="E6213" s="6"/>
      <c r="F6213" s="6"/>
      <c r="G6213" s="115" t="b">
        <f>VLOOKUP(I6182,FS_input_noty,J6182,FALSE)=""</f>
        <v>0</v>
      </c>
      <c r="H6213" s="6" t="s">
        <v>2189</v>
      </c>
      <c r="I6213" t="s">
        <v>1561</v>
      </c>
      <c r="J6213" t="s">
        <v>1561</v>
      </c>
      <c r="L6213">
        <f t="shared" si="362"/>
        <v>1</v>
      </c>
    </row>
    <row r="6214" spans="1:12" x14ac:dyDescent="0.35">
      <c r="A6214">
        <f t="shared" si="363"/>
        <v>6213</v>
      </c>
      <c r="B6214" t="s">
        <v>765</v>
      </c>
      <c r="C6214" s="109" t="str">
        <f>IF(ISBLANK(K6214),IFERROR(VLOOKUP(I6214,FS_input_data!$C$458:$N$648,Export!J6214,FALSE),""),K6214)</f>
        <v/>
      </c>
      <c r="D6214" s="6"/>
      <c r="E6214" s="6"/>
      <c r="F6214" s="6"/>
      <c r="G6214" s="115" t="b">
        <f>VLOOKUP(I6182,FS_input_noty,J6182,FALSE)=""</f>
        <v>0</v>
      </c>
      <c r="H6214" s="6" t="s">
        <v>2189</v>
      </c>
      <c r="I6214" t="s">
        <v>1561</v>
      </c>
      <c r="J6214" t="s">
        <v>1561</v>
      </c>
      <c r="L6214">
        <f t="shared" si="362"/>
        <v>1</v>
      </c>
    </row>
    <row r="6215" spans="1:12" x14ac:dyDescent="0.35">
      <c r="A6215">
        <f t="shared" si="363"/>
        <v>6214</v>
      </c>
      <c r="B6215" t="s">
        <v>752</v>
      </c>
      <c r="C6215" s="109" t="str">
        <f>IF(ISBLANK(K6215),IFERROR(VLOOKUP(I6215,FS_input_data!$C$458:$N$648,Export!J6215,FALSE),""),K6215)</f>
        <v/>
      </c>
      <c r="D6215" s="6"/>
      <c r="E6215" s="6"/>
      <c r="F6215" s="6"/>
      <c r="G6215" s="115" t="b">
        <f>VLOOKUP(I6216,FS_input_noty,J6216,FALSE)=""</f>
        <v>0</v>
      </c>
      <c r="H6215" s="6" t="s">
        <v>2189</v>
      </c>
      <c r="I6215" t="s">
        <v>1561</v>
      </c>
      <c r="J6215" t="s">
        <v>1561</v>
      </c>
      <c r="L6215" s="26" t="e">
        <f t="shared" si="362"/>
        <v>#VALUE!</v>
      </c>
    </row>
    <row r="6216" spans="1:12" x14ac:dyDescent="0.35">
      <c r="A6216" s="9">
        <f t="shared" si="363"/>
        <v>6215</v>
      </c>
      <c r="B6216" t="s">
        <v>101</v>
      </c>
      <c r="C6216" s="109" t="str">
        <f>IF(ISBLANK(K6216),IFERROR(VLOOKUP(I6216,FS_input_data!$C$458:$N$648,Export!J6216,FALSE),""),K6216)</f>
        <v>OC90</v>
      </c>
      <c r="D6216" s="6" t="b">
        <v>1</v>
      </c>
      <c r="E6216" s="6"/>
      <c r="F6216" s="6"/>
      <c r="G6216" s="115" t="b">
        <f>VLOOKUP(I6216,FS_input_noty,J6216,FALSE)=""</f>
        <v>0</v>
      </c>
      <c r="H6216" s="6" t="s">
        <v>2189</v>
      </c>
      <c r="I6216" t="s">
        <v>2036</v>
      </c>
      <c r="J6216">
        <v>6</v>
      </c>
      <c r="L6216" s="26" t="e">
        <f t="shared" si="362"/>
        <v>#VALUE!</v>
      </c>
    </row>
    <row r="6217" spans="1:12" x14ac:dyDescent="0.35">
      <c r="A6217">
        <f t="shared" si="363"/>
        <v>6216</v>
      </c>
      <c r="B6217" t="s">
        <v>102</v>
      </c>
      <c r="C6217" s="109" t="str">
        <f>IF(ISBLANK(K6217),IFERROR(VLOOKUP(I6217,FS_input_data!$C$458:$N$648,Export!J6217,FALSE),""),K6217)</f>
        <v/>
      </c>
      <c r="D6217" s="6"/>
      <c r="E6217" s="6"/>
      <c r="F6217" s="6"/>
      <c r="G6217" s="115" t="b">
        <f>VLOOKUP(I6216,FS_input_noty,J6216,FALSE)=""</f>
        <v>0</v>
      </c>
      <c r="H6217" s="6" t="s">
        <v>2189</v>
      </c>
      <c r="I6217" t="s">
        <v>1561</v>
      </c>
      <c r="J6217" t="s">
        <v>1561</v>
      </c>
      <c r="L6217">
        <f t="shared" si="362"/>
        <v>1</v>
      </c>
    </row>
    <row r="6218" spans="1:12" x14ac:dyDescent="0.35">
      <c r="A6218">
        <f t="shared" si="363"/>
        <v>6217</v>
      </c>
      <c r="B6218" t="s">
        <v>753</v>
      </c>
      <c r="C6218" s="109" t="str">
        <f>IF(ISBLANK(K6218),IFERROR(VLOOKUP(I6218,FS_input_data!$C$458:$N$648,Export!J6218,FALSE),""),K6218)</f>
        <v/>
      </c>
      <c r="D6218" s="6"/>
      <c r="E6218" s="6"/>
      <c r="F6218" s="6"/>
      <c r="G6218" s="115" t="b">
        <f>VLOOKUP(I6216,FS_input_noty,J6216,FALSE)=""</f>
        <v>0</v>
      </c>
      <c r="H6218" s="6" t="s">
        <v>2189</v>
      </c>
      <c r="I6218" t="s">
        <v>1561</v>
      </c>
      <c r="J6218" t="s">
        <v>1561</v>
      </c>
      <c r="L6218" s="26" t="e">
        <f t="shared" si="362"/>
        <v>#VALUE!</v>
      </c>
    </row>
    <row r="6219" spans="1:12" x14ac:dyDescent="0.35">
      <c r="A6219">
        <f t="shared" si="363"/>
        <v>6218</v>
      </c>
      <c r="B6219" t="s">
        <v>742</v>
      </c>
      <c r="C6219" s="109" t="str">
        <f>IF(ISBLANK(K6219),IFERROR(VLOOKUP(I6219,FS_input_data!$C$458:$N$648,Export!J6219,FALSE),""),K6219)</f>
        <v/>
      </c>
      <c r="D6219" s="6"/>
      <c r="E6219" s="6"/>
      <c r="F6219" s="6"/>
      <c r="G6219" s="115" t="b">
        <f>VLOOKUP(I6216,FS_input_noty,J6216,FALSE)=""</f>
        <v>0</v>
      </c>
      <c r="H6219" s="6" t="s">
        <v>2189</v>
      </c>
      <c r="I6219" t="s">
        <v>1561</v>
      </c>
      <c r="J6219" t="s">
        <v>1561</v>
      </c>
      <c r="L6219" s="26" t="e">
        <f t="shared" si="362"/>
        <v>#VALUE!</v>
      </c>
    </row>
    <row r="6220" spans="1:12" x14ac:dyDescent="0.35">
      <c r="A6220">
        <f t="shared" si="363"/>
        <v>6219</v>
      </c>
      <c r="B6220" t="s">
        <v>748</v>
      </c>
      <c r="C6220" s="109" t="str">
        <f>IF(ISBLANK(K6220),IFERROR(VLOOKUP(I6220,FS_input_data!$C$458:$N$648,Export!J6220,FALSE),""),K6220)</f>
        <v/>
      </c>
      <c r="D6220" s="6"/>
      <c r="E6220" s="6"/>
      <c r="F6220" s="6"/>
      <c r="G6220" s="115" t="b">
        <f>VLOOKUP(I6216,FS_input_noty,J6216,FALSE)=""</f>
        <v>0</v>
      </c>
      <c r="H6220" s="6" t="s">
        <v>2189</v>
      </c>
      <c r="I6220" t="s">
        <v>1561</v>
      </c>
      <c r="J6220" t="s">
        <v>1561</v>
      </c>
      <c r="L6220" s="26" t="e">
        <f t="shared" si="362"/>
        <v>#VALUE!</v>
      </c>
    </row>
    <row r="6221" spans="1:12" x14ac:dyDescent="0.35">
      <c r="A6221" s="9">
        <f t="shared" si="363"/>
        <v>6220</v>
      </c>
      <c r="B6221" t="s">
        <v>109</v>
      </c>
      <c r="C6221" s="109">
        <f>IF(ISBLANK(K6221),IFERROR(VLOOKUP(I6221,FS_input_data!$C$458:$N$648,Export!J6221,FALSE),""),K6221)</f>
        <v>15000</v>
      </c>
      <c r="D6221" s="6" t="b">
        <v>1</v>
      </c>
      <c r="E6221" s="6"/>
      <c r="F6221" s="6"/>
      <c r="G6221" s="115" t="b">
        <f>VLOOKUP(I6216,FS_input_noty,J6216,FALSE)=""</f>
        <v>0</v>
      </c>
      <c r="H6221" s="6" t="s">
        <v>2189</v>
      </c>
      <c r="I6221" t="s">
        <v>2036</v>
      </c>
      <c r="J6221">
        <v>7</v>
      </c>
      <c r="L6221" s="26" t="e">
        <f t="shared" si="362"/>
        <v>#VALUE!</v>
      </c>
    </row>
    <row r="6222" spans="1:12" x14ac:dyDescent="0.35">
      <c r="A6222">
        <f t="shared" si="363"/>
        <v>6221</v>
      </c>
      <c r="B6222" t="s">
        <v>110</v>
      </c>
      <c r="C6222" s="109" t="str">
        <f>IF(ISBLANK(K6222),IFERROR(VLOOKUP(I6222,FS_input_data!$C$458:$N$648,Export!J6222,FALSE),""),K6222)</f>
        <v/>
      </c>
      <c r="D6222" s="6"/>
      <c r="E6222" s="6"/>
      <c r="F6222" s="6"/>
      <c r="G6222" s="115" t="b">
        <f>VLOOKUP(I6216,FS_input_noty,J6216,FALSE)=""</f>
        <v>0</v>
      </c>
      <c r="H6222" s="6" t="s">
        <v>2189</v>
      </c>
      <c r="I6222" t="s">
        <v>1561</v>
      </c>
      <c r="J6222" t="s">
        <v>1561</v>
      </c>
      <c r="L6222">
        <f t="shared" si="362"/>
        <v>1</v>
      </c>
    </row>
    <row r="6223" spans="1:12" x14ac:dyDescent="0.35">
      <c r="A6223" s="9">
        <f t="shared" si="363"/>
        <v>6222</v>
      </c>
      <c r="B6223" t="s">
        <v>111</v>
      </c>
      <c r="C6223" s="109">
        <f>IF(ISBLANK(K6223),IFERROR(VLOOKUP(I6223,FS_input_data!$C$458:$N$648,Export!J6223,FALSE),""),K6223)</f>
        <v>7500</v>
      </c>
      <c r="D6223" s="6" t="b">
        <v>0</v>
      </c>
      <c r="E6223" s="6"/>
      <c r="F6223" s="6"/>
      <c r="G6223" s="115" t="b">
        <f>VLOOKUP(I6216,FS_input_noty,J6216,TRUE)=""</f>
        <v>0</v>
      </c>
      <c r="H6223" s="6" t="s">
        <v>2189</v>
      </c>
      <c r="I6223" t="s">
        <v>2036</v>
      </c>
      <c r="J6223">
        <v>8</v>
      </c>
      <c r="L6223" s="26" t="e">
        <f t="shared" si="362"/>
        <v>#VALUE!</v>
      </c>
    </row>
    <row r="6224" spans="1:12" x14ac:dyDescent="0.35">
      <c r="A6224">
        <f t="shared" si="363"/>
        <v>6223</v>
      </c>
      <c r="B6224" t="s">
        <v>112</v>
      </c>
      <c r="C6224" s="109" t="str">
        <f>IF(ISBLANK(K6224),IFERROR(VLOOKUP(I6224,FS_input_data!$C$458:$N$648,Export!J6224,FALSE),""),K6224)</f>
        <v/>
      </c>
      <c r="D6224" s="6"/>
      <c r="E6224" s="6"/>
      <c r="F6224" s="6"/>
      <c r="G6224" s="115" t="b">
        <f>VLOOKUP(I6216,FS_input_noty,J6216,FALSE)=""</f>
        <v>0</v>
      </c>
      <c r="H6224" s="6" t="s">
        <v>2189</v>
      </c>
      <c r="I6224" t="s">
        <v>1561</v>
      </c>
      <c r="J6224" t="s">
        <v>1561</v>
      </c>
      <c r="L6224">
        <f t="shared" si="362"/>
        <v>1</v>
      </c>
    </row>
    <row r="6225" spans="1:12" x14ac:dyDescent="0.35">
      <c r="A6225" s="9">
        <f t="shared" si="363"/>
        <v>6224</v>
      </c>
      <c r="B6225" t="s">
        <v>749</v>
      </c>
      <c r="C6225" s="109">
        <f>IF(ISBLANK(K6225),IFERROR(VLOOKUP(I6225,FS_input_data!$C$458:$N$648,Export!J6225,FALSE),""),K6225)</f>
        <v>7500</v>
      </c>
      <c r="D6225" s="6" t="b">
        <v>0</v>
      </c>
      <c r="E6225" s="6"/>
      <c r="F6225" s="6"/>
      <c r="G6225" s="115" t="b">
        <f>VLOOKUP(I6216,FS_input_noty,J6216,FALSE)=""</f>
        <v>0</v>
      </c>
      <c r="H6225" s="6" t="s">
        <v>2189</v>
      </c>
      <c r="I6225" t="s">
        <v>2036</v>
      </c>
      <c r="J6225">
        <v>9</v>
      </c>
      <c r="L6225" s="26" t="e">
        <f t="shared" si="362"/>
        <v>#VALUE!</v>
      </c>
    </row>
    <row r="6226" spans="1:12" x14ac:dyDescent="0.35">
      <c r="A6226">
        <f t="shared" si="363"/>
        <v>6225</v>
      </c>
      <c r="B6226" t="s">
        <v>750</v>
      </c>
      <c r="C6226" s="109" t="str">
        <f>IF(ISBLANK(K6226),IFERROR(VLOOKUP(I6226,FS_input_data!$C$458:$N$648,Export!J6226,FALSE),""),K6226)</f>
        <v/>
      </c>
      <c r="D6226" s="6"/>
      <c r="E6226" s="6"/>
      <c r="F6226" s="6"/>
      <c r="G6226" s="115" t="b">
        <f>VLOOKUP(I6216,FS_input_noty,J6216,FALSE)=""</f>
        <v>0</v>
      </c>
      <c r="H6226" s="6" t="s">
        <v>2189</v>
      </c>
      <c r="I6226" t="s">
        <v>1561</v>
      </c>
      <c r="J6226" t="s">
        <v>1561</v>
      </c>
      <c r="L6226">
        <f t="shared" si="362"/>
        <v>1</v>
      </c>
    </row>
    <row r="6227" spans="1:12" x14ac:dyDescent="0.35">
      <c r="A6227">
        <f t="shared" si="363"/>
        <v>6226</v>
      </c>
      <c r="B6227" t="s">
        <v>751</v>
      </c>
      <c r="C6227" s="109" t="str">
        <f>IF(ISBLANK(K6227),IFERROR(VLOOKUP(I6227,FS_input_data!$C$458:$N$648,Export!J6227,FALSE),""),K6227)</f>
        <v/>
      </c>
      <c r="D6227" s="6"/>
      <c r="E6227" s="6"/>
      <c r="F6227" s="6"/>
      <c r="G6227" s="115" t="b">
        <f>VLOOKUP(I6216,FS_input_noty,J6216,FALSE)=""</f>
        <v>0</v>
      </c>
      <c r="H6227" s="6" t="s">
        <v>2189</v>
      </c>
      <c r="I6227" t="s">
        <v>1561</v>
      </c>
      <c r="J6227" t="s">
        <v>1561</v>
      </c>
      <c r="L6227">
        <f t="shared" si="362"/>
        <v>1</v>
      </c>
    </row>
    <row r="6228" spans="1:12" x14ac:dyDescent="0.35">
      <c r="A6228">
        <f t="shared" si="363"/>
        <v>6227</v>
      </c>
      <c r="B6228" t="s">
        <v>754</v>
      </c>
      <c r="C6228" s="109" t="str">
        <f>IF(ISBLANK(K6228),IFERROR(VLOOKUP(I6228,FS_input_data!$C$458:$N$648,Export!J6228,FALSE),""),K6228)</f>
        <v/>
      </c>
      <c r="D6228" s="6"/>
      <c r="E6228" s="6"/>
      <c r="F6228" s="6"/>
      <c r="G6228" s="115" t="b">
        <f>VLOOKUP(I6216,FS_input_noty,J6216,FALSE)=""</f>
        <v>0</v>
      </c>
      <c r="H6228" s="6" t="s">
        <v>2189</v>
      </c>
      <c r="I6228" t="s">
        <v>1561</v>
      </c>
      <c r="J6228" t="s">
        <v>1561</v>
      </c>
      <c r="L6228" s="26" t="e">
        <f t="shared" si="362"/>
        <v>#VALUE!</v>
      </c>
    </row>
    <row r="6229" spans="1:12" x14ac:dyDescent="0.35">
      <c r="A6229" s="9">
        <f t="shared" si="363"/>
        <v>6228</v>
      </c>
      <c r="B6229" t="s">
        <v>755</v>
      </c>
      <c r="C6229" s="109">
        <f>IF(ISBLANK(K6229),IFERROR(VLOOKUP(I6229,FS_input_data!$C$458:$N$648,Export!J6229,FALSE),""),K6229)</f>
        <v>113</v>
      </c>
      <c r="D6229" s="6" t="b">
        <v>1</v>
      </c>
      <c r="E6229" s="6"/>
      <c r="F6229" s="6"/>
      <c r="G6229" s="115" t="b">
        <f>VLOOKUP(I6216,FS_input_noty,J6216,FALSE)=""</f>
        <v>0</v>
      </c>
      <c r="H6229" s="6" t="s">
        <v>2189</v>
      </c>
      <c r="I6229" t="s">
        <v>2036</v>
      </c>
      <c r="J6229">
        <v>2</v>
      </c>
      <c r="L6229" s="26" t="e">
        <f t="shared" si="362"/>
        <v>#VALUE!</v>
      </c>
    </row>
    <row r="6230" spans="1:12" x14ac:dyDescent="0.35">
      <c r="A6230">
        <f t="shared" si="363"/>
        <v>6229</v>
      </c>
      <c r="B6230" t="s">
        <v>756</v>
      </c>
      <c r="C6230" s="109" t="str">
        <f>IF(ISBLANK(K6230),IFERROR(VLOOKUP(I6230,FS_input_data!$C$458:$N$648,Export!J6230,FALSE),""),K6230)</f>
        <v/>
      </c>
      <c r="D6230" s="6"/>
      <c r="E6230" s="6"/>
      <c r="F6230" s="6"/>
      <c r="G6230" s="115" t="b">
        <f>VLOOKUP(I6216,FS_input_noty,J6216,FALSE)=""</f>
        <v>0</v>
      </c>
      <c r="H6230" s="6" t="s">
        <v>2189</v>
      </c>
      <c r="I6230" t="s">
        <v>1561</v>
      </c>
      <c r="J6230" t="s">
        <v>1561</v>
      </c>
      <c r="L6230">
        <f t="shared" si="362"/>
        <v>1</v>
      </c>
    </row>
    <row r="6231" spans="1:12" x14ac:dyDescent="0.35">
      <c r="A6231" s="9">
        <f t="shared" si="363"/>
        <v>6230</v>
      </c>
      <c r="B6231" t="s">
        <v>757</v>
      </c>
      <c r="C6231" s="109">
        <f>IF(ISBLANK(K6231),IFERROR(VLOOKUP(I6231,FS_input_data!$C$458:$N$648,Export!J6231,FALSE),""),K6231)</f>
        <v>213</v>
      </c>
      <c r="D6231" s="6" t="b">
        <v>0</v>
      </c>
      <c r="E6231" s="6"/>
      <c r="F6231" s="6"/>
      <c r="G6231" s="115" t="b">
        <f>VLOOKUP(I6216,FS_input_noty,J6216,FALSE)=""</f>
        <v>0</v>
      </c>
      <c r="H6231" s="6" t="s">
        <v>2189</v>
      </c>
      <c r="I6231" t="s">
        <v>2036</v>
      </c>
      <c r="J6231">
        <v>3</v>
      </c>
      <c r="L6231" s="26" t="e">
        <f t="shared" si="362"/>
        <v>#VALUE!</v>
      </c>
    </row>
    <row r="6232" spans="1:12" x14ac:dyDescent="0.35">
      <c r="A6232">
        <f t="shared" si="363"/>
        <v>6231</v>
      </c>
      <c r="B6232" t="s">
        <v>758</v>
      </c>
      <c r="C6232" s="109" t="str">
        <f>IF(ISBLANK(K6232),IFERROR(VLOOKUP(I6232,FS_input_data!$C$458:$N$648,Export!J6232,FALSE),""),K6232)</f>
        <v/>
      </c>
      <c r="D6232" s="6"/>
      <c r="E6232" s="6"/>
      <c r="F6232" s="6"/>
      <c r="G6232" s="115" t="b">
        <f>VLOOKUP(I6216,FS_input_noty,J6216,FALSE)=""</f>
        <v>0</v>
      </c>
      <c r="H6232" s="6" t="s">
        <v>2189</v>
      </c>
      <c r="I6232" t="s">
        <v>1561</v>
      </c>
      <c r="J6232" t="s">
        <v>1561</v>
      </c>
      <c r="L6232">
        <f t="shared" si="362"/>
        <v>1</v>
      </c>
    </row>
    <row r="6233" spans="1:12" x14ac:dyDescent="0.35">
      <c r="A6233" s="9">
        <f t="shared" si="363"/>
        <v>6232</v>
      </c>
      <c r="B6233" t="s">
        <v>759</v>
      </c>
      <c r="C6233" s="109">
        <f>IF(ISBLANK(K6233),IFERROR(VLOOKUP(I6233,FS_input_data!$C$458:$N$648,Export!J6233,FALSE),""),K6233)</f>
        <v>313</v>
      </c>
      <c r="D6233" s="6" t="b">
        <v>0</v>
      </c>
      <c r="E6233" s="6"/>
      <c r="F6233" s="6"/>
      <c r="G6233" s="115" t="b">
        <f>VLOOKUP(I6216,FS_input_noty,J6216,FALSE)=""</f>
        <v>0</v>
      </c>
      <c r="H6233" s="6" t="s">
        <v>2189</v>
      </c>
      <c r="I6233" t="s">
        <v>2036</v>
      </c>
      <c r="J6233">
        <v>4</v>
      </c>
      <c r="L6233" s="26" t="e">
        <f t="shared" si="362"/>
        <v>#VALUE!</v>
      </c>
    </row>
    <row r="6234" spans="1:12" x14ac:dyDescent="0.35">
      <c r="A6234">
        <f t="shared" si="363"/>
        <v>6233</v>
      </c>
      <c r="B6234" t="s">
        <v>760</v>
      </c>
      <c r="C6234" s="109" t="str">
        <f>IF(ISBLANK(K6234),IFERROR(VLOOKUP(I6234,FS_input_data!$C$458:$N$648,Export!J6234,FALSE),""),K6234)</f>
        <v/>
      </c>
      <c r="D6234" s="6"/>
      <c r="E6234" s="6"/>
      <c r="F6234" s="6"/>
      <c r="G6234" s="115" t="b">
        <f>VLOOKUP(I6216,FS_input_noty,J6216,FALSE)=""</f>
        <v>0</v>
      </c>
      <c r="H6234" s="6" t="s">
        <v>2189</v>
      </c>
      <c r="I6234" t="s">
        <v>1561</v>
      </c>
      <c r="J6234" t="s">
        <v>1561</v>
      </c>
      <c r="L6234">
        <f t="shared" si="362"/>
        <v>1</v>
      </c>
    </row>
    <row r="6235" spans="1:12" x14ac:dyDescent="0.35">
      <c r="A6235" s="9">
        <f t="shared" si="363"/>
        <v>6234</v>
      </c>
      <c r="B6235" t="s">
        <v>761</v>
      </c>
      <c r="C6235" s="109" t="str">
        <f>IF(ISBLANK(K6235),IFERROR(VLOOKUP(I6235,FS_input_data!$C$458:$N$648,Export!J6235,FALSE),""),K6235)</f>
        <v>g</v>
      </c>
      <c r="D6235" s="6" t="b">
        <v>0</v>
      </c>
      <c r="E6235" s="6"/>
      <c r="F6235" s="6"/>
      <c r="G6235" s="115" t="b">
        <f>VLOOKUP(I6216,FS_input_noty,J6216,FALSE)=""</f>
        <v>0</v>
      </c>
      <c r="H6235" s="6" t="s">
        <v>2189</v>
      </c>
      <c r="I6235" t="s">
        <v>2036</v>
      </c>
      <c r="J6235">
        <v>5</v>
      </c>
      <c r="L6235" s="26" t="e">
        <f t="shared" si="362"/>
        <v>#VALUE!</v>
      </c>
    </row>
    <row r="6236" spans="1:12" x14ac:dyDescent="0.35">
      <c r="A6236">
        <f t="shared" si="363"/>
        <v>6235</v>
      </c>
      <c r="B6236" t="s">
        <v>762</v>
      </c>
      <c r="C6236" s="109" t="str">
        <f>IF(ISBLANK(K6236),IFERROR(VLOOKUP(I6236,FS_input_data!$C$458:$N$648,Export!J6236,FALSE),""),K6236)</f>
        <v/>
      </c>
      <c r="D6236" s="6"/>
      <c r="E6236" s="6"/>
      <c r="F6236" s="6"/>
      <c r="G6236" s="115" t="b">
        <f>VLOOKUP(I6216,FS_input_noty,J6216,FALSE)=""</f>
        <v>0</v>
      </c>
      <c r="H6236" s="6" t="s">
        <v>2189</v>
      </c>
      <c r="I6236" t="s">
        <v>1561</v>
      </c>
      <c r="J6236" t="s">
        <v>1561</v>
      </c>
      <c r="L6236">
        <f t="shared" si="362"/>
        <v>1</v>
      </c>
    </row>
    <row r="6237" spans="1:12" x14ac:dyDescent="0.35">
      <c r="A6237">
        <f t="shared" si="363"/>
        <v>6236</v>
      </c>
      <c r="B6237" t="s">
        <v>763</v>
      </c>
      <c r="C6237" s="109" t="str">
        <f>IF(ISBLANK(K6237),IFERROR(VLOOKUP(I6237,FS_input_data!$C$458:$N$648,Export!J6237,FALSE),""),K6237)</f>
        <v/>
      </c>
      <c r="D6237" s="6"/>
      <c r="E6237" s="6"/>
      <c r="F6237" s="6"/>
      <c r="G6237" s="115" t="b">
        <f>VLOOKUP(I6216,FS_input_noty,J6216,FALSE)=""</f>
        <v>0</v>
      </c>
      <c r="H6237" s="6" t="s">
        <v>2189</v>
      </c>
      <c r="I6237" t="s">
        <v>1561</v>
      </c>
      <c r="J6237" t="s">
        <v>1561</v>
      </c>
      <c r="L6237">
        <f t="shared" si="362"/>
        <v>1</v>
      </c>
    </row>
    <row r="6238" spans="1:12" x14ac:dyDescent="0.35">
      <c r="A6238">
        <f t="shared" si="363"/>
        <v>6237</v>
      </c>
      <c r="B6238" t="s">
        <v>743</v>
      </c>
      <c r="C6238" s="109" t="str">
        <f>IF(ISBLANK(K6238),IFERROR(VLOOKUP(I6238,FS_input_data!$C$458:$N$648,Export!J6238,FALSE),""),K6238)</f>
        <v/>
      </c>
      <c r="D6238" s="6"/>
      <c r="E6238" s="6"/>
      <c r="F6238" s="6"/>
      <c r="G6238" s="115" t="b">
        <f>VLOOKUP(I6216,FS_input_noty,J6216,FALSE)=""</f>
        <v>0</v>
      </c>
      <c r="H6238" s="6" t="s">
        <v>2189</v>
      </c>
      <c r="I6238" t="s">
        <v>1561</v>
      </c>
      <c r="J6238" t="s">
        <v>1561</v>
      </c>
      <c r="L6238">
        <f t="shared" si="362"/>
        <v>1</v>
      </c>
    </row>
    <row r="6239" spans="1:12" x14ac:dyDescent="0.35">
      <c r="A6239">
        <f t="shared" si="363"/>
        <v>6238</v>
      </c>
      <c r="B6239" t="s">
        <v>744</v>
      </c>
      <c r="C6239" s="109" t="str">
        <f>IF(ISBLANK(K6239),IFERROR(VLOOKUP(I6239,FS_input_data!$C$458:$N$648,Export!J6239,FALSE),""),K6239)</f>
        <v/>
      </c>
      <c r="D6239" s="6"/>
      <c r="E6239" s="6"/>
      <c r="F6239" s="6"/>
      <c r="G6239" s="115" t="b">
        <f t="shared" ref="G6239:G6246" si="364">RP_tax</f>
        <v>1</v>
      </c>
      <c r="H6239" s="6" t="s">
        <v>2189</v>
      </c>
      <c r="I6239" t="s">
        <v>1561</v>
      </c>
      <c r="J6239" t="s">
        <v>1561</v>
      </c>
      <c r="L6239" s="26" t="e">
        <f t="shared" si="362"/>
        <v>#VALUE!</v>
      </c>
    </row>
    <row r="6240" spans="1:12" x14ac:dyDescent="0.35">
      <c r="A6240" s="9">
        <f t="shared" si="363"/>
        <v>6239</v>
      </c>
      <c r="B6240" t="s">
        <v>109</v>
      </c>
      <c r="C6240" s="109">
        <f>IF(ISBLANK(K6240),IFERROR(VLOOKUP(I6240,FS_input_data!$C$458:$N$648,Export!J6240,FALSE),""),K6240)</f>
        <v>15000</v>
      </c>
      <c r="D6240" s="6" t="b">
        <v>1</v>
      </c>
      <c r="E6240" s="6"/>
      <c r="F6240" s="6"/>
      <c r="G6240" s="115" t="b">
        <f t="shared" si="364"/>
        <v>1</v>
      </c>
      <c r="H6240" s="6" t="s">
        <v>2189</v>
      </c>
      <c r="I6240" t="s">
        <v>2036</v>
      </c>
      <c r="J6240">
        <v>10</v>
      </c>
      <c r="L6240" s="26" t="e">
        <f t="shared" si="362"/>
        <v>#VALUE!</v>
      </c>
    </row>
    <row r="6241" spans="1:12" x14ac:dyDescent="0.35">
      <c r="A6241">
        <f t="shared" si="363"/>
        <v>6240</v>
      </c>
      <c r="B6241" t="s">
        <v>110</v>
      </c>
      <c r="C6241" s="109" t="str">
        <f>IF(ISBLANK(K6241),IFERROR(VLOOKUP(I6241,FS_input_data!$C$458:$N$648,Export!J6241,FALSE),""),K6241)</f>
        <v/>
      </c>
      <c r="D6241" s="6"/>
      <c r="E6241" s="6"/>
      <c r="F6241" s="6"/>
      <c r="G6241" s="115" t="b">
        <f t="shared" si="364"/>
        <v>1</v>
      </c>
      <c r="H6241" s="6" t="s">
        <v>2189</v>
      </c>
      <c r="I6241" t="s">
        <v>1561</v>
      </c>
      <c r="J6241" t="s">
        <v>1561</v>
      </c>
      <c r="L6241">
        <f t="shared" si="362"/>
        <v>1</v>
      </c>
    </row>
    <row r="6242" spans="1:12" x14ac:dyDescent="0.35">
      <c r="A6242" s="9">
        <f t="shared" si="363"/>
        <v>6241</v>
      </c>
      <c r="B6242" t="s">
        <v>111</v>
      </c>
      <c r="C6242" s="109">
        <f>IF(ISBLANK(K6242),IFERROR(VLOOKUP(I6242,FS_input_data!$C$458:$N$648,Export!J6242,FALSE),""),K6242)</f>
        <v>7500</v>
      </c>
      <c r="D6242" s="6" t="b">
        <v>0</v>
      </c>
      <c r="E6242" s="6"/>
      <c r="F6242" s="6"/>
      <c r="G6242" s="115" t="b">
        <f t="shared" si="364"/>
        <v>1</v>
      </c>
      <c r="H6242" s="6" t="s">
        <v>2189</v>
      </c>
      <c r="I6242" t="s">
        <v>2036</v>
      </c>
      <c r="J6242">
        <v>11</v>
      </c>
      <c r="L6242" s="26" t="e">
        <f t="shared" si="362"/>
        <v>#VALUE!</v>
      </c>
    </row>
    <row r="6243" spans="1:12" x14ac:dyDescent="0.35">
      <c r="A6243">
        <f t="shared" si="363"/>
        <v>6242</v>
      </c>
      <c r="B6243" t="s">
        <v>112</v>
      </c>
      <c r="C6243" s="109" t="str">
        <f>IF(ISBLANK(K6243),IFERROR(VLOOKUP(I6243,FS_input_data!$C$458:$N$648,Export!J6243,FALSE),""),K6243)</f>
        <v/>
      </c>
      <c r="D6243" s="6"/>
      <c r="E6243" s="6"/>
      <c r="F6243" s="6"/>
      <c r="G6243" s="115" t="b">
        <f t="shared" si="364"/>
        <v>1</v>
      </c>
      <c r="H6243" s="6" t="s">
        <v>2189</v>
      </c>
      <c r="I6243" t="s">
        <v>1561</v>
      </c>
      <c r="J6243" t="s">
        <v>1561</v>
      </c>
      <c r="L6243">
        <f t="shared" si="362"/>
        <v>1</v>
      </c>
    </row>
    <row r="6244" spans="1:12" x14ac:dyDescent="0.35">
      <c r="A6244" s="9">
        <f t="shared" si="363"/>
        <v>6243</v>
      </c>
      <c r="B6244" t="s">
        <v>749</v>
      </c>
      <c r="C6244" s="109">
        <f>IF(ISBLANK(K6244),IFERROR(VLOOKUP(I6244,FS_input_data!$C$458:$N$648,Export!J6244,FALSE),""),K6244)</f>
        <v>7500</v>
      </c>
      <c r="D6244" s="6" t="b">
        <v>0</v>
      </c>
      <c r="E6244" s="6"/>
      <c r="F6244" s="6"/>
      <c r="G6244" s="115" t="b">
        <f t="shared" si="364"/>
        <v>1</v>
      </c>
      <c r="H6244" s="6" t="s">
        <v>2189</v>
      </c>
      <c r="I6244" t="s">
        <v>2036</v>
      </c>
      <c r="J6244">
        <v>12</v>
      </c>
      <c r="L6244" s="26" t="e">
        <f t="shared" si="362"/>
        <v>#VALUE!</v>
      </c>
    </row>
    <row r="6245" spans="1:12" x14ac:dyDescent="0.35">
      <c r="A6245">
        <f t="shared" si="363"/>
        <v>6244</v>
      </c>
      <c r="B6245" t="s">
        <v>750</v>
      </c>
      <c r="C6245" s="109" t="str">
        <f>IF(ISBLANK(K6245),IFERROR(VLOOKUP(I6245,FS_input_data!$C$458:$N$648,Export!J6245,FALSE),""),K6245)</f>
        <v/>
      </c>
      <c r="D6245" s="6"/>
      <c r="E6245" s="6"/>
      <c r="F6245" s="6"/>
      <c r="G6245" s="115" t="b">
        <f t="shared" si="364"/>
        <v>1</v>
      </c>
      <c r="H6245" s="6" t="s">
        <v>2189</v>
      </c>
      <c r="I6245" t="s">
        <v>1561</v>
      </c>
      <c r="J6245" t="s">
        <v>1561</v>
      </c>
      <c r="L6245">
        <f t="shared" si="362"/>
        <v>1</v>
      </c>
    </row>
    <row r="6246" spans="1:12" x14ac:dyDescent="0.35">
      <c r="A6246">
        <f t="shared" si="363"/>
        <v>6245</v>
      </c>
      <c r="B6246" t="s">
        <v>745</v>
      </c>
      <c r="C6246" s="109" t="str">
        <f>IF(ISBLANK(K6246),IFERROR(VLOOKUP(I6246,FS_input_data!$C$458:$N$648,Export!J6246,FALSE),""),K6246)</f>
        <v/>
      </c>
      <c r="D6246" s="6"/>
      <c r="E6246" s="6"/>
      <c r="F6246" s="6"/>
      <c r="G6246" s="115" t="b">
        <f t="shared" si="364"/>
        <v>1</v>
      </c>
      <c r="H6246" s="6" t="s">
        <v>2189</v>
      </c>
      <c r="I6246" t="s">
        <v>1561</v>
      </c>
      <c r="J6246" t="s">
        <v>1561</v>
      </c>
      <c r="L6246">
        <f t="shared" si="362"/>
        <v>1</v>
      </c>
    </row>
    <row r="6247" spans="1:12" x14ac:dyDescent="0.35">
      <c r="A6247">
        <f t="shared" si="363"/>
        <v>6246</v>
      </c>
      <c r="B6247" t="s">
        <v>764</v>
      </c>
      <c r="C6247" s="109" t="str">
        <f>IF(ISBLANK(K6247),IFERROR(VLOOKUP(I6247,FS_input_data!$C$458:$N$648,Export!J6247,FALSE),""),K6247)</f>
        <v/>
      </c>
      <c r="D6247" s="6"/>
      <c r="E6247" s="6"/>
      <c r="F6247" s="6"/>
      <c r="G6247" s="115" t="b">
        <f>VLOOKUP(I6216,FS_input_noty,J6216,FALSE)=""</f>
        <v>0</v>
      </c>
      <c r="H6247" s="6" t="s">
        <v>2189</v>
      </c>
      <c r="I6247" t="s">
        <v>1561</v>
      </c>
      <c r="J6247" t="s">
        <v>1561</v>
      </c>
      <c r="L6247">
        <f t="shared" si="362"/>
        <v>1</v>
      </c>
    </row>
    <row r="6248" spans="1:12" x14ac:dyDescent="0.35">
      <c r="A6248">
        <f t="shared" si="363"/>
        <v>6247</v>
      </c>
      <c r="B6248" t="s">
        <v>765</v>
      </c>
      <c r="C6248" s="109" t="str">
        <f>IF(ISBLANK(K6248),IFERROR(VLOOKUP(I6248,FS_input_data!$C$458:$N$648,Export!J6248,FALSE),""),K6248)</f>
        <v/>
      </c>
      <c r="D6248" s="6"/>
      <c r="E6248" s="6"/>
      <c r="F6248" s="6"/>
      <c r="G6248" s="115" t="b">
        <f>VLOOKUP(I6216,FS_input_noty,J6216,FALSE)=""</f>
        <v>0</v>
      </c>
      <c r="H6248" s="6" t="s">
        <v>2189</v>
      </c>
      <c r="I6248" t="s">
        <v>1561</v>
      </c>
      <c r="J6248" t="s">
        <v>1561</v>
      </c>
      <c r="L6248">
        <f t="shared" si="362"/>
        <v>1</v>
      </c>
    </row>
    <row r="6249" spans="1:12" x14ac:dyDescent="0.35">
      <c r="A6249">
        <f t="shared" si="363"/>
        <v>6248</v>
      </c>
      <c r="B6249" t="s">
        <v>752</v>
      </c>
      <c r="C6249" s="109" t="str">
        <f>IF(ISBLANK(K6249),IFERROR(VLOOKUP(I6249,FS_input_data!$C$458:$N$648,Export!J6249,FALSE),""),K6249)</f>
        <v/>
      </c>
      <c r="D6249" s="6"/>
      <c r="E6249" s="6"/>
      <c r="F6249" s="6"/>
      <c r="G6249" s="115" t="b">
        <f>VLOOKUP(I6250,FS_input_noty,J6250,FALSE)=""</f>
        <v>0</v>
      </c>
      <c r="H6249" s="6" t="s">
        <v>2189</v>
      </c>
      <c r="I6249" t="s">
        <v>1561</v>
      </c>
      <c r="J6249" t="s">
        <v>1561</v>
      </c>
      <c r="L6249" s="26" t="e">
        <f t="shared" si="362"/>
        <v>#VALUE!</v>
      </c>
    </row>
    <row r="6250" spans="1:12" x14ac:dyDescent="0.35">
      <c r="A6250" s="9">
        <f t="shared" si="363"/>
        <v>6249</v>
      </c>
      <c r="B6250" t="s">
        <v>101</v>
      </c>
      <c r="C6250" s="109" t="str">
        <f>IF(ISBLANK(K6250),IFERROR(VLOOKUP(I6250,FS_input_data!$C$458:$N$648,Export!J6250,FALSE),""),K6250)</f>
        <v>OC91</v>
      </c>
      <c r="D6250" s="6" t="b">
        <v>1</v>
      </c>
      <c r="E6250" s="6"/>
      <c r="F6250" s="6"/>
      <c r="G6250" s="115" t="b">
        <f>VLOOKUP(I6250,FS_input_noty,J6250,FALSE)=""</f>
        <v>0</v>
      </c>
      <c r="H6250" s="6" t="s">
        <v>2189</v>
      </c>
      <c r="I6250" t="s">
        <v>2038</v>
      </c>
      <c r="J6250">
        <v>6</v>
      </c>
      <c r="L6250" s="26" t="e">
        <f t="shared" si="362"/>
        <v>#VALUE!</v>
      </c>
    </row>
    <row r="6251" spans="1:12" x14ac:dyDescent="0.35">
      <c r="A6251">
        <f t="shared" si="363"/>
        <v>6250</v>
      </c>
      <c r="B6251" t="s">
        <v>102</v>
      </c>
      <c r="C6251" s="109" t="str">
        <f>IF(ISBLANK(K6251),IFERROR(VLOOKUP(I6251,FS_input_data!$C$458:$N$648,Export!J6251,FALSE),""),K6251)</f>
        <v/>
      </c>
      <c r="D6251" s="6"/>
      <c r="E6251" s="6"/>
      <c r="F6251" s="6"/>
      <c r="G6251" s="115" t="b">
        <f>VLOOKUP(I6250,FS_input_noty,J6250,FALSE)=""</f>
        <v>0</v>
      </c>
      <c r="H6251" s="6" t="s">
        <v>2189</v>
      </c>
      <c r="I6251" t="s">
        <v>1561</v>
      </c>
      <c r="J6251" t="s">
        <v>1561</v>
      </c>
      <c r="L6251">
        <f t="shared" si="362"/>
        <v>1</v>
      </c>
    </row>
    <row r="6252" spans="1:12" x14ac:dyDescent="0.35">
      <c r="A6252">
        <f t="shared" si="363"/>
        <v>6251</v>
      </c>
      <c r="B6252" t="s">
        <v>753</v>
      </c>
      <c r="C6252" s="109" t="str">
        <f>IF(ISBLANK(K6252),IFERROR(VLOOKUP(I6252,FS_input_data!$C$458:$N$648,Export!J6252,FALSE),""),K6252)</f>
        <v/>
      </c>
      <c r="D6252" s="6"/>
      <c r="E6252" s="6"/>
      <c r="F6252" s="6"/>
      <c r="G6252" s="115" t="b">
        <f>VLOOKUP(I6250,FS_input_noty,J6250,FALSE)=""</f>
        <v>0</v>
      </c>
      <c r="H6252" s="6" t="s">
        <v>2189</v>
      </c>
      <c r="I6252" t="s">
        <v>1561</v>
      </c>
      <c r="J6252" t="s">
        <v>1561</v>
      </c>
      <c r="L6252" s="26" t="e">
        <f t="shared" si="362"/>
        <v>#VALUE!</v>
      </c>
    </row>
    <row r="6253" spans="1:12" x14ac:dyDescent="0.35">
      <c r="A6253">
        <f t="shared" si="363"/>
        <v>6252</v>
      </c>
      <c r="B6253" t="s">
        <v>742</v>
      </c>
      <c r="C6253" s="109" t="str">
        <f>IF(ISBLANK(K6253),IFERROR(VLOOKUP(I6253,FS_input_data!$C$458:$N$648,Export!J6253,FALSE),""),K6253)</f>
        <v/>
      </c>
      <c r="D6253" s="6"/>
      <c r="E6253" s="6"/>
      <c r="F6253" s="6"/>
      <c r="G6253" s="115" t="b">
        <f>VLOOKUP(I6250,FS_input_noty,J6250,FALSE)=""</f>
        <v>0</v>
      </c>
      <c r="H6253" s="6" t="s">
        <v>2189</v>
      </c>
      <c r="I6253" t="s">
        <v>1561</v>
      </c>
      <c r="J6253" t="s">
        <v>1561</v>
      </c>
      <c r="L6253" s="26" t="e">
        <f t="shared" si="362"/>
        <v>#VALUE!</v>
      </c>
    </row>
    <row r="6254" spans="1:12" x14ac:dyDescent="0.35">
      <c r="A6254">
        <f t="shared" si="363"/>
        <v>6253</v>
      </c>
      <c r="B6254" t="s">
        <v>748</v>
      </c>
      <c r="C6254" s="109" t="str">
        <f>IF(ISBLANK(K6254),IFERROR(VLOOKUP(I6254,FS_input_data!$C$458:$N$648,Export!J6254,FALSE),""),K6254)</f>
        <v/>
      </c>
      <c r="D6254" s="6"/>
      <c r="E6254" s="6"/>
      <c r="F6254" s="6"/>
      <c r="G6254" s="115" t="b">
        <f>VLOOKUP(I6250,FS_input_noty,J6250,FALSE)=""</f>
        <v>0</v>
      </c>
      <c r="H6254" s="6" t="s">
        <v>2189</v>
      </c>
      <c r="I6254" t="s">
        <v>1561</v>
      </c>
      <c r="J6254" t="s">
        <v>1561</v>
      </c>
      <c r="L6254" s="26" t="e">
        <f t="shared" si="362"/>
        <v>#VALUE!</v>
      </c>
    </row>
    <row r="6255" spans="1:12" x14ac:dyDescent="0.35">
      <c r="A6255" s="9">
        <f t="shared" si="363"/>
        <v>6254</v>
      </c>
      <c r="B6255" t="s">
        <v>109</v>
      </c>
      <c r="C6255" s="109">
        <f>IF(ISBLANK(K6255),IFERROR(VLOOKUP(I6255,FS_input_data!$C$458:$N$648,Export!J6255,FALSE),""),K6255)</f>
        <v>16000</v>
      </c>
      <c r="D6255" s="6" t="b">
        <v>1</v>
      </c>
      <c r="E6255" s="6"/>
      <c r="F6255" s="6"/>
      <c r="G6255" s="115" t="b">
        <f>VLOOKUP(I6250,FS_input_noty,J6250,FALSE)=""</f>
        <v>0</v>
      </c>
      <c r="H6255" s="6" t="s">
        <v>2189</v>
      </c>
      <c r="I6255" t="s">
        <v>2038</v>
      </c>
      <c r="J6255">
        <v>7</v>
      </c>
      <c r="L6255" s="26" t="e">
        <f t="shared" si="362"/>
        <v>#VALUE!</v>
      </c>
    </row>
    <row r="6256" spans="1:12" x14ac:dyDescent="0.35">
      <c r="A6256">
        <f t="shared" si="363"/>
        <v>6255</v>
      </c>
      <c r="B6256" t="s">
        <v>110</v>
      </c>
      <c r="C6256" s="109" t="str">
        <f>IF(ISBLANK(K6256),IFERROR(VLOOKUP(I6256,FS_input_data!$C$458:$N$648,Export!J6256,FALSE),""),K6256)</f>
        <v/>
      </c>
      <c r="D6256" s="6"/>
      <c r="E6256" s="6"/>
      <c r="F6256" s="6"/>
      <c r="G6256" s="115" t="b">
        <f>VLOOKUP(I6250,FS_input_noty,J6250,FALSE)=""</f>
        <v>0</v>
      </c>
      <c r="H6256" s="6" t="s">
        <v>2189</v>
      </c>
      <c r="I6256" t="s">
        <v>1561</v>
      </c>
      <c r="J6256" t="s">
        <v>1561</v>
      </c>
      <c r="L6256">
        <f t="shared" si="362"/>
        <v>1</v>
      </c>
    </row>
    <row r="6257" spans="1:12" x14ac:dyDescent="0.35">
      <c r="A6257" s="9">
        <f t="shared" si="363"/>
        <v>6256</v>
      </c>
      <c r="B6257" t="s">
        <v>111</v>
      </c>
      <c r="C6257" s="109">
        <f>IF(ISBLANK(K6257),IFERROR(VLOOKUP(I6257,FS_input_data!$C$458:$N$648,Export!J6257,FALSE),""),K6257)</f>
        <v>8000</v>
      </c>
      <c r="D6257" s="6" t="b">
        <v>0</v>
      </c>
      <c r="E6257" s="6"/>
      <c r="F6257" s="6"/>
      <c r="G6257" s="115" t="b">
        <f>VLOOKUP(I6250,FS_input_noty,J6250,TRUE)=""</f>
        <v>0</v>
      </c>
      <c r="H6257" s="6" t="s">
        <v>2189</v>
      </c>
      <c r="I6257" t="s">
        <v>2038</v>
      </c>
      <c r="J6257">
        <v>8</v>
      </c>
      <c r="L6257" s="26" t="e">
        <f t="shared" si="362"/>
        <v>#VALUE!</v>
      </c>
    </row>
    <row r="6258" spans="1:12" x14ac:dyDescent="0.35">
      <c r="A6258">
        <f t="shared" si="363"/>
        <v>6257</v>
      </c>
      <c r="B6258" t="s">
        <v>112</v>
      </c>
      <c r="C6258" s="109" t="str">
        <f>IF(ISBLANK(K6258),IFERROR(VLOOKUP(I6258,FS_input_data!$C$458:$N$648,Export!J6258,FALSE),""),K6258)</f>
        <v/>
      </c>
      <c r="D6258" s="6"/>
      <c r="E6258" s="6"/>
      <c r="F6258" s="6"/>
      <c r="G6258" s="115" t="b">
        <f>VLOOKUP(I6250,FS_input_noty,J6250,FALSE)=""</f>
        <v>0</v>
      </c>
      <c r="H6258" s="6" t="s">
        <v>2189</v>
      </c>
      <c r="I6258" t="s">
        <v>1561</v>
      </c>
      <c r="J6258" t="s">
        <v>1561</v>
      </c>
      <c r="L6258">
        <f t="shared" si="362"/>
        <v>1</v>
      </c>
    </row>
    <row r="6259" spans="1:12" x14ac:dyDescent="0.35">
      <c r="A6259" s="9">
        <f t="shared" si="363"/>
        <v>6258</v>
      </c>
      <c r="B6259" t="s">
        <v>749</v>
      </c>
      <c r="C6259" s="109">
        <f>IF(ISBLANK(K6259),IFERROR(VLOOKUP(I6259,FS_input_data!$C$458:$N$648,Export!J6259,FALSE),""),K6259)</f>
        <v>8000</v>
      </c>
      <c r="D6259" s="6" t="b">
        <v>0</v>
      </c>
      <c r="E6259" s="6"/>
      <c r="F6259" s="6"/>
      <c r="G6259" s="115" t="b">
        <f>VLOOKUP(I6250,FS_input_noty,J6250,FALSE)=""</f>
        <v>0</v>
      </c>
      <c r="H6259" s="6" t="s">
        <v>2189</v>
      </c>
      <c r="I6259" t="s">
        <v>2038</v>
      </c>
      <c r="J6259">
        <v>9</v>
      </c>
      <c r="L6259" s="26" t="e">
        <f t="shared" si="362"/>
        <v>#VALUE!</v>
      </c>
    </row>
    <row r="6260" spans="1:12" x14ac:dyDescent="0.35">
      <c r="A6260">
        <f t="shared" si="363"/>
        <v>6259</v>
      </c>
      <c r="B6260" t="s">
        <v>750</v>
      </c>
      <c r="C6260" s="109" t="str">
        <f>IF(ISBLANK(K6260),IFERROR(VLOOKUP(I6260,FS_input_data!$C$458:$N$648,Export!J6260,FALSE),""),K6260)</f>
        <v/>
      </c>
      <c r="D6260" s="6"/>
      <c r="E6260" s="6"/>
      <c r="F6260" s="6"/>
      <c r="G6260" s="115" t="b">
        <f>VLOOKUP(I6250,FS_input_noty,J6250,FALSE)=""</f>
        <v>0</v>
      </c>
      <c r="H6260" s="6" t="s">
        <v>2189</v>
      </c>
      <c r="I6260" t="s">
        <v>1561</v>
      </c>
      <c r="J6260" t="s">
        <v>1561</v>
      </c>
      <c r="L6260">
        <f t="shared" si="362"/>
        <v>1</v>
      </c>
    </row>
    <row r="6261" spans="1:12" x14ac:dyDescent="0.35">
      <c r="A6261">
        <f t="shared" si="363"/>
        <v>6260</v>
      </c>
      <c r="B6261" t="s">
        <v>751</v>
      </c>
      <c r="C6261" s="109" t="str">
        <f>IF(ISBLANK(K6261),IFERROR(VLOOKUP(I6261,FS_input_data!$C$458:$N$648,Export!J6261,FALSE),""),K6261)</f>
        <v/>
      </c>
      <c r="D6261" s="6"/>
      <c r="E6261" s="6"/>
      <c r="F6261" s="6"/>
      <c r="G6261" s="115" t="b">
        <f>VLOOKUP(I6250,FS_input_noty,J6250,FALSE)=""</f>
        <v>0</v>
      </c>
      <c r="H6261" s="6" t="s">
        <v>2189</v>
      </c>
      <c r="I6261" t="s">
        <v>1561</v>
      </c>
      <c r="J6261" t="s">
        <v>1561</v>
      </c>
      <c r="L6261">
        <f t="shared" si="362"/>
        <v>1</v>
      </c>
    </row>
    <row r="6262" spans="1:12" x14ac:dyDescent="0.35">
      <c r="A6262">
        <f t="shared" si="363"/>
        <v>6261</v>
      </c>
      <c r="B6262" t="s">
        <v>754</v>
      </c>
      <c r="C6262" s="109" t="str">
        <f>IF(ISBLANK(K6262),IFERROR(VLOOKUP(I6262,FS_input_data!$C$458:$N$648,Export!J6262,FALSE),""),K6262)</f>
        <v/>
      </c>
      <c r="D6262" s="6"/>
      <c r="E6262" s="6"/>
      <c r="F6262" s="6"/>
      <c r="G6262" s="115" t="b">
        <f>VLOOKUP(I6250,FS_input_noty,J6250,FALSE)=""</f>
        <v>0</v>
      </c>
      <c r="H6262" s="6" t="s">
        <v>2189</v>
      </c>
      <c r="I6262" t="s">
        <v>1561</v>
      </c>
      <c r="J6262" t="s">
        <v>1561</v>
      </c>
      <c r="L6262" s="26" t="e">
        <f t="shared" si="362"/>
        <v>#VALUE!</v>
      </c>
    </row>
    <row r="6263" spans="1:12" x14ac:dyDescent="0.35">
      <c r="A6263" s="9">
        <f t="shared" si="363"/>
        <v>6262</v>
      </c>
      <c r="B6263" t="s">
        <v>755</v>
      </c>
      <c r="C6263" s="109">
        <f>IF(ISBLANK(K6263),IFERROR(VLOOKUP(I6263,FS_input_data!$C$458:$N$648,Export!J6263,FALSE),""),K6263)</f>
        <v>114</v>
      </c>
      <c r="D6263" s="6" t="b">
        <v>1</v>
      </c>
      <c r="E6263" s="6"/>
      <c r="F6263" s="6"/>
      <c r="G6263" s="115" t="b">
        <f>VLOOKUP(I6250,FS_input_noty,J6250,FALSE)=""</f>
        <v>0</v>
      </c>
      <c r="H6263" s="6" t="s">
        <v>2189</v>
      </c>
      <c r="I6263" t="s">
        <v>2038</v>
      </c>
      <c r="J6263">
        <v>2</v>
      </c>
      <c r="L6263" s="26" t="e">
        <f t="shared" si="362"/>
        <v>#VALUE!</v>
      </c>
    </row>
    <row r="6264" spans="1:12" x14ac:dyDescent="0.35">
      <c r="A6264">
        <f t="shared" si="363"/>
        <v>6263</v>
      </c>
      <c r="B6264" t="s">
        <v>756</v>
      </c>
      <c r="C6264" s="109" t="str">
        <f>IF(ISBLANK(K6264),IFERROR(VLOOKUP(I6264,FS_input_data!$C$458:$N$648,Export!J6264,FALSE),""),K6264)</f>
        <v/>
      </c>
      <c r="D6264" s="6"/>
      <c r="E6264" s="6"/>
      <c r="F6264" s="6"/>
      <c r="G6264" s="115" t="b">
        <f>VLOOKUP(I6250,FS_input_noty,J6250,FALSE)=""</f>
        <v>0</v>
      </c>
      <c r="H6264" s="6" t="s">
        <v>2189</v>
      </c>
      <c r="I6264" t="s">
        <v>1561</v>
      </c>
      <c r="J6264" t="s">
        <v>1561</v>
      </c>
      <c r="L6264">
        <f t="shared" si="362"/>
        <v>1</v>
      </c>
    </row>
    <row r="6265" spans="1:12" x14ac:dyDescent="0.35">
      <c r="A6265" s="9">
        <f t="shared" si="363"/>
        <v>6264</v>
      </c>
      <c r="B6265" t="s">
        <v>757</v>
      </c>
      <c r="C6265" s="109">
        <f>IF(ISBLANK(K6265),IFERROR(VLOOKUP(I6265,FS_input_data!$C$458:$N$648,Export!J6265,FALSE),""),K6265)</f>
        <v>214</v>
      </c>
      <c r="D6265" s="6" t="b">
        <v>0</v>
      </c>
      <c r="E6265" s="6"/>
      <c r="F6265" s="6"/>
      <c r="G6265" s="115" t="b">
        <f>VLOOKUP(I6250,FS_input_noty,J6250,FALSE)=""</f>
        <v>0</v>
      </c>
      <c r="H6265" s="6" t="s">
        <v>2189</v>
      </c>
      <c r="I6265" t="s">
        <v>2038</v>
      </c>
      <c r="J6265">
        <v>3</v>
      </c>
      <c r="L6265" s="26" t="e">
        <f t="shared" si="362"/>
        <v>#VALUE!</v>
      </c>
    </row>
    <row r="6266" spans="1:12" x14ac:dyDescent="0.35">
      <c r="A6266">
        <f t="shared" si="363"/>
        <v>6265</v>
      </c>
      <c r="B6266" t="s">
        <v>758</v>
      </c>
      <c r="C6266" s="109" t="str">
        <f>IF(ISBLANK(K6266),IFERROR(VLOOKUP(I6266,FS_input_data!$C$458:$N$648,Export!J6266,FALSE),""),K6266)</f>
        <v/>
      </c>
      <c r="D6266" s="6"/>
      <c r="E6266" s="6"/>
      <c r="F6266" s="6"/>
      <c r="G6266" s="115" t="b">
        <f>VLOOKUP(I6250,FS_input_noty,J6250,FALSE)=""</f>
        <v>0</v>
      </c>
      <c r="H6266" s="6" t="s">
        <v>2189</v>
      </c>
      <c r="I6266" t="s">
        <v>1561</v>
      </c>
      <c r="J6266" t="s">
        <v>1561</v>
      </c>
      <c r="L6266">
        <f t="shared" si="362"/>
        <v>1</v>
      </c>
    </row>
    <row r="6267" spans="1:12" x14ac:dyDescent="0.35">
      <c r="A6267" s="9">
        <f t="shared" si="363"/>
        <v>6266</v>
      </c>
      <c r="B6267" t="s">
        <v>759</v>
      </c>
      <c r="C6267" s="109">
        <f>IF(ISBLANK(K6267),IFERROR(VLOOKUP(I6267,FS_input_data!$C$458:$N$648,Export!J6267,FALSE),""),K6267)</f>
        <v>314</v>
      </c>
      <c r="D6267" s="6" t="b">
        <v>0</v>
      </c>
      <c r="E6267" s="6"/>
      <c r="F6267" s="6"/>
      <c r="G6267" s="115" t="b">
        <f>VLOOKUP(I6250,FS_input_noty,J6250,FALSE)=""</f>
        <v>0</v>
      </c>
      <c r="H6267" s="6" t="s">
        <v>2189</v>
      </c>
      <c r="I6267" t="s">
        <v>2038</v>
      </c>
      <c r="J6267">
        <v>4</v>
      </c>
      <c r="L6267" s="26" t="e">
        <f t="shared" si="362"/>
        <v>#VALUE!</v>
      </c>
    </row>
    <row r="6268" spans="1:12" x14ac:dyDescent="0.35">
      <c r="A6268">
        <f t="shared" si="363"/>
        <v>6267</v>
      </c>
      <c r="B6268" t="s">
        <v>760</v>
      </c>
      <c r="C6268" s="109" t="str">
        <f>IF(ISBLANK(K6268),IFERROR(VLOOKUP(I6268,FS_input_data!$C$458:$N$648,Export!J6268,FALSE),""),K6268)</f>
        <v/>
      </c>
      <c r="D6268" s="6"/>
      <c r="E6268" s="6"/>
      <c r="F6268" s="6"/>
      <c r="G6268" s="115" t="b">
        <f>VLOOKUP(I6250,FS_input_noty,J6250,FALSE)=""</f>
        <v>0</v>
      </c>
      <c r="H6268" s="6" t="s">
        <v>2189</v>
      </c>
      <c r="I6268" t="s">
        <v>1561</v>
      </c>
      <c r="J6268" t="s">
        <v>1561</v>
      </c>
      <c r="L6268">
        <f t="shared" si="362"/>
        <v>1</v>
      </c>
    </row>
    <row r="6269" spans="1:12" x14ac:dyDescent="0.35">
      <c r="A6269" s="9">
        <f t="shared" si="363"/>
        <v>6268</v>
      </c>
      <c r="B6269" t="s">
        <v>761</v>
      </c>
      <c r="C6269" s="109" t="str">
        <f>IF(ISBLANK(K6269),IFERROR(VLOOKUP(I6269,FS_input_data!$C$458:$N$648,Export!J6269,FALSE),""),K6269)</f>
        <v>h</v>
      </c>
      <c r="D6269" s="6" t="b">
        <v>0</v>
      </c>
      <c r="E6269" s="6"/>
      <c r="F6269" s="6"/>
      <c r="G6269" s="115" t="b">
        <f>VLOOKUP(I6250,FS_input_noty,J6250,FALSE)=""</f>
        <v>0</v>
      </c>
      <c r="H6269" s="6" t="s">
        <v>2189</v>
      </c>
      <c r="I6269" t="s">
        <v>2038</v>
      </c>
      <c r="J6269">
        <v>5</v>
      </c>
      <c r="L6269" s="26" t="e">
        <f t="shared" si="362"/>
        <v>#VALUE!</v>
      </c>
    </row>
    <row r="6270" spans="1:12" x14ac:dyDescent="0.35">
      <c r="A6270">
        <f t="shared" si="363"/>
        <v>6269</v>
      </c>
      <c r="B6270" t="s">
        <v>762</v>
      </c>
      <c r="C6270" s="109" t="str">
        <f>IF(ISBLANK(K6270),IFERROR(VLOOKUP(I6270,FS_input_data!$C$458:$N$648,Export!J6270,FALSE),""),K6270)</f>
        <v/>
      </c>
      <c r="D6270" s="6"/>
      <c r="E6270" s="6"/>
      <c r="F6270" s="6"/>
      <c r="G6270" s="115" t="b">
        <f>VLOOKUP(I6250,FS_input_noty,J6250,FALSE)=""</f>
        <v>0</v>
      </c>
      <c r="H6270" s="6" t="s">
        <v>2189</v>
      </c>
      <c r="I6270" t="s">
        <v>1561</v>
      </c>
      <c r="J6270" t="s">
        <v>1561</v>
      </c>
      <c r="L6270">
        <f t="shared" si="362"/>
        <v>1</v>
      </c>
    </row>
    <row r="6271" spans="1:12" x14ac:dyDescent="0.35">
      <c r="A6271">
        <f t="shared" si="363"/>
        <v>6270</v>
      </c>
      <c r="B6271" t="s">
        <v>763</v>
      </c>
      <c r="C6271" s="109" t="str">
        <f>IF(ISBLANK(K6271),IFERROR(VLOOKUP(I6271,FS_input_data!$C$458:$N$648,Export!J6271,FALSE),""),K6271)</f>
        <v/>
      </c>
      <c r="D6271" s="6"/>
      <c r="E6271" s="6"/>
      <c r="F6271" s="6"/>
      <c r="G6271" s="115" t="b">
        <f>VLOOKUP(I6250,FS_input_noty,J6250,FALSE)=""</f>
        <v>0</v>
      </c>
      <c r="H6271" s="6" t="s">
        <v>2189</v>
      </c>
      <c r="I6271" t="s">
        <v>1561</v>
      </c>
      <c r="J6271" t="s">
        <v>1561</v>
      </c>
      <c r="L6271">
        <f t="shared" si="362"/>
        <v>1</v>
      </c>
    </row>
    <row r="6272" spans="1:12" x14ac:dyDescent="0.35">
      <c r="A6272">
        <f t="shared" si="363"/>
        <v>6271</v>
      </c>
      <c r="B6272" t="s">
        <v>743</v>
      </c>
      <c r="C6272" s="109" t="str">
        <f>IF(ISBLANK(K6272),IFERROR(VLOOKUP(I6272,FS_input_data!$C$458:$N$648,Export!J6272,FALSE),""),K6272)</f>
        <v/>
      </c>
      <c r="D6272" s="6"/>
      <c r="E6272" s="6"/>
      <c r="F6272" s="6"/>
      <c r="G6272" s="115" t="b">
        <f>VLOOKUP(I6250,FS_input_noty,J6250,FALSE)=""</f>
        <v>0</v>
      </c>
      <c r="H6272" s="6" t="s">
        <v>2189</v>
      </c>
      <c r="I6272" t="s">
        <v>1561</v>
      </c>
      <c r="J6272" t="s">
        <v>1561</v>
      </c>
      <c r="L6272">
        <f t="shared" si="362"/>
        <v>1</v>
      </c>
    </row>
    <row r="6273" spans="1:12" x14ac:dyDescent="0.35">
      <c r="A6273">
        <f t="shared" si="363"/>
        <v>6272</v>
      </c>
      <c r="B6273" t="s">
        <v>744</v>
      </c>
      <c r="C6273" s="109" t="str">
        <f>IF(ISBLANK(K6273),IFERROR(VLOOKUP(I6273,FS_input_data!$C$458:$N$648,Export!J6273,FALSE),""),K6273)</f>
        <v/>
      </c>
      <c r="D6273" s="6"/>
      <c r="E6273" s="6"/>
      <c r="F6273" s="6"/>
      <c r="G6273" s="115" t="b">
        <f t="shared" ref="G6273:G6280" si="365">RP_tax</f>
        <v>1</v>
      </c>
      <c r="H6273" s="6" t="s">
        <v>2189</v>
      </c>
      <c r="I6273" t="s">
        <v>1561</v>
      </c>
      <c r="J6273" t="s">
        <v>1561</v>
      </c>
      <c r="L6273" s="26" t="e">
        <f t="shared" si="362"/>
        <v>#VALUE!</v>
      </c>
    </row>
    <row r="6274" spans="1:12" x14ac:dyDescent="0.35">
      <c r="A6274" s="9">
        <f t="shared" si="363"/>
        <v>6273</v>
      </c>
      <c r="B6274" t="s">
        <v>109</v>
      </c>
      <c r="C6274" s="109">
        <f>IF(ISBLANK(K6274),IFERROR(VLOOKUP(I6274,FS_input_data!$C$458:$N$648,Export!J6274,FALSE),""),K6274)</f>
        <v>16000</v>
      </c>
      <c r="D6274" s="6" t="b">
        <v>1</v>
      </c>
      <c r="E6274" s="6"/>
      <c r="F6274" s="6"/>
      <c r="G6274" s="115" t="b">
        <f t="shared" si="365"/>
        <v>1</v>
      </c>
      <c r="H6274" s="6" t="s">
        <v>2189</v>
      </c>
      <c r="I6274" t="s">
        <v>2038</v>
      </c>
      <c r="J6274">
        <v>10</v>
      </c>
      <c r="L6274" s="26" t="e">
        <f t="shared" ref="L6274:L6337" si="366">FIND("/",B6274)</f>
        <v>#VALUE!</v>
      </c>
    </row>
    <row r="6275" spans="1:12" x14ac:dyDescent="0.35">
      <c r="A6275">
        <f t="shared" ref="A6275:A6338" si="367">A6274+1</f>
        <v>6274</v>
      </c>
      <c r="B6275" t="s">
        <v>110</v>
      </c>
      <c r="C6275" s="109" t="str">
        <f>IF(ISBLANK(K6275),IFERROR(VLOOKUP(I6275,FS_input_data!$C$458:$N$648,Export!J6275,FALSE),""),K6275)</f>
        <v/>
      </c>
      <c r="D6275" s="6"/>
      <c r="E6275" s="6"/>
      <c r="F6275" s="6"/>
      <c r="G6275" s="115" t="b">
        <f t="shared" si="365"/>
        <v>1</v>
      </c>
      <c r="H6275" s="6" t="s">
        <v>2189</v>
      </c>
      <c r="I6275" t="s">
        <v>1561</v>
      </c>
      <c r="J6275" t="s">
        <v>1561</v>
      </c>
      <c r="L6275">
        <f t="shared" si="366"/>
        <v>1</v>
      </c>
    </row>
    <row r="6276" spans="1:12" x14ac:dyDescent="0.35">
      <c r="A6276" s="9">
        <f t="shared" si="367"/>
        <v>6275</v>
      </c>
      <c r="B6276" t="s">
        <v>111</v>
      </c>
      <c r="C6276" s="109">
        <f>IF(ISBLANK(K6276),IFERROR(VLOOKUP(I6276,FS_input_data!$C$458:$N$648,Export!J6276,FALSE),""),K6276)</f>
        <v>8000</v>
      </c>
      <c r="D6276" s="6" t="b">
        <v>0</v>
      </c>
      <c r="E6276" s="6"/>
      <c r="F6276" s="6"/>
      <c r="G6276" s="115" t="b">
        <f t="shared" si="365"/>
        <v>1</v>
      </c>
      <c r="H6276" s="6" t="s">
        <v>2189</v>
      </c>
      <c r="I6276" t="s">
        <v>2038</v>
      </c>
      <c r="J6276">
        <v>11</v>
      </c>
      <c r="L6276" s="26" t="e">
        <f t="shared" si="366"/>
        <v>#VALUE!</v>
      </c>
    </row>
    <row r="6277" spans="1:12" x14ac:dyDescent="0.35">
      <c r="A6277">
        <f t="shared" si="367"/>
        <v>6276</v>
      </c>
      <c r="B6277" t="s">
        <v>112</v>
      </c>
      <c r="C6277" s="109" t="str">
        <f>IF(ISBLANK(K6277),IFERROR(VLOOKUP(I6277,FS_input_data!$C$458:$N$648,Export!J6277,FALSE),""),K6277)</f>
        <v/>
      </c>
      <c r="D6277" s="6"/>
      <c r="E6277" s="6"/>
      <c r="F6277" s="6"/>
      <c r="G6277" s="115" t="b">
        <f t="shared" si="365"/>
        <v>1</v>
      </c>
      <c r="H6277" s="6" t="s">
        <v>2189</v>
      </c>
      <c r="I6277" t="s">
        <v>1561</v>
      </c>
      <c r="J6277" t="s">
        <v>1561</v>
      </c>
      <c r="L6277">
        <f t="shared" si="366"/>
        <v>1</v>
      </c>
    </row>
    <row r="6278" spans="1:12" x14ac:dyDescent="0.35">
      <c r="A6278" s="9">
        <f t="shared" si="367"/>
        <v>6277</v>
      </c>
      <c r="B6278" t="s">
        <v>749</v>
      </c>
      <c r="C6278" s="109">
        <f>IF(ISBLANK(K6278),IFERROR(VLOOKUP(I6278,FS_input_data!$C$458:$N$648,Export!J6278,FALSE),""),K6278)</f>
        <v>8000</v>
      </c>
      <c r="D6278" s="6" t="b">
        <v>0</v>
      </c>
      <c r="E6278" s="6"/>
      <c r="F6278" s="6"/>
      <c r="G6278" s="115" t="b">
        <f t="shared" si="365"/>
        <v>1</v>
      </c>
      <c r="H6278" s="6" t="s">
        <v>2189</v>
      </c>
      <c r="I6278" t="s">
        <v>2038</v>
      </c>
      <c r="J6278">
        <v>12</v>
      </c>
      <c r="L6278" s="26" t="e">
        <f t="shared" si="366"/>
        <v>#VALUE!</v>
      </c>
    </row>
    <row r="6279" spans="1:12" x14ac:dyDescent="0.35">
      <c r="A6279">
        <f t="shared" si="367"/>
        <v>6278</v>
      </c>
      <c r="B6279" t="s">
        <v>750</v>
      </c>
      <c r="C6279" s="109" t="str">
        <f>IF(ISBLANK(K6279),IFERROR(VLOOKUP(I6279,FS_input_data!$C$458:$N$648,Export!J6279,FALSE),""),K6279)</f>
        <v/>
      </c>
      <c r="D6279" s="6"/>
      <c r="E6279" s="6"/>
      <c r="F6279" s="6"/>
      <c r="G6279" s="115" t="b">
        <f t="shared" si="365"/>
        <v>1</v>
      </c>
      <c r="H6279" s="6" t="s">
        <v>2189</v>
      </c>
      <c r="I6279" t="s">
        <v>1561</v>
      </c>
      <c r="J6279" t="s">
        <v>1561</v>
      </c>
      <c r="L6279">
        <f t="shared" si="366"/>
        <v>1</v>
      </c>
    </row>
    <row r="6280" spans="1:12" x14ac:dyDescent="0.35">
      <c r="A6280">
        <f t="shared" si="367"/>
        <v>6279</v>
      </c>
      <c r="B6280" t="s">
        <v>745</v>
      </c>
      <c r="C6280" s="109" t="str">
        <f>IF(ISBLANK(K6280),IFERROR(VLOOKUP(I6280,FS_input_data!$C$458:$N$648,Export!J6280,FALSE),""),K6280)</f>
        <v/>
      </c>
      <c r="D6280" s="6"/>
      <c r="E6280" s="6"/>
      <c r="F6280" s="6"/>
      <c r="G6280" s="115" t="b">
        <f t="shared" si="365"/>
        <v>1</v>
      </c>
      <c r="H6280" s="6" t="s">
        <v>2189</v>
      </c>
      <c r="I6280" t="s">
        <v>1561</v>
      </c>
      <c r="J6280" t="s">
        <v>1561</v>
      </c>
      <c r="L6280">
        <f t="shared" si="366"/>
        <v>1</v>
      </c>
    </row>
    <row r="6281" spans="1:12" x14ac:dyDescent="0.35">
      <c r="A6281">
        <f t="shared" si="367"/>
        <v>6280</v>
      </c>
      <c r="B6281" t="s">
        <v>764</v>
      </c>
      <c r="C6281" s="109" t="str">
        <f>IF(ISBLANK(K6281),IFERROR(VLOOKUP(I6281,FS_input_data!$C$458:$N$648,Export!J6281,FALSE),""),K6281)</f>
        <v/>
      </c>
      <c r="D6281" s="6"/>
      <c r="E6281" s="6"/>
      <c r="F6281" s="6"/>
      <c r="G6281" s="115" t="b">
        <f>VLOOKUP(I6250,FS_input_noty,J6250,FALSE)=""</f>
        <v>0</v>
      </c>
      <c r="H6281" s="6" t="s">
        <v>2189</v>
      </c>
      <c r="I6281" t="s">
        <v>1561</v>
      </c>
      <c r="J6281" t="s">
        <v>1561</v>
      </c>
      <c r="L6281">
        <f t="shared" si="366"/>
        <v>1</v>
      </c>
    </row>
    <row r="6282" spans="1:12" x14ac:dyDescent="0.35">
      <c r="A6282">
        <f t="shared" si="367"/>
        <v>6281</v>
      </c>
      <c r="B6282" t="s">
        <v>765</v>
      </c>
      <c r="C6282" s="109" t="str">
        <f>IF(ISBLANK(K6282),IFERROR(VLOOKUP(I6282,FS_input_data!$C$458:$N$648,Export!J6282,FALSE),""),K6282)</f>
        <v/>
      </c>
      <c r="D6282" s="6"/>
      <c r="E6282" s="6"/>
      <c r="F6282" s="6"/>
      <c r="G6282" s="115" t="b">
        <f>VLOOKUP(I6250,FS_input_noty,J6250,FALSE)=""</f>
        <v>0</v>
      </c>
      <c r="H6282" s="6" t="s">
        <v>2189</v>
      </c>
      <c r="I6282" t="s">
        <v>1561</v>
      </c>
      <c r="J6282" t="s">
        <v>1561</v>
      </c>
      <c r="L6282">
        <f t="shared" si="366"/>
        <v>1</v>
      </c>
    </row>
    <row r="6283" spans="1:12" x14ac:dyDescent="0.35">
      <c r="A6283">
        <f t="shared" si="367"/>
        <v>6282</v>
      </c>
      <c r="B6283" t="s">
        <v>752</v>
      </c>
      <c r="C6283" s="109" t="str">
        <f>IF(ISBLANK(K6283),IFERROR(VLOOKUP(I6283,FS_input_data!$C$458:$N$648,Export!J6283,FALSE),""),K6283)</f>
        <v/>
      </c>
      <c r="D6283" s="6"/>
      <c r="E6283" s="6"/>
      <c r="F6283" s="6"/>
      <c r="G6283" s="115" t="b">
        <f>VLOOKUP(I6284,FS_input_noty,J6284,FALSE)=""</f>
        <v>0</v>
      </c>
      <c r="H6283" s="6" t="s">
        <v>2189</v>
      </c>
      <c r="I6283" t="s">
        <v>1561</v>
      </c>
      <c r="J6283" t="s">
        <v>1561</v>
      </c>
      <c r="L6283" s="26" t="e">
        <f t="shared" si="366"/>
        <v>#VALUE!</v>
      </c>
    </row>
    <row r="6284" spans="1:12" x14ac:dyDescent="0.35">
      <c r="A6284" s="9">
        <f t="shared" si="367"/>
        <v>6283</v>
      </c>
      <c r="B6284" t="s">
        <v>101</v>
      </c>
      <c r="C6284" s="109" t="str">
        <f>IF(ISBLANK(K6284),IFERROR(VLOOKUP(I6284,FS_input_data!$C$458:$N$648,Export!J6284,FALSE),""),K6284)</f>
        <v>OC92</v>
      </c>
      <c r="D6284" s="6" t="b">
        <v>1</v>
      </c>
      <c r="E6284" s="6"/>
      <c r="F6284" s="6"/>
      <c r="G6284" s="115" t="b">
        <f>VLOOKUP(I6284,FS_input_noty,J6284,FALSE)=""</f>
        <v>0</v>
      </c>
      <c r="H6284" s="6" t="s">
        <v>2189</v>
      </c>
      <c r="I6284" t="s">
        <v>2040</v>
      </c>
      <c r="J6284">
        <v>6</v>
      </c>
      <c r="L6284" s="26" t="e">
        <f t="shared" si="366"/>
        <v>#VALUE!</v>
      </c>
    </row>
    <row r="6285" spans="1:12" x14ac:dyDescent="0.35">
      <c r="A6285">
        <f t="shared" si="367"/>
        <v>6284</v>
      </c>
      <c r="B6285" t="s">
        <v>102</v>
      </c>
      <c r="C6285" s="109" t="str">
        <f>IF(ISBLANK(K6285),IFERROR(VLOOKUP(I6285,FS_input_data!$C$458:$N$648,Export!J6285,FALSE),""),K6285)</f>
        <v/>
      </c>
      <c r="D6285" s="6"/>
      <c r="E6285" s="6"/>
      <c r="F6285" s="6"/>
      <c r="G6285" s="115" t="b">
        <f>VLOOKUP(I6284,FS_input_noty,J6284,FALSE)=""</f>
        <v>0</v>
      </c>
      <c r="H6285" s="6" t="s">
        <v>2189</v>
      </c>
      <c r="I6285" t="s">
        <v>1561</v>
      </c>
      <c r="J6285" t="s">
        <v>1561</v>
      </c>
      <c r="L6285">
        <f t="shared" si="366"/>
        <v>1</v>
      </c>
    </row>
    <row r="6286" spans="1:12" x14ac:dyDescent="0.35">
      <c r="A6286">
        <f t="shared" si="367"/>
        <v>6285</v>
      </c>
      <c r="B6286" t="s">
        <v>753</v>
      </c>
      <c r="C6286" s="109" t="str">
        <f>IF(ISBLANK(K6286),IFERROR(VLOOKUP(I6286,FS_input_data!$C$458:$N$648,Export!J6286,FALSE),""),K6286)</f>
        <v/>
      </c>
      <c r="D6286" s="6"/>
      <c r="E6286" s="6"/>
      <c r="F6286" s="6"/>
      <c r="G6286" s="115" t="b">
        <f>VLOOKUP(I6284,FS_input_noty,J6284,FALSE)=""</f>
        <v>0</v>
      </c>
      <c r="H6286" s="6" t="s">
        <v>2189</v>
      </c>
      <c r="I6286" t="s">
        <v>1561</v>
      </c>
      <c r="J6286" t="s">
        <v>1561</v>
      </c>
      <c r="L6286" s="26" t="e">
        <f t="shared" si="366"/>
        <v>#VALUE!</v>
      </c>
    </row>
    <row r="6287" spans="1:12" x14ac:dyDescent="0.35">
      <c r="A6287">
        <f t="shared" si="367"/>
        <v>6286</v>
      </c>
      <c r="B6287" t="s">
        <v>742</v>
      </c>
      <c r="C6287" s="109" t="str">
        <f>IF(ISBLANK(K6287),IFERROR(VLOOKUP(I6287,FS_input_data!$C$458:$N$648,Export!J6287,FALSE),""),K6287)</f>
        <v/>
      </c>
      <c r="D6287" s="6"/>
      <c r="E6287" s="6"/>
      <c r="F6287" s="6"/>
      <c r="G6287" s="115" t="b">
        <f>VLOOKUP(I6284,FS_input_noty,J6284,FALSE)=""</f>
        <v>0</v>
      </c>
      <c r="H6287" s="6" t="s">
        <v>2189</v>
      </c>
      <c r="I6287" t="s">
        <v>1561</v>
      </c>
      <c r="J6287" t="s">
        <v>1561</v>
      </c>
      <c r="L6287" s="26" t="e">
        <f t="shared" si="366"/>
        <v>#VALUE!</v>
      </c>
    </row>
    <row r="6288" spans="1:12" x14ac:dyDescent="0.35">
      <c r="A6288">
        <f t="shared" si="367"/>
        <v>6287</v>
      </c>
      <c r="B6288" t="s">
        <v>748</v>
      </c>
      <c r="C6288" s="109" t="str">
        <f>IF(ISBLANK(K6288),IFERROR(VLOOKUP(I6288,FS_input_data!$C$458:$N$648,Export!J6288,FALSE),""),K6288)</f>
        <v/>
      </c>
      <c r="D6288" s="6"/>
      <c r="E6288" s="6"/>
      <c r="F6288" s="6"/>
      <c r="G6288" s="115" t="b">
        <f>VLOOKUP(I6284,FS_input_noty,J6284,FALSE)=""</f>
        <v>0</v>
      </c>
      <c r="H6288" s="6" t="s">
        <v>2189</v>
      </c>
      <c r="I6288" t="s">
        <v>1561</v>
      </c>
      <c r="J6288" t="s">
        <v>1561</v>
      </c>
      <c r="L6288" s="26" t="e">
        <f t="shared" si="366"/>
        <v>#VALUE!</v>
      </c>
    </row>
    <row r="6289" spans="1:12" x14ac:dyDescent="0.35">
      <c r="A6289" s="9">
        <f t="shared" si="367"/>
        <v>6288</v>
      </c>
      <c r="B6289" t="s">
        <v>109</v>
      </c>
      <c r="C6289" s="109">
        <f>IF(ISBLANK(K6289),IFERROR(VLOOKUP(I6289,FS_input_data!$C$458:$N$648,Export!J6289,FALSE),""),K6289)</f>
        <v>17000</v>
      </c>
      <c r="D6289" s="6" t="b">
        <v>1</v>
      </c>
      <c r="E6289" s="6"/>
      <c r="F6289" s="6"/>
      <c r="G6289" s="115" t="b">
        <f>VLOOKUP(I6284,FS_input_noty,J6284,FALSE)=""</f>
        <v>0</v>
      </c>
      <c r="H6289" s="6" t="s">
        <v>2189</v>
      </c>
      <c r="I6289" t="s">
        <v>2040</v>
      </c>
      <c r="J6289">
        <v>7</v>
      </c>
      <c r="L6289" s="26" t="e">
        <f t="shared" si="366"/>
        <v>#VALUE!</v>
      </c>
    </row>
    <row r="6290" spans="1:12" x14ac:dyDescent="0.35">
      <c r="A6290">
        <f t="shared" si="367"/>
        <v>6289</v>
      </c>
      <c r="B6290" t="s">
        <v>110</v>
      </c>
      <c r="C6290" s="109" t="str">
        <f>IF(ISBLANK(K6290),IFERROR(VLOOKUP(I6290,FS_input_data!$C$458:$N$648,Export!J6290,FALSE),""),K6290)</f>
        <v/>
      </c>
      <c r="D6290" s="6"/>
      <c r="E6290" s="6"/>
      <c r="F6290" s="6"/>
      <c r="G6290" s="115" t="b">
        <f>VLOOKUP(I6284,FS_input_noty,J6284,FALSE)=""</f>
        <v>0</v>
      </c>
      <c r="H6290" s="6" t="s">
        <v>2189</v>
      </c>
      <c r="I6290" t="s">
        <v>1561</v>
      </c>
      <c r="J6290" t="s">
        <v>1561</v>
      </c>
      <c r="L6290">
        <f t="shared" si="366"/>
        <v>1</v>
      </c>
    </row>
    <row r="6291" spans="1:12" x14ac:dyDescent="0.35">
      <c r="A6291" s="9">
        <f t="shared" si="367"/>
        <v>6290</v>
      </c>
      <c r="B6291" t="s">
        <v>111</v>
      </c>
      <c r="C6291" s="109">
        <f>IF(ISBLANK(K6291),IFERROR(VLOOKUP(I6291,FS_input_data!$C$458:$N$648,Export!J6291,FALSE),""),K6291)</f>
        <v>8500</v>
      </c>
      <c r="D6291" s="6" t="b">
        <v>0</v>
      </c>
      <c r="E6291" s="6"/>
      <c r="F6291" s="6"/>
      <c r="G6291" s="115" t="b">
        <f>VLOOKUP(I6284,FS_input_noty,J6284,TRUE)=""</f>
        <v>0</v>
      </c>
      <c r="H6291" s="6" t="s">
        <v>2189</v>
      </c>
      <c r="I6291" t="s">
        <v>2040</v>
      </c>
      <c r="J6291">
        <v>8</v>
      </c>
      <c r="L6291" s="26" t="e">
        <f t="shared" si="366"/>
        <v>#VALUE!</v>
      </c>
    </row>
    <row r="6292" spans="1:12" x14ac:dyDescent="0.35">
      <c r="A6292">
        <f t="shared" si="367"/>
        <v>6291</v>
      </c>
      <c r="B6292" t="s">
        <v>112</v>
      </c>
      <c r="C6292" s="109" t="str">
        <f>IF(ISBLANK(K6292),IFERROR(VLOOKUP(I6292,FS_input_data!$C$458:$N$648,Export!J6292,FALSE),""),K6292)</f>
        <v/>
      </c>
      <c r="D6292" s="6"/>
      <c r="E6292" s="6"/>
      <c r="F6292" s="6"/>
      <c r="G6292" s="115" t="b">
        <f>VLOOKUP(I6284,FS_input_noty,J6284,FALSE)=""</f>
        <v>0</v>
      </c>
      <c r="H6292" s="6" t="s">
        <v>2189</v>
      </c>
      <c r="I6292" t="s">
        <v>1561</v>
      </c>
      <c r="J6292" t="s">
        <v>1561</v>
      </c>
      <c r="L6292">
        <f t="shared" si="366"/>
        <v>1</v>
      </c>
    </row>
    <row r="6293" spans="1:12" x14ac:dyDescent="0.35">
      <c r="A6293" s="9">
        <f t="shared" si="367"/>
        <v>6292</v>
      </c>
      <c r="B6293" t="s">
        <v>749</v>
      </c>
      <c r="C6293" s="109">
        <f>IF(ISBLANK(K6293),IFERROR(VLOOKUP(I6293,FS_input_data!$C$458:$N$648,Export!J6293,FALSE),""),K6293)</f>
        <v>8500</v>
      </c>
      <c r="D6293" s="6" t="b">
        <v>0</v>
      </c>
      <c r="E6293" s="6"/>
      <c r="F6293" s="6"/>
      <c r="G6293" s="115" t="b">
        <f>VLOOKUP(I6284,FS_input_noty,J6284,FALSE)=""</f>
        <v>0</v>
      </c>
      <c r="H6293" s="6" t="s">
        <v>2189</v>
      </c>
      <c r="I6293" t="s">
        <v>2040</v>
      </c>
      <c r="J6293">
        <v>9</v>
      </c>
      <c r="L6293" s="26" t="e">
        <f t="shared" si="366"/>
        <v>#VALUE!</v>
      </c>
    </row>
    <row r="6294" spans="1:12" x14ac:dyDescent="0.35">
      <c r="A6294">
        <f t="shared" si="367"/>
        <v>6293</v>
      </c>
      <c r="B6294" t="s">
        <v>750</v>
      </c>
      <c r="C6294" s="109" t="str">
        <f>IF(ISBLANK(K6294),IFERROR(VLOOKUP(I6294,FS_input_data!$C$458:$N$648,Export!J6294,FALSE),""),K6294)</f>
        <v/>
      </c>
      <c r="D6294" s="6"/>
      <c r="E6294" s="6"/>
      <c r="F6294" s="6"/>
      <c r="G6294" s="115" t="b">
        <f>VLOOKUP(I6284,FS_input_noty,J6284,FALSE)=""</f>
        <v>0</v>
      </c>
      <c r="H6294" s="6" t="s">
        <v>2189</v>
      </c>
      <c r="I6294" t="s">
        <v>1561</v>
      </c>
      <c r="J6294" t="s">
        <v>1561</v>
      </c>
      <c r="L6294">
        <f t="shared" si="366"/>
        <v>1</v>
      </c>
    </row>
    <row r="6295" spans="1:12" x14ac:dyDescent="0.35">
      <c r="A6295">
        <f t="shared" si="367"/>
        <v>6294</v>
      </c>
      <c r="B6295" t="s">
        <v>751</v>
      </c>
      <c r="C6295" s="109" t="str">
        <f>IF(ISBLANK(K6295),IFERROR(VLOOKUP(I6295,FS_input_data!$C$458:$N$648,Export!J6295,FALSE),""),K6295)</f>
        <v/>
      </c>
      <c r="D6295" s="6"/>
      <c r="E6295" s="6"/>
      <c r="F6295" s="6"/>
      <c r="G6295" s="115" t="b">
        <f>VLOOKUP(I6284,FS_input_noty,J6284,FALSE)=""</f>
        <v>0</v>
      </c>
      <c r="H6295" s="6" t="s">
        <v>2189</v>
      </c>
      <c r="I6295" t="s">
        <v>1561</v>
      </c>
      <c r="J6295" t="s">
        <v>1561</v>
      </c>
      <c r="L6295">
        <f t="shared" si="366"/>
        <v>1</v>
      </c>
    </row>
    <row r="6296" spans="1:12" x14ac:dyDescent="0.35">
      <c r="A6296">
        <f t="shared" si="367"/>
        <v>6295</v>
      </c>
      <c r="B6296" t="s">
        <v>754</v>
      </c>
      <c r="C6296" s="109" t="str">
        <f>IF(ISBLANK(K6296),IFERROR(VLOOKUP(I6296,FS_input_data!$C$458:$N$648,Export!J6296,FALSE),""),K6296)</f>
        <v/>
      </c>
      <c r="D6296" s="6"/>
      <c r="E6296" s="6"/>
      <c r="F6296" s="6"/>
      <c r="G6296" s="115" t="b">
        <f>VLOOKUP(I6284,FS_input_noty,J6284,FALSE)=""</f>
        <v>0</v>
      </c>
      <c r="H6296" s="6" t="s">
        <v>2189</v>
      </c>
      <c r="I6296" t="s">
        <v>1561</v>
      </c>
      <c r="J6296" t="s">
        <v>1561</v>
      </c>
      <c r="L6296" s="26" t="e">
        <f t="shared" si="366"/>
        <v>#VALUE!</v>
      </c>
    </row>
    <row r="6297" spans="1:12" x14ac:dyDescent="0.35">
      <c r="A6297" s="9">
        <f t="shared" si="367"/>
        <v>6296</v>
      </c>
      <c r="B6297" t="s">
        <v>755</v>
      </c>
      <c r="C6297" s="109">
        <f>IF(ISBLANK(K6297),IFERROR(VLOOKUP(I6297,FS_input_data!$C$458:$N$648,Export!J6297,FALSE),""),K6297)</f>
        <v>115</v>
      </c>
      <c r="D6297" s="6" t="b">
        <v>1</v>
      </c>
      <c r="E6297" s="6"/>
      <c r="F6297" s="6"/>
      <c r="G6297" s="115" t="b">
        <f>VLOOKUP(I6284,FS_input_noty,J6284,FALSE)=""</f>
        <v>0</v>
      </c>
      <c r="H6297" s="6" t="s">
        <v>2189</v>
      </c>
      <c r="I6297" t="s">
        <v>2040</v>
      </c>
      <c r="J6297">
        <v>2</v>
      </c>
      <c r="L6297" s="26" t="e">
        <f t="shared" si="366"/>
        <v>#VALUE!</v>
      </c>
    </row>
    <row r="6298" spans="1:12" x14ac:dyDescent="0.35">
      <c r="A6298">
        <f t="shared" si="367"/>
        <v>6297</v>
      </c>
      <c r="B6298" t="s">
        <v>756</v>
      </c>
      <c r="C6298" s="109" t="str">
        <f>IF(ISBLANK(K6298),IFERROR(VLOOKUP(I6298,FS_input_data!$C$458:$N$648,Export!J6298,FALSE),""),K6298)</f>
        <v/>
      </c>
      <c r="D6298" s="6"/>
      <c r="E6298" s="6"/>
      <c r="F6298" s="6"/>
      <c r="G6298" s="115" t="b">
        <f>VLOOKUP(I6284,FS_input_noty,J6284,FALSE)=""</f>
        <v>0</v>
      </c>
      <c r="H6298" s="6" t="s">
        <v>2189</v>
      </c>
      <c r="I6298" t="s">
        <v>1561</v>
      </c>
      <c r="J6298" t="s">
        <v>1561</v>
      </c>
      <c r="L6298">
        <f t="shared" si="366"/>
        <v>1</v>
      </c>
    </row>
    <row r="6299" spans="1:12" x14ac:dyDescent="0.35">
      <c r="A6299" s="9">
        <f t="shared" si="367"/>
        <v>6298</v>
      </c>
      <c r="B6299" t="s">
        <v>757</v>
      </c>
      <c r="C6299" s="109">
        <f>IF(ISBLANK(K6299),IFERROR(VLOOKUP(I6299,FS_input_data!$C$458:$N$648,Export!J6299,FALSE),""),K6299)</f>
        <v>215</v>
      </c>
      <c r="D6299" s="6" t="b">
        <v>0</v>
      </c>
      <c r="E6299" s="6"/>
      <c r="F6299" s="6"/>
      <c r="G6299" s="115" t="b">
        <f>VLOOKUP(I6284,FS_input_noty,J6284,FALSE)=""</f>
        <v>0</v>
      </c>
      <c r="H6299" s="6" t="s">
        <v>2189</v>
      </c>
      <c r="I6299" t="s">
        <v>2040</v>
      </c>
      <c r="J6299">
        <v>3</v>
      </c>
      <c r="L6299" s="26" t="e">
        <f t="shared" si="366"/>
        <v>#VALUE!</v>
      </c>
    </row>
    <row r="6300" spans="1:12" x14ac:dyDescent="0.35">
      <c r="A6300">
        <f t="shared" si="367"/>
        <v>6299</v>
      </c>
      <c r="B6300" t="s">
        <v>758</v>
      </c>
      <c r="C6300" s="109" t="str">
        <f>IF(ISBLANK(K6300),IFERROR(VLOOKUP(I6300,FS_input_data!$C$458:$N$648,Export!J6300,FALSE),""),K6300)</f>
        <v/>
      </c>
      <c r="D6300" s="6"/>
      <c r="E6300" s="6"/>
      <c r="F6300" s="6"/>
      <c r="G6300" s="115" t="b">
        <f>VLOOKUP(I6284,FS_input_noty,J6284,FALSE)=""</f>
        <v>0</v>
      </c>
      <c r="H6300" s="6" t="s">
        <v>2189</v>
      </c>
      <c r="I6300" t="s">
        <v>1561</v>
      </c>
      <c r="J6300" t="s">
        <v>1561</v>
      </c>
      <c r="L6300">
        <f t="shared" si="366"/>
        <v>1</v>
      </c>
    </row>
    <row r="6301" spans="1:12" x14ac:dyDescent="0.35">
      <c r="A6301" s="9">
        <f t="shared" si="367"/>
        <v>6300</v>
      </c>
      <c r="B6301" t="s">
        <v>759</v>
      </c>
      <c r="C6301" s="109">
        <f>IF(ISBLANK(K6301),IFERROR(VLOOKUP(I6301,FS_input_data!$C$458:$N$648,Export!J6301,FALSE),""),K6301)</f>
        <v>315</v>
      </c>
      <c r="D6301" s="6" t="b">
        <v>0</v>
      </c>
      <c r="E6301" s="6"/>
      <c r="F6301" s="6"/>
      <c r="G6301" s="115" t="b">
        <f>VLOOKUP(I6284,FS_input_noty,J6284,FALSE)=""</f>
        <v>0</v>
      </c>
      <c r="H6301" s="6" t="s">
        <v>2189</v>
      </c>
      <c r="I6301" t="s">
        <v>2040</v>
      </c>
      <c r="J6301">
        <v>4</v>
      </c>
      <c r="L6301" s="26" t="e">
        <f t="shared" si="366"/>
        <v>#VALUE!</v>
      </c>
    </row>
    <row r="6302" spans="1:12" x14ac:dyDescent="0.35">
      <c r="A6302">
        <f t="shared" si="367"/>
        <v>6301</v>
      </c>
      <c r="B6302" t="s">
        <v>760</v>
      </c>
      <c r="C6302" s="109" t="str">
        <f>IF(ISBLANK(K6302),IFERROR(VLOOKUP(I6302,FS_input_data!$C$458:$N$648,Export!J6302,FALSE),""),K6302)</f>
        <v/>
      </c>
      <c r="D6302" s="6"/>
      <c r="E6302" s="6"/>
      <c r="F6302" s="6"/>
      <c r="G6302" s="115" t="b">
        <f>VLOOKUP(I6284,FS_input_noty,J6284,FALSE)=""</f>
        <v>0</v>
      </c>
      <c r="H6302" s="6" t="s">
        <v>2189</v>
      </c>
      <c r="I6302" t="s">
        <v>1561</v>
      </c>
      <c r="J6302" t="s">
        <v>1561</v>
      </c>
      <c r="L6302">
        <f t="shared" si="366"/>
        <v>1</v>
      </c>
    </row>
    <row r="6303" spans="1:12" x14ac:dyDescent="0.35">
      <c r="A6303" s="9">
        <f t="shared" si="367"/>
        <v>6302</v>
      </c>
      <c r="B6303" t="s">
        <v>761</v>
      </c>
      <c r="C6303" s="109" t="str">
        <f>IF(ISBLANK(K6303),IFERROR(VLOOKUP(I6303,FS_input_data!$C$458:$N$648,Export!J6303,FALSE),""),K6303)</f>
        <v>i</v>
      </c>
      <c r="D6303" s="6" t="b">
        <v>0</v>
      </c>
      <c r="E6303" s="6"/>
      <c r="F6303" s="6"/>
      <c r="G6303" s="115" t="b">
        <f>VLOOKUP(I6284,FS_input_noty,J6284,FALSE)=""</f>
        <v>0</v>
      </c>
      <c r="H6303" s="6" t="s">
        <v>2189</v>
      </c>
      <c r="I6303" t="s">
        <v>2040</v>
      </c>
      <c r="J6303">
        <v>5</v>
      </c>
      <c r="L6303" s="26" t="e">
        <f t="shared" si="366"/>
        <v>#VALUE!</v>
      </c>
    </row>
    <row r="6304" spans="1:12" x14ac:dyDescent="0.35">
      <c r="A6304">
        <f t="shared" si="367"/>
        <v>6303</v>
      </c>
      <c r="B6304" t="s">
        <v>762</v>
      </c>
      <c r="C6304" s="109" t="str">
        <f>IF(ISBLANK(K6304),IFERROR(VLOOKUP(I6304,FS_input_data!$C$458:$N$648,Export!J6304,FALSE),""),K6304)</f>
        <v/>
      </c>
      <c r="D6304" s="6"/>
      <c r="E6304" s="6"/>
      <c r="F6304" s="6"/>
      <c r="G6304" s="115" t="b">
        <f>VLOOKUP(I6284,FS_input_noty,J6284,FALSE)=""</f>
        <v>0</v>
      </c>
      <c r="H6304" s="6" t="s">
        <v>2189</v>
      </c>
      <c r="I6304" t="s">
        <v>1561</v>
      </c>
      <c r="J6304" t="s">
        <v>1561</v>
      </c>
      <c r="L6304">
        <f t="shared" si="366"/>
        <v>1</v>
      </c>
    </row>
    <row r="6305" spans="1:12" x14ac:dyDescent="0.35">
      <c r="A6305">
        <f t="shared" si="367"/>
        <v>6304</v>
      </c>
      <c r="B6305" t="s">
        <v>763</v>
      </c>
      <c r="C6305" s="109" t="str">
        <f>IF(ISBLANK(K6305),IFERROR(VLOOKUP(I6305,FS_input_data!$C$458:$N$648,Export!J6305,FALSE),""),K6305)</f>
        <v/>
      </c>
      <c r="D6305" s="6"/>
      <c r="E6305" s="6"/>
      <c r="F6305" s="6"/>
      <c r="G6305" s="115" t="b">
        <f>VLOOKUP(I6284,FS_input_noty,J6284,FALSE)=""</f>
        <v>0</v>
      </c>
      <c r="H6305" s="6" t="s">
        <v>2189</v>
      </c>
      <c r="I6305" t="s">
        <v>1561</v>
      </c>
      <c r="J6305" t="s">
        <v>1561</v>
      </c>
      <c r="L6305">
        <f t="shared" si="366"/>
        <v>1</v>
      </c>
    </row>
    <row r="6306" spans="1:12" x14ac:dyDescent="0.35">
      <c r="A6306">
        <f t="shared" si="367"/>
        <v>6305</v>
      </c>
      <c r="B6306" t="s">
        <v>743</v>
      </c>
      <c r="C6306" s="109" t="str">
        <f>IF(ISBLANK(K6306),IFERROR(VLOOKUP(I6306,FS_input_data!$C$458:$N$648,Export!J6306,FALSE),""),K6306)</f>
        <v/>
      </c>
      <c r="D6306" s="6"/>
      <c r="E6306" s="6"/>
      <c r="F6306" s="6"/>
      <c r="G6306" s="115" t="b">
        <f>VLOOKUP(I6284,FS_input_noty,J6284,FALSE)=""</f>
        <v>0</v>
      </c>
      <c r="H6306" s="6" t="s">
        <v>2189</v>
      </c>
      <c r="I6306" t="s">
        <v>1561</v>
      </c>
      <c r="J6306" t="s">
        <v>1561</v>
      </c>
      <c r="L6306">
        <f t="shared" si="366"/>
        <v>1</v>
      </c>
    </row>
    <row r="6307" spans="1:12" x14ac:dyDescent="0.35">
      <c r="A6307">
        <f t="shared" si="367"/>
        <v>6306</v>
      </c>
      <c r="B6307" t="s">
        <v>744</v>
      </c>
      <c r="C6307" s="109" t="str">
        <f>IF(ISBLANK(K6307),IFERROR(VLOOKUP(I6307,FS_input_data!$C$458:$N$648,Export!J6307,FALSE),""),K6307)</f>
        <v/>
      </c>
      <c r="D6307" s="6"/>
      <c r="E6307" s="6"/>
      <c r="F6307" s="6"/>
      <c r="G6307" s="115" t="b">
        <f t="shared" ref="G6307:G6314" si="368">RP_tax</f>
        <v>1</v>
      </c>
      <c r="H6307" s="6" t="s">
        <v>2189</v>
      </c>
      <c r="I6307" t="s">
        <v>1561</v>
      </c>
      <c r="J6307" t="s">
        <v>1561</v>
      </c>
      <c r="L6307" s="26" t="e">
        <f t="shared" si="366"/>
        <v>#VALUE!</v>
      </c>
    </row>
    <row r="6308" spans="1:12" x14ac:dyDescent="0.35">
      <c r="A6308" s="9">
        <f t="shared" si="367"/>
        <v>6307</v>
      </c>
      <c r="B6308" t="s">
        <v>109</v>
      </c>
      <c r="C6308" s="109">
        <f>IF(ISBLANK(K6308),IFERROR(VLOOKUP(I6308,FS_input_data!$C$458:$N$648,Export!J6308,FALSE),""),K6308)</f>
        <v>17000</v>
      </c>
      <c r="D6308" s="6" t="b">
        <v>1</v>
      </c>
      <c r="E6308" s="6"/>
      <c r="F6308" s="6"/>
      <c r="G6308" s="115" t="b">
        <f t="shared" si="368"/>
        <v>1</v>
      </c>
      <c r="H6308" s="6" t="s">
        <v>2189</v>
      </c>
      <c r="I6308" t="s">
        <v>2040</v>
      </c>
      <c r="J6308">
        <v>10</v>
      </c>
      <c r="L6308" s="26" t="e">
        <f t="shared" si="366"/>
        <v>#VALUE!</v>
      </c>
    </row>
    <row r="6309" spans="1:12" x14ac:dyDescent="0.35">
      <c r="A6309">
        <f t="shared" si="367"/>
        <v>6308</v>
      </c>
      <c r="B6309" t="s">
        <v>110</v>
      </c>
      <c r="C6309" s="109" t="str">
        <f>IF(ISBLANK(K6309),IFERROR(VLOOKUP(I6309,FS_input_data!$C$458:$N$648,Export!J6309,FALSE),""),K6309)</f>
        <v/>
      </c>
      <c r="D6309" s="6"/>
      <c r="E6309" s="6"/>
      <c r="F6309" s="6"/>
      <c r="G6309" s="115" t="b">
        <f t="shared" si="368"/>
        <v>1</v>
      </c>
      <c r="H6309" s="6" t="s">
        <v>2189</v>
      </c>
      <c r="I6309" t="s">
        <v>1561</v>
      </c>
      <c r="J6309" t="s">
        <v>1561</v>
      </c>
      <c r="L6309">
        <f t="shared" si="366"/>
        <v>1</v>
      </c>
    </row>
    <row r="6310" spans="1:12" x14ac:dyDescent="0.35">
      <c r="A6310" s="9">
        <f t="shared" si="367"/>
        <v>6309</v>
      </c>
      <c r="B6310" t="s">
        <v>111</v>
      </c>
      <c r="C6310" s="109">
        <f>IF(ISBLANK(K6310),IFERROR(VLOOKUP(I6310,FS_input_data!$C$458:$N$648,Export!J6310,FALSE),""),K6310)</f>
        <v>8500</v>
      </c>
      <c r="D6310" s="6" t="b">
        <v>0</v>
      </c>
      <c r="E6310" s="6"/>
      <c r="F6310" s="6"/>
      <c r="G6310" s="115" t="b">
        <f t="shared" si="368"/>
        <v>1</v>
      </c>
      <c r="H6310" s="6" t="s">
        <v>2189</v>
      </c>
      <c r="I6310" t="s">
        <v>2040</v>
      </c>
      <c r="J6310">
        <v>11</v>
      </c>
      <c r="L6310" s="26" t="e">
        <f t="shared" si="366"/>
        <v>#VALUE!</v>
      </c>
    </row>
    <row r="6311" spans="1:12" x14ac:dyDescent="0.35">
      <c r="A6311">
        <f t="shared" si="367"/>
        <v>6310</v>
      </c>
      <c r="B6311" t="s">
        <v>112</v>
      </c>
      <c r="C6311" s="109" t="str">
        <f>IF(ISBLANK(K6311),IFERROR(VLOOKUP(I6311,FS_input_data!$C$458:$N$648,Export!J6311,FALSE),""),K6311)</f>
        <v/>
      </c>
      <c r="D6311" s="6"/>
      <c r="E6311" s="6"/>
      <c r="F6311" s="6"/>
      <c r="G6311" s="115" t="b">
        <f t="shared" si="368"/>
        <v>1</v>
      </c>
      <c r="H6311" s="6" t="s">
        <v>2189</v>
      </c>
      <c r="I6311" t="s">
        <v>1561</v>
      </c>
      <c r="J6311" t="s">
        <v>1561</v>
      </c>
      <c r="L6311">
        <f t="shared" si="366"/>
        <v>1</v>
      </c>
    </row>
    <row r="6312" spans="1:12" x14ac:dyDescent="0.35">
      <c r="A6312" s="9">
        <f t="shared" si="367"/>
        <v>6311</v>
      </c>
      <c r="B6312" t="s">
        <v>749</v>
      </c>
      <c r="C6312" s="109">
        <f>IF(ISBLANK(K6312),IFERROR(VLOOKUP(I6312,FS_input_data!$C$458:$N$648,Export!J6312,FALSE),""),K6312)</f>
        <v>8500</v>
      </c>
      <c r="D6312" s="6" t="b">
        <v>0</v>
      </c>
      <c r="E6312" s="6"/>
      <c r="F6312" s="6"/>
      <c r="G6312" s="115" t="b">
        <f t="shared" si="368"/>
        <v>1</v>
      </c>
      <c r="H6312" s="6" t="s">
        <v>2189</v>
      </c>
      <c r="I6312" t="s">
        <v>2040</v>
      </c>
      <c r="J6312">
        <v>12</v>
      </c>
      <c r="L6312" s="26" t="e">
        <f t="shared" si="366"/>
        <v>#VALUE!</v>
      </c>
    </row>
    <row r="6313" spans="1:12" x14ac:dyDescent="0.35">
      <c r="A6313">
        <f t="shared" si="367"/>
        <v>6312</v>
      </c>
      <c r="B6313" t="s">
        <v>750</v>
      </c>
      <c r="C6313" s="109" t="str">
        <f>IF(ISBLANK(K6313),IFERROR(VLOOKUP(I6313,FS_input_data!$C$458:$N$648,Export!J6313,FALSE),""),K6313)</f>
        <v/>
      </c>
      <c r="D6313" s="6"/>
      <c r="E6313" s="6"/>
      <c r="F6313" s="6"/>
      <c r="G6313" s="115" t="b">
        <f t="shared" si="368"/>
        <v>1</v>
      </c>
      <c r="H6313" s="6" t="s">
        <v>2189</v>
      </c>
      <c r="I6313" t="s">
        <v>1561</v>
      </c>
      <c r="J6313" t="s">
        <v>1561</v>
      </c>
      <c r="L6313">
        <f t="shared" si="366"/>
        <v>1</v>
      </c>
    </row>
    <row r="6314" spans="1:12" x14ac:dyDescent="0.35">
      <c r="A6314">
        <f t="shared" si="367"/>
        <v>6313</v>
      </c>
      <c r="B6314" t="s">
        <v>745</v>
      </c>
      <c r="C6314" s="109" t="str">
        <f>IF(ISBLANK(K6314),IFERROR(VLOOKUP(I6314,FS_input_data!$C$458:$N$648,Export!J6314,FALSE),""),K6314)</f>
        <v/>
      </c>
      <c r="D6314" s="6"/>
      <c r="E6314" s="6"/>
      <c r="F6314" s="6"/>
      <c r="G6314" s="115" t="b">
        <f t="shared" si="368"/>
        <v>1</v>
      </c>
      <c r="H6314" s="6" t="s">
        <v>2189</v>
      </c>
      <c r="I6314" t="s">
        <v>1561</v>
      </c>
      <c r="J6314" t="s">
        <v>1561</v>
      </c>
      <c r="L6314">
        <f t="shared" si="366"/>
        <v>1</v>
      </c>
    </row>
    <row r="6315" spans="1:12" x14ac:dyDescent="0.35">
      <c r="A6315">
        <f t="shared" si="367"/>
        <v>6314</v>
      </c>
      <c r="B6315" t="s">
        <v>764</v>
      </c>
      <c r="C6315" s="109" t="str">
        <f>IF(ISBLANK(K6315),IFERROR(VLOOKUP(I6315,FS_input_data!$C$458:$N$648,Export!J6315,FALSE),""),K6315)</f>
        <v/>
      </c>
      <c r="D6315" s="6"/>
      <c r="E6315" s="6"/>
      <c r="F6315" s="6"/>
      <c r="G6315" s="115" t="b">
        <f>VLOOKUP(I6284,FS_input_noty,J6284,FALSE)=""</f>
        <v>0</v>
      </c>
      <c r="H6315" s="6" t="s">
        <v>2189</v>
      </c>
      <c r="I6315" t="s">
        <v>1561</v>
      </c>
      <c r="J6315" t="s">
        <v>1561</v>
      </c>
      <c r="L6315">
        <f t="shared" si="366"/>
        <v>1</v>
      </c>
    </row>
    <row r="6316" spans="1:12" x14ac:dyDescent="0.35">
      <c r="A6316">
        <f t="shared" si="367"/>
        <v>6315</v>
      </c>
      <c r="B6316" t="s">
        <v>765</v>
      </c>
      <c r="C6316" s="109" t="str">
        <f>IF(ISBLANK(K6316),IFERROR(VLOOKUP(I6316,FS_input_data!$C$458:$N$648,Export!J6316,FALSE),""),K6316)</f>
        <v/>
      </c>
      <c r="D6316" s="6"/>
      <c r="E6316" s="6"/>
      <c r="F6316" s="6"/>
      <c r="G6316" s="115" t="b">
        <f>VLOOKUP(I6284,FS_input_noty,J6284,FALSE)=""</f>
        <v>0</v>
      </c>
      <c r="H6316" s="6" t="s">
        <v>2189</v>
      </c>
      <c r="I6316" t="s">
        <v>1561</v>
      </c>
      <c r="J6316" t="s">
        <v>1561</v>
      </c>
      <c r="L6316">
        <f t="shared" si="366"/>
        <v>1</v>
      </c>
    </row>
    <row r="6317" spans="1:12" x14ac:dyDescent="0.35">
      <c r="A6317">
        <f t="shared" si="367"/>
        <v>6316</v>
      </c>
      <c r="B6317" t="s">
        <v>752</v>
      </c>
      <c r="C6317" s="109" t="str">
        <f>IF(ISBLANK(K6317),IFERROR(VLOOKUP(I6317,FS_input_data!$C$458:$N$648,Export!J6317,FALSE),""),K6317)</f>
        <v/>
      </c>
      <c r="D6317" s="6"/>
      <c r="E6317" s="6"/>
      <c r="F6317" s="6"/>
      <c r="G6317" s="115" t="b">
        <f>VLOOKUP(I6318,FS_input_noty,J6318,FALSE)=""</f>
        <v>0</v>
      </c>
      <c r="H6317" s="6" t="s">
        <v>2189</v>
      </c>
      <c r="I6317" t="s">
        <v>1561</v>
      </c>
      <c r="J6317" t="s">
        <v>1561</v>
      </c>
      <c r="L6317" s="26" t="e">
        <f t="shared" si="366"/>
        <v>#VALUE!</v>
      </c>
    </row>
    <row r="6318" spans="1:12" x14ac:dyDescent="0.35">
      <c r="A6318" s="9">
        <f t="shared" si="367"/>
        <v>6317</v>
      </c>
      <c r="B6318" t="s">
        <v>101</v>
      </c>
      <c r="C6318" s="109" t="str">
        <f>IF(ISBLANK(K6318),IFERROR(VLOOKUP(I6318,FS_input_data!$C$458:$N$648,Export!J6318,FALSE),""),K6318)</f>
        <v>OC93</v>
      </c>
      <c r="D6318" s="6" t="b">
        <v>1</v>
      </c>
      <c r="E6318" s="6"/>
      <c r="F6318" s="6"/>
      <c r="G6318" s="115" t="b">
        <f>VLOOKUP(I6318,FS_input_noty,J6318,FALSE)=""</f>
        <v>0</v>
      </c>
      <c r="H6318" s="6" t="s">
        <v>2189</v>
      </c>
      <c r="I6318" t="s">
        <v>2042</v>
      </c>
      <c r="J6318">
        <v>6</v>
      </c>
      <c r="L6318" s="26" t="e">
        <f t="shared" si="366"/>
        <v>#VALUE!</v>
      </c>
    </row>
    <row r="6319" spans="1:12" x14ac:dyDescent="0.35">
      <c r="A6319">
        <f t="shared" si="367"/>
        <v>6318</v>
      </c>
      <c r="B6319" t="s">
        <v>102</v>
      </c>
      <c r="C6319" s="109" t="str">
        <f>IF(ISBLANK(K6319),IFERROR(VLOOKUP(I6319,FS_input_data!$C$458:$N$648,Export!J6319,FALSE),""),K6319)</f>
        <v/>
      </c>
      <c r="D6319" s="6"/>
      <c r="E6319" s="6"/>
      <c r="F6319" s="6"/>
      <c r="G6319" s="115" t="b">
        <f>VLOOKUP(I6318,FS_input_noty,J6318,FALSE)=""</f>
        <v>0</v>
      </c>
      <c r="H6319" s="6" t="s">
        <v>2189</v>
      </c>
      <c r="I6319" t="s">
        <v>1561</v>
      </c>
      <c r="J6319" t="s">
        <v>1561</v>
      </c>
      <c r="L6319">
        <f t="shared" si="366"/>
        <v>1</v>
      </c>
    </row>
    <row r="6320" spans="1:12" x14ac:dyDescent="0.35">
      <c r="A6320">
        <f t="shared" si="367"/>
        <v>6319</v>
      </c>
      <c r="B6320" t="s">
        <v>753</v>
      </c>
      <c r="C6320" s="109" t="str">
        <f>IF(ISBLANK(K6320),IFERROR(VLOOKUP(I6320,FS_input_data!$C$458:$N$648,Export!J6320,FALSE),""),K6320)</f>
        <v/>
      </c>
      <c r="D6320" s="6"/>
      <c r="E6320" s="6"/>
      <c r="F6320" s="6"/>
      <c r="G6320" s="115" t="b">
        <f>VLOOKUP(I6318,FS_input_noty,J6318,FALSE)=""</f>
        <v>0</v>
      </c>
      <c r="H6320" s="6" t="s">
        <v>2189</v>
      </c>
      <c r="I6320" t="s">
        <v>1561</v>
      </c>
      <c r="J6320" t="s">
        <v>1561</v>
      </c>
      <c r="L6320" s="26" t="e">
        <f t="shared" si="366"/>
        <v>#VALUE!</v>
      </c>
    </row>
    <row r="6321" spans="1:12" x14ac:dyDescent="0.35">
      <c r="A6321">
        <f t="shared" si="367"/>
        <v>6320</v>
      </c>
      <c r="B6321" t="s">
        <v>742</v>
      </c>
      <c r="C6321" s="109" t="str">
        <f>IF(ISBLANK(K6321),IFERROR(VLOOKUP(I6321,FS_input_data!$C$458:$N$648,Export!J6321,FALSE),""),K6321)</f>
        <v/>
      </c>
      <c r="D6321" s="6"/>
      <c r="E6321" s="6"/>
      <c r="F6321" s="6"/>
      <c r="G6321" s="115" t="b">
        <f>VLOOKUP(I6318,FS_input_noty,J6318,FALSE)=""</f>
        <v>0</v>
      </c>
      <c r="H6321" s="6" t="s">
        <v>2189</v>
      </c>
      <c r="I6321" t="s">
        <v>1561</v>
      </c>
      <c r="J6321" t="s">
        <v>1561</v>
      </c>
      <c r="L6321" s="26" t="e">
        <f t="shared" si="366"/>
        <v>#VALUE!</v>
      </c>
    </row>
    <row r="6322" spans="1:12" x14ac:dyDescent="0.35">
      <c r="A6322">
        <f t="shared" si="367"/>
        <v>6321</v>
      </c>
      <c r="B6322" t="s">
        <v>748</v>
      </c>
      <c r="C6322" s="109" t="str">
        <f>IF(ISBLANK(K6322),IFERROR(VLOOKUP(I6322,FS_input_data!$C$458:$N$648,Export!J6322,FALSE),""),K6322)</f>
        <v/>
      </c>
      <c r="D6322" s="6"/>
      <c r="E6322" s="6"/>
      <c r="F6322" s="6"/>
      <c r="G6322" s="115" t="b">
        <f>VLOOKUP(I6318,FS_input_noty,J6318,FALSE)=""</f>
        <v>0</v>
      </c>
      <c r="H6322" s="6" t="s">
        <v>2189</v>
      </c>
      <c r="I6322" t="s">
        <v>1561</v>
      </c>
      <c r="J6322" t="s">
        <v>1561</v>
      </c>
      <c r="L6322" s="26" t="e">
        <f t="shared" si="366"/>
        <v>#VALUE!</v>
      </c>
    </row>
    <row r="6323" spans="1:12" x14ac:dyDescent="0.35">
      <c r="A6323" s="9">
        <f t="shared" si="367"/>
        <v>6322</v>
      </c>
      <c r="B6323" t="s">
        <v>109</v>
      </c>
      <c r="C6323" s="109">
        <f>IF(ISBLANK(K6323),IFERROR(VLOOKUP(I6323,FS_input_data!$C$458:$N$648,Export!J6323,FALSE),""),K6323)</f>
        <v>18000</v>
      </c>
      <c r="D6323" s="6" t="b">
        <v>1</v>
      </c>
      <c r="E6323" s="6"/>
      <c r="F6323" s="6"/>
      <c r="G6323" s="115" t="b">
        <f>VLOOKUP(I6318,FS_input_noty,J6318,FALSE)=""</f>
        <v>0</v>
      </c>
      <c r="H6323" s="6" t="s">
        <v>2189</v>
      </c>
      <c r="I6323" t="s">
        <v>2042</v>
      </c>
      <c r="J6323">
        <v>7</v>
      </c>
      <c r="L6323" s="26" t="e">
        <f t="shared" si="366"/>
        <v>#VALUE!</v>
      </c>
    </row>
    <row r="6324" spans="1:12" x14ac:dyDescent="0.35">
      <c r="A6324">
        <f t="shared" si="367"/>
        <v>6323</v>
      </c>
      <c r="B6324" t="s">
        <v>110</v>
      </c>
      <c r="C6324" s="109" t="str">
        <f>IF(ISBLANK(K6324),IFERROR(VLOOKUP(I6324,FS_input_data!$C$458:$N$648,Export!J6324,FALSE),""),K6324)</f>
        <v/>
      </c>
      <c r="D6324" s="6"/>
      <c r="E6324" s="6"/>
      <c r="F6324" s="6"/>
      <c r="G6324" s="115" t="b">
        <f>VLOOKUP(I6318,FS_input_noty,J6318,FALSE)=""</f>
        <v>0</v>
      </c>
      <c r="H6324" s="6" t="s">
        <v>2189</v>
      </c>
      <c r="I6324" t="s">
        <v>1561</v>
      </c>
      <c r="J6324" t="s">
        <v>1561</v>
      </c>
      <c r="L6324">
        <f t="shared" si="366"/>
        <v>1</v>
      </c>
    </row>
    <row r="6325" spans="1:12" x14ac:dyDescent="0.35">
      <c r="A6325" s="9">
        <f t="shared" si="367"/>
        <v>6324</v>
      </c>
      <c r="B6325" t="s">
        <v>111</v>
      </c>
      <c r="C6325" s="109">
        <f>IF(ISBLANK(K6325),IFERROR(VLOOKUP(I6325,FS_input_data!$C$458:$N$648,Export!J6325,FALSE),""),K6325)</f>
        <v>9000</v>
      </c>
      <c r="D6325" s="6" t="b">
        <v>0</v>
      </c>
      <c r="E6325" s="6"/>
      <c r="F6325" s="6"/>
      <c r="G6325" s="115" t="b">
        <f>VLOOKUP(I6318,FS_input_noty,J6318,TRUE)=""</f>
        <v>0</v>
      </c>
      <c r="H6325" s="6" t="s">
        <v>2189</v>
      </c>
      <c r="I6325" t="s">
        <v>2042</v>
      </c>
      <c r="J6325">
        <v>8</v>
      </c>
      <c r="L6325" s="26" t="e">
        <f t="shared" si="366"/>
        <v>#VALUE!</v>
      </c>
    </row>
    <row r="6326" spans="1:12" x14ac:dyDescent="0.35">
      <c r="A6326">
        <f t="shared" si="367"/>
        <v>6325</v>
      </c>
      <c r="B6326" t="s">
        <v>112</v>
      </c>
      <c r="C6326" s="109" t="str">
        <f>IF(ISBLANK(K6326),IFERROR(VLOOKUP(I6326,FS_input_data!$C$458:$N$648,Export!J6326,FALSE),""),K6326)</f>
        <v/>
      </c>
      <c r="D6326" s="6"/>
      <c r="E6326" s="6"/>
      <c r="F6326" s="6"/>
      <c r="G6326" s="115" t="b">
        <f>VLOOKUP(I6318,FS_input_noty,J6318,FALSE)=""</f>
        <v>0</v>
      </c>
      <c r="H6326" s="6" t="s">
        <v>2189</v>
      </c>
      <c r="I6326" t="s">
        <v>1561</v>
      </c>
      <c r="J6326" t="s">
        <v>1561</v>
      </c>
      <c r="L6326">
        <f t="shared" si="366"/>
        <v>1</v>
      </c>
    </row>
    <row r="6327" spans="1:12" x14ac:dyDescent="0.35">
      <c r="A6327" s="9">
        <f t="shared" si="367"/>
        <v>6326</v>
      </c>
      <c r="B6327" t="s">
        <v>749</v>
      </c>
      <c r="C6327" s="109">
        <f>IF(ISBLANK(K6327),IFERROR(VLOOKUP(I6327,FS_input_data!$C$458:$N$648,Export!J6327,FALSE),""),K6327)</f>
        <v>9000</v>
      </c>
      <c r="D6327" s="6" t="b">
        <v>0</v>
      </c>
      <c r="E6327" s="6"/>
      <c r="F6327" s="6"/>
      <c r="G6327" s="115" t="b">
        <f>VLOOKUP(I6318,FS_input_noty,J6318,FALSE)=""</f>
        <v>0</v>
      </c>
      <c r="H6327" s="6" t="s">
        <v>2189</v>
      </c>
      <c r="I6327" t="s">
        <v>2042</v>
      </c>
      <c r="J6327">
        <v>9</v>
      </c>
      <c r="L6327" s="26" t="e">
        <f t="shared" si="366"/>
        <v>#VALUE!</v>
      </c>
    </row>
    <row r="6328" spans="1:12" x14ac:dyDescent="0.35">
      <c r="A6328">
        <f t="shared" si="367"/>
        <v>6327</v>
      </c>
      <c r="B6328" t="s">
        <v>750</v>
      </c>
      <c r="C6328" s="109" t="str">
        <f>IF(ISBLANK(K6328),IFERROR(VLOOKUP(I6328,FS_input_data!$C$458:$N$648,Export!J6328,FALSE),""),K6328)</f>
        <v/>
      </c>
      <c r="D6328" s="6"/>
      <c r="E6328" s="6"/>
      <c r="F6328" s="6"/>
      <c r="G6328" s="115" t="b">
        <f>VLOOKUP(I6318,FS_input_noty,J6318,FALSE)=""</f>
        <v>0</v>
      </c>
      <c r="H6328" s="6" t="s">
        <v>2189</v>
      </c>
      <c r="I6328" t="s">
        <v>1561</v>
      </c>
      <c r="J6328" t="s">
        <v>1561</v>
      </c>
      <c r="L6328">
        <f t="shared" si="366"/>
        <v>1</v>
      </c>
    </row>
    <row r="6329" spans="1:12" x14ac:dyDescent="0.35">
      <c r="A6329">
        <f t="shared" si="367"/>
        <v>6328</v>
      </c>
      <c r="B6329" t="s">
        <v>751</v>
      </c>
      <c r="C6329" s="109" t="str">
        <f>IF(ISBLANK(K6329),IFERROR(VLOOKUP(I6329,FS_input_data!$C$458:$N$648,Export!J6329,FALSE),""),K6329)</f>
        <v/>
      </c>
      <c r="D6329" s="6"/>
      <c r="E6329" s="6"/>
      <c r="F6329" s="6"/>
      <c r="G6329" s="115" t="b">
        <f>VLOOKUP(I6318,FS_input_noty,J6318,FALSE)=""</f>
        <v>0</v>
      </c>
      <c r="H6329" s="6" t="s">
        <v>2189</v>
      </c>
      <c r="I6329" t="s">
        <v>1561</v>
      </c>
      <c r="J6329" t="s">
        <v>1561</v>
      </c>
      <c r="L6329">
        <f t="shared" si="366"/>
        <v>1</v>
      </c>
    </row>
    <row r="6330" spans="1:12" x14ac:dyDescent="0.35">
      <c r="A6330">
        <f t="shared" si="367"/>
        <v>6329</v>
      </c>
      <c r="B6330" t="s">
        <v>754</v>
      </c>
      <c r="C6330" s="109" t="str">
        <f>IF(ISBLANK(K6330),IFERROR(VLOOKUP(I6330,FS_input_data!$C$458:$N$648,Export!J6330,FALSE),""),K6330)</f>
        <v/>
      </c>
      <c r="D6330" s="6"/>
      <c r="E6330" s="6"/>
      <c r="F6330" s="6"/>
      <c r="G6330" s="115" t="b">
        <f>VLOOKUP(I6318,FS_input_noty,J6318,FALSE)=""</f>
        <v>0</v>
      </c>
      <c r="H6330" s="6" t="s">
        <v>2189</v>
      </c>
      <c r="I6330" t="s">
        <v>1561</v>
      </c>
      <c r="J6330" t="s">
        <v>1561</v>
      </c>
      <c r="L6330" s="26" t="e">
        <f t="shared" si="366"/>
        <v>#VALUE!</v>
      </c>
    </row>
    <row r="6331" spans="1:12" x14ac:dyDescent="0.35">
      <c r="A6331" s="9">
        <f t="shared" si="367"/>
        <v>6330</v>
      </c>
      <c r="B6331" t="s">
        <v>755</v>
      </c>
      <c r="C6331" s="109">
        <f>IF(ISBLANK(K6331),IFERROR(VLOOKUP(I6331,FS_input_data!$C$458:$N$648,Export!J6331,FALSE),""),K6331)</f>
        <v>116</v>
      </c>
      <c r="D6331" s="6" t="b">
        <v>1</v>
      </c>
      <c r="E6331" s="6"/>
      <c r="F6331" s="6"/>
      <c r="G6331" s="115" t="b">
        <f>VLOOKUP(I6318,FS_input_noty,J6318,FALSE)=""</f>
        <v>0</v>
      </c>
      <c r="H6331" s="6" t="s">
        <v>2189</v>
      </c>
      <c r="I6331" t="s">
        <v>2042</v>
      </c>
      <c r="J6331">
        <v>2</v>
      </c>
      <c r="L6331" s="26" t="e">
        <f t="shared" si="366"/>
        <v>#VALUE!</v>
      </c>
    </row>
    <row r="6332" spans="1:12" x14ac:dyDescent="0.35">
      <c r="A6332">
        <f t="shared" si="367"/>
        <v>6331</v>
      </c>
      <c r="B6332" t="s">
        <v>756</v>
      </c>
      <c r="C6332" s="109" t="str">
        <f>IF(ISBLANK(K6332),IFERROR(VLOOKUP(I6332,FS_input_data!$C$458:$N$648,Export!J6332,FALSE),""),K6332)</f>
        <v/>
      </c>
      <c r="D6332" s="6"/>
      <c r="E6332" s="6"/>
      <c r="F6332" s="6"/>
      <c r="G6332" s="115" t="b">
        <f>VLOOKUP(I6318,FS_input_noty,J6318,FALSE)=""</f>
        <v>0</v>
      </c>
      <c r="H6332" s="6" t="s">
        <v>2189</v>
      </c>
      <c r="I6332" t="s">
        <v>1561</v>
      </c>
      <c r="J6332" t="s">
        <v>1561</v>
      </c>
      <c r="L6332">
        <f t="shared" si="366"/>
        <v>1</v>
      </c>
    </row>
    <row r="6333" spans="1:12" x14ac:dyDescent="0.35">
      <c r="A6333" s="9">
        <f t="shared" si="367"/>
        <v>6332</v>
      </c>
      <c r="B6333" t="s">
        <v>757</v>
      </c>
      <c r="C6333" s="109">
        <f>IF(ISBLANK(K6333),IFERROR(VLOOKUP(I6333,FS_input_data!$C$458:$N$648,Export!J6333,FALSE),""),K6333)</f>
        <v>216</v>
      </c>
      <c r="D6333" s="6" t="b">
        <v>0</v>
      </c>
      <c r="E6333" s="6"/>
      <c r="F6333" s="6"/>
      <c r="G6333" s="115" t="b">
        <f>VLOOKUP(I6318,FS_input_noty,J6318,FALSE)=""</f>
        <v>0</v>
      </c>
      <c r="H6333" s="6" t="s">
        <v>2189</v>
      </c>
      <c r="I6333" t="s">
        <v>2042</v>
      </c>
      <c r="J6333">
        <v>3</v>
      </c>
      <c r="L6333" s="26" t="e">
        <f t="shared" si="366"/>
        <v>#VALUE!</v>
      </c>
    </row>
    <row r="6334" spans="1:12" x14ac:dyDescent="0.35">
      <c r="A6334">
        <f t="shared" si="367"/>
        <v>6333</v>
      </c>
      <c r="B6334" t="s">
        <v>758</v>
      </c>
      <c r="C6334" s="109" t="str">
        <f>IF(ISBLANK(K6334),IFERROR(VLOOKUP(I6334,FS_input_data!$C$458:$N$648,Export!J6334,FALSE),""),K6334)</f>
        <v/>
      </c>
      <c r="D6334" s="6"/>
      <c r="E6334" s="6"/>
      <c r="F6334" s="6"/>
      <c r="G6334" s="115" t="b">
        <f>VLOOKUP(I6318,FS_input_noty,J6318,FALSE)=""</f>
        <v>0</v>
      </c>
      <c r="H6334" s="6" t="s">
        <v>2189</v>
      </c>
      <c r="I6334" t="s">
        <v>1561</v>
      </c>
      <c r="J6334" t="s">
        <v>1561</v>
      </c>
      <c r="L6334">
        <f t="shared" si="366"/>
        <v>1</v>
      </c>
    </row>
    <row r="6335" spans="1:12" x14ac:dyDescent="0.35">
      <c r="A6335" s="9">
        <f t="shared" si="367"/>
        <v>6334</v>
      </c>
      <c r="B6335" t="s">
        <v>759</v>
      </c>
      <c r="C6335" s="109">
        <f>IF(ISBLANK(K6335),IFERROR(VLOOKUP(I6335,FS_input_data!$C$458:$N$648,Export!J6335,FALSE),""),K6335)</f>
        <v>316</v>
      </c>
      <c r="D6335" s="6" t="b">
        <v>0</v>
      </c>
      <c r="E6335" s="6"/>
      <c r="F6335" s="6"/>
      <c r="G6335" s="115" t="b">
        <f>VLOOKUP(I6318,FS_input_noty,J6318,FALSE)=""</f>
        <v>0</v>
      </c>
      <c r="H6335" s="6" t="s">
        <v>2189</v>
      </c>
      <c r="I6335" t="s">
        <v>2042</v>
      </c>
      <c r="J6335">
        <v>4</v>
      </c>
      <c r="L6335" s="26" t="e">
        <f t="shared" si="366"/>
        <v>#VALUE!</v>
      </c>
    </row>
    <row r="6336" spans="1:12" x14ac:dyDescent="0.35">
      <c r="A6336">
        <f t="shared" si="367"/>
        <v>6335</v>
      </c>
      <c r="B6336" t="s">
        <v>760</v>
      </c>
      <c r="C6336" s="109" t="str">
        <f>IF(ISBLANK(K6336),IFERROR(VLOOKUP(I6336,FS_input_data!$C$458:$N$648,Export!J6336,FALSE),""),K6336)</f>
        <v/>
      </c>
      <c r="D6336" s="6"/>
      <c r="E6336" s="6"/>
      <c r="F6336" s="6"/>
      <c r="G6336" s="115" t="b">
        <f>VLOOKUP(I6318,FS_input_noty,J6318,FALSE)=""</f>
        <v>0</v>
      </c>
      <c r="H6336" s="6" t="s">
        <v>2189</v>
      </c>
      <c r="I6336" t="s">
        <v>1561</v>
      </c>
      <c r="J6336" t="s">
        <v>1561</v>
      </c>
      <c r="L6336">
        <f t="shared" si="366"/>
        <v>1</v>
      </c>
    </row>
    <row r="6337" spans="1:12" x14ac:dyDescent="0.35">
      <c r="A6337" s="9">
        <f t="shared" si="367"/>
        <v>6336</v>
      </c>
      <c r="B6337" t="s">
        <v>761</v>
      </c>
      <c r="C6337" s="109" t="str">
        <f>IF(ISBLANK(K6337),IFERROR(VLOOKUP(I6337,FS_input_data!$C$458:$N$648,Export!J6337,FALSE),""),K6337)</f>
        <v>j</v>
      </c>
      <c r="D6337" s="6" t="b">
        <v>0</v>
      </c>
      <c r="E6337" s="6"/>
      <c r="F6337" s="6"/>
      <c r="G6337" s="116" t="b">
        <f>VLOOKUP(I6318,FS_input_noty,J6318,FALSE)=""</f>
        <v>0</v>
      </c>
      <c r="H6337" s="6" t="s">
        <v>2189</v>
      </c>
      <c r="I6337" t="s">
        <v>2042</v>
      </c>
      <c r="J6337">
        <v>5</v>
      </c>
      <c r="L6337" s="26" t="e">
        <f t="shared" si="366"/>
        <v>#VALUE!</v>
      </c>
    </row>
    <row r="6338" spans="1:12" x14ac:dyDescent="0.35">
      <c r="A6338">
        <f t="shared" si="367"/>
        <v>6337</v>
      </c>
      <c r="B6338" t="s">
        <v>762</v>
      </c>
      <c r="C6338" s="109" t="str">
        <f>IF(ISBLANK(K6338),IFERROR(VLOOKUP(I6338,FS_input_data!$C$458:$N$648,Export!J6338,FALSE),""),K6338)</f>
        <v/>
      </c>
      <c r="D6338" s="6"/>
      <c r="E6338" s="6"/>
      <c r="F6338" s="6"/>
      <c r="G6338" s="116" t="b">
        <f>VLOOKUP(I6318,FS_input_noty,J6318,FALSE)=""</f>
        <v>0</v>
      </c>
      <c r="H6338" s="6" t="s">
        <v>2189</v>
      </c>
      <c r="I6338" t="s">
        <v>1561</v>
      </c>
      <c r="J6338" t="s">
        <v>1561</v>
      </c>
      <c r="L6338">
        <f t="shared" ref="L6338:L6401" si="369">FIND("/",B6338)</f>
        <v>1</v>
      </c>
    </row>
    <row r="6339" spans="1:12" x14ac:dyDescent="0.35">
      <c r="A6339">
        <f t="shared" ref="A6339:A6402" si="370">A6338+1</f>
        <v>6338</v>
      </c>
      <c r="B6339" t="s">
        <v>763</v>
      </c>
      <c r="C6339" s="109" t="str">
        <f>IF(ISBLANK(K6339),IFERROR(VLOOKUP(I6339,FS_input_data!$C$458:$N$648,Export!J6339,FALSE),""),K6339)</f>
        <v/>
      </c>
      <c r="D6339" s="6"/>
      <c r="E6339" s="6"/>
      <c r="F6339" s="6"/>
      <c r="G6339" s="116" t="b">
        <f>VLOOKUP(I6318,FS_input_noty,J6318,FALSE)=""</f>
        <v>0</v>
      </c>
      <c r="H6339" s="6" t="s">
        <v>2189</v>
      </c>
      <c r="I6339" t="s">
        <v>1561</v>
      </c>
      <c r="J6339" t="s">
        <v>1561</v>
      </c>
      <c r="L6339">
        <f t="shared" si="369"/>
        <v>1</v>
      </c>
    </row>
    <row r="6340" spans="1:12" x14ac:dyDescent="0.35">
      <c r="A6340">
        <f t="shared" si="370"/>
        <v>6339</v>
      </c>
      <c r="B6340" t="s">
        <v>743</v>
      </c>
      <c r="C6340" s="109" t="str">
        <f>IF(ISBLANK(K6340),IFERROR(VLOOKUP(I6340,FS_input_data!$C$458:$N$648,Export!J6340,FALSE),""),K6340)</f>
        <v/>
      </c>
      <c r="D6340" s="6"/>
      <c r="E6340" s="6"/>
      <c r="F6340" s="6"/>
      <c r="G6340" s="116" t="b">
        <f>VLOOKUP(I6318,FS_input_noty,J6318,FALSE)=""</f>
        <v>0</v>
      </c>
      <c r="H6340" s="6" t="s">
        <v>2189</v>
      </c>
      <c r="I6340" t="s">
        <v>1561</v>
      </c>
      <c r="J6340" t="s">
        <v>1561</v>
      </c>
      <c r="L6340">
        <f t="shared" si="369"/>
        <v>1</v>
      </c>
    </row>
    <row r="6341" spans="1:12" x14ac:dyDescent="0.35">
      <c r="A6341">
        <f t="shared" si="370"/>
        <v>6340</v>
      </c>
      <c r="B6341" t="s">
        <v>744</v>
      </c>
      <c r="C6341" s="109" t="str">
        <f>IF(ISBLANK(K6341),IFERROR(VLOOKUP(I6341,FS_input_data!$C$458:$N$648,Export!J6341,FALSE),""),K6341)</f>
        <v/>
      </c>
      <c r="D6341" s="6"/>
      <c r="E6341" s="6"/>
      <c r="F6341" s="6"/>
      <c r="G6341" s="115" t="b">
        <f t="shared" ref="G6341:G6348" si="371">RP_tax</f>
        <v>1</v>
      </c>
      <c r="H6341" s="6" t="s">
        <v>2189</v>
      </c>
      <c r="I6341" t="s">
        <v>1561</v>
      </c>
      <c r="J6341" t="s">
        <v>1561</v>
      </c>
      <c r="L6341" s="26" t="e">
        <f t="shared" si="369"/>
        <v>#VALUE!</v>
      </c>
    </row>
    <row r="6342" spans="1:12" x14ac:dyDescent="0.35">
      <c r="A6342" s="9">
        <f t="shared" si="370"/>
        <v>6341</v>
      </c>
      <c r="B6342" t="s">
        <v>109</v>
      </c>
      <c r="C6342" s="109">
        <f>IF(ISBLANK(K6342),IFERROR(VLOOKUP(I6342,FS_input_data!$C$458:$N$648,Export!J6342,FALSE),""),K6342)</f>
        <v>18000</v>
      </c>
      <c r="D6342" s="6" t="b">
        <v>1</v>
      </c>
      <c r="E6342" s="6"/>
      <c r="F6342" s="6"/>
      <c r="G6342" s="115" t="b">
        <f t="shared" si="371"/>
        <v>1</v>
      </c>
      <c r="H6342" s="6" t="s">
        <v>2189</v>
      </c>
      <c r="I6342" t="s">
        <v>2042</v>
      </c>
      <c r="J6342">
        <v>10</v>
      </c>
      <c r="L6342" s="26" t="e">
        <f t="shared" si="369"/>
        <v>#VALUE!</v>
      </c>
    </row>
    <row r="6343" spans="1:12" x14ac:dyDescent="0.35">
      <c r="A6343">
        <f t="shared" si="370"/>
        <v>6342</v>
      </c>
      <c r="B6343" t="s">
        <v>110</v>
      </c>
      <c r="C6343" s="109" t="str">
        <f>IF(ISBLANK(K6343),IFERROR(VLOOKUP(I6343,FS_input_data!$C$458:$N$648,Export!J6343,FALSE),""),K6343)</f>
        <v/>
      </c>
      <c r="D6343" s="6"/>
      <c r="E6343" s="6"/>
      <c r="F6343" s="6"/>
      <c r="G6343" s="115" t="b">
        <f t="shared" si="371"/>
        <v>1</v>
      </c>
      <c r="H6343" s="6" t="s">
        <v>2189</v>
      </c>
      <c r="I6343" t="s">
        <v>1561</v>
      </c>
      <c r="J6343" t="s">
        <v>1561</v>
      </c>
      <c r="L6343">
        <f t="shared" si="369"/>
        <v>1</v>
      </c>
    </row>
    <row r="6344" spans="1:12" x14ac:dyDescent="0.35">
      <c r="A6344" s="9">
        <f t="shared" si="370"/>
        <v>6343</v>
      </c>
      <c r="B6344" t="s">
        <v>111</v>
      </c>
      <c r="C6344" s="109">
        <f>IF(ISBLANK(K6344),IFERROR(VLOOKUP(I6344,FS_input_data!$C$458:$N$648,Export!J6344,FALSE),""),K6344)</f>
        <v>9000</v>
      </c>
      <c r="D6344" s="6" t="b">
        <v>0</v>
      </c>
      <c r="E6344" s="6"/>
      <c r="F6344" s="6"/>
      <c r="G6344" s="115" t="b">
        <f t="shared" si="371"/>
        <v>1</v>
      </c>
      <c r="H6344" s="6" t="s">
        <v>2189</v>
      </c>
      <c r="I6344" t="s">
        <v>2042</v>
      </c>
      <c r="J6344">
        <v>11</v>
      </c>
      <c r="L6344" s="26" t="e">
        <f t="shared" si="369"/>
        <v>#VALUE!</v>
      </c>
    </row>
    <row r="6345" spans="1:12" x14ac:dyDescent="0.35">
      <c r="A6345">
        <f t="shared" si="370"/>
        <v>6344</v>
      </c>
      <c r="B6345" t="s">
        <v>112</v>
      </c>
      <c r="C6345" s="109" t="str">
        <f>IF(ISBLANK(K6345),IFERROR(VLOOKUP(I6345,FS_input_data!$C$458:$N$648,Export!J6345,FALSE),""),K6345)</f>
        <v/>
      </c>
      <c r="D6345" s="6"/>
      <c r="E6345" s="6"/>
      <c r="F6345" s="6"/>
      <c r="G6345" s="115" t="b">
        <f t="shared" si="371"/>
        <v>1</v>
      </c>
      <c r="H6345" s="6" t="s">
        <v>2189</v>
      </c>
      <c r="I6345" t="s">
        <v>1561</v>
      </c>
      <c r="J6345" t="s">
        <v>1561</v>
      </c>
      <c r="L6345">
        <f t="shared" si="369"/>
        <v>1</v>
      </c>
    </row>
    <row r="6346" spans="1:12" x14ac:dyDescent="0.35">
      <c r="A6346" s="9">
        <f t="shared" si="370"/>
        <v>6345</v>
      </c>
      <c r="B6346" t="s">
        <v>749</v>
      </c>
      <c r="C6346" s="109">
        <f>IF(ISBLANK(K6346),IFERROR(VLOOKUP(I6346,FS_input_data!$C$458:$N$648,Export!J6346,FALSE),""),K6346)</f>
        <v>9000</v>
      </c>
      <c r="D6346" s="6" t="b">
        <v>0</v>
      </c>
      <c r="E6346" s="6"/>
      <c r="F6346" s="6"/>
      <c r="G6346" s="115" t="b">
        <f t="shared" si="371"/>
        <v>1</v>
      </c>
      <c r="H6346" s="6" t="s">
        <v>2189</v>
      </c>
      <c r="I6346" t="s">
        <v>2042</v>
      </c>
      <c r="J6346">
        <v>12</v>
      </c>
      <c r="L6346" s="26" t="e">
        <f t="shared" si="369"/>
        <v>#VALUE!</v>
      </c>
    </row>
    <row r="6347" spans="1:12" x14ac:dyDescent="0.35">
      <c r="A6347">
        <f t="shared" si="370"/>
        <v>6346</v>
      </c>
      <c r="B6347" t="s">
        <v>750</v>
      </c>
      <c r="C6347" s="109" t="str">
        <f>IF(ISBLANK(K6347),IFERROR(VLOOKUP(I6347,FS_input_data!$C$458:$N$648,Export!J6347,FALSE),""),K6347)</f>
        <v/>
      </c>
      <c r="D6347" s="6"/>
      <c r="E6347" s="6"/>
      <c r="F6347" s="6"/>
      <c r="G6347" s="115" t="b">
        <f t="shared" si="371"/>
        <v>1</v>
      </c>
      <c r="H6347" s="6" t="s">
        <v>2189</v>
      </c>
      <c r="I6347" t="s">
        <v>1561</v>
      </c>
      <c r="J6347" t="s">
        <v>1561</v>
      </c>
      <c r="L6347">
        <f t="shared" si="369"/>
        <v>1</v>
      </c>
    </row>
    <row r="6348" spans="1:12" x14ac:dyDescent="0.35">
      <c r="A6348">
        <f t="shared" si="370"/>
        <v>6347</v>
      </c>
      <c r="B6348" t="s">
        <v>745</v>
      </c>
      <c r="C6348" s="109" t="str">
        <f>IF(ISBLANK(K6348),IFERROR(VLOOKUP(I6348,FS_input_data!$C$458:$N$648,Export!J6348,FALSE),""),K6348)</f>
        <v/>
      </c>
      <c r="D6348" s="6"/>
      <c r="E6348" s="6"/>
      <c r="F6348" s="6"/>
      <c r="G6348" s="115" t="b">
        <f t="shared" si="371"/>
        <v>1</v>
      </c>
      <c r="H6348" s="6" t="s">
        <v>2189</v>
      </c>
      <c r="I6348" t="s">
        <v>1561</v>
      </c>
      <c r="J6348" t="s">
        <v>1561</v>
      </c>
      <c r="L6348">
        <f t="shared" si="369"/>
        <v>1</v>
      </c>
    </row>
    <row r="6349" spans="1:12" x14ac:dyDescent="0.35">
      <c r="A6349">
        <f t="shared" si="370"/>
        <v>6348</v>
      </c>
      <c r="B6349" t="s">
        <v>764</v>
      </c>
      <c r="C6349" s="109" t="str">
        <f>IF(ISBLANK(K6349),IFERROR(VLOOKUP(I6349,FS_input_data!$C$458:$N$648,Export!J6349,FALSE),""),K6349)</f>
        <v/>
      </c>
      <c r="D6349" s="6"/>
      <c r="E6349" s="6"/>
      <c r="F6349" s="6"/>
      <c r="G6349" s="115" t="b">
        <f>VLOOKUP(I6318,FS_input_noty,J6318,FALSE)=""</f>
        <v>0</v>
      </c>
      <c r="H6349" s="6" t="s">
        <v>2189</v>
      </c>
      <c r="I6349" t="s">
        <v>1561</v>
      </c>
      <c r="J6349" t="s">
        <v>1561</v>
      </c>
      <c r="L6349">
        <f t="shared" si="369"/>
        <v>1</v>
      </c>
    </row>
    <row r="6350" spans="1:12" x14ac:dyDescent="0.35">
      <c r="A6350">
        <f t="shared" si="370"/>
        <v>6349</v>
      </c>
      <c r="B6350" t="s">
        <v>765</v>
      </c>
      <c r="C6350" s="109" t="str">
        <f>IF(ISBLANK(K6350),IFERROR(VLOOKUP(I6350,FS_input_data!$C$458:$N$648,Export!J6350,FALSE),""),K6350)</f>
        <v/>
      </c>
      <c r="D6350" s="6"/>
      <c r="E6350" s="6"/>
      <c r="F6350" s="6"/>
      <c r="G6350" s="115" t="b">
        <f>VLOOKUP(I6318,FS_input_noty,J6318,FALSE)=""</f>
        <v>0</v>
      </c>
      <c r="H6350" s="6" t="s">
        <v>2189</v>
      </c>
      <c r="I6350" t="s">
        <v>1561</v>
      </c>
      <c r="J6350" t="s">
        <v>1561</v>
      </c>
      <c r="L6350">
        <f t="shared" si="369"/>
        <v>1</v>
      </c>
    </row>
    <row r="6351" spans="1:12" x14ac:dyDescent="0.35">
      <c r="A6351">
        <f t="shared" si="370"/>
        <v>6350</v>
      </c>
      <c r="B6351" t="s">
        <v>752</v>
      </c>
      <c r="C6351" s="109" t="str">
        <f>IF(ISBLANK(K6351),IFERROR(VLOOKUP(I6351,FS_input_data!$C$458:$N$648,Export!J6351,FALSE),""),K6351)</f>
        <v/>
      </c>
      <c r="D6351" s="6"/>
      <c r="E6351" s="6"/>
      <c r="F6351" s="6"/>
      <c r="G6351" s="115" t="b">
        <f>VLOOKUP(I6352,FS_input_noty,J6352,FALSE)=""</f>
        <v>0</v>
      </c>
      <c r="H6351" s="6" t="s">
        <v>2189</v>
      </c>
      <c r="I6351" t="s">
        <v>1561</v>
      </c>
      <c r="J6351" t="s">
        <v>1561</v>
      </c>
      <c r="L6351" s="26" t="e">
        <f t="shared" si="369"/>
        <v>#VALUE!</v>
      </c>
    </row>
    <row r="6352" spans="1:12" x14ac:dyDescent="0.35">
      <c r="A6352" s="9">
        <f t="shared" si="370"/>
        <v>6351</v>
      </c>
      <c r="B6352" t="s">
        <v>101</v>
      </c>
      <c r="C6352" s="109" t="str">
        <f>IF(ISBLANK(K6352),IFERROR(VLOOKUP(I6352,FS_input_data!$C$458:$N$648,Export!J6352,FALSE),""),K6352)</f>
        <v>OC94</v>
      </c>
      <c r="D6352" s="6" t="b">
        <v>1</v>
      </c>
      <c r="E6352" s="6"/>
      <c r="F6352" s="6"/>
      <c r="G6352" s="115" t="b">
        <f>VLOOKUP(I6352,FS_input_noty,J6352,FALSE)=""</f>
        <v>0</v>
      </c>
      <c r="H6352" s="6" t="s">
        <v>2189</v>
      </c>
      <c r="I6352" t="s">
        <v>2044</v>
      </c>
      <c r="J6352">
        <v>6</v>
      </c>
      <c r="L6352" s="26" t="e">
        <f t="shared" si="369"/>
        <v>#VALUE!</v>
      </c>
    </row>
    <row r="6353" spans="1:12" x14ac:dyDescent="0.35">
      <c r="A6353">
        <f t="shared" si="370"/>
        <v>6352</v>
      </c>
      <c r="B6353" t="s">
        <v>102</v>
      </c>
      <c r="C6353" s="109" t="str">
        <f>IF(ISBLANK(K6353),IFERROR(VLOOKUP(I6353,FS_input_data!$C$458:$N$648,Export!J6353,FALSE),""),K6353)</f>
        <v/>
      </c>
      <c r="D6353" s="6"/>
      <c r="E6353" s="6"/>
      <c r="F6353" s="6"/>
      <c r="G6353" s="115" t="b">
        <f>VLOOKUP(I6352,FS_input_noty,J6352,FALSE)=""</f>
        <v>0</v>
      </c>
      <c r="H6353" s="6" t="s">
        <v>2189</v>
      </c>
      <c r="I6353" t="s">
        <v>1561</v>
      </c>
      <c r="J6353" t="s">
        <v>1561</v>
      </c>
      <c r="L6353">
        <f t="shared" si="369"/>
        <v>1</v>
      </c>
    </row>
    <row r="6354" spans="1:12" x14ac:dyDescent="0.35">
      <c r="A6354">
        <f t="shared" si="370"/>
        <v>6353</v>
      </c>
      <c r="B6354" t="s">
        <v>753</v>
      </c>
      <c r="C6354" s="109" t="str">
        <f>IF(ISBLANK(K6354),IFERROR(VLOOKUP(I6354,FS_input_data!$C$458:$N$648,Export!J6354,FALSE),""),K6354)</f>
        <v/>
      </c>
      <c r="D6354" s="6"/>
      <c r="E6354" s="6"/>
      <c r="F6354" s="6"/>
      <c r="G6354" s="115" t="b">
        <f>VLOOKUP(I6352,FS_input_noty,J6352,FALSE)=""</f>
        <v>0</v>
      </c>
      <c r="H6354" s="6" t="s">
        <v>2189</v>
      </c>
      <c r="I6354" t="s">
        <v>1561</v>
      </c>
      <c r="J6354" t="s">
        <v>1561</v>
      </c>
      <c r="L6354" s="26" t="e">
        <f t="shared" si="369"/>
        <v>#VALUE!</v>
      </c>
    </row>
    <row r="6355" spans="1:12" x14ac:dyDescent="0.35">
      <c r="A6355">
        <f t="shared" si="370"/>
        <v>6354</v>
      </c>
      <c r="B6355" t="s">
        <v>742</v>
      </c>
      <c r="C6355" s="109" t="str">
        <f>IF(ISBLANK(K6355),IFERROR(VLOOKUP(I6355,FS_input_data!$C$458:$N$648,Export!J6355,FALSE),""),K6355)</f>
        <v/>
      </c>
      <c r="D6355" s="6"/>
      <c r="E6355" s="6"/>
      <c r="F6355" s="6"/>
      <c r="G6355" s="115" t="b">
        <f>VLOOKUP(I6352,FS_input_noty,J6352,FALSE)=""</f>
        <v>0</v>
      </c>
      <c r="H6355" s="6" t="s">
        <v>2189</v>
      </c>
      <c r="I6355" t="s">
        <v>1561</v>
      </c>
      <c r="J6355" t="s">
        <v>1561</v>
      </c>
      <c r="L6355" s="26" t="e">
        <f t="shared" si="369"/>
        <v>#VALUE!</v>
      </c>
    </row>
    <row r="6356" spans="1:12" x14ac:dyDescent="0.35">
      <c r="A6356">
        <f t="shared" si="370"/>
        <v>6355</v>
      </c>
      <c r="B6356" t="s">
        <v>748</v>
      </c>
      <c r="C6356" s="109" t="str">
        <f>IF(ISBLANK(K6356),IFERROR(VLOOKUP(I6356,FS_input_data!$C$458:$N$648,Export!J6356,FALSE),""),K6356)</f>
        <v/>
      </c>
      <c r="D6356" s="6"/>
      <c r="E6356" s="6"/>
      <c r="F6356" s="6"/>
      <c r="G6356" s="115" t="b">
        <f>VLOOKUP(I6352,FS_input_noty,J6352,FALSE)=""</f>
        <v>0</v>
      </c>
      <c r="H6356" s="6" t="s">
        <v>2189</v>
      </c>
      <c r="I6356" t="s">
        <v>1561</v>
      </c>
      <c r="J6356" t="s">
        <v>1561</v>
      </c>
      <c r="L6356" s="26" t="e">
        <f t="shared" si="369"/>
        <v>#VALUE!</v>
      </c>
    </row>
    <row r="6357" spans="1:12" x14ac:dyDescent="0.35">
      <c r="A6357" s="9">
        <f t="shared" si="370"/>
        <v>6356</v>
      </c>
      <c r="B6357" t="s">
        <v>109</v>
      </c>
      <c r="C6357" s="109">
        <f>IF(ISBLANK(K6357),IFERROR(VLOOKUP(I6357,FS_input_data!$C$458:$N$648,Export!J6357,FALSE),""),K6357)</f>
        <v>19000</v>
      </c>
      <c r="D6357" s="6" t="b">
        <v>1</v>
      </c>
      <c r="E6357" s="6"/>
      <c r="F6357" s="6"/>
      <c r="G6357" s="115" t="b">
        <f>VLOOKUP(I6352,FS_input_noty,J6352,FALSE)=""</f>
        <v>0</v>
      </c>
      <c r="H6357" s="6" t="s">
        <v>2189</v>
      </c>
      <c r="I6357" t="s">
        <v>2044</v>
      </c>
      <c r="J6357">
        <v>7</v>
      </c>
      <c r="L6357" s="26" t="e">
        <f t="shared" si="369"/>
        <v>#VALUE!</v>
      </c>
    </row>
    <row r="6358" spans="1:12" x14ac:dyDescent="0.35">
      <c r="A6358">
        <f t="shared" si="370"/>
        <v>6357</v>
      </c>
      <c r="B6358" t="s">
        <v>110</v>
      </c>
      <c r="C6358" s="109" t="str">
        <f>IF(ISBLANK(K6358),IFERROR(VLOOKUP(I6358,FS_input_data!$C$458:$N$648,Export!J6358,FALSE),""),K6358)</f>
        <v/>
      </c>
      <c r="D6358" s="6"/>
      <c r="E6358" s="6"/>
      <c r="F6358" s="6"/>
      <c r="G6358" s="115" t="b">
        <f>VLOOKUP(I6352,FS_input_noty,J6352,FALSE)=""</f>
        <v>0</v>
      </c>
      <c r="H6358" s="6" t="s">
        <v>2189</v>
      </c>
      <c r="I6358" t="s">
        <v>1561</v>
      </c>
      <c r="J6358" t="s">
        <v>1561</v>
      </c>
      <c r="L6358">
        <f t="shared" si="369"/>
        <v>1</v>
      </c>
    </row>
    <row r="6359" spans="1:12" x14ac:dyDescent="0.35">
      <c r="A6359" s="9">
        <f t="shared" si="370"/>
        <v>6358</v>
      </c>
      <c r="B6359" t="s">
        <v>111</v>
      </c>
      <c r="C6359" s="109">
        <f>IF(ISBLANK(K6359),IFERROR(VLOOKUP(I6359,FS_input_data!$C$458:$N$648,Export!J6359,FALSE),""),K6359)</f>
        <v>9500</v>
      </c>
      <c r="D6359" s="6" t="b">
        <v>0</v>
      </c>
      <c r="E6359" s="6"/>
      <c r="F6359" s="6"/>
      <c r="G6359" s="115" t="b">
        <f>VLOOKUP(I6352,FS_input_noty,J6352,TRUE)=""</f>
        <v>0</v>
      </c>
      <c r="H6359" s="6" t="s">
        <v>2189</v>
      </c>
      <c r="I6359" t="s">
        <v>2044</v>
      </c>
      <c r="J6359">
        <v>8</v>
      </c>
      <c r="L6359" s="26" t="e">
        <f t="shared" si="369"/>
        <v>#VALUE!</v>
      </c>
    </row>
    <row r="6360" spans="1:12" x14ac:dyDescent="0.35">
      <c r="A6360">
        <f t="shared" si="370"/>
        <v>6359</v>
      </c>
      <c r="B6360" t="s">
        <v>112</v>
      </c>
      <c r="C6360" s="109" t="str">
        <f>IF(ISBLANK(K6360),IFERROR(VLOOKUP(I6360,FS_input_data!$C$458:$N$648,Export!J6360,FALSE),""),K6360)</f>
        <v/>
      </c>
      <c r="D6360" s="6"/>
      <c r="E6360" s="6"/>
      <c r="F6360" s="6"/>
      <c r="G6360" s="115" t="b">
        <f>VLOOKUP(I6352,FS_input_noty,J6352,FALSE)=""</f>
        <v>0</v>
      </c>
      <c r="H6360" s="6" t="s">
        <v>2189</v>
      </c>
      <c r="I6360" t="s">
        <v>1561</v>
      </c>
      <c r="J6360" t="s">
        <v>1561</v>
      </c>
      <c r="L6360">
        <f t="shared" si="369"/>
        <v>1</v>
      </c>
    </row>
    <row r="6361" spans="1:12" x14ac:dyDescent="0.35">
      <c r="A6361" s="9">
        <f t="shared" si="370"/>
        <v>6360</v>
      </c>
      <c r="B6361" t="s">
        <v>749</v>
      </c>
      <c r="C6361" s="109">
        <f>IF(ISBLANK(K6361),IFERROR(VLOOKUP(I6361,FS_input_data!$C$458:$N$648,Export!J6361,FALSE),""),K6361)</f>
        <v>9500</v>
      </c>
      <c r="D6361" s="6" t="b">
        <v>0</v>
      </c>
      <c r="E6361" s="6"/>
      <c r="F6361" s="6"/>
      <c r="G6361" s="115" t="b">
        <f>VLOOKUP(I6352,FS_input_noty,J6352,FALSE)=""</f>
        <v>0</v>
      </c>
      <c r="H6361" s="6" t="s">
        <v>2189</v>
      </c>
      <c r="I6361" t="s">
        <v>2044</v>
      </c>
      <c r="J6361">
        <v>9</v>
      </c>
      <c r="L6361" s="26" t="e">
        <f t="shared" si="369"/>
        <v>#VALUE!</v>
      </c>
    </row>
    <row r="6362" spans="1:12" x14ac:dyDescent="0.35">
      <c r="A6362">
        <f t="shared" si="370"/>
        <v>6361</v>
      </c>
      <c r="B6362" t="s">
        <v>750</v>
      </c>
      <c r="C6362" s="109" t="str">
        <f>IF(ISBLANK(K6362),IFERROR(VLOOKUP(I6362,FS_input_data!$C$458:$N$648,Export!J6362,FALSE),""),K6362)</f>
        <v/>
      </c>
      <c r="D6362" s="6"/>
      <c r="E6362" s="6"/>
      <c r="F6362" s="6"/>
      <c r="G6362" s="115" t="b">
        <f>VLOOKUP(I6352,FS_input_noty,J6352,FALSE)=""</f>
        <v>0</v>
      </c>
      <c r="H6362" s="6" t="s">
        <v>2189</v>
      </c>
      <c r="I6362" t="s">
        <v>1561</v>
      </c>
      <c r="J6362" t="s">
        <v>1561</v>
      </c>
      <c r="L6362">
        <f t="shared" si="369"/>
        <v>1</v>
      </c>
    </row>
    <row r="6363" spans="1:12" x14ac:dyDescent="0.35">
      <c r="A6363">
        <f t="shared" si="370"/>
        <v>6362</v>
      </c>
      <c r="B6363" t="s">
        <v>751</v>
      </c>
      <c r="C6363" s="109" t="str">
        <f>IF(ISBLANK(K6363),IFERROR(VLOOKUP(I6363,FS_input_data!$C$458:$N$648,Export!J6363,FALSE),""),K6363)</f>
        <v/>
      </c>
      <c r="D6363" s="6"/>
      <c r="E6363" s="6"/>
      <c r="F6363" s="6"/>
      <c r="G6363" s="115" t="b">
        <f>VLOOKUP(I6352,FS_input_noty,J6352,FALSE)=""</f>
        <v>0</v>
      </c>
      <c r="H6363" s="6" t="s">
        <v>2189</v>
      </c>
      <c r="I6363" t="s">
        <v>1561</v>
      </c>
      <c r="J6363" t="s">
        <v>1561</v>
      </c>
      <c r="L6363">
        <f t="shared" si="369"/>
        <v>1</v>
      </c>
    </row>
    <row r="6364" spans="1:12" x14ac:dyDescent="0.35">
      <c r="A6364">
        <f t="shared" si="370"/>
        <v>6363</v>
      </c>
      <c r="B6364" t="s">
        <v>754</v>
      </c>
      <c r="C6364" s="109" t="str">
        <f>IF(ISBLANK(K6364),IFERROR(VLOOKUP(I6364,FS_input_data!$C$458:$N$648,Export!J6364,FALSE),""),K6364)</f>
        <v/>
      </c>
      <c r="D6364" s="6"/>
      <c r="E6364" s="6"/>
      <c r="F6364" s="6"/>
      <c r="G6364" s="115" t="b">
        <f>VLOOKUP(I6352,FS_input_noty,J6352,FALSE)=""</f>
        <v>0</v>
      </c>
      <c r="H6364" s="6" t="s">
        <v>2189</v>
      </c>
      <c r="I6364" t="s">
        <v>1561</v>
      </c>
      <c r="J6364" t="s">
        <v>1561</v>
      </c>
      <c r="L6364" s="26" t="e">
        <f t="shared" si="369"/>
        <v>#VALUE!</v>
      </c>
    </row>
    <row r="6365" spans="1:12" x14ac:dyDescent="0.35">
      <c r="A6365" s="9">
        <f t="shared" si="370"/>
        <v>6364</v>
      </c>
      <c r="B6365" t="s">
        <v>755</v>
      </c>
      <c r="C6365" s="109">
        <f>IF(ISBLANK(K6365),IFERROR(VLOOKUP(I6365,FS_input_data!$C$458:$N$648,Export!J6365,FALSE),""),K6365)</f>
        <v>117</v>
      </c>
      <c r="D6365" s="6" t="b">
        <v>1</v>
      </c>
      <c r="E6365" s="6"/>
      <c r="F6365" s="6"/>
      <c r="G6365" s="115" t="b">
        <f>VLOOKUP(I6352,FS_input_noty,J6352,FALSE)=""</f>
        <v>0</v>
      </c>
      <c r="H6365" s="6" t="s">
        <v>2189</v>
      </c>
      <c r="I6365" t="s">
        <v>2044</v>
      </c>
      <c r="J6365">
        <v>2</v>
      </c>
      <c r="L6365" s="26" t="e">
        <f t="shared" si="369"/>
        <v>#VALUE!</v>
      </c>
    </row>
    <row r="6366" spans="1:12" x14ac:dyDescent="0.35">
      <c r="A6366">
        <f t="shared" si="370"/>
        <v>6365</v>
      </c>
      <c r="B6366" t="s">
        <v>756</v>
      </c>
      <c r="C6366" s="109" t="str">
        <f>IF(ISBLANK(K6366),IFERROR(VLOOKUP(I6366,FS_input_data!$C$458:$N$648,Export!J6366,FALSE),""),K6366)</f>
        <v/>
      </c>
      <c r="D6366" s="6"/>
      <c r="E6366" s="6"/>
      <c r="F6366" s="6"/>
      <c r="G6366" s="115" t="b">
        <f>VLOOKUP(I6352,FS_input_noty,J6352,FALSE)=""</f>
        <v>0</v>
      </c>
      <c r="H6366" s="6" t="s">
        <v>2189</v>
      </c>
      <c r="I6366" t="s">
        <v>1561</v>
      </c>
      <c r="J6366" t="s">
        <v>1561</v>
      </c>
      <c r="L6366">
        <f t="shared" si="369"/>
        <v>1</v>
      </c>
    </row>
    <row r="6367" spans="1:12" x14ac:dyDescent="0.35">
      <c r="A6367" s="9">
        <f t="shared" si="370"/>
        <v>6366</v>
      </c>
      <c r="B6367" t="s">
        <v>757</v>
      </c>
      <c r="C6367" s="109">
        <f>IF(ISBLANK(K6367),IFERROR(VLOOKUP(I6367,FS_input_data!$C$458:$N$648,Export!J6367,FALSE),""),K6367)</f>
        <v>217</v>
      </c>
      <c r="D6367" s="6" t="b">
        <v>0</v>
      </c>
      <c r="E6367" s="6"/>
      <c r="F6367" s="6"/>
      <c r="G6367" s="115" t="b">
        <f>VLOOKUP(I6352,FS_input_noty,J6352,FALSE)=""</f>
        <v>0</v>
      </c>
      <c r="H6367" s="6" t="s">
        <v>2189</v>
      </c>
      <c r="I6367" t="s">
        <v>2044</v>
      </c>
      <c r="J6367">
        <v>3</v>
      </c>
      <c r="L6367" s="26" t="e">
        <f t="shared" si="369"/>
        <v>#VALUE!</v>
      </c>
    </row>
    <row r="6368" spans="1:12" x14ac:dyDescent="0.35">
      <c r="A6368">
        <f t="shared" si="370"/>
        <v>6367</v>
      </c>
      <c r="B6368" t="s">
        <v>758</v>
      </c>
      <c r="C6368" s="109" t="str">
        <f>IF(ISBLANK(K6368),IFERROR(VLOOKUP(I6368,FS_input_data!$C$458:$N$648,Export!J6368,FALSE),""),K6368)</f>
        <v/>
      </c>
      <c r="D6368" s="6"/>
      <c r="E6368" s="6"/>
      <c r="F6368" s="6"/>
      <c r="G6368" s="115" t="b">
        <f>VLOOKUP(I6352,FS_input_noty,J6352,FALSE)=""</f>
        <v>0</v>
      </c>
      <c r="H6368" s="6" t="s">
        <v>2189</v>
      </c>
      <c r="I6368" t="s">
        <v>1561</v>
      </c>
      <c r="J6368" t="s">
        <v>1561</v>
      </c>
      <c r="L6368">
        <f t="shared" si="369"/>
        <v>1</v>
      </c>
    </row>
    <row r="6369" spans="1:12" x14ac:dyDescent="0.35">
      <c r="A6369" s="9">
        <f t="shared" si="370"/>
        <v>6368</v>
      </c>
      <c r="B6369" t="s">
        <v>759</v>
      </c>
      <c r="C6369" s="109">
        <f>IF(ISBLANK(K6369),IFERROR(VLOOKUP(I6369,FS_input_data!$C$458:$N$648,Export!J6369,FALSE),""),K6369)</f>
        <v>317</v>
      </c>
      <c r="D6369" s="6" t="b">
        <v>0</v>
      </c>
      <c r="E6369" s="6"/>
      <c r="F6369" s="6"/>
      <c r="G6369" s="115" t="b">
        <f>VLOOKUP(I6352,FS_input_noty,J6352,FALSE)=""</f>
        <v>0</v>
      </c>
      <c r="H6369" s="6" t="s">
        <v>2189</v>
      </c>
      <c r="I6369" t="s">
        <v>2044</v>
      </c>
      <c r="J6369">
        <v>4</v>
      </c>
      <c r="L6369" s="26" t="e">
        <f t="shared" si="369"/>
        <v>#VALUE!</v>
      </c>
    </row>
    <row r="6370" spans="1:12" x14ac:dyDescent="0.35">
      <c r="A6370">
        <f t="shared" si="370"/>
        <v>6369</v>
      </c>
      <c r="B6370" t="s">
        <v>760</v>
      </c>
      <c r="C6370" s="109" t="str">
        <f>IF(ISBLANK(K6370),IFERROR(VLOOKUP(I6370,FS_input_data!$C$458:$N$648,Export!J6370,FALSE),""),K6370)</f>
        <v/>
      </c>
      <c r="D6370" s="6"/>
      <c r="E6370" s="6"/>
      <c r="F6370" s="6"/>
      <c r="G6370" s="115" t="b">
        <f>VLOOKUP(I6352,FS_input_noty,J6352,FALSE)=""</f>
        <v>0</v>
      </c>
      <c r="H6370" s="6" t="s">
        <v>2189</v>
      </c>
      <c r="I6370" t="s">
        <v>1561</v>
      </c>
      <c r="J6370" t="s">
        <v>1561</v>
      </c>
      <c r="L6370">
        <f t="shared" si="369"/>
        <v>1</v>
      </c>
    </row>
    <row r="6371" spans="1:12" x14ac:dyDescent="0.35">
      <c r="A6371" s="9">
        <f t="shared" si="370"/>
        <v>6370</v>
      </c>
      <c r="B6371" t="s">
        <v>761</v>
      </c>
      <c r="C6371" s="109" t="str">
        <f>IF(ISBLANK(K6371),IFERROR(VLOOKUP(I6371,FS_input_data!$C$458:$N$648,Export!J6371,FALSE),""),K6371)</f>
        <v>a</v>
      </c>
      <c r="D6371" s="6" t="b">
        <v>0</v>
      </c>
      <c r="E6371" s="6"/>
      <c r="F6371" s="6"/>
      <c r="G6371" s="115" t="b">
        <f>VLOOKUP(I6352,FS_input_noty,J6352,FALSE)=""</f>
        <v>0</v>
      </c>
      <c r="H6371" s="6" t="s">
        <v>2189</v>
      </c>
      <c r="I6371" t="s">
        <v>2044</v>
      </c>
      <c r="J6371">
        <v>5</v>
      </c>
      <c r="L6371" s="26" t="e">
        <f t="shared" si="369"/>
        <v>#VALUE!</v>
      </c>
    </row>
    <row r="6372" spans="1:12" x14ac:dyDescent="0.35">
      <c r="A6372">
        <f t="shared" si="370"/>
        <v>6371</v>
      </c>
      <c r="B6372" t="s">
        <v>762</v>
      </c>
      <c r="C6372" s="109" t="str">
        <f>IF(ISBLANK(K6372),IFERROR(VLOOKUP(I6372,FS_input_data!$C$458:$N$648,Export!J6372,FALSE),""),K6372)</f>
        <v/>
      </c>
      <c r="D6372" s="6"/>
      <c r="E6372" s="6"/>
      <c r="F6372" s="6"/>
      <c r="G6372" s="115" t="b">
        <f>VLOOKUP(I6352,FS_input_noty,J6352,FALSE)=""</f>
        <v>0</v>
      </c>
      <c r="H6372" s="6" t="s">
        <v>2189</v>
      </c>
      <c r="I6372" t="s">
        <v>1561</v>
      </c>
      <c r="J6372" t="s">
        <v>1561</v>
      </c>
      <c r="L6372">
        <f t="shared" si="369"/>
        <v>1</v>
      </c>
    </row>
    <row r="6373" spans="1:12" x14ac:dyDescent="0.35">
      <c r="A6373">
        <f t="shared" si="370"/>
        <v>6372</v>
      </c>
      <c r="B6373" t="s">
        <v>763</v>
      </c>
      <c r="C6373" s="109" t="str">
        <f>IF(ISBLANK(K6373),IFERROR(VLOOKUP(I6373,FS_input_data!$C$458:$N$648,Export!J6373,FALSE),""),K6373)</f>
        <v/>
      </c>
      <c r="D6373" s="6"/>
      <c r="E6373" s="6"/>
      <c r="F6373" s="6"/>
      <c r="G6373" s="115" t="b">
        <f>VLOOKUP(I6352,FS_input_noty,J6352,FALSE)=""</f>
        <v>0</v>
      </c>
      <c r="H6373" s="6" t="s">
        <v>2189</v>
      </c>
      <c r="I6373" t="s">
        <v>1561</v>
      </c>
      <c r="J6373" t="s">
        <v>1561</v>
      </c>
      <c r="L6373">
        <f t="shared" si="369"/>
        <v>1</v>
      </c>
    </row>
    <row r="6374" spans="1:12" x14ac:dyDescent="0.35">
      <c r="A6374">
        <f t="shared" si="370"/>
        <v>6373</v>
      </c>
      <c r="B6374" t="s">
        <v>743</v>
      </c>
      <c r="C6374" s="109" t="str">
        <f>IF(ISBLANK(K6374),IFERROR(VLOOKUP(I6374,FS_input_data!$C$458:$N$648,Export!J6374,FALSE),""),K6374)</f>
        <v/>
      </c>
      <c r="D6374" s="6"/>
      <c r="E6374" s="6"/>
      <c r="F6374" s="6"/>
      <c r="G6374" s="115" t="b">
        <f>VLOOKUP(I6352,FS_input_noty,J6352,FALSE)=""</f>
        <v>0</v>
      </c>
      <c r="H6374" s="6" t="s">
        <v>2189</v>
      </c>
      <c r="I6374" t="s">
        <v>1561</v>
      </c>
      <c r="J6374" t="s">
        <v>1561</v>
      </c>
      <c r="L6374">
        <f t="shared" si="369"/>
        <v>1</v>
      </c>
    </row>
    <row r="6375" spans="1:12" x14ac:dyDescent="0.35">
      <c r="A6375">
        <f t="shared" si="370"/>
        <v>6374</v>
      </c>
      <c r="B6375" t="s">
        <v>744</v>
      </c>
      <c r="C6375" s="109" t="str">
        <f>IF(ISBLANK(K6375),IFERROR(VLOOKUP(I6375,FS_input_data!$C$458:$N$648,Export!J6375,FALSE),""),K6375)</f>
        <v/>
      </c>
      <c r="D6375" s="6"/>
      <c r="E6375" s="6"/>
      <c r="F6375" s="6"/>
      <c r="G6375" s="115" t="b">
        <f t="shared" ref="G6375:G6382" si="372">RP_tax</f>
        <v>1</v>
      </c>
      <c r="H6375" s="6" t="s">
        <v>2189</v>
      </c>
      <c r="I6375" t="s">
        <v>1561</v>
      </c>
      <c r="J6375" t="s">
        <v>1561</v>
      </c>
      <c r="L6375" s="26" t="e">
        <f t="shared" si="369"/>
        <v>#VALUE!</v>
      </c>
    </row>
    <row r="6376" spans="1:12" x14ac:dyDescent="0.35">
      <c r="A6376" s="9">
        <f t="shared" si="370"/>
        <v>6375</v>
      </c>
      <c r="B6376" t="s">
        <v>109</v>
      </c>
      <c r="C6376" s="109">
        <f>IF(ISBLANK(K6376),IFERROR(VLOOKUP(I6376,FS_input_data!$C$458:$N$648,Export!J6376,FALSE),""),K6376)</f>
        <v>19000</v>
      </c>
      <c r="D6376" s="6" t="b">
        <v>1</v>
      </c>
      <c r="E6376" s="6"/>
      <c r="F6376" s="6"/>
      <c r="G6376" s="115" t="b">
        <f t="shared" si="372"/>
        <v>1</v>
      </c>
      <c r="H6376" s="6" t="s">
        <v>2189</v>
      </c>
      <c r="I6376" t="s">
        <v>2044</v>
      </c>
      <c r="J6376">
        <v>10</v>
      </c>
      <c r="L6376" s="26" t="e">
        <f t="shared" si="369"/>
        <v>#VALUE!</v>
      </c>
    </row>
    <row r="6377" spans="1:12" x14ac:dyDescent="0.35">
      <c r="A6377">
        <f t="shared" si="370"/>
        <v>6376</v>
      </c>
      <c r="B6377" t="s">
        <v>110</v>
      </c>
      <c r="C6377" s="109" t="str">
        <f>IF(ISBLANK(K6377),IFERROR(VLOOKUP(I6377,FS_input_data!$C$458:$N$648,Export!J6377,FALSE),""),K6377)</f>
        <v/>
      </c>
      <c r="D6377" s="6"/>
      <c r="E6377" s="6"/>
      <c r="F6377" s="6"/>
      <c r="G6377" s="115" t="b">
        <f t="shared" si="372"/>
        <v>1</v>
      </c>
      <c r="H6377" s="6" t="s">
        <v>2189</v>
      </c>
      <c r="I6377" t="s">
        <v>1561</v>
      </c>
      <c r="J6377" t="s">
        <v>1561</v>
      </c>
      <c r="L6377">
        <f t="shared" si="369"/>
        <v>1</v>
      </c>
    </row>
    <row r="6378" spans="1:12" x14ac:dyDescent="0.35">
      <c r="A6378" s="9">
        <f t="shared" si="370"/>
        <v>6377</v>
      </c>
      <c r="B6378" t="s">
        <v>111</v>
      </c>
      <c r="C6378" s="109">
        <f>IF(ISBLANK(K6378),IFERROR(VLOOKUP(I6378,FS_input_data!$C$458:$N$648,Export!J6378,FALSE),""),K6378)</f>
        <v>9500</v>
      </c>
      <c r="D6378" s="6" t="b">
        <v>0</v>
      </c>
      <c r="E6378" s="6"/>
      <c r="F6378" s="6"/>
      <c r="G6378" s="115" t="b">
        <f t="shared" si="372"/>
        <v>1</v>
      </c>
      <c r="H6378" s="6" t="s">
        <v>2189</v>
      </c>
      <c r="I6378" t="s">
        <v>2044</v>
      </c>
      <c r="J6378">
        <v>11</v>
      </c>
      <c r="L6378" s="26" t="e">
        <f t="shared" si="369"/>
        <v>#VALUE!</v>
      </c>
    </row>
    <row r="6379" spans="1:12" x14ac:dyDescent="0.35">
      <c r="A6379">
        <f t="shared" si="370"/>
        <v>6378</v>
      </c>
      <c r="B6379" t="s">
        <v>112</v>
      </c>
      <c r="C6379" s="109" t="str">
        <f>IF(ISBLANK(K6379),IFERROR(VLOOKUP(I6379,FS_input_data!$C$458:$N$648,Export!J6379,FALSE),""),K6379)</f>
        <v/>
      </c>
      <c r="D6379" s="6"/>
      <c r="E6379" s="6"/>
      <c r="F6379" s="6"/>
      <c r="G6379" s="115" t="b">
        <f t="shared" si="372"/>
        <v>1</v>
      </c>
      <c r="H6379" s="6" t="s">
        <v>2189</v>
      </c>
      <c r="I6379" t="s">
        <v>1561</v>
      </c>
      <c r="J6379" t="s">
        <v>1561</v>
      </c>
      <c r="L6379">
        <f t="shared" si="369"/>
        <v>1</v>
      </c>
    </row>
    <row r="6380" spans="1:12" x14ac:dyDescent="0.35">
      <c r="A6380" s="9">
        <f t="shared" si="370"/>
        <v>6379</v>
      </c>
      <c r="B6380" t="s">
        <v>749</v>
      </c>
      <c r="C6380" s="109">
        <f>IF(ISBLANK(K6380),IFERROR(VLOOKUP(I6380,FS_input_data!$C$458:$N$648,Export!J6380,FALSE),""),K6380)</f>
        <v>9500</v>
      </c>
      <c r="D6380" s="6" t="b">
        <v>0</v>
      </c>
      <c r="E6380" s="6"/>
      <c r="F6380" s="6"/>
      <c r="G6380" s="115" t="b">
        <f t="shared" si="372"/>
        <v>1</v>
      </c>
      <c r="H6380" s="6" t="s">
        <v>2189</v>
      </c>
      <c r="I6380" t="s">
        <v>2044</v>
      </c>
      <c r="J6380">
        <v>12</v>
      </c>
      <c r="L6380" s="26" t="e">
        <f t="shared" si="369"/>
        <v>#VALUE!</v>
      </c>
    </row>
    <row r="6381" spans="1:12" x14ac:dyDescent="0.35">
      <c r="A6381">
        <f t="shared" si="370"/>
        <v>6380</v>
      </c>
      <c r="B6381" t="s">
        <v>750</v>
      </c>
      <c r="C6381" s="109" t="str">
        <f>IF(ISBLANK(K6381),IFERROR(VLOOKUP(I6381,FS_input_data!$C$458:$N$648,Export!J6381,FALSE),""),K6381)</f>
        <v/>
      </c>
      <c r="D6381" s="6"/>
      <c r="E6381" s="6"/>
      <c r="F6381" s="6"/>
      <c r="G6381" s="115" t="b">
        <f t="shared" si="372"/>
        <v>1</v>
      </c>
      <c r="H6381" s="6" t="s">
        <v>2189</v>
      </c>
      <c r="I6381" t="s">
        <v>1561</v>
      </c>
      <c r="J6381" t="s">
        <v>1561</v>
      </c>
      <c r="L6381">
        <f t="shared" si="369"/>
        <v>1</v>
      </c>
    </row>
    <row r="6382" spans="1:12" x14ac:dyDescent="0.35">
      <c r="A6382">
        <f t="shared" si="370"/>
        <v>6381</v>
      </c>
      <c r="B6382" t="s">
        <v>745</v>
      </c>
      <c r="C6382" s="109" t="str">
        <f>IF(ISBLANK(K6382),IFERROR(VLOOKUP(I6382,FS_input_data!$C$458:$N$648,Export!J6382,FALSE),""),K6382)</f>
        <v/>
      </c>
      <c r="D6382" s="6"/>
      <c r="E6382" s="6"/>
      <c r="F6382" s="6"/>
      <c r="G6382" s="115" t="b">
        <f t="shared" si="372"/>
        <v>1</v>
      </c>
      <c r="H6382" s="6" t="s">
        <v>2189</v>
      </c>
      <c r="I6382" t="s">
        <v>1561</v>
      </c>
      <c r="J6382" t="s">
        <v>1561</v>
      </c>
      <c r="L6382">
        <f t="shared" si="369"/>
        <v>1</v>
      </c>
    </row>
    <row r="6383" spans="1:12" x14ac:dyDescent="0.35">
      <c r="A6383">
        <f t="shared" si="370"/>
        <v>6382</v>
      </c>
      <c r="B6383" t="s">
        <v>764</v>
      </c>
      <c r="C6383" s="109" t="str">
        <f>IF(ISBLANK(K6383),IFERROR(VLOOKUP(I6383,FS_input_data!$C$458:$N$648,Export!J6383,FALSE),""),K6383)</f>
        <v/>
      </c>
      <c r="D6383" s="6"/>
      <c r="E6383" s="6"/>
      <c r="F6383" s="6"/>
      <c r="G6383" s="115" t="b">
        <f>VLOOKUP(I6352,FS_input_noty,J6352,FALSE)=""</f>
        <v>0</v>
      </c>
      <c r="H6383" s="6" t="s">
        <v>2189</v>
      </c>
      <c r="I6383" t="s">
        <v>1561</v>
      </c>
      <c r="J6383" t="s">
        <v>1561</v>
      </c>
      <c r="L6383">
        <f t="shared" si="369"/>
        <v>1</v>
      </c>
    </row>
    <row r="6384" spans="1:12" x14ac:dyDescent="0.35">
      <c r="A6384">
        <f t="shared" si="370"/>
        <v>6383</v>
      </c>
      <c r="B6384" t="s">
        <v>765</v>
      </c>
      <c r="C6384" s="109" t="str">
        <f>IF(ISBLANK(K6384),IFERROR(VLOOKUP(I6384,FS_input_data!$C$458:$N$648,Export!J6384,FALSE),""),K6384)</f>
        <v/>
      </c>
      <c r="D6384" s="6"/>
      <c r="E6384" s="6"/>
      <c r="F6384" s="6"/>
      <c r="G6384" s="115" t="b">
        <f>VLOOKUP(I6352,FS_input_noty,J6352,FALSE)=""</f>
        <v>0</v>
      </c>
      <c r="H6384" s="6" t="s">
        <v>2189</v>
      </c>
      <c r="I6384" t="s">
        <v>1561</v>
      </c>
      <c r="J6384" t="s">
        <v>1561</v>
      </c>
      <c r="L6384">
        <f t="shared" si="369"/>
        <v>1</v>
      </c>
    </row>
    <row r="6385" spans="1:12" x14ac:dyDescent="0.35">
      <c r="A6385">
        <f t="shared" si="370"/>
        <v>6384</v>
      </c>
      <c r="B6385" t="s">
        <v>752</v>
      </c>
      <c r="C6385" s="109" t="str">
        <f>IF(ISBLANK(K6385),IFERROR(VLOOKUP(I6385,FS_input_data!$C$458:$N$648,Export!J6385,FALSE),""),K6385)</f>
        <v/>
      </c>
      <c r="D6385" s="6"/>
      <c r="E6385" s="6"/>
      <c r="F6385" s="6"/>
      <c r="G6385" s="115" t="b">
        <f>VLOOKUP(I6386,FS_input_noty,J6386,FALSE)=""</f>
        <v>0</v>
      </c>
      <c r="H6385" s="6" t="s">
        <v>2189</v>
      </c>
      <c r="I6385" t="s">
        <v>1561</v>
      </c>
      <c r="J6385" t="s">
        <v>1561</v>
      </c>
      <c r="L6385" s="26" t="e">
        <f t="shared" si="369"/>
        <v>#VALUE!</v>
      </c>
    </row>
    <row r="6386" spans="1:12" x14ac:dyDescent="0.35">
      <c r="A6386" s="9">
        <f t="shared" si="370"/>
        <v>6385</v>
      </c>
      <c r="B6386" t="s">
        <v>101</v>
      </c>
      <c r="C6386" s="109" t="str">
        <f>IF(ISBLANK(K6386),IFERROR(VLOOKUP(I6386,FS_input_data!$C$458:$N$648,Export!J6386,FALSE),""),K6386)</f>
        <v>OC95</v>
      </c>
      <c r="D6386" s="6" t="b">
        <v>1</v>
      </c>
      <c r="E6386" s="6"/>
      <c r="F6386" s="6"/>
      <c r="G6386" s="115" t="b">
        <f>VLOOKUP(I6386,FS_input_noty,J6386,FALSE)=""</f>
        <v>0</v>
      </c>
      <c r="H6386" s="6" t="s">
        <v>2189</v>
      </c>
      <c r="I6386" t="s">
        <v>2046</v>
      </c>
      <c r="J6386">
        <v>6</v>
      </c>
      <c r="L6386" s="26" t="e">
        <f t="shared" si="369"/>
        <v>#VALUE!</v>
      </c>
    </row>
    <row r="6387" spans="1:12" x14ac:dyDescent="0.35">
      <c r="A6387">
        <f t="shared" si="370"/>
        <v>6386</v>
      </c>
      <c r="B6387" t="s">
        <v>102</v>
      </c>
      <c r="C6387" s="109" t="str">
        <f>IF(ISBLANK(K6387),IFERROR(VLOOKUP(I6387,FS_input_data!$C$458:$N$648,Export!J6387,FALSE),""),K6387)</f>
        <v/>
      </c>
      <c r="D6387" s="6"/>
      <c r="E6387" s="6"/>
      <c r="F6387" s="6"/>
      <c r="G6387" s="115" t="b">
        <f>VLOOKUP(I6386,FS_input_noty,J6386,FALSE)=""</f>
        <v>0</v>
      </c>
      <c r="H6387" s="6" t="s">
        <v>2189</v>
      </c>
      <c r="I6387" t="s">
        <v>1561</v>
      </c>
      <c r="J6387" t="s">
        <v>1561</v>
      </c>
      <c r="L6387">
        <f t="shared" si="369"/>
        <v>1</v>
      </c>
    </row>
    <row r="6388" spans="1:12" x14ac:dyDescent="0.35">
      <c r="A6388">
        <f t="shared" si="370"/>
        <v>6387</v>
      </c>
      <c r="B6388" t="s">
        <v>753</v>
      </c>
      <c r="C6388" s="109" t="str">
        <f>IF(ISBLANK(K6388),IFERROR(VLOOKUP(I6388,FS_input_data!$C$458:$N$648,Export!J6388,FALSE),""),K6388)</f>
        <v/>
      </c>
      <c r="D6388" s="6"/>
      <c r="E6388" s="6"/>
      <c r="F6388" s="6"/>
      <c r="G6388" s="115" t="b">
        <f>VLOOKUP(I6386,FS_input_noty,J6386,FALSE)=""</f>
        <v>0</v>
      </c>
      <c r="H6388" s="6" t="s">
        <v>2189</v>
      </c>
      <c r="I6388" t="s">
        <v>1561</v>
      </c>
      <c r="J6388" t="s">
        <v>1561</v>
      </c>
      <c r="L6388" s="26" t="e">
        <f t="shared" si="369"/>
        <v>#VALUE!</v>
      </c>
    </row>
    <row r="6389" spans="1:12" x14ac:dyDescent="0.35">
      <c r="A6389">
        <f t="shared" si="370"/>
        <v>6388</v>
      </c>
      <c r="B6389" t="s">
        <v>742</v>
      </c>
      <c r="C6389" s="109" t="str">
        <f>IF(ISBLANK(K6389),IFERROR(VLOOKUP(I6389,FS_input_data!$C$458:$N$648,Export!J6389,FALSE),""),K6389)</f>
        <v/>
      </c>
      <c r="D6389" s="6"/>
      <c r="E6389" s="6"/>
      <c r="F6389" s="6"/>
      <c r="G6389" s="115" t="b">
        <f>VLOOKUP(I6386,FS_input_noty,J6386,FALSE)=""</f>
        <v>0</v>
      </c>
      <c r="H6389" s="6" t="s">
        <v>2189</v>
      </c>
      <c r="I6389" t="s">
        <v>1561</v>
      </c>
      <c r="J6389" t="s">
        <v>1561</v>
      </c>
      <c r="L6389" s="26" t="e">
        <f t="shared" si="369"/>
        <v>#VALUE!</v>
      </c>
    </row>
    <row r="6390" spans="1:12" x14ac:dyDescent="0.35">
      <c r="A6390">
        <f t="shared" si="370"/>
        <v>6389</v>
      </c>
      <c r="B6390" t="s">
        <v>748</v>
      </c>
      <c r="C6390" s="109" t="str">
        <f>IF(ISBLANK(K6390),IFERROR(VLOOKUP(I6390,FS_input_data!$C$458:$N$648,Export!J6390,FALSE),""),K6390)</f>
        <v/>
      </c>
      <c r="D6390" s="6"/>
      <c r="E6390" s="6"/>
      <c r="F6390" s="6"/>
      <c r="G6390" s="115" t="b">
        <f>VLOOKUP(I6386,FS_input_noty,J6386,FALSE)=""</f>
        <v>0</v>
      </c>
      <c r="H6390" s="6" t="s">
        <v>2189</v>
      </c>
      <c r="I6390" t="s">
        <v>1561</v>
      </c>
      <c r="J6390" t="s">
        <v>1561</v>
      </c>
      <c r="L6390" s="26" t="e">
        <f t="shared" si="369"/>
        <v>#VALUE!</v>
      </c>
    </row>
    <row r="6391" spans="1:12" x14ac:dyDescent="0.35">
      <c r="A6391" s="9">
        <f t="shared" si="370"/>
        <v>6390</v>
      </c>
      <c r="B6391" t="s">
        <v>109</v>
      </c>
      <c r="C6391" s="109">
        <f>IF(ISBLANK(K6391),IFERROR(VLOOKUP(I6391,FS_input_data!$C$458:$N$648,Export!J6391,FALSE),""),K6391)</f>
        <v>20000</v>
      </c>
      <c r="D6391" s="6" t="b">
        <v>1</v>
      </c>
      <c r="E6391" s="6"/>
      <c r="F6391" s="6"/>
      <c r="G6391" s="115" t="b">
        <f>VLOOKUP(I6386,FS_input_noty,J6386,FALSE)=""</f>
        <v>0</v>
      </c>
      <c r="H6391" s="6" t="s">
        <v>2189</v>
      </c>
      <c r="I6391" t="s">
        <v>2046</v>
      </c>
      <c r="J6391">
        <v>7</v>
      </c>
      <c r="L6391" s="26" t="e">
        <f t="shared" si="369"/>
        <v>#VALUE!</v>
      </c>
    </row>
    <row r="6392" spans="1:12" x14ac:dyDescent="0.35">
      <c r="A6392">
        <f t="shared" si="370"/>
        <v>6391</v>
      </c>
      <c r="B6392" t="s">
        <v>110</v>
      </c>
      <c r="C6392" s="109" t="str">
        <f>IF(ISBLANK(K6392),IFERROR(VLOOKUP(I6392,FS_input_data!$C$458:$N$648,Export!J6392,FALSE),""),K6392)</f>
        <v/>
      </c>
      <c r="D6392" s="6"/>
      <c r="E6392" s="6"/>
      <c r="F6392" s="6"/>
      <c r="G6392" s="115" t="b">
        <f>VLOOKUP(I6386,FS_input_noty,J6386,FALSE)=""</f>
        <v>0</v>
      </c>
      <c r="H6392" s="6" t="s">
        <v>2189</v>
      </c>
      <c r="I6392" t="s">
        <v>1561</v>
      </c>
      <c r="J6392" t="s">
        <v>1561</v>
      </c>
      <c r="L6392">
        <f t="shared" si="369"/>
        <v>1</v>
      </c>
    </row>
    <row r="6393" spans="1:12" x14ac:dyDescent="0.35">
      <c r="A6393" s="9">
        <f t="shared" si="370"/>
        <v>6392</v>
      </c>
      <c r="B6393" t="s">
        <v>111</v>
      </c>
      <c r="C6393" s="109">
        <f>IF(ISBLANK(K6393),IFERROR(VLOOKUP(I6393,FS_input_data!$C$458:$N$648,Export!J6393,FALSE),""),K6393)</f>
        <v>10000</v>
      </c>
      <c r="D6393" s="6" t="b">
        <v>0</v>
      </c>
      <c r="E6393" s="6"/>
      <c r="F6393" s="6"/>
      <c r="G6393" s="115" t="b">
        <f>VLOOKUP(I6386,FS_input_noty,J6386,TRUE)=""</f>
        <v>0</v>
      </c>
      <c r="H6393" s="6" t="s">
        <v>2189</v>
      </c>
      <c r="I6393" t="s">
        <v>2046</v>
      </c>
      <c r="J6393">
        <v>8</v>
      </c>
      <c r="L6393" s="26" t="e">
        <f t="shared" si="369"/>
        <v>#VALUE!</v>
      </c>
    </row>
    <row r="6394" spans="1:12" x14ac:dyDescent="0.35">
      <c r="A6394">
        <f t="shared" si="370"/>
        <v>6393</v>
      </c>
      <c r="B6394" t="s">
        <v>112</v>
      </c>
      <c r="C6394" s="109" t="str">
        <f>IF(ISBLANK(K6394),IFERROR(VLOOKUP(I6394,FS_input_data!$C$458:$N$648,Export!J6394,FALSE),""),K6394)</f>
        <v/>
      </c>
      <c r="D6394" s="6"/>
      <c r="E6394" s="6"/>
      <c r="F6394" s="6"/>
      <c r="G6394" s="115" t="b">
        <f>VLOOKUP(I6386,FS_input_noty,J6386,FALSE)=""</f>
        <v>0</v>
      </c>
      <c r="H6394" s="6" t="s">
        <v>2189</v>
      </c>
      <c r="I6394" t="s">
        <v>1561</v>
      </c>
      <c r="J6394" t="s">
        <v>1561</v>
      </c>
      <c r="L6394">
        <f t="shared" si="369"/>
        <v>1</v>
      </c>
    </row>
    <row r="6395" spans="1:12" x14ac:dyDescent="0.35">
      <c r="A6395" s="9">
        <f t="shared" si="370"/>
        <v>6394</v>
      </c>
      <c r="B6395" t="s">
        <v>749</v>
      </c>
      <c r="C6395" s="109">
        <f>IF(ISBLANK(K6395),IFERROR(VLOOKUP(I6395,FS_input_data!$C$458:$N$648,Export!J6395,FALSE),""),K6395)</f>
        <v>10000</v>
      </c>
      <c r="D6395" s="6" t="b">
        <v>0</v>
      </c>
      <c r="E6395" s="6"/>
      <c r="F6395" s="6"/>
      <c r="G6395" s="115" t="b">
        <f>VLOOKUP(I6386,FS_input_noty,J6386,FALSE)=""</f>
        <v>0</v>
      </c>
      <c r="H6395" s="6" t="s">
        <v>2189</v>
      </c>
      <c r="I6395" t="s">
        <v>2046</v>
      </c>
      <c r="J6395">
        <v>9</v>
      </c>
      <c r="L6395" s="26" t="e">
        <f t="shared" si="369"/>
        <v>#VALUE!</v>
      </c>
    </row>
    <row r="6396" spans="1:12" x14ac:dyDescent="0.35">
      <c r="A6396">
        <f t="shared" si="370"/>
        <v>6395</v>
      </c>
      <c r="B6396" t="s">
        <v>750</v>
      </c>
      <c r="C6396" s="109" t="str">
        <f>IF(ISBLANK(K6396),IFERROR(VLOOKUP(I6396,FS_input_data!$C$458:$N$648,Export!J6396,FALSE),""),K6396)</f>
        <v/>
      </c>
      <c r="D6396" s="6"/>
      <c r="E6396" s="6"/>
      <c r="F6396" s="6"/>
      <c r="G6396" s="115" t="b">
        <f>VLOOKUP(I6386,FS_input_noty,J6386,FALSE)=""</f>
        <v>0</v>
      </c>
      <c r="H6396" s="6" t="s">
        <v>2189</v>
      </c>
      <c r="I6396" t="s">
        <v>1561</v>
      </c>
      <c r="J6396" t="s">
        <v>1561</v>
      </c>
      <c r="L6396">
        <f t="shared" si="369"/>
        <v>1</v>
      </c>
    </row>
    <row r="6397" spans="1:12" x14ac:dyDescent="0.35">
      <c r="A6397">
        <f t="shared" si="370"/>
        <v>6396</v>
      </c>
      <c r="B6397" t="s">
        <v>751</v>
      </c>
      <c r="C6397" s="109" t="str">
        <f>IF(ISBLANK(K6397),IFERROR(VLOOKUP(I6397,FS_input_data!$C$458:$N$648,Export!J6397,FALSE),""),K6397)</f>
        <v/>
      </c>
      <c r="D6397" s="6"/>
      <c r="E6397" s="6"/>
      <c r="F6397" s="6"/>
      <c r="G6397" s="115" t="b">
        <f>VLOOKUP(I6386,FS_input_noty,J6386,FALSE)=""</f>
        <v>0</v>
      </c>
      <c r="H6397" s="6" t="s">
        <v>2189</v>
      </c>
      <c r="I6397" t="s">
        <v>1561</v>
      </c>
      <c r="J6397" t="s">
        <v>1561</v>
      </c>
      <c r="L6397">
        <f t="shared" si="369"/>
        <v>1</v>
      </c>
    </row>
    <row r="6398" spans="1:12" x14ac:dyDescent="0.35">
      <c r="A6398">
        <f t="shared" si="370"/>
        <v>6397</v>
      </c>
      <c r="B6398" t="s">
        <v>754</v>
      </c>
      <c r="C6398" s="109" t="str">
        <f>IF(ISBLANK(K6398),IFERROR(VLOOKUP(I6398,FS_input_data!$C$458:$N$648,Export!J6398,FALSE),""),K6398)</f>
        <v/>
      </c>
      <c r="D6398" s="6"/>
      <c r="E6398" s="6"/>
      <c r="F6398" s="6"/>
      <c r="G6398" s="115" t="b">
        <f>VLOOKUP(I6386,FS_input_noty,J6386,FALSE)=""</f>
        <v>0</v>
      </c>
      <c r="H6398" s="6" t="s">
        <v>2189</v>
      </c>
      <c r="I6398" t="s">
        <v>1561</v>
      </c>
      <c r="J6398" t="s">
        <v>1561</v>
      </c>
      <c r="L6398" s="26" t="e">
        <f t="shared" si="369"/>
        <v>#VALUE!</v>
      </c>
    </row>
    <row r="6399" spans="1:12" x14ac:dyDescent="0.35">
      <c r="A6399" s="9">
        <f t="shared" si="370"/>
        <v>6398</v>
      </c>
      <c r="B6399" t="s">
        <v>755</v>
      </c>
      <c r="C6399" s="109">
        <f>IF(ISBLANK(K6399),IFERROR(VLOOKUP(I6399,FS_input_data!$C$458:$N$648,Export!J6399,FALSE),""),K6399)</f>
        <v>118</v>
      </c>
      <c r="D6399" s="6" t="b">
        <v>1</v>
      </c>
      <c r="E6399" s="6"/>
      <c r="F6399" s="6"/>
      <c r="G6399" s="115" t="b">
        <f>VLOOKUP(I6386,FS_input_noty,J6386,FALSE)=""</f>
        <v>0</v>
      </c>
      <c r="H6399" s="6" t="s">
        <v>2189</v>
      </c>
      <c r="I6399" t="s">
        <v>2046</v>
      </c>
      <c r="J6399">
        <v>2</v>
      </c>
      <c r="L6399" s="26" t="e">
        <f t="shared" si="369"/>
        <v>#VALUE!</v>
      </c>
    </row>
    <row r="6400" spans="1:12" x14ac:dyDescent="0.35">
      <c r="A6400">
        <f t="shared" si="370"/>
        <v>6399</v>
      </c>
      <c r="B6400" t="s">
        <v>756</v>
      </c>
      <c r="C6400" s="109" t="str">
        <f>IF(ISBLANK(K6400),IFERROR(VLOOKUP(I6400,FS_input_data!$C$458:$N$648,Export!J6400,FALSE),""),K6400)</f>
        <v/>
      </c>
      <c r="D6400" s="6"/>
      <c r="E6400" s="6"/>
      <c r="F6400" s="6"/>
      <c r="G6400" s="115" t="b">
        <f>VLOOKUP(I6386,FS_input_noty,J6386,FALSE)=""</f>
        <v>0</v>
      </c>
      <c r="H6400" s="6" t="s">
        <v>2189</v>
      </c>
      <c r="I6400" t="s">
        <v>1561</v>
      </c>
      <c r="J6400" t="s">
        <v>1561</v>
      </c>
      <c r="L6400">
        <f t="shared" si="369"/>
        <v>1</v>
      </c>
    </row>
    <row r="6401" spans="1:12" x14ac:dyDescent="0.35">
      <c r="A6401" s="9">
        <f t="shared" si="370"/>
        <v>6400</v>
      </c>
      <c r="B6401" t="s">
        <v>757</v>
      </c>
      <c r="C6401" s="109">
        <f>IF(ISBLANK(K6401),IFERROR(VLOOKUP(I6401,FS_input_data!$C$458:$N$648,Export!J6401,FALSE),""),K6401)</f>
        <v>218</v>
      </c>
      <c r="D6401" s="6" t="b">
        <v>0</v>
      </c>
      <c r="E6401" s="6"/>
      <c r="F6401" s="6"/>
      <c r="G6401" s="115" t="b">
        <f>VLOOKUP(I6386,FS_input_noty,J6386,FALSE)=""</f>
        <v>0</v>
      </c>
      <c r="H6401" s="6" t="s">
        <v>2189</v>
      </c>
      <c r="I6401" t="s">
        <v>2046</v>
      </c>
      <c r="J6401">
        <v>3</v>
      </c>
      <c r="L6401" s="26" t="e">
        <f t="shared" si="369"/>
        <v>#VALUE!</v>
      </c>
    </row>
    <row r="6402" spans="1:12" x14ac:dyDescent="0.35">
      <c r="A6402">
        <f t="shared" si="370"/>
        <v>6401</v>
      </c>
      <c r="B6402" t="s">
        <v>758</v>
      </c>
      <c r="C6402" s="109" t="str">
        <f>IF(ISBLANK(K6402),IFERROR(VLOOKUP(I6402,FS_input_data!$C$458:$N$648,Export!J6402,FALSE),""),K6402)</f>
        <v/>
      </c>
      <c r="D6402" s="6"/>
      <c r="E6402" s="6"/>
      <c r="F6402" s="6"/>
      <c r="G6402" s="115" t="b">
        <f>VLOOKUP(I6386,FS_input_noty,J6386,FALSE)=""</f>
        <v>0</v>
      </c>
      <c r="H6402" s="6" t="s">
        <v>2189</v>
      </c>
      <c r="I6402" t="s">
        <v>1561</v>
      </c>
      <c r="J6402" t="s">
        <v>1561</v>
      </c>
      <c r="L6402">
        <f t="shared" ref="L6402:L6465" si="373">FIND("/",B6402)</f>
        <v>1</v>
      </c>
    </row>
    <row r="6403" spans="1:12" x14ac:dyDescent="0.35">
      <c r="A6403" s="9">
        <f t="shared" ref="A6403:A6466" si="374">A6402+1</f>
        <v>6402</v>
      </c>
      <c r="B6403" t="s">
        <v>759</v>
      </c>
      <c r="C6403" s="109">
        <f>IF(ISBLANK(K6403),IFERROR(VLOOKUP(I6403,FS_input_data!$C$458:$N$648,Export!J6403,FALSE),""),K6403)</f>
        <v>318</v>
      </c>
      <c r="D6403" s="6" t="b">
        <v>0</v>
      </c>
      <c r="E6403" s="6"/>
      <c r="F6403" s="6"/>
      <c r="G6403" s="115" t="b">
        <f>VLOOKUP(I6386,FS_input_noty,J6386,FALSE)=""</f>
        <v>0</v>
      </c>
      <c r="H6403" s="6" t="s">
        <v>2189</v>
      </c>
      <c r="I6403" t="s">
        <v>2046</v>
      </c>
      <c r="J6403">
        <v>4</v>
      </c>
      <c r="L6403" s="26" t="e">
        <f t="shared" si="373"/>
        <v>#VALUE!</v>
      </c>
    </row>
    <row r="6404" spans="1:12" x14ac:dyDescent="0.35">
      <c r="A6404">
        <f t="shared" si="374"/>
        <v>6403</v>
      </c>
      <c r="B6404" t="s">
        <v>760</v>
      </c>
      <c r="C6404" s="109" t="str">
        <f>IF(ISBLANK(K6404),IFERROR(VLOOKUP(I6404,FS_input_data!$C$458:$N$648,Export!J6404,FALSE),""),K6404)</f>
        <v/>
      </c>
      <c r="D6404" s="6"/>
      <c r="E6404" s="6"/>
      <c r="F6404" s="6"/>
      <c r="G6404" s="115" t="b">
        <f>VLOOKUP(I6386,FS_input_noty,J6386,FALSE)=""</f>
        <v>0</v>
      </c>
      <c r="H6404" s="6" t="s">
        <v>2189</v>
      </c>
      <c r="I6404" t="s">
        <v>1561</v>
      </c>
      <c r="J6404" t="s">
        <v>1561</v>
      </c>
      <c r="L6404">
        <f t="shared" si="373"/>
        <v>1</v>
      </c>
    </row>
    <row r="6405" spans="1:12" x14ac:dyDescent="0.35">
      <c r="A6405" s="9">
        <f t="shared" si="374"/>
        <v>6404</v>
      </c>
      <c r="B6405" t="s">
        <v>761</v>
      </c>
      <c r="C6405" s="109" t="str">
        <f>IF(ISBLANK(K6405),IFERROR(VLOOKUP(I6405,FS_input_data!$C$458:$N$648,Export!J6405,FALSE),""),K6405)</f>
        <v>b</v>
      </c>
      <c r="D6405" s="6" t="b">
        <v>0</v>
      </c>
      <c r="E6405" s="6"/>
      <c r="F6405" s="6"/>
      <c r="G6405" s="115" t="b">
        <f>VLOOKUP(I6386,FS_input_noty,J6386,FALSE)=""</f>
        <v>0</v>
      </c>
      <c r="H6405" s="6" t="s">
        <v>2189</v>
      </c>
      <c r="I6405" t="s">
        <v>2046</v>
      </c>
      <c r="J6405">
        <v>5</v>
      </c>
      <c r="L6405" s="26" t="e">
        <f t="shared" si="373"/>
        <v>#VALUE!</v>
      </c>
    </row>
    <row r="6406" spans="1:12" x14ac:dyDescent="0.35">
      <c r="A6406">
        <f t="shared" si="374"/>
        <v>6405</v>
      </c>
      <c r="B6406" t="s">
        <v>762</v>
      </c>
      <c r="C6406" s="109" t="str">
        <f>IF(ISBLANK(K6406),IFERROR(VLOOKUP(I6406,FS_input_data!$C$458:$N$648,Export!J6406,FALSE),""),K6406)</f>
        <v/>
      </c>
      <c r="D6406" s="6"/>
      <c r="E6406" s="6"/>
      <c r="F6406" s="6"/>
      <c r="G6406" s="115" t="b">
        <f>VLOOKUP(I6386,FS_input_noty,J6386,FALSE)=""</f>
        <v>0</v>
      </c>
      <c r="H6406" s="6" t="s">
        <v>2189</v>
      </c>
      <c r="I6406" t="s">
        <v>1561</v>
      </c>
      <c r="J6406" t="s">
        <v>1561</v>
      </c>
      <c r="L6406">
        <f t="shared" si="373"/>
        <v>1</v>
      </c>
    </row>
    <row r="6407" spans="1:12" x14ac:dyDescent="0.35">
      <c r="A6407">
        <f t="shared" si="374"/>
        <v>6406</v>
      </c>
      <c r="B6407" t="s">
        <v>763</v>
      </c>
      <c r="C6407" s="109" t="str">
        <f>IF(ISBLANK(K6407),IFERROR(VLOOKUP(I6407,FS_input_data!$C$458:$N$648,Export!J6407,FALSE),""),K6407)</f>
        <v/>
      </c>
      <c r="D6407" s="6"/>
      <c r="E6407" s="6"/>
      <c r="F6407" s="6"/>
      <c r="G6407" s="115" t="b">
        <f>VLOOKUP(I6386,FS_input_noty,J6386,FALSE)=""</f>
        <v>0</v>
      </c>
      <c r="H6407" s="6" t="s">
        <v>2189</v>
      </c>
      <c r="I6407" t="s">
        <v>1561</v>
      </c>
      <c r="J6407" t="s">
        <v>1561</v>
      </c>
      <c r="L6407">
        <f t="shared" si="373"/>
        <v>1</v>
      </c>
    </row>
    <row r="6408" spans="1:12" x14ac:dyDescent="0.35">
      <c r="A6408">
        <f t="shared" si="374"/>
        <v>6407</v>
      </c>
      <c r="B6408" t="s">
        <v>743</v>
      </c>
      <c r="C6408" s="109" t="str">
        <f>IF(ISBLANK(K6408),IFERROR(VLOOKUP(I6408,FS_input_data!$C$458:$N$648,Export!J6408,FALSE),""),K6408)</f>
        <v/>
      </c>
      <c r="D6408" s="6"/>
      <c r="E6408" s="6"/>
      <c r="F6408" s="6"/>
      <c r="G6408" s="115" t="b">
        <f>VLOOKUP(I6386,FS_input_noty,J6386,FALSE)=""</f>
        <v>0</v>
      </c>
      <c r="H6408" s="6" t="s">
        <v>2189</v>
      </c>
      <c r="I6408" t="s">
        <v>1561</v>
      </c>
      <c r="J6408" t="s">
        <v>1561</v>
      </c>
      <c r="L6408">
        <f t="shared" si="373"/>
        <v>1</v>
      </c>
    </row>
    <row r="6409" spans="1:12" x14ac:dyDescent="0.35">
      <c r="A6409">
        <f t="shared" si="374"/>
        <v>6408</v>
      </c>
      <c r="B6409" t="s">
        <v>744</v>
      </c>
      <c r="C6409" s="109" t="str">
        <f>IF(ISBLANK(K6409),IFERROR(VLOOKUP(I6409,FS_input_data!$C$458:$N$648,Export!J6409,FALSE),""),K6409)</f>
        <v/>
      </c>
      <c r="D6409" s="6"/>
      <c r="E6409" s="6"/>
      <c r="F6409" s="6"/>
      <c r="G6409" s="115" t="b">
        <f t="shared" ref="G6409:G6416" si="375">RP_tax</f>
        <v>1</v>
      </c>
      <c r="H6409" s="6" t="s">
        <v>2189</v>
      </c>
      <c r="I6409" t="s">
        <v>1561</v>
      </c>
      <c r="J6409" t="s">
        <v>1561</v>
      </c>
      <c r="L6409" s="26" t="e">
        <f t="shared" si="373"/>
        <v>#VALUE!</v>
      </c>
    </row>
    <row r="6410" spans="1:12" x14ac:dyDescent="0.35">
      <c r="A6410" s="9">
        <f t="shared" si="374"/>
        <v>6409</v>
      </c>
      <c r="B6410" t="s">
        <v>109</v>
      </c>
      <c r="C6410" s="109">
        <f>IF(ISBLANK(K6410),IFERROR(VLOOKUP(I6410,FS_input_data!$C$458:$N$648,Export!J6410,FALSE),""),K6410)</f>
        <v>20000</v>
      </c>
      <c r="D6410" s="6" t="b">
        <v>1</v>
      </c>
      <c r="E6410" s="6"/>
      <c r="F6410" s="6"/>
      <c r="G6410" s="115" t="b">
        <f t="shared" si="375"/>
        <v>1</v>
      </c>
      <c r="H6410" s="6" t="s">
        <v>2189</v>
      </c>
      <c r="I6410" t="s">
        <v>2046</v>
      </c>
      <c r="J6410">
        <v>10</v>
      </c>
      <c r="L6410" s="26" t="e">
        <f t="shared" si="373"/>
        <v>#VALUE!</v>
      </c>
    </row>
    <row r="6411" spans="1:12" x14ac:dyDescent="0.35">
      <c r="A6411">
        <f t="shared" si="374"/>
        <v>6410</v>
      </c>
      <c r="B6411" t="s">
        <v>110</v>
      </c>
      <c r="C6411" s="109" t="str">
        <f>IF(ISBLANK(K6411),IFERROR(VLOOKUP(I6411,FS_input_data!$C$458:$N$648,Export!J6411,FALSE),""),K6411)</f>
        <v/>
      </c>
      <c r="D6411" s="6"/>
      <c r="E6411" s="6"/>
      <c r="F6411" s="6"/>
      <c r="G6411" s="115" t="b">
        <f t="shared" si="375"/>
        <v>1</v>
      </c>
      <c r="H6411" s="6" t="s">
        <v>2189</v>
      </c>
      <c r="I6411" t="s">
        <v>1561</v>
      </c>
      <c r="J6411" t="s">
        <v>1561</v>
      </c>
      <c r="L6411">
        <f t="shared" si="373"/>
        <v>1</v>
      </c>
    </row>
    <row r="6412" spans="1:12" x14ac:dyDescent="0.35">
      <c r="A6412" s="9">
        <f t="shared" si="374"/>
        <v>6411</v>
      </c>
      <c r="B6412" t="s">
        <v>111</v>
      </c>
      <c r="C6412" s="109">
        <f>IF(ISBLANK(K6412),IFERROR(VLOOKUP(I6412,FS_input_data!$C$458:$N$648,Export!J6412,FALSE),""),K6412)</f>
        <v>10000</v>
      </c>
      <c r="D6412" s="6" t="b">
        <v>0</v>
      </c>
      <c r="E6412" s="6"/>
      <c r="F6412" s="6"/>
      <c r="G6412" s="115" t="b">
        <f t="shared" si="375"/>
        <v>1</v>
      </c>
      <c r="H6412" s="6" t="s">
        <v>2189</v>
      </c>
      <c r="I6412" t="s">
        <v>2046</v>
      </c>
      <c r="J6412">
        <v>11</v>
      </c>
      <c r="L6412" s="26" t="e">
        <f t="shared" si="373"/>
        <v>#VALUE!</v>
      </c>
    </row>
    <row r="6413" spans="1:12" x14ac:dyDescent="0.35">
      <c r="A6413">
        <f t="shared" si="374"/>
        <v>6412</v>
      </c>
      <c r="B6413" t="s">
        <v>112</v>
      </c>
      <c r="C6413" s="109" t="str">
        <f>IF(ISBLANK(K6413),IFERROR(VLOOKUP(I6413,FS_input_data!$C$458:$N$648,Export!J6413,FALSE),""),K6413)</f>
        <v/>
      </c>
      <c r="D6413" s="6"/>
      <c r="E6413" s="6"/>
      <c r="F6413" s="6"/>
      <c r="G6413" s="115" t="b">
        <f t="shared" si="375"/>
        <v>1</v>
      </c>
      <c r="H6413" s="6" t="s">
        <v>2189</v>
      </c>
      <c r="I6413" t="s">
        <v>1561</v>
      </c>
      <c r="J6413" t="s">
        <v>1561</v>
      </c>
      <c r="L6413">
        <f t="shared" si="373"/>
        <v>1</v>
      </c>
    </row>
    <row r="6414" spans="1:12" x14ac:dyDescent="0.35">
      <c r="A6414" s="9">
        <f t="shared" si="374"/>
        <v>6413</v>
      </c>
      <c r="B6414" t="s">
        <v>749</v>
      </c>
      <c r="C6414" s="109">
        <f>IF(ISBLANK(K6414),IFERROR(VLOOKUP(I6414,FS_input_data!$C$458:$N$648,Export!J6414,FALSE),""),K6414)</f>
        <v>10000</v>
      </c>
      <c r="D6414" s="6" t="b">
        <v>0</v>
      </c>
      <c r="E6414" s="6"/>
      <c r="F6414" s="6"/>
      <c r="G6414" s="115" t="b">
        <f t="shared" si="375"/>
        <v>1</v>
      </c>
      <c r="H6414" s="6" t="s">
        <v>2189</v>
      </c>
      <c r="I6414" t="s">
        <v>2046</v>
      </c>
      <c r="J6414">
        <v>12</v>
      </c>
      <c r="L6414" s="26" t="e">
        <f t="shared" si="373"/>
        <v>#VALUE!</v>
      </c>
    </row>
    <row r="6415" spans="1:12" x14ac:dyDescent="0.35">
      <c r="A6415">
        <f t="shared" si="374"/>
        <v>6414</v>
      </c>
      <c r="B6415" t="s">
        <v>750</v>
      </c>
      <c r="C6415" s="109" t="str">
        <f>IF(ISBLANK(K6415),IFERROR(VLOOKUP(I6415,FS_input_data!$C$458:$N$648,Export!J6415,FALSE),""),K6415)</f>
        <v/>
      </c>
      <c r="D6415" s="6"/>
      <c r="E6415" s="6"/>
      <c r="F6415" s="6"/>
      <c r="G6415" s="115" t="b">
        <f t="shared" si="375"/>
        <v>1</v>
      </c>
      <c r="H6415" s="6" t="s">
        <v>2189</v>
      </c>
      <c r="I6415" t="s">
        <v>1561</v>
      </c>
      <c r="J6415" t="s">
        <v>1561</v>
      </c>
      <c r="L6415">
        <f t="shared" si="373"/>
        <v>1</v>
      </c>
    </row>
    <row r="6416" spans="1:12" x14ac:dyDescent="0.35">
      <c r="A6416">
        <f t="shared" si="374"/>
        <v>6415</v>
      </c>
      <c r="B6416" t="s">
        <v>745</v>
      </c>
      <c r="C6416" s="109" t="str">
        <f>IF(ISBLANK(K6416),IFERROR(VLOOKUP(I6416,FS_input_data!$C$458:$N$648,Export!J6416,FALSE),""),K6416)</f>
        <v/>
      </c>
      <c r="D6416" s="6"/>
      <c r="E6416" s="6"/>
      <c r="F6416" s="6"/>
      <c r="G6416" s="115" t="b">
        <f t="shared" si="375"/>
        <v>1</v>
      </c>
      <c r="H6416" s="6" t="s">
        <v>2189</v>
      </c>
      <c r="I6416" t="s">
        <v>1561</v>
      </c>
      <c r="J6416" t="s">
        <v>1561</v>
      </c>
      <c r="L6416">
        <f t="shared" si="373"/>
        <v>1</v>
      </c>
    </row>
    <row r="6417" spans="1:12" x14ac:dyDescent="0.35">
      <c r="A6417">
        <f t="shared" si="374"/>
        <v>6416</v>
      </c>
      <c r="B6417" t="s">
        <v>764</v>
      </c>
      <c r="C6417" s="109" t="str">
        <f>IF(ISBLANK(K6417),IFERROR(VLOOKUP(I6417,FS_input_data!$C$458:$N$648,Export!J6417,FALSE),""),K6417)</f>
        <v/>
      </c>
      <c r="D6417" s="6"/>
      <c r="E6417" s="6"/>
      <c r="F6417" s="6"/>
      <c r="G6417" s="115" t="b">
        <f>VLOOKUP(I6386,FS_input_noty,J6386,FALSE)=""</f>
        <v>0</v>
      </c>
      <c r="H6417" s="6" t="s">
        <v>2189</v>
      </c>
      <c r="I6417" t="s">
        <v>1561</v>
      </c>
      <c r="J6417" t="s">
        <v>1561</v>
      </c>
      <c r="L6417">
        <f t="shared" si="373"/>
        <v>1</v>
      </c>
    </row>
    <row r="6418" spans="1:12" x14ac:dyDescent="0.35">
      <c r="A6418">
        <f t="shared" si="374"/>
        <v>6417</v>
      </c>
      <c r="B6418" t="s">
        <v>765</v>
      </c>
      <c r="C6418" s="109" t="str">
        <f>IF(ISBLANK(K6418),IFERROR(VLOOKUP(I6418,FS_input_data!$C$458:$N$648,Export!J6418,FALSE),""),K6418)</f>
        <v/>
      </c>
      <c r="D6418" s="6"/>
      <c r="E6418" s="6"/>
      <c r="F6418" s="6"/>
      <c r="G6418" s="115" t="b">
        <f>VLOOKUP(I6386,FS_input_noty,J6386,FALSE)=""</f>
        <v>0</v>
      </c>
      <c r="H6418" s="6" t="s">
        <v>2189</v>
      </c>
      <c r="I6418" t="s">
        <v>1561</v>
      </c>
      <c r="J6418" t="s">
        <v>1561</v>
      </c>
      <c r="L6418">
        <f t="shared" si="373"/>
        <v>1</v>
      </c>
    </row>
    <row r="6419" spans="1:12" x14ac:dyDescent="0.35">
      <c r="A6419">
        <f t="shared" si="374"/>
        <v>6418</v>
      </c>
      <c r="B6419" t="s">
        <v>766</v>
      </c>
      <c r="C6419" s="109" t="str">
        <f>IF(ISBLANK(K6419),IFERROR(VLOOKUP(I6419,FS_input_data!$C$458:$N$648,Export!J6419,FALSE),""),K6419)</f>
        <v/>
      </c>
      <c r="D6419" s="6"/>
      <c r="E6419" s="6"/>
      <c r="F6419" s="6"/>
      <c r="G6419" s="119" t="b">
        <f t="shared" ref="G6419:G6427" si="376">VLOOKUP($I$6421,FS_input_noty,$J$6421,FALSE)=""</f>
        <v>0</v>
      </c>
      <c r="H6419" s="6" t="s">
        <v>2189</v>
      </c>
      <c r="I6419" t="s">
        <v>1561</v>
      </c>
      <c r="J6419" t="s">
        <v>1561</v>
      </c>
      <c r="L6419" s="26" t="e">
        <f t="shared" si="373"/>
        <v>#VALUE!</v>
      </c>
    </row>
    <row r="6420" spans="1:12" x14ac:dyDescent="0.35">
      <c r="A6420">
        <f t="shared" si="374"/>
        <v>6419</v>
      </c>
      <c r="B6420" t="s">
        <v>742</v>
      </c>
      <c r="C6420" s="109" t="str">
        <f>IF(ISBLANK(K6420),IFERROR(VLOOKUP(I6420,FS_input_data!$C$458:$N$648,Export!J6420,FALSE),""),K6420)</f>
        <v/>
      </c>
      <c r="D6420" s="6"/>
      <c r="E6420" s="6"/>
      <c r="F6420" s="6"/>
      <c r="G6420" s="119" t="b">
        <f t="shared" si="376"/>
        <v>0</v>
      </c>
      <c r="H6420" s="6" t="s">
        <v>2189</v>
      </c>
      <c r="I6420" t="s">
        <v>1561</v>
      </c>
      <c r="J6420" t="s">
        <v>1561</v>
      </c>
      <c r="L6420" s="26" t="e">
        <f t="shared" si="373"/>
        <v>#VALUE!</v>
      </c>
    </row>
    <row r="6421" spans="1:12" x14ac:dyDescent="0.35">
      <c r="A6421" s="9">
        <f t="shared" si="374"/>
        <v>6420</v>
      </c>
      <c r="B6421" t="s">
        <v>109</v>
      </c>
      <c r="C6421" s="109">
        <f>IF(ISBLANK(K6421),IFERROR(VLOOKUP(I6421,FS_input_data!$C$458:$N$648,Export!J6421,FALSE),""),K6421)</f>
        <v>21000</v>
      </c>
      <c r="D6421" s="6" t="b">
        <v>1</v>
      </c>
      <c r="E6421" s="6"/>
      <c r="F6421" s="6"/>
      <c r="G6421" s="119" t="b">
        <f t="shared" si="376"/>
        <v>0</v>
      </c>
      <c r="H6421" s="6" t="s">
        <v>2189</v>
      </c>
      <c r="I6421" t="s">
        <v>2198</v>
      </c>
      <c r="J6421">
        <v>7</v>
      </c>
      <c r="L6421" s="26" t="e">
        <f t="shared" si="373"/>
        <v>#VALUE!</v>
      </c>
    </row>
    <row r="6422" spans="1:12" x14ac:dyDescent="0.35">
      <c r="A6422">
        <f t="shared" si="374"/>
        <v>6421</v>
      </c>
      <c r="B6422" t="s">
        <v>110</v>
      </c>
      <c r="C6422" s="109" t="str">
        <f>IF(ISBLANK(K6422),IFERROR(VLOOKUP(I6422,FS_input_data!$C$458:$N$648,Export!J6422,FALSE),""),K6422)</f>
        <v/>
      </c>
      <c r="D6422" s="6"/>
      <c r="E6422" s="6"/>
      <c r="F6422" s="6"/>
      <c r="G6422" s="119" t="b">
        <f t="shared" si="376"/>
        <v>0</v>
      </c>
      <c r="H6422" s="6" t="s">
        <v>2189</v>
      </c>
      <c r="I6422" t="s">
        <v>1561</v>
      </c>
      <c r="J6422" t="s">
        <v>1561</v>
      </c>
      <c r="L6422">
        <f t="shared" si="373"/>
        <v>1</v>
      </c>
    </row>
    <row r="6423" spans="1:12" x14ac:dyDescent="0.35">
      <c r="A6423" s="9">
        <f t="shared" si="374"/>
        <v>6422</v>
      </c>
      <c r="B6423" t="s">
        <v>111</v>
      </c>
      <c r="C6423" s="109">
        <f>IF(ISBLANK(K6423),IFERROR(VLOOKUP(I6423,FS_input_data!$C$458:$N$648,Export!J6423,FALSE),""),K6423)</f>
        <v>10500</v>
      </c>
      <c r="D6423" s="6" t="b">
        <v>0</v>
      </c>
      <c r="E6423" s="6"/>
      <c r="F6423" s="6"/>
      <c r="G6423" s="119" t="b">
        <f t="shared" si="376"/>
        <v>0</v>
      </c>
      <c r="H6423" s="6" t="s">
        <v>2189</v>
      </c>
      <c r="I6423" t="s">
        <v>2198</v>
      </c>
      <c r="J6423">
        <v>8</v>
      </c>
      <c r="L6423" s="26" t="e">
        <f t="shared" si="373"/>
        <v>#VALUE!</v>
      </c>
    </row>
    <row r="6424" spans="1:12" x14ac:dyDescent="0.35">
      <c r="A6424">
        <f t="shared" si="374"/>
        <v>6423</v>
      </c>
      <c r="B6424" t="s">
        <v>112</v>
      </c>
      <c r="C6424" s="109" t="str">
        <f>IF(ISBLANK(K6424),IFERROR(VLOOKUP(I6424,FS_input_data!$C$458:$N$648,Export!J6424,FALSE),""),K6424)</f>
        <v/>
      </c>
      <c r="D6424" s="6"/>
      <c r="E6424" s="6"/>
      <c r="F6424" s="6"/>
      <c r="G6424" s="119" t="b">
        <f t="shared" si="376"/>
        <v>0</v>
      </c>
      <c r="H6424" s="6" t="s">
        <v>2189</v>
      </c>
      <c r="I6424" t="s">
        <v>1561</v>
      </c>
      <c r="J6424" t="s">
        <v>1561</v>
      </c>
      <c r="L6424">
        <f t="shared" si="373"/>
        <v>1</v>
      </c>
    </row>
    <row r="6425" spans="1:12" x14ac:dyDescent="0.35">
      <c r="A6425" s="9">
        <f t="shared" si="374"/>
        <v>6424</v>
      </c>
      <c r="B6425" t="s">
        <v>749</v>
      </c>
      <c r="C6425" s="109">
        <f>IF(ISBLANK(K6425),IFERROR(VLOOKUP(I6425,FS_input_data!$C$458:$N$648,Export!J6425,FALSE),""),K6425)</f>
        <v>10500</v>
      </c>
      <c r="D6425" s="6" t="b">
        <v>0</v>
      </c>
      <c r="E6425" s="6"/>
      <c r="F6425" s="6"/>
      <c r="G6425" s="119" t="b">
        <f t="shared" si="376"/>
        <v>0</v>
      </c>
      <c r="H6425" s="6" t="s">
        <v>2189</v>
      </c>
      <c r="I6425" t="s">
        <v>2198</v>
      </c>
      <c r="J6425">
        <v>9</v>
      </c>
      <c r="L6425" s="26" t="e">
        <f t="shared" si="373"/>
        <v>#VALUE!</v>
      </c>
    </row>
    <row r="6426" spans="1:12" x14ac:dyDescent="0.35">
      <c r="A6426">
        <f t="shared" si="374"/>
        <v>6425</v>
      </c>
      <c r="B6426" t="s">
        <v>750</v>
      </c>
      <c r="C6426" s="109" t="str">
        <f>IF(ISBLANK(K6426),IFERROR(VLOOKUP(I6426,FS_input_data!$C$458:$N$648,Export!J6426,FALSE),""),K6426)</f>
        <v/>
      </c>
      <c r="D6426" s="6"/>
      <c r="E6426" s="6"/>
      <c r="F6426" s="6"/>
      <c r="G6426" s="119" t="b">
        <f t="shared" si="376"/>
        <v>0</v>
      </c>
      <c r="H6426" s="6" t="s">
        <v>2189</v>
      </c>
      <c r="I6426" t="s">
        <v>1561</v>
      </c>
      <c r="J6426" t="s">
        <v>1561</v>
      </c>
      <c r="L6426">
        <f t="shared" si="373"/>
        <v>1</v>
      </c>
    </row>
    <row r="6427" spans="1:12" x14ac:dyDescent="0.35">
      <c r="A6427">
        <f t="shared" si="374"/>
        <v>6426</v>
      </c>
      <c r="B6427" t="s">
        <v>743</v>
      </c>
      <c r="C6427" s="109" t="str">
        <f>IF(ISBLANK(K6427),IFERROR(VLOOKUP(I6427,FS_input_data!$C$458:$N$648,Export!J6427,FALSE),""),K6427)</f>
        <v/>
      </c>
      <c r="D6427" s="6"/>
      <c r="E6427" s="6"/>
      <c r="F6427" s="6"/>
      <c r="G6427" s="119" t="b">
        <f t="shared" si="376"/>
        <v>0</v>
      </c>
      <c r="H6427" s="6" t="s">
        <v>2189</v>
      </c>
      <c r="I6427" t="s">
        <v>1561</v>
      </c>
      <c r="J6427" t="s">
        <v>1561</v>
      </c>
      <c r="L6427">
        <f t="shared" si="373"/>
        <v>1</v>
      </c>
    </row>
    <row r="6428" spans="1:12" x14ac:dyDescent="0.35">
      <c r="A6428">
        <f t="shared" si="374"/>
        <v>6427</v>
      </c>
      <c r="B6428" t="s">
        <v>744</v>
      </c>
      <c r="C6428" s="109" t="str">
        <f>IF(ISBLANK(K6428),IFERROR(VLOOKUP(I6428,FS_input_data!$C$458:$N$648,Export!J6428,FALSE),""),K6428)</f>
        <v/>
      </c>
      <c r="D6428" s="6"/>
      <c r="E6428" s="6"/>
      <c r="F6428" s="6"/>
      <c r="G6428" s="119" t="b">
        <f t="shared" ref="G6428:G6435" si="377">RP_tax</f>
        <v>1</v>
      </c>
      <c r="H6428" s="6" t="s">
        <v>2189</v>
      </c>
      <c r="I6428" t="s">
        <v>1561</v>
      </c>
      <c r="J6428" t="s">
        <v>1561</v>
      </c>
      <c r="L6428" s="26" t="e">
        <f t="shared" si="373"/>
        <v>#VALUE!</v>
      </c>
    </row>
    <row r="6429" spans="1:12" x14ac:dyDescent="0.35">
      <c r="A6429" s="9">
        <f t="shared" si="374"/>
        <v>6428</v>
      </c>
      <c r="B6429" t="s">
        <v>109</v>
      </c>
      <c r="C6429" s="109">
        <f>IF(ISBLANK(K6429),IFERROR(VLOOKUP(I6429,FS_input_data!$C$458:$N$648,Export!J6429,FALSE),""),K6429)</f>
        <v>21000</v>
      </c>
      <c r="D6429" s="6" t="b">
        <v>1</v>
      </c>
      <c r="E6429" s="6"/>
      <c r="F6429" s="6"/>
      <c r="G6429" s="119" t="b">
        <f t="shared" si="377"/>
        <v>1</v>
      </c>
      <c r="H6429" s="6" t="s">
        <v>2189</v>
      </c>
      <c r="I6429" t="s">
        <v>2198</v>
      </c>
      <c r="J6429">
        <v>10</v>
      </c>
      <c r="L6429" s="26" t="e">
        <f t="shared" si="373"/>
        <v>#VALUE!</v>
      </c>
    </row>
    <row r="6430" spans="1:12" x14ac:dyDescent="0.35">
      <c r="A6430">
        <f t="shared" si="374"/>
        <v>6429</v>
      </c>
      <c r="B6430" t="s">
        <v>110</v>
      </c>
      <c r="C6430" s="109" t="str">
        <f>IF(ISBLANK(K6430),IFERROR(VLOOKUP(I6430,FS_input_data!$C$458:$N$648,Export!J6430,FALSE),""),K6430)</f>
        <v/>
      </c>
      <c r="D6430" s="6"/>
      <c r="E6430" s="6"/>
      <c r="F6430" s="6"/>
      <c r="G6430" s="119" t="b">
        <f t="shared" si="377"/>
        <v>1</v>
      </c>
      <c r="H6430" s="6" t="s">
        <v>2189</v>
      </c>
      <c r="I6430" t="s">
        <v>1561</v>
      </c>
      <c r="J6430" t="s">
        <v>1561</v>
      </c>
      <c r="L6430">
        <f t="shared" si="373"/>
        <v>1</v>
      </c>
    </row>
    <row r="6431" spans="1:12" x14ac:dyDescent="0.35">
      <c r="A6431" s="9">
        <f t="shared" si="374"/>
        <v>6430</v>
      </c>
      <c r="B6431" t="s">
        <v>111</v>
      </c>
      <c r="C6431" s="109">
        <f>IF(ISBLANK(K6431),IFERROR(VLOOKUP(I6431,FS_input_data!$C$458:$N$648,Export!J6431,FALSE),""),K6431)</f>
        <v>10500</v>
      </c>
      <c r="D6431" s="6" t="b">
        <v>0</v>
      </c>
      <c r="E6431" s="6"/>
      <c r="F6431" s="6"/>
      <c r="G6431" s="119" t="b">
        <f t="shared" si="377"/>
        <v>1</v>
      </c>
      <c r="H6431" s="6" t="s">
        <v>2189</v>
      </c>
      <c r="I6431" t="s">
        <v>2198</v>
      </c>
      <c r="J6431">
        <v>11</v>
      </c>
      <c r="L6431" s="26" t="e">
        <f t="shared" si="373"/>
        <v>#VALUE!</v>
      </c>
    </row>
    <row r="6432" spans="1:12" x14ac:dyDescent="0.35">
      <c r="A6432">
        <f t="shared" si="374"/>
        <v>6431</v>
      </c>
      <c r="B6432" t="s">
        <v>112</v>
      </c>
      <c r="C6432" s="109" t="str">
        <f>IF(ISBLANK(K6432),IFERROR(VLOOKUP(I6432,FS_input_data!$C$458:$N$648,Export!J6432,FALSE),""),K6432)</f>
        <v/>
      </c>
      <c r="D6432" s="6"/>
      <c r="E6432" s="6"/>
      <c r="F6432" s="6"/>
      <c r="G6432" s="119" t="b">
        <f t="shared" si="377"/>
        <v>1</v>
      </c>
      <c r="H6432" s="6" t="s">
        <v>2189</v>
      </c>
      <c r="I6432" t="s">
        <v>1561</v>
      </c>
      <c r="J6432" t="s">
        <v>1561</v>
      </c>
      <c r="L6432">
        <f t="shared" si="373"/>
        <v>1</v>
      </c>
    </row>
    <row r="6433" spans="1:12" x14ac:dyDescent="0.35">
      <c r="A6433" s="9">
        <f t="shared" si="374"/>
        <v>6432</v>
      </c>
      <c r="B6433" t="s">
        <v>749</v>
      </c>
      <c r="C6433" s="109">
        <f>IF(ISBLANK(K6433),IFERROR(VLOOKUP(I6433,FS_input_data!$C$458:$N$648,Export!J6433,FALSE),""),K6433)</f>
        <v>10500</v>
      </c>
      <c r="D6433" s="6" t="b">
        <v>0</v>
      </c>
      <c r="E6433" s="6"/>
      <c r="F6433" s="6"/>
      <c r="G6433" s="119" t="b">
        <f t="shared" si="377"/>
        <v>1</v>
      </c>
      <c r="H6433" s="6" t="s">
        <v>2189</v>
      </c>
      <c r="I6433" t="s">
        <v>2198</v>
      </c>
      <c r="J6433">
        <v>12</v>
      </c>
      <c r="L6433" s="26" t="e">
        <f t="shared" si="373"/>
        <v>#VALUE!</v>
      </c>
    </row>
    <row r="6434" spans="1:12" x14ac:dyDescent="0.35">
      <c r="A6434">
        <f t="shared" si="374"/>
        <v>6433</v>
      </c>
      <c r="B6434" t="s">
        <v>750</v>
      </c>
      <c r="C6434" s="109" t="str">
        <f>IF(ISBLANK(K6434),IFERROR(VLOOKUP(I6434,FS_input_data!$C$458:$N$648,Export!J6434,FALSE),""),K6434)</f>
        <v/>
      </c>
      <c r="D6434" s="6"/>
      <c r="E6434" s="6"/>
      <c r="F6434" s="6"/>
      <c r="G6434" s="119" t="b">
        <f t="shared" si="377"/>
        <v>1</v>
      </c>
      <c r="H6434" s="6" t="s">
        <v>2189</v>
      </c>
      <c r="I6434" t="s">
        <v>1561</v>
      </c>
      <c r="J6434" t="s">
        <v>1561</v>
      </c>
      <c r="L6434">
        <f t="shared" si="373"/>
        <v>1</v>
      </c>
    </row>
    <row r="6435" spans="1:12" x14ac:dyDescent="0.35">
      <c r="A6435">
        <f t="shared" si="374"/>
        <v>6434</v>
      </c>
      <c r="B6435" t="s">
        <v>745</v>
      </c>
      <c r="C6435" s="109" t="str">
        <f>IF(ISBLANK(K6435),IFERROR(VLOOKUP(I6435,FS_input_data!$C$458:$N$648,Export!J6435,FALSE),""),K6435)</f>
        <v/>
      </c>
      <c r="D6435" s="6"/>
      <c r="E6435" s="6"/>
      <c r="F6435" s="6"/>
      <c r="G6435" s="119" t="b">
        <f t="shared" si="377"/>
        <v>1</v>
      </c>
      <c r="H6435" s="6" t="s">
        <v>2189</v>
      </c>
      <c r="I6435" t="s">
        <v>1561</v>
      </c>
      <c r="J6435" t="s">
        <v>1561</v>
      </c>
      <c r="L6435">
        <f t="shared" si="373"/>
        <v>1</v>
      </c>
    </row>
    <row r="6436" spans="1:12" x14ac:dyDescent="0.35">
      <c r="A6436">
        <f t="shared" si="374"/>
        <v>6435</v>
      </c>
      <c r="B6436" t="s">
        <v>767</v>
      </c>
      <c r="C6436" s="109" t="str">
        <f>IF(ISBLANK(K6436),IFERROR(VLOOKUP(I6436,FS_input_data!$C$458:$N$648,Export!J6436,FALSE),""),K6436)</f>
        <v/>
      </c>
      <c r="D6436" s="6"/>
      <c r="E6436" s="6"/>
      <c r="F6436" s="6"/>
      <c r="G6436" s="119" t="b">
        <f t="shared" ref="G6436:G6447" si="378">VLOOKUP($I$6421,FS_input_noty,$J$6421,FALSE)=""</f>
        <v>0</v>
      </c>
      <c r="H6436" s="6" t="s">
        <v>2189</v>
      </c>
      <c r="I6436" t="s">
        <v>1561</v>
      </c>
      <c r="J6436" t="s">
        <v>1561</v>
      </c>
      <c r="L6436">
        <f t="shared" si="373"/>
        <v>1</v>
      </c>
    </row>
    <row r="6437" spans="1:12" x14ac:dyDescent="0.35">
      <c r="A6437">
        <f t="shared" si="374"/>
        <v>6436</v>
      </c>
      <c r="B6437" t="s">
        <v>776</v>
      </c>
      <c r="C6437" s="109" t="str">
        <f>IF(ISBLANK(K6437),IFERROR(VLOOKUP(I6437,FS_input_data!$C$458:$N$648,Export!J6437,FALSE),""),K6437)</f>
        <v/>
      </c>
      <c r="D6437" s="6"/>
      <c r="E6437" s="6"/>
      <c r="F6437" s="6"/>
      <c r="G6437" s="119" t="b">
        <f t="shared" si="378"/>
        <v>0</v>
      </c>
      <c r="H6437" s="6" t="s">
        <v>2189</v>
      </c>
      <c r="I6437" t="s">
        <v>1561</v>
      </c>
      <c r="J6437" t="s">
        <v>1561</v>
      </c>
      <c r="L6437">
        <f t="shared" si="373"/>
        <v>1</v>
      </c>
    </row>
    <row r="6438" spans="1:12" x14ac:dyDescent="0.35">
      <c r="A6438">
        <f t="shared" si="374"/>
        <v>6437</v>
      </c>
      <c r="B6438" t="s">
        <v>777</v>
      </c>
      <c r="C6438" s="109" t="str">
        <f>IF(ISBLANK(K6438),IFERROR(VLOOKUP(I6438,FS_input_data!$C$458:$N$648,Export!J6438,FALSE),""),K6438)</f>
        <v/>
      </c>
      <c r="D6438" s="6"/>
      <c r="E6438" s="43" t="s">
        <v>2235</v>
      </c>
      <c r="F6438" s="6"/>
      <c r="G6438" s="119" t="b">
        <f t="shared" si="378"/>
        <v>0</v>
      </c>
      <c r="H6438" s="6" t="s">
        <v>2189</v>
      </c>
      <c r="I6438" t="s">
        <v>1561</v>
      </c>
      <c r="J6438" t="s">
        <v>1561</v>
      </c>
      <c r="L6438" s="26" t="e">
        <f t="shared" si="373"/>
        <v>#VALUE!</v>
      </c>
    </row>
    <row r="6439" spans="1:12" x14ac:dyDescent="0.35">
      <c r="A6439">
        <f t="shared" si="374"/>
        <v>6438</v>
      </c>
      <c r="B6439" t="s">
        <v>748</v>
      </c>
      <c r="C6439" s="109" t="str">
        <f>IF(ISBLANK(K6439),IFERROR(VLOOKUP(I6439,FS_input_data!$C$458:$N$648,Export!J6439,FALSE),""),K6439)</f>
        <v/>
      </c>
      <c r="D6439" s="6"/>
      <c r="E6439" s="6"/>
      <c r="F6439" s="6"/>
      <c r="G6439" s="119" t="b">
        <f t="shared" si="378"/>
        <v>0</v>
      </c>
      <c r="H6439" s="6" t="s">
        <v>2189</v>
      </c>
      <c r="I6439" t="s">
        <v>1561</v>
      </c>
      <c r="J6439" t="s">
        <v>1561</v>
      </c>
      <c r="L6439" s="26" t="e">
        <f t="shared" si="373"/>
        <v>#VALUE!</v>
      </c>
    </row>
    <row r="6440" spans="1:12" x14ac:dyDescent="0.35">
      <c r="A6440">
        <f t="shared" si="374"/>
        <v>6439</v>
      </c>
      <c r="B6440" t="s">
        <v>742</v>
      </c>
      <c r="C6440" s="109" t="str">
        <f>IF(ISBLANK(K6440),IFERROR(VLOOKUP(I6440,FS_input_data!$C$458:$N$648,Export!J6440,FALSE),""),K6440)</f>
        <v/>
      </c>
      <c r="D6440" s="6"/>
      <c r="E6440" s="6"/>
      <c r="F6440" s="6"/>
      <c r="G6440" s="119" t="b">
        <f t="shared" si="378"/>
        <v>0</v>
      </c>
      <c r="H6440" s="6" t="s">
        <v>2189</v>
      </c>
      <c r="I6440" t="s">
        <v>1561</v>
      </c>
      <c r="J6440" t="s">
        <v>1561</v>
      </c>
      <c r="L6440" s="26" t="e">
        <f t="shared" si="373"/>
        <v>#VALUE!</v>
      </c>
    </row>
    <row r="6441" spans="1:12" x14ac:dyDescent="0.35">
      <c r="A6441" s="9">
        <f t="shared" si="374"/>
        <v>6440</v>
      </c>
      <c r="B6441" t="s">
        <v>109</v>
      </c>
      <c r="C6441" s="109">
        <f>IF(ISBLANK(K6441),IFERROR(VLOOKUP(I6441,FS_input_data!$C$458:$N$648,Export!J6441,FALSE),""),K6441)</f>
        <v>44000</v>
      </c>
      <c r="D6441" s="6" t="b">
        <v>1</v>
      </c>
      <c r="E6441" s="6"/>
      <c r="F6441" s="6"/>
      <c r="G6441" s="119" t="b">
        <f t="shared" si="378"/>
        <v>0</v>
      </c>
      <c r="H6441" s="6" t="s">
        <v>2189</v>
      </c>
      <c r="I6441" t="s">
        <v>2200</v>
      </c>
      <c r="J6441">
        <v>7</v>
      </c>
      <c r="L6441" s="26" t="e">
        <f t="shared" si="373"/>
        <v>#VALUE!</v>
      </c>
    </row>
    <row r="6442" spans="1:12" x14ac:dyDescent="0.35">
      <c r="A6442">
        <f t="shared" si="374"/>
        <v>6441</v>
      </c>
      <c r="B6442" t="s">
        <v>110</v>
      </c>
      <c r="C6442" s="109" t="str">
        <f>IF(ISBLANK(K6442),IFERROR(VLOOKUP(I6442,FS_input_data!$C$458:$N$648,Export!J6442,FALSE),""),K6442)</f>
        <v/>
      </c>
      <c r="D6442" s="6"/>
      <c r="E6442" s="6"/>
      <c r="F6442" s="6"/>
      <c r="G6442" s="119" t="b">
        <f t="shared" si="378"/>
        <v>0</v>
      </c>
      <c r="H6442" s="6" t="s">
        <v>2189</v>
      </c>
      <c r="I6442" t="s">
        <v>1561</v>
      </c>
      <c r="J6442" t="s">
        <v>1561</v>
      </c>
      <c r="L6442">
        <f t="shared" si="373"/>
        <v>1</v>
      </c>
    </row>
    <row r="6443" spans="1:12" x14ac:dyDescent="0.35">
      <c r="A6443" s="9">
        <f t="shared" si="374"/>
        <v>6442</v>
      </c>
      <c r="B6443" t="s">
        <v>111</v>
      </c>
      <c r="C6443" s="109">
        <f>IF(ISBLANK(K6443),IFERROR(VLOOKUP(I6443,FS_input_data!$C$458:$N$648,Export!J6443,FALSE),""),K6443)</f>
        <v>22000</v>
      </c>
      <c r="D6443" s="6" t="b">
        <v>0</v>
      </c>
      <c r="E6443" s="6"/>
      <c r="F6443" s="6"/>
      <c r="G6443" s="119" t="b">
        <f t="shared" si="378"/>
        <v>0</v>
      </c>
      <c r="H6443" s="6" t="s">
        <v>2189</v>
      </c>
      <c r="I6443" t="s">
        <v>2200</v>
      </c>
      <c r="J6443">
        <v>8</v>
      </c>
      <c r="L6443" s="26" t="e">
        <f t="shared" si="373"/>
        <v>#VALUE!</v>
      </c>
    </row>
    <row r="6444" spans="1:12" x14ac:dyDescent="0.35">
      <c r="A6444">
        <f t="shared" si="374"/>
        <v>6443</v>
      </c>
      <c r="B6444" t="s">
        <v>112</v>
      </c>
      <c r="C6444" s="109" t="str">
        <f>IF(ISBLANK(K6444),IFERROR(VLOOKUP(I6444,FS_input_data!$C$458:$N$648,Export!J6444,FALSE),""),K6444)</f>
        <v/>
      </c>
      <c r="D6444" s="6"/>
      <c r="E6444" s="6"/>
      <c r="F6444" s="6"/>
      <c r="G6444" s="119" t="b">
        <f t="shared" si="378"/>
        <v>0</v>
      </c>
      <c r="H6444" s="6" t="s">
        <v>2189</v>
      </c>
      <c r="I6444" t="s">
        <v>1561</v>
      </c>
      <c r="J6444" t="s">
        <v>1561</v>
      </c>
      <c r="L6444">
        <f t="shared" si="373"/>
        <v>1</v>
      </c>
    </row>
    <row r="6445" spans="1:12" x14ac:dyDescent="0.35">
      <c r="A6445" s="9">
        <f t="shared" si="374"/>
        <v>6444</v>
      </c>
      <c r="B6445" t="s">
        <v>749</v>
      </c>
      <c r="C6445" s="109">
        <f>IF(ISBLANK(K6445),IFERROR(VLOOKUP(I6445,FS_input_data!$C$458:$N$648,Export!J6445,FALSE),""),K6445)</f>
        <v>22000</v>
      </c>
      <c r="D6445" s="6" t="b">
        <v>0</v>
      </c>
      <c r="E6445" s="6"/>
      <c r="F6445" s="6"/>
      <c r="G6445" s="119" t="b">
        <f t="shared" si="378"/>
        <v>0</v>
      </c>
      <c r="H6445" s="6" t="s">
        <v>2189</v>
      </c>
      <c r="I6445" t="s">
        <v>2200</v>
      </c>
      <c r="J6445">
        <v>9</v>
      </c>
      <c r="L6445" s="26" t="e">
        <f t="shared" si="373"/>
        <v>#VALUE!</v>
      </c>
    </row>
    <row r="6446" spans="1:12" x14ac:dyDescent="0.35">
      <c r="A6446">
        <f t="shared" si="374"/>
        <v>6445</v>
      </c>
      <c r="B6446" t="s">
        <v>750</v>
      </c>
      <c r="C6446" s="109" t="str">
        <f>IF(ISBLANK(K6446),IFERROR(VLOOKUP(I6446,FS_input_data!$C$458:$N$648,Export!J6446,FALSE),""),K6446)</f>
        <v/>
      </c>
      <c r="D6446" s="6"/>
      <c r="E6446" s="6"/>
      <c r="F6446" s="6"/>
      <c r="G6446" s="119" t="b">
        <f t="shared" si="378"/>
        <v>0</v>
      </c>
      <c r="H6446" s="6" t="s">
        <v>2189</v>
      </c>
      <c r="I6446" t="s">
        <v>1561</v>
      </c>
      <c r="J6446" t="s">
        <v>1561</v>
      </c>
      <c r="L6446">
        <f t="shared" si="373"/>
        <v>1</v>
      </c>
    </row>
    <row r="6447" spans="1:12" x14ac:dyDescent="0.35">
      <c r="A6447">
        <f t="shared" si="374"/>
        <v>6446</v>
      </c>
      <c r="B6447" t="s">
        <v>743</v>
      </c>
      <c r="C6447" s="109" t="str">
        <f>IF(ISBLANK(K6447),IFERROR(VLOOKUP(I6447,FS_input_data!$C$458:$N$648,Export!J6447,FALSE),""),K6447)</f>
        <v/>
      </c>
      <c r="D6447" s="6"/>
      <c r="E6447" s="6"/>
      <c r="F6447" s="6"/>
      <c r="G6447" s="119" t="b">
        <f t="shared" si="378"/>
        <v>0</v>
      </c>
      <c r="H6447" s="6" t="s">
        <v>2189</v>
      </c>
      <c r="I6447" t="s">
        <v>1561</v>
      </c>
      <c r="J6447" t="s">
        <v>1561</v>
      </c>
      <c r="L6447">
        <f t="shared" si="373"/>
        <v>1</v>
      </c>
    </row>
    <row r="6448" spans="1:12" x14ac:dyDescent="0.35">
      <c r="A6448">
        <f t="shared" si="374"/>
        <v>6447</v>
      </c>
      <c r="B6448" t="s">
        <v>744</v>
      </c>
      <c r="C6448" s="109" t="str">
        <f>IF(ISBLANK(K6448),IFERROR(VLOOKUP(I6448,FS_input_data!$C$458:$N$648,Export!J6448,FALSE),""),K6448)</f>
        <v/>
      </c>
      <c r="D6448" s="6"/>
      <c r="E6448" s="6"/>
      <c r="F6448" s="6"/>
      <c r="G6448" s="119" t="b">
        <f t="shared" ref="G6448:G6455" si="379">RP_tax</f>
        <v>1</v>
      </c>
      <c r="H6448" s="6" t="s">
        <v>2189</v>
      </c>
      <c r="I6448" t="s">
        <v>1561</v>
      </c>
      <c r="J6448" t="s">
        <v>1561</v>
      </c>
      <c r="L6448" s="26" t="e">
        <f t="shared" si="373"/>
        <v>#VALUE!</v>
      </c>
    </row>
    <row r="6449" spans="1:12" x14ac:dyDescent="0.35">
      <c r="A6449" s="9">
        <f t="shared" si="374"/>
        <v>6448</v>
      </c>
      <c r="B6449" t="s">
        <v>109</v>
      </c>
      <c r="C6449" s="109">
        <f>IF(ISBLANK(K6449),IFERROR(VLOOKUP(I6449,FS_input_data!$C$458:$N$648,Export!J6449,FALSE),""),K6449)</f>
        <v>44000</v>
      </c>
      <c r="D6449" s="6" t="b">
        <v>1</v>
      </c>
      <c r="E6449" s="6"/>
      <c r="F6449" s="6"/>
      <c r="G6449" s="119" t="b">
        <f t="shared" si="379"/>
        <v>1</v>
      </c>
      <c r="H6449" s="6" t="s">
        <v>2189</v>
      </c>
      <c r="I6449" t="s">
        <v>2200</v>
      </c>
      <c r="J6449">
        <v>10</v>
      </c>
      <c r="L6449" s="26" t="e">
        <f t="shared" si="373"/>
        <v>#VALUE!</v>
      </c>
    </row>
    <row r="6450" spans="1:12" x14ac:dyDescent="0.35">
      <c r="A6450">
        <f t="shared" si="374"/>
        <v>6449</v>
      </c>
      <c r="B6450" t="s">
        <v>110</v>
      </c>
      <c r="C6450" s="109" t="str">
        <f>IF(ISBLANK(K6450),IFERROR(VLOOKUP(I6450,FS_input_data!$C$458:$N$648,Export!J6450,FALSE),""),K6450)</f>
        <v/>
      </c>
      <c r="D6450" s="6"/>
      <c r="E6450" s="6"/>
      <c r="F6450" s="6"/>
      <c r="G6450" s="119" t="b">
        <f t="shared" si="379"/>
        <v>1</v>
      </c>
      <c r="H6450" s="6" t="s">
        <v>2189</v>
      </c>
      <c r="I6450" t="s">
        <v>1561</v>
      </c>
      <c r="J6450" t="s">
        <v>1561</v>
      </c>
      <c r="L6450">
        <f t="shared" si="373"/>
        <v>1</v>
      </c>
    </row>
    <row r="6451" spans="1:12" x14ac:dyDescent="0.35">
      <c r="A6451" s="9">
        <f t="shared" si="374"/>
        <v>6450</v>
      </c>
      <c r="B6451" t="s">
        <v>111</v>
      </c>
      <c r="C6451" s="109">
        <f>IF(ISBLANK(K6451),IFERROR(VLOOKUP(I6451,FS_input_data!$C$458:$N$648,Export!J6451,FALSE),""),K6451)</f>
        <v>22000</v>
      </c>
      <c r="D6451" s="6" t="b">
        <v>0</v>
      </c>
      <c r="E6451" s="6"/>
      <c r="F6451" s="6"/>
      <c r="G6451" s="119" t="b">
        <f t="shared" si="379"/>
        <v>1</v>
      </c>
      <c r="H6451" s="6" t="s">
        <v>2189</v>
      </c>
      <c r="I6451" t="s">
        <v>2200</v>
      </c>
      <c r="J6451">
        <v>11</v>
      </c>
      <c r="L6451" s="26" t="e">
        <f t="shared" si="373"/>
        <v>#VALUE!</v>
      </c>
    </row>
    <row r="6452" spans="1:12" x14ac:dyDescent="0.35">
      <c r="A6452">
        <f t="shared" si="374"/>
        <v>6451</v>
      </c>
      <c r="B6452" t="s">
        <v>112</v>
      </c>
      <c r="C6452" s="109" t="str">
        <f>IF(ISBLANK(K6452),IFERROR(VLOOKUP(I6452,FS_input_data!$C$458:$N$648,Export!J6452,FALSE),""),K6452)</f>
        <v/>
      </c>
      <c r="D6452" s="6"/>
      <c r="E6452" s="6"/>
      <c r="F6452" s="6"/>
      <c r="G6452" s="119" t="b">
        <f t="shared" si="379"/>
        <v>1</v>
      </c>
      <c r="H6452" s="6" t="s">
        <v>2189</v>
      </c>
      <c r="I6452" t="s">
        <v>1561</v>
      </c>
      <c r="J6452" t="s">
        <v>1561</v>
      </c>
      <c r="L6452">
        <f t="shared" si="373"/>
        <v>1</v>
      </c>
    </row>
    <row r="6453" spans="1:12" x14ac:dyDescent="0.35">
      <c r="A6453" s="9">
        <f t="shared" si="374"/>
        <v>6452</v>
      </c>
      <c r="B6453" t="s">
        <v>749</v>
      </c>
      <c r="C6453" s="109">
        <f>IF(ISBLANK(K6453),IFERROR(VLOOKUP(I6453,FS_input_data!$C$458:$N$648,Export!J6453,FALSE),""),K6453)</f>
        <v>22000</v>
      </c>
      <c r="D6453" s="6" t="b">
        <v>0</v>
      </c>
      <c r="E6453" s="6"/>
      <c r="F6453" s="6"/>
      <c r="G6453" s="119" t="b">
        <f t="shared" si="379"/>
        <v>1</v>
      </c>
      <c r="H6453" s="6" t="s">
        <v>2189</v>
      </c>
      <c r="I6453" t="s">
        <v>2200</v>
      </c>
      <c r="J6453">
        <v>12</v>
      </c>
      <c r="L6453" s="26" t="e">
        <f t="shared" si="373"/>
        <v>#VALUE!</v>
      </c>
    </row>
    <row r="6454" spans="1:12" x14ac:dyDescent="0.35">
      <c r="A6454">
        <f t="shared" si="374"/>
        <v>6453</v>
      </c>
      <c r="B6454" t="s">
        <v>750</v>
      </c>
      <c r="C6454" s="109" t="str">
        <f>IF(ISBLANK(K6454),IFERROR(VLOOKUP(I6454,FS_input_data!$C$458:$N$648,Export!J6454,FALSE),""),K6454)</f>
        <v/>
      </c>
      <c r="D6454" s="6"/>
      <c r="E6454" s="6"/>
      <c r="F6454" s="6"/>
      <c r="G6454" s="119" t="b">
        <f t="shared" si="379"/>
        <v>1</v>
      </c>
      <c r="H6454" s="6" t="s">
        <v>2189</v>
      </c>
      <c r="I6454" t="s">
        <v>1561</v>
      </c>
      <c r="J6454" t="s">
        <v>1561</v>
      </c>
      <c r="L6454">
        <f t="shared" si="373"/>
        <v>1</v>
      </c>
    </row>
    <row r="6455" spans="1:12" x14ac:dyDescent="0.35">
      <c r="A6455">
        <f t="shared" si="374"/>
        <v>6454</v>
      </c>
      <c r="B6455" t="s">
        <v>745</v>
      </c>
      <c r="C6455" s="109" t="str">
        <f>IF(ISBLANK(K6455),IFERROR(VLOOKUP(I6455,FS_input_data!$C$458:$N$648,Export!J6455,FALSE),""),K6455)</f>
        <v/>
      </c>
      <c r="D6455" s="6"/>
      <c r="E6455" s="6"/>
      <c r="F6455" s="6"/>
      <c r="G6455" s="119" t="b">
        <f t="shared" si="379"/>
        <v>1</v>
      </c>
      <c r="H6455" s="6" t="s">
        <v>2189</v>
      </c>
      <c r="I6455" t="s">
        <v>1561</v>
      </c>
      <c r="J6455" t="s">
        <v>1561</v>
      </c>
      <c r="L6455">
        <f t="shared" si="373"/>
        <v>1</v>
      </c>
    </row>
    <row r="6456" spans="1:12" x14ac:dyDescent="0.35">
      <c r="A6456">
        <f t="shared" si="374"/>
        <v>6455</v>
      </c>
      <c r="B6456" t="s">
        <v>751</v>
      </c>
      <c r="C6456" s="109" t="str">
        <f>IF(ISBLANK(K6456),IFERROR(VLOOKUP(I6456,FS_input_data!$C$458:$N$648,Export!J6456,FALSE),""),K6456)</f>
        <v/>
      </c>
      <c r="D6456" s="6"/>
      <c r="E6456" s="6"/>
      <c r="F6456" s="6"/>
      <c r="G6456" s="119" t="b">
        <f t="shared" ref="G6456:G6480" si="380">VLOOKUP($I$6421,FS_input_noty,$J$6421,FALSE)=""</f>
        <v>0</v>
      </c>
      <c r="H6456" s="6" t="s">
        <v>2189</v>
      </c>
      <c r="I6456" t="s">
        <v>1561</v>
      </c>
      <c r="J6456" t="s">
        <v>1561</v>
      </c>
      <c r="L6456">
        <f t="shared" si="373"/>
        <v>1</v>
      </c>
    </row>
    <row r="6457" spans="1:12" x14ac:dyDescent="0.35">
      <c r="A6457">
        <f t="shared" si="374"/>
        <v>6456</v>
      </c>
      <c r="B6457" t="s">
        <v>752</v>
      </c>
      <c r="C6457" s="109" t="str">
        <f>IF(ISBLANK(K6457),IFERROR(VLOOKUP(I6457,FS_input_data!$C$458:$N$648,Export!J6457,FALSE),""),K6457)</f>
        <v/>
      </c>
      <c r="D6457" s="6"/>
      <c r="E6457" s="6"/>
      <c r="F6457" s="6"/>
      <c r="G6457" s="119" t="b">
        <f t="shared" si="380"/>
        <v>0</v>
      </c>
      <c r="H6457" s="6" t="s">
        <v>2189</v>
      </c>
      <c r="I6457" t="s">
        <v>1561</v>
      </c>
      <c r="J6457" t="s">
        <v>1561</v>
      </c>
      <c r="L6457" s="26" t="e">
        <f t="shared" si="373"/>
        <v>#VALUE!</v>
      </c>
    </row>
    <row r="6458" spans="1:12" x14ac:dyDescent="0.35">
      <c r="A6458" s="9">
        <f t="shared" si="374"/>
        <v>6457</v>
      </c>
      <c r="B6458" t="s">
        <v>101</v>
      </c>
      <c r="C6458" s="109" t="str">
        <f>IF(ISBLANK(K6458),IFERROR(VLOOKUP(I6458,FS_input_data!$C$458:$N$648,Export!J6458,FALSE),""),K6458)</f>
        <v>OC98</v>
      </c>
      <c r="D6458" s="6" t="b">
        <v>1</v>
      </c>
      <c r="E6458" s="6"/>
      <c r="F6458" s="6"/>
      <c r="G6458" s="119" t="b">
        <f t="shared" si="380"/>
        <v>0</v>
      </c>
      <c r="H6458" s="6" t="s">
        <v>2189</v>
      </c>
      <c r="I6458" t="s">
        <v>2052</v>
      </c>
      <c r="J6458">
        <v>6</v>
      </c>
      <c r="L6458" s="26" t="e">
        <f t="shared" si="373"/>
        <v>#VALUE!</v>
      </c>
    </row>
    <row r="6459" spans="1:12" x14ac:dyDescent="0.35">
      <c r="A6459">
        <f t="shared" si="374"/>
        <v>6458</v>
      </c>
      <c r="B6459" t="s">
        <v>102</v>
      </c>
      <c r="C6459" s="109" t="str">
        <f>IF(ISBLANK(K6459),IFERROR(VLOOKUP(I6459,FS_input_data!$C$458:$N$648,Export!J6459,FALSE),""),K6459)</f>
        <v/>
      </c>
      <c r="E6459" s="6"/>
      <c r="F6459" s="6"/>
      <c r="G6459" s="119" t="b">
        <f t="shared" si="380"/>
        <v>0</v>
      </c>
      <c r="H6459" s="6" t="s">
        <v>2189</v>
      </c>
      <c r="I6459" t="s">
        <v>1561</v>
      </c>
      <c r="J6459" t="s">
        <v>1561</v>
      </c>
      <c r="L6459">
        <f t="shared" si="373"/>
        <v>1</v>
      </c>
    </row>
    <row r="6460" spans="1:12" x14ac:dyDescent="0.35">
      <c r="A6460">
        <f t="shared" si="374"/>
        <v>6459</v>
      </c>
      <c r="B6460" t="s">
        <v>753</v>
      </c>
      <c r="C6460" s="109" t="str">
        <f>IF(ISBLANK(K6460),IFERROR(VLOOKUP(I6460,FS_input_data!$C$458:$N$648,Export!J6460,FALSE),""),K6460)</f>
        <v/>
      </c>
      <c r="E6460" s="6"/>
      <c r="F6460" s="6"/>
      <c r="G6460" s="119" t="b">
        <f t="shared" si="380"/>
        <v>0</v>
      </c>
      <c r="H6460" s="6" t="s">
        <v>2189</v>
      </c>
      <c r="I6460" t="s">
        <v>1561</v>
      </c>
      <c r="J6460" t="s">
        <v>1561</v>
      </c>
      <c r="L6460" s="26" t="e">
        <f t="shared" si="373"/>
        <v>#VALUE!</v>
      </c>
    </row>
    <row r="6461" spans="1:12" x14ac:dyDescent="0.35">
      <c r="A6461">
        <f t="shared" si="374"/>
        <v>6460</v>
      </c>
      <c r="B6461" t="s">
        <v>742</v>
      </c>
      <c r="C6461" s="109" t="str">
        <f>IF(ISBLANK(K6461),IFERROR(VLOOKUP(I6461,FS_input_data!$C$458:$N$648,Export!J6461,FALSE),""),K6461)</f>
        <v/>
      </c>
      <c r="E6461" s="6"/>
      <c r="F6461" s="6"/>
      <c r="G6461" s="119" t="b">
        <f t="shared" si="380"/>
        <v>0</v>
      </c>
      <c r="H6461" s="6" t="s">
        <v>2189</v>
      </c>
      <c r="I6461" t="s">
        <v>1561</v>
      </c>
      <c r="J6461" t="s">
        <v>1561</v>
      </c>
      <c r="L6461" s="26" t="e">
        <f t="shared" si="373"/>
        <v>#VALUE!</v>
      </c>
    </row>
    <row r="6462" spans="1:12" x14ac:dyDescent="0.35">
      <c r="A6462">
        <f t="shared" si="374"/>
        <v>6461</v>
      </c>
      <c r="B6462" t="s">
        <v>748</v>
      </c>
      <c r="C6462" s="109" t="str">
        <f>IF(ISBLANK(K6462),IFERROR(VLOOKUP(I6462,FS_input_data!$C$458:$N$648,Export!J6462,FALSE),""),K6462)</f>
        <v/>
      </c>
      <c r="E6462" s="6"/>
      <c r="F6462" s="6"/>
      <c r="G6462" s="119" t="b">
        <f t="shared" si="380"/>
        <v>0</v>
      </c>
      <c r="H6462" s="6" t="s">
        <v>2189</v>
      </c>
      <c r="I6462" t="s">
        <v>1561</v>
      </c>
      <c r="J6462" t="s">
        <v>1561</v>
      </c>
      <c r="L6462" s="26" t="e">
        <f t="shared" si="373"/>
        <v>#VALUE!</v>
      </c>
    </row>
    <row r="6463" spans="1:12" x14ac:dyDescent="0.35">
      <c r="A6463" s="9">
        <f t="shared" si="374"/>
        <v>6462</v>
      </c>
      <c r="B6463" t="s">
        <v>109</v>
      </c>
      <c r="C6463" s="109">
        <f>IF(ISBLANK(K6463),IFERROR(VLOOKUP(I6463,FS_input_data!$C$458:$N$648,Export!J6463,FALSE),""),K6463)</f>
        <v>-626000</v>
      </c>
      <c r="D6463" s="6" t="b">
        <v>1</v>
      </c>
      <c r="E6463" s="6"/>
      <c r="F6463" s="6"/>
      <c r="G6463" s="119" t="b">
        <f t="shared" si="380"/>
        <v>0</v>
      </c>
      <c r="H6463" s="6" t="s">
        <v>2189</v>
      </c>
      <c r="I6463" t="s">
        <v>2052</v>
      </c>
      <c r="J6463">
        <v>7</v>
      </c>
      <c r="L6463" s="26" t="e">
        <f t="shared" si="373"/>
        <v>#VALUE!</v>
      </c>
    </row>
    <row r="6464" spans="1:12" x14ac:dyDescent="0.35">
      <c r="A6464">
        <f t="shared" si="374"/>
        <v>6463</v>
      </c>
      <c r="B6464" t="s">
        <v>110</v>
      </c>
      <c r="C6464" s="109" t="str">
        <f>IF(ISBLANK(K6464),IFERROR(VLOOKUP(I6464,FS_input_data!$C$458:$N$648,Export!J6464,FALSE),""),K6464)</f>
        <v/>
      </c>
      <c r="D6464" s="6"/>
      <c r="E6464" s="6"/>
      <c r="F6464" s="6"/>
      <c r="G6464" s="119" t="b">
        <f t="shared" si="380"/>
        <v>0</v>
      </c>
      <c r="H6464" s="6" t="s">
        <v>2189</v>
      </c>
      <c r="I6464" t="s">
        <v>1561</v>
      </c>
      <c r="J6464" t="s">
        <v>1561</v>
      </c>
      <c r="L6464">
        <f t="shared" si="373"/>
        <v>1</v>
      </c>
    </row>
    <row r="6465" spans="1:12" x14ac:dyDescent="0.35">
      <c r="A6465" s="9">
        <f t="shared" si="374"/>
        <v>6464</v>
      </c>
      <c r="B6465" t="s">
        <v>111</v>
      </c>
      <c r="C6465" s="109">
        <f>IF(ISBLANK(K6465),IFERROR(VLOOKUP(I6465,FS_input_data!$C$458:$N$648,Export!J6465,FALSE),""),K6465)</f>
        <v>-313000</v>
      </c>
      <c r="D6465" s="6" t="b">
        <v>0</v>
      </c>
      <c r="E6465" s="6"/>
      <c r="F6465" s="6"/>
      <c r="G6465" s="119" t="b">
        <f t="shared" si="380"/>
        <v>0</v>
      </c>
      <c r="H6465" s="6" t="s">
        <v>2189</v>
      </c>
      <c r="I6465" t="s">
        <v>2052</v>
      </c>
      <c r="J6465">
        <v>8</v>
      </c>
      <c r="L6465" s="26" t="e">
        <f t="shared" si="373"/>
        <v>#VALUE!</v>
      </c>
    </row>
    <row r="6466" spans="1:12" x14ac:dyDescent="0.35">
      <c r="A6466">
        <f t="shared" si="374"/>
        <v>6465</v>
      </c>
      <c r="B6466" t="s">
        <v>112</v>
      </c>
      <c r="C6466" s="109" t="str">
        <f>IF(ISBLANK(K6466),IFERROR(VLOOKUP(I6466,FS_input_data!$C$458:$N$648,Export!J6466,FALSE),""),K6466)</f>
        <v/>
      </c>
      <c r="D6466" s="6"/>
      <c r="E6466" s="6"/>
      <c r="F6466" s="6"/>
      <c r="G6466" s="119" t="b">
        <f t="shared" si="380"/>
        <v>0</v>
      </c>
      <c r="H6466" s="6" t="s">
        <v>2189</v>
      </c>
      <c r="I6466" t="s">
        <v>1561</v>
      </c>
      <c r="J6466" t="s">
        <v>1561</v>
      </c>
      <c r="L6466">
        <f t="shared" ref="L6466:L6529" si="381">FIND("/",B6466)</f>
        <v>1</v>
      </c>
    </row>
    <row r="6467" spans="1:12" x14ac:dyDescent="0.35">
      <c r="A6467" s="9">
        <f t="shared" ref="A6467:A6530" si="382">A6466+1</f>
        <v>6466</v>
      </c>
      <c r="B6467" t="s">
        <v>749</v>
      </c>
      <c r="C6467" s="109">
        <f>IF(ISBLANK(K6467),IFERROR(VLOOKUP(I6467,FS_input_data!$C$458:$N$648,Export!J6467,FALSE),""),K6467)</f>
        <v>-313000</v>
      </c>
      <c r="D6467" s="6" t="b">
        <v>0</v>
      </c>
      <c r="E6467" s="6"/>
      <c r="F6467" s="6"/>
      <c r="G6467" s="119" t="b">
        <f t="shared" si="380"/>
        <v>0</v>
      </c>
      <c r="H6467" s="6" t="s">
        <v>2189</v>
      </c>
      <c r="I6467" t="s">
        <v>2052</v>
      </c>
      <c r="J6467">
        <v>9</v>
      </c>
      <c r="L6467" s="26" t="e">
        <f t="shared" si="381"/>
        <v>#VALUE!</v>
      </c>
    </row>
    <row r="6468" spans="1:12" x14ac:dyDescent="0.35">
      <c r="A6468">
        <f t="shared" si="382"/>
        <v>6467</v>
      </c>
      <c r="B6468" t="s">
        <v>750</v>
      </c>
      <c r="C6468" s="109" t="str">
        <f>IF(ISBLANK(K6468),IFERROR(VLOOKUP(I6468,FS_input_data!$C$458:$N$648,Export!J6468,FALSE),""),K6468)</f>
        <v/>
      </c>
      <c r="D6468" s="6"/>
      <c r="E6468" s="6"/>
      <c r="F6468" s="6"/>
      <c r="G6468" s="119" t="b">
        <f t="shared" si="380"/>
        <v>0</v>
      </c>
      <c r="H6468" s="6" t="s">
        <v>2189</v>
      </c>
      <c r="I6468" t="s">
        <v>1561</v>
      </c>
      <c r="J6468" t="s">
        <v>1561</v>
      </c>
      <c r="L6468">
        <f t="shared" si="381"/>
        <v>1</v>
      </c>
    </row>
    <row r="6469" spans="1:12" x14ac:dyDescent="0.35">
      <c r="A6469">
        <f t="shared" si="382"/>
        <v>6468</v>
      </c>
      <c r="B6469" t="s">
        <v>751</v>
      </c>
      <c r="C6469" s="109" t="str">
        <f>IF(ISBLANK(K6469),IFERROR(VLOOKUP(I6469,FS_input_data!$C$458:$N$648,Export!J6469,FALSE),""),K6469)</f>
        <v/>
      </c>
      <c r="D6469" s="6"/>
      <c r="E6469" s="6"/>
      <c r="F6469" s="6"/>
      <c r="G6469" s="119" t="b">
        <f t="shared" si="380"/>
        <v>0</v>
      </c>
      <c r="H6469" s="6" t="s">
        <v>2189</v>
      </c>
      <c r="I6469" t="s">
        <v>1561</v>
      </c>
      <c r="J6469" t="s">
        <v>1561</v>
      </c>
      <c r="L6469">
        <f t="shared" si="381"/>
        <v>1</v>
      </c>
    </row>
    <row r="6470" spans="1:12" x14ac:dyDescent="0.35">
      <c r="A6470">
        <f t="shared" si="382"/>
        <v>6469</v>
      </c>
      <c r="B6470" t="s">
        <v>754</v>
      </c>
      <c r="C6470" s="109" t="str">
        <f>IF(ISBLANK(K6470),IFERROR(VLOOKUP(I6470,FS_input_data!$C$458:$N$648,Export!J6470,FALSE),""),K6470)</f>
        <v/>
      </c>
      <c r="D6470" s="6"/>
      <c r="E6470" s="6"/>
      <c r="F6470" s="6"/>
      <c r="G6470" s="119" t="b">
        <f t="shared" si="380"/>
        <v>0</v>
      </c>
      <c r="H6470" s="6" t="s">
        <v>2189</v>
      </c>
      <c r="I6470" t="s">
        <v>1561</v>
      </c>
      <c r="J6470" t="s">
        <v>1561</v>
      </c>
      <c r="L6470" s="26" t="e">
        <f t="shared" si="381"/>
        <v>#VALUE!</v>
      </c>
    </row>
    <row r="6471" spans="1:12" x14ac:dyDescent="0.35">
      <c r="A6471" s="9">
        <f t="shared" si="382"/>
        <v>6470</v>
      </c>
      <c r="B6471" t="s">
        <v>755</v>
      </c>
      <c r="C6471" s="109">
        <f>IF(ISBLANK(K6471),IFERROR(VLOOKUP(I6471,FS_input_data!$C$458:$N$648,Export!J6471,FALSE),""),K6471)</f>
        <v>121</v>
      </c>
      <c r="D6471" s="6" t="b">
        <v>1</v>
      </c>
      <c r="E6471" s="6"/>
      <c r="F6471" s="6"/>
      <c r="G6471" s="119" t="b">
        <f t="shared" si="380"/>
        <v>0</v>
      </c>
      <c r="H6471" s="6" t="s">
        <v>2189</v>
      </c>
      <c r="I6471" t="s">
        <v>2052</v>
      </c>
      <c r="J6471">
        <v>2</v>
      </c>
      <c r="L6471" s="26" t="e">
        <f t="shared" si="381"/>
        <v>#VALUE!</v>
      </c>
    </row>
    <row r="6472" spans="1:12" x14ac:dyDescent="0.35">
      <c r="A6472">
        <f t="shared" si="382"/>
        <v>6471</v>
      </c>
      <c r="B6472" t="s">
        <v>756</v>
      </c>
      <c r="C6472" s="109" t="str">
        <f>IF(ISBLANK(K6472),IFERROR(VLOOKUP(I6472,FS_input_data!$C$458:$N$648,Export!J6472,FALSE),""),K6472)</f>
        <v/>
      </c>
      <c r="D6472" s="6"/>
      <c r="E6472" s="6"/>
      <c r="F6472" s="6"/>
      <c r="G6472" s="119" t="b">
        <f t="shared" si="380"/>
        <v>0</v>
      </c>
      <c r="H6472" s="6" t="s">
        <v>2189</v>
      </c>
      <c r="I6472" t="s">
        <v>1561</v>
      </c>
      <c r="J6472" t="s">
        <v>1561</v>
      </c>
      <c r="L6472">
        <f t="shared" si="381"/>
        <v>1</v>
      </c>
    </row>
    <row r="6473" spans="1:12" x14ac:dyDescent="0.35">
      <c r="A6473" s="9">
        <f t="shared" si="382"/>
        <v>6472</v>
      </c>
      <c r="B6473" t="s">
        <v>757</v>
      </c>
      <c r="C6473" s="109">
        <f>IF(ISBLANK(K6473),IFERROR(VLOOKUP(I6473,FS_input_data!$C$458:$N$648,Export!J6473,FALSE),""),K6473)</f>
        <v>221</v>
      </c>
      <c r="D6473" s="6" t="b">
        <v>0</v>
      </c>
      <c r="E6473" s="6"/>
      <c r="F6473" s="6"/>
      <c r="G6473" s="119" t="b">
        <f t="shared" si="380"/>
        <v>0</v>
      </c>
      <c r="H6473" s="6" t="s">
        <v>2189</v>
      </c>
      <c r="I6473" t="s">
        <v>2052</v>
      </c>
      <c r="J6473">
        <v>3</v>
      </c>
      <c r="L6473" s="26" t="e">
        <f t="shared" si="381"/>
        <v>#VALUE!</v>
      </c>
    </row>
    <row r="6474" spans="1:12" x14ac:dyDescent="0.35">
      <c r="A6474">
        <f t="shared" si="382"/>
        <v>6473</v>
      </c>
      <c r="B6474" t="s">
        <v>758</v>
      </c>
      <c r="C6474" s="109" t="str">
        <f>IF(ISBLANK(K6474),IFERROR(VLOOKUP(I6474,FS_input_data!$C$458:$N$648,Export!J6474,FALSE),""),K6474)</f>
        <v/>
      </c>
      <c r="D6474" s="6"/>
      <c r="E6474" s="6"/>
      <c r="F6474" s="6"/>
      <c r="G6474" s="119" t="b">
        <f t="shared" si="380"/>
        <v>0</v>
      </c>
      <c r="H6474" s="6" t="s">
        <v>2189</v>
      </c>
      <c r="I6474" t="s">
        <v>1561</v>
      </c>
      <c r="J6474" t="s">
        <v>1561</v>
      </c>
      <c r="L6474">
        <f t="shared" si="381"/>
        <v>1</v>
      </c>
    </row>
    <row r="6475" spans="1:12" x14ac:dyDescent="0.35">
      <c r="A6475" s="9">
        <f t="shared" si="382"/>
        <v>6474</v>
      </c>
      <c r="B6475" t="s">
        <v>759</v>
      </c>
      <c r="C6475" s="109">
        <f>IF(ISBLANK(K6475),IFERROR(VLOOKUP(I6475,FS_input_data!$C$458:$N$648,Export!J6475,FALSE),""),K6475)</f>
        <v>321</v>
      </c>
      <c r="D6475" s="6" t="b">
        <v>0</v>
      </c>
      <c r="E6475" s="6"/>
      <c r="F6475" s="6"/>
      <c r="G6475" s="119" t="b">
        <f t="shared" si="380"/>
        <v>0</v>
      </c>
      <c r="H6475" s="6" t="s">
        <v>2189</v>
      </c>
      <c r="I6475" t="s">
        <v>2052</v>
      </c>
      <c r="J6475">
        <v>4</v>
      </c>
      <c r="L6475" s="26" t="e">
        <f t="shared" si="381"/>
        <v>#VALUE!</v>
      </c>
    </row>
    <row r="6476" spans="1:12" x14ac:dyDescent="0.35">
      <c r="A6476">
        <f t="shared" si="382"/>
        <v>6475</v>
      </c>
      <c r="B6476" t="s">
        <v>760</v>
      </c>
      <c r="C6476" s="109" t="str">
        <f>IF(ISBLANK(K6476),IFERROR(VLOOKUP(I6476,FS_input_data!$C$458:$N$648,Export!J6476,FALSE),""),K6476)</f>
        <v/>
      </c>
      <c r="D6476" s="6"/>
      <c r="E6476" s="6"/>
      <c r="F6476" s="6"/>
      <c r="G6476" s="119" t="b">
        <f t="shared" si="380"/>
        <v>0</v>
      </c>
      <c r="H6476" s="6" t="s">
        <v>2189</v>
      </c>
      <c r="I6476" t="s">
        <v>1561</v>
      </c>
      <c r="J6476" t="s">
        <v>1561</v>
      </c>
      <c r="L6476">
        <f t="shared" si="381"/>
        <v>1</v>
      </c>
    </row>
    <row r="6477" spans="1:12" x14ac:dyDescent="0.35">
      <c r="A6477" s="9">
        <f t="shared" si="382"/>
        <v>6476</v>
      </c>
      <c r="B6477" t="s">
        <v>761</v>
      </c>
      <c r="C6477" s="109" t="str">
        <f>IF(ISBLANK(K6477),IFERROR(VLOOKUP(I6477,FS_input_data!$C$458:$N$648,Export!J6477,FALSE),""),K6477)</f>
        <v>e</v>
      </c>
      <c r="D6477" s="6" t="b">
        <v>0</v>
      </c>
      <c r="E6477" s="6"/>
      <c r="F6477" s="6"/>
      <c r="G6477" s="119" t="b">
        <f t="shared" si="380"/>
        <v>0</v>
      </c>
      <c r="H6477" s="6" t="s">
        <v>2189</v>
      </c>
      <c r="I6477" t="s">
        <v>2052</v>
      </c>
      <c r="J6477">
        <v>5</v>
      </c>
      <c r="L6477" s="26" t="e">
        <f t="shared" si="381"/>
        <v>#VALUE!</v>
      </c>
    </row>
    <row r="6478" spans="1:12" x14ac:dyDescent="0.35">
      <c r="A6478">
        <f t="shared" si="382"/>
        <v>6477</v>
      </c>
      <c r="B6478" t="s">
        <v>762</v>
      </c>
      <c r="C6478" s="109" t="str">
        <f>IF(ISBLANK(K6478),IFERROR(VLOOKUP(I6478,FS_input_data!$C$458:$N$648,Export!J6478,FALSE),""),K6478)</f>
        <v/>
      </c>
      <c r="D6478" s="6"/>
      <c r="E6478" s="6"/>
      <c r="F6478" s="6"/>
      <c r="G6478" s="119" t="b">
        <f t="shared" si="380"/>
        <v>0</v>
      </c>
      <c r="H6478" s="6" t="s">
        <v>2189</v>
      </c>
      <c r="I6478" t="s">
        <v>1561</v>
      </c>
      <c r="J6478" t="s">
        <v>1561</v>
      </c>
      <c r="L6478">
        <f t="shared" si="381"/>
        <v>1</v>
      </c>
    </row>
    <row r="6479" spans="1:12" x14ac:dyDescent="0.35">
      <c r="A6479">
        <f t="shared" si="382"/>
        <v>6478</v>
      </c>
      <c r="B6479" t="s">
        <v>763</v>
      </c>
      <c r="C6479" s="109" t="str">
        <f>IF(ISBLANK(K6479),IFERROR(VLOOKUP(I6479,FS_input_data!$C$458:$N$648,Export!J6479,FALSE),""),K6479)</f>
        <v/>
      </c>
      <c r="D6479" s="6"/>
      <c r="E6479" s="6"/>
      <c r="F6479" s="6"/>
      <c r="G6479" s="119" t="b">
        <f t="shared" si="380"/>
        <v>0</v>
      </c>
      <c r="H6479" s="6" t="s">
        <v>2189</v>
      </c>
      <c r="I6479" t="s">
        <v>1561</v>
      </c>
      <c r="J6479" t="s">
        <v>1561</v>
      </c>
      <c r="L6479">
        <f t="shared" si="381"/>
        <v>1</v>
      </c>
    </row>
    <row r="6480" spans="1:12" x14ac:dyDescent="0.35">
      <c r="A6480">
        <f t="shared" si="382"/>
        <v>6479</v>
      </c>
      <c r="B6480" t="s">
        <v>743</v>
      </c>
      <c r="C6480" s="109" t="str">
        <f>IF(ISBLANK(K6480),IFERROR(VLOOKUP(I6480,FS_input_data!$C$458:$N$648,Export!J6480,FALSE),""),K6480)</f>
        <v/>
      </c>
      <c r="D6480" s="6"/>
      <c r="E6480" s="6"/>
      <c r="F6480" s="6"/>
      <c r="G6480" s="119" t="b">
        <f t="shared" si="380"/>
        <v>0</v>
      </c>
      <c r="H6480" s="6" t="s">
        <v>2189</v>
      </c>
      <c r="I6480" t="s">
        <v>1561</v>
      </c>
      <c r="J6480" t="s">
        <v>1561</v>
      </c>
      <c r="L6480">
        <f t="shared" si="381"/>
        <v>1</v>
      </c>
    </row>
    <row r="6481" spans="1:12" x14ac:dyDescent="0.35">
      <c r="A6481">
        <f t="shared" si="382"/>
        <v>6480</v>
      </c>
      <c r="B6481" t="s">
        <v>744</v>
      </c>
      <c r="C6481" s="109" t="str">
        <f>IF(ISBLANK(K6481),IFERROR(VLOOKUP(I6481,FS_input_data!$C$458:$N$648,Export!J6481,FALSE),""),K6481)</f>
        <v/>
      </c>
      <c r="D6481" s="6"/>
      <c r="E6481" s="6"/>
      <c r="F6481" s="6"/>
      <c r="G6481" s="119" t="b">
        <f t="shared" ref="G6481:G6488" si="383">RP_tax</f>
        <v>1</v>
      </c>
      <c r="H6481" s="6" t="s">
        <v>2189</v>
      </c>
      <c r="I6481" t="s">
        <v>1561</v>
      </c>
      <c r="J6481" t="s">
        <v>1561</v>
      </c>
      <c r="L6481" s="26" t="e">
        <f t="shared" si="381"/>
        <v>#VALUE!</v>
      </c>
    </row>
    <row r="6482" spans="1:12" x14ac:dyDescent="0.35">
      <c r="A6482" s="9">
        <f t="shared" si="382"/>
        <v>6481</v>
      </c>
      <c r="B6482" t="s">
        <v>109</v>
      </c>
      <c r="C6482" s="109">
        <f>IF(ISBLANK(K6482),IFERROR(VLOOKUP(I6482,FS_input_data!$C$458:$N$648,Export!J6482,FALSE),""),K6482)</f>
        <v>-626000</v>
      </c>
      <c r="D6482" s="6" t="b">
        <v>1</v>
      </c>
      <c r="E6482" s="6"/>
      <c r="F6482" s="6"/>
      <c r="G6482" s="119" t="b">
        <f t="shared" si="383"/>
        <v>1</v>
      </c>
      <c r="H6482" s="6" t="s">
        <v>2189</v>
      </c>
      <c r="I6482" t="s">
        <v>2052</v>
      </c>
      <c r="J6482">
        <v>10</v>
      </c>
      <c r="L6482" s="26" t="e">
        <f t="shared" si="381"/>
        <v>#VALUE!</v>
      </c>
    </row>
    <row r="6483" spans="1:12" x14ac:dyDescent="0.35">
      <c r="A6483">
        <f t="shared" si="382"/>
        <v>6482</v>
      </c>
      <c r="B6483" t="s">
        <v>110</v>
      </c>
      <c r="C6483" s="109" t="str">
        <f>IF(ISBLANK(K6483),IFERROR(VLOOKUP(I6483,FS_input_data!$C$458:$N$648,Export!J6483,FALSE),""),K6483)</f>
        <v/>
      </c>
      <c r="D6483" s="6"/>
      <c r="E6483" s="6"/>
      <c r="F6483" s="6"/>
      <c r="G6483" s="119" t="b">
        <f t="shared" si="383"/>
        <v>1</v>
      </c>
      <c r="H6483" s="6" t="s">
        <v>2189</v>
      </c>
      <c r="I6483" t="s">
        <v>1561</v>
      </c>
      <c r="J6483" t="s">
        <v>1561</v>
      </c>
      <c r="L6483">
        <f t="shared" si="381"/>
        <v>1</v>
      </c>
    </row>
    <row r="6484" spans="1:12" x14ac:dyDescent="0.35">
      <c r="A6484" s="9">
        <f t="shared" si="382"/>
        <v>6483</v>
      </c>
      <c r="B6484" t="s">
        <v>111</v>
      </c>
      <c r="C6484" s="109">
        <f>IF(ISBLANK(K6484),IFERROR(VLOOKUP(I6484,FS_input_data!$C$458:$N$648,Export!J6484,FALSE),""),K6484)</f>
        <v>-313000</v>
      </c>
      <c r="D6484" s="6" t="b">
        <v>0</v>
      </c>
      <c r="E6484" s="6"/>
      <c r="F6484" s="6"/>
      <c r="G6484" s="119" t="b">
        <f t="shared" si="383"/>
        <v>1</v>
      </c>
      <c r="H6484" s="6" t="s">
        <v>2189</v>
      </c>
      <c r="I6484" t="s">
        <v>2052</v>
      </c>
      <c r="J6484">
        <v>11</v>
      </c>
      <c r="L6484" s="26" t="e">
        <f t="shared" si="381"/>
        <v>#VALUE!</v>
      </c>
    </row>
    <row r="6485" spans="1:12" x14ac:dyDescent="0.35">
      <c r="A6485">
        <f t="shared" si="382"/>
        <v>6484</v>
      </c>
      <c r="B6485" t="s">
        <v>112</v>
      </c>
      <c r="C6485" s="109" t="str">
        <f>IF(ISBLANK(K6485),IFERROR(VLOOKUP(I6485,FS_input_data!$C$458:$N$648,Export!J6485,FALSE),""),K6485)</f>
        <v/>
      </c>
      <c r="D6485" s="6"/>
      <c r="E6485" s="6"/>
      <c r="F6485" s="6"/>
      <c r="G6485" s="119" t="b">
        <f t="shared" si="383"/>
        <v>1</v>
      </c>
      <c r="H6485" s="6" t="s">
        <v>2189</v>
      </c>
      <c r="I6485" t="s">
        <v>1561</v>
      </c>
      <c r="J6485" t="s">
        <v>1561</v>
      </c>
      <c r="L6485">
        <f t="shared" si="381"/>
        <v>1</v>
      </c>
    </row>
    <row r="6486" spans="1:12" x14ac:dyDescent="0.35">
      <c r="A6486" s="9">
        <f t="shared" si="382"/>
        <v>6485</v>
      </c>
      <c r="B6486" t="s">
        <v>749</v>
      </c>
      <c r="C6486" s="109">
        <f>IF(ISBLANK(K6486),IFERROR(VLOOKUP(I6486,FS_input_data!$C$458:$N$648,Export!J6486,FALSE),""),K6486)</f>
        <v>-313000</v>
      </c>
      <c r="D6486" s="6" t="b">
        <v>0</v>
      </c>
      <c r="E6486" s="6"/>
      <c r="F6486" s="6"/>
      <c r="G6486" s="119" t="b">
        <f t="shared" si="383"/>
        <v>1</v>
      </c>
      <c r="H6486" s="6" t="s">
        <v>2189</v>
      </c>
      <c r="I6486" t="s">
        <v>2052</v>
      </c>
      <c r="J6486">
        <v>12</v>
      </c>
      <c r="L6486" s="26" t="e">
        <f t="shared" si="381"/>
        <v>#VALUE!</v>
      </c>
    </row>
    <row r="6487" spans="1:12" x14ac:dyDescent="0.35">
      <c r="A6487">
        <f t="shared" si="382"/>
        <v>6486</v>
      </c>
      <c r="B6487" t="s">
        <v>750</v>
      </c>
      <c r="C6487" s="109" t="str">
        <f>IF(ISBLANK(K6487),IFERROR(VLOOKUP(I6487,FS_input_data!$C$458:$N$648,Export!J6487,FALSE),""),K6487)</f>
        <v/>
      </c>
      <c r="D6487" s="6"/>
      <c r="E6487" s="6"/>
      <c r="F6487" s="6"/>
      <c r="G6487" s="119" t="b">
        <f t="shared" si="383"/>
        <v>1</v>
      </c>
      <c r="H6487" s="6" t="s">
        <v>2189</v>
      </c>
      <c r="I6487" t="s">
        <v>1561</v>
      </c>
      <c r="J6487" t="s">
        <v>1561</v>
      </c>
      <c r="L6487">
        <f t="shared" si="381"/>
        <v>1</v>
      </c>
    </row>
    <row r="6488" spans="1:12" x14ac:dyDescent="0.35">
      <c r="A6488">
        <f t="shared" si="382"/>
        <v>6487</v>
      </c>
      <c r="B6488" t="s">
        <v>745</v>
      </c>
      <c r="C6488" s="109" t="str">
        <f>IF(ISBLANK(K6488),IFERROR(VLOOKUP(I6488,FS_input_data!$C$458:$N$648,Export!J6488,FALSE),""),K6488)</f>
        <v/>
      </c>
      <c r="D6488" s="6"/>
      <c r="E6488" s="6"/>
      <c r="F6488" s="6"/>
      <c r="G6488" s="119" t="b">
        <f t="shared" si="383"/>
        <v>1</v>
      </c>
      <c r="H6488" s="6" t="s">
        <v>2189</v>
      </c>
      <c r="I6488" t="s">
        <v>1561</v>
      </c>
      <c r="J6488" t="s">
        <v>1561</v>
      </c>
      <c r="L6488">
        <f t="shared" si="381"/>
        <v>1</v>
      </c>
    </row>
    <row r="6489" spans="1:12" x14ac:dyDescent="0.35">
      <c r="A6489">
        <f t="shared" si="382"/>
        <v>6488</v>
      </c>
      <c r="B6489" t="s">
        <v>764</v>
      </c>
      <c r="C6489" s="109" t="str">
        <f>IF(ISBLANK(K6489),IFERROR(VLOOKUP(I6489,FS_input_data!$C$458:$N$648,Export!J6489,FALSE),""),K6489)</f>
        <v/>
      </c>
      <c r="D6489" s="6"/>
      <c r="E6489" s="6"/>
      <c r="F6489" s="6"/>
      <c r="G6489" s="119" t="b">
        <f>VLOOKUP($I$6421,FS_input_noty,$J$6421,FALSE)=""</f>
        <v>0</v>
      </c>
      <c r="H6489" s="6" t="s">
        <v>2189</v>
      </c>
      <c r="I6489" t="s">
        <v>1561</v>
      </c>
      <c r="J6489" t="s">
        <v>1561</v>
      </c>
      <c r="L6489">
        <f t="shared" si="381"/>
        <v>1</v>
      </c>
    </row>
    <row r="6490" spans="1:12" x14ac:dyDescent="0.35">
      <c r="A6490">
        <f t="shared" si="382"/>
        <v>6489</v>
      </c>
      <c r="B6490" t="s">
        <v>765</v>
      </c>
      <c r="C6490" s="109" t="str">
        <f>IF(ISBLANK(K6490),IFERROR(VLOOKUP(I6490,FS_input_data!$C$458:$N$648,Export!J6490,FALSE),""),K6490)</f>
        <v/>
      </c>
      <c r="D6490" s="6"/>
      <c r="E6490" s="6"/>
      <c r="F6490" s="6"/>
      <c r="G6490" s="119" t="b">
        <f>VLOOKUP($I$6421,FS_input_noty,$J$6421,FALSE)=""</f>
        <v>0</v>
      </c>
      <c r="H6490" s="6" t="s">
        <v>2189</v>
      </c>
      <c r="I6490" t="s">
        <v>1561</v>
      </c>
      <c r="J6490" t="s">
        <v>1561</v>
      </c>
      <c r="L6490">
        <f t="shared" si="381"/>
        <v>1</v>
      </c>
    </row>
    <row r="6491" spans="1:12" x14ac:dyDescent="0.35">
      <c r="A6491">
        <f t="shared" si="382"/>
        <v>6490</v>
      </c>
      <c r="B6491" t="s">
        <v>752</v>
      </c>
      <c r="C6491" s="109" t="str">
        <f>IF(ISBLANK(K6491),IFERROR(VLOOKUP(I6491,FS_input_data!$C$458:$N$648,Export!J6491,FALSE),""),K6491)</f>
        <v/>
      </c>
      <c r="D6491" s="6"/>
      <c r="E6491" s="6"/>
      <c r="F6491" s="6"/>
      <c r="G6491" s="115" t="b">
        <f>VLOOKUP(I6492,FS_input_noty,J6492,FALSE)=""</f>
        <v>0</v>
      </c>
      <c r="H6491" s="6" t="s">
        <v>2189</v>
      </c>
      <c r="I6491" t="s">
        <v>1561</v>
      </c>
      <c r="J6491" t="s">
        <v>1561</v>
      </c>
      <c r="L6491" s="26" t="e">
        <f t="shared" si="381"/>
        <v>#VALUE!</v>
      </c>
    </row>
    <row r="6492" spans="1:12" x14ac:dyDescent="0.35">
      <c r="A6492" s="9">
        <f t="shared" si="382"/>
        <v>6491</v>
      </c>
      <c r="B6492" t="s">
        <v>101</v>
      </c>
      <c r="C6492" s="109" t="str">
        <f>IF(ISBLANK(K6492),IFERROR(VLOOKUP(I6492,FS_input_data!$C$458:$N$648,Export!J6492,FALSE),""),K6492)</f>
        <v>OC99</v>
      </c>
      <c r="D6492" s="6" t="b">
        <v>1</v>
      </c>
      <c r="E6492" s="6"/>
      <c r="F6492" s="6"/>
      <c r="G6492" s="115" t="b">
        <f>VLOOKUP(I6492,FS_input_noty,J6492,FALSE)=""</f>
        <v>0</v>
      </c>
      <c r="H6492" s="6" t="s">
        <v>2189</v>
      </c>
      <c r="I6492" t="s">
        <v>2054</v>
      </c>
      <c r="J6492">
        <v>6</v>
      </c>
      <c r="L6492" s="26" t="e">
        <f t="shared" si="381"/>
        <v>#VALUE!</v>
      </c>
    </row>
    <row r="6493" spans="1:12" x14ac:dyDescent="0.35">
      <c r="A6493">
        <f t="shared" si="382"/>
        <v>6492</v>
      </c>
      <c r="B6493" t="s">
        <v>102</v>
      </c>
      <c r="C6493" s="109" t="str">
        <f>IF(ISBLANK(K6493),IFERROR(VLOOKUP(I6493,FS_input_data!$C$458:$N$648,Export!J6493,FALSE),""),K6493)</f>
        <v/>
      </c>
      <c r="D6493" s="6"/>
      <c r="E6493" s="6"/>
      <c r="F6493" s="6"/>
      <c r="G6493" s="115" t="b">
        <f>VLOOKUP(I6492,FS_input_noty,J6492,FALSE)=""</f>
        <v>0</v>
      </c>
      <c r="H6493" s="6" t="s">
        <v>2189</v>
      </c>
      <c r="I6493" t="s">
        <v>1561</v>
      </c>
      <c r="J6493" t="s">
        <v>1561</v>
      </c>
      <c r="L6493">
        <f t="shared" si="381"/>
        <v>1</v>
      </c>
    </row>
    <row r="6494" spans="1:12" x14ac:dyDescent="0.35">
      <c r="A6494">
        <f t="shared" si="382"/>
        <v>6493</v>
      </c>
      <c r="B6494" t="s">
        <v>753</v>
      </c>
      <c r="C6494" s="109" t="str">
        <f>IF(ISBLANK(K6494),IFERROR(VLOOKUP(I6494,FS_input_data!$C$458:$N$648,Export!J6494,FALSE),""),K6494)</f>
        <v/>
      </c>
      <c r="D6494" s="6"/>
      <c r="E6494" s="6"/>
      <c r="F6494" s="6"/>
      <c r="G6494" s="115" t="b">
        <f>VLOOKUP(I6492,FS_input_noty,J6492,FALSE)=""</f>
        <v>0</v>
      </c>
      <c r="H6494" s="6" t="s">
        <v>2189</v>
      </c>
      <c r="I6494" t="s">
        <v>1561</v>
      </c>
      <c r="J6494" t="s">
        <v>1561</v>
      </c>
      <c r="L6494" s="26" t="e">
        <f t="shared" si="381"/>
        <v>#VALUE!</v>
      </c>
    </row>
    <row r="6495" spans="1:12" x14ac:dyDescent="0.35">
      <c r="A6495">
        <f t="shared" si="382"/>
        <v>6494</v>
      </c>
      <c r="B6495" t="s">
        <v>742</v>
      </c>
      <c r="C6495" s="109" t="str">
        <f>IF(ISBLANK(K6495),IFERROR(VLOOKUP(I6495,FS_input_data!$C$458:$N$648,Export!J6495,FALSE),""),K6495)</f>
        <v/>
      </c>
      <c r="D6495" s="6"/>
      <c r="E6495" s="6"/>
      <c r="F6495" s="6"/>
      <c r="G6495" s="115" t="b">
        <f>VLOOKUP(I6492,FS_input_noty,J6492,FALSE)=""</f>
        <v>0</v>
      </c>
      <c r="H6495" s="6" t="s">
        <v>2189</v>
      </c>
      <c r="I6495" t="s">
        <v>1561</v>
      </c>
      <c r="J6495" t="s">
        <v>1561</v>
      </c>
      <c r="L6495" s="26" t="e">
        <f t="shared" si="381"/>
        <v>#VALUE!</v>
      </c>
    </row>
    <row r="6496" spans="1:12" x14ac:dyDescent="0.35">
      <c r="A6496">
        <f t="shared" si="382"/>
        <v>6495</v>
      </c>
      <c r="B6496" t="s">
        <v>748</v>
      </c>
      <c r="C6496" s="109" t="str">
        <f>IF(ISBLANK(K6496),IFERROR(VLOOKUP(I6496,FS_input_data!$C$458:$N$648,Export!J6496,FALSE),""),K6496)</f>
        <v/>
      </c>
      <c r="D6496" s="6"/>
      <c r="E6496" s="6"/>
      <c r="F6496" s="6"/>
      <c r="G6496" s="115" t="b">
        <f>VLOOKUP(I6492,FS_input_noty,J6492,FALSE)=""</f>
        <v>0</v>
      </c>
      <c r="H6496" s="6" t="s">
        <v>2189</v>
      </c>
      <c r="I6496" t="s">
        <v>1561</v>
      </c>
      <c r="J6496" t="s">
        <v>1561</v>
      </c>
      <c r="L6496" s="26" t="e">
        <f t="shared" si="381"/>
        <v>#VALUE!</v>
      </c>
    </row>
    <row r="6497" spans="1:12" x14ac:dyDescent="0.35">
      <c r="A6497" s="9">
        <f t="shared" si="382"/>
        <v>6496</v>
      </c>
      <c r="B6497" t="s">
        <v>109</v>
      </c>
      <c r="C6497" s="109">
        <f>IF(ISBLANK(K6497),IFERROR(VLOOKUP(I6497,FS_input_data!$C$458:$N$648,Export!J6497,FALSE),""),K6497)</f>
        <v>24000</v>
      </c>
      <c r="D6497" s="6" t="b">
        <v>1</v>
      </c>
      <c r="E6497" s="6"/>
      <c r="F6497" s="6"/>
      <c r="G6497" s="115" t="b">
        <f>VLOOKUP(I6492,FS_input_noty,J6492,FALSE)=""</f>
        <v>0</v>
      </c>
      <c r="H6497" s="6" t="s">
        <v>2189</v>
      </c>
      <c r="I6497" t="s">
        <v>2054</v>
      </c>
      <c r="J6497">
        <v>7</v>
      </c>
      <c r="L6497" s="26" t="e">
        <f t="shared" si="381"/>
        <v>#VALUE!</v>
      </c>
    </row>
    <row r="6498" spans="1:12" x14ac:dyDescent="0.35">
      <c r="A6498">
        <f t="shared" si="382"/>
        <v>6497</v>
      </c>
      <c r="B6498" t="s">
        <v>110</v>
      </c>
      <c r="C6498" s="109" t="str">
        <f>IF(ISBLANK(K6498),IFERROR(VLOOKUP(I6498,FS_input_data!$C$458:$N$648,Export!J6498,FALSE),""),K6498)</f>
        <v/>
      </c>
      <c r="D6498" s="6"/>
      <c r="E6498" s="6"/>
      <c r="F6498" s="6"/>
      <c r="G6498" s="115" t="b">
        <f>VLOOKUP(I6492,FS_input_noty,J6492,FALSE)=""</f>
        <v>0</v>
      </c>
      <c r="H6498" s="6" t="s">
        <v>2189</v>
      </c>
      <c r="I6498" t="s">
        <v>1561</v>
      </c>
      <c r="J6498" t="s">
        <v>1561</v>
      </c>
      <c r="L6498">
        <f t="shared" si="381"/>
        <v>1</v>
      </c>
    </row>
    <row r="6499" spans="1:12" x14ac:dyDescent="0.35">
      <c r="A6499" s="9">
        <f t="shared" si="382"/>
        <v>6498</v>
      </c>
      <c r="B6499" t="s">
        <v>111</v>
      </c>
      <c r="C6499" s="109">
        <f>IF(ISBLANK(K6499),IFERROR(VLOOKUP(I6499,FS_input_data!$C$458:$N$648,Export!J6499,FALSE),""),K6499)</f>
        <v>12000</v>
      </c>
      <c r="D6499" s="6" t="b">
        <v>0</v>
      </c>
      <c r="E6499" s="6"/>
      <c r="F6499" s="6"/>
      <c r="G6499" s="115" t="b">
        <f>VLOOKUP(I6492,FS_input_noty,J6492,TRUE)=""</f>
        <v>0</v>
      </c>
      <c r="H6499" s="6" t="s">
        <v>2189</v>
      </c>
      <c r="I6499" t="s">
        <v>2054</v>
      </c>
      <c r="J6499">
        <v>8</v>
      </c>
      <c r="L6499" s="26" t="e">
        <f t="shared" si="381"/>
        <v>#VALUE!</v>
      </c>
    </row>
    <row r="6500" spans="1:12" x14ac:dyDescent="0.35">
      <c r="A6500">
        <f t="shared" si="382"/>
        <v>6499</v>
      </c>
      <c r="B6500" t="s">
        <v>112</v>
      </c>
      <c r="C6500" s="109" t="str">
        <f>IF(ISBLANK(K6500),IFERROR(VLOOKUP(I6500,FS_input_data!$C$458:$N$648,Export!J6500,FALSE),""),K6500)</f>
        <v/>
      </c>
      <c r="D6500" s="6"/>
      <c r="E6500" s="6"/>
      <c r="F6500" s="6"/>
      <c r="G6500" s="115" t="b">
        <f>VLOOKUP(I6492,FS_input_noty,J6492,FALSE)=""</f>
        <v>0</v>
      </c>
      <c r="H6500" s="6" t="s">
        <v>2189</v>
      </c>
      <c r="I6500" t="s">
        <v>1561</v>
      </c>
      <c r="J6500" t="s">
        <v>1561</v>
      </c>
      <c r="L6500">
        <f t="shared" si="381"/>
        <v>1</v>
      </c>
    </row>
    <row r="6501" spans="1:12" x14ac:dyDescent="0.35">
      <c r="A6501" s="9">
        <f t="shared" si="382"/>
        <v>6500</v>
      </c>
      <c r="B6501" t="s">
        <v>749</v>
      </c>
      <c r="C6501" s="109">
        <f>IF(ISBLANK(K6501),IFERROR(VLOOKUP(I6501,FS_input_data!$C$458:$N$648,Export!J6501,FALSE),""),K6501)</f>
        <v>12000</v>
      </c>
      <c r="D6501" s="6" t="b">
        <v>0</v>
      </c>
      <c r="E6501" s="6"/>
      <c r="F6501" s="6"/>
      <c r="G6501" s="115" t="b">
        <f>VLOOKUP(I6492,FS_input_noty,J6492,FALSE)=""</f>
        <v>0</v>
      </c>
      <c r="H6501" s="6" t="s">
        <v>2189</v>
      </c>
      <c r="I6501" t="s">
        <v>2054</v>
      </c>
      <c r="J6501">
        <v>9</v>
      </c>
      <c r="L6501" s="26" t="e">
        <f t="shared" si="381"/>
        <v>#VALUE!</v>
      </c>
    </row>
    <row r="6502" spans="1:12" x14ac:dyDescent="0.35">
      <c r="A6502">
        <f t="shared" si="382"/>
        <v>6501</v>
      </c>
      <c r="B6502" t="s">
        <v>750</v>
      </c>
      <c r="C6502" s="109" t="str">
        <f>IF(ISBLANK(K6502),IFERROR(VLOOKUP(I6502,FS_input_data!$C$458:$N$648,Export!J6502,FALSE),""),K6502)</f>
        <v/>
      </c>
      <c r="D6502" s="6"/>
      <c r="E6502" s="6"/>
      <c r="F6502" s="6"/>
      <c r="G6502" s="115" t="b">
        <f>VLOOKUP(I6492,FS_input_noty,J6492,FALSE)=""</f>
        <v>0</v>
      </c>
      <c r="H6502" s="6" t="s">
        <v>2189</v>
      </c>
      <c r="I6502" t="s">
        <v>1561</v>
      </c>
      <c r="J6502" t="s">
        <v>1561</v>
      </c>
      <c r="L6502">
        <f t="shared" si="381"/>
        <v>1</v>
      </c>
    </row>
    <row r="6503" spans="1:12" x14ac:dyDescent="0.35">
      <c r="A6503">
        <f t="shared" si="382"/>
        <v>6502</v>
      </c>
      <c r="B6503" t="s">
        <v>751</v>
      </c>
      <c r="C6503" s="109" t="str">
        <f>IF(ISBLANK(K6503),IFERROR(VLOOKUP(I6503,FS_input_data!$C$458:$N$648,Export!J6503,FALSE),""),K6503)</f>
        <v/>
      </c>
      <c r="D6503" s="6"/>
      <c r="E6503" s="6"/>
      <c r="F6503" s="6"/>
      <c r="G6503" s="115" t="b">
        <f>VLOOKUP(I6492,FS_input_noty,J6492,FALSE)=""</f>
        <v>0</v>
      </c>
      <c r="H6503" s="6" t="s">
        <v>2189</v>
      </c>
      <c r="I6503" t="s">
        <v>1561</v>
      </c>
      <c r="J6503" t="s">
        <v>1561</v>
      </c>
      <c r="L6503">
        <f t="shared" si="381"/>
        <v>1</v>
      </c>
    </row>
    <row r="6504" spans="1:12" x14ac:dyDescent="0.35">
      <c r="A6504">
        <f t="shared" si="382"/>
        <v>6503</v>
      </c>
      <c r="B6504" t="s">
        <v>754</v>
      </c>
      <c r="C6504" s="109" t="str">
        <f>IF(ISBLANK(K6504),IFERROR(VLOOKUP(I6504,FS_input_data!$C$458:$N$648,Export!J6504,FALSE),""),K6504)</f>
        <v/>
      </c>
      <c r="D6504" s="6"/>
      <c r="E6504" s="6"/>
      <c r="F6504" s="6"/>
      <c r="G6504" s="115" t="b">
        <f>VLOOKUP(I6492,FS_input_noty,J6492,FALSE)=""</f>
        <v>0</v>
      </c>
      <c r="H6504" s="6" t="s">
        <v>2189</v>
      </c>
      <c r="I6504" t="s">
        <v>1561</v>
      </c>
      <c r="J6504" t="s">
        <v>1561</v>
      </c>
      <c r="L6504" s="26" t="e">
        <f t="shared" si="381"/>
        <v>#VALUE!</v>
      </c>
    </row>
    <row r="6505" spans="1:12" x14ac:dyDescent="0.35">
      <c r="A6505" s="9">
        <f t="shared" si="382"/>
        <v>6504</v>
      </c>
      <c r="B6505" t="s">
        <v>755</v>
      </c>
      <c r="C6505" s="109">
        <f>IF(ISBLANK(K6505),IFERROR(VLOOKUP(I6505,FS_input_data!$C$458:$N$648,Export!J6505,FALSE),""),K6505)</f>
        <v>122</v>
      </c>
      <c r="D6505" s="6" t="b">
        <v>1</v>
      </c>
      <c r="E6505" s="6"/>
      <c r="F6505" s="6"/>
      <c r="G6505" s="115" t="b">
        <f>VLOOKUP(I6492,FS_input_noty,J6492,FALSE)=""</f>
        <v>0</v>
      </c>
      <c r="H6505" s="6" t="s">
        <v>2189</v>
      </c>
      <c r="I6505" t="s">
        <v>2054</v>
      </c>
      <c r="J6505">
        <v>2</v>
      </c>
      <c r="L6505" s="26" t="e">
        <f t="shared" si="381"/>
        <v>#VALUE!</v>
      </c>
    </row>
    <row r="6506" spans="1:12" x14ac:dyDescent="0.35">
      <c r="A6506">
        <f t="shared" si="382"/>
        <v>6505</v>
      </c>
      <c r="B6506" t="s">
        <v>756</v>
      </c>
      <c r="C6506" s="109" t="str">
        <f>IF(ISBLANK(K6506),IFERROR(VLOOKUP(I6506,FS_input_data!$C$458:$N$648,Export!J6506,FALSE),""),K6506)</f>
        <v/>
      </c>
      <c r="D6506" s="6"/>
      <c r="E6506" s="6"/>
      <c r="F6506" s="6"/>
      <c r="G6506" s="115" t="b">
        <f>VLOOKUP(I6492,FS_input_noty,J6492,FALSE)=""</f>
        <v>0</v>
      </c>
      <c r="H6506" s="6" t="s">
        <v>2189</v>
      </c>
      <c r="I6506" t="s">
        <v>1561</v>
      </c>
      <c r="J6506" t="s">
        <v>1561</v>
      </c>
      <c r="L6506">
        <f t="shared" si="381"/>
        <v>1</v>
      </c>
    </row>
    <row r="6507" spans="1:12" x14ac:dyDescent="0.35">
      <c r="A6507" s="9">
        <f t="shared" si="382"/>
        <v>6506</v>
      </c>
      <c r="B6507" t="s">
        <v>757</v>
      </c>
      <c r="C6507" s="109">
        <f>IF(ISBLANK(K6507),IFERROR(VLOOKUP(I6507,FS_input_data!$C$458:$N$648,Export!J6507,FALSE),""),K6507)</f>
        <v>222</v>
      </c>
      <c r="D6507" s="6" t="b">
        <v>0</v>
      </c>
      <c r="E6507" s="6"/>
      <c r="F6507" s="6"/>
      <c r="G6507" s="115" t="b">
        <f>VLOOKUP(I6492,FS_input_noty,J6492,FALSE)=""</f>
        <v>0</v>
      </c>
      <c r="H6507" s="6" t="s">
        <v>2189</v>
      </c>
      <c r="I6507" t="s">
        <v>2054</v>
      </c>
      <c r="J6507">
        <v>3</v>
      </c>
      <c r="L6507" s="26" t="e">
        <f t="shared" si="381"/>
        <v>#VALUE!</v>
      </c>
    </row>
    <row r="6508" spans="1:12" x14ac:dyDescent="0.35">
      <c r="A6508">
        <f t="shared" si="382"/>
        <v>6507</v>
      </c>
      <c r="B6508" t="s">
        <v>758</v>
      </c>
      <c r="C6508" s="109" t="str">
        <f>IF(ISBLANK(K6508),IFERROR(VLOOKUP(I6508,FS_input_data!$C$458:$N$648,Export!J6508,FALSE),""),K6508)</f>
        <v/>
      </c>
      <c r="D6508" s="6"/>
      <c r="E6508" s="6"/>
      <c r="F6508" s="6"/>
      <c r="G6508" s="115" t="b">
        <f>VLOOKUP(I6492,FS_input_noty,J6492,FALSE)=""</f>
        <v>0</v>
      </c>
      <c r="H6508" s="6" t="s">
        <v>2189</v>
      </c>
      <c r="I6508" t="s">
        <v>1561</v>
      </c>
      <c r="J6508" t="s">
        <v>1561</v>
      </c>
      <c r="L6508">
        <f t="shared" si="381"/>
        <v>1</v>
      </c>
    </row>
    <row r="6509" spans="1:12" x14ac:dyDescent="0.35">
      <c r="A6509" s="9">
        <f t="shared" si="382"/>
        <v>6508</v>
      </c>
      <c r="B6509" t="s">
        <v>759</v>
      </c>
      <c r="C6509" s="109">
        <f>IF(ISBLANK(K6509),IFERROR(VLOOKUP(I6509,FS_input_data!$C$458:$N$648,Export!J6509,FALSE),""),K6509)</f>
        <v>322</v>
      </c>
      <c r="D6509" s="6" t="b">
        <v>0</v>
      </c>
      <c r="E6509" s="6"/>
      <c r="F6509" s="6"/>
      <c r="G6509" s="115" t="b">
        <f>VLOOKUP(I6492,FS_input_noty,J6492,FALSE)=""</f>
        <v>0</v>
      </c>
      <c r="H6509" s="6" t="s">
        <v>2189</v>
      </c>
      <c r="I6509" t="s">
        <v>2054</v>
      </c>
      <c r="J6509">
        <v>4</v>
      </c>
      <c r="L6509" s="26" t="e">
        <f t="shared" si="381"/>
        <v>#VALUE!</v>
      </c>
    </row>
    <row r="6510" spans="1:12" x14ac:dyDescent="0.35">
      <c r="A6510">
        <f t="shared" si="382"/>
        <v>6509</v>
      </c>
      <c r="B6510" t="s">
        <v>760</v>
      </c>
      <c r="C6510" s="109" t="str">
        <f>IF(ISBLANK(K6510),IFERROR(VLOOKUP(I6510,FS_input_data!$C$458:$N$648,Export!J6510,FALSE),""),K6510)</f>
        <v/>
      </c>
      <c r="D6510" s="6"/>
      <c r="E6510" s="6"/>
      <c r="F6510" s="6"/>
      <c r="G6510" s="115" t="b">
        <f>VLOOKUP(I6492,FS_input_noty,J6492,FALSE)=""</f>
        <v>0</v>
      </c>
      <c r="H6510" s="6" t="s">
        <v>2189</v>
      </c>
      <c r="I6510" t="s">
        <v>1561</v>
      </c>
      <c r="J6510" t="s">
        <v>1561</v>
      </c>
      <c r="L6510">
        <f t="shared" si="381"/>
        <v>1</v>
      </c>
    </row>
    <row r="6511" spans="1:12" x14ac:dyDescent="0.35">
      <c r="A6511" s="9">
        <f t="shared" si="382"/>
        <v>6510</v>
      </c>
      <c r="B6511" t="s">
        <v>761</v>
      </c>
      <c r="C6511" s="109" t="str">
        <f>IF(ISBLANK(K6511),IFERROR(VLOOKUP(I6511,FS_input_data!$C$458:$N$648,Export!J6511,FALSE),""),K6511)</f>
        <v>f</v>
      </c>
      <c r="D6511" s="6" t="b">
        <v>0</v>
      </c>
      <c r="E6511" s="6"/>
      <c r="F6511" s="6"/>
      <c r="G6511" s="115" t="b">
        <f>VLOOKUP(I6492,FS_input_noty,J6492,FALSE)=""</f>
        <v>0</v>
      </c>
      <c r="H6511" s="6" t="s">
        <v>2189</v>
      </c>
      <c r="I6511" t="s">
        <v>2054</v>
      </c>
      <c r="J6511">
        <v>5</v>
      </c>
      <c r="L6511" s="26" t="e">
        <f t="shared" si="381"/>
        <v>#VALUE!</v>
      </c>
    </row>
    <row r="6512" spans="1:12" x14ac:dyDescent="0.35">
      <c r="A6512">
        <f t="shared" si="382"/>
        <v>6511</v>
      </c>
      <c r="B6512" t="s">
        <v>762</v>
      </c>
      <c r="C6512" s="109" t="str">
        <f>IF(ISBLANK(K6512),IFERROR(VLOOKUP(I6512,FS_input_data!$C$458:$N$648,Export!J6512,FALSE),""),K6512)</f>
        <v/>
      </c>
      <c r="D6512" s="6"/>
      <c r="E6512" s="6"/>
      <c r="F6512" s="6"/>
      <c r="G6512" s="115" t="b">
        <f>VLOOKUP(I6492,FS_input_noty,J6492,FALSE)=""</f>
        <v>0</v>
      </c>
      <c r="H6512" s="6" t="s">
        <v>2189</v>
      </c>
      <c r="I6512" t="s">
        <v>1561</v>
      </c>
      <c r="J6512" t="s">
        <v>1561</v>
      </c>
      <c r="L6512">
        <f t="shared" si="381"/>
        <v>1</v>
      </c>
    </row>
    <row r="6513" spans="1:12" x14ac:dyDescent="0.35">
      <c r="A6513">
        <f t="shared" si="382"/>
        <v>6512</v>
      </c>
      <c r="B6513" t="s">
        <v>763</v>
      </c>
      <c r="C6513" s="109" t="str">
        <f>IF(ISBLANK(K6513),IFERROR(VLOOKUP(I6513,FS_input_data!$C$458:$N$648,Export!J6513,FALSE),""),K6513)</f>
        <v/>
      </c>
      <c r="D6513" s="6"/>
      <c r="E6513" s="6"/>
      <c r="F6513" s="6"/>
      <c r="G6513" s="115" t="b">
        <f>VLOOKUP(I6492,FS_input_noty,J6492,FALSE)=""</f>
        <v>0</v>
      </c>
      <c r="H6513" s="6" t="s">
        <v>2189</v>
      </c>
      <c r="I6513" t="s">
        <v>1561</v>
      </c>
      <c r="J6513" t="s">
        <v>1561</v>
      </c>
      <c r="L6513">
        <f t="shared" si="381"/>
        <v>1</v>
      </c>
    </row>
    <row r="6514" spans="1:12" x14ac:dyDescent="0.35">
      <c r="A6514">
        <f t="shared" si="382"/>
        <v>6513</v>
      </c>
      <c r="B6514" t="s">
        <v>743</v>
      </c>
      <c r="C6514" s="109" t="str">
        <f>IF(ISBLANK(K6514),IFERROR(VLOOKUP(I6514,FS_input_data!$C$458:$N$648,Export!J6514,FALSE),""),K6514)</f>
        <v/>
      </c>
      <c r="D6514" s="6"/>
      <c r="E6514" s="6"/>
      <c r="F6514" s="6"/>
      <c r="G6514" s="115" t="b">
        <f>VLOOKUP(I6492,FS_input_noty,J6492,FALSE)=""</f>
        <v>0</v>
      </c>
      <c r="H6514" s="6" t="s">
        <v>2189</v>
      </c>
      <c r="I6514" t="s">
        <v>1561</v>
      </c>
      <c r="J6514" t="s">
        <v>1561</v>
      </c>
      <c r="L6514">
        <f t="shared" si="381"/>
        <v>1</v>
      </c>
    </row>
    <row r="6515" spans="1:12" x14ac:dyDescent="0.35">
      <c r="A6515">
        <f t="shared" si="382"/>
        <v>6514</v>
      </c>
      <c r="B6515" t="s">
        <v>744</v>
      </c>
      <c r="C6515" s="109" t="str">
        <f>IF(ISBLANK(K6515),IFERROR(VLOOKUP(I6515,FS_input_data!$C$458:$N$648,Export!J6515,FALSE),""),K6515)</f>
        <v/>
      </c>
      <c r="D6515" s="6"/>
      <c r="E6515" s="6"/>
      <c r="F6515" s="6"/>
      <c r="G6515" s="115" t="b">
        <f t="shared" ref="G6515:G6522" si="384">RP_tax</f>
        <v>1</v>
      </c>
      <c r="H6515" s="6" t="s">
        <v>2189</v>
      </c>
      <c r="I6515" t="s">
        <v>1561</v>
      </c>
      <c r="J6515" t="s">
        <v>1561</v>
      </c>
      <c r="L6515" s="26" t="e">
        <f t="shared" si="381"/>
        <v>#VALUE!</v>
      </c>
    </row>
    <row r="6516" spans="1:12" x14ac:dyDescent="0.35">
      <c r="A6516" s="9">
        <f t="shared" si="382"/>
        <v>6515</v>
      </c>
      <c r="B6516" t="s">
        <v>109</v>
      </c>
      <c r="C6516" s="109">
        <f>IF(ISBLANK(K6516),IFERROR(VLOOKUP(I6516,FS_input_data!$C$458:$N$648,Export!J6516,FALSE),""),K6516)</f>
        <v>24000</v>
      </c>
      <c r="D6516" s="6" t="b">
        <v>1</v>
      </c>
      <c r="E6516" s="6"/>
      <c r="F6516" s="6"/>
      <c r="G6516" s="115" t="b">
        <f t="shared" si="384"/>
        <v>1</v>
      </c>
      <c r="H6516" s="6" t="s">
        <v>2189</v>
      </c>
      <c r="I6516" t="s">
        <v>2054</v>
      </c>
      <c r="J6516">
        <v>10</v>
      </c>
      <c r="L6516" s="26" t="e">
        <f t="shared" si="381"/>
        <v>#VALUE!</v>
      </c>
    </row>
    <row r="6517" spans="1:12" x14ac:dyDescent="0.35">
      <c r="A6517">
        <f t="shared" si="382"/>
        <v>6516</v>
      </c>
      <c r="B6517" t="s">
        <v>110</v>
      </c>
      <c r="C6517" s="109" t="str">
        <f>IF(ISBLANK(K6517),IFERROR(VLOOKUP(I6517,FS_input_data!$C$458:$N$648,Export!J6517,FALSE),""),K6517)</f>
        <v/>
      </c>
      <c r="D6517" s="6"/>
      <c r="E6517" s="6"/>
      <c r="F6517" s="6"/>
      <c r="G6517" s="115" t="b">
        <f t="shared" si="384"/>
        <v>1</v>
      </c>
      <c r="H6517" s="6" t="s">
        <v>2189</v>
      </c>
      <c r="I6517" t="s">
        <v>1561</v>
      </c>
      <c r="J6517" t="s">
        <v>1561</v>
      </c>
      <c r="L6517">
        <f t="shared" si="381"/>
        <v>1</v>
      </c>
    </row>
    <row r="6518" spans="1:12" x14ac:dyDescent="0.35">
      <c r="A6518" s="9">
        <f t="shared" si="382"/>
        <v>6517</v>
      </c>
      <c r="B6518" t="s">
        <v>111</v>
      </c>
      <c r="C6518" s="109">
        <f>IF(ISBLANK(K6518),IFERROR(VLOOKUP(I6518,FS_input_data!$C$458:$N$648,Export!J6518,FALSE),""),K6518)</f>
        <v>12000</v>
      </c>
      <c r="D6518" s="6" t="b">
        <v>0</v>
      </c>
      <c r="E6518" s="6"/>
      <c r="F6518" s="6"/>
      <c r="G6518" s="115" t="b">
        <f t="shared" si="384"/>
        <v>1</v>
      </c>
      <c r="H6518" s="6" t="s">
        <v>2189</v>
      </c>
      <c r="I6518" t="s">
        <v>2054</v>
      </c>
      <c r="J6518">
        <v>11</v>
      </c>
      <c r="L6518" s="26" t="e">
        <f t="shared" si="381"/>
        <v>#VALUE!</v>
      </c>
    </row>
    <row r="6519" spans="1:12" x14ac:dyDescent="0.35">
      <c r="A6519">
        <f t="shared" si="382"/>
        <v>6518</v>
      </c>
      <c r="B6519" t="s">
        <v>112</v>
      </c>
      <c r="C6519" s="109" t="str">
        <f>IF(ISBLANK(K6519),IFERROR(VLOOKUP(I6519,FS_input_data!$C$458:$N$648,Export!J6519,FALSE),""),K6519)</f>
        <v/>
      </c>
      <c r="D6519" s="6"/>
      <c r="E6519" s="6"/>
      <c r="F6519" s="6"/>
      <c r="G6519" s="115" t="b">
        <f t="shared" si="384"/>
        <v>1</v>
      </c>
      <c r="H6519" s="6" t="s">
        <v>2189</v>
      </c>
      <c r="I6519" t="s">
        <v>1561</v>
      </c>
      <c r="J6519" t="s">
        <v>1561</v>
      </c>
      <c r="L6519">
        <f t="shared" si="381"/>
        <v>1</v>
      </c>
    </row>
    <row r="6520" spans="1:12" x14ac:dyDescent="0.35">
      <c r="A6520" s="9">
        <f t="shared" si="382"/>
        <v>6519</v>
      </c>
      <c r="B6520" t="s">
        <v>749</v>
      </c>
      <c r="C6520" s="109">
        <f>IF(ISBLANK(K6520),IFERROR(VLOOKUP(I6520,FS_input_data!$C$458:$N$648,Export!J6520,FALSE),""),K6520)</f>
        <v>12000</v>
      </c>
      <c r="D6520" s="6" t="b">
        <v>0</v>
      </c>
      <c r="E6520" s="6"/>
      <c r="F6520" s="6"/>
      <c r="G6520" s="115" t="b">
        <f t="shared" si="384"/>
        <v>1</v>
      </c>
      <c r="H6520" s="6" t="s">
        <v>2189</v>
      </c>
      <c r="I6520" t="s">
        <v>2054</v>
      </c>
      <c r="J6520">
        <v>12</v>
      </c>
      <c r="L6520" s="26" t="e">
        <f t="shared" si="381"/>
        <v>#VALUE!</v>
      </c>
    </row>
    <row r="6521" spans="1:12" x14ac:dyDescent="0.35">
      <c r="A6521">
        <f t="shared" si="382"/>
        <v>6520</v>
      </c>
      <c r="B6521" t="s">
        <v>750</v>
      </c>
      <c r="C6521" s="109" t="str">
        <f>IF(ISBLANK(K6521),IFERROR(VLOOKUP(I6521,FS_input_data!$C$458:$N$648,Export!J6521,FALSE),""),K6521)</f>
        <v/>
      </c>
      <c r="D6521" s="6"/>
      <c r="E6521" s="6"/>
      <c r="F6521" s="6"/>
      <c r="G6521" s="115" t="b">
        <f t="shared" si="384"/>
        <v>1</v>
      </c>
      <c r="H6521" s="6" t="s">
        <v>2189</v>
      </c>
      <c r="I6521" t="s">
        <v>1561</v>
      </c>
      <c r="J6521" t="s">
        <v>1561</v>
      </c>
      <c r="L6521">
        <f t="shared" si="381"/>
        <v>1</v>
      </c>
    </row>
    <row r="6522" spans="1:12" x14ac:dyDescent="0.35">
      <c r="A6522">
        <f t="shared" si="382"/>
        <v>6521</v>
      </c>
      <c r="B6522" t="s">
        <v>745</v>
      </c>
      <c r="C6522" s="109" t="str">
        <f>IF(ISBLANK(K6522),IFERROR(VLOOKUP(I6522,FS_input_data!$C$458:$N$648,Export!J6522,FALSE),""),K6522)</f>
        <v/>
      </c>
      <c r="D6522" s="6"/>
      <c r="E6522" s="6"/>
      <c r="F6522" s="6"/>
      <c r="G6522" s="115" t="b">
        <f t="shared" si="384"/>
        <v>1</v>
      </c>
      <c r="H6522" s="6" t="s">
        <v>2189</v>
      </c>
      <c r="I6522" t="s">
        <v>1561</v>
      </c>
      <c r="J6522" t="s">
        <v>1561</v>
      </c>
      <c r="L6522">
        <f t="shared" si="381"/>
        <v>1</v>
      </c>
    </row>
    <row r="6523" spans="1:12" x14ac:dyDescent="0.35">
      <c r="A6523">
        <f t="shared" si="382"/>
        <v>6522</v>
      </c>
      <c r="B6523" t="s">
        <v>764</v>
      </c>
      <c r="C6523" s="109" t="str">
        <f>IF(ISBLANK(K6523),IFERROR(VLOOKUP(I6523,FS_input_data!$C$458:$N$648,Export!J6523,FALSE),""),K6523)</f>
        <v/>
      </c>
      <c r="D6523" s="6"/>
      <c r="E6523" s="6"/>
      <c r="F6523" s="6"/>
      <c r="G6523" s="115" t="b">
        <f>VLOOKUP(I6492,FS_input_noty,J6492,FALSE)=""</f>
        <v>0</v>
      </c>
      <c r="H6523" s="6" t="s">
        <v>2189</v>
      </c>
      <c r="I6523" t="s">
        <v>1561</v>
      </c>
      <c r="J6523" t="s">
        <v>1561</v>
      </c>
      <c r="L6523">
        <f t="shared" si="381"/>
        <v>1</v>
      </c>
    </row>
    <row r="6524" spans="1:12" x14ac:dyDescent="0.35">
      <c r="A6524">
        <f t="shared" si="382"/>
        <v>6523</v>
      </c>
      <c r="B6524" t="s">
        <v>765</v>
      </c>
      <c r="C6524" s="109" t="str">
        <f>IF(ISBLANK(K6524),IFERROR(VLOOKUP(I6524,FS_input_data!$C$458:$N$648,Export!J6524,FALSE),""),K6524)</f>
        <v/>
      </c>
      <c r="D6524" s="6"/>
      <c r="E6524" s="6"/>
      <c r="F6524" s="6"/>
      <c r="G6524" s="115" t="b">
        <f>VLOOKUP(I6492,FS_input_noty,J6492,FALSE)=""</f>
        <v>0</v>
      </c>
      <c r="H6524" s="6" t="s">
        <v>2189</v>
      </c>
      <c r="I6524" t="s">
        <v>1561</v>
      </c>
      <c r="J6524" t="s">
        <v>1561</v>
      </c>
      <c r="L6524">
        <f t="shared" si="381"/>
        <v>1</v>
      </c>
    </row>
    <row r="6525" spans="1:12" x14ac:dyDescent="0.35">
      <c r="A6525">
        <f t="shared" si="382"/>
        <v>6524</v>
      </c>
      <c r="B6525" t="s">
        <v>752</v>
      </c>
      <c r="C6525" s="109" t="str">
        <f>IF(ISBLANK(K6525),IFERROR(VLOOKUP(I6525,FS_input_data!$C$458:$N$648,Export!J6525,FALSE),""),K6525)</f>
        <v/>
      </c>
      <c r="D6525" s="6"/>
      <c r="E6525" s="6"/>
      <c r="F6525" s="6"/>
      <c r="G6525" s="115" t="b">
        <f>VLOOKUP(I6526,FS_input_noty,J6526,FALSE)=""</f>
        <v>0</v>
      </c>
      <c r="H6525" s="6" t="s">
        <v>2189</v>
      </c>
      <c r="I6525" t="s">
        <v>1561</v>
      </c>
      <c r="J6525" t="s">
        <v>1561</v>
      </c>
      <c r="L6525" s="26" t="e">
        <f t="shared" si="381"/>
        <v>#VALUE!</v>
      </c>
    </row>
    <row r="6526" spans="1:12" x14ac:dyDescent="0.35">
      <c r="A6526" s="9">
        <f t="shared" si="382"/>
        <v>6525</v>
      </c>
      <c r="B6526" t="s">
        <v>101</v>
      </c>
      <c r="C6526" s="109" t="str">
        <f>IF(ISBLANK(K6526),IFERROR(VLOOKUP(I6526,FS_input_data!$C$458:$N$648,Export!J6526,FALSE),""),K6526)</f>
        <v>OC100</v>
      </c>
      <c r="D6526" s="6" t="b">
        <v>1</v>
      </c>
      <c r="E6526" s="6"/>
      <c r="F6526" s="6"/>
      <c r="G6526" s="115" t="b">
        <f>VLOOKUP(I6526,FS_input_noty,J6526,FALSE)=""</f>
        <v>0</v>
      </c>
      <c r="H6526" s="6" t="s">
        <v>2189</v>
      </c>
      <c r="I6526" t="s">
        <v>2056</v>
      </c>
      <c r="J6526">
        <v>6</v>
      </c>
      <c r="L6526" s="26" t="e">
        <f t="shared" si="381"/>
        <v>#VALUE!</v>
      </c>
    </row>
    <row r="6527" spans="1:12" x14ac:dyDescent="0.35">
      <c r="A6527">
        <f t="shared" si="382"/>
        <v>6526</v>
      </c>
      <c r="B6527" t="s">
        <v>102</v>
      </c>
      <c r="C6527" s="109" t="str">
        <f>IF(ISBLANK(K6527),IFERROR(VLOOKUP(I6527,FS_input_data!$C$458:$N$648,Export!J6527,FALSE),""),K6527)</f>
        <v/>
      </c>
      <c r="D6527" s="6"/>
      <c r="E6527" s="6"/>
      <c r="F6527" s="6"/>
      <c r="G6527" s="115" t="b">
        <f>VLOOKUP(I6526,FS_input_noty,J6526,FALSE)=""</f>
        <v>0</v>
      </c>
      <c r="H6527" s="6" t="s">
        <v>2189</v>
      </c>
      <c r="I6527" t="s">
        <v>1561</v>
      </c>
      <c r="J6527" t="s">
        <v>1561</v>
      </c>
      <c r="L6527">
        <f t="shared" si="381"/>
        <v>1</v>
      </c>
    </row>
    <row r="6528" spans="1:12" x14ac:dyDescent="0.35">
      <c r="A6528">
        <f t="shared" si="382"/>
        <v>6527</v>
      </c>
      <c r="B6528" t="s">
        <v>753</v>
      </c>
      <c r="C6528" s="109" t="str">
        <f>IF(ISBLANK(K6528),IFERROR(VLOOKUP(I6528,FS_input_data!$C$458:$N$648,Export!J6528,FALSE),""),K6528)</f>
        <v/>
      </c>
      <c r="D6528" s="6"/>
      <c r="E6528" s="6"/>
      <c r="F6528" s="6"/>
      <c r="G6528" s="115" t="b">
        <f>VLOOKUP(I6526,FS_input_noty,J6526,FALSE)=""</f>
        <v>0</v>
      </c>
      <c r="H6528" s="6" t="s">
        <v>2189</v>
      </c>
      <c r="I6528" t="s">
        <v>1561</v>
      </c>
      <c r="J6528" t="s">
        <v>1561</v>
      </c>
      <c r="L6528" s="26" t="e">
        <f t="shared" si="381"/>
        <v>#VALUE!</v>
      </c>
    </row>
    <row r="6529" spans="1:12" x14ac:dyDescent="0.35">
      <c r="A6529">
        <f t="shared" si="382"/>
        <v>6528</v>
      </c>
      <c r="B6529" t="s">
        <v>742</v>
      </c>
      <c r="C6529" s="109" t="str">
        <f>IF(ISBLANK(K6529),IFERROR(VLOOKUP(I6529,FS_input_data!$C$458:$N$648,Export!J6529,FALSE),""),K6529)</f>
        <v/>
      </c>
      <c r="D6529" s="6"/>
      <c r="E6529" s="6"/>
      <c r="F6529" s="6"/>
      <c r="G6529" s="115" t="b">
        <f>VLOOKUP(I6526,FS_input_noty,J6526,FALSE)=""</f>
        <v>0</v>
      </c>
      <c r="H6529" s="6" t="s">
        <v>2189</v>
      </c>
      <c r="I6529" t="s">
        <v>1561</v>
      </c>
      <c r="J6529" t="s">
        <v>1561</v>
      </c>
      <c r="L6529" s="26" t="e">
        <f t="shared" si="381"/>
        <v>#VALUE!</v>
      </c>
    </row>
    <row r="6530" spans="1:12" x14ac:dyDescent="0.35">
      <c r="A6530">
        <f t="shared" si="382"/>
        <v>6529</v>
      </c>
      <c r="B6530" t="s">
        <v>748</v>
      </c>
      <c r="C6530" s="109" t="str">
        <f>IF(ISBLANK(K6530),IFERROR(VLOOKUP(I6530,FS_input_data!$C$458:$N$648,Export!J6530,FALSE),""),K6530)</f>
        <v/>
      </c>
      <c r="D6530" s="6"/>
      <c r="E6530" s="6"/>
      <c r="F6530" s="6"/>
      <c r="G6530" s="115" t="b">
        <f>VLOOKUP(I6526,FS_input_noty,J6526,FALSE)=""</f>
        <v>0</v>
      </c>
      <c r="H6530" s="6" t="s">
        <v>2189</v>
      </c>
      <c r="I6530" t="s">
        <v>1561</v>
      </c>
      <c r="J6530" t="s">
        <v>1561</v>
      </c>
      <c r="L6530" s="26" t="e">
        <f t="shared" ref="L6530:L6593" si="385">FIND("/",B6530)</f>
        <v>#VALUE!</v>
      </c>
    </row>
    <row r="6531" spans="1:12" x14ac:dyDescent="0.35">
      <c r="A6531" s="9">
        <f t="shared" ref="A6531:A6594" si="386">A6530+1</f>
        <v>6530</v>
      </c>
      <c r="B6531" t="s">
        <v>109</v>
      </c>
      <c r="C6531" s="109">
        <f>IF(ISBLANK(K6531),IFERROR(VLOOKUP(I6531,FS_input_data!$C$458:$N$648,Export!J6531,FALSE),""),K6531)</f>
        <v>25000</v>
      </c>
      <c r="D6531" s="6" t="b">
        <v>1</v>
      </c>
      <c r="E6531" s="6"/>
      <c r="F6531" s="6"/>
      <c r="G6531" s="115" t="b">
        <f>VLOOKUP(I6526,FS_input_noty,J6526,FALSE)=""</f>
        <v>0</v>
      </c>
      <c r="H6531" s="6" t="s">
        <v>2189</v>
      </c>
      <c r="I6531" t="s">
        <v>2056</v>
      </c>
      <c r="J6531">
        <v>7</v>
      </c>
      <c r="L6531" s="26" t="e">
        <f t="shared" si="385"/>
        <v>#VALUE!</v>
      </c>
    </row>
    <row r="6532" spans="1:12" x14ac:dyDescent="0.35">
      <c r="A6532">
        <f t="shared" si="386"/>
        <v>6531</v>
      </c>
      <c r="B6532" t="s">
        <v>110</v>
      </c>
      <c r="C6532" s="109" t="str">
        <f>IF(ISBLANK(K6532),IFERROR(VLOOKUP(I6532,FS_input_data!$C$458:$N$648,Export!J6532,FALSE),""),K6532)</f>
        <v/>
      </c>
      <c r="D6532" s="6"/>
      <c r="E6532" s="6"/>
      <c r="F6532" s="6"/>
      <c r="G6532" s="115" t="b">
        <f>VLOOKUP(I6526,FS_input_noty,J6526,FALSE)=""</f>
        <v>0</v>
      </c>
      <c r="H6532" s="6" t="s">
        <v>2189</v>
      </c>
      <c r="I6532" t="s">
        <v>1561</v>
      </c>
      <c r="J6532" t="s">
        <v>1561</v>
      </c>
      <c r="L6532">
        <f t="shared" si="385"/>
        <v>1</v>
      </c>
    </row>
    <row r="6533" spans="1:12" x14ac:dyDescent="0.35">
      <c r="A6533" s="9">
        <f t="shared" si="386"/>
        <v>6532</v>
      </c>
      <c r="B6533" t="s">
        <v>111</v>
      </c>
      <c r="C6533" s="109">
        <f>IF(ISBLANK(K6533),IFERROR(VLOOKUP(I6533,FS_input_data!$C$458:$N$648,Export!J6533,FALSE),""),K6533)</f>
        <v>12500</v>
      </c>
      <c r="D6533" s="6" t="b">
        <v>0</v>
      </c>
      <c r="E6533" s="6"/>
      <c r="F6533" s="6"/>
      <c r="G6533" s="115" t="b">
        <f>VLOOKUP(I6526,FS_input_noty,J6526,TRUE)=""</f>
        <v>0</v>
      </c>
      <c r="H6533" s="6" t="s">
        <v>2189</v>
      </c>
      <c r="I6533" t="s">
        <v>2056</v>
      </c>
      <c r="J6533">
        <v>8</v>
      </c>
      <c r="L6533" s="26" t="e">
        <f t="shared" si="385"/>
        <v>#VALUE!</v>
      </c>
    </row>
    <row r="6534" spans="1:12" x14ac:dyDescent="0.35">
      <c r="A6534">
        <f t="shared" si="386"/>
        <v>6533</v>
      </c>
      <c r="B6534" t="s">
        <v>112</v>
      </c>
      <c r="C6534" s="109" t="str">
        <f>IF(ISBLANK(K6534),IFERROR(VLOOKUP(I6534,FS_input_data!$C$458:$N$648,Export!J6534,FALSE),""),K6534)</f>
        <v/>
      </c>
      <c r="D6534" s="6"/>
      <c r="E6534" s="6"/>
      <c r="F6534" s="6"/>
      <c r="G6534" s="115" t="b">
        <f>VLOOKUP(I6526,FS_input_noty,J6526,FALSE)=""</f>
        <v>0</v>
      </c>
      <c r="H6534" s="6" t="s">
        <v>2189</v>
      </c>
      <c r="I6534" t="s">
        <v>1561</v>
      </c>
      <c r="J6534" t="s">
        <v>1561</v>
      </c>
      <c r="L6534">
        <f t="shared" si="385"/>
        <v>1</v>
      </c>
    </row>
    <row r="6535" spans="1:12" x14ac:dyDescent="0.35">
      <c r="A6535" s="9">
        <f t="shared" si="386"/>
        <v>6534</v>
      </c>
      <c r="B6535" t="s">
        <v>749</v>
      </c>
      <c r="C6535" s="109">
        <f>IF(ISBLANK(K6535),IFERROR(VLOOKUP(I6535,FS_input_data!$C$458:$N$648,Export!J6535,FALSE),""),K6535)</f>
        <v>12500</v>
      </c>
      <c r="D6535" s="6" t="b">
        <v>0</v>
      </c>
      <c r="E6535" s="6"/>
      <c r="F6535" s="6"/>
      <c r="G6535" s="115" t="b">
        <f>VLOOKUP(I6526,FS_input_noty,J6526,FALSE)=""</f>
        <v>0</v>
      </c>
      <c r="H6535" s="6" t="s">
        <v>2189</v>
      </c>
      <c r="I6535" t="s">
        <v>2056</v>
      </c>
      <c r="J6535">
        <v>9</v>
      </c>
      <c r="L6535" s="26" t="e">
        <f t="shared" si="385"/>
        <v>#VALUE!</v>
      </c>
    </row>
    <row r="6536" spans="1:12" x14ac:dyDescent="0.35">
      <c r="A6536">
        <f t="shared" si="386"/>
        <v>6535</v>
      </c>
      <c r="B6536" t="s">
        <v>750</v>
      </c>
      <c r="C6536" s="109" t="str">
        <f>IF(ISBLANK(K6536),IFERROR(VLOOKUP(I6536,FS_input_data!$C$458:$N$648,Export!J6536,FALSE),""),K6536)</f>
        <v/>
      </c>
      <c r="D6536" s="6"/>
      <c r="E6536" s="6"/>
      <c r="F6536" s="6"/>
      <c r="G6536" s="115" t="b">
        <f>VLOOKUP(I6526,FS_input_noty,J6526,FALSE)=""</f>
        <v>0</v>
      </c>
      <c r="H6536" s="6" t="s">
        <v>2189</v>
      </c>
      <c r="I6536" t="s">
        <v>1561</v>
      </c>
      <c r="J6536" t="s">
        <v>1561</v>
      </c>
      <c r="L6536">
        <f t="shared" si="385"/>
        <v>1</v>
      </c>
    </row>
    <row r="6537" spans="1:12" x14ac:dyDescent="0.35">
      <c r="A6537">
        <f t="shared" si="386"/>
        <v>6536</v>
      </c>
      <c r="B6537" t="s">
        <v>751</v>
      </c>
      <c r="C6537" s="109" t="str">
        <f>IF(ISBLANK(K6537),IFERROR(VLOOKUP(I6537,FS_input_data!$C$458:$N$648,Export!J6537,FALSE),""),K6537)</f>
        <v/>
      </c>
      <c r="D6537" s="6"/>
      <c r="E6537" s="6"/>
      <c r="F6537" s="6"/>
      <c r="G6537" s="115" t="b">
        <f>VLOOKUP(I6526,FS_input_noty,J6526,FALSE)=""</f>
        <v>0</v>
      </c>
      <c r="H6537" s="6" t="s">
        <v>2189</v>
      </c>
      <c r="I6537" t="s">
        <v>1561</v>
      </c>
      <c r="J6537" t="s">
        <v>1561</v>
      </c>
      <c r="L6537">
        <f t="shared" si="385"/>
        <v>1</v>
      </c>
    </row>
    <row r="6538" spans="1:12" x14ac:dyDescent="0.35">
      <c r="A6538">
        <f t="shared" si="386"/>
        <v>6537</v>
      </c>
      <c r="B6538" t="s">
        <v>754</v>
      </c>
      <c r="C6538" s="109" t="str">
        <f>IF(ISBLANK(K6538),IFERROR(VLOOKUP(I6538,FS_input_data!$C$458:$N$648,Export!J6538,FALSE),""),K6538)</f>
        <v/>
      </c>
      <c r="D6538" s="6"/>
      <c r="E6538" s="6"/>
      <c r="F6538" s="6"/>
      <c r="G6538" s="115" t="b">
        <f>VLOOKUP(I6526,FS_input_noty,J6526,FALSE)=""</f>
        <v>0</v>
      </c>
      <c r="H6538" s="6" t="s">
        <v>2189</v>
      </c>
      <c r="I6538" t="s">
        <v>1561</v>
      </c>
      <c r="J6538" t="s">
        <v>1561</v>
      </c>
      <c r="L6538" s="26" t="e">
        <f t="shared" si="385"/>
        <v>#VALUE!</v>
      </c>
    </row>
    <row r="6539" spans="1:12" x14ac:dyDescent="0.35">
      <c r="A6539" s="9">
        <f t="shared" si="386"/>
        <v>6538</v>
      </c>
      <c r="B6539" t="s">
        <v>755</v>
      </c>
      <c r="C6539" s="109">
        <f>IF(ISBLANK(K6539),IFERROR(VLOOKUP(I6539,FS_input_data!$C$458:$N$648,Export!J6539,FALSE),""),K6539)</f>
        <v>123</v>
      </c>
      <c r="D6539" s="6" t="b">
        <v>1</v>
      </c>
      <c r="E6539" s="6"/>
      <c r="F6539" s="6"/>
      <c r="G6539" s="115" t="b">
        <f>VLOOKUP(I6526,FS_input_noty,J6526,FALSE)=""</f>
        <v>0</v>
      </c>
      <c r="H6539" s="6" t="s">
        <v>2189</v>
      </c>
      <c r="I6539" t="s">
        <v>2056</v>
      </c>
      <c r="J6539">
        <v>2</v>
      </c>
      <c r="L6539" s="26" t="e">
        <f t="shared" si="385"/>
        <v>#VALUE!</v>
      </c>
    </row>
    <row r="6540" spans="1:12" x14ac:dyDescent="0.35">
      <c r="A6540">
        <f t="shared" si="386"/>
        <v>6539</v>
      </c>
      <c r="B6540" t="s">
        <v>756</v>
      </c>
      <c r="C6540" s="109" t="str">
        <f>IF(ISBLANK(K6540),IFERROR(VLOOKUP(I6540,FS_input_data!$C$458:$N$648,Export!J6540,FALSE),""),K6540)</f>
        <v/>
      </c>
      <c r="D6540" s="6"/>
      <c r="E6540" s="6"/>
      <c r="F6540" s="6"/>
      <c r="G6540" s="115" t="b">
        <f>VLOOKUP(I6526,FS_input_noty,J6526,FALSE)=""</f>
        <v>0</v>
      </c>
      <c r="H6540" s="6" t="s">
        <v>2189</v>
      </c>
      <c r="I6540" t="s">
        <v>1561</v>
      </c>
      <c r="J6540" t="s">
        <v>1561</v>
      </c>
      <c r="L6540">
        <f t="shared" si="385"/>
        <v>1</v>
      </c>
    </row>
    <row r="6541" spans="1:12" x14ac:dyDescent="0.35">
      <c r="A6541" s="9">
        <f t="shared" si="386"/>
        <v>6540</v>
      </c>
      <c r="B6541" t="s">
        <v>757</v>
      </c>
      <c r="C6541" s="109">
        <f>IF(ISBLANK(K6541),IFERROR(VLOOKUP(I6541,FS_input_data!$C$458:$N$648,Export!J6541,FALSE),""),K6541)</f>
        <v>223</v>
      </c>
      <c r="D6541" s="6" t="b">
        <v>0</v>
      </c>
      <c r="E6541" s="6"/>
      <c r="F6541" s="6"/>
      <c r="G6541" s="115" t="b">
        <f>VLOOKUP(I6526,FS_input_noty,J6526,FALSE)=""</f>
        <v>0</v>
      </c>
      <c r="H6541" s="6" t="s">
        <v>2189</v>
      </c>
      <c r="I6541" t="s">
        <v>2056</v>
      </c>
      <c r="J6541">
        <v>3</v>
      </c>
      <c r="L6541" s="26" t="e">
        <f t="shared" si="385"/>
        <v>#VALUE!</v>
      </c>
    </row>
    <row r="6542" spans="1:12" x14ac:dyDescent="0.35">
      <c r="A6542">
        <f t="shared" si="386"/>
        <v>6541</v>
      </c>
      <c r="B6542" t="s">
        <v>758</v>
      </c>
      <c r="C6542" s="109" t="str">
        <f>IF(ISBLANK(K6542),IFERROR(VLOOKUP(I6542,FS_input_data!$C$458:$N$648,Export!J6542,FALSE),""),K6542)</f>
        <v/>
      </c>
      <c r="D6542" s="6"/>
      <c r="E6542" s="6"/>
      <c r="F6542" s="6"/>
      <c r="G6542" s="115" t="b">
        <f>VLOOKUP(I6526,FS_input_noty,J6526,FALSE)=""</f>
        <v>0</v>
      </c>
      <c r="H6542" s="6" t="s">
        <v>2189</v>
      </c>
      <c r="I6542" t="s">
        <v>1561</v>
      </c>
      <c r="J6542" t="s">
        <v>1561</v>
      </c>
      <c r="L6542">
        <f t="shared" si="385"/>
        <v>1</v>
      </c>
    </row>
    <row r="6543" spans="1:12" x14ac:dyDescent="0.35">
      <c r="A6543" s="9">
        <f t="shared" si="386"/>
        <v>6542</v>
      </c>
      <c r="B6543" t="s">
        <v>759</v>
      </c>
      <c r="C6543" s="109">
        <f>IF(ISBLANK(K6543),IFERROR(VLOOKUP(I6543,FS_input_data!$C$458:$N$648,Export!J6543,FALSE),""),K6543)</f>
        <v>323</v>
      </c>
      <c r="D6543" s="6" t="b">
        <v>0</v>
      </c>
      <c r="E6543" s="6"/>
      <c r="F6543" s="6"/>
      <c r="G6543" s="115" t="b">
        <f>VLOOKUP(I6526,FS_input_noty,J6526,FALSE)=""</f>
        <v>0</v>
      </c>
      <c r="H6543" s="6" t="s">
        <v>2189</v>
      </c>
      <c r="I6543" t="s">
        <v>2056</v>
      </c>
      <c r="J6543">
        <v>4</v>
      </c>
      <c r="L6543" s="26" t="e">
        <f t="shared" si="385"/>
        <v>#VALUE!</v>
      </c>
    </row>
    <row r="6544" spans="1:12" x14ac:dyDescent="0.35">
      <c r="A6544">
        <f t="shared" si="386"/>
        <v>6543</v>
      </c>
      <c r="B6544" t="s">
        <v>760</v>
      </c>
      <c r="C6544" s="109" t="str">
        <f>IF(ISBLANK(K6544),IFERROR(VLOOKUP(I6544,FS_input_data!$C$458:$N$648,Export!J6544,FALSE),""),K6544)</f>
        <v/>
      </c>
      <c r="D6544" s="6"/>
      <c r="E6544" s="6"/>
      <c r="F6544" s="6"/>
      <c r="G6544" s="115" t="b">
        <f>VLOOKUP(I6526,FS_input_noty,J6526,FALSE)=""</f>
        <v>0</v>
      </c>
      <c r="H6544" s="6" t="s">
        <v>2189</v>
      </c>
      <c r="I6544" t="s">
        <v>1561</v>
      </c>
      <c r="J6544" t="s">
        <v>1561</v>
      </c>
      <c r="L6544">
        <f t="shared" si="385"/>
        <v>1</v>
      </c>
    </row>
    <row r="6545" spans="1:12" x14ac:dyDescent="0.35">
      <c r="A6545" s="9">
        <f t="shared" si="386"/>
        <v>6544</v>
      </c>
      <c r="B6545" t="s">
        <v>761</v>
      </c>
      <c r="C6545" s="109" t="str">
        <f>IF(ISBLANK(K6545),IFERROR(VLOOKUP(I6545,FS_input_data!$C$458:$N$648,Export!J6545,FALSE),""),K6545)</f>
        <v>g</v>
      </c>
      <c r="D6545" s="6" t="b">
        <v>0</v>
      </c>
      <c r="E6545" s="6"/>
      <c r="F6545" s="6"/>
      <c r="G6545" s="115" t="b">
        <f>VLOOKUP(I6526,FS_input_noty,J6526,FALSE)=""</f>
        <v>0</v>
      </c>
      <c r="H6545" s="6" t="s">
        <v>2189</v>
      </c>
      <c r="I6545" t="s">
        <v>2056</v>
      </c>
      <c r="J6545">
        <v>5</v>
      </c>
      <c r="L6545" s="26" t="e">
        <f t="shared" si="385"/>
        <v>#VALUE!</v>
      </c>
    </row>
    <row r="6546" spans="1:12" x14ac:dyDescent="0.35">
      <c r="A6546">
        <f t="shared" si="386"/>
        <v>6545</v>
      </c>
      <c r="B6546" t="s">
        <v>762</v>
      </c>
      <c r="C6546" s="109" t="str">
        <f>IF(ISBLANK(K6546),IFERROR(VLOOKUP(I6546,FS_input_data!$C$458:$N$648,Export!J6546,FALSE),""),K6546)</f>
        <v/>
      </c>
      <c r="D6546" s="6"/>
      <c r="E6546" s="6"/>
      <c r="F6546" s="6"/>
      <c r="G6546" s="115" t="b">
        <f>VLOOKUP(I6526,FS_input_noty,J6526,FALSE)=""</f>
        <v>0</v>
      </c>
      <c r="H6546" s="6" t="s">
        <v>2189</v>
      </c>
      <c r="I6546" t="s">
        <v>1561</v>
      </c>
      <c r="J6546" t="s">
        <v>1561</v>
      </c>
      <c r="L6546">
        <f t="shared" si="385"/>
        <v>1</v>
      </c>
    </row>
    <row r="6547" spans="1:12" x14ac:dyDescent="0.35">
      <c r="A6547">
        <f t="shared" si="386"/>
        <v>6546</v>
      </c>
      <c r="B6547" t="s">
        <v>763</v>
      </c>
      <c r="C6547" s="109" t="str">
        <f>IF(ISBLANK(K6547),IFERROR(VLOOKUP(I6547,FS_input_data!$C$458:$N$648,Export!J6547,FALSE),""),K6547)</f>
        <v/>
      </c>
      <c r="E6547" s="6"/>
      <c r="F6547" s="6"/>
      <c r="G6547" s="115" t="b">
        <f>VLOOKUP(I6526,FS_input_noty,J6526,FALSE)=""</f>
        <v>0</v>
      </c>
      <c r="H6547" s="6" t="s">
        <v>2189</v>
      </c>
      <c r="I6547" t="s">
        <v>1561</v>
      </c>
      <c r="J6547" t="s">
        <v>1561</v>
      </c>
      <c r="L6547">
        <f t="shared" si="385"/>
        <v>1</v>
      </c>
    </row>
    <row r="6548" spans="1:12" x14ac:dyDescent="0.35">
      <c r="A6548">
        <f t="shared" si="386"/>
        <v>6547</v>
      </c>
      <c r="B6548" t="s">
        <v>743</v>
      </c>
      <c r="C6548" s="109" t="str">
        <f>IF(ISBLANK(K6548),IFERROR(VLOOKUP(I6548,FS_input_data!$C$458:$N$648,Export!J6548,FALSE),""),K6548)</f>
        <v/>
      </c>
      <c r="E6548" s="6"/>
      <c r="F6548" s="6"/>
      <c r="G6548" s="115" t="b">
        <f>VLOOKUP(I6526,FS_input_noty,J6526,FALSE)=""</f>
        <v>0</v>
      </c>
      <c r="H6548" s="6" t="s">
        <v>2189</v>
      </c>
      <c r="I6548" t="s">
        <v>1561</v>
      </c>
      <c r="J6548" t="s">
        <v>1561</v>
      </c>
      <c r="L6548">
        <f t="shared" si="385"/>
        <v>1</v>
      </c>
    </row>
    <row r="6549" spans="1:12" x14ac:dyDescent="0.35">
      <c r="A6549">
        <f t="shared" si="386"/>
        <v>6548</v>
      </c>
      <c r="B6549" t="s">
        <v>744</v>
      </c>
      <c r="C6549" s="109" t="str">
        <f>IF(ISBLANK(K6549),IFERROR(VLOOKUP(I6549,FS_input_data!$C$458:$N$648,Export!J6549,FALSE),""),K6549)</f>
        <v/>
      </c>
      <c r="E6549" s="6"/>
      <c r="F6549" s="6"/>
      <c r="G6549" s="115" t="b">
        <f t="shared" ref="G6549:G6556" si="387">RP_tax</f>
        <v>1</v>
      </c>
      <c r="H6549" s="6" t="s">
        <v>2189</v>
      </c>
      <c r="I6549" t="s">
        <v>1561</v>
      </c>
      <c r="J6549" t="s">
        <v>1561</v>
      </c>
      <c r="L6549" s="26" t="e">
        <f t="shared" si="385"/>
        <v>#VALUE!</v>
      </c>
    </row>
    <row r="6550" spans="1:12" x14ac:dyDescent="0.35">
      <c r="A6550" s="9">
        <f t="shared" si="386"/>
        <v>6549</v>
      </c>
      <c r="B6550" t="s">
        <v>109</v>
      </c>
      <c r="C6550" s="109">
        <f>IF(ISBLANK(K6550),IFERROR(VLOOKUP(I6550,FS_input_data!$C$458:$N$648,Export!J6550,FALSE),""),K6550)</f>
        <v>25000</v>
      </c>
      <c r="D6550" s="6" t="b">
        <v>1</v>
      </c>
      <c r="E6550" s="6"/>
      <c r="F6550" s="6"/>
      <c r="G6550" s="115" t="b">
        <f t="shared" si="387"/>
        <v>1</v>
      </c>
      <c r="H6550" s="6" t="s">
        <v>2189</v>
      </c>
      <c r="I6550" t="s">
        <v>2056</v>
      </c>
      <c r="J6550">
        <v>10</v>
      </c>
      <c r="L6550" s="26" t="e">
        <f t="shared" si="385"/>
        <v>#VALUE!</v>
      </c>
    </row>
    <row r="6551" spans="1:12" x14ac:dyDescent="0.35">
      <c r="A6551">
        <f t="shared" si="386"/>
        <v>6550</v>
      </c>
      <c r="B6551" t="s">
        <v>110</v>
      </c>
      <c r="C6551" s="109" t="str">
        <f>IF(ISBLANK(K6551),IFERROR(VLOOKUP(I6551,FS_input_data!$C$458:$N$648,Export!J6551,FALSE),""),K6551)</f>
        <v/>
      </c>
      <c r="D6551" s="6"/>
      <c r="E6551" s="6"/>
      <c r="F6551" s="6"/>
      <c r="G6551" s="115" t="b">
        <f t="shared" si="387"/>
        <v>1</v>
      </c>
      <c r="H6551" s="6" t="s">
        <v>2189</v>
      </c>
      <c r="I6551" t="s">
        <v>1561</v>
      </c>
      <c r="J6551" t="s">
        <v>1561</v>
      </c>
      <c r="L6551">
        <f t="shared" si="385"/>
        <v>1</v>
      </c>
    </row>
    <row r="6552" spans="1:12" x14ac:dyDescent="0.35">
      <c r="A6552" s="9">
        <f t="shared" si="386"/>
        <v>6551</v>
      </c>
      <c r="B6552" t="s">
        <v>111</v>
      </c>
      <c r="C6552" s="109">
        <f>IF(ISBLANK(K6552),IFERROR(VLOOKUP(I6552,FS_input_data!$C$458:$N$648,Export!J6552,FALSE),""),K6552)</f>
        <v>12500</v>
      </c>
      <c r="D6552" s="6" t="b">
        <v>0</v>
      </c>
      <c r="E6552" s="6"/>
      <c r="F6552" s="6"/>
      <c r="G6552" s="115" t="b">
        <f t="shared" si="387"/>
        <v>1</v>
      </c>
      <c r="H6552" s="6" t="s">
        <v>2189</v>
      </c>
      <c r="I6552" t="s">
        <v>2056</v>
      </c>
      <c r="J6552">
        <v>11</v>
      </c>
      <c r="L6552" s="26" t="e">
        <f t="shared" si="385"/>
        <v>#VALUE!</v>
      </c>
    </row>
    <row r="6553" spans="1:12" x14ac:dyDescent="0.35">
      <c r="A6553">
        <f t="shared" si="386"/>
        <v>6552</v>
      </c>
      <c r="B6553" t="s">
        <v>112</v>
      </c>
      <c r="C6553" s="109" t="str">
        <f>IF(ISBLANK(K6553),IFERROR(VLOOKUP(I6553,FS_input_data!$C$458:$N$648,Export!J6553,FALSE),""),K6553)</f>
        <v/>
      </c>
      <c r="D6553" s="6"/>
      <c r="E6553" s="6"/>
      <c r="F6553" s="6"/>
      <c r="G6553" s="115" t="b">
        <f t="shared" si="387"/>
        <v>1</v>
      </c>
      <c r="H6553" s="6" t="s">
        <v>2189</v>
      </c>
      <c r="I6553" t="s">
        <v>1561</v>
      </c>
      <c r="J6553" t="s">
        <v>1561</v>
      </c>
      <c r="L6553">
        <f t="shared" si="385"/>
        <v>1</v>
      </c>
    </row>
    <row r="6554" spans="1:12" x14ac:dyDescent="0.35">
      <c r="A6554" s="9">
        <f t="shared" si="386"/>
        <v>6553</v>
      </c>
      <c r="B6554" t="s">
        <v>749</v>
      </c>
      <c r="C6554" s="109">
        <f>IF(ISBLANK(K6554),IFERROR(VLOOKUP(I6554,FS_input_data!$C$458:$N$648,Export!J6554,FALSE),""),K6554)</f>
        <v>12500</v>
      </c>
      <c r="D6554" s="6" t="b">
        <v>0</v>
      </c>
      <c r="E6554" s="6"/>
      <c r="F6554" s="6"/>
      <c r="G6554" s="115" t="b">
        <f t="shared" si="387"/>
        <v>1</v>
      </c>
      <c r="H6554" s="6" t="s">
        <v>2189</v>
      </c>
      <c r="I6554" t="s">
        <v>2056</v>
      </c>
      <c r="J6554">
        <v>12</v>
      </c>
      <c r="L6554" s="26" t="e">
        <f t="shared" si="385"/>
        <v>#VALUE!</v>
      </c>
    </row>
    <row r="6555" spans="1:12" x14ac:dyDescent="0.35">
      <c r="A6555">
        <f t="shared" si="386"/>
        <v>6554</v>
      </c>
      <c r="B6555" t="s">
        <v>750</v>
      </c>
      <c r="C6555" s="109" t="str">
        <f>IF(ISBLANK(K6555),IFERROR(VLOOKUP(I6555,FS_input_data!$C$458:$N$648,Export!J6555,FALSE),""),K6555)</f>
        <v/>
      </c>
      <c r="D6555" s="6"/>
      <c r="E6555" s="6"/>
      <c r="F6555" s="6"/>
      <c r="G6555" s="115" t="b">
        <f t="shared" si="387"/>
        <v>1</v>
      </c>
      <c r="H6555" s="6" t="s">
        <v>2189</v>
      </c>
      <c r="I6555" t="s">
        <v>1561</v>
      </c>
      <c r="J6555" t="s">
        <v>1561</v>
      </c>
      <c r="L6555">
        <f t="shared" si="385"/>
        <v>1</v>
      </c>
    </row>
    <row r="6556" spans="1:12" x14ac:dyDescent="0.35">
      <c r="A6556">
        <f t="shared" si="386"/>
        <v>6555</v>
      </c>
      <c r="B6556" t="s">
        <v>745</v>
      </c>
      <c r="C6556" s="109" t="str">
        <f>IF(ISBLANK(K6556),IFERROR(VLOOKUP(I6556,FS_input_data!$C$458:$N$648,Export!J6556,FALSE),""),K6556)</f>
        <v/>
      </c>
      <c r="E6556" s="6"/>
      <c r="F6556" s="6"/>
      <c r="G6556" s="115" t="b">
        <f t="shared" si="387"/>
        <v>1</v>
      </c>
      <c r="H6556" s="6" t="s">
        <v>2189</v>
      </c>
      <c r="I6556" t="s">
        <v>1561</v>
      </c>
      <c r="J6556" t="s">
        <v>1561</v>
      </c>
      <c r="L6556">
        <f t="shared" si="385"/>
        <v>1</v>
      </c>
    </row>
    <row r="6557" spans="1:12" x14ac:dyDescent="0.35">
      <c r="A6557">
        <f t="shared" si="386"/>
        <v>6556</v>
      </c>
      <c r="B6557" t="s">
        <v>764</v>
      </c>
      <c r="C6557" s="109" t="str">
        <f>IF(ISBLANK(K6557),IFERROR(VLOOKUP(I6557,FS_input_data!$C$458:$N$648,Export!J6557,FALSE),""),K6557)</f>
        <v/>
      </c>
      <c r="E6557" s="6"/>
      <c r="F6557" s="6"/>
      <c r="G6557" s="115" t="b">
        <f>VLOOKUP(I6526,FS_input_noty,J6526,FALSE)=""</f>
        <v>0</v>
      </c>
      <c r="H6557" s="6" t="s">
        <v>2189</v>
      </c>
      <c r="I6557" t="s">
        <v>1561</v>
      </c>
      <c r="J6557" t="s">
        <v>1561</v>
      </c>
      <c r="L6557">
        <f t="shared" si="385"/>
        <v>1</v>
      </c>
    </row>
    <row r="6558" spans="1:12" x14ac:dyDescent="0.35">
      <c r="A6558">
        <f t="shared" si="386"/>
        <v>6557</v>
      </c>
      <c r="B6558" t="s">
        <v>765</v>
      </c>
      <c r="C6558" s="109" t="str">
        <f>IF(ISBLANK(K6558),IFERROR(VLOOKUP(I6558,FS_input_data!$C$458:$N$648,Export!J6558,FALSE),""),K6558)</f>
        <v/>
      </c>
      <c r="E6558" s="6"/>
      <c r="F6558" s="6"/>
      <c r="G6558" s="115" t="b">
        <f>VLOOKUP(I6526,FS_input_noty,J6526,FALSE)=""</f>
        <v>0</v>
      </c>
      <c r="H6558" s="6" t="s">
        <v>2189</v>
      </c>
      <c r="I6558" t="s">
        <v>1561</v>
      </c>
      <c r="J6558" t="s">
        <v>1561</v>
      </c>
      <c r="L6558">
        <f t="shared" si="385"/>
        <v>1</v>
      </c>
    </row>
    <row r="6559" spans="1:12" x14ac:dyDescent="0.35">
      <c r="A6559">
        <f t="shared" si="386"/>
        <v>6558</v>
      </c>
      <c r="B6559" t="s">
        <v>752</v>
      </c>
      <c r="C6559" s="109" t="str">
        <f>IF(ISBLANK(K6559),IFERROR(VLOOKUP(I6559,FS_input_data!$C$458:$N$648,Export!J6559,FALSE),""),K6559)</f>
        <v/>
      </c>
      <c r="E6559" s="6"/>
      <c r="F6559" s="6"/>
      <c r="G6559" s="115" t="b">
        <f>VLOOKUP(I6560,FS_input_noty,J6560,FALSE)=""</f>
        <v>0</v>
      </c>
      <c r="H6559" s="6" t="s">
        <v>2189</v>
      </c>
      <c r="I6559" t="s">
        <v>1561</v>
      </c>
      <c r="J6559" t="s">
        <v>1561</v>
      </c>
      <c r="L6559" s="26" t="e">
        <f t="shared" si="385"/>
        <v>#VALUE!</v>
      </c>
    </row>
    <row r="6560" spans="1:12" x14ac:dyDescent="0.35">
      <c r="A6560" s="9">
        <f t="shared" si="386"/>
        <v>6559</v>
      </c>
      <c r="B6560" t="s">
        <v>101</v>
      </c>
      <c r="C6560" s="109" t="str">
        <f>IF(ISBLANK(K6560),IFERROR(VLOOKUP(I6560,FS_input_data!$C$458:$N$648,Export!J6560,FALSE),""),K6560)</f>
        <v>OC101</v>
      </c>
      <c r="D6560" s="6" t="b">
        <v>1</v>
      </c>
      <c r="E6560" s="6"/>
      <c r="F6560" s="6"/>
      <c r="G6560" s="115" t="b">
        <f>VLOOKUP(I6560,FS_input_noty,J6560,FALSE)=""</f>
        <v>0</v>
      </c>
      <c r="H6560" s="6" t="s">
        <v>2189</v>
      </c>
      <c r="I6560" t="s">
        <v>2058</v>
      </c>
      <c r="J6560">
        <v>6</v>
      </c>
      <c r="L6560" s="26" t="e">
        <f t="shared" si="385"/>
        <v>#VALUE!</v>
      </c>
    </row>
    <row r="6561" spans="1:12" x14ac:dyDescent="0.35">
      <c r="A6561">
        <f t="shared" si="386"/>
        <v>6560</v>
      </c>
      <c r="B6561" t="s">
        <v>102</v>
      </c>
      <c r="C6561" s="109" t="str">
        <f>IF(ISBLANK(K6561),IFERROR(VLOOKUP(I6561,FS_input_data!$C$458:$N$648,Export!J6561,FALSE),""),K6561)</f>
        <v/>
      </c>
      <c r="D6561" s="6"/>
      <c r="E6561" s="6"/>
      <c r="F6561" s="6"/>
      <c r="G6561" s="115" t="b">
        <f>VLOOKUP(I6560,FS_input_noty,J6560,FALSE)=""</f>
        <v>0</v>
      </c>
      <c r="H6561" s="6" t="s">
        <v>2189</v>
      </c>
      <c r="I6561" t="s">
        <v>1561</v>
      </c>
      <c r="J6561" t="s">
        <v>1561</v>
      </c>
      <c r="L6561">
        <f t="shared" si="385"/>
        <v>1</v>
      </c>
    </row>
    <row r="6562" spans="1:12" x14ac:dyDescent="0.35">
      <c r="A6562">
        <f t="shared" si="386"/>
        <v>6561</v>
      </c>
      <c r="B6562" t="s">
        <v>753</v>
      </c>
      <c r="C6562" s="109" t="str">
        <f>IF(ISBLANK(K6562),IFERROR(VLOOKUP(I6562,FS_input_data!$C$458:$N$648,Export!J6562,FALSE),""),K6562)</f>
        <v/>
      </c>
      <c r="D6562" s="6"/>
      <c r="E6562" s="6"/>
      <c r="F6562" s="6"/>
      <c r="G6562" s="115" t="b">
        <f>VLOOKUP(I6560,FS_input_noty,J6560,FALSE)=""</f>
        <v>0</v>
      </c>
      <c r="H6562" s="6" t="s">
        <v>2189</v>
      </c>
      <c r="I6562" t="s">
        <v>1561</v>
      </c>
      <c r="J6562" t="s">
        <v>1561</v>
      </c>
      <c r="L6562" s="26" t="e">
        <f t="shared" si="385"/>
        <v>#VALUE!</v>
      </c>
    </row>
    <row r="6563" spans="1:12" x14ac:dyDescent="0.35">
      <c r="A6563">
        <f t="shared" si="386"/>
        <v>6562</v>
      </c>
      <c r="B6563" t="s">
        <v>742</v>
      </c>
      <c r="C6563" s="109" t="str">
        <f>IF(ISBLANK(K6563),IFERROR(VLOOKUP(I6563,FS_input_data!$C$458:$N$648,Export!J6563,FALSE),""),K6563)</f>
        <v/>
      </c>
      <c r="D6563" s="6"/>
      <c r="E6563" s="6"/>
      <c r="F6563" s="6"/>
      <c r="G6563" s="115" t="b">
        <f>VLOOKUP(I6560,FS_input_noty,J6560,FALSE)=""</f>
        <v>0</v>
      </c>
      <c r="H6563" s="6" t="s">
        <v>2189</v>
      </c>
      <c r="I6563" t="s">
        <v>1561</v>
      </c>
      <c r="J6563" t="s">
        <v>1561</v>
      </c>
      <c r="L6563" s="26" t="e">
        <f t="shared" si="385"/>
        <v>#VALUE!</v>
      </c>
    </row>
    <row r="6564" spans="1:12" x14ac:dyDescent="0.35">
      <c r="A6564">
        <f t="shared" si="386"/>
        <v>6563</v>
      </c>
      <c r="B6564" t="s">
        <v>748</v>
      </c>
      <c r="C6564" s="109" t="str">
        <f>IF(ISBLANK(K6564),IFERROR(VLOOKUP(I6564,FS_input_data!$C$458:$N$648,Export!J6564,FALSE),""),K6564)</f>
        <v/>
      </c>
      <c r="D6564" s="6"/>
      <c r="E6564" s="6"/>
      <c r="F6564" s="6"/>
      <c r="G6564" s="115" t="b">
        <f>VLOOKUP(I6560,FS_input_noty,J6560,FALSE)=""</f>
        <v>0</v>
      </c>
      <c r="H6564" s="6" t="s">
        <v>2189</v>
      </c>
      <c r="I6564" t="s">
        <v>1561</v>
      </c>
      <c r="J6564" t="s">
        <v>1561</v>
      </c>
      <c r="L6564" s="26" t="e">
        <f t="shared" si="385"/>
        <v>#VALUE!</v>
      </c>
    </row>
    <row r="6565" spans="1:12" x14ac:dyDescent="0.35">
      <c r="A6565" s="9">
        <f t="shared" si="386"/>
        <v>6564</v>
      </c>
      <c r="B6565" t="s">
        <v>109</v>
      </c>
      <c r="C6565" s="109">
        <f>IF(ISBLANK(K6565),IFERROR(VLOOKUP(I6565,FS_input_data!$C$458:$N$648,Export!J6565,FALSE),""),K6565)</f>
        <v>26000</v>
      </c>
      <c r="D6565" s="6" t="b">
        <v>1</v>
      </c>
      <c r="E6565" s="6"/>
      <c r="F6565" s="6"/>
      <c r="G6565" s="115" t="b">
        <f>VLOOKUP(I6560,FS_input_noty,J6560,FALSE)=""</f>
        <v>0</v>
      </c>
      <c r="H6565" s="6" t="s">
        <v>2189</v>
      </c>
      <c r="I6565" t="s">
        <v>2058</v>
      </c>
      <c r="J6565">
        <v>7</v>
      </c>
      <c r="L6565" s="26" t="e">
        <f t="shared" si="385"/>
        <v>#VALUE!</v>
      </c>
    </row>
    <row r="6566" spans="1:12" x14ac:dyDescent="0.35">
      <c r="A6566">
        <f t="shared" si="386"/>
        <v>6565</v>
      </c>
      <c r="B6566" t="s">
        <v>110</v>
      </c>
      <c r="C6566" s="109" t="str">
        <f>IF(ISBLANK(K6566),IFERROR(VLOOKUP(I6566,FS_input_data!$C$458:$N$648,Export!J6566,FALSE),""),K6566)</f>
        <v/>
      </c>
      <c r="D6566" s="6"/>
      <c r="E6566" s="6"/>
      <c r="F6566" s="6"/>
      <c r="G6566" s="115" t="b">
        <f>VLOOKUP(I6560,FS_input_noty,J6560,FALSE)=""</f>
        <v>0</v>
      </c>
      <c r="H6566" s="6" t="s">
        <v>2189</v>
      </c>
      <c r="I6566" t="s">
        <v>1561</v>
      </c>
      <c r="J6566" t="s">
        <v>1561</v>
      </c>
      <c r="L6566">
        <f t="shared" si="385"/>
        <v>1</v>
      </c>
    </row>
    <row r="6567" spans="1:12" x14ac:dyDescent="0.35">
      <c r="A6567" s="9">
        <f t="shared" si="386"/>
        <v>6566</v>
      </c>
      <c r="B6567" t="s">
        <v>111</v>
      </c>
      <c r="C6567" s="109">
        <f>IF(ISBLANK(K6567),IFERROR(VLOOKUP(I6567,FS_input_data!$C$458:$N$648,Export!J6567,FALSE),""),K6567)</f>
        <v>13000</v>
      </c>
      <c r="D6567" s="6" t="b">
        <v>0</v>
      </c>
      <c r="E6567" s="6"/>
      <c r="F6567" s="6"/>
      <c r="G6567" s="115" t="b">
        <f>VLOOKUP(I6560,FS_input_noty,J6560,TRUE)=""</f>
        <v>0</v>
      </c>
      <c r="H6567" s="6" t="s">
        <v>2189</v>
      </c>
      <c r="I6567" t="s">
        <v>2058</v>
      </c>
      <c r="J6567">
        <v>8</v>
      </c>
      <c r="L6567" s="26" t="e">
        <f t="shared" si="385"/>
        <v>#VALUE!</v>
      </c>
    </row>
    <row r="6568" spans="1:12" x14ac:dyDescent="0.35">
      <c r="A6568">
        <f t="shared" si="386"/>
        <v>6567</v>
      </c>
      <c r="B6568" t="s">
        <v>112</v>
      </c>
      <c r="C6568" s="109" t="str">
        <f>IF(ISBLANK(K6568),IFERROR(VLOOKUP(I6568,FS_input_data!$C$458:$N$648,Export!J6568,FALSE),""),K6568)</f>
        <v/>
      </c>
      <c r="D6568" s="6"/>
      <c r="E6568" s="6"/>
      <c r="F6568" s="6"/>
      <c r="G6568" s="115" t="b">
        <f>VLOOKUP(I6560,FS_input_noty,J6560,FALSE)=""</f>
        <v>0</v>
      </c>
      <c r="H6568" s="6" t="s">
        <v>2189</v>
      </c>
      <c r="I6568" t="s">
        <v>1561</v>
      </c>
      <c r="J6568" t="s">
        <v>1561</v>
      </c>
      <c r="L6568">
        <f t="shared" si="385"/>
        <v>1</v>
      </c>
    </row>
    <row r="6569" spans="1:12" x14ac:dyDescent="0.35">
      <c r="A6569" s="9">
        <f t="shared" si="386"/>
        <v>6568</v>
      </c>
      <c r="B6569" t="s">
        <v>749</v>
      </c>
      <c r="C6569" s="109">
        <f>IF(ISBLANK(K6569),IFERROR(VLOOKUP(I6569,FS_input_data!$C$458:$N$648,Export!J6569,FALSE),""),K6569)</f>
        <v>13000</v>
      </c>
      <c r="D6569" s="6" t="b">
        <v>0</v>
      </c>
      <c r="E6569" s="6"/>
      <c r="F6569" s="6"/>
      <c r="G6569" s="115" t="b">
        <f>VLOOKUP(I6560,FS_input_noty,J6560,FALSE)=""</f>
        <v>0</v>
      </c>
      <c r="H6569" s="6" t="s">
        <v>2189</v>
      </c>
      <c r="I6569" t="s">
        <v>2058</v>
      </c>
      <c r="J6569">
        <v>9</v>
      </c>
      <c r="L6569" s="26" t="e">
        <f t="shared" si="385"/>
        <v>#VALUE!</v>
      </c>
    </row>
    <row r="6570" spans="1:12" x14ac:dyDescent="0.35">
      <c r="A6570">
        <f t="shared" si="386"/>
        <v>6569</v>
      </c>
      <c r="B6570" t="s">
        <v>750</v>
      </c>
      <c r="C6570" s="109" t="str">
        <f>IF(ISBLANK(K6570),IFERROR(VLOOKUP(I6570,FS_input_data!$C$458:$N$648,Export!J6570,FALSE),""),K6570)</f>
        <v/>
      </c>
      <c r="D6570" s="6"/>
      <c r="E6570" s="6"/>
      <c r="F6570" s="6"/>
      <c r="G6570" s="115" t="b">
        <f>VLOOKUP(I6560,FS_input_noty,J6560,FALSE)=""</f>
        <v>0</v>
      </c>
      <c r="H6570" s="6" t="s">
        <v>2189</v>
      </c>
      <c r="I6570" t="s">
        <v>1561</v>
      </c>
      <c r="J6570" t="s">
        <v>1561</v>
      </c>
      <c r="L6570">
        <f t="shared" si="385"/>
        <v>1</v>
      </c>
    </row>
    <row r="6571" spans="1:12" x14ac:dyDescent="0.35">
      <c r="A6571">
        <f t="shared" si="386"/>
        <v>6570</v>
      </c>
      <c r="B6571" t="s">
        <v>751</v>
      </c>
      <c r="C6571" s="109" t="str">
        <f>IF(ISBLANK(K6571),IFERROR(VLOOKUP(I6571,FS_input_data!$C$458:$N$648,Export!J6571,FALSE),""),K6571)</f>
        <v/>
      </c>
      <c r="D6571" s="6"/>
      <c r="E6571" s="6"/>
      <c r="F6571" s="6"/>
      <c r="G6571" s="115" t="b">
        <f>VLOOKUP(I6560,FS_input_noty,J6560,FALSE)=""</f>
        <v>0</v>
      </c>
      <c r="H6571" s="6" t="s">
        <v>2189</v>
      </c>
      <c r="I6571" t="s">
        <v>1561</v>
      </c>
      <c r="J6571" t="s">
        <v>1561</v>
      </c>
      <c r="L6571">
        <f t="shared" si="385"/>
        <v>1</v>
      </c>
    </row>
    <row r="6572" spans="1:12" x14ac:dyDescent="0.35">
      <c r="A6572">
        <f t="shared" si="386"/>
        <v>6571</v>
      </c>
      <c r="B6572" t="s">
        <v>754</v>
      </c>
      <c r="C6572" s="109" t="str">
        <f>IF(ISBLANK(K6572),IFERROR(VLOOKUP(I6572,FS_input_data!$C$458:$N$648,Export!J6572,FALSE),""),K6572)</f>
        <v/>
      </c>
      <c r="D6572" s="6"/>
      <c r="E6572" s="6"/>
      <c r="F6572" s="6"/>
      <c r="G6572" s="115" t="b">
        <f>VLOOKUP(I6560,FS_input_noty,J6560,FALSE)=""</f>
        <v>0</v>
      </c>
      <c r="H6572" s="6" t="s">
        <v>2189</v>
      </c>
      <c r="I6572" t="s">
        <v>1561</v>
      </c>
      <c r="J6572" t="s">
        <v>1561</v>
      </c>
      <c r="L6572" s="26" t="e">
        <f t="shared" si="385"/>
        <v>#VALUE!</v>
      </c>
    </row>
    <row r="6573" spans="1:12" x14ac:dyDescent="0.35">
      <c r="A6573" s="9">
        <f t="shared" si="386"/>
        <v>6572</v>
      </c>
      <c r="B6573" t="s">
        <v>755</v>
      </c>
      <c r="C6573" s="109">
        <f>IF(ISBLANK(K6573),IFERROR(VLOOKUP(I6573,FS_input_data!$C$458:$N$648,Export!J6573,FALSE),""),K6573)</f>
        <v>124</v>
      </c>
      <c r="D6573" s="6" t="b">
        <v>1</v>
      </c>
      <c r="E6573" s="6"/>
      <c r="F6573" s="6"/>
      <c r="G6573" s="115" t="b">
        <f>VLOOKUP(I6560,FS_input_noty,J6560,FALSE)=""</f>
        <v>0</v>
      </c>
      <c r="H6573" s="6" t="s">
        <v>2189</v>
      </c>
      <c r="I6573" t="s">
        <v>2058</v>
      </c>
      <c r="J6573">
        <v>2</v>
      </c>
      <c r="L6573" s="26" t="e">
        <f t="shared" si="385"/>
        <v>#VALUE!</v>
      </c>
    </row>
    <row r="6574" spans="1:12" x14ac:dyDescent="0.35">
      <c r="A6574">
        <f t="shared" si="386"/>
        <v>6573</v>
      </c>
      <c r="B6574" t="s">
        <v>756</v>
      </c>
      <c r="C6574" s="109" t="str">
        <f>IF(ISBLANK(K6574),IFERROR(VLOOKUP(I6574,FS_input_data!$C$458:$N$648,Export!J6574,FALSE),""),K6574)</f>
        <v/>
      </c>
      <c r="D6574" s="6"/>
      <c r="E6574" s="6"/>
      <c r="F6574" s="6"/>
      <c r="G6574" s="115" t="b">
        <f>VLOOKUP(I6560,FS_input_noty,J6560,FALSE)=""</f>
        <v>0</v>
      </c>
      <c r="H6574" s="6" t="s">
        <v>2189</v>
      </c>
      <c r="I6574" t="s">
        <v>1561</v>
      </c>
      <c r="J6574" t="s">
        <v>1561</v>
      </c>
      <c r="L6574">
        <f t="shared" si="385"/>
        <v>1</v>
      </c>
    </row>
    <row r="6575" spans="1:12" x14ac:dyDescent="0.35">
      <c r="A6575" s="9">
        <f t="shared" si="386"/>
        <v>6574</v>
      </c>
      <c r="B6575" t="s">
        <v>757</v>
      </c>
      <c r="C6575" s="109">
        <f>IF(ISBLANK(K6575),IFERROR(VLOOKUP(I6575,FS_input_data!$C$458:$N$648,Export!J6575,FALSE),""),K6575)</f>
        <v>224</v>
      </c>
      <c r="D6575" s="6" t="b">
        <v>0</v>
      </c>
      <c r="E6575" s="6"/>
      <c r="F6575" s="6"/>
      <c r="G6575" s="115" t="b">
        <f>VLOOKUP(I6560,FS_input_noty,J6560,FALSE)=""</f>
        <v>0</v>
      </c>
      <c r="H6575" s="6" t="s">
        <v>2189</v>
      </c>
      <c r="I6575" t="s">
        <v>2058</v>
      </c>
      <c r="J6575">
        <v>3</v>
      </c>
      <c r="L6575" s="26" t="e">
        <f t="shared" si="385"/>
        <v>#VALUE!</v>
      </c>
    </row>
    <row r="6576" spans="1:12" x14ac:dyDescent="0.35">
      <c r="A6576">
        <f t="shared" si="386"/>
        <v>6575</v>
      </c>
      <c r="B6576" t="s">
        <v>758</v>
      </c>
      <c r="C6576" s="109" t="str">
        <f>IF(ISBLANK(K6576),IFERROR(VLOOKUP(I6576,FS_input_data!$C$458:$N$648,Export!J6576,FALSE),""),K6576)</f>
        <v/>
      </c>
      <c r="D6576" s="6"/>
      <c r="E6576" s="6"/>
      <c r="F6576" s="6"/>
      <c r="G6576" s="115" t="b">
        <f>VLOOKUP(I6560,FS_input_noty,J6560,FALSE)=""</f>
        <v>0</v>
      </c>
      <c r="H6576" s="6" t="s">
        <v>2189</v>
      </c>
      <c r="I6576" t="s">
        <v>1561</v>
      </c>
      <c r="J6576" t="s">
        <v>1561</v>
      </c>
      <c r="L6576">
        <f t="shared" si="385"/>
        <v>1</v>
      </c>
    </row>
    <row r="6577" spans="1:12" x14ac:dyDescent="0.35">
      <c r="A6577" s="9">
        <f t="shared" si="386"/>
        <v>6576</v>
      </c>
      <c r="B6577" t="s">
        <v>759</v>
      </c>
      <c r="C6577" s="109">
        <f>IF(ISBLANK(K6577),IFERROR(VLOOKUP(I6577,FS_input_data!$C$458:$N$648,Export!J6577,FALSE),""),K6577)</f>
        <v>324</v>
      </c>
      <c r="D6577" s="6" t="b">
        <v>0</v>
      </c>
      <c r="E6577" s="6"/>
      <c r="F6577" s="6"/>
      <c r="G6577" s="115" t="b">
        <f>VLOOKUP(I6560,FS_input_noty,J6560,FALSE)=""</f>
        <v>0</v>
      </c>
      <c r="H6577" s="6" t="s">
        <v>2189</v>
      </c>
      <c r="I6577" t="s">
        <v>2058</v>
      </c>
      <c r="J6577">
        <v>4</v>
      </c>
      <c r="L6577" s="26" t="e">
        <f t="shared" si="385"/>
        <v>#VALUE!</v>
      </c>
    </row>
    <row r="6578" spans="1:12" x14ac:dyDescent="0.35">
      <c r="A6578">
        <f t="shared" si="386"/>
        <v>6577</v>
      </c>
      <c r="B6578" t="s">
        <v>760</v>
      </c>
      <c r="C6578" s="109" t="str">
        <f>IF(ISBLANK(K6578),IFERROR(VLOOKUP(I6578,FS_input_data!$C$458:$N$648,Export!J6578,FALSE),""),K6578)</f>
        <v/>
      </c>
      <c r="D6578" s="6"/>
      <c r="E6578" s="6"/>
      <c r="F6578" s="6"/>
      <c r="G6578" s="115" t="b">
        <f>VLOOKUP(I6560,FS_input_noty,J6560,FALSE)=""</f>
        <v>0</v>
      </c>
      <c r="H6578" s="6" t="s">
        <v>2189</v>
      </c>
      <c r="I6578" t="s">
        <v>1561</v>
      </c>
      <c r="J6578" t="s">
        <v>1561</v>
      </c>
      <c r="L6578">
        <f t="shared" si="385"/>
        <v>1</v>
      </c>
    </row>
    <row r="6579" spans="1:12" x14ac:dyDescent="0.35">
      <c r="A6579" s="9">
        <f t="shared" si="386"/>
        <v>6578</v>
      </c>
      <c r="B6579" t="s">
        <v>761</v>
      </c>
      <c r="C6579" s="109" t="str">
        <f>IF(ISBLANK(K6579),IFERROR(VLOOKUP(I6579,FS_input_data!$C$458:$N$648,Export!J6579,FALSE),""),K6579)</f>
        <v>h</v>
      </c>
      <c r="D6579" s="6" t="b">
        <v>0</v>
      </c>
      <c r="E6579" s="6"/>
      <c r="F6579" s="6"/>
      <c r="G6579" s="115" t="b">
        <f>VLOOKUP(I6560,FS_input_noty,J6560,FALSE)=""</f>
        <v>0</v>
      </c>
      <c r="H6579" s="6" t="s">
        <v>2189</v>
      </c>
      <c r="I6579" t="s">
        <v>2058</v>
      </c>
      <c r="J6579">
        <v>5</v>
      </c>
      <c r="L6579" s="26" t="e">
        <f t="shared" si="385"/>
        <v>#VALUE!</v>
      </c>
    </row>
    <row r="6580" spans="1:12" x14ac:dyDescent="0.35">
      <c r="A6580">
        <f t="shared" si="386"/>
        <v>6579</v>
      </c>
      <c r="B6580" t="s">
        <v>762</v>
      </c>
      <c r="C6580" s="109" t="str">
        <f>IF(ISBLANK(K6580),IFERROR(VLOOKUP(I6580,FS_input_data!$C$458:$N$648,Export!J6580,FALSE),""),K6580)</f>
        <v/>
      </c>
      <c r="D6580" s="6"/>
      <c r="E6580" s="6"/>
      <c r="F6580" s="6"/>
      <c r="G6580" s="115" t="b">
        <f>VLOOKUP(I6560,FS_input_noty,J6560,FALSE)=""</f>
        <v>0</v>
      </c>
      <c r="H6580" s="6" t="s">
        <v>2189</v>
      </c>
      <c r="I6580" t="s">
        <v>1561</v>
      </c>
      <c r="J6580" t="s">
        <v>1561</v>
      </c>
      <c r="L6580">
        <f t="shared" si="385"/>
        <v>1</v>
      </c>
    </row>
    <row r="6581" spans="1:12" x14ac:dyDescent="0.35">
      <c r="A6581">
        <f t="shared" si="386"/>
        <v>6580</v>
      </c>
      <c r="B6581" t="s">
        <v>763</v>
      </c>
      <c r="C6581" s="109" t="str">
        <f>IF(ISBLANK(K6581),IFERROR(VLOOKUP(I6581,FS_input_data!$C$458:$N$648,Export!J6581,FALSE),""),K6581)</f>
        <v/>
      </c>
      <c r="D6581" s="6"/>
      <c r="E6581" s="6"/>
      <c r="F6581" s="6"/>
      <c r="G6581" s="115" t="b">
        <f>VLOOKUP(I6560,FS_input_noty,J6560,FALSE)=""</f>
        <v>0</v>
      </c>
      <c r="H6581" s="6" t="s">
        <v>2189</v>
      </c>
      <c r="I6581" t="s">
        <v>1561</v>
      </c>
      <c r="J6581" t="s">
        <v>1561</v>
      </c>
      <c r="L6581">
        <f t="shared" si="385"/>
        <v>1</v>
      </c>
    </row>
    <row r="6582" spans="1:12" x14ac:dyDescent="0.35">
      <c r="A6582">
        <f t="shared" si="386"/>
        <v>6581</v>
      </c>
      <c r="B6582" t="s">
        <v>743</v>
      </c>
      <c r="C6582" s="109" t="str">
        <f>IF(ISBLANK(K6582),IFERROR(VLOOKUP(I6582,FS_input_data!$C$458:$N$648,Export!J6582,FALSE),""),K6582)</f>
        <v/>
      </c>
      <c r="D6582" s="6"/>
      <c r="E6582" s="6"/>
      <c r="F6582" s="6"/>
      <c r="G6582" s="115" t="b">
        <f>VLOOKUP(I6560,FS_input_noty,J6560,FALSE)=""</f>
        <v>0</v>
      </c>
      <c r="H6582" s="6" t="s">
        <v>2189</v>
      </c>
      <c r="I6582" t="s">
        <v>1561</v>
      </c>
      <c r="J6582" t="s">
        <v>1561</v>
      </c>
      <c r="L6582">
        <f t="shared" si="385"/>
        <v>1</v>
      </c>
    </row>
    <row r="6583" spans="1:12" x14ac:dyDescent="0.35">
      <c r="A6583">
        <f t="shared" si="386"/>
        <v>6582</v>
      </c>
      <c r="B6583" t="s">
        <v>744</v>
      </c>
      <c r="C6583" s="109" t="str">
        <f>IF(ISBLANK(K6583),IFERROR(VLOOKUP(I6583,FS_input_data!$C$458:$N$648,Export!J6583,FALSE),""),K6583)</f>
        <v/>
      </c>
      <c r="D6583" s="6"/>
      <c r="E6583" s="6"/>
      <c r="F6583" s="6"/>
      <c r="G6583" s="115" t="b">
        <f t="shared" ref="G6583:G6590" si="388">RP_tax</f>
        <v>1</v>
      </c>
      <c r="H6583" s="6" t="s">
        <v>2189</v>
      </c>
      <c r="I6583" t="s">
        <v>1561</v>
      </c>
      <c r="J6583" t="s">
        <v>1561</v>
      </c>
      <c r="L6583" s="26" t="e">
        <f t="shared" si="385"/>
        <v>#VALUE!</v>
      </c>
    </row>
    <row r="6584" spans="1:12" x14ac:dyDescent="0.35">
      <c r="A6584" s="9">
        <f t="shared" si="386"/>
        <v>6583</v>
      </c>
      <c r="B6584" t="s">
        <v>109</v>
      </c>
      <c r="C6584" s="109">
        <f>IF(ISBLANK(K6584),IFERROR(VLOOKUP(I6584,FS_input_data!$C$458:$N$648,Export!J6584,FALSE),""),K6584)</f>
        <v>26000</v>
      </c>
      <c r="D6584" s="6" t="b">
        <v>1</v>
      </c>
      <c r="E6584" s="6"/>
      <c r="F6584" s="6"/>
      <c r="G6584" s="115" t="b">
        <f t="shared" si="388"/>
        <v>1</v>
      </c>
      <c r="H6584" s="6" t="s">
        <v>2189</v>
      </c>
      <c r="I6584" t="s">
        <v>2058</v>
      </c>
      <c r="J6584">
        <v>10</v>
      </c>
      <c r="L6584" s="26" t="e">
        <f t="shared" si="385"/>
        <v>#VALUE!</v>
      </c>
    </row>
    <row r="6585" spans="1:12" x14ac:dyDescent="0.35">
      <c r="A6585">
        <f t="shared" si="386"/>
        <v>6584</v>
      </c>
      <c r="B6585" t="s">
        <v>110</v>
      </c>
      <c r="C6585" s="109" t="str">
        <f>IF(ISBLANK(K6585),IFERROR(VLOOKUP(I6585,FS_input_data!$C$458:$N$648,Export!J6585,FALSE),""),K6585)</f>
        <v/>
      </c>
      <c r="D6585" s="6"/>
      <c r="E6585" s="6"/>
      <c r="F6585" s="6"/>
      <c r="G6585" s="115" t="b">
        <f t="shared" si="388"/>
        <v>1</v>
      </c>
      <c r="H6585" s="6" t="s">
        <v>2189</v>
      </c>
      <c r="I6585" t="s">
        <v>1561</v>
      </c>
      <c r="J6585" t="s">
        <v>1561</v>
      </c>
      <c r="L6585">
        <f t="shared" si="385"/>
        <v>1</v>
      </c>
    </row>
    <row r="6586" spans="1:12" x14ac:dyDescent="0.35">
      <c r="A6586" s="9">
        <f t="shared" si="386"/>
        <v>6585</v>
      </c>
      <c r="B6586" t="s">
        <v>111</v>
      </c>
      <c r="C6586" s="109">
        <f>IF(ISBLANK(K6586),IFERROR(VLOOKUP(I6586,FS_input_data!$C$458:$N$648,Export!J6586,FALSE),""),K6586)</f>
        <v>13000</v>
      </c>
      <c r="D6586" s="6" t="b">
        <v>0</v>
      </c>
      <c r="E6586" s="6"/>
      <c r="F6586" s="6"/>
      <c r="G6586" s="115" t="b">
        <f t="shared" si="388"/>
        <v>1</v>
      </c>
      <c r="H6586" s="6" t="s">
        <v>2189</v>
      </c>
      <c r="I6586" t="s">
        <v>2058</v>
      </c>
      <c r="J6586">
        <v>11</v>
      </c>
      <c r="L6586" s="26" t="e">
        <f t="shared" si="385"/>
        <v>#VALUE!</v>
      </c>
    </row>
    <row r="6587" spans="1:12" x14ac:dyDescent="0.35">
      <c r="A6587">
        <f t="shared" si="386"/>
        <v>6586</v>
      </c>
      <c r="B6587" t="s">
        <v>112</v>
      </c>
      <c r="C6587" s="109" t="str">
        <f>IF(ISBLANK(K6587),IFERROR(VLOOKUP(I6587,FS_input_data!$C$458:$N$648,Export!J6587,FALSE),""),K6587)</f>
        <v/>
      </c>
      <c r="D6587" s="6"/>
      <c r="E6587" s="6"/>
      <c r="F6587" s="6"/>
      <c r="G6587" s="115" t="b">
        <f t="shared" si="388"/>
        <v>1</v>
      </c>
      <c r="H6587" s="6" t="s">
        <v>2189</v>
      </c>
      <c r="I6587" t="s">
        <v>1561</v>
      </c>
      <c r="J6587" t="s">
        <v>1561</v>
      </c>
      <c r="L6587">
        <f t="shared" si="385"/>
        <v>1</v>
      </c>
    </row>
    <row r="6588" spans="1:12" x14ac:dyDescent="0.35">
      <c r="A6588" s="9">
        <f t="shared" si="386"/>
        <v>6587</v>
      </c>
      <c r="B6588" t="s">
        <v>749</v>
      </c>
      <c r="C6588" s="109">
        <f>IF(ISBLANK(K6588),IFERROR(VLOOKUP(I6588,FS_input_data!$C$458:$N$648,Export!J6588,FALSE),""),K6588)</f>
        <v>13000</v>
      </c>
      <c r="D6588" s="6" t="b">
        <v>0</v>
      </c>
      <c r="E6588" s="6"/>
      <c r="F6588" s="6"/>
      <c r="G6588" s="115" t="b">
        <f t="shared" si="388"/>
        <v>1</v>
      </c>
      <c r="H6588" s="6" t="s">
        <v>2189</v>
      </c>
      <c r="I6588" t="s">
        <v>2058</v>
      </c>
      <c r="J6588">
        <v>12</v>
      </c>
      <c r="L6588" s="26" t="e">
        <f t="shared" si="385"/>
        <v>#VALUE!</v>
      </c>
    </row>
    <row r="6589" spans="1:12" x14ac:dyDescent="0.35">
      <c r="A6589">
        <f t="shared" si="386"/>
        <v>6588</v>
      </c>
      <c r="B6589" t="s">
        <v>750</v>
      </c>
      <c r="C6589" s="109" t="str">
        <f>IF(ISBLANK(K6589),IFERROR(VLOOKUP(I6589,FS_input_data!$C$458:$N$648,Export!J6589,FALSE),""),K6589)</f>
        <v/>
      </c>
      <c r="D6589" s="6"/>
      <c r="E6589" s="6"/>
      <c r="F6589" s="6"/>
      <c r="G6589" s="115" t="b">
        <f t="shared" si="388"/>
        <v>1</v>
      </c>
      <c r="H6589" s="6" t="s">
        <v>2189</v>
      </c>
      <c r="I6589" t="s">
        <v>1561</v>
      </c>
      <c r="J6589" t="s">
        <v>1561</v>
      </c>
      <c r="L6589">
        <f t="shared" si="385"/>
        <v>1</v>
      </c>
    </row>
    <row r="6590" spans="1:12" x14ac:dyDescent="0.35">
      <c r="A6590">
        <f t="shared" si="386"/>
        <v>6589</v>
      </c>
      <c r="B6590" t="s">
        <v>745</v>
      </c>
      <c r="C6590" s="109" t="str">
        <f>IF(ISBLANK(K6590),IFERROR(VLOOKUP(I6590,FS_input_data!$C$458:$N$648,Export!J6590,FALSE),""),K6590)</f>
        <v/>
      </c>
      <c r="D6590" s="6"/>
      <c r="E6590" s="6"/>
      <c r="F6590" s="6"/>
      <c r="G6590" s="115" t="b">
        <f t="shared" si="388"/>
        <v>1</v>
      </c>
      <c r="H6590" s="6" t="s">
        <v>2189</v>
      </c>
      <c r="I6590" t="s">
        <v>1561</v>
      </c>
      <c r="J6590" t="s">
        <v>1561</v>
      </c>
      <c r="L6590">
        <f t="shared" si="385"/>
        <v>1</v>
      </c>
    </row>
    <row r="6591" spans="1:12" x14ac:dyDescent="0.35">
      <c r="A6591">
        <f t="shared" si="386"/>
        <v>6590</v>
      </c>
      <c r="B6591" t="s">
        <v>764</v>
      </c>
      <c r="C6591" s="109" t="str">
        <f>IF(ISBLANK(K6591),IFERROR(VLOOKUP(I6591,FS_input_data!$C$458:$N$648,Export!J6591,FALSE),""),K6591)</f>
        <v/>
      </c>
      <c r="D6591" s="6"/>
      <c r="E6591" s="6"/>
      <c r="F6591" s="6"/>
      <c r="G6591" s="115" t="b">
        <f>VLOOKUP(I6560,FS_input_noty,J6560,FALSE)=""</f>
        <v>0</v>
      </c>
      <c r="H6591" s="6" t="s">
        <v>2189</v>
      </c>
      <c r="I6591" t="s">
        <v>1561</v>
      </c>
      <c r="J6591" t="s">
        <v>1561</v>
      </c>
      <c r="L6591">
        <f t="shared" si="385"/>
        <v>1</v>
      </c>
    </row>
    <row r="6592" spans="1:12" x14ac:dyDescent="0.35">
      <c r="A6592">
        <f t="shared" si="386"/>
        <v>6591</v>
      </c>
      <c r="B6592" t="s">
        <v>765</v>
      </c>
      <c r="C6592" s="109" t="str">
        <f>IF(ISBLANK(K6592),IFERROR(VLOOKUP(I6592,FS_input_data!$C$458:$N$648,Export!J6592,FALSE),""),K6592)</f>
        <v/>
      </c>
      <c r="D6592" s="6"/>
      <c r="E6592" s="6"/>
      <c r="F6592" s="6"/>
      <c r="G6592" s="115" t="b">
        <f>VLOOKUP(I6560,FS_input_noty,J6560,FALSE)=""</f>
        <v>0</v>
      </c>
      <c r="H6592" s="6" t="s">
        <v>2189</v>
      </c>
      <c r="I6592" t="s">
        <v>1561</v>
      </c>
      <c r="J6592" t="s">
        <v>1561</v>
      </c>
      <c r="L6592">
        <f t="shared" si="385"/>
        <v>1</v>
      </c>
    </row>
    <row r="6593" spans="1:12" x14ac:dyDescent="0.35">
      <c r="A6593">
        <f t="shared" si="386"/>
        <v>6592</v>
      </c>
      <c r="B6593" t="s">
        <v>752</v>
      </c>
      <c r="C6593" s="109" t="str">
        <f>IF(ISBLANK(K6593),IFERROR(VLOOKUP(I6593,FS_input_data!$C$458:$N$648,Export!J6593,FALSE),""),K6593)</f>
        <v/>
      </c>
      <c r="D6593" s="6"/>
      <c r="E6593" s="6"/>
      <c r="F6593" s="6"/>
      <c r="G6593" s="115" t="b">
        <f>VLOOKUP(I6594,FS_input_noty,J6594,FALSE)=""</f>
        <v>0</v>
      </c>
      <c r="H6593" s="6" t="s">
        <v>2189</v>
      </c>
      <c r="I6593" t="s">
        <v>1561</v>
      </c>
      <c r="J6593" t="s">
        <v>1561</v>
      </c>
      <c r="L6593" s="26" t="e">
        <f t="shared" si="385"/>
        <v>#VALUE!</v>
      </c>
    </row>
    <row r="6594" spans="1:12" x14ac:dyDescent="0.35">
      <c r="A6594" s="9">
        <f t="shared" si="386"/>
        <v>6593</v>
      </c>
      <c r="B6594" t="s">
        <v>101</v>
      </c>
      <c r="C6594" s="109" t="str">
        <f>IF(ISBLANK(K6594),IFERROR(VLOOKUP(I6594,FS_input_data!$C$458:$N$648,Export!J6594,FALSE),""),K6594)</f>
        <v>OC102</v>
      </c>
      <c r="D6594" s="6" t="b">
        <v>1</v>
      </c>
      <c r="E6594" s="6"/>
      <c r="F6594" s="6"/>
      <c r="G6594" s="115" t="b">
        <f>VLOOKUP(I6594,FS_input_noty,J6594,FALSE)=""</f>
        <v>0</v>
      </c>
      <c r="H6594" s="6" t="s">
        <v>2189</v>
      </c>
      <c r="I6594" t="s">
        <v>2060</v>
      </c>
      <c r="J6594">
        <v>6</v>
      </c>
      <c r="L6594" s="26" t="e">
        <f t="shared" ref="L6594:L6657" si="389">FIND("/",B6594)</f>
        <v>#VALUE!</v>
      </c>
    </row>
    <row r="6595" spans="1:12" x14ac:dyDescent="0.35">
      <c r="A6595">
        <f t="shared" ref="A6595:A6658" si="390">A6594+1</f>
        <v>6594</v>
      </c>
      <c r="B6595" t="s">
        <v>102</v>
      </c>
      <c r="C6595" s="109" t="str">
        <f>IF(ISBLANK(K6595),IFERROR(VLOOKUP(I6595,FS_input_data!$C$458:$N$648,Export!J6595,FALSE),""),K6595)</f>
        <v/>
      </c>
      <c r="D6595" s="6"/>
      <c r="E6595" s="6"/>
      <c r="F6595" s="6"/>
      <c r="G6595" s="115" t="b">
        <f>VLOOKUP(I6594,FS_input_noty,J6594,FALSE)=""</f>
        <v>0</v>
      </c>
      <c r="H6595" s="6" t="s">
        <v>2189</v>
      </c>
      <c r="I6595" t="s">
        <v>1561</v>
      </c>
      <c r="J6595" t="s">
        <v>1561</v>
      </c>
      <c r="L6595">
        <f t="shared" si="389"/>
        <v>1</v>
      </c>
    </row>
    <row r="6596" spans="1:12" x14ac:dyDescent="0.35">
      <c r="A6596">
        <f t="shared" si="390"/>
        <v>6595</v>
      </c>
      <c r="B6596" t="s">
        <v>753</v>
      </c>
      <c r="C6596" s="109" t="str">
        <f>IF(ISBLANK(K6596),IFERROR(VLOOKUP(I6596,FS_input_data!$C$458:$N$648,Export!J6596,FALSE),""),K6596)</f>
        <v/>
      </c>
      <c r="D6596" s="6"/>
      <c r="E6596" s="6"/>
      <c r="F6596" s="6"/>
      <c r="G6596" s="115" t="b">
        <f>VLOOKUP(I6594,FS_input_noty,J6594,FALSE)=""</f>
        <v>0</v>
      </c>
      <c r="H6596" s="6" t="s">
        <v>2189</v>
      </c>
      <c r="I6596" t="s">
        <v>1561</v>
      </c>
      <c r="J6596" t="s">
        <v>1561</v>
      </c>
      <c r="L6596" s="26" t="e">
        <f t="shared" si="389"/>
        <v>#VALUE!</v>
      </c>
    </row>
    <row r="6597" spans="1:12" x14ac:dyDescent="0.35">
      <c r="A6597">
        <f t="shared" si="390"/>
        <v>6596</v>
      </c>
      <c r="B6597" t="s">
        <v>742</v>
      </c>
      <c r="C6597" s="109" t="str">
        <f>IF(ISBLANK(K6597),IFERROR(VLOOKUP(I6597,FS_input_data!$C$458:$N$648,Export!J6597,FALSE),""),K6597)</f>
        <v/>
      </c>
      <c r="D6597" s="6"/>
      <c r="E6597" s="6"/>
      <c r="F6597" s="6"/>
      <c r="G6597" s="115" t="b">
        <f>VLOOKUP(I6594,FS_input_noty,J6594,FALSE)=""</f>
        <v>0</v>
      </c>
      <c r="H6597" s="6" t="s">
        <v>2189</v>
      </c>
      <c r="I6597" t="s">
        <v>1561</v>
      </c>
      <c r="J6597" t="s">
        <v>1561</v>
      </c>
      <c r="L6597" s="26" t="e">
        <f t="shared" si="389"/>
        <v>#VALUE!</v>
      </c>
    </row>
    <row r="6598" spans="1:12" x14ac:dyDescent="0.35">
      <c r="A6598">
        <f t="shared" si="390"/>
        <v>6597</v>
      </c>
      <c r="B6598" t="s">
        <v>748</v>
      </c>
      <c r="C6598" s="109" t="str">
        <f>IF(ISBLANK(K6598),IFERROR(VLOOKUP(I6598,FS_input_data!$C$458:$N$648,Export!J6598,FALSE),""),K6598)</f>
        <v/>
      </c>
      <c r="D6598" s="6"/>
      <c r="E6598" s="6"/>
      <c r="F6598" s="6"/>
      <c r="G6598" s="115" t="b">
        <f>VLOOKUP(I6594,FS_input_noty,J6594,FALSE)=""</f>
        <v>0</v>
      </c>
      <c r="H6598" s="6" t="s">
        <v>2189</v>
      </c>
      <c r="I6598" t="s">
        <v>1561</v>
      </c>
      <c r="J6598" t="s">
        <v>1561</v>
      </c>
      <c r="L6598" s="26" t="e">
        <f t="shared" si="389"/>
        <v>#VALUE!</v>
      </c>
    </row>
    <row r="6599" spans="1:12" x14ac:dyDescent="0.35">
      <c r="A6599" s="9">
        <f t="shared" si="390"/>
        <v>6598</v>
      </c>
      <c r="B6599" t="s">
        <v>109</v>
      </c>
      <c r="C6599" s="109">
        <f>IF(ISBLANK(K6599),IFERROR(VLOOKUP(I6599,FS_input_data!$C$458:$N$648,Export!J6599,FALSE),""),K6599)</f>
        <v>27000</v>
      </c>
      <c r="D6599" s="6" t="b">
        <v>1</v>
      </c>
      <c r="E6599" s="6"/>
      <c r="F6599" s="6"/>
      <c r="G6599" s="115" t="b">
        <f>VLOOKUP(I6594,FS_input_noty,J6594,FALSE)=""</f>
        <v>0</v>
      </c>
      <c r="H6599" s="6" t="s">
        <v>2189</v>
      </c>
      <c r="I6599" t="s">
        <v>2060</v>
      </c>
      <c r="J6599">
        <v>7</v>
      </c>
      <c r="L6599" s="26" t="e">
        <f t="shared" si="389"/>
        <v>#VALUE!</v>
      </c>
    </row>
    <row r="6600" spans="1:12" x14ac:dyDescent="0.35">
      <c r="A6600">
        <f t="shared" si="390"/>
        <v>6599</v>
      </c>
      <c r="B6600" t="s">
        <v>110</v>
      </c>
      <c r="C6600" s="109" t="str">
        <f>IF(ISBLANK(K6600),IFERROR(VLOOKUP(I6600,FS_input_data!$C$458:$N$648,Export!J6600,FALSE),""),K6600)</f>
        <v/>
      </c>
      <c r="D6600" s="6"/>
      <c r="E6600" s="6"/>
      <c r="F6600" s="6"/>
      <c r="G6600" s="115" t="b">
        <f>VLOOKUP(I6594,FS_input_noty,J6594,FALSE)=""</f>
        <v>0</v>
      </c>
      <c r="H6600" s="6" t="s">
        <v>2189</v>
      </c>
      <c r="I6600" t="s">
        <v>1561</v>
      </c>
      <c r="J6600" t="s">
        <v>1561</v>
      </c>
      <c r="L6600">
        <f t="shared" si="389"/>
        <v>1</v>
      </c>
    </row>
    <row r="6601" spans="1:12" x14ac:dyDescent="0.35">
      <c r="A6601" s="9">
        <f t="shared" si="390"/>
        <v>6600</v>
      </c>
      <c r="B6601" t="s">
        <v>111</v>
      </c>
      <c r="C6601" s="109">
        <f>IF(ISBLANK(K6601),IFERROR(VLOOKUP(I6601,FS_input_data!$C$458:$N$648,Export!J6601,FALSE),""),K6601)</f>
        <v>13500</v>
      </c>
      <c r="D6601" s="6" t="b">
        <v>0</v>
      </c>
      <c r="E6601" s="6"/>
      <c r="F6601" s="6"/>
      <c r="G6601" s="115" t="b">
        <f>VLOOKUP(I6594,FS_input_noty,J6594,TRUE)=""</f>
        <v>0</v>
      </c>
      <c r="H6601" s="6" t="s">
        <v>2189</v>
      </c>
      <c r="I6601" t="s">
        <v>2060</v>
      </c>
      <c r="J6601">
        <v>8</v>
      </c>
      <c r="L6601" s="26" t="e">
        <f t="shared" si="389"/>
        <v>#VALUE!</v>
      </c>
    </row>
    <row r="6602" spans="1:12" x14ac:dyDescent="0.35">
      <c r="A6602">
        <f t="shared" si="390"/>
        <v>6601</v>
      </c>
      <c r="B6602" t="s">
        <v>112</v>
      </c>
      <c r="C6602" s="109" t="str">
        <f>IF(ISBLANK(K6602),IFERROR(VLOOKUP(I6602,FS_input_data!$C$458:$N$648,Export!J6602,FALSE),""),K6602)</f>
        <v/>
      </c>
      <c r="D6602" s="6"/>
      <c r="E6602" s="6"/>
      <c r="F6602" s="6"/>
      <c r="G6602" s="115" t="b">
        <f>VLOOKUP(I6594,FS_input_noty,J6594,FALSE)=""</f>
        <v>0</v>
      </c>
      <c r="H6602" s="6" t="s">
        <v>2189</v>
      </c>
      <c r="I6602" t="s">
        <v>1561</v>
      </c>
      <c r="J6602" t="s">
        <v>1561</v>
      </c>
      <c r="L6602">
        <f t="shared" si="389"/>
        <v>1</v>
      </c>
    </row>
    <row r="6603" spans="1:12" x14ac:dyDescent="0.35">
      <c r="A6603" s="9">
        <f t="shared" si="390"/>
        <v>6602</v>
      </c>
      <c r="B6603" t="s">
        <v>749</v>
      </c>
      <c r="C6603" s="109">
        <f>IF(ISBLANK(K6603),IFERROR(VLOOKUP(I6603,FS_input_data!$C$458:$N$648,Export!J6603,FALSE),""),K6603)</f>
        <v>13500</v>
      </c>
      <c r="D6603" s="6" t="b">
        <v>0</v>
      </c>
      <c r="E6603" s="6"/>
      <c r="F6603" s="6"/>
      <c r="G6603" s="115" t="b">
        <f>VLOOKUP(I6594,FS_input_noty,J6594,FALSE)=""</f>
        <v>0</v>
      </c>
      <c r="H6603" s="6" t="s">
        <v>2189</v>
      </c>
      <c r="I6603" t="s">
        <v>2060</v>
      </c>
      <c r="J6603">
        <v>9</v>
      </c>
      <c r="L6603" s="26" t="e">
        <f t="shared" si="389"/>
        <v>#VALUE!</v>
      </c>
    </row>
    <row r="6604" spans="1:12" x14ac:dyDescent="0.35">
      <c r="A6604">
        <f t="shared" si="390"/>
        <v>6603</v>
      </c>
      <c r="B6604" t="s">
        <v>750</v>
      </c>
      <c r="C6604" s="109" t="str">
        <f>IF(ISBLANK(K6604),IFERROR(VLOOKUP(I6604,FS_input_data!$C$458:$N$648,Export!J6604,FALSE),""),K6604)</f>
        <v/>
      </c>
      <c r="D6604" s="6"/>
      <c r="E6604" s="6"/>
      <c r="F6604" s="6"/>
      <c r="G6604" s="115" t="b">
        <f>VLOOKUP(I6594,FS_input_noty,J6594,FALSE)=""</f>
        <v>0</v>
      </c>
      <c r="H6604" s="6" t="s">
        <v>2189</v>
      </c>
      <c r="I6604" t="s">
        <v>1561</v>
      </c>
      <c r="J6604" t="s">
        <v>1561</v>
      </c>
      <c r="L6604">
        <f t="shared" si="389"/>
        <v>1</v>
      </c>
    </row>
    <row r="6605" spans="1:12" x14ac:dyDescent="0.35">
      <c r="A6605">
        <f t="shared" si="390"/>
        <v>6604</v>
      </c>
      <c r="B6605" t="s">
        <v>751</v>
      </c>
      <c r="C6605" s="109" t="str">
        <f>IF(ISBLANK(K6605),IFERROR(VLOOKUP(I6605,FS_input_data!$C$458:$N$648,Export!J6605,FALSE),""),K6605)</f>
        <v/>
      </c>
      <c r="D6605" s="6"/>
      <c r="E6605" s="6"/>
      <c r="F6605" s="6"/>
      <c r="G6605" s="115" t="b">
        <f>VLOOKUP(I6594,FS_input_noty,J6594,FALSE)=""</f>
        <v>0</v>
      </c>
      <c r="H6605" s="6" t="s">
        <v>2189</v>
      </c>
      <c r="I6605" t="s">
        <v>1561</v>
      </c>
      <c r="J6605" t="s">
        <v>1561</v>
      </c>
      <c r="L6605">
        <f t="shared" si="389"/>
        <v>1</v>
      </c>
    </row>
    <row r="6606" spans="1:12" x14ac:dyDescent="0.35">
      <c r="A6606">
        <f t="shared" si="390"/>
        <v>6605</v>
      </c>
      <c r="B6606" t="s">
        <v>754</v>
      </c>
      <c r="C6606" s="109" t="str">
        <f>IF(ISBLANK(K6606),IFERROR(VLOOKUP(I6606,FS_input_data!$C$458:$N$648,Export!J6606,FALSE),""),K6606)</f>
        <v/>
      </c>
      <c r="D6606" s="6"/>
      <c r="E6606" s="6"/>
      <c r="F6606" s="6"/>
      <c r="G6606" s="115" t="b">
        <f>VLOOKUP(I6594,FS_input_noty,J6594,FALSE)=""</f>
        <v>0</v>
      </c>
      <c r="H6606" s="6" t="s">
        <v>2189</v>
      </c>
      <c r="I6606" t="s">
        <v>1561</v>
      </c>
      <c r="J6606" t="s">
        <v>1561</v>
      </c>
      <c r="L6606" s="26" t="e">
        <f t="shared" si="389"/>
        <v>#VALUE!</v>
      </c>
    </row>
    <row r="6607" spans="1:12" x14ac:dyDescent="0.35">
      <c r="A6607" s="9">
        <f t="shared" si="390"/>
        <v>6606</v>
      </c>
      <c r="B6607" t="s">
        <v>755</v>
      </c>
      <c r="C6607" s="109">
        <f>IF(ISBLANK(K6607),IFERROR(VLOOKUP(I6607,FS_input_data!$C$458:$N$648,Export!J6607,FALSE),""),K6607)</f>
        <v>125</v>
      </c>
      <c r="D6607" s="6" t="b">
        <v>1</v>
      </c>
      <c r="E6607" s="6"/>
      <c r="F6607" s="6"/>
      <c r="G6607" s="115" t="b">
        <f>VLOOKUP(I6594,FS_input_noty,J6594,FALSE)=""</f>
        <v>0</v>
      </c>
      <c r="H6607" s="6" t="s">
        <v>2189</v>
      </c>
      <c r="I6607" t="s">
        <v>2060</v>
      </c>
      <c r="J6607">
        <v>2</v>
      </c>
      <c r="L6607" s="26" t="e">
        <f t="shared" si="389"/>
        <v>#VALUE!</v>
      </c>
    </row>
    <row r="6608" spans="1:12" x14ac:dyDescent="0.35">
      <c r="A6608">
        <f t="shared" si="390"/>
        <v>6607</v>
      </c>
      <c r="B6608" t="s">
        <v>756</v>
      </c>
      <c r="C6608" s="109" t="str">
        <f>IF(ISBLANK(K6608),IFERROR(VLOOKUP(I6608,FS_input_data!$C$458:$N$648,Export!J6608,FALSE),""),K6608)</f>
        <v/>
      </c>
      <c r="D6608" s="6"/>
      <c r="E6608" s="6"/>
      <c r="F6608" s="6"/>
      <c r="G6608" s="115" t="b">
        <f>VLOOKUP(I6594,FS_input_noty,J6594,FALSE)=""</f>
        <v>0</v>
      </c>
      <c r="H6608" s="6" t="s">
        <v>2189</v>
      </c>
      <c r="I6608" t="s">
        <v>1561</v>
      </c>
      <c r="J6608" t="s">
        <v>1561</v>
      </c>
      <c r="L6608">
        <f t="shared" si="389"/>
        <v>1</v>
      </c>
    </row>
    <row r="6609" spans="1:12" x14ac:dyDescent="0.35">
      <c r="A6609" s="9">
        <f t="shared" si="390"/>
        <v>6608</v>
      </c>
      <c r="B6609" t="s">
        <v>757</v>
      </c>
      <c r="C6609" s="109">
        <f>IF(ISBLANK(K6609),IFERROR(VLOOKUP(I6609,FS_input_data!$C$458:$N$648,Export!J6609,FALSE),""),K6609)</f>
        <v>225</v>
      </c>
      <c r="D6609" s="6" t="b">
        <v>0</v>
      </c>
      <c r="E6609" s="6"/>
      <c r="F6609" s="6"/>
      <c r="G6609" s="115" t="b">
        <f>VLOOKUP(I6594,FS_input_noty,J6594,FALSE)=""</f>
        <v>0</v>
      </c>
      <c r="H6609" s="6" t="s">
        <v>2189</v>
      </c>
      <c r="I6609" t="s">
        <v>2060</v>
      </c>
      <c r="J6609">
        <v>3</v>
      </c>
      <c r="L6609" s="26" t="e">
        <f t="shared" si="389"/>
        <v>#VALUE!</v>
      </c>
    </row>
    <row r="6610" spans="1:12" x14ac:dyDescent="0.35">
      <c r="A6610">
        <f t="shared" si="390"/>
        <v>6609</v>
      </c>
      <c r="B6610" t="s">
        <v>758</v>
      </c>
      <c r="C6610" s="109" t="str">
        <f>IF(ISBLANK(K6610),IFERROR(VLOOKUP(I6610,FS_input_data!$C$458:$N$648,Export!J6610,FALSE),""),K6610)</f>
        <v/>
      </c>
      <c r="D6610" s="6"/>
      <c r="E6610" s="6"/>
      <c r="F6610" s="6"/>
      <c r="G6610" s="115" t="b">
        <f>VLOOKUP(I6594,FS_input_noty,J6594,FALSE)=""</f>
        <v>0</v>
      </c>
      <c r="H6610" s="6" t="s">
        <v>2189</v>
      </c>
      <c r="I6610" t="s">
        <v>1561</v>
      </c>
      <c r="J6610" t="s">
        <v>1561</v>
      </c>
      <c r="L6610">
        <f t="shared" si="389"/>
        <v>1</v>
      </c>
    </row>
    <row r="6611" spans="1:12" x14ac:dyDescent="0.35">
      <c r="A6611" s="9">
        <f t="shared" si="390"/>
        <v>6610</v>
      </c>
      <c r="B6611" t="s">
        <v>759</v>
      </c>
      <c r="C6611" s="109">
        <f>IF(ISBLANK(K6611),IFERROR(VLOOKUP(I6611,FS_input_data!$C$458:$N$648,Export!J6611,FALSE),""),K6611)</f>
        <v>325</v>
      </c>
      <c r="D6611" s="6" t="b">
        <v>0</v>
      </c>
      <c r="E6611" s="6"/>
      <c r="F6611" s="6"/>
      <c r="G6611" s="115" t="b">
        <f>VLOOKUP(I6594,FS_input_noty,J6594,FALSE)=""</f>
        <v>0</v>
      </c>
      <c r="H6611" s="6" t="s">
        <v>2189</v>
      </c>
      <c r="I6611" t="s">
        <v>2060</v>
      </c>
      <c r="J6611">
        <v>4</v>
      </c>
      <c r="L6611" s="26" t="e">
        <f t="shared" si="389"/>
        <v>#VALUE!</v>
      </c>
    </row>
    <row r="6612" spans="1:12" x14ac:dyDescent="0.35">
      <c r="A6612">
        <f t="shared" si="390"/>
        <v>6611</v>
      </c>
      <c r="B6612" t="s">
        <v>760</v>
      </c>
      <c r="C6612" s="109" t="str">
        <f>IF(ISBLANK(K6612),IFERROR(VLOOKUP(I6612,FS_input_data!$C$458:$N$648,Export!J6612,FALSE),""),K6612)</f>
        <v/>
      </c>
      <c r="D6612" s="6"/>
      <c r="E6612" s="6"/>
      <c r="F6612" s="6"/>
      <c r="G6612" s="115" t="b">
        <f>VLOOKUP(I6594,FS_input_noty,J6594,FALSE)=""</f>
        <v>0</v>
      </c>
      <c r="H6612" s="6" t="s">
        <v>2189</v>
      </c>
      <c r="I6612" t="s">
        <v>1561</v>
      </c>
      <c r="J6612" t="s">
        <v>1561</v>
      </c>
      <c r="L6612">
        <f t="shared" si="389"/>
        <v>1</v>
      </c>
    </row>
    <row r="6613" spans="1:12" x14ac:dyDescent="0.35">
      <c r="A6613" s="9">
        <f t="shared" si="390"/>
        <v>6612</v>
      </c>
      <c r="B6613" t="s">
        <v>761</v>
      </c>
      <c r="C6613" s="109" t="str">
        <f>IF(ISBLANK(K6613),IFERROR(VLOOKUP(I6613,FS_input_data!$C$458:$N$648,Export!J6613,FALSE),""),K6613)</f>
        <v>i</v>
      </c>
      <c r="D6613" s="6" t="b">
        <v>0</v>
      </c>
      <c r="E6613" s="6"/>
      <c r="F6613" s="6"/>
      <c r="G6613" s="115" t="b">
        <f>VLOOKUP(I6594,FS_input_noty,J6594,FALSE)=""</f>
        <v>0</v>
      </c>
      <c r="H6613" s="6" t="s">
        <v>2189</v>
      </c>
      <c r="I6613" t="s">
        <v>2060</v>
      </c>
      <c r="J6613">
        <v>5</v>
      </c>
      <c r="L6613" s="26" t="e">
        <f t="shared" si="389"/>
        <v>#VALUE!</v>
      </c>
    </row>
    <row r="6614" spans="1:12" x14ac:dyDescent="0.35">
      <c r="A6614">
        <f t="shared" si="390"/>
        <v>6613</v>
      </c>
      <c r="B6614" t="s">
        <v>762</v>
      </c>
      <c r="C6614" s="109" t="str">
        <f>IF(ISBLANK(K6614),IFERROR(VLOOKUP(I6614,FS_input_data!$C$458:$N$648,Export!J6614,FALSE),""),K6614)</f>
        <v/>
      </c>
      <c r="D6614" s="6"/>
      <c r="E6614" s="6"/>
      <c r="F6614" s="6"/>
      <c r="G6614" s="115" t="b">
        <f>VLOOKUP(I6594,FS_input_noty,J6594,FALSE)=""</f>
        <v>0</v>
      </c>
      <c r="H6614" s="6" t="s">
        <v>2189</v>
      </c>
      <c r="I6614" t="s">
        <v>1561</v>
      </c>
      <c r="J6614" t="s">
        <v>1561</v>
      </c>
      <c r="L6614">
        <f t="shared" si="389"/>
        <v>1</v>
      </c>
    </row>
    <row r="6615" spans="1:12" x14ac:dyDescent="0.35">
      <c r="A6615">
        <f t="shared" si="390"/>
        <v>6614</v>
      </c>
      <c r="B6615" t="s">
        <v>763</v>
      </c>
      <c r="C6615" s="109" t="str">
        <f>IF(ISBLANK(K6615),IFERROR(VLOOKUP(I6615,FS_input_data!$C$458:$N$648,Export!J6615,FALSE),""),K6615)</f>
        <v/>
      </c>
      <c r="D6615" s="6"/>
      <c r="E6615" s="6"/>
      <c r="F6615" s="6"/>
      <c r="G6615" s="115" t="b">
        <f>VLOOKUP(I6594,FS_input_noty,J6594,FALSE)=""</f>
        <v>0</v>
      </c>
      <c r="H6615" s="6" t="s">
        <v>2189</v>
      </c>
      <c r="I6615" t="s">
        <v>1561</v>
      </c>
      <c r="J6615" t="s">
        <v>1561</v>
      </c>
      <c r="L6615">
        <f t="shared" si="389"/>
        <v>1</v>
      </c>
    </row>
    <row r="6616" spans="1:12" x14ac:dyDescent="0.35">
      <c r="A6616">
        <f t="shared" si="390"/>
        <v>6615</v>
      </c>
      <c r="B6616" t="s">
        <v>743</v>
      </c>
      <c r="C6616" s="109" t="str">
        <f>IF(ISBLANK(K6616),IFERROR(VLOOKUP(I6616,FS_input_data!$C$458:$N$648,Export!J6616,FALSE),""),K6616)</f>
        <v/>
      </c>
      <c r="D6616" s="6"/>
      <c r="E6616" s="6"/>
      <c r="F6616" s="6"/>
      <c r="G6616" s="115" t="b">
        <f>VLOOKUP(I6594,FS_input_noty,J6594,FALSE)=""</f>
        <v>0</v>
      </c>
      <c r="H6616" s="6" t="s">
        <v>2189</v>
      </c>
      <c r="I6616" t="s">
        <v>1561</v>
      </c>
      <c r="J6616" t="s">
        <v>1561</v>
      </c>
      <c r="L6616">
        <f t="shared" si="389"/>
        <v>1</v>
      </c>
    </row>
    <row r="6617" spans="1:12" x14ac:dyDescent="0.35">
      <c r="A6617">
        <f t="shared" si="390"/>
        <v>6616</v>
      </c>
      <c r="B6617" t="s">
        <v>744</v>
      </c>
      <c r="C6617" s="109" t="str">
        <f>IF(ISBLANK(K6617),IFERROR(VLOOKUP(I6617,FS_input_data!$C$458:$N$648,Export!J6617,FALSE),""),K6617)</f>
        <v/>
      </c>
      <c r="D6617" s="6"/>
      <c r="E6617" s="6"/>
      <c r="F6617" s="6"/>
      <c r="G6617" s="115" t="b">
        <f t="shared" ref="G6617:G6624" si="391">RP_tax</f>
        <v>1</v>
      </c>
      <c r="H6617" s="6" t="s">
        <v>2189</v>
      </c>
      <c r="I6617" t="s">
        <v>1561</v>
      </c>
      <c r="J6617" t="s">
        <v>1561</v>
      </c>
      <c r="L6617" s="26" t="e">
        <f t="shared" si="389"/>
        <v>#VALUE!</v>
      </c>
    </row>
    <row r="6618" spans="1:12" x14ac:dyDescent="0.35">
      <c r="A6618" s="9">
        <f t="shared" si="390"/>
        <v>6617</v>
      </c>
      <c r="B6618" t="s">
        <v>109</v>
      </c>
      <c r="C6618" s="109">
        <f>IF(ISBLANK(K6618),IFERROR(VLOOKUP(I6618,FS_input_data!$C$458:$N$648,Export!J6618,FALSE),""),K6618)</f>
        <v>27000</v>
      </c>
      <c r="D6618" s="6" t="b">
        <v>1</v>
      </c>
      <c r="E6618" s="6"/>
      <c r="F6618" s="6"/>
      <c r="G6618" s="115" t="b">
        <f t="shared" si="391"/>
        <v>1</v>
      </c>
      <c r="H6618" s="6" t="s">
        <v>2189</v>
      </c>
      <c r="I6618" t="s">
        <v>2060</v>
      </c>
      <c r="J6618">
        <v>10</v>
      </c>
      <c r="L6618" s="26" t="e">
        <f t="shared" si="389"/>
        <v>#VALUE!</v>
      </c>
    </row>
    <row r="6619" spans="1:12" x14ac:dyDescent="0.35">
      <c r="A6619">
        <f t="shared" si="390"/>
        <v>6618</v>
      </c>
      <c r="B6619" t="s">
        <v>110</v>
      </c>
      <c r="C6619" s="109" t="str">
        <f>IF(ISBLANK(K6619),IFERROR(VLOOKUP(I6619,FS_input_data!$C$458:$N$648,Export!J6619,FALSE),""),K6619)</f>
        <v/>
      </c>
      <c r="D6619" s="6"/>
      <c r="E6619" s="6"/>
      <c r="F6619" s="6"/>
      <c r="G6619" s="115" t="b">
        <f t="shared" si="391"/>
        <v>1</v>
      </c>
      <c r="H6619" s="6" t="s">
        <v>2189</v>
      </c>
      <c r="I6619" t="s">
        <v>1561</v>
      </c>
      <c r="J6619" t="s">
        <v>1561</v>
      </c>
      <c r="L6619">
        <f t="shared" si="389"/>
        <v>1</v>
      </c>
    </row>
    <row r="6620" spans="1:12" x14ac:dyDescent="0.35">
      <c r="A6620" s="9">
        <f t="shared" si="390"/>
        <v>6619</v>
      </c>
      <c r="B6620" t="s">
        <v>111</v>
      </c>
      <c r="C6620" s="109">
        <f>IF(ISBLANK(K6620),IFERROR(VLOOKUP(I6620,FS_input_data!$C$458:$N$648,Export!J6620,FALSE),""),K6620)</f>
        <v>13500</v>
      </c>
      <c r="D6620" s="6" t="b">
        <v>0</v>
      </c>
      <c r="E6620" s="6"/>
      <c r="F6620" s="6"/>
      <c r="G6620" s="115" t="b">
        <f t="shared" si="391"/>
        <v>1</v>
      </c>
      <c r="H6620" s="6" t="s">
        <v>2189</v>
      </c>
      <c r="I6620" t="s">
        <v>2060</v>
      </c>
      <c r="J6620">
        <v>11</v>
      </c>
      <c r="L6620" s="26" t="e">
        <f t="shared" si="389"/>
        <v>#VALUE!</v>
      </c>
    </row>
    <row r="6621" spans="1:12" x14ac:dyDescent="0.35">
      <c r="A6621">
        <f t="shared" si="390"/>
        <v>6620</v>
      </c>
      <c r="B6621" t="s">
        <v>112</v>
      </c>
      <c r="C6621" s="109" t="str">
        <f>IF(ISBLANK(K6621),IFERROR(VLOOKUP(I6621,FS_input_data!$C$458:$N$648,Export!J6621,FALSE),""),K6621)</f>
        <v/>
      </c>
      <c r="D6621" s="6"/>
      <c r="E6621" s="6"/>
      <c r="F6621" s="6"/>
      <c r="G6621" s="115" t="b">
        <f t="shared" si="391"/>
        <v>1</v>
      </c>
      <c r="H6621" s="6" t="s">
        <v>2189</v>
      </c>
      <c r="I6621" t="s">
        <v>1561</v>
      </c>
      <c r="J6621" t="s">
        <v>1561</v>
      </c>
      <c r="L6621">
        <f t="shared" si="389"/>
        <v>1</v>
      </c>
    </row>
    <row r="6622" spans="1:12" x14ac:dyDescent="0.35">
      <c r="A6622" s="9">
        <f t="shared" si="390"/>
        <v>6621</v>
      </c>
      <c r="B6622" t="s">
        <v>749</v>
      </c>
      <c r="C6622" s="109">
        <f>IF(ISBLANK(K6622),IFERROR(VLOOKUP(I6622,FS_input_data!$C$458:$N$648,Export!J6622,FALSE),""),K6622)</f>
        <v>13500</v>
      </c>
      <c r="D6622" s="6" t="b">
        <v>0</v>
      </c>
      <c r="E6622" s="6"/>
      <c r="F6622" s="6"/>
      <c r="G6622" s="115" t="b">
        <f t="shared" si="391"/>
        <v>1</v>
      </c>
      <c r="H6622" s="6" t="s">
        <v>2189</v>
      </c>
      <c r="I6622" t="s">
        <v>2060</v>
      </c>
      <c r="J6622">
        <v>12</v>
      </c>
      <c r="L6622" s="26" t="e">
        <f t="shared" si="389"/>
        <v>#VALUE!</v>
      </c>
    </row>
    <row r="6623" spans="1:12" x14ac:dyDescent="0.35">
      <c r="A6623">
        <f t="shared" si="390"/>
        <v>6622</v>
      </c>
      <c r="B6623" t="s">
        <v>750</v>
      </c>
      <c r="C6623" s="109" t="str">
        <f>IF(ISBLANK(K6623),IFERROR(VLOOKUP(I6623,FS_input_data!$C$458:$N$648,Export!J6623,FALSE),""),K6623)</f>
        <v/>
      </c>
      <c r="D6623" s="6"/>
      <c r="E6623" s="6"/>
      <c r="F6623" s="6"/>
      <c r="G6623" s="115" t="b">
        <f t="shared" si="391"/>
        <v>1</v>
      </c>
      <c r="H6623" s="6" t="s">
        <v>2189</v>
      </c>
      <c r="I6623" t="s">
        <v>1561</v>
      </c>
      <c r="J6623" t="s">
        <v>1561</v>
      </c>
      <c r="L6623">
        <f t="shared" si="389"/>
        <v>1</v>
      </c>
    </row>
    <row r="6624" spans="1:12" x14ac:dyDescent="0.35">
      <c r="A6624">
        <f t="shared" si="390"/>
        <v>6623</v>
      </c>
      <c r="B6624" t="s">
        <v>745</v>
      </c>
      <c r="C6624" s="109" t="str">
        <f>IF(ISBLANK(K6624),IFERROR(VLOOKUP(I6624,FS_input_data!$C$458:$N$648,Export!J6624,FALSE),""),K6624)</f>
        <v/>
      </c>
      <c r="D6624" s="6"/>
      <c r="E6624" s="6"/>
      <c r="F6624" s="6"/>
      <c r="G6624" s="115" t="b">
        <f t="shared" si="391"/>
        <v>1</v>
      </c>
      <c r="H6624" s="6" t="s">
        <v>2189</v>
      </c>
      <c r="I6624" t="s">
        <v>1561</v>
      </c>
      <c r="J6624" t="s">
        <v>1561</v>
      </c>
      <c r="L6624">
        <f t="shared" si="389"/>
        <v>1</v>
      </c>
    </row>
    <row r="6625" spans="1:12" x14ac:dyDescent="0.35">
      <c r="A6625">
        <f t="shared" si="390"/>
        <v>6624</v>
      </c>
      <c r="B6625" t="s">
        <v>764</v>
      </c>
      <c r="C6625" s="109" t="str">
        <f>IF(ISBLANK(K6625),IFERROR(VLOOKUP(I6625,FS_input_data!$C$458:$N$648,Export!J6625,FALSE),""),K6625)</f>
        <v/>
      </c>
      <c r="D6625" s="6"/>
      <c r="E6625" s="6"/>
      <c r="F6625" s="6"/>
      <c r="G6625" s="115" t="b">
        <f>VLOOKUP(I6594,FS_input_noty,J6594,FALSE)=""</f>
        <v>0</v>
      </c>
      <c r="H6625" s="6" t="s">
        <v>2189</v>
      </c>
      <c r="I6625" t="s">
        <v>1561</v>
      </c>
      <c r="J6625" t="s">
        <v>1561</v>
      </c>
      <c r="L6625">
        <f t="shared" si="389"/>
        <v>1</v>
      </c>
    </row>
    <row r="6626" spans="1:12" x14ac:dyDescent="0.35">
      <c r="A6626">
        <f t="shared" si="390"/>
        <v>6625</v>
      </c>
      <c r="B6626" t="s">
        <v>765</v>
      </c>
      <c r="C6626" s="109" t="str">
        <f>IF(ISBLANK(K6626),IFERROR(VLOOKUP(I6626,FS_input_data!$C$458:$N$648,Export!J6626,FALSE),""),K6626)</f>
        <v/>
      </c>
      <c r="D6626" s="6"/>
      <c r="E6626" s="6"/>
      <c r="F6626" s="6"/>
      <c r="G6626" s="115" t="b">
        <f>VLOOKUP(I6594,FS_input_noty,J6594,FALSE)=""</f>
        <v>0</v>
      </c>
      <c r="H6626" s="6" t="s">
        <v>2189</v>
      </c>
      <c r="I6626" t="s">
        <v>1561</v>
      </c>
      <c r="J6626" t="s">
        <v>1561</v>
      </c>
      <c r="L6626">
        <f t="shared" si="389"/>
        <v>1</v>
      </c>
    </row>
    <row r="6627" spans="1:12" x14ac:dyDescent="0.35">
      <c r="A6627">
        <f t="shared" si="390"/>
        <v>6626</v>
      </c>
      <c r="B6627" t="s">
        <v>752</v>
      </c>
      <c r="C6627" s="109" t="str">
        <f>IF(ISBLANK(K6627),IFERROR(VLOOKUP(I6627,FS_input_data!$C$458:$N$648,Export!J6627,FALSE),""),K6627)</f>
        <v/>
      </c>
      <c r="D6627" s="6"/>
      <c r="E6627" s="6"/>
      <c r="F6627" s="6"/>
      <c r="G6627" s="115" t="b">
        <f>VLOOKUP(I6628,FS_input_noty,J6628,FALSE)=""</f>
        <v>0</v>
      </c>
      <c r="H6627" s="6" t="s">
        <v>2189</v>
      </c>
      <c r="I6627" t="s">
        <v>1561</v>
      </c>
      <c r="J6627" t="s">
        <v>1561</v>
      </c>
      <c r="L6627" s="26" t="e">
        <f t="shared" si="389"/>
        <v>#VALUE!</v>
      </c>
    </row>
    <row r="6628" spans="1:12" x14ac:dyDescent="0.35">
      <c r="A6628" s="9">
        <f t="shared" si="390"/>
        <v>6627</v>
      </c>
      <c r="B6628" t="s">
        <v>101</v>
      </c>
      <c r="C6628" s="109" t="str">
        <f>IF(ISBLANK(K6628),IFERROR(VLOOKUP(I6628,FS_input_data!$C$458:$N$648,Export!J6628,FALSE),""),K6628)</f>
        <v>OC103</v>
      </c>
      <c r="D6628" s="6" t="b">
        <v>1</v>
      </c>
      <c r="E6628" s="6"/>
      <c r="F6628" s="6"/>
      <c r="G6628" s="115" t="b">
        <f>VLOOKUP(I6628,FS_input_noty,J6628,FALSE)=""</f>
        <v>0</v>
      </c>
      <c r="H6628" s="6" t="s">
        <v>2189</v>
      </c>
      <c r="I6628" t="s">
        <v>2062</v>
      </c>
      <c r="J6628">
        <v>6</v>
      </c>
      <c r="L6628" s="26" t="e">
        <f t="shared" si="389"/>
        <v>#VALUE!</v>
      </c>
    </row>
    <row r="6629" spans="1:12" x14ac:dyDescent="0.35">
      <c r="A6629">
        <f t="shared" si="390"/>
        <v>6628</v>
      </c>
      <c r="B6629" t="s">
        <v>102</v>
      </c>
      <c r="C6629" s="109" t="str">
        <f>IF(ISBLANK(K6629),IFERROR(VLOOKUP(I6629,FS_input_data!$C$458:$N$648,Export!J6629,FALSE),""),K6629)</f>
        <v/>
      </c>
      <c r="D6629" s="6"/>
      <c r="E6629" s="6"/>
      <c r="F6629" s="6"/>
      <c r="G6629" s="115" t="b">
        <f>VLOOKUP(I6628,FS_input_noty,J6628,FALSE)=""</f>
        <v>0</v>
      </c>
      <c r="H6629" s="6" t="s">
        <v>2189</v>
      </c>
      <c r="I6629" t="s">
        <v>1561</v>
      </c>
      <c r="J6629" t="s">
        <v>1561</v>
      </c>
      <c r="L6629">
        <f t="shared" si="389"/>
        <v>1</v>
      </c>
    </row>
    <row r="6630" spans="1:12" x14ac:dyDescent="0.35">
      <c r="A6630">
        <f t="shared" si="390"/>
        <v>6629</v>
      </c>
      <c r="B6630" t="s">
        <v>753</v>
      </c>
      <c r="C6630" s="109" t="str">
        <f>IF(ISBLANK(K6630),IFERROR(VLOOKUP(I6630,FS_input_data!$C$458:$N$648,Export!J6630,FALSE),""),K6630)</f>
        <v/>
      </c>
      <c r="D6630" s="6"/>
      <c r="E6630" s="6"/>
      <c r="F6630" s="6"/>
      <c r="G6630" s="115" t="b">
        <f>VLOOKUP(I6628,FS_input_noty,J6628,FALSE)=""</f>
        <v>0</v>
      </c>
      <c r="H6630" s="6" t="s">
        <v>2189</v>
      </c>
      <c r="I6630" t="s">
        <v>1561</v>
      </c>
      <c r="J6630" t="s">
        <v>1561</v>
      </c>
      <c r="L6630" s="26" t="e">
        <f t="shared" si="389"/>
        <v>#VALUE!</v>
      </c>
    </row>
    <row r="6631" spans="1:12" x14ac:dyDescent="0.35">
      <c r="A6631">
        <f t="shared" si="390"/>
        <v>6630</v>
      </c>
      <c r="B6631" t="s">
        <v>742</v>
      </c>
      <c r="C6631" s="109" t="str">
        <f>IF(ISBLANK(K6631),IFERROR(VLOOKUP(I6631,FS_input_data!$C$458:$N$648,Export!J6631,FALSE),""),K6631)</f>
        <v/>
      </c>
      <c r="D6631" s="6"/>
      <c r="E6631" s="6"/>
      <c r="F6631" s="6"/>
      <c r="G6631" s="115" t="b">
        <f>VLOOKUP(I6628,FS_input_noty,J6628,FALSE)=""</f>
        <v>0</v>
      </c>
      <c r="H6631" s="6" t="s">
        <v>2189</v>
      </c>
      <c r="I6631" t="s">
        <v>1561</v>
      </c>
      <c r="J6631" t="s">
        <v>1561</v>
      </c>
      <c r="L6631" s="26" t="e">
        <f t="shared" si="389"/>
        <v>#VALUE!</v>
      </c>
    </row>
    <row r="6632" spans="1:12" x14ac:dyDescent="0.35">
      <c r="A6632">
        <f t="shared" si="390"/>
        <v>6631</v>
      </c>
      <c r="B6632" t="s">
        <v>748</v>
      </c>
      <c r="C6632" s="109" t="str">
        <f>IF(ISBLANK(K6632),IFERROR(VLOOKUP(I6632,FS_input_data!$C$458:$N$648,Export!J6632,FALSE),""),K6632)</f>
        <v/>
      </c>
      <c r="D6632" s="6"/>
      <c r="E6632" s="6"/>
      <c r="F6632" s="6"/>
      <c r="G6632" s="115" t="b">
        <f>VLOOKUP(I6628,FS_input_noty,J6628,FALSE)=""</f>
        <v>0</v>
      </c>
      <c r="H6632" s="6" t="s">
        <v>2189</v>
      </c>
      <c r="I6632" t="s">
        <v>1561</v>
      </c>
      <c r="J6632" t="s">
        <v>1561</v>
      </c>
      <c r="L6632" s="26" t="e">
        <f t="shared" si="389"/>
        <v>#VALUE!</v>
      </c>
    </row>
    <row r="6633" spans="1:12" x14ac:dyDescent="0.35">
      <c r="A6633" s="9">
        <f t="shared" si="390"/>
        <v>6632</v>
      </c>
      <c r="B6633" t="s">
        <v>109</v>
      </c>
      <c r="C6633" s="109">
        <f>IF(ISBLANK(K6633),IFERROR(VLOOKUP(I6633,FS_input_data!$C$458:$N$648,Export!J6633,FALSE),""),K6633)</f>
        <v>28000</v>
      </c>
      <c r="D6633" s="6" t="b">
        <v>1</v>
      </c>
      <c r="E6633" s="6"/>
      <c r="F6633" s="6"/>
      <c r="G6633" s="115" t="b">
        <f>VLOOKUP(I6628,FS_input_noty,J6628,FALSE)=""</f>
        <v>0</v>
      </c>
      <c r="H6633" s="6" t="s">
        <v>2189</v>
      </c>
      <c r="I6633" t="s">
        <v>2062</v>
      </c>
      <c r="J6633">
        <v>7</v>
      </c>
      <c r="L6633" s="26" t="e">
        <f t="shared" si="389"/>
        <v>#VALUE!</v>
      </c>
    </row>
    <row r="6634" spans="1:12" x14ac:dyDescent="0.35">
      <c r="A6634">
        <f t="shared" si="390"/>
        <v>6633</v>
      </c>
      <c r="B6634" t="s">
        <v>110</v>
      </c>
      <c r="C6634" s="109" t="str">
        <f>IF(ISBLANK(K6634),IFERROR(VLOOKUP(I6634,FS_input_data!$C$458:$N$648,Export!J6634,FALSE),""),K6634)</f>
        <v/>
      </c>
      <c r="D6634" s="6"/>
      <c r="E6634" s="6"/>
      <c r="F6634" s="6"/>
      <c r="G6634" s="115" t="b">
        <f>VLOOKUP(I6628,FS_input_noty,J6628,FALSE)=""</f>
        <v>0</v>
      </c>
      <c r="H6634" s="6" t="s">
        <v>2189</v>
      </c>
      <c r="I6634" t="s">
        <v>1561</v>
      </c>
      <c r="J6634" t="s">
        <v>1561</v>
      </c>
      <c r="L6634">
        <f t="shared" si="389"/>
        <v>1</v>
      </c>
    </row>
    <row r="6635" spans="1:12" x14ac:dyDescent="0.35">
      <c r="A6635" s="9">
        <f t="shared" si="390"/>
        <v>6634</v>
      </c>
      <c r="B6635" t="s">
        <v>111</v>
      </c>
      <c r="C6635" s="109">
        <f>IF(ISBLANK(K6635),IFERROR(VLOOKUP(I6635,FS_input_data!$C$458:$N$648,Export!J6635,FALSE),""),K6635)</f>
        <v>14000</v>
      </c>
      <c r="D6635" s="6" t="b">
        <v>0</v>
      </c>
      <c r="E6635" s="6"/>
      <c r="F6635" s="6"/>
      <c r="G6635" s="115" t="b">
        <f>VLOOKUP(I6628,FS_input_noty,J6628,TRUE)=""</f>
        <v>0</v>
      </c>
      <c r="H6635" s="6" t="s">
        <v>2189</v>
      </c>
      <c r="I6635" t="s">
        <v>2062</v>
      </c>
      <c r="J6635">
        <v>8</v>
      </c>
      <c r="L6635" s="26" t="e">
        <f t="shared" si="389"/>
        <v>#VALUE!</v>
      </c>
    </row>
    <row r="6636" spans="1:12" x14ac:dyDescent="0.35">
      <c r="A6636">
        <f t="shared" si="390"/>
        <v>6635</v>
      </c>
      <c r="B6636" t="s">
        <v>112</v>
      </c>
      <c r="C6636" s="109" t="str">
        <f>IF(ISBLANK(K6636),IFERROR(VLOOKUP(I6636,FS_input_data!$C$458:$N$648,Export!J6636,FALSE),""),K6636)</f>
        <v/>
      </c>
      <c r="D6636" s="6"/>
      <c r="E6636" s="6"/>
      <c r="F6636" s="6"/>
      <c r="G6636" s="115" t="b">
        <f>VLOOKUP(I6628,FS_input_noty,J6628,FALSE)=""</f>
        <v>0</v>
      </c>
      <c r="H6636" s="6" t="s">
        <v>2189</v>
      </c>
      <c r="I6636" t="s">
        <v>1561</v>
      </c>
      <c r="J6636" t="s">
        <v>1561</v>
      </c>
      <c r="L6636">
        <f t="shared" si="389"/>
        <v>1</v>
      </c>
    </row>
    <row r="6637" spans="1:12" x14ac:dyDescent="0.35">
      <c r="A6637" s="9">
        <f t="shared" si="390"/>
        <v>6636</v>
      </c>
      <c r="B6637" t="s">
        <v>749</v>
      </c>
      <c r="C6637" s="109">
        <f>IF(ISBLANK(K6637),IFERROR(VLOOKUP(I6637,FS_input_data!$C$458:$N$648,Export!J6637,FALSE),""),K6637)</f>
        <v>14000</v>
      </c>
      <c r="D6637" s="6" t="b">
        <v>0</v>
      </c>
      <c r="E6637" s="6"/>
      <c r="F6637" s="6"/>
      <c r="G6637" s="115" t="b">
        <f>VLOOKUP(I6628,FS_input_noty,J6628,FALSE)=""</f>
        <v>0</v>
      </c>
      <c r="H6637" s="6" t="s">
        <v>2189</v>
      </c>
      <c r="I6637" t="s">
        <v>2062</v>
      </c>
      <c r="J6637">
        <v>9</v>
      </c>
      <c r="L6637" s="26" t="e">
        <f t="shared" si="389"/>
        <v>#VALUE!</v>
      </c>
    </row>
    <row r="6638" spans="1:12" x14ac:dyDescent="0.35">
      <c r="A6638">
        <f t="shared" si="390"/>
        <v>6637</v>
      </c>
      <c r="B6638" t="s">
        <v>750</v>
      </c>
      <c r="C6638" s="109" t="str">
        <f>IF(ISBLANK(K6638),IFERROR(VLOOKUP(I6638,FS_input_data!$C$458:$N$648,Export!J6638,FALSE),""),K6638)</f>
        <v/>
      </c>
      <c r="D6638" s="6"/>
      <c r="E6638" s="6"/>
      <c r="F6638" s="6"/>
      <c r="G6638" s="115" t="b">
        <f>VLOOKUP(I6628,FS_input_noty,J6628,FALSE)=""</f>
        <v>0</v>
      </c>
      <c r="H6638" s="6" t="s">
        <v>2189</v>
      </c>
      <c r="I6638" t="s">
        <v>1561</v>
      </c>
      <c r="J6638" t="s">
        <v>1561</v>
      </c>
      <c r="L6638">
        <f t="shared" si="389"/>
        <v>1</v>
      </c>
    </row>
    <row r="6639" spans="1:12" x14ac:dyDescent="0.35">
      <c r="A6639">
        <f t="shared" si="390"/>
        <v>6638</v>
      </c>
      <c r="B6639" t="s">
        <v>751</v>
      </c>
      <c r="C6639" s="109" t="str">
        <f>IF(ISBLANK(K6639),IFERROR(VLOOKUP(I6639,FS_input_data!$C$458:$N$648,Export!J6639,FALSE),""),K6639)</f>
        <v/>
      </c>
      <c r="D6639" s="6"/>
      <c r="E6639" s="6"/>
      <c r="F6639" s="6"/>
      <c r="G6639" s="115" t="b">
        <f>VLOOKUP(I6628,FS_input_noty,J6628,FALSE)=""</f>
        <v>0</v>
      </c>
      <c r="H6639" s="6" t="s">
        <v>2189</v>
      </c>
      <c r="I6639" t="s">
        <v>1561</v>
      </c>
      <c r="J6639" t="s">
        <v>1561</v>
      </c>
      <c r="L6639">
        <f t="shared" si="389"/>
        <v>1</v>
      </c>
    </row>
    <row r="6640" spans="1:12" x14ac:dyDescent="0.35">
      <c r="A6640">
        <f t="shared" si="390"/>
        <v>6639</v>
      </c>
      <c r="B6640" t="s">
        <v>754</v>
      </c>
      <c r="C6640" s="109" t="str">
        <f>IF(ISBLANK(K6640),IFERROR(VLOOKUP(I6640,FS_input_data!$C$458:$N$648,Export!J6640,FALSE),""),K6640)</f>
        <v/>
      </c>
      <c r="D6640" s="6"/>
      <c r="E6640" s="6"/>
      <c r="F6640" s="6"/>
      <c r="G6640" s="115" t="b">
        <f>VLOOKUP(I6628,FS_input_noty,J6628,FALSE)=""</f>
        <v>0</v>
      </c>
      <c r="H6640" s="6" t="s">
        <v>2189</v>
      </c>
      <c r="I6640" t="s">
        <v>1561</v>
      </c>
      <c r="J6640" t="s">
        <v>1561</v>
      </c>
      <c r="L6640" s="26" t="e">
        <f t="shared" si="389"/>
        <v>#VALUE!</v>
      </c>
    </row>
    <row r="6641" spans="1:12" x14ac:dyDescent="0.35">
      <c r="A6641" s="9">
        <f t="shared" si="390"/>
        <v>6640</v>
      </c>
      <c r="B6641" t="s">
        <v>755</v>
      </c>
      <c r="C6641" s="109">
        <f>IF(ISBLANK(K6641),IFERROR(VLOOKUP(I6641,FS_input_data!$C$458:$N$648,Export!J6641,FALSE),""),K6641)</f>
        <v>126</v>
      </c>
      <c r="D6641" s="6" t="b">
        <v>1</v>
      </c>
      <c r="E6641" s="6"/>
      <c r="F6641" s="6"/>
      <c r="G6641" s="115" t="b">
        <f>VLOOKUP(I6628,FS_input_noty,J6628,FALSE)=""</f>
        <v>0</v>
      </c>
      <c r="H6641" s="6" t="s">
        <v>2189</v>
      </c>
      <c r="I6641" t="s">
        <v>2062</v>
      </c>
      <c r="J6641">
        <v>2</v>
      </c>
      <c r="L6641" s="26" t="e">
        <f t="shared" si="389"/>
        <v>#VALUE!</v>
      </c>
    </row>
    <row r="6642" spans="1:12" x14ac:dyDescent="0.35">
      <c r="A6642">
        <f t="shared" si="390"/>
        <v>6641</v>
      </c>
      <c r="B6642" t="s">
        <v>756</v>
      </c>
      <c r="C6642" s="109" t="str">
        <f>IF(ISBLANK(K6642),IFERROR(VLOOKUP(I6642,FS_input_data!$C$458:$N$648,Export!J6642,FALSE),""),K6642)</f>
        <v/>
      </c>
      <c r="D6642" s="6"/>
      <c r="E6642" s="6"/>
      <c r="F6642" s="6"/>
      <c r="G6642" s="115" t="b">
        <f>VLOOKUP(I6628,FS_input_noty,J6628,FALSE)=""</f>
        <v>0</v>
      </c>
      <c r="H6642" s="6" t="s">
        <v>2189</v>
      </c>
      <c r="I6642" t="s">
        <v>1561</v>
      </c>
      <c r="J6642" t="s">
        <v>1561</v>
      </c>
      <c r="L6642">
        <f t="shared" si="389"/>
        <v>1</v>
      </c>
    </row>
    <row r="6643" spans="1:12" x14ac:dyDescent="0.35">
      <c r="A6643" s="9">
        <f t="shared" si="390"/>
        <v>6642</v>
      </c>
      <c r="B6643" t="s">
        <v>757</v>
      </c>
      <c r="C6643" s="109">
        <f>IF(ISBLANK(K6643),IFERROR(VLOOKUP(I6643,FS_input_data!$C$458:$N$648,Export!J6643,FALSE),""),K6643)</f>
        <v>226</v>
      </c>
      <c r="D6643" s="6" t="b">
        <v>0</v>
      </c>
      <c r="E6643" s="6"/>
      <c r="F6643" s="6"/>
      <c r="G6643" s="115" t="b">
        <f>VLOOKUP(I6628,FS_input_noty,J6628,FALSE)=""</f>
        <v>0</v>
      </c>
      <c r="H6643" s="6" t="s">
        <v>2189</v>
      </c>
      <c r="I6643" t="s">
        <v>2062</v>
      </c>
      <c r="J6643">
        <v>3</v>
      </c>
      <c r="L6643" s="26" t="e">
        <f t="shared" si="389"/>
        <v>#VALUE!</v>
      </c>
    </row>
    <row r="6644" spans="1:12" x14ac:dyDescent="0.35">
      <c r="A6644">
        <f t="shared" si="390"/>
        <v>6643</v>
      </c>
      <c r="B6644" t="s">
        <v>758</v>
      </c>
      <c r="C6644" s="109" t="str">
        <f>IF(ISBLANK(K6644),IFERROR(VLOOKUP(I6644,FS_input_data!$C$458:$N$648,Export!J6644,FALSE),""),K6644)</f>
        <v/>
      </c>
      <c r="D6644" s="6"/>
      <c r="E6644" s="6"/>
      <c r="F6644" s="6"/>
      <c r="G6644" s="115" t="b">
        <f>VLOOKUP(I6628,FS_input_noty,J6628,FALSE)=""</f>
        <v>0</v>
      </c>
      <c r="H6644" s="6" t="s">
        <v>2189</v>
      </c>
      <c r="I6644" t="s">
        <v>1561</v>
      </c>
      <c r="J6644" t="s">
        <v>1561</v>
      </c>
      <c r="L6644">
        <f t="shared" si="389"/>
        <v>1</v>
      </c>
    </row>
    <row r="6645" spans="1:12" x14ac:dyDescent="0.35">
      <c r="A6645" s="9">
        <f t="shared" si="390"/>
        <v>6644</v>
      </c>
      <c r="B6645" t="s">
        <v>759</v>
      </c>
      <c r="C6645" s="109">
        <f>IF(ISBLANK(K6645),IFERROR(VLOOKUP(I6645,FS_input_data!$C$458:$N$648,Export!J6645,FALSE),""),K6645)</f>
        <v>326</v>
      </c>
      <c r="D6645" s="6" t="b">
        <v>0</v>
      </c>
      <c r="E6645" s="6"/>
      <c r="F6645" s="6"/>
      <c r="G6645" s="115" t="b">
        <f>VLOOKUP(I6628,FS_input_noty,J6628,FALSE)=""</f>
        <v>0</v>
      </c>
      <c r="H6645" s="6" t="s">
        <v>2189</v>
      </c>
      <c r="I6645" t="s">
        <v>2062</v>
      </c>
      <c r="J6645">
        <v>4</v>
      </c>
      <c r="L6645" s="26" t="e">
        <f t="shared" si="389"/>
        <v>#VALUE!</v>
      </c>
    </row>
    <row r="6646" spans="1:12" x14ac:dyDescent="0.35">
      <c r="A6646">
        <f t="shared" si="390"/>
        <v>6645</v>
      </c>
      <c r="B6646" t="s">
        <v>760</v>
      </c>
      <c r="C6646" s="109" t="str">
        <f>IF(ISBLANK(K6646),IFERROR(VLOOKUP(I6646,FS_input_data!$C$458:$N$648,Export!J6646,FALSE),""),K6646)</f>
        <v/>
      </c>
      <c r="D6646" s="6"/>
      <c r="E6646" s="6"/>
      <c r="F6646" s="6"/>
      <c r="G6646" s="115" t="b">
        <f>VLOOKUP(I6628,FS_input_noty,J6628,FALSE)=""</f>
        <v>0</v>
      </c>
      <c r="H6646" s="6" t="s">
        <v>2189</v>
      </c>
      <c r="I6646" t="s">
        <v>1561</v>
      </c>
      <c r="J6646" t="s">
        <v>1561</v>
      </c>
      <c r="L6646">
        <f t="shared" si="389"/>
        <v>1</v>
      </c>
    </row>
    <row r="6647" spans="1:12" x14ac:dyDescent="0.35">
      <c r="A6647" s="9">
        <f t="shared" si="390"/>
        <v>6646</v>
      </c>
      <c r="B6647" t="s">
        <v>761</v>
      </c>
      <c r="C6647" s="109" t="str">
        <f>IF(ISBLANK(K6647),IFERROR(VLOOKUP(I6647,FS_input_data!$C$458:$N$648,Export!J6647,FALSE),""),K6647)</f>
        <v>o</v>
      </c>
      <c r="D6647" s="6" t="b">
        <v>0</v>
      </c>
      <c r="E6647" s="6"/>
      <c r="F6647" s="6"/>
      <c r="G6647" s="115" t="b">
        <f>VLOOKUP(I6628,FS_input_noty,J6628,FALSE)=""</f>
        <v>0</v>
      </c>
      <c r="H6647" s="6" t="s">
        <v>2189</v>
      </c>
      <c r="I6647" t="s">
        <v>2062</v>
      </c>
      <c r="J6647">
        <v>5</v>
      </c>
      <c r="L6647" s="26" t="e">
        <f t="shared" si="389"/>
        <v>#VALUE!</v>
      </c>
    </row>
    <row r="6648" spans="1:12" x14ac:dyDescent="0.35">
      <c r="A6648">
        <f t="shared" si="390"/>
        <v>6647</v>
      </c>
      <c r="B6648" t="s">
        <v>762</v>
      </c>
      <c r="C6648" s="109" t="str">
        <f>IF(ISBLANK(K6648),IFERROR(VLOOKUP(I6648,FS_input_data!$C$458:$N$648,Export!J6648,FALSE),""),K6648)</f>
        <v/>
      </c>
      <c r="D6648" s="6"/>
      <c r="E6648" s="6"/>
      <c r="F6648" s="6"/>
      <c r="G6648" s="115" t="b">
        <f>VLOOKUP(I6628,FS_input_noty,J6628,FALSE)=""</f>
        <v>0</v>
      </c>
      <c r="H6648" s="6" t="s">
        <v>2189</v>
      </c>
      <c r="I6648" t="s">
        <v>1561</v>
      </c>
      <c r="J6648" t="s">
        <v>1561</v>
      </c>
      <c r="L6648">
        <f t="shared" si="389"/>
        <v>1</v>
      </c>
    </row>
    <row r="6649" spans="1:12" x14ac:dyDescent="0.35">
      <c r="A6649">
        <f t="shared" si="390"/>
        <v>6648</v>
      </c>
      <c r="B6649" t="s">
        <v>763</v>
      </c>
      <c r="C6649" s="109" t="str">
        <f>IF(ISBLANK(K6649),IFERROR(VLOOKUP(I6649,FS_input_data!$C$458:$N$648,Export!J6649,FALSE),""),K6649)</f>
        <v/>
      </c>
      <c r="D6649" s="6"/>
      <c r="E6649" s="6"/>
      <c r="F6649" s="6"/>
      <c r="G6649" s="115" t="b">
        <f>VLOOKUP(I6628,FS_input_noty,J6628,FALSE)=""</f>
        <v>0</v>
      </c>
      <c r="H6649" s="6" t="s">
        <v>2189</v>
      </c>
      <c r="I6649" t="s">
        <v>1561</v>
      </c>
      <c r="J6649" t="s">
        <v>1561</v>
      </c>
      <c r="L6649">
        <f t="shared" si="389"/>
        <v>1</v>
      </c>
    </row>
    <row r="6650" spans="1:12" x14ac:dyDescent="0.35">
      <c r="A6650">
        <f t="shared" si="390"/>
        <v>6649</v>
      </c>
      <c r="B6650" t="s">
        <v>743</v>
      </c>
      <c r="C6650" s="109" t="str">
        <f>IF(ISBLANK(K6650),IFERROR(VLOOKUP(I6650,FS_input_data!$C$458:$N$648,Export!J6650,FALSE),""),K6650)</f>
        <v/>
      </c>
      <c r="D6650" s="6"/>
      <c r="E6650" s="6"/>
      <c r="F6650" s="6"/>
      <c r="G6650" s="115" t="b">
        <f>VLOOKUP(I6628,FS_input_noty,J6628,FALSE)=""</f>
        <v>0</v>
      </c>
      <c r="H6650" s="6" t="s">
        <v>2189</v>
      </c>
      <c r="I6650" t="s">
        <v>1561</v>
      </c>
      <c r="J6650" t="s">
        <v>1561</v>
      </c>
      <c r="L6650">
        <f t="shared" si="389"/>
        <v>1</v>
      </c>
    </row>
    <row r="6651" spans="1:12" x14ac:dyDescent="0.35">
      <c r="A6651">
        <f t="shared" si="390"/>
        <v>6650</v>
      </c>
      <c r="B6651" t="s">
        <v>744</v>
      </c>
      <c r="C6651" s="109" t="str">
        <f>IF(ISBLANK(K6651),IFERROR(VLOOKUP(I6651,FS_input_data!$C$458:$N$648,Export!J6651,FALSE),""),K6651)</f>
        <v/>
      </c>
      <c r="D6651" s="6"/>
      <c r="E6651" s="6"/>
      <c r="F6651" s="6"/>
      <c r="G6651" s="115" t="b">
        <f t="shared" ref="G6651:G6658" si="392">RP_tax</f>
        <v>1</v>
      </c>
      <c r="H6651" s="6" t="s">
        <v>2189</v>
      </c>
      <c r="I6651" t="s">
        <v>1561</v>
      </c>
      <c r="J6651" t="s">
        <v>1561</v>
      </c>
      <c r="L6651" s="26" t="e">
        <f t="shared" si="389"/>
        <v>#VALUE!</v>
      </c>
    </row>
    <row r="6652" spans="1:12" x14ac:dyDescent="0.35">
      <c r="A6652" s="9">
        <f t="shared" si="390"/>
        <v>6651</v>
      </c>
      <c r="B6652" t="s">
        <v>109</v>
      </c>
      <c r="C6652" s="109">
        <f>IF(ISBLANK(K6652),IFERROR(VLOOKUP(I6652,FS_input_data!$C$458:$N$648,Export!J6652,FALSE),""),K6652)</f>
        <v>28000</v>
      </c>
      <c r="D6652" s="6" t="b">
        <v>1</v>
      </c>
      <c r="E6652" s="6"/>
      <c r="F6652" s="6"/>
      <c r="G6652" s="115" t="b">
        <f t="shared" si="392"/>
        <v>1</v>
      </c>
      <c r="H6652" s="6" t="s">
        <v>2189</v>
      </c>
      <c r="I6652" t="s">
        <v>2062</v>
      </c>
      <c r="J6652">
        <v>10</v>
      </c>
      <c r="L6652" s="26" t="e">
        <f t="shared" si="389"/>
        <v>#VALUE!</v>
      </c>
    </row>
    <row r="6653" spans="1:12" x14ac:dyDescent="0.35">
      <c r="A6653">
        <f t="shared" si="390"/>
        <v>6652</v>
      </c>
      <c r="B6653" t="s">
        <v>110</v>
      </c>
      <c r="C6653" s="109" t="str">
        <f>IF(ISBLANK(K6653),IFERROR(VLOOKUP(I6653,FS_input_data!$C$458:$N$648,Export!J6653,FALSE),""),K6653)</f>
        <v/>
      </c>
      <c r="D6653" s="6"/>
      <c r="E6653" s="6"/>
      <c r="F6653" s="6"/>
      <c r="G6653" s="115" t="b">
        <f t="shared" si="392"/>
        <v>1</v>
      </c>
      <c r="H6653" s="6" t="s">
        <v>2189</v>
      </c>
      <c r="I6653" t="s">
        <v>1561</v>
      </c>
      <c r="J6653" t="s">
        <v>1561</v>
      </c>
      <c r="L6653">
        <f t="shared" si="389"/>
        <v>1</v>
      </c>
    </row>
    <row r="6654" spans="1:12" x14ac:dyDescent="0.35">
      <c r="A6654" s="9">
        <f t="shared" si="390"/>
        <v>6653</v>
      </c>
      <c r="B6654" t="s">
        <v>111</v>
      </c>
      <c r="C6654" s="109">
        <f>IF(ISBLANK(K6654),IFERROR(VLOOKUP(I6654,FS_input_data!$C$458:$N$648,Export!J6654,FALSE),""),K6654)</f>
        <v>14000</v>
      </c>
      <c r="D6654" s="6" t="b">
        <v>0</v>
      </c>
      <c r="E6654" s="6"/>
      <c r="F6654" s="6"/>
      <c r="G6654" s="115" t="b">
        <f t="shared" si="392"/>
        <v>1</v>
      </c>
      <c r="H6654" s="6" t="s">
        <v>2189</v>
      </c>
      <c r="I6654" t="s">
        <v>2062</v>
      </c>
      <c r="J6654">
        <v>11</v>
      </c>
      <c r="L6654" s="26" t="e">
        <f t="shared" si="389"/>
        <v>#VALUE!</v>
      </c>
    </row>
    <row r="6655" spans="1:12" x14ac:dyDescent="0.35">
      <c r="A6655">
        <f t="shared" si="390"/>
        <v>6654</v>
      </c>
      <c r="B6655" t="s">
        <v>112</v>
      </c>
      <c r="C6655" s="109" t="str">
        <f>IF(ISBLANK(K6655),IFERROR(VLOOKUP(I6655,FS_input_data!$C$458:$N$648,Export!J6655,FALSE),""),K6655)</f>
        <v/>
      </c>
      <c r="D6655" s="6"/>
      <c r="E6655" s="6"/>
      <c r="F6655" s="6"/>
      <c r="G6655" s="115" t="b">
        <f t="shared" si="392"/>
        <v>1</v>
      </c>
      <c r="H6655" s="6" t="s">
        <v>2189</v>
      </c>
      <c r="I6655" t="s">
        <v>1561</v>
      </c>
      <c r="J6655" t="s">
        <v>1561</v>
      </c>
      <c r="L6655">
        <f t="shared" si="389"/>
        <v>1</v>
      </c>
    </row>
    <row r="6656" spans="1:12" x14ac:dyDescent="0.35">
      <c r="A6656" s="9">
        <f t="shared" si="390"/>
        <v>6655</v>
      </c>
      <c r="B6656" t="s">
        <v>749</v>
      </c>
      <c r="C6656" s="109">
        <f>IF(ISBLANK(K6656),IFERROR(VLOOKUP(I6656,FS_input_data!$C$458:$N$648,Export!J6656,FALSE),""),K6656)</f>
        <v>14000</v>
      </c>
      <c r="D6656" s="6" t="b">
        <v>0</v>
      </c>
      <c r="E6656" s="6"/>
      <c r="F6656" s="6"/>
      <c r="G6656" s="115" t="b">
        <f t="shared" si="392"/>
        <v>1</v>
      </c>
      <c r="H6656" s="6" t="s">
        <v>2189</v>
      </c>
      <c r="I6656" t="s">
        <v>2062</v>
      </c>
      <c r="J6656">
        <v>12</v>
      </c>
      <c r="L6656" s="26" t="e">
        <f t="shared" si="389"/>
        <v>#VALUE!</v>
      </c>
    </row>
    <row r="6657" spans="1:12" x14ac:dyDescent="0.35">
      <c r="A6657">
        <f t="shared" si="390"/>
        <v>6656</v>
      </c>
      <c r="B6657" t="s">
        <v>750</v>
      </c>
      <c r="C6657" s="109" t="str">
        <f>IF(ISBLANK(K6657),IFERROR(VLOOKUP(I6657,FS_input_data!$C$458:$N$648,Export!J6657,FALSE),""),K6657)</f>
        <v/>
      </c>
      <c r="D6657" s="6"/>
      <c r="E6657" s="6"/>
      <c r="F6657" s="6"/>
      <c r="G6657" s="115" t="b">
        <f t="shared" si="392"/>
        <v>1</v>
      </c>
      <c r="H6657" s="6" t="s">
        <v>2189</v>
      </c>
      <c r="I6657" t="s">
        <v>1561</v>
      </c>
      <c r="J6657" t="s">
        <v>1561</v>
      </c>
      <c r="L6657">
        <f t="shared" si="389"/>
        <v>1</v>
      </c>
    </row>
    <row r="6658" spans="1:12" x14ac:dyDescent="0.35">
      <c r="A6658">
        <f t="shared" si="390"/>
        <v>6657</v>
      </c>
      <c r="B6658" t="s">
        <v>745</v>
      </c>
      <c r="C6658" s="109" t="str">
        <f>IF(ISBLANK(K6658),IFERROR(VLOOKUP(I6658,FS_input_data!$C$458:$N$648,Export!J6658,FALSE),""),K6658)</f>
        <v/>
      </c>
      <c r="D6658" s="6"/>
      <c r="E6658" s="6"/>
      <c r="F6658" s="6"/>
      <c r="G6658" s="115" t="b">
        <f t="shared" si="392"/>
        <v>1</v>
      </c>
      <c r="H6658" s="6" t="s">
        <v>2189</v>
      </c>
      <c r="I6658" t="s">
        <v>1561</v>
      </c>
      <c r="J6658" t="s">
        <v>1561</v>
      </c>
      <c r="L6658">
        <f t="shared" ref="L6658:L6721" si="393">FIND("/",B6658)</f>
        <v>1</v>
      </c>
    </row>
    <row r="6659" spans="1:12" x14ac:dyDescent="0.35">
      <c r="A6659">
        <f t="shared" ref="A6659:A6722" si="394">A6658+1</f>
        <v>6658</v>
      </c>
      <c r="B6659" t="s">
        <v>764</v>
      </c>
      <c r="C6659" s="109" t="str">
        <f>IF(ISBLANK(K6659),IFERROR(VLOOKUP(I6659,FS_input_data!$C$458:$N$648,Export!J6659,FALSE),""),K6659)</f>
        <v/>
      </c>
      <c r="D6659" s="6"/>
      <c r="E6659" s="6"/>
      <c r="F6659" s="6"/>
      <c r="G6659" s="115" t="b">
        <f>VLOOKUP(I6628,FS_input_noty,J6628,FALSE)=""</f>
        <v>0</v>
      </c>
      <c r="H6659" s="6" t="s">
        <v>2189</v>
      </c>
      <c r="I6659" t="s">
        <v>1561</v>
      </c>
      <c r="J6659" t="s">
        <v>1561</v>
      </c>
      <c r="L6659">
        <f t="shared" si="393"/>
        <v>1</v>
      </c>
    </row>
    <row r="6660" spans="1:12" x14ac:dyDescent="0.35">
      <c r="A6660">
        <f t="shared" si="394"/>
        <v>6659</v>
      </c>
      <c r="B6660" t="s">
        <v>765</v>
      </c>
      <c r="C6660" s="109" t="str">
        <f>IF(ISBLANK(K6660),IFERROR(VLOOKUP(I6660,FS_input_data!$C$458:$N$648,Export!J6660,FALSE),""),K6660)</f>
        <v/>
      </c>
      <c r="D6660" s="6"/>
      <c r="E6660" s="6"/>
      <c r="F6660" s="6"/>
      <c r="G6660" s="115" t="b">
        <f>VLOOKUP(I6628,FS_input_noty,J6628,FALSE)=""</f>
        <v>0</v>
      </c>
      <c r="H6660" s="6" t="s">
        <v>2189</v>
      </c>
      <c r="I6660" t="s">
        <v>1561</v>
      </c>
      <c r="J6660" t="s">
        <v>1561</v>
      </c>
      <c r="L6660">
        <f t="shared" si="393"/>
        <v>1</v>
      </c>
    </row>
    <row r="6661" spans="1:12" x14ac:dyDescent="0.35">
      <c r="A6661">
        <f t="shared" si="394"/>
        <v>6660</v>
      </c>
      <c r="B6661" t="s">
        <v>752</v>
      </c>
      <c r="C6661" s="109" t="str">
        <f>IF(ISBLANK(K6661),IFERROR(VLOOKUP(I6661,FS_input_data!$C$458:$N$648,Export!J6661,FALSE),""),K6661)</f>
        <v/>
      </c>
      <c r="D6661" s="6"/>
      <c r="E6661" s="6"/>
      <c r="F6661" s="6"/>
      <c r="G6661" s="115" t="b">
        <f>VLOOKUP(I6662,FS_input_noty,J6662,FALSE)=""</f>
        <v>0</v>
      </c>
      <c r="H6661" s="6" t="s">
        <v>2189</v>
      </c>
      <c r="I6661" t="s">
        <v>1561</v>
      </c>
      <c r="J6661" t="s">
        <v>1561</v>
      </c>
      <c r="L6661" s="26" t="e">
        <f t="shared" si="393"/>
        <v>#VALUE!</v>
      </c>
    </row>
    <row r="6662" spans="1:12" x14ac:dyDescent="0.35">
      <c r="A6662" s="9">
        <f t="shared" si="394"/>
        <v>6661</v>
      </c>
      <c r="B6662" t="s">
        <v>101</v>
      </c>
      <c r="C6662" s="109" t="str">
        <f>IF(ISBLANK(K6662),IFERROR(VLOOKUP(I6662,FS_input_data!$C$458:$N$648,Export!J6662,FALSE),""),K6662)</f>
        <v>OC104</v>
      </c>
      <c r="D6662" s="6" t="b">
        <v>1</v>
      </c>
      <c r="E6662" s="6"/>
      <c r="F6662" s="6"/>
      <c r="G6662" s="115" t="b">
        <f>VLOOKUP(I6662,FS_input_noty,J6662,FALSE)=""</f>
        <v>0</v>
      </c>
      <c r="H6662" s="6" t="s">
        <v>2189</v>
      </c>
      <c r="I6662" t="s">
        <v>2064</v>
      </c>
      <c r="J6662">
        <v>6</v>
      </c>
      <c r="L6662" s="26" t="e">
        <f t="shared" si="393"/>
        <v>#VALUE!</v>
      </c>
    </row>
    <row r="6663" spans="1:12" x14ac:dyDescent="0.35">
      <c r="A6663">
        <f t="shared" si="394"/>
        <v>6662</v>
      </c>
      <c r="B6663" t="s">
        <v>102</v>
      </c>
      <c r="C6663" s="109" t="str">
        <f>IF(ISBLANK(K6663),IFERROR(VLOOKUP(I6663,FS_input_data!$C$458:$N$648,Export!J6663,FALSE),""),K6663)</f>
        <v/>
      </c>
      <c r="D6663" s="6"/>
      <c r="E6663" s="6"/>
      <c r="F6663" s="6"/>
      <c r="G6663" s="115" t="b">
        <f>VLOOKUP(I6662,FS_input_noty,J6662,FALSE)=""</f>
        <v>0</v>
      </c>
      <c r="H6663" s="6" t="s">
        <v>2189</v>
      </c>
      <c r="I6663" t="s">
        <v>1561</v>
      </c>
      <c r="J6663" t="s">
        <v>1561</v>
      </c>
      <c r="L6663">
        <f t="shared" si="393"/>
        <v>1</v>
      </c>
    </row>
    <row r="6664" spans="1:12" x14ac:dyDescent="0.35">
      <c r="A6664">
        <f t="shared" si="394"/>
        <v>6663</v>
      </c>
      <c r="B6664" t="s">
        <v>753</v>
      </c>
      <c r="C6664" s="109" t="str">
        <f>IF(ISBLANK(K6664),IFERROR(VLOOKUP(I6664,FS_input_data!$C$458:$N$648,Export!J6664,FALSE),""),K6664)</f>
        <v/>
      </c>
      <c r="D6664" s="6"/>
      <c r="E6664" s="6"/>
      <c r="F6664" s="6"/>
      <c r="G6664" s="115" t="b">
        <f>VLOOKUP(I6662,FS_input_noty,J6662,FALSE)=""</f>
        <v>0</v>
      </c>
      <c r="H6664" s="6" t="s">
        <v>2189</v>
      </c>
      <c r="I6664" t="s">
        <v>1561</v>
      </c>
      <c r="J6664" t="s">
        <v>1561</v>
      </c>
      <c r="L6664" s="26" t="e">
        <f t="shared" si="393"/>
        <v>#VALUE!</v>
      </c>
    </row>
    <row r="6665" spans="1:12" x14ac:dyDescent="0.35">
      <c r="A6665">
        <f t="shared" si="394"/>
        <v>6664</v>
      </c>
      <c r="B6665" t="s">
        <v>742</v>
      </c>
      <c r="C6665" s="109" t="str">
        <f>IF(ISBLANK(K6665),IFERROR(VLOOKUP(I6665,FS_input_data!$C$458:$N$648,Export!J6665,FALSE),""),K6665)</f>
        <v/>
      </c>
      <c r="D6665" s="6"/>
      <c r="E6665" s="6"/>
      <c r="F6665" s="6"/>
      <c r="G6665" s="115" t="b">
        <f>VLOOKUP(I6662,FS_input_noty,J6662,FALSE)=""</f>
        <v>0</v>
      </c>
      <c r="H6665" s="6" t="s">
        <v>2189</v>
      </c>
      <c r="I6665" t="s">
        <v>1561</v>
      </c>
      <c r="J6665" t="s">
        <v>1561</v>
      </c>
      <c r="L6665" s="26" t="e">
        <f t="shared" si="393"/>
        <v>#VALUE!</v>
      </c>
    </row>
    <row r="6666" spans="1:12" x14ac:dyDescent="0.35">
      <c r="A6666">
        <f t="shared" si="394"/>
        <v>6665</v>
      </c>
      <c r="B6666" t="s">
        <v>748</v>
      </c>
      <c r="C6666" s="109" t="str">
        <f>IF(ISBLANK(K6666),IFERROR(VLOOKUP(I6666,FS_input_data!$C$458:$N$648,Export!J6666,FALSE),""),K6666)</f>
        <v/>
      </c>
      <c r="D6666" s="6"/>
      <c r="E6666" s="6"/>
      <c r="F6666" s="6"/>
      <c r="G6666" s="115" t="b">
        <f>VLOOKUP(I6662,FS_input_noty,J6662,FALSE)=""</f>
        <v>0</v>
      </c>
      <c r="H6666" s="6" t="s">
        <v>2189</v>
      </c>
      <c r="I6666" t="s">
        <v>1561</v>
      </c>
      <c r="J6666" t="s">
        <v>1561</v>
      </c>
      <c r="L6666" s="26" t="e">
        <f t="shared" si="393"/>
        <v>#VALUE!</v>
      </c>
    </row>
    <row r="6667" spans="1:12" x14ac:dyDescent="0.35">
      <c r="A6667" s="9">
        <f t="shared" si="394"/>
        <v>6666</v>
      </c>
      <c r="B6667" t="s">
        <v>109</v>
      </c>
      <c r="C6667" s="109">
        <f>IF(ISBLANK(K6667),IFERROR(VLOOKUP(I6667,FS_input_data!$C$458:$N$648,Export!J6667,FALSE),""),K6667)</f>
        <v>29000</v>
      </c>
      <c r="D6667" s="6" t="b">
        <v>1</v>
      </c>
      <c r="E6667" s="6"/>
      <c r="F6667" s="6"/>
      <c r="G6667" s="115" t="b">
        <f>VLOOKUP(I6662,FS_input_noty,J6662,FALSE)=""</f>
        <v>0</v>
      </c>
      <c r="H6667" s="6" t="s">
        <v>2189</v>
      </c>
      <c r="I6667" t="s">
        <v>2064</v>
      </c>
      <c r="J6667">
        <v>7</v>
      </c>
      <c r="L6667" s="26" t="e">
        <f t="shared" si="393"/>
        <v>#VALUE!</v>
      </c>
    </row>
    <row r="6668" spans="1:12" x14ac:dyDescent="0.35">
      <c r="A6668">
        <f t="shared" si="394"/>
        <v>6667</v>
      </c>
      <c r="B6668" t="s">
        <v>110</v>
      </c>
      <c r="C6668" s="109" t="str">
        <f>IF(ISBLANK(K6668),IFERROR(VLOOKUP(I6668,FS_input_data!$C$458:$N$648,Export!J6668,FALSE),""),K6668)</f>
        <v/>
      </c>
      <c r="D6668" s="6"/>
      <c r="E6668" s="6"/>
      <c r="F6668" s="6"/>
      <c r="G6668" s="115" t="b">
        <f>VLOOKUP(I6662,FS_input_noty,J6662,FALSE)=""</f>
        <v>0</v>
      </c>
      <c r="H6668" s="6" t="s">
        <v>2189</v>
      </c>
      <c r="I6668" t="s">
        <v>1561</v>
      </c>
      <c r="J6668" t="s">
        <v>1561</v>
      </c>
      <c r="L6668">
        <f t="shared" si="393"/>
        <v>1</v>
      </c>
    </row>
    <row r="6669" spans="1:12" x14ac:dyDescent="0.35">
      <c r="A6669" s="9">
        <f t="shared" si="394"/>
        <v>6668</v>
      </c>
      <c r="B6669" t="s">
        <v>111</v>
      </c>
      <c r="C6669" s="109">
        <f>IF(ISBLANK(K6669),IFERROR(VLOOKUP(I6669,FS_input_data!$C$458:$N$648,Export!J6669,FALSE),""),K6669)</f>
        <v>14500</v>
      </c>
      <c r="D6669" s="6" t="b">
        <v>0</v>
      </c>
      <c r="E6669" s="6"/>
      <c r="F6669" s="6"/>
      <c r="G6669" s="115" t="b">
        <f>VLOOKUP(I6662,FS_input_noty,J6662,TRUE)=""</f>
        <v>0</v>
      </c>
      <c r="H6669" s="6" t="s">
        <v>2189</v>
      </c>
      <c r="I6669" t="s">
        <v>2064</v>
      </c>
      <c r="J6669">
        <v>8</v>
      </c>
      <c r="L6669" s="26" t="e">
        <f t="shared" si="393"/>
        <v>#VALUE!</v>
      </c>
    </row>
    <row r="6670" spans="1:12" x14ac:dyDescent="0.35">
      <c r="A6670">
        <f t="shared" si="394"/>
        <v>6669</v>
      </c>
      <c r="B6670" t="s">
        <v>112</v>
      </c>
      <c r="C6670" s="109" t="str">
        <f>IF(ISBLANK(K6670),IFERROR(VLOOKUP(I6670,FS_input_data!$C$458:$N$648,Export!J6670,FALSE),""),K6670)</f>
        <v/>
      </c>
      <c r="D6670" s="6"/>
      <c r="E6670" s="6"/>
      <c r="F6670" s="6"/>
      <c r="G6670" s="115" t="b">
        <f>VLOOKUP(I6662,FS_input_noty,J6662,FALSE)=""</f>
        <v>0</v>
      </c>
      <c r="H6670" s="6" t="s">
        <v>2189</v>
      </c>
      <c r="I6670" t="s">
        <v>1561</v>
      </c>
      <c r="J6670" t="s">
        <v>1561</v>
      </c>
      <c r="L6670">
        <f t="shared" si="393"/>
        <v>1</v>
      </c>
    </row>
    <row r="6671" spans="1:12" x14ac:dyDescent="0.35">
      <c r="A6671" s="9">
        <f t="shared" si="394"/>
        <v>6670</v>
      </c>
      <c r="B6671" t="s">
        <v>749</v>
      </c>
      <c r="C6671" s="109">
        <f>IF(ISBLANK(K6671),IFERROR(VLOOKUP(I6671,FS_input_data!$C$458:$N$648,Export!J6671,FALSE),""),K6671)</f>
        <v>14500</v>
      </c>
      <c r="D6671" s="6" t="b">
        <v>0</v>
      </c>
      <c r="E6671" s="6"/>
      <c r="F6671" s="6"/>
      <c r="G6671" s="115" t="b">
        <f>VLOOKUP(I6662,FS_input_noty,J6662,FALSE)=""</f>
        <v>0</v>
      </c>
      <c r="H6671" s="6" t="s">
        <v>2189</v>
      </c>
      <c r="I6671" t="s">
        <v>2064</v>
      </c>
      <c r="J6671">
        <v>9</v>
      </c>
      <c r="L6671" s="26" t="e">
        <f t="shared" si="393"/>
        <v>#VALUE!</v>
      </c>
    </row>
    <row r="6672" spans="1:12" x14ac:dyDescent="0.35">
      <c r="A6672">
        <f t="shared" si="394"/>
        <v>6671</v>
      </c>
      <c r="B6672" t="s">
        <v>750</v>
      </c>
      <c r="C6672" s="109" t="str">
        <f>IF(ISBLANK(K6672),IFERROR(VLOOKUP(I6672,FS_input_data!$C$458:$N$648,Export!J6672,FALSE),""),K6672)</f>
        <v/>
      </c>
      <c r="D6672" s="6"/>
      <c r="E6672" s="6"/>
      <c r="F6672" s="6"/>
      <c r="G6672" s="115" t="b">
        <f>VLOOKUP(I6662,FS_input_noty,J6662,FALSE)=""</f>
        <v>0</v>
      </c>
      <c r="H6672" s="6" t="s">
        <v>2189</v>
      </c>
      <c r="I6672" t="s">
        <v>1561</v>
      </c>
      <c r="J6672" t="s">
        <v>1561</v>
      </c>
      <c r="L6672">
        <f t="shared" si="393"/>
        <v>1</v>
      </c>
    </row>
    <row r="6673" spans="1:12" x14ac:dyDescent="0.35">
      <c r="A6673">
        <f t="shared" si="394"/>
        <v>6672</v>
      </c>
      <c r="B6673" t="s">
        <v>751</v>
      </c>
      <c r="C6673" s="109" t="str">
        <f>IF(ISBLANK(K6673),IFERROR(VLOOKUP(I6673,FS_input_data!$C$458:$N$648,Export!J6673,FALSE),""),K6673)</f>
        <v/>
      </c>
      <c r="D6673" s="6"/>
      <c r="E6673" s="6"/>
      <c r="F6673" s="6"/>
      <c r="G6673" s="115" t="b">
        <f>VLOOKUP(I6662,FS_input_noty,J6662,FALSE)=""</f>
        <v>0</v>
      </c>
      <c r="H6673" s="6" t="s">
        <v>2189</v>
      </c>
      <c r="I6673" t="s">
        <v>1561</v>
      </c>
      <c r="J6673" t="s">
        <v>1561</v>
      </c>
      <c r="L6673">
        <f t="shared" si="393"/>
        <v>1</v>
      </c>
    </row>
    <row r="6674" spans="1:12" x14ac:dyDescent="0.35">
      <c r="A6674">
        <f t="shared" si="394"/>
        <v>6673</v>
      </c>
      <c r="B6674" t="s">
        <v>754</v>
      </c>
      <c r="C6674" s="109" t="str">
        <f>IF(ISBLANK(K6674),IFERROR(VLOOKUP(I6674,FS_input_data!$C$458:$N$648,Export!J6674,FALSE),""),K6674)</f>
        <v/>
      </c>
      <c r="D6674" s="6"/>
      <c r="E6674" s="6"/>
      <c r="F6674" s="6"/>
      <c r="G6674" s="115" t="b">
        <f>VLOOKUP(I6662,FS_input_noty,J6662,FALSE)=""</f>
        <v>0</v>
      </c>
      <c r="H6674" s="6" t="s">
        <v>2189</v>
      </c>
      <c r="I6674" t="s">
        <v>1561</v>
      </c>
      <c r="J6674" t="s">
        <v>1561</v>
      </c>
      <c r="L6674" s="26" t="e">
        <f t="shared" si="393"/>
        <v>#VALUE!</v>
      </c>
    </row>
    <row r="6675" spans="1:12" x14ac:dyDescent="0.35">
      <c r="A6675" s="9">
        <f t="shared" si="394"/>
        <v>6674</v>
      </c>
      <c r="B6675" t="s">
        <v>755</v>
      </c>
      <c r="C6675" s="109">
        <f>IF(ISBLANK(K6675),IFERROR(VLOOKUP(I6675,FS_input_data!$C$458:$N$648,Export!J6675,FALSE),""),K6675)</f>
        <v>127</v>
      </c>
      <c r="D6675" s="6" t="b">
        <v>1</v>
      </c>
      <c r="E6675" s="6"/>
      <c r="F6675" s="6"/>
      <c r="G6675" s="115" t="b">
        <f>VLOOKUP(I6662,FS_input_noty,J6662,FALSE)=""</f>
        <v>0</v>
      </c>
      <c r="H6675" s="6" t="s">
        <v>2189</v>
      </c>
      <c r="I6675" t="s">
        <v>2064</v>
      </c>
      <c r="J6675">
        <v>2</v>
      </c>
      <c r="L6675" s="26" t="e">
        <f t="shared" si="393"/>
        <v>#VALUE!</v>
      </c>
    </row>
    <row r="6676" spans="1:12" x14ac:dyDescent="0.35">
      <c r="A6676">
        <f t="shared" si="394"/>
        <v>6675</v>
      </c>
      <c r="B6676" t="s">
        <v>756</v>
      </c>
      <c r="C6676" s="109" t="str">
        <f>IF(ISBLANK(K6676),IFERROR(VLOOKUP(I6676,FS_input_data!$C$458:$N$648,Export!J6676,FALSE),""),K6676)</f>
        <v/>
      </c>
      <c r="D6676" s="6"/>
      <c r="E6676" s="6"/>
      <c r="F6676" s="6"/>
      <c r="G6676" s="115" t="b">
        <f>VLOOKUP(I6662,FS_input_noty,J6662,FALSE)=""</f>
        <v>0</v>
      </c>
      <c r="H6676" s="6" t="s">
        <v>2189</v>
      </c>
      <c r="I6676" t="s">
        <v>1561</v>
      </c>
      <c r="J6676" t="s">
        <v>1561</v>
      </c>
      <c r="L6676">
        <f t="shared" si="393"/>
        <v>1</v>
      </c>
    </row>
    <row r="6677" spans="1:12" x14ac:dyDescent="0.35">
      <c r="A6677" s="9">
        <f t="shared" si="394"/>
        <v>6676</v>
      </c>
      <c r="B6677" t="s">
        <v>757</v>
      </c>
      <c r="C6677" s="109">
        <f>IF(ISBLANK(K6677),IFERROR(VLOOKUP(I6677,FS_input_data!$C$458:$N$648,Export!J6677,FALSE),""),K6677)</f>
        <v>227</v>
      </c>
      <c r="D6677" s="6" t="b">
        <v>0</v>
      </c>
      <c r="E6677" s="6"/>
      <c r="F6677" s="6"/>
      <c r="G6677" s="115" t="b">
        <f>VLOOKUP(I6662,FS_input_noty,J6662,FALSE)=""</f>
        <v>0</v>
      </c>
      <c r="H6677" s="6" t="s">
        <v>2189</v>
      </c>
      <c r="I6677" t="s">
        <v>2064</v>
      </c>
      <c r="J6677">
        <v>3</v>
      </c>
      <c r="L6677" s="26" t="e">
        <f t="shared" si="393"/>
        <v>#VALUE!</v>
      </c>
    </row>
    <row r="6678" spans="1:12" x14ac:dyDescent="0.35">
      <c r="A6678">
        <f t="shared" si="394"/>
        <v>6677</v>
      </c>
      <c r="B6678" t="s">
        <v>758</v>
      </c>
      <c r="C6678" s="109" t="str">
        <f>IF(ISBLANK(K6678),IFERROR(VLOOKUP(I6678,FS_input_data!$C$458:$N$648,Export!J6678,FALSE),""),K6678)</f>
        <v/>
      </c>
      <c r="D6678" s="6"/>
      <c r="E6678" s="6"/>
      <c r="F6678" s="6"/>
      <c r="G6678" s="115" t="b">
        <f>VLOOKUP(I6662,FS_input_noty,J6662,FALSE)=""</f>
        <v>0</v>
      </c>
      <c r="H6678" s="6" t="s">
        <v>2189</v>
      </c>
      <c r="I6678" t="s">
        <v>1561</v>
      </c>
      <c r="J6678" t="s">
        <v>1561</v>
      </c>
      <c r="L6678">
        <f t="shared" si="393"/>
        <v>1</v>
      </c>
    </row>
    <row r="6679" spans="1:12" x14ac:dyDescent="0.35">
      <c r="A6679" s="9">
        <f t="shared" si="394"/>
        <v>6678</v>
      </c>
      <c r="B6679" t="s">
        <v>759</v>
      </c>
      <c r="C6679" s="109">
        <f>IF(ISBLANK(K6679),IFERROR(VLOOKUP(I6679,FS_input_data!$C$458:$N$648,Export!J6679,FALSE),""),K6679)</f>
        <v>327</v>
      </c>
      <c r="D6679" s="6" t="b">
        <v>0</v>
      </c>
      <c r="E6679" s="6"/>
      <c r="F6679" s="6"/>
      <c r="G6679" s="115" t="b">
        <f>VLOOKUP(I6662,FS_input_noty,J6662,FALSE)=""</f>
        <v>0</v>
      </c>
      <c r="H6679" s="6" t="s">
        <v>2189</v>
      </c>
      <c r="I6679" t="s">
        <v>2064</v>
      </c>
      <c r="J6679">
        <v>4</v>
      </c>
      <c r="L6679" s="26" t="e">
        <f t="shared" si="393"/>
        <v>#VALUE!</v>
      </c>
    </row>
    <row r="6680" spans="1:12" x14ac:dyDescent="0.35">
      <c r="A6680">
        <f t="shared" si="394"/>
        <v>6679</v>
      </c>
      <c r="B6680" t="s">
        <v>760</v>
      </c>
      <c r="C6680" s="109" t="str">
        <f>IF(ISBLANK(K6680),IFERROR(VLOOKUP(I6680,FS_input_data!$C$458:$N$648,Export!J6680,FALSE),""),K6680)</f>
        <v/>
      </c>
      <c r="D6680" s="6"/>
      <c r="E6680" s="6"/>
      <c r="F6680" s="6"/>
      <c r="G6680" s="115" t="b">
        <f>VLOOKUP(I6662,FS_input_noty,J6662,FALSE)=""</f>
        <v>0</v>
      </c>
      <c r="H6680" s="6" t="s">
        <v>2189</v>
      </c>
      <c r="I6680" t="s">
        <v>1561</v>
      </c>
      <c r="J6680" t="s">
        <v>1561</v>
      </c>
      <c r="L6680">
        <f t="shared" si="393"/>
        <v>1</v>
      </c>
    </row>
    <row r="6681" spans="1:12" x14ac:dyDescent="0.35">
      <c r="A6681" s="9">
        <f t="shared" si="394"/>
        <v>6680</v>
      </c>
      <c r="B6681" t="s">
        <v>761</v>
      </c>
      <c r="C6681" s="109" t="str">
        <f>IF(ISBLANK(K6681),IFERROR(VLOOKUP(I6681,FS_input_data!$C$458:$N$648,Export!J6681,FALSE),""),K6681)</f>
        <v>a</v>
      </c>
      <c r="D6681" s="6" t="b">
        <v>0</v>
      </c>
      <c r="E6681" s="6"/>
      <c r="F6681" s="6"/>
      <c r="G6681" s="115" t="b">
        <f>VLOOKUP(I6662,FS_input_noty,J6662,FALSE)=""</f>
        <v>0</v>
      </c>
      <c r="H6681" s="6" t="s">
        <v>2189</v>
      </c>
      <c r="I6681" t="s">
        <v>2064</v>
      </c>
      <c r="J6681">
        <v>5</v>
      </c>
      <c r="L6681" s="26" t="e">
        <f t="shared" si="393"/>
        <v>#VALUE!</v>
      </c>
    </row>
    <row r="6682" spans="1:12" x14ac:dyDescent="0.35">
      <c r="A6682">
        <f t="shared" si="394"/>
        <v>6681</v>
      </c>
      <c r="B6682" t="s">
        <v>762</v>
      </c>
      <c r="C6682" s="109" t="str">
        <f>IF(ISBLANK(K6682),IFERROR(VLOOKUP(I6682,FS_input_data!$C$458:$N$648,Export!J6682,FALSE),""),K6682)</f>
        <v/>
      </c>
      <c r="D6682" s="6"/>
      <c r="E6682" s="6"/>
      <c r="F6682" s="6"/>
      <c r="G6682" s="115" t="b">
        <f>VLOOKUP(I6662,FS_input_noty,J6662,FALSE)=""</f>
        <v>0</v>
      </c>
      <c r="H6682" s="6" t="s">
        <v>2189</v>
      </c>
      <c r="I6682" t="s">
        <v>1561</v>
      </c>
      <c r="J6682" t="s">
        <v>1561</v>
      </c>
      <c r="L6682">
        <f t="shared" si="393"/>
        <v>1</v>
      </c>
    </row>
    <row r="6683" spans="1:12" x14ac:dyDescent="0.35">
      <c r="A6683">
        <f t="shared" si="394"/>
        <v>6682</v>
      </c>
      <c r="B6683" t="s">
        <v>763</v>
      </c>
      <c r="C6683" s="109" t="str">
        <f>IF(ISBLANK(K6683),IFERROR(VLOOKUP(I6683,FS_input_data!$C$458:$N$648,Export!J6683,FALSE),""),K6683)</f>
        <v/>
      </c>
      <c r="D6683" s="6"/>
      <c r="E6683" s="6"/>
      <c r="F6683" s="6"/>
      <c r="G6683" s="115" t="b">
        <f>VLOOKUP(I6662,FS_input_noty,J6662,FALSE)=""</f>
        <v>0</v>
      </c>
      <c r="H6683" s="6" t="s">
        <v>2189</v>
      </c>
      <c r="I6683" t="s">
        <v>1561</v>
      </c>
      <c r="J6683" t="s">
        <v>1561</v>
      </c>
      <c r="L6683">
        <f t="shared" si="393"/>
        <v>1</v>
      </c>
    </row>
    <row r="6684" spans="1:12" x14ac:dyDescent="0.35">
      <c r="A6684">
        <f t="shared" si="394"/>
        <v>6683</v>
      </c>
      <c r="B6684" t="s">
        <v>743</v>
      </c>
      <c r="C6684" s="109" t="str">
        <f>IF(ISBLANK(K6684),IFERROR(VLOOKUP(I6684,FS_input_data!$C$458:$N$648,Export!J6684,FALSE),""),K6684)</f>
        <v/>
      </c>
      <c r="D6684" s="6"/>
      <c r="E6684" s="6"/>
      <c r="F6684" s="6"/>
      <c r="G6684" s="115" t="b">
        <f>VLOOKUP(I6662,FS_input_noty,J6662,FALSE)=""</f>
        <v>0</v>
      </c>
      <c r="H6684" s="6" t="s">
        <v>2189</v>
      </c>
      <c r="I6684" t="s">
        <v>1561</v>
      </c>
      <c r="J6684" t="s">
        <v>1561</v>
      </c>
      <c r="L6684">
        <f t="shared" si="393"/>
        <v>1</v>
      </c>
    </row>
    <row r="6685" spans="1:12" x14ac:dyDescent="0.35">
      <c r="A6685">
        <f t="shared" si="394"/>
        <v>6684</v>
      </c>
      <c r="B6685" t="s">
        <v>744</v>
      </c>
      <c r="C6685" s="109" t="str">
        <f>IF(ISBLANK(K6685),IFERROR(VLOOKUP(I6685,FS_input_data!$C$458:$N$648,Export!J6685,FALSE),""),K6685)</f>
        <v/>
      </c>
      <c r="D6685" s="6"/>
      <c r="E6685" s="6"/>
      <c r="F6685" s="6"/>
      <c r="G6685" s="115" t="b">
        <f t="shared" ref="G6685:G6692" si="395">RP_tax</f>
        <v>1</v>
      </c>
      <c r="H6685" s="6" t="s">
        <v>2189</v>
      </c>
      <c r="I6685" t="s">
        <v>1561</v>
      </c>
      <c r="J6685" t="s">
        <v>1561</v>
      </c>
      <c r="L6685" s="26" t="e">
        <f t="shared" si="393"/>
        <v>#VALUE!</v>
      </c>
    </row>
    <row r="6686" spans="1:12" x14ac:dyDescent="0.35">
      <c r="A6686" s="9">
        <f t="shared" si="394"/>
        <v>6685</v>
      </c>
      <c r="B6686" t="s">
        <v>109</v>
      </c>
      <c r="C6686" s="109">
        <f>IF(ISBLANK(K6686),IFERROR(VLOOKUP(I6686,FS_input_data!$C$458:$N$648,Export!J6686,FALSE),""),K6686)</f>
        <v>29000</v>
      </c>
      <c r="D6686" s="6" t="b">
        <v>1</v>
      </c>
      <c r="E6686" s="6"/>
      <c r="F6686" s="6"/>
      <c r="G6686" s="115" t="b">
        <f t="shared" si="395"/>
        <v>1</v>
      </c>
      <c r="H6686" s="6" t="s">
        <v>2189</v>
      </c>
      <c r="I6686" t="s">
        <v>2064</v>
      </c>
      <c r="J6686">
        <v>10</v>
      </c>
      <c r="L6686" s="26" t="e">
        <f t="shared" si="393"/>
        <v>#VALUE!</v>
      </c>
    </row>
    <row r="6687" spans="1:12" x14ac:dyDescent="0.35">
      <c r="A6687">
        <f t="shared" si="394"/>
        <v>6686</v>
      </c>
      <c r="B6687" t="s">
        <v>110</v>
      </c>
      <c r="C6687" s="109" t="str">
        <f>IF(ISBLANK(K6687),IFERROR(VLOOKUP(I6687,FS_input_data!$C$458:$N$648,Export!J6687,FALSE),""),K6687)</f>
        <v/>
      </c>
      <c r="D6687" s="6"/>
      <c r="E6687" s="6"/>
      <c r="F6687" s="6"/>
      <c r="G6687" s="115" t="b">
        <f t="shared" si="395"/>
        <v>1</v>
      </c>
      <c r="H6687" s="6" t="s">
        <v>2189</v>
      </c>
      <c r="I6687" t="s">
        <v>1561</v>
      </c>
      <c r="J6687" t="s">
        <v>1561</v>
      </c>
      <c r="L6687">
        <f t="shared" si="393"/>
        <v>1</v>
      </c>
    </row>
    <row r="6688" spans="1:12" x14ac:dyDescent="0.35">
      <c r="A6688" s="9">
        <f t="shared" si="394"/>
        <v>6687</v>
      </c>
      <c r="B6688" t="s">
        <v>111</v>
      </c>
      <c r="C6688" s="109">
        <f>IF(ISBLANK(K6688),IFERROR(VLOOKUP(I6688,FS_input_data!$C$458:$N$648,Export!J6688,FALSE),""),K6688)</f>
        <v>14500</v>
      </c>
      <c r="D6688" s="6" t="b">
        <v>0</v>
      </c>
      <c r="E6688" s="6"/>
      <c r="F6688" s="6"/>
      <c r="G6688" s="115" t="b">
        <f t="shared" si="395"/>
        <v>1</v>
      </c>
      <c r="H6688" s="6" t="s">
        <v>2189</v>
      </c>
      <c r="I6688" t="s">
        <v>2064</v>
      </c>
      <c r="J6688">
        <v>11</v>
      </c>
      <c r="L6688" s="26" t="e">
        <f t="shared" si="393"/>
        <v>#VALUE!</v>
      </c>
    </row>
    <row r="6689" spans="1:12" x14ac:dyDescent="0.35">
      <c r="A6689">
        <f t="shared" si="394"/>
        <v>6688</v>
      </c>
      <c r="B6689" t="s">
        <v>112</v>
      </c>
      <c r="C6689" s="109" t="str">
        <f>IF(ISBLANK(K6689),IFERROR(VLOOKUP(I6689,FS_input_data!$C$458:$N$648,Export!J6689,FALSE),""),K6689)</f>
        <v/>
      </c>
      <c r="D6689" s="6"/>
      <c r="E6689" s="6"/>
      <c r="F6689" s="6"/>
      <c r="G6689" s="115" t="b">
        <f t="shared" si="395"/>
        <v>1</v>
      </c>
      <c r="H6689" s="6" t="s">
        <v>2189</v>
      </c>
      <c r="I6689" t="s">
        <v>1561</v>
      </c>
      <c r="J6689" t="s">
        <v>1561</v>
      </c>
      <c r="L6689">
        <f t="shared" si="393"/>
        <v>1</v>
      </c>
    </row>
    <row r="6690" spans="1:12" x14ac:dyDescent="0.35">
      <c r="A6690" s="9">
        <f t="shared" si="394"/>
        <v>6689</v>
      </c>
      <c r="B6690" t="s">
        <v>749</v>
      </c>
      <c r="C6690" s="109">
        <f>IF(ISBLANK(K6690),IFERROR(VLOOKUP(I6690,FS_input_data!$C$458:$N$648,Export!J6690,FALSE),""),K6690)</f>
        <v>14500</v>
      </c>
      <c r="D6690" s="6" t="b">
        <v>0</v>
      </c>
      <c r="E6690" s="6"/>
      <c r="F6690" s="6"/>
      <c r="G6690" s="115" t="b">
        <f t="shared" si="395"/>
        <v>1</v>
      </c>
      <c r="H6690" s="6" t="s">
        <v>2189</v>
      </c>
      <c r="I6690" t="s">
        <v>2064</v>
      </c>
      <c r="J6690">
        <v>12</v>
      </c>
      <c r="L6690" s="26" t="e">
        <f t="shared" si="393"/>
        <v>#VALUE!</v>
      </c>
    </row>
    <row r="6691" spans="1:12" x14ac:dyDescent="0.35">
      <c r="A6691">
        <f t="shared" si="394"/>
        <v>6690</v>
      </c>
      <c r="B6691" t="s">
        <v>750</v>
      </c>
      <c r="C6691" s="109" t="str">
        <f>IF(ISBLANK(K6691),IFERROR(VLOOKUP(I6691,FS_input_data!$C$458:$N$648,Export!J6691,FALSE),""),K6691)</f>
        <v/>
      </c>
      <c r="D6691" s="6"/>
      <c r="E6691" s="6"/>
      <c r="F6691" s="6"/>
      <c r="G6691" s="115" t="b">
        <f t="shared" si="395"/>
        <v>1</v>
      </c>
      <c r="H6691" s="6" t="s">
        <v>2189</v>
      </c>
      <c r="I6691" t="s">
        <v>1561</v>
      </c>
      <c r="J6691" t="s">
        <v>1561</v>
      </c>
      <c r="L6691">
        <f t="shared" si="393"/>
        <v>1</v>
      </c>
    </row>
    <row r="6692" spans="1:12" x14ac:dyDescent="0.35">
      <c r="A6692">
        <f t="shared" si="394"/>
        <v>6691</v>
      </c>
      <c r="B6692" t="s">
        <v>745</v>
      </c>
      <c r="C6692" s="109" t="str">
        <f>IF(ISBLANK(K6692),IFERROR(VLOOKUP(I6692,FS_input_data!$C$458:$N$648,Export!J6692,FALSE),""),K6692)</f>
        <v/>
      </c>
      <c r="D6692" s="6"/>
      <c r="E6692" s="6"/>
      <c r="F6692" s="6"/>
      <c r="G6692" s="115" t="b">
        <f t="shared" si="395"/>
        <v>1</v>
      </c>
      <c r="H6692" s="6" t="s">
        <v>2189</v>
      </c>
      <c r="I6692" t="s">
        <v>1561</v>
      </c>
      <c r="J6692" t="s">
        <v>1561</v>
      </c>
      <c r="L6692">
        <f t="shared" si="393"/>
        <v>1</v>
      </c>
    </row>
    <row r="6693" spans="1:12" x14ac:dyDescent="0.35">
      <c r="A6693">
        <f t="shared" si="394"/>
        <v>6692</v>
      </c>
      <c r="B6693" t="s">
        <v>764</v>
      </c>
      <c r="C6693" s="109" t="str">
        <f>IF(ISBLANK(K6693),IFERROR(VLOOKUP(I6693,FS_input_data!$C$458:$N$648,Export!J6693,FALSE),""),K6693)</f>
        <v/>
      </c>
      <c r="D6693" s="6"/>
      <c r="E6693" s="6"/>
      <c r="F6693" s="6"/>
      <c r="G6693" s="115" t="b">
        <f>VLOOKUP(I6662,FS_input_noty,J6662,FALSE)=""</f>
        <v>0</v>
      </c>
      <c r="H6693" s="6" t="s">
        <v>2189</v>
      </c>
      <c r="I6693" t="s">
        <v>1561</v>
      </c>
      <c r="J6693" t="s">
        <v>1561</v>
      </c>
      <c r="L6693">
        <f t="shared" si="393"/>
        <v>1</v>
      </c>
    </row>
    <row r="6694" spans="1:12" x14ac:dyDescent="0.35">
      <c r="A6694">
        <f t="shared" si="394"/>
        <v>6693</v>
      </c>
      <c r="B6694" t="s">
        <v>765</v>
      </c>
      <c r="C6694" s="109" t="str">
        <f>IF(ISBLANK(K6694),IFERROR(VLOOKUP(I6694,FS_input_data!$C$458:$N$648,Export!J6694,FALSE),""),K6694)</f>
        <v/>
      </c>
      <c r="D6694" s="6"/>
      <c r="E6694" s="6"/>
      <c r="F6694" s="6"/>
      <c r="G6694" s="115" t="b">
        <f>VLOOKUP(I6662,FS_input_noty,J6662,FALSE)=""</f>
        <v>0</v>
      </c>
      <c r="H6694" s="6" t="s">
        <v>2189</v>
      </c>
      <c r="I6694" t="s">
        <v>1561</v>
      </c>
      <c r="J6694" t="s">
        <v>1561</v>
      </c>
      <c r="L6694">
        <f t="shared" si="393"/>
        <v>1</v>
      </c>
    </row>
    <row r="6695" spans="1:12" x14ac:dyDescent="0.35">
      <c r="A6695">
        <f t="shared" si="394"/>
        <v>6694</v>
      </c>
      <c r="B6695" t="s">
        <v>752</v>
      </c>
      <c r="C6695" s="109" t="str">
        <f>IF(ISBLANK(K6695),IFERROR(VLOOKUP(I6695,FS_input_data!$C$458:$N$648,Export!J6695,FALSE),""),K6695)</f>
        <v/>
      </c>
      <c r="D6695" s="6"/>
      <c r="E6695" s="6"/>
      <c r="F6695" s="6"/>
      <c r="G6695" s="115" t="b">
        <f>VLOOKUP(I6696,FS_input_noty,J6696,FALSE)=""</f>
        <v>0</v>
      </c>
      <c r="H6695" s="6" t="s">
        <v>2189</v>
      </c>
      <c r="I6695" t="s">
        <v>1561</v>
      </c>
      <c r="J6695" t="s">
        <v>1561</v>
      </c>
      <c r="L6695" s="26" t="e">
        <f t="shared" si="393"/>
        <v>#VALUE!</v>
      </c>
    </row>
    <row r="6696" spans="1:12" x14ac:dyDescent="0.35">
      <c r="A6696" s="9">
        <f t="shared" si="394"/>
        <v>6695</v>
      </c>
      <c r="B6696" t="s">
        <v>101</v>
      </c>
      <c r="C6696" s="109" t="str">
        <f>IF(ISBLANK(K6696),IFERROR(VLOOKUP(I6696,FS_input_data!$C$458:$N$648,Export!J6696,FALSE),""),K6696)</f>
        <v>OC105</v>
      </c>
      <c r="D6696" s="6" t="b">
        <v>1</v>
      </c>
      <c r="E6696" s="6"/>
      <c r="F6696" s="6"/>
      <c r="G6696" s="115" t="b">
        <f>VLOOKUP(I6696,FS_input_noty,J6696,FALSE)=""</f>
        <v>0</v>
      </c>
      <c r="H6696" s="6" t="s">
        <v>2189</v>
      </c>
      <c r="I6696" t="s">
        <v>2066</v>
      </c>
      <c r="J6696">
        <v>6</v>
      </c>
      <c r="L6696" s="26" t="e">
        <f t="shared" si="393"/>
        <v>#VALUE!</v>
      </c>
    </row>
    <row r="6697" spans="1:12" x14ac:dyDescent="0.35">
      <c r="A6697">
        <f t="shared" si="394"/>
        <v>6696</v>
      </c>
      <c r="B6697" t="s">
        <v>102</v>
      </c>
      <c r="C6697" s="109" t="str">
        <f>IF(ISBLANK(K6697),IFERROR(VLOOKUP(I6697,FS_input_data!$C$458:$N$648,Export!J6697,FALSE),""),K6697)</f>
        <v/>
      </c>
      <c r="D6697" s="6"/>
      <c r="E6697" s="6"/>
      <c r="F6697" s="6"/>
      <c r="G6697" s="115" t="b">
        <f>VLOOKUP(I6696,FS_input_noty,J6696,FALSE)=""</f>
        <v>0</v>
      </c>
      <c r="H6697" s="6" t="s">
        <v>2189</v>
      </c>
      <c r="I6697" t="s">
        <v>1561</v>
      </c>
      <c r="J6697" t="s">
        <v>1561</v>
      </c>
      <c r="L6697">
        <f t="shared" si="393"/>
        <v>1</v>
      </c>
    </row>
    <row r="6698" spans="1:12" x14ac:dyDescent="0.35">
      <c r="A6698">
        <f t="shared" si="394"/>
        <v>6697</v>
      </c>
      <c r="B6698" t="s">
        <v>753</v>
      </c>
      <c r="C6698" s="109" t="str">
        <f>IF(ISBLANK(K6698),IFERROR(VLOOKUP(I6698,FS_input_data!$C$458:$N$648,Export!J6698,FALSE),""),K6698)</f>
        <v/>
      </c>
      <c r="D6698" s="6"/>
      <c r="E6698" s="6"/>
      <c r="F6698" s="6"/>
      <c r="G6698" s="116" t="b">
        <f>VLOOKUP(I6696,FS_input_noty,J6696,FALSE)=""</f>
        <v>0</v>
      </c>
      <c r="H6698" s="6" t="s">
        <v>2189</v>
      </c>
      <c r="I6698" t="s">
        <v>1561</v>
      </c>
      <c r="J6698" t="s">
        <v>1561</v>
      </c>
      <c r="L6698" s="26" t="e">
        <f t="shared" si="393"/>
        <v>#VALUE!</v>
      </c>
    </row>
    <row r="6699" spans="1:12" x14ac:dyDescent="0.35">
      <c r="A6699">
        <f t="shared" si="394"/>
        <v>6698</v>
      </c>
      <c r="B6699" t="s">
        <v>742</v>
      </c>
      <c r="C6699" s="109" t="str">
        <f>IF(ISBLANK(K6699),IFERROR(VLOOKUP(I6699,FS_input_data!$C$458:$N$648,Export!J6699,FALSE),""),K6699)</f>
        <v/>
      </c>
      <c r="D6699" s="6"/>
      <c r="E6699" s="6"/>
      <c r="F6699" s="6"/>
      <c r="G6699" s="116" t="b">
        <f>VLOOKUP(I6696,FS_input_noty,J6696,FALSE)=""</f>
        <v>0</v>
      </c>
      <c r="H6699" s="6" t="s">
        <v>2189</v>
      </c>
      <c r="I6699" t="s">
        <v>1561</v>
      </c>
      <c r="J6699" t="s">
        <v>1561</v>
      </c>
      <c r="L6699" s="26" t="e">
        <f t="shared" si="393"/>
        <v>#VALUE!</v>
      </c>
    </row>
    <row r="6700" spans="1:12" x14ac:dyDescent="0.35">
      <c r="A6700">
        <f t="shared" si="394"/>
        <v>6699</v>
      </c>
      <c r="B6700" t="s">
        <v>748</v>
      </c>
      <c r="C6700" s="109" t="str">
        <f>IF(ISBLANK(K6700),IFERROR(VLOOKUP(I6700,FS_input_data!$C$458:$N$648,Export!J6700,FALSE),""),K6700)</f>
        <v/>
      </c>
      <c r="D6700" s="6"/>
      <c r="E6700" s="6"/>
      <c r="F6700" s="6"/>
      <c r="G6700" s="116" t="b">
        <f>VLOOKUP(I6696,FS_input_noty,J6696,FALSE)=""</f>
        <v>0</v>
      </c>
      <c r="H6700" s="6" t="s">
        <v>2189</v>
      </c>
      <c r="I6700" t="s">
        <v>1561</v>
      </c>
      <c r="J6700" t="s">
        <v>1561</v>
      </c>
      <c r="L6700" s="26" t="e">
        <f t="shared" si="393"/>
        <v>#VALUE!</v>
      </c>
    </row>
    <row r="6701" spans="1:12" x14ac:dyDescent="0.35">
      <c r="A6701" s="9">
        <f t="shared" si="394"/>
        <v>6700</v>
      </c>
      <c r="B6701" t="s">
        <v>109</v>
      </c>
      <c r="C6701" s="109">
        <f>IF(ISBLANK(K6701),IFERROR(VLOOKUP(I6701,FS_input_data!$C$458:$N$648,Export!J6701,FALSE),""),K6701)</f>
        <v>30000</v>
      </c>
      <c r="D6701" s="6" t="b">
        <v>1</v>
      </c>
      <c r="E6701" s="6"/>
      <c r="F6701" s="6"/>
      <c r="G6701" s="116" t="b">
        <f>VLOOKUP(I6696,FS_input_noty,J6696,FALSE)=""</f>
        <v>0</v>
      </c>
      <c r="H6701" s="6" t="s">
        <v>2189</v>
      </c>
      <c r="I6701" t="s">
        <v>2066</v>
      </c>
      <c r="J6701">
        <v>7</v>
      </c>
      <c r="L6701" s="26" t="e">
        <f t="shared" si="393"/>
        <v>#VALUE!</v>
      </c>
    </row>
    <row r="6702" spans="1:12" x14ac:dyDescent="0.35">
      <c r="A6702">
        <f t="shared" si="394"/>
        <v>6701</v>
      </c>
      <c r="B6702" t="s">
        <v>110</v>
      </c>
      <c r="C6702" s="109" t="str">
        <f>IF(ISBLANK(K6702),IFERROR(VLOOKUP(I6702,FS_input_data!$C$458:$N$648,Export!J6702,FALSE),""),K6702)</f>
        <v/>
      </c>
      <c r="D6702" s="6"/>
      <c r="E6702" s="6"/>
      <c r="F6702" s="6"/>
      <c r="G6702" s="116" t="b">
        <f>VLOOKUP(I6696,FS_input_noty,J6696,FALSE)=""</f>
        <v>0</v>
      </c>
      <c r="H6702" s="6" t="s">
        <v>2189</v>
      </c>
      <c r="I6702" t="s">
        <v>1561</v>
      </c>
      <c r="J6702" t="s">
        <v>1561</v>
      </c>
      <c r="L6702">
        <f t="shared" si="393"/>
        <v>1</v>
      </c>
    </row>
    <row r="6703" spans="1:12" x14ac:dyDescent="0.35">
      <c r="A6703" s="9">
        <f t="shared" si="394"/>
        <v>6702</v>
      </c>
      <c r="B6703" t="s">
        <v>111</v>
      </c>
      <c r="C6703" s="109">
        <f>IF(ISBLANK(K6703),IFERROR(VLOOKUP(I6703,FS_input_data!$C$458:$N$648,Export!J6703,FALSE),""),K6703)</f>
        <v>15000</v>
      </c>
      <c r="D6703" s="6" t="b">
        <v>0</v>
      </c>
      <c r="E6703" s="6"/>
      <c r="F6703" s="6"/>
      <c r="G6703" s="116" t="b">
        <f>VLOOKUP(I6696,FS_input_noty,J6696,TRUE)=""</f>
        <v>0</v>
      </c>
      <c r="H6703" s="6" t="s">
        <v>2189</v>
      </c>
      <c r="I6703" t="s">
        <v>2066</v>
      </c>
      <c r="J6703">
        <v>8</v>
      </c>
      <c r="L6703" s="26" t="e">
        <f t="shared" si="393"/>
        <v>#VALUE!</v>
      </c>
    </row>
    <row r="6704" spans="1:12" x14ac:dyDescent="0.35">
      <c r="A6704">
        <f t="shared" si="394"/>
        <v>6703</v>
      </c>
      <c r="B6704" t="s">
        <v>112</v>
      </c>
      <c r="C6704" s="109" t="str">
        <f>IF(ISBLANK(K6704),IFERROR(VLOOKUP(I6704,FS_input_data!$C$458:$N$648,Export!J6704,FALSE),""),K6704)</f>
        <v/>
      </c>
      <c r="D6704" s="6"/>
      <c r="E6704" s="6"/>
      <c r="F6704" s="6"/>
      <c r="G6704" s="116" t="b">
        <f>VLOOKUP(I6696,FS_input_noty,J6696,FALSE)=""</f>
        <v>0</v>
      </c>
      <c r="H6704" s="6" t="s">
        <v>2189</v>
      </c>
      <c r="I6704" t="s">
        <v>1561</v>
      </c>
      <c r="J6704" t="s">
        <v>1561</v>
      </c>
      <c r="L6704">
        <f t="shared" si="393"/>
        <v>1</v>
      </c>
    </row>
    <row r="6705" spans="1:12" x14ac:dyDescent="0.35">
      <c r="A6705" s="9">
        <f t="shared" si="394"/>
        <v>6704</v>
      </c>
      <c r="B6705" t="s">
        <v>749</v>
      </c>
      <c r="C6705" s="109">
        <f>IF(ISBLANK(K6705),IFERROR(VLOOKUP(I6705,FS_input_data!$C$458:$N$648,Export!J6705,FALSE),""),K6705)</f>
        <v>15000</v>
      </c>
      <c r="D6705" s="6" t="b">
        <v>0</v>
      </c>
      <c r="E6705" s="6"/>
      <c r="F6705" s="6"/>
      <c r="G6705" s="116" t="b">
        <f>VLOOKUP(I6696,FS_input_noty,J6696,FALSE)=""</f>
        <v>0</v>
      </c>
      <c r="H6705" s="6" t="s">
        <v>2189</v>
      </c>
      <c r="I6705" t="s">
        <v>2066</v>
      </c>
      <c r="J6705">
        <v>9</v>
      </c>
      <c r="L6705" s="26" t="e">
        <f t="shared" si="393"/>
        <v>#VALUE!</v>
      </c>
    </row>
    <row r="6706" spans="1:12" x14ac:dyDescent="0.35">
      <c r="A6706">
        <f t="shared" si="394"/>
        <v>6705</v>
      </c>
      <c r="B6706" t="s">
        <v>750</v>
      </c>
      <c r="C6706" s="109" t="str">
        <f>IF(ISBLANK(K6706),IFERROR(VLOOKUP(I6706,FS_input_data!$C$458:$N$648,Export!J6706,FALSE),""),K6706)</f>
        <v/>
      </c>
      <c r="D6706" s="6"/>
      <c r="E6706" s="6"/>
      <c r="F6706" s="6"/>
      <c r="G6706" s="116" t="b">
        <f>VLOOKUP(I6696,FS_input_noty,J6696,FALSE)=""</f>
        <v>0</v>
      </c>
      <c r="H6706" s="6" t="s">
        <v>2189</v>
      </c>
      <c r="I6706" t="s">
        <v>1561</v>
      </c>
      <c r="J6706" t="s">
        <v>1561</v>
      </c>
      <c r="L6706">
        <f t="shared" si="393"/>
        <v>1</v>
      </c>
    </row>
    <row r="6707" spans="1:12" x14ac:dyDescent="0.35">
      <c r="A6707">
        <f t="shared" si="394"/>
        <v>6706</v>
      </c>
      <c r="B6707" t="s">
        <v>751</v>
      </c>
      <c r="C6707" s="109" t="str">
        <f>IF(ISBLANK(K6707),IFERROR(VLOOKUP(I6707,FS_input_data!$C$458:$N$648,Export!J6707,FALSE),""),K6707)</f>
        <v/>
      </c>
      <c r="D6707" s="6"/>
      <c r="E6707" s="6"/>
      <c r="F6707" s="6"/>
      <c r="G6707" s="116" t="b">
        <f>VLOOKUP(I6696,FS_input_noty,J6696,FALSE)=""</f>
        <v>0</v>
      </c>
      <c r="H6707" s="6" t="s">
        <v>2189</v>
      </c>
      <c r="I6707" t="s">
        <v>1561</v>
      </c>
      <c r="J6707" t="s">
        <v>1561</v>
      </c>
      <c r="L6707">
        <f t="shared" si="393"/>
        <v>1</v>
      </c>
    </row>
    <row r="6708" spans="1:12" x14ac:dyDescent="0.35">
      <c r="A6708">
        <f t="shared" si="394"/>
        <v>6707</v>
      </c>
      <c r="B6708" t="s">
        <v>754</v>
      </c>
      <c r="C6708" s="109" t="str">
        <f>IF(ISBLANK(K6708),IFERROR(VLOOKUP(I6708,FS_input_data!$C$458:$N$648,Export!J6708,FALSE),""),K6708)</f>
        <v/>
      </c>
      <c r="D6708" s="6"/>
      <c r="E6708" s="6"/>
      <c r="F6708" s="6"/>
      <c r="G6708" s="116" t="b">
        <f>VLOOKUP(I6696,FS_input_noty,J6696,FALSE)=""</f>
        <v>0</v>
      </c>
      <c r="H6708" s="6" t="s">
        <v>2189</v>
      </c>
      <c r="I6708" t="s">
        <v>1561</v>
      </c>
      <c r="J6708" t="s">
        <v>1561</v>
      </c>
      <c r="L6708" s="26" t="e">
        <f t="shared" si="393"/>
        <v>#VALUE!</v>
      </c>
    </row>
    <row r="6709" spans="1:12" x14ac:dyDescent="0.35">
      <c r="A6709" s="9">
        <f t="shared" si="394"/>
        <v>6708</v>
      </c>
      <c r="B6709" t="s">
        <v>755</v>
      </c>
      <c r="C6709" s="109">
        <f>IF(ISBLANK(K6709),IFERROR(VLOOKUP(I6709,FS_input_data!$C$458:$N$648,Export!J6709,FALSE),""),K6709)</f>
        <v>128</v>
      </c>
      <c r="D6709" s="6" t="b">
        <v>1</v>
      </c>
      <c r="E6709" s="6"/>
      <c r="F6709" s="6"/>
      <c r="G6709" s="116" t="b">
        <f>VLOOKUP(I6696,FS_input_noty,J6696,FALSE)=""</f>
        <v>0</v>
      </c>
      <c r="H6709" s="6" t="s">
        <v>2189</v>
      </c>
      <c r="I6709" t="s">
        <v>2066</v>
      </c>
      <c r="J6709">
        <v>2</v>
      </c>
      <c r="L6709" s="26" t="e">
        <f t="shared" si="393"/>
        <v>#VALUE!</v>
      </c>
    </row>
    <row r="6710" spans="1:12" x14ac:dyDescent="0.35">
      <c r="A6710">
        <f t="shared" si="394"/>
        <v>6709</v>
      </c>
      <c r="B6710" t="s">
        <v>756</v>
      </c>
      <c r="C6710" s="109" t="str">
        <f>IF(ISBLANK(K6710),IFERROR(VLOOKUP(I6710,FS_input_data!$C$458:$N$648,Export!J6710,FALSE),""),K6710)</f>
        <v/>
      </c>
      <c r="D6710" s="6"/>
      <c r="E6710" s="6"/>
      <c r="F6710" s="6"/>
      <c r="G6710" s="116" t="b">
        <f>VLOOKUP(I6696,FS_input_noty,J6696,FALSE)=""</f>
        <v>0</v>
      </c>
      <c r="H6710" s="6" t="s">
        <v>2189</v>
      </c>
      <c r="I6710" t="s">
        <v>1561</v>
      </c>
      <c r="J6710" t="s">
        <v>1561</v>
      </c>
      <c r="L6710">
        <f t="shared" si="393"/>
        <v>1</v>
      </c>
    </row>
    <row r="6711" spans="1:12" x14ac:dyDescent="0.35">
      <c r="A6711" s="9">
        <f t="shared" si="394"/>
        <v>6710</v>
      </c>
      <c r="B6711" t="s">
        <v>757</v>
      </c>
      <c r="C6711" s="109">
        <f>IF(ISBLANK(K6711),IFERROR(VLOOKUP(I6711,FS_input_data!$C$458:$N$648,Export!J6711,FALSE),""),K6711)</f>
        <v>228</v>
      </c>
      <c r="D6711" s="6" t="b">
        <v>0</v>
      </c>
      <c r="E6711" s="6"/>
      <c r="F6711" s="6"/>
      <c r="G6711" s="116" t="b">
        <f>VLOOKUP(I6696,FS_input_noty,J6696,FALSE)=""</f>
        <v>0</v>
      </c>
      <c r="H6711" s="6" t="s">
        <v>2189</v>
      </c>
      <c r="I6711" t="s">
        <v>2066</v>
      </c>
      <c r="J6711">
        <v>3</v>
      </c>
      <c r="L6711" s="26" t="e">
        <f t="shared" si="393"/>
        <v>#VALUE!</v>
      </c>
    </row>
    <row r="6712" spans="1:12" x14ac:dyDescent="0.35">
      <c r="A6712">
        <f t="shared" si="394"/>
        <v>6711</v>
      </c>
      <c r="B6712" t="s">
        <v>758</v>
      </c>
      <c r="C6712" s="109" t="str">
        <f>IF(ISBLANK(K6712),IFERROR(VLOOKUP(I6712,FS_input_data!$C$458:$N$648,Export!J6712,FALSE),""),K6712)</f>
        <v/>
      </c>
      <c r="D6712" s="6"/>
      <c r="E6712" s="6"/>
      <c r="F6712" s="6"/>
      <c r="G6712" s="115" t="b">
        <f>VLOOKUP(I6696,FS_input_noty,J6696,FALSE)=""</f>
        <v>0</v>
      </c>
      <c r="H6712" s="6" t="s">
        <v>2189</v>
      </c>
      <c r="I6712" t="s">
        <v>1561</v>
      </c>
      <c r="J6712" t="s">
        <v>1561</v>
      </c>
      <c r="L6712">
        <f t="shared" si="393"/>
        <v>1</v>
      </c>
    </row>
    <row r="6713" spans="1:12" x14ac:dyDescent="0.35">
      <c r="A6713" s="9">
        <f t="shared" si="394"/>
        <v>6712</v>
      </c>
      <c r="B6713" t="s">
        <v>759</v>
      </c>
      <c r="C6713" s="109">
        <f>IF(ISBLANK(K6713),IFERROR(VLOOKUP(I6713,FS_input_data!$C$458:$N$648,Export!J6713,FALSE),""),K6713)</f>
        <v>328</v>
      </c>
      <c r="D6713" s="6" t="b">
        <v>0</v>
      </c>
      <c r="E6713" s="6"/>
      <c r="F6713" s="6"/>
      <c r="G6713" s="115" t="b">
        <f>VLOOKUP(I6696,FS_input_noty,J6696,FALSE)=""</f>
        <v>0</v>
      </c>
      <c r="H6713" s="6" t="s">
        <v>2189</v>
      </c>
      <c r="I6713" t="s">
        <v>2066</v>
      </c>
      <c r="J6713">
        <v>4</v>
      </c>
      <c r="L6713" s="26" t="e">
        <f t="shared" si="393"/>
        <v>#VALUE!</v>
      </c>
    </row>
    <row r="6714" spans="1:12" x14ac:dyDescent="0.35">
      <c r="A6714">
        <f t="shared" si="394"/>
        <v>6713</v>
      </c>
      <c r="B6714" t="s">
        <v>760</v>
      </c>
      <c r="C6714" s="109" t="str">
        <f>IF(ISBLANK(K6714),IFERROR(VLOOKUP(I6714,FS_input_data!$C$458:$N$648,Export!J6714,FALSE),""),K6714)</f>
        <v/>
      </c>
      <c r="D6714" s="6"/>
      <c r="E6714" s="6"/>
      <c r="F6714" s="6"/>
      <c r="G6714" s="115" t="b">
        <f>VLOOKUP(I6696,FS_input_noty,J6696,FALSE)=""</f>
        <v>0</v>
      </c>
      <c r="H6714" s="6" t="s">
        <v>2189</v>
      </c>
      <c r="I6714" t="s">
        <v>1561</v>
      </c>
      <c r="J6714" t="s">
        <v>1561</v>
      </c>
      <c r="L6714">
        <f t="shared" si="393"/>
        <v>1</v>
      </c>
    </row>
    <row r="6715" spans="1:12" x14ac:dyDescent="0.35">
      <c r="A6715" s="9">
        <f t="shared" si="394"/>
        <v>6714</v>
      </c>
      <c r="B6715" t="s">
        <v>761</v>
      </c>
      <c r="C6715" s="109" t="str">
        <f>IF(ISBLANK(K6715),IFERROR(VLOOKUP(I6715,FS_input_data!$C$458:$N$648,Export!J6715,FALSE),""),K6715)</f>
        <v>b</v>
      </c>
      <c r="D6715" s="6" t="b">
        <v>0</v>
      </c>
      <c r="E6715" s="6"/>
      <c r="F6715" s="6"/>
      <c r="G6715" s="115" t="b">
        <f>VLOOKUP(I6696,FS_input_noty,J6696,FALSE)=""</f>
        <v>0</v>
      </c>
      <c r="H6715" s="6" t="s">
        <v>2189</v>
      </c>
      <c r="I6715" t="s">
        <v>2066</v>
      </c>
      <c r="J6715">
        <v>5</v>
      </c>
      <c r="L6715" s="26" t="e">
        <f t="shared" si="393"/>
        <v>#VALUE!</v>
      </c>
    </row>
    <row r="6716" spans="1:12" x14ac:dyDescent="0.35">
      <c r="A6716">
        <f t="shared" si="394"/>
        <v>6715</v>
      </c>
      <c r="B6716" t="s">
        <v>762</v>
      </c>
      <c r="C6716" s="109" t="str">
        <f>IF(ISBLANK(K6716),IFERROR(VLOOKUP(I6716,FS_input_data!$C$458:$N$648,Export!J6716,FALSE),""),K6716)</f>
        <v/>
      </c>
      <c r="D6716" s="6"/>
      <c r="E6716" s="6"/>
      <c r="F6716" s="6"/>
      <c r="G6716" s="115" t="b">
        <f>VLOOKUP(I6696,FS_input_noty,J6696,FALSE)=""</f>
        <v>0</v>
      </c>
      <c r="H6716" s="6" t="s">
        <v>2189</v>
      </c>
      <c r="I6716" t="s">
        <v>1561</v>
      </c>
      <c r="J6716" t="s">
        <v>1561</v>
      </c>
      <c r="L6716">
        <f t="shared" si="393"/>
        <v>1</v>
      </c>
    </row>
    <row r="6717" spans="1:12" x14ac:dyDescent="0.35">
      <c r="A6717">
        <f t="shared" si="394"/>
        <v>6716</v>
      </c>
      <c r="B6717" t="s">
        <v>763</v>
      </c>
      <c r="C6717" s="109" t="str">
        <f>IF(ISBLANK(K6717),IFERROR(VLOOKUP(I6717,FS_input_data!$C$458:$N$648,Export!J6717,FALSE),""),K6717)</f>
        <v/>
      </c>
      <c r="D6717" s="6"/>
      <c r="E6717" s="6"/>
      <c r="F6717" s="6"/>
      <c r="G6717" s="115" t="b">
        <f>VLOOKUP(I6696,FS_input_noty,J6696,FALSE)=""</f>
        <v>0</v>
      </c>
      <c r="H6717" s="6" t="s">
        <v>2189</v>
      </c>
      <c r="I6717" t="s">
        <v>1561</v>
      </c>
      <c r="J6717" t="s">
        <v>1561</v>
      </c>
      <c r="L6717">
        <f t="shared" si="393"/>
        <v>1</v>
      </c>
    </row>
    <row r="6718" spans="1:12" x14ac:dyDescent="0.35">
      <c r="A6718">
        <f t="shared" si="394"/>
        <v>6717</v>
      </c>
      <c r="B6718" t="s">
        <v>743</v>
      </c>
      <c r="C6718" s="109" t="str">
        <f>IF(ISBLANK(K6718),IFERROR(VLOOKUP(I6718,FS_input_data!$C$458:$N$648,Export!J6718,FALSE),""),K6718)</f>
        <v/>
      </c>
      <c r="D6718" s="6"/>
      <c r="E6718" s="6"/>
      <c r="F6718" s="6"/>
      <c r="G6718" s="115" t="b">
        <f>VLOOKUP(I6696,FS_input_noty,J6696,FALSE)=""</f>
        <v>0</v>
      </c>
      <c r="H6718" s="6" t="s">
        <v>2189</v>
      </c>
      <c r="I6718" t="s">
        <v>1561</v>
      </c>
      <c r="J6718" t="s">
        <v>1561</v>
      </c>
      <c r="L6718">
        <f t="shared" si="393"/>
        <v>1</v>
      </c>
    </row>
    <row r="6719" spans="1:12" x14ac:dyDescent="0.35">
      <c r="A6719">
        <f t="shared" si="394"/>
        <v>6718</v>
      </c>
      <c r="B6719" t="s">
        <v>744</v>
      </c>
      <c r="C6719" s="109" t="str">
        <f>IF(ISBLANK(K6719),IFERROR(VLOOKUP(I6719,FS_input_data!$C$458:$N$648,Export!J6719,FALSE),""),K6719)</f>
        <v/>
      </c>
      <c r="D6719" s="6"/>
      <c r="E6719" s="6"/>
      <c r="F6719" s="6"/>
      <c r="G6719" s="115" t="b">
        <f t="shared" ref="G6719:G6726" si="396">RP_tax</f>
        <v>1</v>
      </c>
      <c r="H6719" s="6" t="s">
        <v>2189</v>
      </c>
      <c r="I6719" t="s">
        <v>1561</v>
      </c>
      <c r="J6719" t="s">
        <v>1561</v>
      </c>
      <c r="L6719" s="26" t="e">
        <f t="shared" si="393"/>
        <v>#VALUE!</v>
      </c>
    </row>
    <row r="6720" spans="1:12" x14ac:dyDescent="0.35">
      <c r="A6720" s="9">
        <f t="shared" si="394"/>
        <v>6719</v>
      </c>
      <c r="B6720" t="s">
        <v>109</v>
      </c>
      <c r="C6720" s="109">
        <f>IF(ISBLANK(K6720),IFERROR(VLOOKUP(I6720,FS_input_data!$C$458:$N$648,Export!J6720,FALSE),""),K6720)</f>
        <v>30000</v>
      </c>
      <c r="D6720" s="6" t="b">
        <v>1</v>
      </c>
      <c r="E6720" s="6"/>
      <c r="F6720" s="6"/>
      <c r="G6720" s="115" t="b">
        <f t="shared" si="396"/>
        <v>1</v>
      </c>
      <c r="H6720" s="6" t="s">
        <v>2189</v>
      </c>
      <c r="I6720" t="s">
        <v>2066</v>
      </c>
      <c r="J6720">
        <v>10</v>
      </c>
      <c r="L6720" s="26" t="e">
        <f t="shared" si="393"/>
        <v>#VALUE!</v>
      </c>
    </row>
    <row r="6721" spans="1:12" x14ac:dyDescent="0.35">
      <c r="A6721">
        <f t="shared" si="394"/>
        <v>6720</v>
      </c>
      <c r="B6721" t="s">
        <v>110</v>
      </c>
      <c r="C6721" s="109" t="str">
        <f>IF(ISBLANK(K6721),IFERROR(VLOOKUP(I6721,FS_input_data!$C$458:$N$648,Export!J6721,FALSE),""),K6721)</f>
        <v/>
      </c>
      <c r="D6721" s="6"/>
      <c r="E6721" s="6"/>
      <c r="F6721" s="6"/>
      <c r="G6721" s="115" t="b">
        <f t="shared" si="396"/>
        <v>1</v>
      </c>
      <c r="H6721" s="6" t="s">
        <v>2189</v>
      </c>
      <c r="I6721" t="s">
        <v>1561</v>
      </c>
      <c r="J6721" t="s">
        <v>1561</v>
      </c>
      <c r="L6721">
        <f t="shared" si="393"/>
        <v>1</v>
      </c>
    </row>
    <row r="6722" spans="1:12" x14ac:dyDescent="0.35">
      <c r="A6722" s="9">
        <f t="shared" si="394"/>
        <v>6721</v>
      </c>
      <c r="B6722" t="s">
        <v>111</v>
      </c>
      <c r="C6722" s="109">
        <f>IF(ISBLANK(K6722),IFERROR(VLOOKUP(I6722,FS_input_data!$C$458:$N$648,Export!J6722,FALSE),""),K6722)</f>
        <v>15000</v>
      </c>
      <c r="D6722" s="6" t="b">
        <v>0</v>
      </c>
      <c r="E6722" s="6"/>
      <c r="F6722" s="6"/>
      <c r="G6722" s="115" t="b">
        <f t="shared" si="396"/>
        <v>1</v>
      </c>
      <c r="H6722" s="6" t="s">
        <v>2189</v>
      </c>
      <c r="I6722" t="s">
        <v>2066</v>
      </c>
      <c r="J6722">
        <v>11</v>
      </c>
      <c r="L6722" s="26" t="e">
        <f t="shared" ref="L6722:L6785" si="397">FIND("/",B6722)</f>
        <v>#VALUE!</v>
      </c>
    </row>
    <row r="6723" spans="1:12" x14ac:dyDescent="0.35">
      <c r="A6723">
        <f t="shared" ref="A6723:A6786" si="398">A6722+1</f>
        <v>6722</v>
      </c>
      <c r="B6723" t="s">
        <v>112</v>
      </c>
      <c r="C6723" s="109" t="str">
        <f>IF(ISBLANK(K6723),IFERROR(VLOOKUP(I6723,FS_input_data!$C$458:$N$648,Export!J6723,FALSE),""),K6723)</f>
        <v/>
      </c>
      <c r="D6723" s="6"/>
      <c r="E6723" s="6"/>
      <c r="F6723" s="6"/>
      <c r="G6723" s="115" t="b">
        <f t="shared" si="396"/>
        <v>1</v>
      </c>
      <c r="H6723" s="6" t="s">
        <v>2189</v>
      </c>
      <c r="I6723" t="s">
        <v>1561</v>
      </c>
      <c r="J6723" t="s">
        <v>1561</v>
      </c>
      <c r="L6723">
        <f t="shared" si="397"/>
        <v>1</v>
      </c>
    </row>
    <row r="6724" spans="1:12" x14ac:dyDescent="0.35">
      <c r="A6724" s="9">
        <f t="shared" si="398"/>
        <v>6723</v>
      </c>
      <c r="B6724" t="s">
        <v>749</v>
      </c>
      <c r="C6724" s="109">
        <f>IF(ISBLANK(K6724),IFERROR(VLOOKUP(I6724,FS_input_data!$C$458:$N$648,Export!J6724,FALSE),""),K6724)</f>
        <v>15000</v>
      </c>
      <c r="D6724" s="6" t="b">
        <v>0</v>
      </c>
      <c r="E6724" s="6"/>
      <c r="F6724" s="6"/>
      <c r="G6724" s="115" t="b">
        <f t="shared" si="396"/>
        <v>1</v>
      </c>
      <c r="H6724" s="6" t="s">
        <v>2189</v>
      </c>
      <c r="I6724" t="s">
        <v>2066</v>
      </c>
      <c r="J6724">
        <v>12</v>
      </c>
      <c r="L6724" s="26" t="e">
        <f t="shared" si="397"/>
        <v>#VALUE!</v>
      </c>
    </row>
    <row r="6725" spans="1:12" x14ac:dyDescent="0.35">
      <c r="A6725">
        <f t="shared" si="398"/>
        <v>6724</v>
      </c>
      <c r="B6725" t="s">
        <v>750</v>
      </c>
      <c r="C6725" s="109" t="str">
        <f>IF(ISBLANK(K6725),IFERROR(VLOOKUP(I6725,FS_input_data!$C$458:$N$648,Export!J6725,FALSE),""),K6725)</f>
        <v/>
      </c>
      <c r="D6725" s="6"/>
      <c r="E6725" s="6"/>
      <c r="F6725" s="6"/>
      <c r="G6725" s="115" t="b">
        <f t="shared" si="396"/>
        <v>1</v>
      </c>
      <c r="H6725" s="6" t="s">
        <v>2189</v>
      </c>
      <c r="I6725" t="s">
        <v>1561</v>
      </c>
      <c r="J6725" t="s">
        <v>1561</v>
      </c>
      <c r="L6725">
        <f t="shared" si="397"/>
        <v>1</v>
      </c>
    </row>
    <row r="6726" spans="1:12" x14ac:dyDescent="0.35">
      <c r="A6726">
        <f t="shared" si="398"/>
        <v>6725</v>
      </c>
      <c r="B6726" t="s">
        <v>745</v>
      </c>
      <c r="C6726" s="109" t="str">
        <f>IF(ISBLANK(K6726),IFERROR(VLOOKUP(I6726,FS_input_data!$C$458:$N$648,Export!J6726,FALSE),""),K6726)</f>
        <v/>
      </c>
      <c r="D6726" s="6"/>
      <c r="E6726" s="6"/>
      <c r="F6726" s="6"/>
      <c r="G6726" s="115" t="b">
        <f t="shared" si="396"/>
        <v>1</v>
      </c>
      <c r="H6726" s="6" t="s">
        <v>2189</v>
      </c>
      <c r="I6726" t="s">
        <v>1561</v>
      </c>
      <c r="J6726" t="s">
        <v>1561</v>
      </c>
      <c r="L6726">
        <f t="shared" si="397"/>
        <v>1</v>
      </c>
    </row>
    <row r="6727" spans="1:12" x14ac:dyDescent="0.35">
      <c r="A6727">
        <f t="shared" si="398"/>
        <v>6726</v>
      </c>
      <c r="B6727" t="s">
        <v>764</v>
      </c>
      <c r="C6727" s="109" t="str">
        <f>IF(ISBLANK(K6727),IFERROR(VLOOKUP(I6727,FS_input_data!$C$458:$N$648,Export!J6727,FALSE),""),K6727)</f>
        <v/>
      </c>
      <c r="D6727" s="6"/>
      <c r="E6727" s="6"/>
      <c r="F6727" s="6"/>
      <c r="G6727" s="115" t="b">
        <f>VLOOKUP(I6696,FS_input_noty,J6696,FALSE)=""</f>
        <v>0</v>
      </c>
      <c r="H6727" s="6" t="s">
        <v>2189</v>
      </c>
      <c r="I6727" t="s">
        <v>1561</v>
      </c>
      <c r="J6727" t="s">
        <v>1561</v>
      </c>
      <c r="L6727">
        <f t="shared" si="397"/>
        <v>1</v>
      </c>
    </row>
    <row r="6728" spans="1:12" x14ac:dyDescent="0.35">
      <c r="A6728">
        <f t="shared" si="398"/>
        <v>6727</v>
      </c>
      <c r="B6728" t="s">
        <v>765</v>
      </c>
      <c r="C6728" s="109" t="str">
        <f>IF(ISBLANK(K6728),IFERROR(VLOOKUP(I6728,FS_input_data!$C$458:$N$648,Export!J6728,FALSE),""),K6728)</f>
        <v/>
      </c>
      <c r="D6728" s="6"/>
      <c r="E6728" s="6"/>
      <c r="F6728" s="6"/>
      <c r="G6728" s="115" t="b">
        <f>VLOOKUP(I6696,FS_input_noty,J6696,FALSE)=""</f>
        <v>0</v>
      </c>
      <c r="H6728" s="6" t="s">
        <v>2189</v>
      </c>
      <c r="I6728" t="s">
        <v>1561</v>
      </c>
      <c r="J6728" t="s">
        <v>1561</v>
      </c>
      <c r="L6728">
        <f t="shared" si="397"/>
        <v>1</v>
      </c>
    </row>
    <row r="6729" spans="1:12" x14ac:dyDescent="0.35">
      <c r="A6729">
        <f t="shared" si="398"/>
        <v>6728</v>
      </c>
      <c r="B6729" t="s">
        <v>752</v>
      </c>
      <c r="C6729" s="109" t="str">
        <f>IF(ISBLANK(K6729),IFERROR(VLOOKUP(I6729,FS_input_data!$C$458:$N$648,Export!J6729,FALSE),""),K6729)</f>
        <v/>
      </c>
      <c r="D6729" s="6"/>
      <c r="E6729" s="6"/>
      <c r="F6729" s="6"/>
      <c r="G6729" s="115" t="b">
        <f>VLOOKUP(I6730,FS_input_noty,J6730,FALSE)=""</f>
        <v>0</v>
      </c>
      <c r="H6729" s="6" t="s">
        <v>2189</v>
      </c>
      <c r="I6729" t="s">
        <v>1561</v>
      </c>
      <c r="J6729" t="s">
        <v>1561</v>
      </c>
      <c r="L6729" s="26" t="e">
        <f t="shared" si="397"/>
        <v>#VALUE!</v>
      </c>
    </row>
    <row r="6730" spans="1:12" x14ac:dyDescent="0.35">
      <c r="A6730" s="9">
        <f t="shared" si="398"/>
        <v>6729</v>
      </c>
      <c r="B6730" t="s">
        <v>101</v>
      </c>
      <c r="C6730" s="109" t="str">
        <f>IF(ISBLANK(K6730),IFERROR(VLOOKUP(I6730,FS_input_data!$C$458:$N$648,Export!J6730,FALSE),""),K6730)</f>
        <v>OC106</v>
      </c>
      <c r="D6730" s="6" t="b">
        <v>1</v>
      </c>
      <c r="E6730" s="6"/>
      <c r="F6730" s="6"/>
      <c r="G6730" s="115" t="b">
        <f>VLOOKUP(I6730,FS_input_noty,J6730,FALSE)=""</f>
        <v>0</v>
      </c>
      <c r="H6730" s="6" t="s">
        <v>2189</v>
      </c>
      <c r="I6730" t="s">
        <v>2068</v>
      </c>
      <c r="J6730">
        <v>6</v>
      </c>
      <c r="L6730" s="26" t="e">
        <f t="shared" si="397"/>
        <v>#VALUE!</v>
      </c>
    </row>
    <row r="6731" spans="1:12" x14ac:dyDescent="0.35">
      <c r="A6731">
        <f t="shared" si="398"/>
        <v>6730</v>
      </c>
      <c r="B6731" t="s">
        <v>102</v>
      </c>
      <c r="C6731" s="109" t="str">
        <f>IF(ISBLANK(K6731),IFERROR(VLOOKUP(I6731,FS_input_data!$C$458:$N$648,Export!J6731,FALSE),""),K6731)</f>
        <v/>
      </c>
      <c r="D6731" s="6"/>
      <c r="E6731" s="6"/>
      <c r="F6731" s="6"/>
      <c r="G6731" s="115" t="b">
        <f>VLOOKUP(I6730,FS_input_noty,J6730,FALSE)=""</f>
        <v>0</v>
      </c>
      <c r="H6731" s="6" t="s">
        <v>2189</v>
      </c>
      <c r="I6731" t="s">
        <v>1561</v>
      </c>
      <c r="J6731" t="s">
        <v>1561</v>
      </c>
      <c r="L6731">
        <f t="shared" si="397"/>
        <v>1</v>
      </c>
    </row>
    <row r="6732" spans="1:12" x14ac:dyDescent="0.35">
      <c r="A6732">
        <f t="shared" si="398"/>
        <v>6731</v>
      </c>
      <c r="B6732" t="s">
        <v>753</v>
      </c>
      <c r="C6732" s="109" t="str">
        <f>IF(ISBLANK(K6732),IFERROR(VLOOKUP(I6732,FS_input_data!$C$458:$N$648,Export!J6732,FALSE),""),K6732)</f>
        <v/>
      </c>
      <c r="D6732" s="6"/>
      <c r="E6732" s="6"/>
      <c r="F6732" s="6"/>
      <c r="G6732" s="115" t="b">
        <f>VLOOKUP(I6730,FS_input_noty,J6730,FALSE)=""</f>
        <v>0</v>
      </c>
      <c r="H6732" s="6" t="s">
        <v>2189</v>
      </c>
      <c r="I6732" t="s">
        <v>1561</v>
      </c>
      <c r="J6732" t="s">
        <v>1561</v>
      </c>
      <c r="L6732" s="26" t="e">
        <f t="shared" si="397"/>
        <v>#VALUE!</v>
      </c>
    </row>
    <row r="6733" spans="1:12" x14ac:dyDescent="0.35">
      <c r="A6733">
        <f t="shared" si="398"/>
        <v>6732</v>
      </c>
      <c r="B6733" t="s">
        <v>742</v>
      </c>
      <c r="C6733" s="109" t="str">
        <f>IF(ISBLANK(K6733),IFERROR(VLOOKUP(I6733,FS_input_data!$C$458:$N$648,Export!J6733,FALSE),""),K6733)</f>
        <v/>
      </c>
      <c r="D6733" s="6"/>
      <c r="E6733" s="6"/>
      <c r="F6733" s="6"/>
      <c r="G6733" s="115" t="b">
        <f>VLOOKUP(I6730,FS_input_noty,J6730,FALSE)=""</f>
        <v>0</v>
      </c>
      <c r="H6733" s="6" t="s">
        <v>2189</v>
      </c>
      <c r="I6733" t="s">
        <v>1561</v>
      </c>
      <c r="J6733" t="s">
        <v>1561</v>
      </c>
      <c r="L6733" s="26" t="e">
        <f t="shared" si="397"/>
        <v>#VALUE!</v>
      </c>
    </row>
    <row r="6734" spans="1:12" x14ac:dyDescent="0.35">
      <c r="A6734">
        <f t="shared" si="398"/>
        <v>6733</v>
      </c>
      <c r="B6734" t="s">
        <v>748</v>
      </c>
      <c r="C6734" s="109" t="str">
        <f>IF(ISBLANK(K6734),IFERROR(VLOOKUP(I6734,FS_input_data!$C$458:$N$648,Export!J6734,FALSE),""),K6734)</f>
        <v/>
      </c>
      <c r="D6734" s="6"/>
      <c r="E6734" s="6"/>
      <c r="F6734" s="6"/>
      <c r="G6734" s="115" t="b">
        <f>VLOOKUP(I6730,FS_input_noty,J6730,FALSE)=""</f>
        <v>0</v>
      </c>
      <c r="H6734" s="6" t="s">
        <v>2189</v>
      </c>
      <c r="I6734" t="s">
        <v>1561</v>
      </c>
      <c r="J6734" t="s">
        <v>1561</v>
      </c>
      <c r="L6734" s="26" t="e">
        <f t="shared" si="397"/>
        <v>#VALUE!</v>
      </c>
    </row>
    <row r="6735" spans="1:12" x14ac:dyDescent="0.35">
      <c r="A6735" s="9">
        <f t="shared" si="398"/>
        <v>6734</v>
      </c>
      <c r="B6735" t="s">
        <v>109</v>
      </c>
      <c r="C6735" s="109">
        <f>IF(ISBLANK(K6735),IFERROR(VLOOKUP(I6735,FS_input_data!$C$458:$N$648,Export!J6735,FALSE),""),K6735)</f>
        <v>31000</v>
      </c>
      <c r="D6735" s="6" t="b">
        <v>1</v>
      </c>
      <c r="E6735" s="6"/>
      <c r="F6735" s="6"/>
      <c r="G6735" s="115" t="b">
        <f>VLOOKUP(I6730,FS_input_noty,J6730,FALSE)=""</f>
        <v>0</v>
      </c>
      <c r="H6735" s="6" t="s">
        <v>2189</v>
      </c>
      <c r="I6735" t="s">
        <v>2068</v>
      </c>
      <c r="J6735">
        <v>7</v>
      </c>
      <c r="L6735" s="26" t="e">
        <f t="shared" si="397"/>
        <v>#VALUE!</v>
      </c>
    </row>
    <row r="6736" spans="1:12" x14ac:dyDescent="0.35">
      <c r="A6736">
        <f t="shared" si="398"/>
        <v>6735</v>
      </c>
      <c r="B6736" t="s">
        <v>110</v>
      </c>
      <c r="C6736" s="109" t="str">
        <f>IF(ISBLANK(K6736),IFERROR(VLOOKUP(I6736,FS_input_data!$C$458:$N$648,Export!J6736,FALSE),""),K6736)</f>
        <v/>
      </c>
      <c r="D6736" s="6"/>
      <c r="E6736" s="6"/>
      <c r="F6736" s="6"/>
      <c r="G6736" s="115" t="b">
        <f>VLOOKUP(I6730,FS_input_noty,J6730,FALSE)=""</f>
        <v>0</v>
      </c>
      <c r="H6736" s="6" t="s">
        <v>2189</v>
      </c>
      <c r="I6736" t="s">
        <v>1561</v>
      </c>
      <c r="J6736" t="s">
        <v>1561</v>
      </c>
      <c r="L6736">
        <f t="shared" si="397"/>
        <v>1</v>
      </c>
    </row>
    <row r="6737" spans="1:12" x14ac:dyDescent="0.35">
      <c r="A6737" s="9">
        <f t="shared" si="398"/>
        <v>6736</v>
      </c>
      <c r="B6737" t="s">
        <v>111</v>
      </c>
      <c r="C6737" s="109">
        <f>IF(ISBLANK(K6737),IFERROR(VLOOKUP(I6737,FS_input_data!$C$458:$N$648,Export!J6737,FALSE),""),K6737)</f>
        <v>15500</v>
      </c>
      <c r="D6737" s="6" t="b">
        <v>0</v>
      </c>
      <c r="E6737" s="6"/>
      <c r="F6737" s="6"/>
      <c r="G6737" s="115" t="b">
        <f>VLOOKUP(I6730,FS_input_noty,J6730,TRUE)=""</f>
        <v>0</v>
      </c>
      <c r="H6737" s="6" t="s">
        <v>2189</v>
      </c>
      <c r="I6737" t="s">
        <v>2068</v>
      </c>
      <c r="J6737">
        <v>8</v>
      </c>
      <c r="L6737" s="26" t="e">
        <f t="shared" si="397"/>
        <v>#VALUE!</v>
      </c>
    </row>
    <row r="6738" spans="1:12" x14ac:dyDescent="0.35">
      <c r="A6738">
        <f t="shared" si="398"/>
        <v>6737</v>
      </c>
      <c r="B6738" t="s">
        <v>112</v>
      </c>
      <c r="C6738" s="109" t="str">
        <f>IF(ISBLANK(K6738),IFERROR(VLOOKUP(I6738,FS_input_data!$C$458:$N$648,Export!J6738,FALSE),""),K6738)</f>
        <v/>
      </c>
      <c r="D6738" s="6"/>
      <c r="E6738" s="6"/>
      <c r="F6738" s="6"/>
      <c r="G6738" s="115" t="b">
        <f>VLOOKUP(I6730,FS_input_noty,J6730,FALSE)=""</f>
        <v>0</v>
      </c>
      <c r="H6738" s="6" t="s">
        <v>2189</v>
      </c>
      <c r="I6738" t="s">
        <v>1561</v>
      </c>
      <c r="J6738" t="s">
        <v>1561</v>
      </c>
      <c r="L6738">
        <f t="shared" si="397"/>
        <v>1</v>
      </c>
    </row>
    <row r="6739" spans="1:12" x14ac:dyDescent="0.35">
      <c r="A6739" s="9">
        <f t="shared" si="398"/>
        <v>6738</v>
      </c>
      <c r="B6739" t="s">
        <v>749</v>
      </c>
      <c r="C6739" s="109">
        <f>IF(ISBLANK(K6739),IFERROR(VLOOKUP(I6739,FS_input_data!$C$458:$N$648,Export!J6739,FALSE),""),K6739)</f>
        <v>15500</v>
      </c>
      <c r="D6739" s="6" t="b">
        <v>0</v>
      </c>
      <c r="E6739" s="6"/>
      <c r="F6739" s="6"/>
      <c r="G6739" s="115" t="b">
        <f>VLOOKUP(I6730,FS_input_noty,J6730,FALSE)=""</f>
        <v>0</v>
      </c>
      <c r="H6739" s="6" t="s">
        <v>2189</v>
      </c>
      <c r="I6739" t="s">
        <v>2068</v>
      </c>
      <c r="J6739">
        <v>9</v>
      </c>
      <c r="L6739" s="26" t="e">
        <f t="shared" si="397"/>
        <v>#VALUE!</v>
      </c>
    </row>
    <row r="6740" spans="1:12" x14ac:dyDescent="0.35">
      <c r="A6740">
        <f t="shared" si="398"/>
        <v>6739</v>
      </c>
      <c r="B6740" t="s">
        <v>750</v>
      </c>
      <c r="C6740" s="109" t="str">
        <f>IF(ISBLANK(K6740),IFERROR(VLOOKUP(I6740,FS_input_data!$C$458:$N$648,Export!J6740,FALSE),""),K6740)</f>
        <v/>
      </c>
      <c r="D6740" s="6"/>
      <c r="E6740" s="6"/>
      <c r="F6740" s="6"/>
      <c r="G6740" s="115" t="b">
        <f>VLOOKUP(I6730,FS_input_noty,J6730,FALSE)=""</f>
        <v>0</v>
      </c>
      <c r="H6740" s="6" t="s">
        <v>2189</v>
      </c>
      <c r="I6740" t="s">
        <v>1561</v>
      </c>
      <c r="J6740" t="s">
        <v>1561</v>
      </c>
      <c r="L6740">
        <f t="shared" si="397"/>
        <v>1</v>
      </c>
    </row>
    <row r="6741" spans="1:12" x14ac:dyDescent="0.35">
      <c r="A6741">
        <f t="shared" si="398"/>
        <v>6740</v>
      </c>
      <c r="B6741" t="s">
        <v>751</v>
      </c>
      <c r="C6741" s="109" t="str">
        <f>IF(ISBLANK(K6741),IFERROR(VLOOKUP(I6741,FS_input_data!$C$458:$N$648,Export!J6741,FALSE),""),K6741)</f>
        <v/>
      </c>
      <c r="D6741" s="6"/>
      <c r="E6741" s="6"/>
      <c r="F6741" s="6"/>
      <c r="G6741" s="115" t="b">
        <f>VLOOKUP(I6730,FS_input_noty,J6730,FALSE)=""</f>
        <v>0</v>
      </c>
      <c r="H6741" s="6" t="s">
        <v>2189</v>
      </c>
      <c r="I6741" t="s">
        <v>1561</v>
      </c>
      <c r="J6741" t="s">
        <v>1561</v>
      </c>
      <c r="L6741">
        <f t="shared" si="397"/>
        <v>1</v>
      </c>
    </row>
    <row r="6742" spans="1:12" x14ac:dyDescent="0.35">
      <c r="A6742">
        <f t="shared" si="398"/>
        <v>6741</v>
      </c>
      <c r="B6742" t="s">
        <v>754</v>
      </c>
      <c r="C6742" s="109" t="str">
        <f>IF(ISBLANK(K6742),IFERROR(VLOOKUP(I6742,FS_input_data!$C$458:$N$648,Export!J6742,FALSE),""),K6742)</f>
        <v/>
      </c>
      <c r="D6742" s="6"/>
      <c r="E6742" s="6"/>
      <c r="F6742" s="6"/>
      <c r="G6742" s="115" t="b">
        <f>VLOOKUP(I6730,FS_input_noty,J6730,FALSE)=""</f>
        <v>0</v>
      </c>
      <c r="H6742" s="6" t="s">
        <v>2189</v>
      </c>
      <c r="I6742" t="s">
        <v>1561</v>
      </c>
      <c r="J6742" t="s">
        <v>1561</v>
      </c>
      <c r="L6742" s="26" t="e">
        <f t="shared" si="397"/>
        <v>#VALUE!</v>
      </c>
    </row>
    <row r="6743" spans="1:12" x14ac:dyDescent="0.35">
      <c r="A6743" s="9">
        <f t="shared" si="398"/>
        <v>6742</v>
      </c>
      <c r="B6743" t="s">
        <v>755</v>
      </c>
      <c r="C6743" s="109">
        <f>IF(ISBLANK(K6743),IFERROR(VLOOKUP(I6743,FS_input_data!$C$458:$N$648,Export!J6743,FALSE),""),K6743)</f>
        <v>129</v>
      </c>
      <c r="D6743" s="6" t="b">
        <v>1</v>
      </c>
      <c r="E6743" s="6"/>
      <c r="F6743" s="6"/>
      <c r="G6743" s="115" t="b">
        <f>VLOOKUP(I6730,FS_input_noty,J6730,FALSE)=""</f>
        <v>0</v>
      </c>
      <c r="H6743" s="6" t="s">
        <v>2189</v>
      </c>
      <c r="I6743" t="s">
        <v>2068</v>
      </c>
      <c r="J6743">
        <v>2</v>
      </c>
      <c r="L6743" s="26" t="e">
        <f t="shared" si="397"/>
        <v>#VALUE!</v>
      </c>
    </row>
    <row r="6744" spans="1:12" x14ac:dyDescent="0.35">
      <c r="A6744">
        <f t="shared" si="398"/>
        <v>6743</v>
      </c>
      <c r="B6744" t="s">
        <v>756</v>
      </c>
      <c r="C6744" s="109" t="str">
        <f>IF(ISBLANK(K6744),IFERROR(VLOOKUP(I6744,FS_input_data!$C$458:$N$648,Export!J6744,FALSE),""),K6744)</f>
        <v/>
      </c>
      <c r="D6744" s="6"/>
      <c r="E6744" s="6"/>
      <c r="F6744" s="6"/>
      <c r="G6744" s="115" t="b">
        <f>VLOOKUP(I6730,FS_input_noty,J6730,FALSE)=""</f>
        <v>0</v>
      </c>
      <c r="H6744" s="6" t="s">
        <v>2189</v>
      </c>
      <c r="I6744" t="s">
        <v>1561</v>
      </c>
      <c r="J6744" t="s">
        <v>1561</v>
      </c>
      <c r="L6744">
        <f t="shared" si="397"/>
        <v>1</v>
      </c>
    </row>
    <row r="6745" spans="1:12" x14ac:dyDescent="0.35">
      <c r="A6745" s="9">
        <f t="shared" si="398"/>
        <v>6744</v>
      </c>
      <c r="B6745" t="s">
        <v>757</v>
      </c>
      <c r="C6745" s="109">
        <f>IF(ISBLANK(K6745),IFERROR(VLOOKUP(I6745,FS_input_data!$C$458:$N$648,Export!J6745,FALSE),""),K6745)</f>
        <v>229</v>
      </c>
      <c r="D6745" s="6" t="b">
        <v>0</v>
      </c>
      <c r="E6745" s="6"/>
      <c r="F6745" s="6"/>
      <c r="G6745" s="115" t="b">
        <f>VLOOKUP(I6730,FS_input_noty,J6730,FALSE)=""</f>
        <v>0</v>
      </c>
      <c r="H6745" s="6" t="s">
        <v>2189</v>
      </c>
      <c r="I6745" t="s">
        <v>2068</v>
      </c>
      <c r="J6745">
        <v>3</v>
      </c>
      <c r="L6745" s="26" t="e">
        <f t="shared" si="397"/>
        <v>#VALUE!</v>
      </c>
    </row>
    <row r="6746" spans="1:12" x14ac:dyDescent="0.35">
      <c r="A6746">
        <f t="shared" si="398"/>
        <v>6745</v>
      </c>
      <c r="B6746" t="s">
        <v>758</v>
      </c>
      <c r="C6746" s="109" t="str">
        <f>IF(ISBLANK(K6746),IFERROR(VLOOKUP(I6746,FS_input_data!$C$458:$N$648,Export!J6746,FALSE),""),K6746)</f>
        <v/>
      </c>
      <c r="D6746" s="6"/>
      <c r="E6746" s="6"/>
      <c r="F6746" s="6"/>
      <c r="G6746" s="115" t="b">
        <f>VLOOKUP(I6730,FS_input_noty,J6730,FALSE)=""</f>
        <v>0</v>
      </c>
      <c r="H6746" s="6" t="s">
        <v>2189</v>
      </c>
      <c r="I6746" t="s">
        <v>1561</v>
      </c>
      <c r="J6746" t="s">
        <v>1561</v>
      </c>
      <c r="L6746">
        <f t="shared" si="397"/>
        <v>1</v>
      </c>
    </row>
    <row r="6747" spans="1:12" x14ac:dyDescent="0.35">
      <c r="A6747" s="9">
        <f t="shared" si="398"/>
        <v>6746</v>
      </c>
      <c r="B6747" t="s">
        <v>759</v>
      </c>
      <c r="C6747" s="109">
        <f>IF(ISBLANK(K6747),IFERROR(VLOOKUP(I6747,FS_input_data!$C$458:$N$648,Export!J6747,FALSE),""),K6747)</f>
        <v>329</v>
      </c>
      <c r="D6747" s="6" t="b">
        <v>0</v>
      </c>
      <c r="E6747" s="6"/>
      <c r="F6747" s="6"/>
      <c r="G6747" s="115" t="b">
        <f>VLOOKUP(I6730,FS_input_noty,J6730,FALSE)=""</f>
        <v>0</v>
      </c>
      <c r="H6747" s="6" t="s">
        <v>2189</v>
      </c>
      <c r="I6747" t="s">
        <v>2068</v>
      </c>
      <c r="J6747">
        <v>4</v>
      </c>
      <c r="L6747" s="26" t="e">
        <f t="shared" si="397"/>
        <v>#VALUE!</v>
      </c>
    </row>
    <row r="6748" spans="1:12" x14ac:dyDescent="0.35">
      <c r="A6748">
        <f t="shared" si="398"/>
        <v>6747</v>
      </c>
      <c r="B6748" t="s">
        <v>760</v>
      </c>
      <c r="C6748" s="109" t="str">
        <f>IF(ISBLANK(K6748),IFERROR(VLOOKUP(I6748,FS_input_data!$C$458:$N$648,Export!J6748,FALSE),""),K6748)</f>
        <v/>
      </c>
      <c r="D6748" s="6"/>
      <c r="E6748" s="6"/>
      <c r="F6748" s="6"/>
      <c r="G6748" s="115" t="b">
        <f>VLOOKUP(I6730,FS_input_noty,J6730,FALSE)=""</f>
        <v>0</v>
      </c>
      <c r="H6748" s="6" t="s">
        <v>2189</v>
      </c>
      <c r="I6748" t="s">
        <v>1561</v>
      </c>
      <c r="J6748" t="s">
        <v>1561</v>
      </c>
      <c r="L6748">
        <f t="shared" si="397"/>
        <v>1</v>
      </c>
    </row>
    <row r="6749" spans="1:12" x14ac:dyDescent="0.35">
      <c r="A6749" s="9">
        <f t="shared" si="398"/>
        <v>6748</v>
      </c>
      <c r="B6749" t="s">
        <v>761</v>
      </c>
      <c r="C6749" s="109" t="str">
        <f>IF(ISBLANK(K6749),IFERROR(VLOOKUP(I6749,FS_input_data!$C$458:$N$648,Export!J6749,FALSE),""),K6749)</f>
        <v>c</v>
      </c>
      <c r="D6749" s="6" t="b">
        <v>0</v>
      </c>
      <c r="E6749" s="6"/>
      <c r="F6749" s="6"/>
      <c r="G6749" s="115" t="b">
        <f>VLOOKUP(I6730,FS_input_noty,J6730,FALSE)=""</f>
        <v>0</v>
      </c>
      <c r="H6749" s="6" t="s">
        <v>2189</v>
      </c>
      <c r="I6749" t="s">
        <v>2068</v>
      </c>
      <c r="J6749">
        <v>5</v>
      </c>
      <c r="L6749" s="26" t="e">
        <f t="shared" si="397"/>
        <v>#VALUE!</v>
      </c>
    </row>
    <row r="6750" spans="1:12" x14ac:dyDescent="0.35">
      <c r="A6750">
        <f t="shared" si="398"/>
        <v>6749</v>
      </c>
      <c r="B6750" t="s">
        <v>762</v>
      </c>
      <c r="C6750" s="109" t="str">
        <f>IF(ISBLANK(K6750),IFERROR(VLOOKUP(I6750,FS_input_data!$C$458:$N$648,Export!J6750,FALSE),""),K6750)</f>
        <v/>
      </c>
      <c r="D6750" s="6"/>
      <c r="E6750" s="6"/>
      <c r="F6750" s="6"/>
      <c r="G6750" s="115" t="b">
        <f>VLOOKUP(I6730,FS_input_noty,J6730,FALSE)=""</f>
        <v>0</v>
      </c>
      <c r="H6750" s="6" t="s">
        <v>2189</v>
      </c>
      <c r="I6750" t="s">
        <v>1561</v>
      </c>
      <c r="J6750" t="s">
        <v>1561</v>
      </c>
      <c r="L6750">
        <f t="shared" si="397"/>
        <v>1</v>
      </c>
    </row>
    <row r="6751" spans="1:12" x14ac:dyDescent="0.35">
      <c r="A6751">
        <f t="shared" si="398"/>
        <v>6750</v>
      </c>
      <c r="B6751" t="s">
        <v>763</v>
      </c>
      <c r="C6751" s="109" t="str">
        <f>IF(ISBLANK(K6751),IFERROR(VLOOKUP(I6751,FS_input_data!$C$458:$N$648,Export!J6751,FALSE),""),K6751)</f>
        <v/>
      </c>
      <c r="D6751" s="6"/>
      <c r="E6751" s="6"/>
      <c r="F6751" s="6"/>
      <c r="G6751" s="115" t="b">
        <f>VLOOKUP(I6730,FS_input_noty,J6730,FALSE)=""</f>
        <v>0</v>
      </c>
      <c r="H6751" s="6" t="s">
        <v>2189</v>
      </c>
      <c r="I6751" t="s">
        <v>1561</v>
      </c>
      <c r="J6751" t="s">
        <v>1561</v>
      </c>
      <c r="L6751">
        <f t="shared" si="397"/>
        <v>1</v>
      </c>
    </row>
    <row r="6752" spans="1:12" x14ac:dyDescent="0.35">
      <c r="A6752">
        <f t="shared" si="398"/>
        <v>6751</v>
      </c>
      <c r="B6752" t="s">
        <v>743</v>
      </c>
      <c r="C6752" s="109" t="str">
        <f>IF(ISBLANK(K6752),IFERROR(VLOOKUP(I6752,FS_input_data!$C$458:$N$648,Export!J6752,FALSE),""),K6752)</f>
        <v/>
      </c>
      <c r="D6752" s="6"/>
      <c r="E6752" s="6"/>
      <c r="F6752" s="6"/>
      <c r="G6752" s="115" t="b">
        <f>VLOOKUP(I6730,FS_input_noty,J6730,FALSE)=""</f>
        <v>0</v>
      </c>
      <c r="H6752" s="6" t="s">
        <v>2189</v>
      </c>
      <c r="I6752" t="s">
        <v>1561</v>
      </c>
      <c r="J6752" t="s">
        <v>1561</v>
      </c>
      <c r="L6752">
        <f t="shared" si="397"/>
        <v>1</v>
      </c>
    </row>
    <row r="6753" spans="1:12" x14ac:dyDescent="0.35">
      <c r="A6753">
        <f t="shared" si="398"/>
        <v>6752</v>
      </c>
      <c r="B6753" t="s">
        <v>744</v>
      </c>
      <c r="C6753" s="109" t="str">
        <f>IF(ISBLANK(K6753),IFERROR(VLOOKUP(I6753,FS_input_data!$C$458:$N$648,Export!J6753,FALSE),""),K6753)</f>
        <v/>
      </c>
      <c r="D6753" s="6"/>
      <c r="E6753" s="6"/>
      <c r="F6753" s="6"/>
      <c r="G6753" s="115" t="b">
        <f t="shared" ref="G6753:G6760" si="399">RP_tax</f>
        <v>1</v>
      </c>
      <c r="H6753" s="6" t="s">
        <v>2189</v>
      </c>
      <c r="I6753" t="s">
        <v>1561</v>
      </c>
      <c r="J6753" t="s">
        <v>1561</v>
      </c>
      <c r="L6753" s="26" t="e">
        <f t="shared" si="397"/>
        <v>#VALUE!</v>
      </c>
    </row>
    <row r="6754" spans="1:12" x14ac:dyDescent="0.35">
      <c r="A6754" s="9">
        <f t="shared" si="398"/>
        <v>6753</v>
      </c>
      <c r="B6754" t="s">
        <v>109</v>
      </c>
      <c r="C6754" s="109">
        <f>IF(ISBLANK(K6754),IFERROR(VLOOKUP(I6754,FS_input_data!$C$458:$N$648,Export!J6754,FALSE),""),K6754)</f>
        <v>31000</v>
      </c>
      <c r="D6754" s="6" t="b">
        <v>1</v>
      </c>
      <c r="E6754" s="6"/>
      <c r="F6754" s="6"/>
      <c r="G6754" s="115" t="b">
        <f t="shared" si="399"/>
        <v>1</v>
      </c>
      <c r="H6754" s="6" t="s">
        <v>2189</v>
      </c>
      <c r="I6754" t="s">
        <v>2068</v>
      </c>
      <c r="J6754">
        <v>10</v>
      </c>
      <c r="L6754" s="26" t="e">
        <f t="shared" si="397"/>
        <v>#VALUE!</v>
      </c>
    </row>
    <row r="6755" spans="1:12" x14ac:dyDescent="0.35">
      <c r="A6755">
        <f t="shared" si="398"/>
        <v>6754</v>
      </c>
      <c r="B6755" t="s">
        <v>110</v>
      </c>
      <c r="C6755" s="109" t="str">
        <f>IF(ISBLANK(K6755),IFERROR(VLOOKUP(I6755,FS_input_data!$C$458:$N$648,Export!J6755,FALSE),""),K6755)</f>
        <v/>
      </c>
      <c r="D6755" s="6"/>
      <c r="E6755" s="6"/>
      <c r="F6755" s="6"/>
      <c r="G6755" s="115" t="b">
        <f t="shared" si="399"/>
        <v>1</v>
      </c>
      <c r="H6755" s="6" t="s">
        <v>2189</v>
      </c>
      <c r="I6755" t="s">
        <v>1561</v>
      </c>
      <c r="J6755" t="s">
        <v>1561</v>
      </c>
      <c r="L6755">
        <f t="shared" si="397"/>
        <v>1</v>
      </c>
    </row>
    <row r="6756" spans="1:12" x14ac:dyDescent="0.35">
      <c r="A6756" s="9">
        <f t="shared" si="398"/>
        <v>6755</v>
      </c>
      <c r="B6756" t="s">
        <v>111</v>
      </c>
      <c r="C6756" s="109">
        <f>IF(ISBLANK(K6756),IFERROR(VLOOKUP(I6756,FS_input_data!$C$458:$N$648,Export!J6756,FALSE),""),K6756)</f>
        <v>15500</v>
      </c>
      <c r="D6756" s="6" t="b">
        <v>0</v>
      </c>
      <c r="E6756" s="6"/>
      <c r="F6756" s="6"/>
      <c r="G6756" s="115" t="b">
        <f t="shared" si="399"/>
        <v>1</v>
      </c>
      <c r="H6756" s="6" t="s">
        <v>2189</v>
      </c>
      <c r="I6756" t="s">
        <v>2068</v>
      </c>
      <c r="J6756">
        <v>11</v>
      </c>
      <c r="L6756" s="26" t="e">
        <f t="shared" si="397"/>
        <v>#VALUE!</v>
      </c>
    </row>
    <row r="6757" spans="1:12" x14ac:dyDescent="0.35">
      <c r="A6757">
        <f t="shared" si="398"/>
        <v>6756</v>
      </c>
      <c r="B6757" t="s">
        <v>112</v>
      </c>
      <c r="C6757" s="109" t="str">
        <f>IF(ISBLANK(K6757),IFERROR(VLOOKUP(I6757,FS_input_data!$C$458:$N$648,Export!J6757,FALSE),""),K6757)</f>
        <v/>
      </c>
      <c r="D6757" s="6"/>
      <c r="E6757" s="6"/>
      <c r="F6757" s="6"/>
      <c r="G6757" s="115" t="b">
        <f t="shared" si="399"/>
        <v>1</v>
      </c>
      <c r="H6757" s="6" t="s">
        <v>2189</v>
      </c>
      <c r="I6757" t="s">
        <v>1561</v>
      </c>
      <c r="J6757" t="s">
        <v>1561</v>
      </c>
      <c r="L6757">
        <f t="shared" si="397"/>
        <v>1</v>
      </c>
    </row>
    <row r="6758" spans="1:12" x14ac:dyDescent="0.35">
      <c r="A6758" s="9">
        <f t="shared" si="398"/>
        <v>6757</v>
      </c>
      <c r="B6758" t="s">
        <v>749</v>
      </c>
      <c r="C6758" s="109">
        <f>IF(ISBLANK(K6758),IFERROR(VLOOKUP(I6758,FS_input_data!$C$458:$N$648,Export!J6758,FALSE),""),K6758)</f>
        <v>15500</v>
      </c>
      <c r="D6758" s="6" t="b">
        <v>0</v>
      </c>
      <c r="E6758" s="6"/>
      <c r="F6758" s="6"/>
      <c r="G6758" s="115" t="b">
        <f t="shared" si="399"/>
        <v>1</v>
      </c>
      <c r="H6758" s="6" t="s">
        <v>2189</v>
      </c>
      <c r="I6758" t="s">
        <v>2068</v>
      </c>
      <c r="J6758">
        <v>12</v>
      </c>
      <c r="L6758" s="26" t="e">
        <f t="shared" si="397"/>
        <v>#VALUE!</v>
      </c>
    </row>
    <row r="6759" spans="1:12" x14ac:dyDescent="0.35">
      <c r="A6759">
        <f t="shared" si="398"/>
        <v>6758</v>
      </c>
      <c r="B6759" t="s">
        <v>750</v>
      </c>
      <c r="C6759" s="109" t="str">
        <f>IF(ISBLANK(K6759),IFERROR(VLOOKUP(I6759,FS_input_data!$C$458:$N$648,Export!J6759,FALSE),""),K6759)</f>
        <v/>
      </c>
      <c r="D6759" s="6"/>
      <c r="E6759" s="6"/>
      <c r="F6759" s="6"/>
      <c r="G6759" s="115" t="b">
        <f t="shared" si="399"/>
        <v>1</v>
      </c>
      <c r="H6759" s="6" t="s">
        <v>2189</v>
      </c>
      <c r="I6759" t="s">
        <v>1561</v>
      </c>
      <c r="J6759" t="s">
        <v>1561</v>
      </c>
      <c r="L6759">
        <f t="shared" si="397"/>
        <v>1</v>
      </c>
    </row>
    <row r="6760" spans="1:12" x14ac:dyDescent="0.35">
      <c r="A6760">
        <f t="shared" si="398"/>
        <v>6759</v>
      </c>
      <c r="B6760" t="s">
        <v>745</v>
      </c>
      <c r="C6760" s="109" t="str">
        <f>IF(ISBLANK(K6760),IFERROR(VLOOKUP(I6760,FS_input_data!$C$458:$N$648,Export!J6760,FALSE),""),K6760)</f>
        <v/>
      </c>
      <c r="D6760" s="6"/>
      <c r="E6760" s="6"/>
      <c r="F6760" s="6"/>
      <c r="G6760" s="115" t="b">
        <f t="shared" si="399"/>
        <v>1</v>
      </c>
      <c r="H6760" s="6" t="s">
        <v>2189</v>
      </c>
      <c r="I6760" t="s">
        <v>1561</v>
      </c>
      <c r="J6760" t="s">
        <v>1561</v>
      </c>
      <c r="L6760">
        <f t="shared" si="397"/>
        <v>1</v>
      </c>
    </row>
    <row r="6761" spans="1:12" x14ac:dyDescent="0.35">
      <c r="A6761">
        <f t="shared" si="398"/>
        <v>6760</v>
      </c>
      <c r="B6761" t="s">
        <v>764</v>
      </c>
      <c r="C6761" s="109" t="str">
        <f>IF(ISBLANK(K6761),IFERROR(VLOOKUP(I6761,FS_input_data!$C$458:$N$648,Export!J6761,FALSE),""),K6761)</f>
        <v/>
      </c>
      <c r="D6761" s="6"/>
      <c r="E6761" s="6"/>
      <c r="F6761" s="6"/>
      <c r="G6761" s="115" t="b">
        <f>VLOOKUP(I6730,FS_input_noty,J6730,FALSE)=""</f>
        <v>0</v>
      </c>
      <c r="H6761" s="6" t="s">
        <v>2189</v>
      </c>
      <c r="I6761" t="s">
        <v>1561</v>
      </c>
      <c r="J6761" t="s">
        <v>1561</v>
      </c>
      <c r="L6761">
        <f t="shared" si="397"/>
        <v>1</v>
      </c>
    </row>
    <row r="6762" spans="1:12" x14ac:dyDescent="0.35">
      <c r="A6762">
        <f t="shared" si="398"/>
        <v>6761</v>
      </c>
      <c r="B6762" t="s">
        <v>765</v>
      </c>
      <c r="C6762" s="109" t="str">
        <f>IF(ISBLANK(K6762),IFERROR(VLOOKUP(I6762,FS_input_data!$C$458:$N$648,Export!J6762,FALSE),""),K6762)</f>
        <v/>
      </c>
      <c r="D6762" s="6"/>
      <c r="E6762" s="6"/>
      <c r="F6762" s="6"/>
      <c r="G6762" s="115" t="b">
        <f>VLOOKUP(I6730,FS_input_noty,J6730,FALSE)=""</f>
        <v>0</v>
      </c>
      <c r="H6762" s="6" t="s">
        <v>2189</v>
      </c>
      <c r="I6762" t="s">
        <v>1561</v>
      </c>
      <c r="J6762" t="s">
        <v>1561</v>
      </c>
      <c r="L6762">
        <f t="shared" si="397"/>
        <v>1</v>
      </c>
    </row>
    <row r="6763" spans="1:12" x14ac:dyDescent="0.35">
      <c r="A6763">
        <f t="shared" si="398"/>
        <v>6762</v>
      </c>
      <c r="B6763" t="s">
        <v>752</v>
      </c>
      <c r="C6763" s="109" t="str">
        <f>IF(ISBLANK(K6763),IFERROR(VLOOKUP(I6763,FS_input_data!$C$458:$N$648,Export!J6763,FALSE),""),K6763)</f>
        <v/>
      </c>
      <c r="D6763" s="6"/>
      <c r="E6763" s="6"/>
      <c r="F6763" s="6"/>
      <c r="G6763" s="115" t="b">
        <f>VLOOKUP(I6764,FS_input_noty,J6764,FALSE)=""</f>
        <v>0</v>
      </c>
      <c r="H6763" s="6" t="s">
        <v>2189</v>
      </c>
      <c r="I6763" t="s">
        <v>1561</v>
      </c>
      <c r="J6763" t="s">
        <v>1561</v>
      </c>
      <c r="L6763" s="26" t="e">
        <f t="shared" si="397"/>
        <v>#VALUE!</v>
      </c>
    </row>
    <row r="6764" spans="1:12" x14ac:dyDescent="0.35">
      <c r="A6764" s="9">
        <f t="shared" si="398"/>
        <v>6763</v>
      </c>
      <c r="B6764" t="s">
        <v>101</v>
      </c>
      <c r="C6764" s="109" t="str">
        <f>IF(ISBLANK(K6764),IFERROR(VLOOKUP(I6764,FS_input_data!$C$458:$N$648,Export!J6764,FALSE),""),K6764)</f>
        <v>OC107</v>
      </c>
      <c r="D6764" s="6" t="b">
        <v>1</v>
      </c>
      <c r="E6764" s="6"/>
      <c r="F6764" s="6"/>
      <c r="G6764" s="115" t="b">
        <f>VLOOKUP(I6764,FS_input_noty,J6764,FALSE)=""</f>
        <v>0</v>
      </c>
      <c r="H6764" s="6" t="s">
        <v>2189</v>
      </c>
      <c r="I6764" t="s">
        <v>2070</v>
      </c>
      <c r="J6764">
        <v>6</v>
      </c>
      <c r="L6764" s="26" t="e">
        <f t="shared" si="397"/>
        <v>#VALUE!</v>
      </c>
    </row>
    <row r="6765" spans="1:12" x14ac:dyDescent="0.35">
      <c r="A6765">
        <f t="shared" si="398"/>
        <v>6764</v>
      </c>
      <c r="B6765" t="s">
        <v>102</v>
      </c>
      <c r="C6765" s="109" t="str">
        <f>IF(ISBLANK(K6765),IFERROR(VLOOKUP(I6765,FS_input_data!$C$458:$N$648,Export!J6765,FALSE),""),K6765)</f>
        <v/>
      </c>
      <c r="D6765" s="6"/>
      <c r="E6765" s="6"/>
      <c r="F6765" s="6"/>
      <c r="G6765" s="115" t="b">
        <f>VLOOKUP(I6764,FS_input_noty,J6764,FALSE)=""</f>
        <v>0</v>
      </c>
      <c r="H6765" s="6" t="s">
        <v>2189</v>
      </c>
      <c r="I6765" t="s">
        <v>1561</v>
      </c>
      <c r="J6765" t="s">
        <v>1561</v>
      </c>
      <c r="L6765">
        <f t="shared" si="397"/>
        <v>1</v>
      </c>
    </row>
    <row r="6766" spans="1:12" x14ac:dyDescent="0.35">
      <c r="A6766">
        <f t="shared" si="398"/>
        <v>6765</v>
      </c>
      <c r="B6766" t="s">
        <v>753</v>
      </c>
      <c r="C6766" s="109" t="str">
        <f>IF(ISBLANK(K6766),IFERROR(VLOOKUP(I6766,FS_input_data!$C$458:$N$648,Export!J6766,FALSE),""),K6766)</f>
        <v/>
      </c>
      <c r="D6766" s="6"/>
      <c r="E6766" s="6"/>
      <c r="F6766" s="6"/>
      <c r="G6766" s="115" t="b">
        <f>VLOOKUP(I6764,FS_input_noty,J6764,FALSE)=""</f>
        <v>0</v>
      </c>
      <c r="H6766" s="6" t="s">
        <v>2189</v>
      </c>
      <c r="I6766" t="s">
        <v>1561</v>
      </c>
      <c r="J6766" t="s">
        <v>1561</v>
      </c>
      <c r="L6766" s="26" t="e">
        <f t="shared" si="397"/>
        <v>#VALUE!</v>
      </c>
    </row>
    <row r="6767" spans="1:12" x14ac:dyDescent="0.35">
      <c r="A6767">
        <f t="shared" si="398"/>
        <v>6766</v>
      </c>
      <c r="B6767" t="s">
        <v>742</v>
      </c>
      <c r="C6767" s="109" t="str">
        <f>IF(ISBLANK(K6767),IFERROR(VLOOKUP(I6767,FS_input_data!$C$458:$N$648,Export!J6767,FALSE),""),K6767)</f>
        <v/>
      </c>
      <c r="D6767" s="6"/>
      <c r="E6767" s="6"/>
      <c r="F6767" s="6"/>
      <c r="G6767" s="115" t="b">
        <f>VLOOKUP(I6764,FS_input_noty,J6764,FALSE)=""</f>
        <v>0</v>
      </c>
      <c r="H6767" s="6" t="s">
        <v>2189</v>
      </c>
      <c r="I6767" t="s">
        <v>1561</v>
      </c>
      <c r="J6767" t="s">
        <v>1561</v>
      </c>
      <c r="L6767" s="26" t="e">
        <f t="shared" si="397"/>
        <v>#VALUE!</v>
      </c>
    </row>
    <row r="6768" spans="1:12" x14ac:dyDescent="0.35">
      <c r="A6768">
        <f t="shared" si="398"/>
        <v>6767</v>
      </c>
      <c r="B6768" t="s">
        <v>748</v>
      </c>
      <c r="C6768" s="109" t="str">
        <f>IF(ISBLANK(K6768),IFERROR(VLOOKUP(I6768,FS_input_data!$C$458:$N$648,Export!J6768,FALSE),""),K6768)</f>
        <v/>
      </c>
      <c r="D6768" s="6"/>
      <c r="E6768" s="6"/>
      <c r="F6768" s="6"/>
      <c r="G6768" s="115" t="b">
        <f>VLOOKUP(I6764,FS_input_noty,J6764,FALSE)=""</f>
        <v>0</v>
      </c>
      <c r="H6768" s="6" t="s">
        <v>2189</v>
      </c>
      <c r="I6768" t="s">
        <v>1561</v>
      </c>
      <c r="J6768" t="s">
        <v>1561</v>
      </c>
      <c r="L6768" s="26" t="e">
        <f t="shared" si="397"/>
        <v>#VALUE!</v>
      </c>
    </row>
    <row r="6769" spans="1:12" x14ac:dyDescent="0.35">
      <c r="A6769" s="9">
        <f t="shared" si="398"/>
        <v>6768</v>
      </c>
      <c r="B6769" t="s">
        <v>109</v>
      </c>
      <c r="C6769" s="109">
        <f>IF(ISBLANK(K6769),IFERROR(VLOOKUP(I6769,FS_input_data!$C$458:$N$648,Export!J6769,FALSE),""),K6769)</f>
        <v>32000</v>
      </c>
      <c r="D6769" s="6" t="b">
        <v>1</v>
      </c>
      <c r="E6769" s="6"/>
      <c r="F6769" s="6"/>
      <c r="G6769" s="115" t="b">
        <f>VLOOKUP(I6764,FS_input_noty,J6764,FALSE)=""</f>
        <v>0</v>
      </c>
      <c r="H6769" s="6" t="s">
        <v>2189</v>
      </c>
      <c r="I6769" t="s">
        <v>2070</v>
      </c>
      <c r="J6769">
        <v>7</v>
      </c>
      <c r="L6769" s="26" t="e">
        <f t="shared" si="397"/>
        <v>#VALUE!</v>
      </c>
    </row>
    <row r="6770" spans="1:12" x14ac:dyDescent="0.35">
      <c r="A6770">
        <f t="shared" si="398"/>
        <v>6769</v>
      </c>
      <c r="B6770" t="s">
        <v>110</v>
      </c>
      <c r="C6770" s="109" t="str">
        <f>IF(ISBLANK(K6770),IFERROR(VLOOKUP(I6770,FS_input_data!$C$458:$N$648,Export!J6770,FALSE),""),K6770)</f>
        <v/>
      </c>
      <c r="D6770" s="6"/>
      <c r="E6770" s="6"/>
      <c r="F6770" s="6"/>
      <c r="G6770" s="115" t="b">
        <f>VLOOKUP(I6764,FS_input_noty,J6764,FALSE)=""</f>
        <v>0</v>
      </c>
      <c r="H6770" s="6" t="s">
        <v>2189</v>
      </c>
      <c r="I6770" t="s">
        <v>1561</v>
      </c>
      <c r="J6770" t="s">
        <v>1561</v>
      </c>
      <c r="L6770">
        <f t="shared" si="397"/>
        <v>1</v>
      </c>
    </row>
    <row r="6771" spans="1:12" x14ac:dyDescent="0.35">
      <c r="A6771" s="9">
        <f t="shared" si="398"/>
        <v>6770</v>
      </c>
      <c r="B6771" t="s">
        <v>111</v>
      </c>
      <c r="C6771" s="109">
        <f>IF(ISBLANK(K6771),IFERROR(VLOOKUP(I6771,FS_input_data!$C$458:$N$648,Export!J6771,FALSE),""),K6771)</f>
        <v>16000</v>
      </c>
      <c r="D6771" s="6" t="b">
        <v>0</v>
      </c>
      <c r="E6771" s="6"/>
      <c r="F6771" s="6"/>
      <c r="G6771" s="115" t="b">
        <f>VLOOKUP(I6764,FS_input_noty,J6764,TRUE)=""</f>
        <v>0</v>
      </c>
      <c r="H6771" s="6" t="s">
        <v>2189</v>
      </c>
      <c r="I6771" t="s">
        <v>2070</v>
      </c>
      <c r="J6771">
        <v>8</v>
      </c>
      <c r="L6771" s="26" t="e">
        <f t="shared" si="397"/>
        <v>#VALUE!</v>
      </c>
    </row>
    <row r="6772" spans="1:12" x14ac:dyDescent="0.35">
      <c r="A6772">
        <f t="shared" si="398"/>
        <v>6771</v>
      </c>
      <c r="B6772" t="s">
        <v>112</v>
      </c>
      <c r="C6772" s="109" t="str">
        <f>IF(ISBLANK(K6772),IFERROR(VLOOKUP(I6772,FS_input_data!$C$458:$N$648,Export!J6772,FALSE),""),K6772)</f>
        <v/>
      </c>
      <c r="D6772" s="6"/>
      <c r="E6772" s="6"/>
      <c r="F6772" s="6"/>
      <c r="G6772" s="115" t="b">
        <f>VLOOKUP(I6764,FS_input_noty,J6764,FALSE)=""</f>
        <v>0</v>
      </c>
      <c r="H6772" s="6" t="s">
        <v>2189</v>
      </c>
      <c r="I6772" t="s">
        <v>1561</v>
      </c>
      <c r="J6772" t="s">
        <v>1561</v>
      </c>
      <c r="L6772">
        <f t="shared" si="397"/>
        <v>1</v>
      </c>
    </row>
    <row r="6773" spans="1:12" x14ac:dyDescent="0.35">
      <c r="A6773" s="9">
        <f t="shared" si="398"/>
        <v>6772</v>
      </c>
      <c r="B6773" t="s">
        <v>749</v>
      </c>
      <c r="C6773" s="109">
        <f>IF(ISBLANK(K6773),IFERROR(VLOOKUP(I6773,FS_input_data!$C$458:$N$648,Export!J6773,FALSE),""),K6773)</f>
        <v>16000</v>
      </c>
      <c r="D6773" s="6" t="b">
        <v>0</v>
      </c>
      <c r="E6773" s="6"/>
      <c r="F6773" s="6"/>
      <c r="G6773" s="115" t="b">
        <f>VLOOKUP(I6764,FS_input_noty,J6764,FALSE)=""</f>
        <v>0</v>
      </c>
      <c r="H6773" s="6" t="s">
        <v>2189</v>
      </c>
      <c r="I6773" t="s">
        <v>2070</v>
      </c>
      <c r="J6773">
        <v>9</v>
      </c>
      <c r="L6773" s="26" t="e">
        <f t="shared" si="397"/>
        <v>#VALUE!</v>
      </c>
    </row>
    <row r="6774" spans="1:12" x14ac:dyDescent="0.35">
      <c r="A6774">
        <f t="shared" si="398"/>
        <v>6773</v>
      </c>
      <c r="B6774" t="s">
        <v>750</v>
      </c>
      <c r="C6774" s="109" t="str">
        <f>IF(ISBLANK(K6774),IFERROR(VLOOKUP(I6774,FS_input_data!$C$458:$N$648,Export!J6774,FALSE),""),K6774)</f>
        <v/>
      </c>
      <c r="D6774" s="6"/>
      <c r="E6774" s="6"/>
      <c r="F6774" s="6"/>
      <c r="G6774" s="115" t="b">
        <f>VLOOKUP(I6764,FS_input_noty,J6764,FALSE)=""</f>
        <v>0</v>
      </c>
      <c r="H6774" s="6" t="s">
        <v>2189</v>
      </c>
      <c r="I6774" t="s">
        <v>1561</v>
      </c>
      <c r="J6774" t="s">
        <v>1561</v>
      </c>
      <c r="L6774">
        <f t="shared" si="397"/>
        <v>1</v>
      </c>
    </row>
    <row r="6775" spans="1:12" x14ac:dyDescent="0.35">
      <c r="A6775">
        <f t="shared" si="398"/>
        <v>6774</v>
      </c>
      <c r="B6775" t="s">
        <v>751</v>
      </c>
      <c r="C6775" s="109" t="str">
        <f>IF(ISBLANK(K6775),IFERROR(VLOOKUP(I6775,FS_input_data!$C$458:$N$648,Export!J6775,FALSE),""),K6775)</f>
        <v/>
      </c>
      <c r="D6775" s="6"/>
      <c r="E6775" s="6"/>
      <c r="F6775" s="6"/>
      <c r="G6775" s="115" t="b">
        <f>VLOOKUP(I6764,FS_input_noty,J6764,FALSE)=""</f>
        <v>0</v>
      </c>
      <c r="H6775" s="6" t="s">
        <v>2189</v>
      </c>
      <c r="I6775" t="s">
        <v>1561</v>
      </c>
      <c r="J6775" t="s">
        <v>1561</v>
      </c>
      <c r="L6775">
        <f t="shared" si="397"/>
        <v>1</v>
      </c>
    </row>
    <row r="6776" spans="1:12" x14ac:dyDescent="0.35">
      <c r="A6776">
        <f t="shared" si="398"/>
        <v>6775</v>
      </c>
      <c r="B6776" t="s">
        <v>754</v>
      </c>
      <c r="C6776" s="109" t="str">
        <f>IF(ISBLANK(K6776),IFERROR(VLOOKUP(I6776,FS_input_data!$C$458:$N$648,Export!J6776,FALSE),""),K6776)</f>
        <v/>
      </c>
      <c r="D6776" s="6"/>
      <c r="E6776" s="6"/>
      <c r="F6776" s="6"/>
      <c r="G6776" s="115" t="b">
        <f>VLOOKUP(I6764,FS_input_noty,J6764,FALSE)=""</f>
        <v>0</v>
      </c>
      <c r="H6776" s="6" t="s">
        <v>2189</v>
      </c>
      <c r="I6776" t="s">
        <v>1561</v>
      </c>
      <c r="J6776" t="s">
        <v>1561</v>
      </c>
      <c r="L6776" s="26" t="e">
        <f t="shared" si="397"/>
        <v>#VALUE!</v>
      </c>
    </row>
    <row r="6777" spans="1:12" x14ac:dyDescent="0.35">
      <c r="A6777" s="9">
        <f t="shared" si="398"/>
        <v>6776</v>
      </c>
      <c r="B6777" t="s">
        <v>755</v>
      </c>
      <c r="C6777" s="109">
        <f>IF(ISBLANK(K6777),IFERROR(VLOOKUP(I6777,FS_input_data!$C$458:$N$648,Export!J6777,FALSE),""),K6777)</f>
        <v>130</v>
      </c>
      <c r="D6777" s="6" t="b">
        <v>1</v>
      </c>
      <c r="E6777" s="6"/>
      <c r="F6777" s="6"/>
      <c r="G6777" s="115" t="b">
        <f>VLOOKUP(I6764,FS_input_noty,J6764,FALSE)=""</f>
        <v>0</v>
      </c>
      <c r="H6777" s="6" t="s">
        <v>2189</v>
      </c>
      <c r="I6777" t="s">
        <v>2070</v>
      </c>
      <c r="J6777">
        <v>2</v>
      </c>
      <c r="L6777" s="26" t="e">
        <f t="shared" si="397"/>
        <v>#VALUE!</v>
      </c>
    </row>
    <row r="6778" spans="1:12" x14ac:dyDescent="0.35">
      <c r="A6778">
        <f t="shared" si="398"/>
        <v>6777</v>
      </c>
      <c r="B6778" t="s">
        <v>756</v>
      </c>
      <c r="C6778" s="109" t="str">
        <f>IF(ISBLANK(K6778),IFERROR(VLOOKUP(I6778,FS_input_data!$C$458:$N$648,Export!J6778,FALSE),""),K6778)</f>
        <v/>
      </c>
      <c r="D6778" s="6"/>
      <c r="E6778" s="6"/>
      <c r="F6778" s="6"/>
      <c r="G6778" s="115" t="b">
        <f>VLOOKUP(I6764,FS_input_noty,J6764,FALSE)=""</f>
        <v>0</v>
      </c>
      <c r="H6778" s="6" t="s">
        <v>2189</v>
      </c>
      <c r="I6778" t="s">
        <v>1561</v>
      </c>
      <c r="J6778" t="s">
        <v>1561</v>
      </c>
      <c r="L6778">
        <f t="shared" si="397"/>
        <v>1</v>
      </c>
    </row>
    <row r="6779" spans="1:12" x14ac:dyDescent="0.35">
      <c r="A6779" s="9">
        <f t="shared" si="398"/>
        <v>6778</v>
      </c>
      <c r="B6779" t="s">
        <v>757</v>
      </c>
      <c r="C6779" s="109">
        <f>IF(ISBLANK(K6779),IFERROR(VLOOKUP(I6779,FS_input_data!$C$458:$N$648,Export!J6779,FALSE),""),K6779)</f>
        <v>230</v>
      </c>
      <c r="D6779" s="6" t="b">
        <v>0</v>
      </c>
      <c r="E6779" s="6"/>
      <c r="F6779" s="6"/>
      <c r="G6779" s="115" t="b">
        <f>VLOOKUP(I6764,FS_input_noty,J6764,FALSE)=""</f>
        <v>0</v>
      </c>
      <c r="H6779" s="6" t="s">
        <v>2189</v>
      </c>
      <c r="I6779" t="s">
        <v>2070</v>
      </c>
      <c r="J6779">
        <v>3</v>
      </c>
      <c r="L6779" s="26" t="e">
        <f t="shared" si="397"/>
        <v>#VALUE!</v>
      </c>
    </row>
    <row r="6780" spans="1:12" x14ac:dyDescent="0.35">
      <c r="A6780">
        <f t="shared" si="398"/>
        <v>6779</v>
      </c>
      <c r="B6780" t="s">
        <v>758</v>
      </c>
      <c r="C6780" s="109" t="str">
        <f>IF(ISBLANK(K6780),IFERROR(VLOOKUP(I6780,FS_input_data!$C$458:$N$648,Export!J6780,FALSE),""),K6780)</f>
        <v/>
      </c>
      <c r="D6780" s="6"/>
      <c r="E6780" s="6"/>
      <c r="F6780" s="6"/>
      <c r="G6780" s="115" t="b">
        <f>VLOOKUP(I6764,FS_input_noty,J6764,FALSE)=""</f>
        <v>0</v>
      </c>
      <c r="H6780" s="6" t="s">
        <v>2189</v>
      </c>
      <c r="I6780" t="s">
        <v>1561</v>
      </c>
      <c r="J6780" t="s">
        <v>1561</v>
      </c>
      <c r="L6780">
        <f t="shared" si="397"/>
        <v>1</v>
      </c>
    </row>
    <row r="6781" spans="1:12" x14ac:dyDescent="0.35">
      <c r="A6781" s="9">
        <f t="shared" si="398"/>
        <v>6780</v>
      </c>
      <c r="B6781" t="s">
        <v>759</v>
      </c>
      <c r="C6781" s="109">
        <f>IF(ISBLANK(K6781),IFERROR(VLOOKUP(I6781,FS_input_data!$C$458:$N$648,Export!J6781,FALSE),""),K6781)</f>
        <v>330</v>
      </c>
      <c r="D6781" s="6" t="b">
        <v>0</v>
      </c>
      <c r="E6781" s="6"/>
      <c r="F6781" s="6"/>
      <c r="G6781" s="115" t="b">
        <f>VLOOKUP(I6764,FS_input_noty,J6764,FALSE)=""</f>
        <v>0</v>
      </c>
      <c r="H6781" s="6" t="s">
        <v>2189</v>
      </c>
      <c r="I6781" t="s">
        <v>2070</v>
      </c>
      <c r="J6781">
        <v>4</v>
      </c>
      <c r="L6781" s="26" t="e">
        <f t="shared" si="397"/>
        <v>#VALUE!</v>
      </c>
    </row>
    <row r="6782" spans="1:12" x14ac:dyDescent="0.35">
      <c r="A6782">
        <f t="shared" si="398"/>
        <v>6781</v>
      </c>
      <c r="B6782" t="s">
        <v>760</v>
      </c>
      <c r="C6782" s="109" t="str">
        <f>IF(ISBLANK(K6782),IFERROR(VLOOKUP(I6782,FS_input_data!$C$458:$N$648,Export!J6782,FALSE),""),K6782)</f>
        <v/>
      </c>
      <c r="D6782" s="6"/>
      <c r="E6782" s="6"/>
      <c r="F6782" s="6"/>
      <c r="G6782" s="115" t="b">
        <f>VLOOKUP(I6764,FS_input_noty,J6764,FALSE)=""</f>
        <v>0</v>
      </c>
      <c r="H6782" s="6" t="s">
        <v>2189</v>
      </c>
      <c r="I6782" t="s">
        <v>1561</v>
      </c>
      <c r="J6782" t="s">
        <v>1561</v>
      </c>
      <c r="L6782">
        <f t="shared" si="397"/>
        <v>1</v>
      </c>
    </row>
    <row r="6783" spans="1:12" x14ac:dyDescent="0.35">
      <c r="A6783" s="9">
        <f t="shared" si="398"/>
        <v>6782</v>
      </c>
      <c r="B6783" t="s">
        <v>761</v>
      </c>
      <c r="C6783" s="109" t="str">
        <f>IF(ISBLANK(K6783),IFERROR(VLOOKUP(I6783,FS_input_data!$C$458:$N$648,Export!J6783,FALSE),""),K6783)</f>
        <v>d</v>
      </c>
      <c r="D6783" s="6" t="b">
        <v>0</v>
      </c>
      <c r="E6783" s="6"/>
      <c r="F6783" s="6"/>
      <c r="G6783" s="115" t="b">
        <f>VLOOKUP(I6764,FS_input_noty,J6764,FALSE)=""</f>
        <v>0</v>
      </c>
      <c r="H6783" s="6" t="s">
        <v>2189</v>
      </c>
      <c r="I6783" t="s">
        <v>2070</v>
      </c>
      <c r="J6783">
        <v>5</v>
      </c>
      <c r="L6783" s="26" t="e">
        <f t="shared" si="397"/>
        <v>#VALUE!</v>
      </c>
    </row>
    <row r="6784" spans="1:12" x14ac:dyDescent="0.35">
      <c r="A6784">
        <f t="shared" si="398"/>
        <v>6783</v>
      </c>
      <c r="B6784" t="s">
        <v>762</v>
      </c>
      <c r="C6784" s="109" t="str">
        <f>IF(ISBLANK(K6784),IFERROR(VLOOKUP(I6784,FS_input_data!$C$458:$N$648,Export!J6784,FALSE),""),K6784)</f>
        <v/>
      </c>
      <c r="D6784" s="6"/>
      <c r="E6784" s="6"/>
      <c r="F6784" s="6"/>
      <c r="G6784" s="115" t="b">
        <f>VLOOKUP(I6764,FS_input_noty,J6764,FALSE)=""</f>
        <v>0</v>
      </c>
      <c r="H6784" s="6" t="s">
        <v>2189</v>
      </c>
      <c r="I6784" t="s">
        <v>1561</v>
      </c>
      <c r="J6784" t="s">
        <v>1561</v>
      </c>
      <c r="L6784">
        <f t="shared" si="397"/>
        <v>1</v>
      </c>
    </row>
    <row r="6785" spans="1:12" x14ac:dyDescent="0.35">
      <c r="A6785">
        <f t="shared" si="398"/>
        <v>6784</v>
      </c>
      <c r="B6785" t="s">
        <v>763</v>
      </c>
      <c r="C6785" s="109" t="str">
        <f>IF(ISBLANK(K6785),IFERROR(VLOOKUP(I6785,FS_input_data!$C$458:$N$648,Export!J6785,FALSE),""),K6785)</f>
        <v/>
      </c>
      <c r="D6785" s="6"/>
      <c r="E6785" s="6"/>
      <c r="F6785" s="6"/>
      <c r="G6785" s="115" t="b">
        <f>VLOOKUP(I6764,FS_input_noty,J6764,FALSE)=""</f>
        <v>0</v>
      </c>
      <c r="H6785" s="6" t="s">
        <v>2189</v>
      </c>
      <c r="I6785" t="s">
        <v>1561</v>
      </c>
      <c r="J6785" t="s">
        <v>1561</v>
      </c>
      <c r="L6785">
        <f t="shared" si="397"/>
        <v>1</v>
      </c>
    </row>
    <row r="6786" spans="1:12" x14ac:dyDescent="0.35">
      <c r="A6786">
        <f t="shared" si="398"/>
        <v>6785</v>
      </c>
      <c r="B6786" t="s">
        <v>743</v>
      </c>
      <c r="C6786" s="109" t="str">
        <f>IF(ISBLANK(K6786),IFERROR(VLOOKUP(I6786,FS_input_data!$C$458:$N$648,Export!J6786,FALSE),""),K6786)</f>
        <v/>
      </c>
      <c r="D6786" s="6"/>
      <c r="E6786" s="6"/>
      <c r="F6786" s="6"/>
      <c r="G6786" s="115" t="b">
        <f>VLOOKUP(I6764,FS_input_noty,J6764,FALSE)=""</f>
        <v>0</v>
      </c>
      <c r="H6786" s="6" t="s">
        <v>2189</v>
      </c>
      <c r="I6786" t="s">
        <v>1561</v>
      </c>
      <c r="J6786" t="s">
        <v>1561</v>
      </c>
      <c r="L6786">
        <f t="shared" ref="L6786:L6849" si="400">FIND("/",B6786)</f>
        <v>1</v>
      </c>
    </row>
    <row r="6787" spans="1:12" x14ac:dyDescent="0.35">
      <c r="A6787">
        <f t="shared" ref="A6787:A6850" si="401">A6786+1</f>
        <v>6786</v>
      </c>
      <c r="B6787" t="s">
        <v>744</v>
      </c>
      <c r="C6787" s="109" t="str">
        <f>IF(ISBLANK(K6787),IFERROR(VLOOKUP(I6787,FS_input_data!$C$458:$N$648,Export!J6787,FALSE),""),K6787)</f>
        <v/>
      </c>
      <c r="D6787" s="6"/>
      <c r="E6787" s="6"/>
      <c r="F6787" s="6"/>
      <c r="G6787" s="115" t="b">
        <f t="shared" ref="G6787:G6794" si="402">RP_tax</f>
        <v>1</v>
      </c>
      <c r="H6787" s="6" t="s">
        <v>2189</v>
      </c>
      <c r="I6787" t="s">
        <v>1561</v>
      </c>
      <c r="J6787" t="s">
        <v>1561</v>
      </c>
      <c r="L6787" s="26" t="e">
        <f t="shared" si="400"/>
        <v>#VALUE!</v>
      </c>
    </row>
    <row r="6788" spans="1:12" x14ac:dyDescent="0.35">
      <c r="A6788" s="9">
        <f t="shared" si="401"/>
        <v>6787</v>
      </c>
      <c r="B6788" t="s">
        <v>109</v>
      </c>
      <c r="C6788" s="109">
        <f>IF(ISBLANK(K6788),IFERROR(VLOOKUP(I6788,FS_input_data!$C$458:$N$648,Export!J6788,FALSE),""),K6788)</f>
        <v>32000</v>
      </c>
      <c r="D6788" s="6" t="b">
        <v>1</v>
      </c>
      <c r="E6788" s="6"/>
      <c r="F6788" s="6"/>
      <c r="G6788" s="115" t="b">
        <f t="shared" si="402"/>
        <v>1</v>
      </c>
      <c r="H6788" s="6" t="s">
        <v>2189</v>
      </c>
      <c r="I6788" t="s">
        <v>2070</v>
      </c>
      <c r="J6788">
        <v>10</v>
      </c>
      <c r="L6788" s="26" t="e">
        <f t="shared" si="400"/>
        <v>#VALUE!</v>
      </c>
    </row>
    <row r="6789" spans="1:12" x14ac:dyDescent="0.35">
      <c r="A6789">
        <f t="shared" si="401"/>
        <v>6788</v>
      </c>
      <c r="B6789" t="s">
        <v>110</v>
      </c>
      <c r="C6789" s="109" t="str">
        <f>IF(ISBLANK(K6789),IFERROR(VLOOKUP(I6789,FS_input_data!$C$458:$N$648,Export!J6789,FALSE),""),K6789)</f>
        <v/>
      </c>
      <c r="D6789" s="6"/>
      <c r="E6789" s="6"/>
      <c r="F6789" s="6"/>
      <c r="G6789" s="115" t="b">
        <f t="shared" si="402"/>
        <v>1</v>
      </c>
      <c r="H6789" s="6" t="s">
        <v>2189</v>
      </c>
      <c r="I6789" t="s">
        <v>1561</v>
      </c>
      <c r="J6789" t="s">
        <v>1561</v>
      </c>
      <c r="L6789">
        <f t="shared" si="400"/>
        <v>1</v>
      </c>
    </row>
    <row r="6790" spans="1:12" x14ac:dyDescent="0.35">
      <c r="A6790" s="9">
        <f t="shared" si="401"/>
        <v>6789</v>
      </c>
      <c r="B6790" t="s">
        <v>111</v>
      </c>
      <c r="C6790" s="109">
        <f>IF(ISBLANK(K6790),IFERROR(VLOOKUP(I6790,FS_input_data!$C$458:$N$648,Export!J6790,FALSE),""),K6790)</f>
        <v>16000</v>
      </c>
      <c r="D6790" s="6" t="b">
        <v>0</v>
      </c>
      <c r="E6790" s="6"/>
      <c r="F6790" s="6"/>
      <c r="G6790" s="115" t="b">
        <f t="shared" si="402"/>
        <v>1</v>
      </c>
      <c r="H6790" s="6" t="s">
        <v>2189</v>
      </c>
      <c r="I6790" t="s">
        <v>2070</v>
      </c>
      <c r="J6790">
        <v>11</v>
      </c>
      <c r="L6790" s="26" t="e">
        <f t="shared" si="400"/>
        <v>#VALUE!</v>
      </c>
    </row>
    <row r="6791" spans="1:12" x14ac:dyDescent="0.35">
      <c r="A6791">
        <f t="shared" si="401"/>
        <v>6790</v>
      </c>
      <c r="B6791" t="s">
        <v>112</v>
      </c>
      <c r="C6791" s="109" t="str">
        <f>IF(ISBLANK(K6791),IFERROR(VLOOKUP(I6791,FS_input_data!$C$458:$N$648,Export!J6791,FALSE),""),K6791)</f>
        <v/>
      </c>
      <c r="D6791" s="6"/>
      <c r="E6791" s="6"/>
      <c r="F6791" s="6"/>
      <c r="G6791" s="115" t="b">
        <f t="shared" si="402"/>
        <v>1</v>
      </c>
      <c r="H6791" s="6" t="s">
        <v>2189</v>
      </c>
      <c r="I6791" t="s">
        <v>1561</v>
      </c>
      <c r="J6791" t="s">
        <v>1561</v>
      </c>
      <c r="L6791">
        <f t="shared" si="400"/>
        <v>1</v>
      </c>
    </row>
    <row r="6792" spans="1:12" x14ac:dyDescent="0.35">
      <c r="A6792" s="9">
        <f t="shared" si="401"/>
        <v>6791</v>
      </c>
      <c r="B6792" t="s">
        <v>749</v>
      </c>
      <c r="C6792" s="109">
        <f>IF(ISBLANK(K6792),IFERROR(VLOOKUP(I6792,FS_input_data!$C$458:$N$648,Export!J6792,FALSE),""),K6792)</f>
        <v>16000</v>
      </c>
      <c r="D6792" s="6" t="b">
        <v>0</v>
      </c>
      <c r="E6792" s="6"/>
      <c r="F6792" s="6"/>
      <c r="G6792" s="115" t="b">
        <f t="shared" si="402"/>
        <v>1</v>
      </c>
      <c r="H6792" s="6" t="s">
        <v>2189</v>
      </c>
      <c r="I6792" t="s">
        <v>2070</v>
      </c>
      <c r="J6792">
        <v>12</v>
      </c>
      <c r="L6792" s="26" t="e">
        <f t="shared" si="400"/>
        <v>#VALUE!</v>
      </c>
    </row>
    <row r="6793" spans="1:12" x14ac:dyDescent="0.35">
      <c r="A6793">
        <f t="shared" si="401"/>
        <v>6792</v>
      </c>
      <c r="B6793" t="s">
        <v>750</v>
      </c>
      <c r="C6793" s="109" t="str">
        <f>IF(ISBLANK(K6793),IFERROR(VLOOKUP(I6793,FS_input_data!$C$458:$N$648,Export!J6793,FALSE),""),K6793)</f>
        <v/>
      </c>
      <c r="D6793" s="6"/>
      <c r="E6793" s="6"/>
      <c r="F6793" s="6"/>
      <c r="G6793" s="115" t="b">
        <f t="shared" si="402"/>
        <v>1</v>
      </c>
      <c r="H6793" s="6" t="s">
        <v>2189</v>
      </c>
      <c r="I6793" t="s">
        <v>1561</v>
      </c>
      <c r="J6793" t="s">
        <v>1561</v>
      </c>
      <c r="L6793">
        <f t="shared" si="400"/>
        <v>1</v>
      </c>
    </row>
    <row r="6794" spans="1:12" x14ac:dyDescent="0.35">
      <c r="A6794">
        <f t="shared" si="401"/>
        <v>6793</v>
      </c>
      <c r="B6794" t="s">
        <v>745</v>
      </c>
      <c r="C6794" s="109" t="str">
        <f>IF(ISBLANK(K6794),IFERROR(VLOOKUP(I6794,FS_input_data!$C$458:$N$648,Export!J6794,FALSE),""),K6794)</f>
        <v/>
      </c>
      <c r="D6794" s="6"/>
      <c r="E6794" s="6"/>
      <c r="F6794" s="6"/>
      <c r="G6794" s="115" t="b">
        <f t="shared" si="402"/>
        <v>1</v>
      </c>
      <c r="H6794" s="6" t="s">
        <v>2189</v>
      </c>
      <c r="I6794" t="s">
        <v>1561</v>
      </c>
      <c r="J6794" t="s">
        <v>1561</v>
      </c>
      <c r="L6794">
        <f t="shared" si="400"/>
        <v>1</v>
      </c>
    </row>
    <row r="6795" spans="1:12" x14ac:dyDescent="0.35">
      <c r="A6795">
        <f t="shared" si="401"/>
        <v>6794</v>
      </c>
      <c r="B6795" t="s">
        <v>764</v>
      </c>
      <c r="C6795" s="109" t="str">
        <f>IF(ISBLANK(K6795),IFERROR(VLOOKUP(I6795,FS_input_data!$C$458:$N$648,Export!J6795,FALSE),""),K6795)</f>
        <v/>
      </c>
      <c r="D6795" s="6"/>
      <c r="E6795" s="6"/>
      <c r="F6795" s="6"/>
      <c r="G6795" s="115" t="b">
        <f>VLOOKUP(I6764,FS_input_noty,J6764,FALSE)=""</f>
        <v>0</v>
      </c>
      <c r="H6795" s="6" t="s">
        <v>2189</v>
      </c>
      <c r="I6795" t="s">
        <v>1561</v>
      </c>
      <c r="J6795" t="s">
        <v>1561</v>
      </c>
      <c r="L6795">
        <f t="shared" si="400"/>
        <v>1</v>
      </c>
    </row>
    <row r="6796" spans="1:12" x14ac:dyDescent="0.35">
      <c r="A6796">
        <f t="shared" si="401"/>
        <v>6795</v>
      </c>
      <c r="B6796" t="s">
        <v>765</v>
      </c>
      <c r="C6796" s="109" t="str">
        <f>IF(ISBLANK(K6796),IFERROR(VLOOKUP(I6796,FS_input_data!$C$458:$N$648,Export!J6796,FALSE),""),K6796)</f>
        <v/>
      </c>
      <c r="D6796" s="6"/>
      <c r="E6796" s="6"/>
      <c r="F6796" s="6"/>
      <c r="G6796" s="115" t="b">
        <f>VLOOKUP(I6764,FS_input_noty,J6764,FALSE)=""</f>
        <v>0</v>
      </c>
      <c r="H6796" s="6" t="s">
        <v>2189</v>
      </c>
      <c r="I6796" t="s">
        <v>1561</v>
      </c>
      <c r="J6796" t="s">
        <v>1561</v>
      </c>
      <c r="L6796">
        <f t="shared" si="400"/>
        <v>1</v>
      </c>
    </row>
    <row r="6797" spans="1:12" x14ac:dyDescent="0.35">
      <c r="A6797">
        <f t="shared" si="401"/>
        <v>6796</v>
      </c>
      <c r="B6797" t="s">
        <v>752</v>
      </c>
      <c r="C6797" s="109" t="str">
        <f>IF(ISBLANK(K6797),IFERROR(VLOOKUP(I6797,FS_input_data!$C$458:$N$648,Export!J6797,FALSE),""),K6797)</f>
        <v/>
      </c>
      <c r="D6797" s="6"/>
      <c r="E6797" s="6"/>
      <c r="F6797" s="6"/>
      <c r="G6797" s="115" t="b">
        <f>VLOOKUP(I6798,FS_input_noty,J6798,FALSE)=""</f>
        <v>0</v>
      </c>
      <c r="H6797" s="6" t="s">
        <v>2189</v>
      </c>
      <c r="I6797" t="s">
        <v>1561</v>
      </c>
      <c r="J6797" t="s">
        <v>1561</v>
      </c>
      <c r="L6797" s="26" t="e">
        <f t="shared" si="400"/>
        <v>#VALUE!</v>
      </c>
    </row>
    <row r="6798" spans="1:12" x14ac:dyDescent="0.35">
      <c r="A6798" s="9">
        <f t="shared" si="401"/>
        <v>6797</v>
      </c>
      <c r="B6798" t="s">
        <v>101</v>
      </c>
      <c r="C6798" s="109" t="str">
        <f>IF(ISBLANK(K6798),IFERROR(VLOOKUP(I6798,FS_input_data!$C$458:$N$648,Export!J6798,FALSE),""),K6798)</f>
        <v>OC108</v>
      </c>
      <c r="D6798" s="6" t="b">
        <v>1</v>
      </c>
      <c r="E6798" s="6"/>
      <c r="F6798" s="6"/>
      <c r="G6798" s="115" t="b">
        <f>VLOOKUP(I6798,FS_input_noty,J6798,FALSE)=""</f>
        <v>0</v>
      </c>
      <c r="H6798" s="6" t="s">
        <v>2189</v>
      </c>
      <c r="I6798" t="s">
        <v>2072</v>
      </c>
      <c r="J6798">
        <v>6</v>
      </c>
      <c r="L6798" s="26" t="e">
        <f t="shared" si="400"/>
        <v>#VALUE!</v>
      </c>
    </row>
    <row r="6799" spans="1:12" x14ac:dyDescent="0.35">
      <c r="A6799">
        <f t="shared" si="401"/>
        <v>6798</v>
      </c>
      <c r="B6799" t="s">
        <v>102</v>
      </c>
      <c r="C6799" s="109" t="str">
        <f>IF(ISBLANK(K6799),IFERROR(VLOOKUP(I6799,FS_input_data!$C$458:$N$648,Export!J6799,FALSE),""),K6799)</f>
        <v/>
      </c>
      <c r="E6799" s="6"/>
      <c r="F6799" s="6"/>
      <c r="G6799" s="115" t="b">
        <f>VLOOKUP(I6798,FS_input_noty,J6798,FALSE)=""</f>
        <v>0</v>
      </c>
      <c r="H6799" s="6" t="s">
        <v>2189</v>
      </c>
      <c r="I6799" t="s">
        <v>1561</v>
      </c>
      <c r="J6799" t="s">
        <v>1561</v>
      </c>
      <c r="L6799">
        <f t="shared" si="400"/>
        <v>1</v>
      </c>
    </row>
    <row r="6800" spans="1:12" x14ac:dyDescent="0.35">
      <c r="A6800">
        <f t="shared" si="401"/>
        <v>6799</v>
      </c>
      <c r="B6800" t="s">
        <v>753</v>
      </c>
      <c r="C6800" s="109" t="str">
        <f>IF(ISBLANK(K6800),IFERROR(VLOOKUP(I6800,FS_input_data!$C$458:$N$648,Export!J6800,FALSE),""),K6800)</f>
        <v/>
      </c>
      <c r="E6800" s="6"/>
      <c r="F6800" s="6"/>
      <c r="G6800" s="115" t="b">
        <f>VLOOKUP(I6798,FS_input_noty,J6798,FALSE)=""</f>
        <v>0</v>
      </c>
      <c r="H6800" s="6" t="s">
        <v>2189</v>
      </c>
      <c r="I6800" t="s">
        <v>1561</v>
      </c>
      <c r="J6800" t="s">
        <v>1561</v>
      </c>
      <c r="L6800" s="26" t="e">
        <f t="shared" si="400"/>
        <v>#VALUE!</v>
      </c>
    </row>
    <row r="6801" spans="1:12" x14ac:dyDescent="0.35">
      <c r="A6801">
        <f t="shared" si="401"/>
        <v>6800</v>
      </c>
      <c r="B6801" t="s">
        <v>742</v>
      </c>
      <c r="C6801" s="109" t="str">
        <f>IF(ISBLANK(K6801),IFERROR(VLOOKUP(I6801,FS_input_data!$C$458:$N$648,Export!J6801,FALSE),""),K6801)</f>
        <v/>
      </c>
      <c r="E6801" s="6"/>
      <c r="F6801" s="6"/>
      <c r="G6801" s="115" t="b">
        <f>VLOOKUP(I6798,FS_input_noty,J6798,FALSE)=""</f>
        <v>0</v>
      </c>
      <c r="H6801" s="6" t="s">
        <v>2189</v>
      </c>
      <c r="I6801" t="s">
        <v>1561</v>
      </c>
      <c r="J6801" t="s">
        <v>1561</v>
      </c>
      <c r="L6801" s="26" t="e">
        <f t="shared" si="400"/>
        <v>#VALUE!</v>
      </c>
    </row>
    <row r="6802" spans="1:12" x14ac:dyDescent="0.35">
      <c r="A6802">
        <f t="shared" si="401"/>
        <v>6801</v>
      </c>
      <c r="B6802" t="s">
        <v>748</v>
      </c>
      <c r="C6802" s="109" t="str">
        <f>IF(ISBLANK(K6802),IFERROR(VLOOKUP(I6802,FS_input_data!$C$458:$N$648,Export!J6802,FALSE),""),K6802)</f>
        <v/>
      </c>
      <c r="E6802" s="6"/>
      <c r="F6802" s="6"/>
      <c r="G6802" s="115" t="b">
        <f>VLOOKUP(I6798,FS_input_noty,J6798,FALSE)=""</f>
        <v>0</v>
      </c>
      <c r="H6802" s="6" t="s">
        <v>2189</v>
      </c>
      <c r="I6802" t="s">
        <v>1561</v>
      </c>
      <c r="J6802" t="s">
        <v>1561</v>
      </c>
      <c r="L6802" s="26" t="e">
        <f t="shared" si="400"/>
        <v>#VALUE!</v>
      </c>
    </row>
    <row r="6803" spans="1:12" x14ac:dyDescent="0.35">
      <c r="A6803" s="9">
        <f t="shared" si="401"/>
        <v>6802</v>
      </c>
      <c r="B6803" t="s">
        <v>109</v>
      </c>
      <c r="C6803" s="109">
        <f>IF(ISBLANK(K6803),IFERROR(VLOOKUP(I6803,FS_input_data!$C$458:$N$648,Export!J6803,FALSE),""),K6803)</f>
        <v>33000</v>
      </c>
      <c r="D6803" s="6" t="b">
        <v>1</v>
      </c>
      <c r="E6803" s="6"/>
      <c r="F6803" s="6"/>
      <c r="G6803" s="115" t="b">
        <f>VLOOKUP(I6798,FS_input_noty,J6798,FALSE)=""</f>
        <v>0</v>
      </c>
      <c r="H6803" s="6" t="s">
        <v>2189</v>
      </c>
      <c r="I6803" t="s">
        <v>2072</v>
      </c>
      <c r="J6803">
        <v>7</v>
      </c>
      <c r="L6803" s="26" t="e">
        <f t="shared" si="400"/>
        <v>#VALUE!</v>
      </c>
    </row>
    <row r="6804" spans="1:12" x14ac:dyDescent="0.35">
      <c r="A6804">
        <f t="shared" si="401"/>
        <v>6803</v>
      </c>
      <c r="B6804" t="s">
        <v>110</v>
      </c>
      <c r="C6804" s="109" t="str">
        <f>IF(ISBLANK(K6804),IFERROR(VLOOKUP(I6804,FS_input_data!$C$458:$N$648,Export!J6804,FALSE),""),K6804)</f>
        <v/>
      </c>
      <c r="D6804" s="6"/>
      <c r="E6804" s="6"/>
      <c r="F6804" s="6"/>
      <c r="G6804" s="115" t="b">
        <f>VLOOKUP(I6798,FS_input_noty,J6798,FALSE)=""</f>
        <v>0</v>
      </c>
      <c r="H6804" s="6" t="s">
        <v>2189</v>
      </c>
      <c r="I6804" t="s">
        <v>1561</v>
      </c>
      <c r="J6804" t="s">
        <v>1561</v>
      </c>
      <c r="L6804">
        <f t="shared" si="400"/>
        <v>1</v>
      </c>
    </row>
    <row r="6805" spans="1:12" x14ac:dyDescent="0.35">
      <c r="A6805" s="9">
        <f t="shared" si="401"/>
        <v>6804</v>
      </c>
      <c r="B6805" t="s">
        <v>111</v>
      </c>
      <c r="C6805" s="109">
        <f>IF(ISBLANK(K6805),IFERROR(VLOOKUP(I6805,FS_input_data!$C$458:$N$648,Export!J6805,FALSE),""),K6805)</f>
        <v>16500</v>
      </c>
      <c r="D6805" s="6" t="b">
        <v>0</v>
      </c>
      <c r="E6805" s="6"/>
      <c r="F6805" s="6"/>
      <c r="G6805" s="115" t="b">
        <f>VLOOKUP(I6798,FS_input_noty,J6798,TRUE)=""</f>
        <v>0</v>
      </c>
      <c r="H6805" s="6" t="s">
        <v>2189</v>
      </c>
      <c r="I6805" t="s">
        <v>2072</v>
      </c>
      <c r="J6805">
        <v>8</v>
      </c>
      <c r="L6805" s="26" t="e">
        <f t="shared" si="400"/>
        <v>#VALUE!</v>
      </c>
    </row>
    <row r="6806" spans="1:12" x14ac:dyDescent="0.35">
      <c r="A6806">
        <f t="shared" si="401"/>
        <v>6805</v>
      </c>
      <c r="B6806" t="s">
        <v>112</v>
      </c>
      <c r="C6806" s="109" t="str">
        <f>IF(ISBLANK(K6806),IFERROR(VLOOKUP(I6806,FS_input_data!$C$458:$N$648,Export!J6806,FALSE),""),K6806)</f>
        <v/>
      </c>
      <c r="D6806" s="6"/>
      <c r="E6806" s="6"/>
      <c r="F6806" s="6"/>
      <c r="G6806" s="115" t="b">
        <f>VLOOKUP(I6798,FS_input_noty,J6798,FALSE)=""</f>
        <v>0</v>
      </c>
      <c r="H6806" s="6" t="s">
        <v>2189</v>
      </c>
      <c r="I6806" t="s">
        <v>1561</v>
      </c>
      <c r="J6806" t="s">
        <v>1561</v>
      </c>
      <c r="L6806">
        <f t="shared" si="400"/>
        <v>1</v>
      </c>
    </row>
    <row r="6807" spans="1:12" x14ac:dyDescent="0.35">
      <c r="A6807" s="9">
        <f t="shared" si="401"/>
        <v>6806</v>
      </c>
      <c r="B6807" t="s">
        <v>749</v>
      </c>
      <c r="C6807" s="109">
        <f>IF(ISBLANK(K6807),IFERROR(VLOOKUP(I6807,FS_input_data!$C$458:$N$648,Export!J6807,FALSE),""),K6807)</f>
        <v>16500</v>
      </c>
      <c r="D6807" s="6" t="b">
        <v>0</v>
      </c>
      <c r="E6807" s="6"/>
      <c r="F6807" s="6"/>
      <c r="G6807" s="115" t="b">
        <f>VLOOKUP(I6798,FS_input_noty,J6798,FALSE)=""</f>
        <v>0</v>
      </c>
      <c r="H6807" s="6" t="s">
        <v>2189</v>
      </c>
      <c r="I6807" t="s">
        <v>2072</v>
      </c>
      <c r="J6807">
        <v>9</v>
      </c>
      <c r="L6807" s="26" t="e">
        <f t="shared" si="400"/>
        <v>#VALUE!</v>
      </c>
    </row>
    <row r="6808" spans="1:12" x14ac:dyDescent="0.35">
      <c r="A6808">
        <f t="shared" si="401"/>
        <v>6807</v>
      </c>
      <c r="B6808" t="s">
        <v>750</v>
      </c>
      <c r="C6808" s="109" t="str">
        <f>IF(ISBLANK(K6808),IFERROR(VLOOKUP(I6808,FS_input_data!$C$458:$N$648,Export!J6808,FALSE),""),K6808)</f>
        <v/>
      </c>
      <c r="D6808" s="6"/>
      <c r="E6808" s="6"/>
      <c r="F6808" s="6"/>
      <c r="G6808" s="115" t="b">
        <f>VLOOKUP(I6798,FS_input_noty,J6798,FALSE)=""</f>
        <v>0</v>
      </c>
      <c r="H6808" s="6" t="s">
        <v>2189</v>
      </c>
      <c r="I6808" t="s">
        <v>1561</v>
      </c>
      <c r="J6808" t="s">
        <v>1561</v>
      </c>
      <c r="L6808">
        <f t="shared" si="400"/>
        <v>1</v>
      </c>
    </row>
    <row r="6809" spans="1:12" x14ac:dyDescent="0.35">
      <c r="A6809">
        <f t="shared" si="401"/>
        <v>6808</v>
      </c>
      <c r="B6809" t="s">
        <v>751</v>
      </c>
      <c r="C6809" s="109" t="str">
        <f>IF(ISBLANK(K6809),IFERROR(VLOOKUP(I6809,FS_input_data!$C$458:$N$648,Export!J6809,FALSE),""),K6809)</f>
        <v/>
      </c>
      <c r="D6809" s="6"/>
      <c r="E6809" s="6"/>
      <c r="F6809" s="6"/>
      <c r="G6809" s="115" t="b">
        <f>VLOOKUP(I6798,FS_input_noty,J6798,FALSE)=""</f>
        <v>0</v>
      </c>
      <c r="H6809" s="6" t="s">
        <v>2189</v>
      </c>
      <c r="I6809" t="s">
        <v>1561</v>
      </c>
      <c r="J6809" t="s">
        <v>1561</v>
      </c>
      <c r="L6809">
        <f t="shared" si="400"/>
        <v>1</v>
      </c>
    </row>
    <row r="6810" spans="1:12" x14ac:dyDescent="0.35">
      <c r="A6810">
        <f t="shared" si="401"/>
        <v>6809</v>
      </c>
      <c r="B6810" t="s">
        <v>754</v>
      </c>
      <c r="C6810" s="109" t="str">
        <f>IF(ISBLANK(K6810),IFERROR(VLOOKUP(I6810,FS_input_data!$C$458:$N$648,Export!J6810,FALSE),""),K6810)</f>
        <v/>
      </c>
      <c r="D6810" s="6"/>
      <c r="E6810" s="6"/>
      <c r="F6810" s="6"/>
      <c r="G6810" s="115" t="b">
        <f>VLOOKUP(I6798,FS_input_noty,J6798,FALSE)=""</f>
        <v>0</v>
      </c>
      <c r="H6810" s="6" t="s">
        <v>2189</v>
      </c>
      <c r="I6810" t="s">
        <v>1561</v>
      </c>
      <c r="J6810" t="s">
        <v>1561</v>
      </c>
      <c r="L6810" s="26" t="e">
        <f t="shared" si="400"/>
        <v>#VALUE!</v>
      </c>
    </row>
    <row r="6811" spans="1:12" x14ac:dyDescent="0.35">
      <c r="A6811" s="9">
        <f t="shared" si="401"/>
        <v>6810</v>
      </c>
      <c r="B6811" t="s">
        <v>755</v>
      </c>
      <c r="C6811" s="109">
        <f>IF(ISBLANK(K6811),IFERROR(VLOOKUP(I6811,FS_input_data!$C$458:$N$648,Export!J6811,FALSE),""),K6811)</f>
        <v>131</v>
      </c>
      <c r="D6811" s="6" t="b">
        <v>1</v>
      </c>
      <c r="E6811" s="6"/>
      <c r="F6811" s="6"/>
      <c r="G6811" s="115" t="b">
        <f>VLOOKUP(I6798,FS_input_noty,J6798,FALSE)=""</f>
        <v>0</v>
      </c>
      <c r="H6811" s="6" t="s">
        <v>2189</v>
      </c>
      <c r="I6811" t="s">
        <v>2072</v>
      </c>
      <c r="J6811">
        <v>2</v>
      </c>
      <c r="L6811" s="26" t="e">
        <f t="shared" si="400"/>
        <v>#VALUE!</v>
      </c>
    </row>
    <row r="6812" spans="1:12" x14ac:dyDescent="0.35">
      <c r="A6812">
        <f t="shared" si="401"/>
        <v>6811</v>
      </c>
      <c r="B6812" t="s">
        <v>756</v>
      </c>
      <c r="C6812" s="109" t="str">
        <f>IF(ISBLANK(K6812),IFERROR(VLOOKUP(I6812,FS_input_data!$C$458:$N$648,Export!J6812,FALSE),""),K6812)</f>
        <v/>
      </c>
      <c r="D6812" s="6"/>
      <c r="E6812" s="6"/>
      <c r="F6812" s="6"/>
      <c r="G6812" s="115" t="b">
        <f>VLOOKUP(I6798,FS_input_noty,J6798,FALSE)=""</f>
        <v>0</v>
      </c>
      <c r="H6812" s="6" t="s">
        <v>2189</v>
      </c>
      <c r="I6812" t="s">
        <v>1561</v>
      </c>
      <c r="J6812" t="s">
        <v>1561</v>
      </c>
      <c r="L6812">
        <f t="shared" si="400"/>
        <v>1</v>
      </c>
    </row>
    <row r="6813" spans="1:12" x14ac:dyDescent="0.35">
      <c r="A6813" s="9">
        <f t="shared" si="401"/>
        <v>6812</v>
      </c>
      <c r="B6813" t="s">
        <v>757</v>
      </c>
      <c r="C6813" s="109">
        <f>IF(ISBLANK(K6813),IFERROR(VLOOKUP(I6813,FS_input_data!$C$458:$N$648,Export!J6813,FALSE),""),K6813)</f>
        <v>231</v>
      </c>
      <c r="D6813" s="6" t="b">
        <v>0</v>
      </c>
      <c r="E6813" s="6"/>
      <c r="F6813" s="6"/>
      <c r="G6813" s="115" t="b">
        <f>VLOOKUP(I6798,FS_input_noty,J6798,FALSE)=""</f>
        <v>0</v>
      </c>
      <c r="H6813" s="6" t="s">
        <v>2189</v>
      </c>
      <c r="I6813" t="s">
        <v>2072</v>
      </c>
      <c r="J6813">
        <v>3</v>
      </c>
      <c r="L6813" s="26" t="e">
        <f t="shared" si="400"/>
        <v>#VALUE!</v>
      </c>
    </row>
    <row r="6814" spans="1:12" x14ac:dyDescent="0.35">
      <c r="A6814">
        <f t="shared" si="401"/>
        <v>6813</v>
      </c>
      <c r="B6814" t="s">
        <v>758</v>
      </c>
      <c r="C6814" s="109" t="str">
        <f>IF(ISBLANK(K6814),IFERROR(VLOOKUP(I6814,FS_input_data!$C$458:$N$648,Export!J6814,FALSE),""),K6814)</f>
        <v/>
      </c>
      <c r="D6814" s="6"/>
      <c r="E6814" s="6"/>
      <c r="F6814" s="6"/>
      <c r="G6814" s="115" t="b">
        <f>VLOOKUP(I6798,FS_input_noty,J6798,FALSE)=""</f>
        <v>0</v>
      </c>
      <c r="H6814" s="6" t="s">
        <v>2189</v>
      </c>
      <c r="I6814" t="s">
        <v>1561</v>
      </c>
      <c r="J6814" t="s">
        <v>1561</v>
      </c>
      <c r="L6814">
        <f t="shared" si="400"/>
        <v>1</v>
      </c>
    </row>
    <row r="6815" spans="1:12" x14ac:dyDescent="0.35">
      <c r="A6815" s="9">
        <f t="shared" si="401"/>
        <v>6814</v>
      </c>
      <c r="B6815" t="s">
        <v>759</v>
      </c>
      <c r="C6815" s="109">
        <f>IF(ISBLANK(K6815),IFERROR(VLOOKUP(I6815,FS_input_data!$C$458:$N$648,Export!J6815,FALSE),""),K6815)</f>
        <v>331</v>
      </c>
      <c r="D6815" s="6" t="b">
        <v>0</v>
      </c>
      <c r="E6815" s="6"/>
      <c r="F6815" s="6"/>
      <c r="G6815" s="115" t="b">
        <f>VLOOKUP(I6798,FS_input_noty,J6798,FALSE)=""</f>
        <v>0</v>
      </c>
      <c r="H6815" s="6" t="s">
        <v>2189</v>
      </c>
      <c r="I6815" t="s">
        <v>2072</v>
      </c>
      <c r="J6815">
        <v>4</v>
      </c>
      <c r="L6815" s="26" t="e">
        <f t="shared" si="400"/>
        <v>#VALUE!</v>
      </c>
    </row>
    <row r="6816" spans="1:12" x14ac:dyDescent="0.35">
      <c r="A6816">
        <f t="shared" si="401"/>
        <v>6815</v>
      </c>
      <c r="B6816" t="s">
        <v>760</v>
      </c>
      <c r="C6816" s="109" t="str">
        <f>IF(ISBLANK(K6816),IFERROR(VLOOKUP(I6816,FS_input_data!$C$458:$N$648,Export!J6816,FALSE),""),K6816)</f>
        <v/>
      </c>
      <c r="D6816" s="6"/>
      <c r="E6816" s="6"/>
      <c r="F6816" s="6"/>
      <c r="G6816" s="115" t="b">
        <f>VLOOKUP(I6798,FS_input_noty,J6798,FALSE)=""</f>
        <v>0</v>
      </c>
      <c r="H6816" s="6" t="s">
        <v>2189</v>
      </c>
      <c r="I6816" t="s">
        <v>1561</v>
      </c>
      <c r="J6816" t="s">
        <v>1561</v>
      </c>
      <c r="L6816">
        <f t="shared" si="400"/>
        <v>1</v>
      </c>
    </row>
    <row r="6817" spans="1:12" x14ac:dyDescent="0.35">
      <c r="A6817" s="9">
        <f t="shared" si="401"/>
        <v>6816</v>
      </c>
      <c r="B6817" t="s">
        <v>761</v>
      </c>
      <c r="C6817" s="109" t="str">
        <f>IF(ISBLANK(K6817),IFERROR(VLOOKUP(I6817,FS_input_data!$C$458:$N$648,Export!J6817,FALSE),""),K6817)</f>
        <v>e</v>
      </c>
      <c r="D6817" s="6" t="b">
        <v>0</v>
      </c>
      <c r="E6817" s="6"/>
      <c r="F6817" s="6"/>
      <c r="G6817" s="115" t="b">
        <f>VLOOKUP(I6798,FS_input_noty,J6798,FALSE)=""</f>
        <v>0</v>
      </c>
      <c r="H6817" s="6" t="s">
        <v>2189</v>
      </c>
      <c r="I6817" t="s">
        <v>2072</v>
      </c>
      <c r="J6817">
        <v>5</v>
      </c>
      <c r="L6817" s="26" t="e">
        <f t="shared" si="400"/>
        <v>#VALUE!</v>
      </c>
    </row>
    <row r="6818" spans="1:12" x14ac:dyDescent="0.35">
      <c r="A6818">
        <f t="shared" si="401"/>
        <v>6817</v>
      </c>
      <c r="B6818" t="s">
        <v>762</v>
      </c>
      <c r="C6818" s="109" t="str">
        <f>IF(ISBLANK(K6818),IFERROR(VLOOKUP(I6818,FS_input_data!$C$458:$N$648,Export!J6818,FALSE),""),K6818)</f>
        <v/>
      </c>
      <c r="D6818" s="6"/>
      <c r="E6818" s="6"/>
      <c r="F6818" s="6"/>
      <c r="G6818" s="115" t="b">
        <f>VLOOKUP(I6798,FS_input_noty,J6798,FALSE)=""</f>
        <v>0</v>
      </c>
      <c r="H6818" s="6" t="s">
        <v>2189</v>
      </c>
      <c r="I6818" t="s">
        <v>1561</v>
      </c>
      <c r="J6818" t="s">
        <v>1561</v>
      </c>
      <c r="L6818">
        <f t="shared" si="400"/>
        <v>1</v>
      </c>
    </row>
    <row r="6819" spans="1:12" x14ac:dyDescent="0.35">
      <c r="A6819">
        <f t="shared" si="401"/>
        <v>6818</v>
      </c>
      <c r="B6819" t="s">
        <v>763</v>
      </c>
      <c r="C6819" s="109" t="str">
        <f>IF(ISBLANK(K6819),IFERROR(VLOOKUP(I6819,FS_input_data!$C$458:$N$648,Export!J6819,FALSE),""),K6819)</f>
        <v/>
      </c>
      <c r="D6819" s="6"/>
      <c r="E6819" s="6"/>
      <c r="F6819" s="6"/>
      <c r="G6819" s="115" t="b">
        <f>VLOOKUP(I6798,FS_input_noty,J6798,FALSE)=""</f>
        <v>0</v>
      </c>
      <c r="H6819" s="6" t="s">
        <v>2189</v>
      </c>
      <c r="I6819" t="s">
        <v>1561</v>
      </c>
      <c r="J6819" t="s">
        <v>1561</v>
      </c>
      <c r="L6819">
        <f t="shared" si="400"/>
        <v>1</v>
      </c>
    </row>
    <row r="6820" spans="1:12" x14ac:dyDescent="0.35">
      <c r="A6820">
        <f t="shared" si="401"/>
        <v>6819</v>
      </c>
      <c r="B6820" t="s">
        <v>743</v>
      </c>
      <c r="C6820" s="109" t="str">
        <f>IF(ISBLANK(K6820),IFERROR(VLOOKUP(I6820,FS_input_data!$C$458:$N$648,Export!J6820,FALSE),""),K6820)</f>
        <v/>
      </c>
      <c r="D6820" s="6"/>
      <c r="E6820" s="6"/>
      <c r="F6820" s="6"/>
      <c r="G6820" s="115" t="b">
        <f>VLOOKUP(I6798,FS_input_noty,J6798,FALSE)=""</f>
        <v>0</v>
      </c>
      <c r="H6820" s="6" t="s">
        <v>2189</v>
      </c>
      <c r="I6820" t="s">
        <v>1561</v>
      </c>
      <c r="J6820" t="s">
        <v>1561</v>
      </c>
      <c r="L6820">
        <f t="shared" si="400"/>
        <v>1</v>
      </c>
    </row>
    <row r="6821" spans="1:12" x14ac:dyDescent="0.35">
      <c r="A6821">
        <f t="shared" si="401"/>
        <v>6820</v>
      </c>
      <c r="B6821" t="s">
        <v>744</v>
      </c>
      <c r="C6821" s="109" t="str">
        <f>IF(ISBLANK(K6821),IFERROR(VLOOKUP(I6821,FS_input_data!$C$458:$N$648,Export!J6821,FALSE),""),K6821)</f>
        <v/>
      </c>
      <c r="E6821" s="6"/>
      <c r="F6821" s="6"/>
      <c r="G6821" s="115" t="b">
        <f t="shared" ref="G6821:G6828" si="403">RP_tax</f>
        <v>1</v>
      </c>
      <c r="H6821" s="6" t="s">
        <v>2189</v>
      </c>
      <c r="I6821" t="s">
        <v>1561</v>
      </c>
      <c r="J6821" t="s">
        <v>1561</v>
      </c>
      <c r="L6821" s="26" t="e">
        <f t="shared" si="400"/>
        <v>#VALUE!</v>
      </c>
    </row>
    <row r="6822" spans="1:12" x14ac:dyDescent="0.35">
      <c r="A6822" s="9">
        <f t="shared" si="401"/>
        <v>6821</v>
      </c>
      <c r="B6822" t="s">
        <v>109</v>
      </c>
      <c r="C6822" s="109">
        <f>IF(ISBLANK(K6822),IFERROR(VLOOKUP(I6822,FS_input_data!$C$458:$N$648,Export!J6822,FALSE),""),K6822)</f>
        <v>33000</v>
      </c>
      <c r="D6822" s="6" t="b">
        <v>1</v>
      </c>
      <c r="E6822" s="6"/>
      <c r="F6822" s="6"/>
      <c r="G6822" s="115" t="b">
        <f t="shared" si="403"/>
        <v>1</v>
      </c>
      <c r="H6822" s="6" t="s">
        <v>2189</v>
      </c>
      <c r="I6822" t="s">
        <v>2072</v>
      </c>
      <c r="J6822">
        <v>10</v>
      </c>
      <c r="L6822" s="26" t="e">
        <f t="shared" si="400"/>
        <v>#VALUE!</v>
      </c>
    </row>
    <row r="6823" spans="1:12" x14ac:dyDescent="0.35">
      <c r="A6823">
        <f t="shared" si="401"/>
        <v>6822</v>
      </c>
      <c r="B6823" t="s">
        <v>110</v>
      </c>
      <c r="C6823" s="109" t="str">
        <f>IF(ISBLANK(K6823),IFERROR(VLOOKUP(I6823,FS_input_data!$C$458:$N$648,Export!J6823,FALSE),""),K6823)</f>
        <v/>
      </c>
      <c r="D6823" s="6"/>
      <c r="E6823" s="6"/>
      <c r="F6823" s="6"/>
      <c r="G6823" s="115" t="b">
        <f t="shared" si="403"/>
        <v>1</v>
      </c>
      <c r="H6823" s="6" t="s">
        <v>2189</v>
      </c>
      <c r="I6823" t="s">
        <v>1561</v>
      </c>
      <c r="J6823" t="s">
        <v>1561</v>
      </c>
      <c r="L6823">
        <f t="shared" si="400"/>
        <v>1</v>
      </c>
    </row>
    <row r="6824" spans="1:12" x14ac:dyDescent="0.35">
      <c r="A6824" s="9">
        <f t="shared" si="401"/>
        <v>6823</v>
      </c>
      <c r="B6824" t="s">
        <v>111</v>
      </c>
      <c r="C6824" s="109">
        <f>IF(ISBLANK(K6824),IFERROR(VLOOKUP(I6824,FS_input_data!$C$458:$N$648,Export!J6824,FALSE),""),K6824)</f>
        <v>16500</v>
      </c>
      <c r="D6824" s="6" t="b">
        <v>0</v>
      </c>
      <c r="E6824" s="6"/>
      <c r="F6824" s="6"/>
      <c r="G6824" s="115" t="b">
        <f t="shared" si="403"/>
        <v>1</v>
      </c>
      <c r="H6824" s="6" t="s">
        <v>2189</v>
      </c>
      <c r="I6824" t="s">
        <v>2072</v>
      </c>
      <c r="J6824">
        <v>11</v>
      </c>
      <c r="L6824" s="26" t="e">
        <f t="shared" si="400"/>
        <v>#VALUE!</v>
      </c>
    </row>
    <row r="6825" spans="1:12" x14ac:dyDescent="0.35">
      <c r="A6825">
        <f t="shared" si="401"/>
        <v>6824</v>
      </c>
      <c r="B6825" t="s">
        <v>112</v>
      </c>
      <c r="C6825" s="109" t="str">
        <f>IF(ISBLANK(K6825),IFERROR(VLOOKUP(I6825,FS_input_data!$C$458:$N$648,Export!J6825,FALSE),""),K6825)</f>
        <v/>
      </c>
      <c r="D6825" s="6"/>
      <c r="E6825" s="6"/>
      <c r="F6825" s="6"/>
      <c r="G6825" s="115" t="b">
        <f t="shared" si="403"/>
        <v>1</v>
      </c>
      <c r="H6825" s="6" t="s">
        <v>2189</v>
      </c>
      <c r="I6825" t="s">
        <v>1561</v>
      </c>
      <c r="J6825" t="s">
        <v>1561</v>
      </c>
      <c r="L6825">
        <f t="shared" si="400"/>
        <v>1</v>
      </c>
    </row>
    <row r="6826" spans="1:12" x14ac:dyDescent="0.35">
      <c r="A6826" s="9">
        <f t="shared" si="401"/>
        <v>6825</v>
      </c>
      <c r="B6826" t="s">
        <v>749</v>
      </c>
      <c r="C6826" s="109">
        <f>IF(ISBLANK(K6826),IFERROR(VLOOKUP(I6826,FS_input_data!$C$458:$N$648,Export!J6826,FALSE),""),K6826)</f>
        <v>16500</v>
      </c>
      <c r="D6826" s="6" t="b">
        <v>0</v>
      </c>
      <c r="E6826" s="6"/>
      <c r="F6826" s="6"/>
      <c r="G6826" s="115" t="b">
        <f t="shared" si="403"/>
        <v>1</v>
      </c>
      <c r="H6826" s="6" t="s">
        <v>2189</v>
      </c>
      <c r="I6826" t="s">
        <v>2072</v>
      </c>
      <c r="J6826">
        <v>12</v>
      </c>
      <c r="L6826" s="26" t="e">
        <f t="shared" si="400"/>
        <v>#VALUE!</v>
      </c>
    </row>
    <row r="6827" spans="1:12" x14ac:dyDescent="0.35">
      <c r="A6827">
        <f t="shared" si="401"/>
        <v>6826</v>
      </c>
      <c r="B6827" t="s">
        <v>750</v>
      </c>
      <c r="C6827" s="109" t="str">
        <f>IF(ISBLANK(K6827),IFERROR(VLOOKUP(I6827,FS_input_data!$C$458:$N$648,Export!J6827,FALSE),""),K6827)</f>
        <v/>
      </c>
      <c r="E6827" s="6"/>
      <c r="F6827" s="6"/>
      <c r="G6827" s="115" t="b">
        <f t="shared" si="403"/>
        <v>1</v>
      </c>
      <c r="H6827" s="6" t="s">
        <v>2189</v>
      </c>
      <c r="I6827" t="s">
        <v>1561</v>
      </c>
      <c r="J6827" t="s">
        <v>1561</v>
      </c>
      <c r="L6827">
        <f t="shared" si="400"/>
        <v>1</v>
      </c>
    </row>
    <row r="6828" spans="1:12" x14ac:dyDescent="0.35">
      <c r="A6828">
        <f t="shared" si="401"/>
        <v>6827</v>
      </c>
      <c r="B6828" t="s">
        <v>745</v>
      </c>
      <c r="C6828" s="109" t="str">
        <f>IF(ISBLANK(K6828),IFERROR(VLOOKUP(I6828,FS_input_data!$C$458:$N$648,Export!J6828,FALSE),""),K6828)</f>
        <v/>
      </c>
      <c r="E6828" s="6"/>
      <c r="F6828" s="6"/>
      <c r="G6828" s="115" t="b">
        <f t="shared" si="403"/>
        <v>1</v>
      </c>
      <c r="H6828" s="6" t="s">
        <v>2189</v>
      </c>
      <c r="I6828" t="s">
        <v>1561</v>
      </c>
      <c r="J6828" t="s">
        <v>1561</v>
      </c>
      <c r="L6828">
        <f t="shared" si="400"/>
        <v>1</v>
      </c>
    </row>
    <row r="6829" spans="1:12" x14ac:dyDescent="0.35">
      <c r="A6829">
        <f t="shared" si="401"/>
        <v>6828</v>
      </c>
      <c r="B6829" t="s">
        <v>764</v>
      </c>
      <c r="C6829" s="109" t="str">
        <f>IF(ISBLANK(K6829),IFERROR(VLOOKUP(I6829,FS_input_data!$C$458:$N$648,Export!J6829,FALSE),""),K6829)</f>
        <v/>
      </c>
      <c r="E6829" s="6"/>
      <c r="F6829" s="6"/>
      <c r="G6829" s="115" t="b">
        <f>VLOOKUP(I6798,FS_input_noty,J6798,FALSE)=""</f>
        <v>0</v>
      </c>
      <c r="H6829" s="6" t="s">
        <v>2189</v>
      </c>
      <c r="I6829" t="s">
        <v>1561</v>
      </c>
      <c r="J6829" t="s">
        <v>1561</v>
      </c>
      <c r="L6829">
        <f t="shared" si="400"/>
        <v>1</v>
      </c>
    </row>
    <row r="6830" spans="1:12" x14ac:dyDescent="0.35">
      <c r="A6830">
        <f t="shared" si="401"/>
        <v>6829</v>
      </c>
      <c r="B6830" t="s">
        <v>765</v>
      </c>
      <c r="C6830" s="109" t="str">
        <f>IF(ISBLANK(K6830),IFERROR(VLOOKUP(I6830,FS_input_data!$C$458:$N$648,Export!J6830,FALSE),""),K6830)</f>
        <v/>
      </c>
      <c r="E6830" s="6"/>
      <c r="F6830" s="6"/>
      <c r="G6830" s="115" t="b">
        <f>VLOOKUP(I6798,FS_input_noty,J6798,FALSE)=""</f>
        <v>0</v>
      </c>
      <c r="H6830" s="6" t="s">
        <v>2189</v>
      </c>
      <c r="I6830" t="s">
        <v>1561</v>
      </c>
      <c r="J6830" t="s">
        <v>1561</v>
      </c>
      <c r="L6830">
        <f t="shared" si="400"/>
        <v>1</v>
      </c>
    </row>
    <row r="6831" spans="1:12" x14ac:dyDescent="0.35">
      <c r="A6831">
        <f t="shared" si="401"/>
        <v>6830</v>
      </c>
      <c r="B6831" t="s">
        <v>752</v>
      </c>
      <c r="C6831" s="109" t="str">
        <f>IF(ISBLANK(K6831),IFERROR(VLOOKUP(I6831,FS_input_data!$C$458:$N$648,Export!J6831,FALSE),""),K6831)</f>
        <v/>
      </c>
      <c r="E6831" s="6"/>
      <c r="F6831" s="6"/>
      <c r="G6831" s="115" t="b">
        <f>VLOOKUP(I6832,FS_input_noty,J6832,FALSE)=""</f>
        <v>0</v>
      </c>
      <c r="H6831" s="6" t="s">
        <v>2189</v>
      </c>
      <c r="I6831" t="s">
        <v>1561</v>
      </c>
      <c r="J6831" t="s">
        <v>1561</v>
      </c>
      <c r="L6831" s="26" t="e">
        <f t="shared" si="400"/>
        <v>#VALUE!</v>
      </c>
    </row>
    <row r="6832" spans="1:12" x14ac:dyDescent="0.35">
      <c r="A6832" s="9">
        <f t="shared" si="401"/>
        <v>6831</v>
      </c>
      <c r="B6832" t="s">
        <v>101</v>
      </c>
      <c r="C6832" s="109" t="str">
        <f>IF(ISBLANK(K6832),IFERROR(VLOOKUP(I6832,FS_input_data!$C$458:$N$648,Export!J6832,FALSE),""),K6832)</f>
        <v>OC109</v>
      </c>
      <c r="D6832" t="b">
        <v>1</v>
      </c>
      <c r="E6832" s="6"/>
      <c r="F6832" s="6"/>
      <c r="G6832" s="115" t="b">
        <f>VLOOKUP(I6832,FS_input_noty,J6832,FALSE)=""</f>
        <v>0</v>
      </c>
      <c r="H6832" s="6" t="s">
        <v>2189</v>
      </c>
      <c r="I6832" t="s">
        <v>2074</v>
      </c>
      <c r="J6832">
        <v>6</v>
      </c>
      <c r="L6832" s="26" t="e">
        <f t="shared" si="400"/>
        <v>#VALUE!</v>
      </c>
    </row>
    <row r="6833" spans="1:12" x14ac:dyDescent="0.35">
      <c r="A6833">
        <f t="shared" si="401"/>
        <v>6832</v>
      </c>
      <c r="B6833" t="s">
        <v>102</v>
      </c>
      <c r="C6833" s="109" t="str">
        <f>IF(ISBLANK(K6833),IFERROR(VLOOKUP(I6833,FS_input_data!$C$458:$N$648,Export!J6833,FALSE),""),K6833)</f>
        <v/>
      </c>
      <c r="E6833" s="6"/>
      <c r="F6833" s="6"/>
      <c r="G6833" s="115" t="b">
        <f>VLOOKUP(I6832,FS_input_noty,J6832,FALSE)=""</f>
        <v>0</v>
      </c>
      <c r="H6833" s="6" t="s">
        <v>2189</v>
      </c>
      <c r="I6833" t="s">
        <v>1561</v>
      </c>
      <c r="J6833" t="s">
        <v>1561</v>
      </c>
      <c r="L6833">
        <f t="shared" si="400"/>
        <v>1</v>
      </c>
    </row>
    <row r="6834" spans="1:12" x14ac:dyDescent="0.35">
      <c r="A6834">
        <f t="shared" si="401"/>
        <v>6833</v>
      </c>
      <c r="B6834" t="s">
        <v>753</v>
      </c>
      <c r="C6834" s="109" t="str">
        <f>IF(ISBLANK(K6834),IFERROR(VLOOKUP(I6834,FS_input_data!$C$458:$N$648,Export!J6834,FALSE),""),K6834)</f>
        <v/>
      </c>
      <c r="E6834" s="6"/>
      <c r="F6834" s="6"/>
      <c r="G6834" s="115" t="b">
        <f>VLOOKUP(I6832,FS_input_noty,J6832,FALSE)=""</f>
        <v>0</v>
      </c>
      <c r="H6834" s="6" t="s">
        <v>2189</v>
      </c>
      <c r="I6834" t="s">
        <v>1561</v>
      </c>
      <c r="J6834" t="s">
        <v>1561</v>
      </c>
      <c r="L6834" s="26" t="e">
        <f t="shared" si="400"/>
        <v>#VALUE!</v>
      </c>
    </row>
    <row r="6835" spans="1:12" x14ac:dyDescent="0.35">
      <c r="A6835">
        <f t="shared" si="401"/>
        <v>6834</v>
      </c>
      <c r="B6835" t="s">
        <v>742</v>
      </c>
      <c r="C6835" s="109" t="str">
        <f>IF(ISBLANK(K6835),IFERROR(VLOOKUP(I6835,FS_input_data!$C$458:$N$648,Export!J6835,FALSE),""),K6835)</f>
        <v/>
      </c>
      <c r="E6835" s="6"/>
      <c r="F6835" s="6"/>
      <c r="G6835" s="115" t="b">
        <f>VLOOKUP(I6832,FS_input_noty,J6832,FALSE)=""</f>
        <v>0</v>
      </c>
      <c r="H6835" s="6" t="s">
        <v>2189</v>
      </c>
      <c r="I6835" t="s">
        <v>1561</v>
      </c>
      <c r="J6835" t="s">
        <v>1561</v>
      </c>
      <c r="L6835" s="26" t="e">
        <f t="shared" si="400"/>
        <v>#VALUE!</v>
      </c>
    </row>
    <row r="6836" spans="1:12" x14ac:dyDescent="0.35">
      <c r="A6836">
        <f t="shared" si="401"/>
        <v>6835</v>
      </c>
      <c r="B6836" t="s">
        <v>748</v>
      </c>
      <c r="C6836" s="109" t="str">
        <f>IF(ISBLANK(K6836),IFERROR(VLOOKUP(I6836,FS_input_data!$C$458:$N$648,Export!J6836,FALSE),""),K6836)</f>
        <v/>
      </c>
      <c r="D6836" s="6"/>
      <c r="E6836" s="6"/>
      <c r="F6836" s="6"/>
      <c r="G6836" s="115" t="b">
        <f>VLOOKUP(I6832,FS_input_noty,J6832,FALSE)=""</f>
        <v>0</v>
      </c>
      <c r="H6836" s="6" t="s">
        <v>2189</v>
      </c>
      <c r="I6836" t="s">
        <v>1561</v>
      </c>
      <c r="J6836" t="s">
        <v>1561</v>
      </c>
      <c r="L6836" s="26" t="e">
        <f t="shared" si="400"/>
        <v>#VALUE!</v>
      </c>
    </row>
    <row r="6837" spans="1:12" x14ac:dyDescent="0.35">
      <c r="A6837" s="9">
        <f t="shared" si="401"/>
        <v>6836</v>
      </c>
      <c r="B6837" t="s">
        <v>109</v>
      </c>
      <c r="C6837" s="109">
        <f>IF(ISBLANK(K6837),IFERROR(VLOOKUP(I6837,FS_input_data!$C$458:$N$648,Export!J6837,FALSE),""),K6837)</f>
        <v>34000</v>
      </c>
      <c r="D6837" s="6" t="b">
        <v>1</v>
      </c>
      <c r="E6837" s="6"/>
      <c r="F6837" s="6"/>
      <c r="G6837" s="115" t="b">
        <f>VLOOKUP(I6832,FS_input_noty,J6832,FALSE)=""</f>
        <v>0</v>
      </c>
      <c r="H6837" s="6" t="s">
        <v>2189</v>
      </c>
      <c r="I6837" t="s">
        <v>2074</v>
      </c>
      <c r="J6837">
        <v>7</v>
      </c>
      <c r="L6837" s="26" t="e">
        <f t="shared" si="400"/>
        <v>#VALUE!</v>
      </c>
    </row>
    <row r="6838" spans="1:12" x14ac:dyDescent="0.35">
      <c r="A6838">
        <f t="shared" si="401"/>
        <v>6837</v>
      </c>
      <c r="B6838" t="s">
        <v>110</v>
      </c>
      <c r="C6838" s="109" t="str">
        <f>IF(ISBLANK(K6838),IFERROR(VLOOKUP(I6838,FS_input_data!$C$458:$N$648,Export!J6838,FALSE),""),K6838)</f>
        <v/>
      </c>
      <c r="D6838" s="6"/>
      <c r="E6838" s="6"/>
      <c r="F6838" s="6"/>
      <c r="G6838" s="115" t="b">
        <f>VLOOKUP(I6832,FS_input_noty,J6832,FALSE)=""</f>
        <v>0</v>
      </c>
      <c r="H6838" s="6" t="s">
        <v>2189</v>
      </c>
      <c r="I6838" t="s">
        <v>1561</v>
      </c>
      <c r="J6838" t="s">
        <v>1561</v>
      </c>
      <c r="L6838">
        <f t="shared" si="400"/>
        <v>1</v>
      </c>
    </row>
    <row r="6839" spans="1:12" x14ac:dyDescent="0.35">
      <c r="A6839" s="9">
        <f t="shared" si="401"/>
        <v>6838</v>
      </c>
      <c r="B6839" t="s">
        <v>111</v>
      </c>
      <c r="C6839" s="109">
        <f>IF(ISBLANK(K6839),IFERROR(VLOOKUP(I6839,FS_input_data!$C$458:$N$648,Export!J6839,FALSE),""),K6839)</f>
        <v>17000</v>
      </c>
      <c r="D6839" s="6" t="b">
        <v>0</v>
      </c>
      <c r="E6839" s="6"/>
      <c r="F6839" s="6"/>
      <c r="G6839" s="115" t="b">
        <f>VLOOKUP(I6832,FS_input_noty,J6832,TRUE)=""</f>
        <v>0</v>
      </c>
      <c r="H6839" s="6" t="s">
        <v>2189</v>
      </c>
      <c r="I6839" t="s">
        <v>2074</v>
      </c>
      <c r="J6839">
        <v>8</v>
      </c>
      <c r="L6839" s="26" t="e">
        <f t="shared" si="400"/>
        <v>#VALUE!</v>
      </c>
    </row>
    <row r="6840" spans="1:12" x14ac:dyDescent="0.35">
      <c r="A6840">
        <f t="shared" si="401"/>
        <v>6839</v>
      </c>
      <c r="B6840" t="s">
        <v>112</v>
      </c>
      <c r="C6840" s="109" t="str">
        <f>IF(ISBLANK(K6840),IFERROR(VLOOKUP(I6840,FS_input_data!$C$458:$N$648,Export!J6840,FALSE),""),K6840)</f>
        <v/>
      </c>
      <c r="D6840" s="6"/>
      <c r="E6840" s="6"/>
      <c r="F6840" s="6"/>
      <c r="G6840" s="115" t="b">
        <f>VLOOKUP(I6832,FS_input_noty,J6832,FALSE)=""</f>
        <v>0</v>
      </c>
      <c r="H6840" s="6" t="s">
        <v>2189</v>
      </c>
      <c r="I6840" t="s">
        <v>1561</v>
      </c>
      <c r="J6840" t="s">
        <v>1561</v>
      </c>
      <c r="L6840">
        <f t="shared" si="400"/>
        <v>1</v>
      </c>
    </row>
    <row r="6841" spans="1:12" x14ac:dyDescent="0.35">
      <c r="A6841" s="9">
        <f t="shared" si="401"/>
        <v>6840</v>
      </c>
      <c r="B6841" t="s">
        <v>749</v>
      </c>
      <c r="C6841" s="109">
        <f>IF(ISBLANK(K6841),IFERROR(VLOOKUP(I6841,FS_input_data!$C$458:$N$648,Export!J6841,FALSE),""),K6841)</f>
        <v>17000</v>
      </c>
      <c r="D6841" s="6" t="b">
        <v>0</v>
      </c>
      <c r="E6841" s="6"/>
      <c r="F6841" s="6"/>
      <c r="G6841" s="115" t="b">
        <f>VLOOKUP(I6832,FS_input_noty,J6832,FALSE)=""</f>
        <v>0</v>
      </c>
      <c r="H6841" s="6" t="s">
        <v>2189</v>
      </c>
      <c r="I6841" t="s">
        <v>2074</v>
      </c>
      <c r="J6841">
        <v>9</v>
      </c>
      <c r="L6841" s="26" t="e">
        <f t="shared" si="400"/>
        <v>#VALUE!</v>
      </c>
    </row>
    <row r="6842" spans="1:12" x14ac:dyDescent="0.35">
      <c r="A6842">
        <f t="shared" si="401"/>
        <v>6841</v>
      </c>
      <c r="B6842" t="s">
        <v>750</v>
      </c>
      <c r="C6842" s="109" t="str">
        <f>IF(ISBLANK(K6842),IFERROR(VLOOKUP(I6842,FS_input_data!$C$458:$N$648,Export!J6842,FALSE),""),K6842)</f>
        <v/>
      </c>
      <c r="D6842" s="6"/>
      <c r="E6842" s="6"/>
      <c r="F6842" s="6"/>
      <c r="G6842" s="115" t="b">
        <f>VLOOKUP(I6832,FS_input_noty,J6832,FALSE)=""</f>
        <v>0</v>
      </c>
      <c r="H6842" s="6" t="s">
        <v>2189</v>
      </c>
      <c r="I6842" t="s">
        <v>1561</v>
      </c>
      <c r="J6842" t="s">
        <v>1561</v>
      </c>
      <c r="L6842">
        <f t="shared" si="400"/>
        <v>1</v>
      </c>
    </row>
    <row r="6843" spans="1:12" x14ac:dyDescent="0.35">
      <c r="A6843">
        <f t="shared" si="401"/>
        <v>6842</v>
      </c>
      <c r="B6843" t="s">
        <v>751</v>
      </c>
      <c r="C6843" s="109" t="str">
        <f>IF(ISBLANK(K6843),IFERROR(VLOOKUP(I6843,FS_input_data!$C$458:$N$648,Export!J6843,FALSE),""),K6843)</f>
        <v/>
      </c>
      <c r="D6843" s="6"/>
      <c r="E6843" s="6"/>
      <c r="F6843" s="6"/>
      <c r="G6843" s="115" t="b">
        <f>VLOOKUP(I6832,FS_input_noty,J6832,FALSE)=""</f>
        <v>0</v>
      </c>
      <c r="H6843" s="6" t="s">
        <v>2189</v>
      </c>
      <c r="I6843" t="s">
        <v>1561</v>
      </c>
      <c r="J6843" t="s">
        <v>1561</v>
      </c>
      <c r="L6843">
        <f t="shared" si="400"/>
        <v>1</v>
      </c>
    </row>
    <row r="6844" spans="1:12" x14ac:dyDescent="0.35">
      <c r="A6844">
        <f t="shared" si="401"/>
        <v>6843</v>
      </c>
      <c r="B6844" t="s">
        <v>754</v>
      </c>
      <c r="C6844" s="109" t="str">
        <f>IF(ISBLANK(K6844),IFERROR(VLOOKUP(I6844,FS_input_data!$C$458:$N$648,Export!J6844,FALSE),""),K6844)</f>
        <v/>
      </c>
      <c r="D6844" s="6"/>
      <c r="E6844" s="6"/>
      <c r="F6844" s="6"/>
      <c r="G6844" s="115" t="b">
        <f>VLOOKUP(I6832,FS_input_noty,J6832,FALSE)=""</f>
        <v>0</v>
      </c>
      <c r="H6844" s="6" t="s">
        <v>2189</v>
      </c>
      <c r="I6844" t="s">
        <v>1561</v>
      </c>
      <c r="J6844" t="s">
        <v>1561</v>
      </c>
      <c r="L6844" s="26" t="e">
        <f t="shared" si="400"/>
        <v>#VALUE!</v>
      </c>
    </row>
    <row r="6845" spans="1:12" x14ac:dyDescent="0.35">
      <c r="A6845" s="9">
        <f t="shared" si="401"/>
        <v>6844</v>
      </c>
      <c r="B6845" t="s">
        <v>755</v>
      </c>
      <c r="C6845" s="109">
        <f>IF(ISBLANK(K6845),IFERROR(VLOOKUP(I6845,FS_input_data!$C$458:$N$648,Export!J6845,FALSE),""),K6845)</f>
        <v>132</v>
      </c>
      <c r="D6845" s="6" t="b">
        <v>1</v>
      </c>
      <c r="E6845" s="6"/>
      <c r="F6845" s="6"/>
      <c r="G6845" s="115" t="b">
        <f>VLOOKUP(I6832,FS_input_noty,J6832,FALSE)=""</f>
        <v>0</v>
      </c>
      <c r="H6845" s="6" t="s">
        <v>2189</v>
      </c>
      <c r="I6845" t="s">
        <v>2074</v>
      </c>
      <c r="J6845">
        <v>2</v>
      </c>
      <c r="L6845" s="26" t="e">
        <f t="shared" si="400"/>
        <v>#VALUE!</v>
      </c>
    </row>
    <row r="6846" spans="1:12" x14ac:dyDescent="0.35">
      <c r="A6846">
        <f t="shared" si="401"/>
        <v>6845</v>
      </c>
      <c r="B6846" t="s">
        <v>756</v>
      </c>
      <c r="C6846" s="109" t="str">
        <f>IF(ISBLANK(K6846),IFERROR(VLOOKUP(I6846,FS_input_data!$C$458:$N$648,Export!J6846,FALSE),""),K6846)</f>
        <v/>
      </c>
      <c r="D6846" s="6"/>
      <c r="E6846" s="6"/>
      <c r="F6846" s="6"/>
      <c r="G6846" s="115" t="b">
        <f>VLOOKUP(I6832,FS_input_noty,J6832,FALSE)=""</f>
        <v>0</v>
      </c>
      <c r="H6846" s="6" t="s">
        <v>2189</v>
      </c>
      <c r="I6846" t="s">
        <v>1561</v>
      </c>
      <c r="J6846" t="s">
        <v>1561</v>
      </c>
      <c r="L6846">
        <f t="shared" si="400"/>
        <v>1</v>
      </c>
    </row>
    <row r="6847" spans="1:12" x14ac:dyDescent="0.35">
      <c r="A6847" s="9">
        <f t="shared" si="401"/>
        <v>6846</v>
      </c>
      <c r="B6847" t="s">
        <v>757</v>
      </c>
      <c r="C6847" s="109">
        <f>IF(ISBLANK(K6847),IFERROR(VLOOKUP(I6847,FS_input_data!$C$458:$N$648,Export!J6847,FALSE),""),K6847)</f>
        <v>232</v>
      </c>
      <c r="D6847" s="6" t="b">
        <v>0</v>
      </c>
      <c r="E6847" s="6"/>
      <c r="F6847" s="6"/>
      <c r="G6847" s="115" t="b">
        <f>VLOOKUP(I6832,FS_input_noty,J6832,FALSE)=""</f>
        <v>0</v>
      </c>
      <c r="H6847" s="6" t="s">
        <v>2189</v>
      </c>
      <c r="I6847" t="s">
        <v>2074</v>
      </c>
      <c r="J6847">
        <v>3</v>
      </c>
      <c r="L6847" s="26" t="e">
        <f t="shared" si="400"/>
        <v>#VALUE!</v>
      </c>
    </row>
    <row r="6848" spans="1:12" x14ac:dyDescent="0.35">
      <c r="A6848">
        <f t="shared" si="401"/>
        <v>6847</v>
      </c>
      <c r="B6848" t="s">
        <v>758</v>
      </c>
      <c r="C6848" s="109" t="str">
        <f>IF(ISBLANK(K6848),IFERROR(VLOOKUP(I6848,FS_input_data!$C$458:$N$648,Export!J6848,FALSE),""),K6848)</f>
        <v/>
      </c>
      <c r="D6848" s="6"/>
      <c r="E6848" s="6"/>
      <c r="F6848" s="6"/>
      <c r="G6848" s="115" t="b">
        <f>VLOOKUP(I6832,FS_input_noty,J6832,FALSE)=""</f>
        <v>0</v>
      </c>
      <c r="H6848" s="6" t="s">
        <v>2189</v>
      </c>
      <c r="I6848" t="s">
        <v>1561</v>
      </c>
      <c r="J6848" t="s">
        <v>1561</v>
      </c>
      <c r="L6848">
        <f t="shared" si="400"/>
        <v>1</v>
      </c>
    </row>
    <row r="6849" spans="1:12" x14ac:dyDescent="0.35">
      <c r="A6849" s="9">
        <f t="shared" si="401"/>
        <v>6848</v>
      </c>
      <c r="B6849" t="s">
        <v>759</v>
      </c>
      <c r="C6849" s="109">
        <f>IF(ISBLANK(K6849),IFERROR(VLOOKUP(I6849,FS_input_data!$C$458:$N$648,Export!J6849,FALSE),""),K6849)</f>
        <v>332</v>
      </c>
      <c r="D6849" s="6" t="b">
        <v>0</v>
      </c>
      <c r="E6849" s="6"/>
      <c r="F6849" s="6"/>
      <c r="G6849" s="115" t="b">
        <f>VLOOKUP(I6832,FS_input_noty,J6832,FALSE)=""</f>
        <v>0</v>
      </c>
      <c r="H6849" s="6" t="s">
        <v>2189</v>
      </c>
      <c r="I6849" t="s">
        <v>2074</v>
      </c>
      <c r="J6849">
        <v>4</v>
      </c>
      <c r="L6849" s="26" t="e">
        <f t="shared" si="400"/>
        <v>#VALUE!</v>
      </c>
    </row>
    <row r="6850" spans="1:12" x14ac:dyDescent="0.35">
      <c r="A6850">
        <f t="shared" si="401"/>
        <v>6849</v>
      </c>
      <c r="B6850" t="s">
        <v>760</v>
      </c>
      <c r="C6850" s="109" t="str">
        <f>IF(ISBLANK(K6850),IFERROR(VLOOKUP(I6850,FS_input_data!$C$458:$N$648,Export!J6850,FALSE),""),K6850)</f>
        <v/>
      </c>
      <c r="D6850" s="6"/>
      <c r="E6850" s="6"/>
      <c r="F6850" s="6"/>
      <c r="G6850" s="115" t="b">
        <f>VLOOKUP(I6832,FS_input_noty,J6832,FALSE)=""</f>
        <v>0</v>
      </c>
      <c r="H6850" s="6" t="s">
        <v>2189</v>
      </c>
      <c r="I6850" t="s">
        <v>1561</v>
      </c>
      <c r="J6850" t="s">
        <v>1561</v>
      </c>
      <c r="L6850">
        <f t="shared" ref="L6850:L6913" si="404">FIND("/",B6850)</f>
        <v>1</v>
      </c>
    </row>
    <row r="6851" spans="1:12" x14ac:dyDescent="0.35">
      <c r="A6851" s="9">
        <f t="shared" ref="A6851:A6914" si="405">A6850+1</f>
        <v>6850</v>
      </c>
      <c r="B6851" t="s">
        <v>761</v>
      </c>
      <c r="C6851" s="109" t="str">
        <f>IF(ISBLANK(K6851),IFERROR(VLOOKUP(I6851,FS_input_data!$C$458:$N$648,Export!J6851,FALSE),""),K6851)</f>
        <v>f</v>
      </c>
      <c r="D6851" s="6" t="b">
        <v>0</v>
      </c>
      <c r="E6851" s="6"/>
      <c r="F6851" s="6"/>
      <c r="G6851" s="115" t="b">
        <f>VLOOKUP(I6832,FS_input_noty,J6832,FALSE)=""</f>
        <v>0</v>
      </c>
      <c r="H6851" s="6" t="s">
        <v>2189</v>
      </c>
      <c r="I6851" t="s">
        <v>2074</v>
      </c>
      <c r="J6851">
        <v>5</v>
      </c>
      <c r="L6851" s="26" t="e">
        <f t="shared" si="404"/>
        <v>#VALUE!</v>
      </c>
    </row>
    <row r="6852" spans="1:12" x14ac:dyDescent="0.35">
      <c r="A6852">
        <f t="shared" si="405"/>
        <v>6851</v>
      </c>
      <c r="B6852" t="s">
        <v>762</v>
      </c>
      <c r="C6852" s="109" t="str">
        <f>IF(ISBLANK(K6852),IFERROR(VLOOKUP(I6852,FS_input_data!$C$458:$N$648,Export!J6852,FALSE),""),K6852)</f>
        <v/>
      </c>
      <c r="D6852" s="6"/>
      <c r="E6852" s="6"/>
      <c r="F6852" s="6"/>
      <c r="G6852" s="115" t="b">
        <f>VLOOKUP(I6832,FS_input_noty,J6832,FALSE)=""</f>
        <v>0</v>
      </c>
      <c r="H6852" s="6" t="s">
        <v>2189</v>
      </c>
      <c r="I6852" t="s">
        <v>1561</v>
      </c>
      <c r="J6852" t="s">
        <v>1561</v>
      </c>
      <c r="L6852">
        <f t="shared" si="404"/>
        <v>1</v>
      </c>
    </row>
    <row r="6853" spans="1:12" x14ac:dyDescent="0.35">
      <c r="A6853">
        <f t="shared" si="405"/>
        <v>6852</v>
      </c>
      <c r="B6853" t="s">
        <v>763</v>
      </c>
      <c r="C6853" s="109" t="str">
        <f>IF(ISBLANK(K6853),IFERROR(VLOOKUP(I6853,FS_input_data!$C$458:$N$648,Export!J6853,FALSE),""),K6853)</f>
        <v/>
      </c>
      <c r="E6853" s="6"/>
      <c r="F6853" s="6"/>
      <c r="G6853" s="115" t="b">
        <f>VLOOKUP(I6832,FS_input_noty,J6832,FALSE)=""</f>
        <v>0</v>
      </c>
      <c r="H6853" s="6" t="s">
        <v>2189</v>
      </c>
      <c r="I6853" t="s">
        <v>1561</v>
      </c>
      <c r="J6853" t="s">
        <v>1561</v>
      </c>
      <c r="L6853">
        <f t="shared" si="404"/>
        <v>1</v>
      </c>
    </row>
    <row r="6854" spans="1:12" x14ac:dyDescent="0.35">
      <c r="A6854">
        <f t="shared" si="405"/>
        <v>6853</v>
      </c>
      <c r="B6854" t="s">
        <v>743</v>
      </c>
      <c r="C6854" s="109" t="str">
        <f>IF(ISBLANK(K6854),IFERROR(VLOOKUP(I6854,FS_input_data!$C$458:$N$648,Export!J6854,FALSE),""),K6854)</f>
        <v/>
      </c>
      <c r="E6854" s="6"/>
      <c r="F6854" s="6"/>
      <c r="G6854" s="115" t="b">
        <f>VLOOKUP(I6832,FS_input_noty,J6832,FALSE)=""</f>
        <v>0</v>
      </c>
      <c r="H6854" s="6" t="s">
        <v>2189</v>
      </c>
      <c r="I6854" t="s">
        <v>1561</v>
      </c>
      <c r="J6854" t="s">
        <v>1561</v>
      </c>
      <c r="L6854">
        <f t="shared" si="404"/>
        <v>1</v>
      </c>
    </row>
    <row r="6855" spans="1:12" x14ac:dyDescent="0.35">
      <c r="A6855">
        <f t="shared" si="405"/>
        <v>6854</v>
      </c>
      <c r="B6855" t="s">
        <v>744</v>
      </c>
      <c r="C6855" s="109" t="str">
        <f>IF(ISBLANK(K6855),IFERROR(VLOOKUP(I6855,FS_input_data!$C$458:$N$648,Export!J6855,FALSE),""),K6855)</f>
        <v/>
      </c>
      <c r="E6855" s="6"/>
      <c r="F6855" s="6"/>
      <c r="G6855" s="115" t="b">
        <f t="shared" ref="G6855:G6862" si="406">RP_tax</f>
        <v>1</v>
      </c>
      <c r="H6855" s="6" t="s">
        <v>2189</v>
      </c>
      <c r="I6855" t="s">
        <v>1561</v>
      </c>
      <c r="J6855" t="s">
        <v>1561</v>
      </c>
      <c r="L6855" s="26" t="e">
        <f t="shared" si="404"/>
        <v>#VALUE!</v>
      </c>
    </row>
    <row r="6856" spans="1:12" x14ac:dyDescent="0.35">
      <c r="A6856" s="9">
        <f t="shared" si="405"/>
        <v>6855</v>
      </c>
      <c r="B6856" t="s">
        <v>109</v>
      </c>
      <c r="C6856" s="109">
        <f>IF(ISBLANK(K6856),IFERROR(VLOOKUP(I6856,FS_input_data!$C$458:$N$648,Export!J6856,FALSE),""),K6856)</f>
        <v>34000</v>
      </c>
      <c r="D6856" s="6" t="b">
        <v>1</v>
      </c>
      <c r="E6856" s="6"/>
      <c r="F6856" s="6"/>
      <c r="G6856" s="115" t="b">
        <f t="shared" si="406"/>
        <v>1</v>
      </c>
      <c r="H6856" s="6" t="s">
        <v>2189</v>
      </c>
      <c r="I6856" t="s">
        <v>2074</v>
      </c>
      <c r="J6856">
        <v>10</v>
      </c>
      <c r="L6856" s="26" t="e">
        <f t="shared" si="404"/>
        <v>#VALUE!</v>
      </c>
    </row>
    <row r="6857" spans="1:12" x14ac:dyDescent="0.35">
      <c r="A6857">
        <f t="shared" si="405"/>
        <v>6856</v>
      </c>
      <c r="B6857" t="s">
        <v>110</v>
      </c>
      <c r="C6857" s="109" t="str">
        <f>IF(ISBLANK(K6857),IFERROR(VLOOKUP(I6857,FS_input_data!$C$458:$N$648,Export!J6857,FALSE),""),K6857)</f>
        <v/>
      </c>
      <c r="D6857" s="6"/>
      <c r="E6857" s="6"/>
      <c r="F6857" s="6"/>
      <c r="G6857" s="115" t="b">
        <f t="shared" si="406"/>
        <v>1</v>
      </c>
      <c r="H6857" s="6" t="s">
        <v>2189</v>
      </c>
      <c r="I6857" t="s">
        <v>1561</v>
      </c>
      <c r="J6857" t="s">
        <v>1561</v>
      </c>
      <c r="L6857">
        <f t="shared" si="404"/>
        <v>1</v>
      </c>
    </row>
    <row r="6858" spans="1:12" x14ac:dyDescent="0.35">
      <c r="A6858" s="9">
        <f t="shared" si="405"/>
        <v>6857</v>
      </c>
      <c r="B6858" t="s">
        <v>111</v>
      </c>
      <c r="C6858" s="109">
        <f>IF(ISBLANK(K6858),IFERROR(VLOOKUP(I6858,FS_input_data!$C$458:$N$648,Export!J6858,FALSE),""),K6858)</f>
        <v>17000</v>
      </c>
      <c r="D6858" s="6" t="b">
        <v>0</v>
      </c>
      <c r="E6858" s="6"/>
      <c r="F6858" s="6"/>
      <c r="G6858" s="115" t="b">
        <f t="shared" si="406"/>
        <v>1</v>
      </c>
      <c r="H6858" s="6" t="s">
        <v>2189</v>
      </c>
      <c r="I6858" t="s">
        <v>2074</v>
      </c>
      <c r="J6858">
        <v>11</v>
      </c>
      <c r="L6858" s="26" t="e">
        <f t="shared" si="404"/>
        <v>#VALUE!</v>
      </c>
    </row>
    <row r="6859" spans="1:12" x14ac:dyDescent="0.35">
      <c r="A6859">
        <f t="shared" si="405"/>
        <v>6858</v>
      </c>
      <c r="B6859" t="s">
        <v>112</v>
      </c>
      <c r="C6859" s="109" t="str">
        <f>IF(ISBLANK(K6859),IFERROR(VLOOKUP(I6859,FS_input_data!$C$458:$N$648,Export!J6859,FALSE),""),K6859)</f>
        <v/>
      </c>
      <c r="D6859" s="6"/>
      <c r="E6859" s="6"/>
      <c r="F6859" s="6"/>
      <c r="G6859" s="115" t="b">
        <f t="shared" si="406"/>
        <v>1</v>
      </c>
      <c r="H6859" s="6" t="s">
        <v>2189</v>
      </c>
      <c r="I6859" t="s">
        <v>1561</v>
      </c>
      <c r="J6859" t="s">
        <v>1561</v>
      </c>
      <c r="L6859">
        <f t="shared" si="404"/>
        <v>1</v>
      </c>
    </row>
    <row r="6860" spans="1:12" x14ac:dyDescent="0.35">
      <c r="A6860" s="9">
        <f t="shared" si="405"/>
        <v>6859</v>
      </c>
      <c r="B6860" t="s">
        <v>749</v>
      </c>
      <c r="C6860" s="109">
        <f>IF(ISBLANK(K6860),IFERROR(VLOOKUP(I6860,FS_input_data!$C$458:$N$648,Export!J6860,FALSE),""),K6860)</f>
        <v>17000</v>
      </c>
      <c r="D6860" s="6" t="b">
        <v>0</v>
      </c>
      <c r="E6860" s="6"/>
      <c r="F6860" s="6"/>
      <c r="G6860" s="115" t="b">
        <f t="shared" si="406"/>
        <v>1</v>
      </c>
      <c r="H6860" s="6" t="s">
        <v>2189</v>
      </c>
      <c r="I6860" t="s">
        <v>2074</v>
      </c>
      <c r="J6860">
        <v>12</v>
      </c>
      <c r="L6860" s="26" t="e">
        <f t="shared" si="404"/>
        <v>#VALUE!</v>
      </c>
    </row>
    <row r="6861" spans="1:12" x14ac:dyDescent="0.35">
      <c r="A6861">
        <f t="shared" si="405"/>
        <v>6860</v>
      </c>
      <c r="B6861" t="s">
        <v>750</v>
      </c>
      <c r="C6861" s="109" t="str">
        <f>IF(ISBLANK(K6861),IFERROR(VLOOKUP(I6861,FS_input_data!$C$458:$N$648,Export!J6861,FALSE),""),K6861)</f>
        <v/>
      </c>
      <c r="D6861" s="6"/>
      <c r="E6861" s="6"/>
      <c r="F6861" s="6"/>
      <c r="G6861" s="115" t="b">
        <f t="shared" si="406"/>
        <v>1</v>
      </c>
      <c r="H6861" s="6" t="s">
        <v>2189</v>
      </c>
      <c r="I6861" t="s">
        <v>1561</v>
      </c>
      <c r="J6861" t="s">
        <v>1561</v>
      </c>
      <c r="L6861">
        <f t="shared" si="404"/>
        <v>1</v>
      </c>
    </row>
    <row r="6862" spans="1:12" x14ac:dyDescent="0.35">
      <c r="A6862">
        <f t="shared" si="405"/>
        <v>6861</v>
      </c>
      <c r="B6862" t="s">
        <v>745</v>
      </c>
      <c r="C6862" s="109" t="str">
        <f>IF(ISBLANK(K6862),IFERROR(VLOOKUP(I6862,FS_input_data!$C$458:$N$648,Export!J6862,FALSE),""),K6862)</f>
        <v/>
      </c>
      <c r="D6862" s="6"/>
      <c r="E6862" s="6"/>
      <c r="F6862" s="6"/>
      <c r="G6862" s="115" t="b">
        <f t="shared" si="406"/>
        <v>1</v>
      </c>
      <c r="H6862" s="6" t="s">
        <v>2189</v>
      </c>
      <c r="I6862" t="s">
        <v>1561</v>
      </c>
      <c r="J6862" t="s">
        <v>1561</v>
      </c>
      <c r="L6862">
        <f t="shared" si="404"/>
        <v>1</v>
      </c>
    </row>
    <row r="6863" spans="1:12" x14ac:dyDescent="0.35">
      <c r="A6863">
        <f t="shared" si="405"/>
        <v>6862</v>
      </c>
      <c r="B6863" t="s">
        <v>764</v>
      </c>
      <c r="C6863" s="109" t="str">
        <f>IF(ISBLANK(K6863),IFERROR(VLOOKUP(I6863,FS_input_data!$C$458:$N$648,Export!J6863,FALSE),""),K6863)</f>
        <v/>
      </c>
      <c r="D6863" s="6"/>
      <c r="E6863" s="6"/>
      <c r="F6863" s="6"/>
      <c r="G6863" s="115" t="b">
        <f>VLOOKUP(I6832,FS_input_noty,J6832,FALSE)=""</f>
        <v>0</v>
      </c>
      <c r="H6863" s="6" t="s">
        <v>2189</v>
      </c>
      <c r="I6863" t="s">
        <v>1561</v>
      </c>
      <c r="J6863" t="s">
        <v>1561</v>
      </c>
      <c r="L6863">
        <f t="shared" si="404"/>
        <v>1</v>
      </c>
    </row>
    <row r="6864" spans="1:12" x14ac:dyDescent="0.35">
      <c r="A6864">
        <f t="shared" si="405"/>
        <v>6863</v>
      </c>
      <c r="B6864" t="s">
        <v>765</v>
      </c>
      <c r="C6864" s="109" t="str">
        <f>IF(ISBLANK(K6864),IFERROR(VLOOKUP(I6864,FS_input_data!$C$458:$N$648,Export!J6864,FALSE),""),K6864)</f>
        <v/>
      </c>
      <c r="E6864" s="6"/>
      <c r="F6864" s="6"/>
      <c r="G6864" s="115" t="b">
        <f>VLOOKUP(I6832,FS_input_noty,J6832,FALSE)=""</f>
        <v>0</v>
      </c>
      <c r="H6864" s="6" t="s">
        <v>2189</v>
      </c>
      <c r="I6864" t="s">
        <v>1561</v>
      </c>
      <c r="J6864" t="s">
        <v>1561</v>
      </c>
      <c r="L6864">
        <f t="shared" si="404"/>
        <v>1</v>
      </c>
    </row>
    <row r="6865" spans="1:12" x14ac:dyDescent="0.35">
      <c r="A6865">
        <f t="shared" si="405"/>
        <v>6864</v>
      </c>
      <c r="B6865" t="s">
        <v>752</v>
      </c>
      <c r="C6865" s="109" t="str">
        <f>IF(ISBLANK(K6865),IFERROR(VLOOKUP(I6865,FS_input_data!$C$458:$N$648,Export!J6865,FALSE),""),K6865)</f>
        <v/>
      </c>
      <c r="E6865" s="6"/>
      <c r="F6865" s="6"/>
      <c r="G6865" s="115" t="b">
        <f>VLOOKUP(I6866,FS_input_noty,J6866,FALSE)=""</f>
        <v>0</v>
      </c>
      <c r="H6865" s="6" t="s">
        <v>2189</v>
      </c>
      <c r="I6865" t="s">
        <v>1561</v>
      </c>
      <c r="J6865" t="s">
        <v>1561</v>
      </c>
      <c r="L6865" s="26" t="e">
        <f t="shared" si="404"/>
        <v>#VALUE!</v>
      </c>
    </row>
    <row r="6866" spans="1:12" x14ac:dyDescent="0.35">
      <c r="A6866" s="9">
        <f t="shared" si="405"/>
        <v>6865</v>
      </c>
      <c r="B6866" t="s">
        <v>101</v>
      </c>
      <c r="C6866" s="109" t="str">
        <f>IF(ISBLANK(K6866),IFERROR(VLOOKUP(I6866,FS_input_data!$C$458:$N$648,Export!J6866,FALSE),""),K6866)</f>
        <v>OC110</v>
      </c>
      <c r="D6866" t="b">
        <v>1</v>
      </c>
      <c r="E6866" s="6"/>
      <c r="F6866" s="6"/>
      <c r="G6866" s="115" t="b">
        <f>VLOOKUP(I6866,FS_input_noty,J6866,FALSE)=""</f>
        <v>0</v>
      </c>
      <c r="H6866" s="6" t="s">
        <v>2189</v>
      </c>
      <c r="I6866" t="s">
        <v>2076</v>
      </c>
      <c r="J6866">
        <v>6</v>
      </c>
      <c r="L6866" s="26" t="e">
        <f t="shared" si="404"/>
        <v>#VALUE!</v>
      </c>
    </row>
    <row r="6867" spans="1:12" x14ac:dyDescent="0.35">
      <c r="A6867">
        <f t="shared" si="405"/>
        <v>6866</v>
      </c>
      <c r="B6867" t="s">
        <v>102</v>
      </c>
      <c r="C6867" s="109" t="str">
        <f>IF(ISBLANK(K6867),IFERROR(VLOOKUP(I6867,FS_input_data!$C$458:$N$648,Export!J6867,FALSE),""),K6867)</f>
        <v/>
      </c>
      <c r="E6867" s="6"/>
      <c r="F6867" s="6"/>
      <c r="G6867" s="115" t="b">
        <f>VLOOKUP(I6866,FS_input_noty,J6866,FALSE)=""</f>
        <v>0</v>
      </c>
      <c r="H6867" s="6" t="s">
        <v>2189</v>
      </c>
      <c r="I6867" t="s">
        <v>1561</v>
      </c>
      <c r="J6867" t="s">
        <v>1561</v>
      </c>
      <c r="L6867">
        <f t="shared" si="404"/>
        <v>1</v>
      </c>
    </row>
    <row r="6868" spans="1:12" x14ac:dyDescent="0.35">
      <c r="A6868">
        <f t="shared" si="405"/>
        <v>6867</v>
      </c>
      <c r="B6868" t="s">
        <v>753</v>
      </c>
      <c r="C6868" s="109" t="str">
        <f>IF(ISBLANK(K6868),IFERROR(VLOOKUP(I6868,FS_input_data!$C$458:$N$648,Export!J6868,FALSE),""),K6868)</f>
        <v/>
      </c>
      <c r="E6868" s="6"/>
      <c r="F6868" s="6"/>
      <c r="G6868" s="115" t="b">
        <f>VLOOKUP(I6866,FS_input_noty,J6866,FALSE)=""</f>
        <v>0</v>
      </c>
      <c r="H6868" s="6" t="s">
        <v>2189</v>
      </c>
      <c r="I6868" t="s">
        <v>1561</v>
      </c>
      <c r="J6868" t="s">
        <v>1561</v>
      </c>
      <c r="L6868" s="26" t="e">
        <f t="shared" si="404"/>
        <v>#VALUE!</v>
      </c>
    </row>
    <row r="6869" spans="1:12" x14ac:dyDescent="0.35">
      <c r="A6869">
        <f t="shared" si="405"/>
        <v>6868</v>
      </c>
      <c r="B6869" t="s">
        <v>742</v>
      </c>
      <c r="C6869" s="109" t="str">
        <f>IF(ISBLANK(K6869),IFERROR(VLOOKUP(I6869,FS_input_data!$C$458:$N$648,Export!J6869,FALSE),""),K6869)</f>
        <v/>
      </c>
      <c r="D6869" s="6"/>
      <c r="E6869" s="6"/>
      <c r="F6869" s="6"/>
      <c r="G6869" s="115" t="b">
        <f>VLOOKUP(I6866,FS_input_noty,J6866,FALSE)=""</f>
        <v>0</v>
      </c>
      <c r="H6869" s="6" t="s">
        <v>2189</v>
      </c>
      <c r="I6869" t="s">
        <v>1561</v>
      </c>
      <c r="J6869" t="s">
        <v>1561</v>
      </c>
      <c r="L6869" s="26" t="e">
        <f t="shared" si="404"/>
        <v>#VALUE!</v>
      </c>
    </row>
    <row r="6870" spans="1:12" x14ac:dyDescent="0.35">
      <c r="A6870">
        <f t="shared" si="405"/>
        <v>6869</v>
      </c>
      <c r="B6870" t="s">
        <v>748</v>
      </c>
      <c r="C6870" s="109" t="str">
        <f>IF(ISBLANK(K6870),IFERROR(VLOOKUP(I6870,FS_input_data!$C$458:$N$648,Export!J6870,FALSE),""),K6870)</f>
        <v/>
      </c>
      <c r="D6870" s="6"/>
      <c r="E6870" s="6"/>
      <c r="F6870" s="6"/>
      <c r="G6870" s="115" t="b">
        <f>VLOOKUP(I6866,FS_input_noty,J6866,FALSE)=""</f>
        <v>0</v>
      </c>
      <c r="H6870" s="6" t="s">
        <v>2189</v>
      </c>
      <c r="I6870" t="s">
        <v>1561</v>
      </c>
      <c r="J6870" t="s">
        <v>1561</v>
      </c>
      <c r="L6870" s="26" t="e">
        <f t="shared" si="404"/>
        <v>#VALUE!</v>
      </c>
    </row>
    <row r="6871" spans="1:12" x14ac:dyDescent="0.35">
      <c r="A6871" s="9">
        <f t="shared" si="405"/>
        <v>6870</v>
      </c>
      <c r="B6871" t="s">
        <v>109</v>
      </c>
      <c r="C6871" s="109">
        <f>IF(ISBLANK(K6871),IFERROR(VLOOKUP(I6871,FS_input_data!$C$458:$N$648,Export!J6871,FALSE),""),K6871)</f>
        <v>35000</v>
      </c>
      <c r="D6871" s="6" t="b">
        <v>1</v>
      </c>
      <c r="E6871" s="6"/>
      <c r="F6871" s="6"/>
      <c r="G6871" s="115" t="b">
        <f>VLOOKUP(I6866,FS_input_noty,J6866,FALSE)=""</f>
        <v>0</v>
      </c>
      <c r="H6871" s="6" t="s">
        <v>2189</v>
      </c>
      <c r="I6871" t="s">
        <v>2076</v>
      </c>
      <c r="J6871">
        <v>7</v>
      </c>
      <c r="L6871" s="26" t="e">
        <f t="shared" si="404"/>
        <v>#VALUE!</v>
      </c>
    </row>
    <row r="6872" spans="1:12" x14ac:dyDescent="0.35">
      <c r="A6872">
        <f t="shared" si="405"/>
        <v>6871</v>
      </c>
      <c r="B6872" t="s">
        <v>110</v>
      </c>
      <c r="C6872" s="109" t="str">
        <f>IF(ISBLANK(K6872),IFERROR(VLOOKUP(I6872,FS_input_data!$C$458:$N$648,Export!J6872,FALSE),""),K6872)</f>
        <v/>
      </c>
      <c r="D6872" s="6"/>
      <c r="E6872" s="6"/>
      <c r="F6872" s="6"/>
      <c r="G6872" s="115" t="b">
        <f>VLOOKUP(I6866,FS_input_noty,J6866,FALSE)=""</f>
        <v>0</v>
      </c>
      <c r="H6872" s="6" t="s">
        <v>2189</v>
      </c>
      <c r="I6872" t="s">
        <v>1561</v>
      </c>
      <c r="J6872" t="s">
        <v>1561</v>
      </c>
      <c r="L6872">
        <f t="shared" si="404"/>
        <v>1</v>
      </c>
    </row>
    <row r="6873" spans="1:12" x14ac:dyDescent="0.35">
      <c r="A6873" s="9">
        <f t="shared" si="405"/>
        <v>6872</v>
      </c>
      <c r="B6873" t="s">
        <v>111</v>
      </c>
      <c r="C6873" s="109">
        <f>IF(ISBLANK(K6873),IFERROR(VLOOKUP(I6873,FS_input_data!$C$458:$N$648,Export!J6873,FALSE),""),K6873)</f>
        <v>17500</v>
      </c>
      <c r="D6873" s="6" t="b">
        <v>0</v>
      </c>
      <c r="E6873" s="6"/>
      <c r="F6873" s="6"/>
      <c r="G6873" s="115" t="b">
        <f>VLOOKUP(I6866,FS_input_noty,J6866,TRUE)=""</f>
        <v>0</v>
      </c>
      <c r="H6873" s="6" t="s">
        <v>2189</v>
      </c>
      <c r="I6873" t="s">
        <v>2076</v>
      </c>
      <c r="J6873">
        <v>8</v>
      </c>
      <c r="L6873" s="26" t="e">
        <f t="shared" si="404"/>
        <v>#VALUE!</v>
      </c>
    </row>
    <row r="6874" spans="1:12" x14ac:dyDescent="0.35">
      <c r="A6874">
        <f t="shared" si="405"/>
        <v>6873</v>
      </c>
      <c r="B6874" t="s">
        <v>112</v>
      </c>
      <c r="C6874" s="109" t="str">
        <f>IF(ISBLANK(K6874),IFERROR(VLOOKUP(I6874,FS_input_data!$C$458:$N$648,Export!J6874,FALSE),""),K6874)</f>
        <v/>
      </c>
      <c r="D6874" s="6"/>
      <c r="E6874" s="6"/>
      <c r="F6874" s="6"/>
      <c r="G6874" s="115" t="b">
        <f>VLOOKUP(I6866,FS_input_noty,J6866,FALSE)=""</f>
        <v>0</v>
      </c>
      <c r="H6874" s="6" t="s">
        <v>2189</v>
      </c>
      <c r="I6874" t="s">
        <v>1561</v>
      </c>
      <c r="J6874" t="s">
        <v>1561</v>
      </c>
      <c r="L6874">
        <f t="shared" si="404"/>
        <v>1</v>
      </c>
    </row>
    <row r="6875" spans="1:12" x14ac:dyDescent="0.35">
      <c r="A6875" s="9">
        <f t="shared" si="405"/>
        <v>6874</v>
      </c>
      <c r="B6875" t="s">
        <v>749</v>
      </c>
      <c r="C6875" s="109">
        <f>IF(ISBLANK(K6875),IFERROR(VLOOKUP(I6875,FS_input_data!$C$458:$N$648,Export!J6875,FALSE),""),K6875)</f>
        <v>17500</v>
      </c>
      <c r="D6875" s="6" t="b">
        <v>0</v>
      </c>
      <c r="E6875" s="6"/>
      <c r="F6875" s="6"/>
      <c r="G6875" s="115" t="b">
        <f>VLOOKUP(I6866,FS_input_noty,J6866,FALSE)=""</f>
        <v>0</v>
      </c>
      <c r="H6875" s="6" t="s">
        <v>2189</v>
      </c>
      <c r="I6875" t="s">
        <v>2076</v>
      </c>
      <c r="J6875">
        <v>9</v>
      </c>
      <c r="L6875" s="26" t="e">
        <f t="shared" si="404"/>
        <v>#VALUE!</v>
      </c>
    </row>
    <row r="6876" spans="1:12" x14ac:dyDescent="0.35">
      <c r="A6876">
        <f t="shared" si="405"/>
        <v>6875</v>
      </c>
      <c r="B6876" t="s">
        <v>750</v>
      </c>
      <c r="C6876" s="109" t="str">
        <f>IF(ISBLANK(K6876),IFERROR(VLOOKUP(I6876,FS_input_data!$C$458:$N$648,Export!J6876,FALSE),""),K6876)</f>
        <v/>
      </c>
      <c r="D6876" s="6"/>
      <c r="E6876" s="6"/>
      <c r="F6876" s="6"/>
      <c r="G6876" s="115" t="b">
        <f>VLOOKUP(I6866,FS_input_noty,J6866,FALSE)=""</f>
        <v>0</v>
      </c>
      <c r="H6876" s="6" t="s">
        <v>2189</v>
      </c>
      <c r="I6876" t="s">
        <v>1561</v>
      </c>
      <c r="J6876" t="s">
        <v>1561</v>
      </c>
      <c r="L6876">
        <f t="shared" si="404"/>
        <v>1</v>
      </c>
    </row>
    <row r="6877" spans="1:12" x14ac:dyDescent="0.35">
      <c r="A6877">
        <f t="shared" si="405"/>
        <v>6876</v>
      </c>
      <c r="B6877" t="s">
        <v>751</v>
      </c>
      <c r="C6877" s="109" t="str">
        <f>IF(ISBLANK(K6877),IFERROR(VLOOKUP(I6877,FS_input_data!$C$458:$N$648,Export!J6877,FALSE),""),K6877)</f>
        <v/>
      </c>
      <c r="D6877" s="6"/>
      <c r="E6877" s="6"/>
      <c r="F6877" s="6"/>
      <c r="G6877" s="115" t="b">
        <f>VLOOKUP(I6866,FS_input_noty,J6866,FALSE)=""</f>
        <v>0</v>
      </c>
      <c r="H6877" s="6" t="s">
        <v>2189</v>
      </c>
      <c r="I6877" t="s">
        <v>1561</v>
      </c>
      <c r="J6877" t="s">
        <v>1561</v>
      </c>
      <c r="L6877">
        <f t="shared" si="404"/>
        <v>1</v>
      </c>
    </row>
    <row r="6878" spans="1:12" x14ac:dyDescent="0.35">
      <c r="A6878">
        <f t="shared" si="405"/>
        <v>6877</v>
      </c>
      <c r="B6878" t="s">
        <v>754</v>
      </c>
      <c r="C6878" s="109" t="str">
        <f>IF(ISBLANK(K6878),IFERROR(VLOOKUP(I6878,FS_input_data!$C$458:$N$648,Export!J6878,FALSE),""),K6878)</f>
        <v/>
      </c>
      <c r="D6878" s="6"/>
      <c r="E6878" s="6"/>
      <c r="F6878" s="6"/>
      <c r="G6878" s="115" t="b">
        <f>VLOOKUP(I6866,FS_input_noty,J6866,FALSE)=""</f>
        <v>0</v>
      </c>
      <c r="H6878" s="6" t="s">
        <v>2189</v>
      </c>
      <c r="I6878" t="s">
        <v>1561</v>
      </c>
      <c r="J6878" t="s">
        <v>1561</v>
      </c>
      <c r="L6878" s="26" t="e">
        <f t="shared" si="404"/>
        <v>#VALUE!</v>
      </c>
    </row>
    <row r="6879" spans="1:12" x14ac:dyDescent="0.35">
      <c r="A6879" s="9">
        <f t="shared" si="405"/>
        <v>6878</v>
      </c>
      <c r="B6879" t="s">
        <v>755</v>
      </c>
      <c r="C6879" s="109">
        <f>IF(ISBLANK(K6879),IFERROR(VLOOKUP(I6879,FS_input_data!$C$458:$N$648,Export!J6879,FALSE),""),K6879)</f>
        <v>133</v>
      </c>
      <c r="D6879" s="6" t="b">
        <v>1</v>
      </c>
      <c r="E6879" s="6"/>
      <c r="F6879" s="6"/>
      <c r="G6879" s="115" t="b">
        <f>VLOOKUP(I6866,FS_input_noty,J6866,FALSE)=""</f>
        <v>0</v>
      </c>
      <c r="H6879" s="6" t="s">
        <v>2189</v>
      </c>
      <c r="I6879" t="s">
        <v>2076</v>
      </c>
      <c r="J6879">
        <v>2</v>
      </c>
      <c r="L6879" s="26" t="e">
        <f t="shared" si="404"/>
        <v>#VALUE!</v>
      </c>
    </row>
    <row r="6880" spans="1:12" x14ac:dyDescent="0.35">
      <c r="A6880">
        <f t="shared" si="405"/>
        <v>6879</v>
      </c>
      <c r="B6880" t="s">
        <v>756</v>
      </c>
      <c r="C6880" s="109" t="str">
        <f>IF(ISBLANK(K6880),IFERROR(VLOOKUP(I6880,FS_input_data!$C$458:$N$648,Export!J6880,FALSE),""),K6880)</f>
        <v/>
      </c>
      <c r="D6880" s="6"/>
      <c r="E6880" s="6"/>
      <c r="F6880" s="6"/>
      <c r="G6880" s="115" t="b">
        <f>VLOOKUP(I6866,FS_input_noty,J6866,FALSE)=""</f>
        <v>0</v>
      </c>
      <c r="H6880" s="6" t="s">
        <v>2189</v>
      </c>
      <c r="I6880" t="s">
        <v>1561</v>
      </c>
      <c r="J6880" t="s">
        <v>1561</v>
      </c>
      <c r="L6880">
        <f t="shared" si="404"/>
        <v>1</v>
      </c>
    </row>
    <row r="6881" spans="1:12" x14ac:dyDescent="0.35">
      <c r="A6881" s="9">
        <f t="shared" si="405"/>
        <v>6880</v>
      </c>
      <c r="B6881" t="s">
        <v>757</v>
      </c>
      <c r="C6881" s="109">
        <f>IF(ISBLANK(K6881),IFERROR(VLOOKUP(I6881,FS_input_data!$C$458:$N$648,Export!J6881,FALSE),""),K6881)</f>
        <v>233</v>
      </c>
      <c r="D6881" s="6" t="b">
        <v>0</v>
      </c>
      <c r="E6881" s="6"/>
      <c r="F6881" s="6"/>
      <c r="G6881" s="115" t="b">
        <f>VLOOKUP(I6866,FS_input_noty,J6866,FALSE)=""</f>
        <v>0</v>
      </c>
      <c r="H6881" s="6" t="s">
        <v>2189</v>
      </c>
      <c r="I6881" t="s">
        <v>2076</v>
      </c>
      <c r="J6881">
        <v>3</v>
      </c>
      <c r="L6881" s="26" t="e">
        <f t="shared" si="404"/>
        <v>#VALUE!</v>
      </c>
    </row>
    <row r="6882" spans="1:12" x14ac:dyDescent="0.35">
      <c r="A6882">
        <f t="shared" si="405"/>
        <v>6881</v>
      </c>
      <c r="B6882" t="s">
        <v>758</v>
      </c>
      <c r="C6882" s="109" t="str">
        <f>IF(ISBLANK(K6882),IFERROR(VLOOKUP(I6882,FS_input_data!$C$458:$N$648,Export!J6882,FALSE),""),K6882)</f>
        <v/>
      </c>
      <c r="D6882" s="6"/>
      <c r="E6882" s="6"/>
      <c r="F6882" s="6"/>
      <c r="G6882" s="115" t="b">
        <f>VLOOKUP(I6866,FS_input_noty,J6866,FALSE)=""</f>
        <v>0</v>
      </c>
      <c r="H6882" s="6" t="s">
        <v>2189</v>
      </c>
      <c r="I6882" t="s">
        <v>1561</v>
      </c>
      <c r="J6882" t="s">
        <v>1561</v>
      </c>
      <c r="L6882">
        <f t="shared" si="404"/>
        <v>1</v>
      </c>
    </row>
    <row r="6883" spans="1:12" x14ac:dyDescent="0.35">
      <c r="A6883" s="9">
        <f t="shared" si="405"/>
        <v>6882</v>
      </c>
      <c r="B6883" t="s">
        <v>759</v>
      </c>
      <c r="C6883" s="109">
        <f>IF(ISBLANK(K6883),IFERROR(VLOOKUP(I6883,FS_input_data!$C$458:$N$648,Export!J6883,FALSE),""),K6883)</f>
        <v>333</v>
      </c>
      <c r="D6883" s="6" t="b">
        <v>0</v>
      </c>
      <c r="E6883" s="6"/>
      <c r="F6883" s="6"/>
      <c r="G6883" s="115" t="b">
        <f>VLOOKUP(I6866,FS_input_noty,J6866,FALSE)=""</f>
        <v>0</v>
      </c>
      <c r="H6883" s="6" t="s">
        <v>2189</v>
      </c>
      <c r="I6883" t="s">
        <v>2076</v>
      </c>
      <c r="J6883">
        <v>4</v>
      </c>
      <c r="L6883" s="26" t="e">
        <f t="shared" si="404"/>
        <v>#VALUE!</v>
      </c>
    </row>
    <row r="6884" spans="1:12" x14ac:dyDescent="0.35">
      <c r="A6884">
        <f t="shared" si="405"/>
        <v>6883</v>
      </c>
      <c r="B6884" t="s">
        <v>760</v>
      </c>
      <c r="C6884" s="109" t="str">
        <f>IF(ISBLANK(K6884),IFERROR(VLOOKUP(I6884,FS_input_data!$C$458:$N$648,Export!J6884,FALSE),""),K6884)</f>
        <v/>
      </c>
      <c r="D6884" s="6"/>
      <c r="E6884" s="6"/>
      <c r="F6884" s="6"/>
      <c r="G6884" s="115" t="b">
        <f>VLOOKUP(I6866,FS_input_noty,J6866,FALSE)=""</f>
        <v>0</v>
      </c>
      <c r="H6884" s="6" t="s">
        <v>2189</v>
      </c>
      <c r="I6884" t="s">
        <v>1561</v>
      </c>
      <c r="J6884" t="s">
        <v>1561</v>
      </c>
      <c r="L6884">
        <f t="shared" si="404"/>
        <v>1</v>
      </c>
    </row>
    <row r="6885" spans="1:12" x14ac:dyDescent="0.35">
      <c r="A6885" s="9">
        <f t="shared" si="405"/>
        <v>6884</v>
      </c>
      <c r="B6885" t="s">
        <v>761</v>
      </c>
      <c r="C6885" s="109" t="str">
        <f>IF(ISBLANK(K6885),IFERROR(VLOOKUP(I6885,FS_input_data!$C$458:$N$648,Export!J6885,FALSE),""),K6885)</f>
        <v>g</v>
      </c>
      <c r="D6885" s="6" t="b">
        <v>0</v>
      </c>
      <c r="E6885" s="6"/>
      <c r="F6885" s="6"/>
      <c r="G6885" s="115" t="b">
        <f>VLOOKUP(I6866,FS_input_noty,J6866,FALSE)=""</f>
        <v>0</v>
      </c>
      <c r="H6885" s="6" t="s">
        <v>2189</v>
      </c>
      <c r="I6885" t="s">
        <v>2076</v>
      </c>
      <c r="J6885">
        <v>5</v>
      </c>
      <c r="L6885" s="26" t="e">
        <f t="shared" si="404"/>
        <v>#VALUE!</v>
      </c>
    </row>
    <row r="6886" spans="1:12" x14ac:dyDescent="0.35">
      <c r="A6886">
        <f t="shared" si="405"/>
        <v>6885</v>
      </c>
      <c r="B6886" t="s">
        <v>762</v>
      </c>
      <c r="C6886" s="109" t="str">
        <f>IF(ISBLANK(K6886),IFERROR(VLOOKUP(I6886,FS_input_data!$C$458:$N$648,Export!J6886,FALSE),""),K6886)</f>
        <v/>
      </c>
      <c r="D6886" s="6"/>
      <c r="E6886" s="6"/>
      <c r="F6886" s="6"/>
      <c r="G6886" s="115" t="b">
        <f>VLOOKUP(I6866,FS_input_noty,J6866,FALSE)=""</f>
        <v>0</v>
      </c>
      <c r="H6886" s="6" t="s">
        <v>2189</v>
      </c>
      <c r="I6886" t="s">
        <v>1561</v>
      </c>
      <c r="J6886" t="s">
        <v>1561</v>
      </c>
      <c r="L6886">
        <f t="shared" si="404"/>
        <v>1</v>
      </c>
    </row>
    <row r="6887" spans="1:12" x14ac:dyDescent="0.35">
      <c r="A6887">
        <f t="shared" si="405"/>
        <v>6886</v>
      </c>
      <c r="B6887" t="s">
        <v>763</v>
      </c>
      <c r="C6887" s="109" t="str">
        <f>IF(ISBLANK(K6887),IFERROR(VLOOKUP(I6887,FS_input_data!$C$458:$N$648,Export!J6887,FALSE),""),K6887)</f>
        <v/>
      </c>
      <c r="E6887" s="6"/>
      <c r="F6887" s="6"/>
      <c r="G6887" s="115" t="b">
        <f>VLOOKUP(I6866,FS_input_noty,J6866,FALSE)=""</f>
        <v>0</v>
      </c>
      <c r="H6887" s="6" t="s">
        <v>2189</v>
      </c>
      <c r="I6887" t="s">
        <v>1561</v>
      </c>
      <c r="J6887" t="s">
        <v>1561</v>
      </c>
      <c r="L6887">
        <f t="shared" si="404"/>
        <v>1</v>
      </c>
    </row>
    <row r="6888" spans="1:12" x14ac:dyDescent="0.35">
      <c r="A6888">
        <f t="shared" si="405"/>
        <v>6887</v>
      </c>
      <c r="B6888" t="s">
        <v>743</v>
      </c>
      <c r="C6888" s="109" t="str">
        <f>IF(ISBLANK(K6888),IFERROR(VLOOKUP(I6888,FS_input_data!$C$458:$N$648,Export!J6888,FALSE),""),K6888)</f>
        <v/>
      </c>
      <c r="E6888" s="6"/>
      <c r="F6888" s="6"/>
      <c r="G6888" s="115" t="b">
        <f>VLOOKUP(I6866,FS_input_noty,J6866,FALSE)=""</f>
        <v>0</v>
      </c>
      <c r="H6888" s="6" t="s">
        <v>2189</v>
      </c>
      <c r="I6888" t="s">
        <v>1561</v>
      </c>
      <c r="J6888" t="s">
        <v>1561</v>
      </c>
      <c r="L6888">
        <f t="shared" si="404"/>
        <v>1</v>
      </c>
    </row>
    <row r="6889" spans="1:12" x14ac:dyDescent="0.35">
      <c r="A6889">
        <f t="shared" si="405"/>
        <v>6888</v>
      </c>
      <c r="B6889" t="s">
        <v>744</v>
      </c>
      <c r="C6889" s="109" t="str">
        <f>IF(ISBLANK(K6889),IFERROR(VLOOKUP(I6889,FS_input_data!$C$458:$N$648,Export!J6889,FALSE),""),K6889)</f>
        <v/>
      </c>
      <c r="E6889" s="6"/>
      <c r="F6889" s="6"/>
      <c r="G6889" s="115" t="b">
        <f t="shared" ref="G6889:G6896" si="407">RP_tax</f>
        <v>1</v>
      </c>
      <c r="H6889" s="6" t="s">
        <v>2189</v>
      </c>
      <c r="I6889" t="s">
        <v>1561</v>
      </c>
      <c r="J6889" t="s">
        <v>1561</v>
      </c>
      <c r="L6889" s="26" t="e">
        <f t="shared" si="404"/>
        <v>#VALUE!</v>
      </c>
    </row>
    <row r="6890" spans="1:12" x14ac:dyDescent="0.35">
      <c r="A6890" s="9">
        <f t="shared" si="405"/>
        <v>6889</v>
      </c>
      <c r="B6890" t="s">
        <v>109</v>
      </c>
      <c r="C6890" s="109">
        <f>IF(ISBLANK(K6890),IFERROR(VLOOKUP(I6890,FS_input_data!$C$458:$N$648,Export!J6890,FALSE),""),K6890)</f>
        <v>35000</v>
      </c>
      <c r="D6890" s="6" t="b">
        <v>1</v>
      </c>
      <c r="E6890" s="6"/>
      <c r="F6890" s="6"/>
      <c r="G6890" s="115" t="b">
        <f t="shared" si="407"/>
        <v>1</v>
      </c>
      <c r="H6890" s="6" t="s">
        <v>2189</v>
      </c>
      <c r="I6890" t="s">
        <v>2076</v>
      </c>
      <c r="J6890">
        <v>10</v>
      </c>
      <c r="L6890" s="26" t="e">
        <f t="shared" si="404"/>
        <v>#VALUE!</v>
      </c>
    </row>
    <row r="6891" spans="1:12" x14ac:dyDescent="0.35">
      <c r="A6891">
        <f t="shared" si="405"/>
        <v>6890</v>
      </c>
      <c r="B6891" t="s">
        <v>110</v>
      </c>
      <c r="C6891" s="109" t="str">
        <f>IF(ISBLANK(K6891),IFERROR(VLOOKUP(I6891,FS_input_data!$C$458:$N$648,Export!J6891,FALSE),""),K6891)</f>
        <v/>
      </c>
      <c r="D6891" s="6"/>
      <c r="E6891" s="6"/>
      <c r="F6891" s="6"/>
      <c r="G6891" s="115" t="b">
        <f t="shared" si="407"/>
        <v>1</v>
      </c>
      <c r="H6891" s="6" t="s">
        <v>2189</v>
      </c>
      <c r="I6891" t="s">
        <v>1561</v>
      </c>
      <c r="J6891" t="s">
        <v>1561</v>
      </c>
      <c r="L6891">
        <f t="shared" si="404"/>
        <v>1</v>
      </c>
    </row>
    <row r="6892" spans="1:12" x14ac:dyDescent="0.35">
      <c r="A6892" s="9">
        <f t="shared" si="405"/>
        <v>6891</v>
      </c>
      <c r="B6892" t="s">
        <v>111</v>
      </c>
      <c r="C6892" s="109">
        <f>IF(ISBLANK(K6892),IFERROR(VLOOKUP(I6892,FS_input_data!$C$458:$N$648,Export!J6892,FALSE),""),K6892)</f>
        <v>17500</v>
      </c>
      <c r="D6892" s="6" t="b">
        <v>0</v>
      </c>
      <c r="E6892" s="6"/>
      <c r="F6892" s="6"/>
      <c r="G6892" s="115" t="b">
        <f t="shared" si="407"/>
        <v>1</v>
      </c>
      <c r="H6892" s="6" t="s">
        <v>2189</v>
      </c>
      <c r="I6892" t="s">
        <v>2076</v>
      </c>
      <c r="J6892">
        <v>11</v>
      </c>
      <c r="L6892" s="26" t="e">
        <f t="shared" si="404"/>
        <v>#VALUE!</v>
      </c>
    </row>
    <row r="6893" spans="1:12" x14ac:dyDescent="0.35">
      <c r="A6893">
        <f t="shared" si="405"/>
        <v>6892</v>
      </c>
      <c r="B6893" t="s">
        <v>112</v>
      </c>
      <c r="C6893" s="109" t="str">
        <f>IF(ISBLANK(K6893),IFERROR(VLOOKUP(I6893,FS_input_data!$C$458:$N$648,Export!J6893,FALSE),""),K6893)</f>
        <v/>
      </c>
      <c r="D6893" s="6"/>
      <c r="E6893" s="6"/>
      <c r="F6893" s="6"/>
      <c r="G6893" s="115" t="b">
        <f t="shared" si="407"/>
        <v>1</v>
      </c>
      <c r="H6893" s="6" t="s">
        <v>2189</v>
      </c>
      <c r="I6893" t="s">
        <v>1561</v>
      </c>
      <c r="J6893" t="s">
        <v>1561</v>
      </c>
      <c r="L6893">
        <f t="shared" si="404"/>
        <v>1</v>
      </c>
    </row>
    <row r="6894" spans="1:12" x14ac:dyDescent="0.35">
      <c r="A6894" s="9">
        <f t="shared" si="405"/>
        <v>6893</v>
      </c>
      <c r="B6894" t="s">
        <v>749</v>
      </c>
      <c r="C6894" s="109">
        <f>IF(ISBLANK(K6894),IFERROR(VLOOKUP(I6894,FS_input_data!$C$458:$N$648,Export!J6894,FALSE),""),K6894)</f>
        <v>17500</v>
      </c>
      <c r="D6894" s="6" t="b">
        <v>0</v>
      </c>
      <c r="E6894" s="6"/>
      <c r="F6894" s="6"/>
      <c r="G6894" s="115" t="b">
        <f t="shared" si="407"/>
        <v>1</v>
      </c>
      <c r="H6894" s="6" t="s">
        <v>2189</v>
      </c>
      <c r="I6894" t="s">
        <v>2076</v>
      </c>
      <c r="J6894">
        <v>12</v>
      </c>
      <c r="L6894" s="26" t="e">
        <f t="shared" si="404"/>
        <v>#VALUE!</v>
      </c>
    </row>
    <row r="6895" spans="1:12" x14ac:dyDescent="0.35">
      <c r="A6895">
        <f t="shared" si="405"/>
        <v>6894</v>
      </c>
      <c r="B6895" t="s">
        <v>750</v>
      </c>
      <c r="C6895" s="109" t="str">
        <f>IF(ISBLANK(K6895),IFERROR(VLOOKUP(I6895,FS_input_data!$C$458:$N$648,Export!J6895,FALSE),""),K6895)</f>
        <v/>
      </c>
      <c r="D6895" s="6"/>
      <c r="E6895" s="6"/>
      <c r="F6895" s="6"/>
      <c r="G6895" s="115" t="b">
        <f t="shared" si="407"/>
        <v>1</v>
      </c>
      <c r="H6895" s="6" t="s">
        <v>2189</v>
      </c>
      <c r="I6895" t="s">
        <v>1561</v>
      </c>
      <c r="J6895" t="s">
        <v>1561</v>
      </c>
      <c r="L6895">
        <f t="shared" si="404"/>
        <v>1</v>
      </c>
    </row>
    <row r="6896" spans="1:12" x14ac:dyDescent="0.35">
      <c r="A6896">
        <f t="shared" si="405"/>
        <v>6895</v>
      </c>
      <c r="B6896" t="s">
        <v>745</v>
      </c>
      <c r="C6896" s="109" t="str">
        <f>IF(ISBLANK(K6896),IFERROR(VLOOKUP(I6896,FS_input_data!$C$458:$N$648,Export!J6896,FALSE),""),K6896)</f>
        <v/>
      </c>
      <c r="D6896" s="6"/>
      <c r="E6896" s="6"/>
      <c r="F6896" s="6"/>
      <c r="G6896" s="115" t="b">
        <f t="shared" si="407"/>
        <v>1</v>
      </c>
      <c r="H6896" s="6" t="s">
        <v>2189</v>
      </c>
      <c r="I6896" t="s">
        <v>1561</v>
      </c>
      <c r="J6896" t="s">
        <v>1561</v>
      </c>
      <c r="L6896">
        <f t="shared" si="404"/>
        <v>1</v>
      </c>
    </row>
    <row r="6897" spans="1:12" x14ac:dyDescent="0.35">
      <c r="A6897">
        <f t="shared" si="405"/>
        <v>6896</v>
      </c>
      <c r="B6897" t="s">
        <v>764</v>
      </c>
      <c r="C6897" s="109" t="str">
        <f>IF(ISBLANK(K6897),IFERROR(VLOOKUP(I6897,FS_input_data!$C$458:$N$648,Export!J6897,FALSE),""),K6897)</f>
        <v/>
      </c>
      <c r="D6897" s="6"/>
      <c r="E6897" s="6"/>
      <c r="F6897" s="6"/>
      <c r="G6897" s="115" t="b">
        <f>VLOOKUP(I6866,FS_input_noty,J6866,FALSE)=""</f>
        <v>0</v>
      </c>
      <c r="H6897" s="6" t="s">
        <v>2189</v>
      </c>
      <c r="I6897" t="s">
        <v>1561</v>
      </c>
      <c r="J6897" t="s">
        <v>1561</v>
      </c>
      <c r="L6897">
        <f t="shared" si="404"/>
        <v>1</v>
      </c>
    </row>
    <row r="6898" spans="1:12" x14ac:dyDescent="0.35">
      <c r="A6898">
        <f t="shared" si="405"/>
        <v>6897</v>
      </c>
      <c r="B6898" t="s">
        <v>765</v>
      </c>
      <c r="C6898" s="109" t="str">
        <f>IF(ISBLANK(K6898),IFERROR(VLOOKUP(I6898,FS_input_data!$C$458:$N$648,Export!J6898,FALSE),""),K6898)</f>
        <v/>
      </c>
      <c r="E6898" s="6"/>
      <c r="F6898" s="6"/>
      <c r="G6898" s="115" t="b">
        <f>VLOOKUP(I6866,FS_input_noty,J6866,FALSE)=""</f>
        <v>0</v>
      </c>
      <c r="H6898" s="6" t="s">
        <v>2189</v>
      </c>
      <c r="I6898" t="s">
        <v>1561</v>
      </c>
      <c r="J6898" t="s">
        <v>1561</v>
      </c>
      <c r="L6898">
        <f t="shared" si="404"/>
        <v>1</v>
      </c>
    </row>
    <row r="6899" spans="1:12" x14ac:dyDescent="0.35">
      <c r="A6899">
        <f t="shared" si="405"/>
        <v>6898</v>
      </c>
      <c r="B6899" t="s">
        <v>752</v>
      </c>
      <c r="C6899" s="109" t="str">
        <f>IF(ISBLANK(K6899),IFERROR(VLOOKUP(I6899,FS_input_data!$C$458:$N$648,Export!J6899,FALSE),""),K6899)</f>
        <v/>
      </c>
      <c r="E6899" s="6"/>
      <c r="F6899" s="6"/>
      <c r="G6899" s="115" t="b">
        <f>VLOOKUP(I6900,FS_input_noty,J6900,FALSE)=""</f>
        <v>0</v>
      </c>
      <c r="H6899" s="6" t="s">
        <v>2189</v>
      </c>
      <c r="I6899" t="s">
        <v>1561</v>
      </c>
      <c r="J6899" t="s">
        <v>1561</v>
      </c>
      <c r="L6899" s="26" t="e">
        <f t="shared" si="404"/>
        <v>#VALUE!</v>
      </c>
    </row>
    <row r="6900" spans="1:12" x14ac:dyDescent="0.35">
      <c r="A6900" s="9">
        <f t="shared" si="405"/>
        <v>6899</v>
      </c>
      <c r="B6900" t="s">
        <v>101</v>
      </c>
      <c r="C6900" s="109" t="str">
        <f>IF(ISBLANK(K6900),IFERROR(VLOOKUP(I6900,FS_input_data!$C$458:$N$648,Export!J6900,FALSE),""),K6900)</f>
        <v>OC111</v>
      </c>
      <c r="D6900" t="b">
        <v>1</v>
      </c>
      <c r="E6900" s="6"/>
      <c r="F6900" s="6"/>
      <c r="G6900" s="115" t="b">
        <f>VLOOKUP(I6900,FS_input_noty,J6900,FALSE)=""</f>
        <v>0</v>
      </c>
      <c r="H6900" s="6" t="s">
        <v>2189</v>
      </c>
      <c r="I6900" t="s">
        <v>2078</v>
      </c>
      <c r="J6900">
        <v>6</v>
      </c>
      <c r="L6900" s="26" t="e">
        <f t="shared" si="404"/>
        <v>#VALUE!</v>
      </c>
    </row>
    <row r="6901" spans="1:12" x14ac:dyDescent="0.35">
      <c r="A6901">
        <f t="shared" si="405"/>
        <v>6900</v>
      </c>
      <c r="B6901" t="s">
        <v>102</v>
      </c>
      <c r="C6901" s="109" t="str">
        <f>IF(ISBLANK(K6901),IFERROR(VLOOKUP(I6901,FS_input_data!$C$458:$N$648,Export!J6901,FALSE),""),K6901)</f>
        <v/>
      </c>
      <c r="E6901" s="6"/>
      <c r="F6901" s="6"/>
      <c r="G6901" s="115" t="b">
        <f>VLOOKUP(I6900,FS_input_noty,J6900,FALSE)=""</f>
        <v>0</v>
      </c>
      <c r="H6901" s="6" t="s">
        <v>2189</v>
      </c>
      <c r="I6901" t="s">
        <v>1561</v>
      </c>
      <c r="J6901" t="s">
        <v>1561</v>
      </c>
      <c r="L6901">
        <f t="shared" si="404"/>
        <v>1</v>
      </c>
    </row>
    <row r="6902" spans="1:12" x14ac:dyDescent="0.35">
      <c r="A6902">
        <f t="shared" si="405"/>
        <v>6901</v>
      </c>
      <c r="B6902" t="s">
        <v>753</v>
      </c>
      <c r="C6902" s="109" t="str">
        <f>IF(ISBLANK(K6902),IFERROR(VLOOKUP(I6902,FS_input_data!$C$458:$N$648,Export!J6902,FALSE),""),K6902)</f>
        <v/>
      </c>
      <c r="E6902" s="6"/>
      <c r="F6902" s="6"/>
      <c r="G6902" s="115" t="b">
        <f>VLOOKUP(I6900,FS_input_noty,J6900,FALSE)=""</f>
        <v>0</v>
      </c>
      <c r="H6902" s="6" t="s">
        <v>2189</v>
      </c>
      <c r="I6902" t="s">
        <v>1561</v>
      </c>
      <c r="J6902" t="s">
        <v>1561</v>
      </c>
      <c r="L6902" s="26" t="e">
        <f t="shared" si="404"/>
        <v>#VALUE!</v>
      </c>
    </row>
    <row r="6903" spans="1:12" x14ac:dyDescent="0.35">
      <c r="A6903">
        <f t="shared" si="405"/>
        <v>6902</v>
      </c>
      <c r="B6903" t="s">
        <v>742</v>
      </c>
      <c r="C6903" s="109" t="str">
        <f>IF(ISBLANK(K6903),IFERROR(VLOOKUP(I6903,FS_input_data!$C$458:$N$648,Export!J6903,FALSE),""),K6903)</f>
        <v/>
      </c>
      <c r="D6903" s="6"/>
      <c r="E6903" s="6"/>
      <c r="F6903" s="6"/>
      <c r="G6903" s="115" t="b">
        <f>VLOOKUP(I6900,FS_input_noty,J6900,FALSE)=""</f>
        <v>0</v>
      </c>
      <c r="H6903" s="6" t="s">
        <v>2189</v>
      </c>
      <c r="I6903" t="s">
        <v>1561</v>
      </c>
      <c r="J6903" t="s">
        <v>1561</v>
      </c>
      <c r="L6903" s="26" t="e">
        <f t="shared" si="404"/>
        <v>#VALUE!</v>
      </c>
    </row>
    <row r="6904" spans="1:12" x14ac:dyDescent="0.35">
      <c r="A6904">
        <f t="shared" si="405"/>
        <v>6903</v>
      </c>
      <c r="B6904" t="s">
        <v>748</v>
      </c>
      <c r="C6904" s="109" t="str">
        <f>IF(ISBLANK(K6904),IFERROR(VLOOKUP(I6904,FS_input_data!$C$458:$N$648,Export!J6904,FALSE),""),K6904)</f>
        <v/>
      </c>
      <c r="D6904" s="6"/>
      <c r="E6904" s="6"/>
      <c r="F6904" s="6"/>
      <c r="G6904" s="115" t="b">
        <f>VLOOKUP(I6900,FS_input_noty,J6900,FALSE)=""</f>
        <v>0</v>
      </c>
      <c r="H6904" s="6" t="s">
        <v>2189</v>
      </c>
      <c r="I6904" t="s">
        <v>1561</v>
      </c>
      <c r="J6904" t="s">
        <v>1561</v>
      </c>
      <c r="L6904" s="26" t="e">
        <f t="shared" si="404"/>
        <v>#VALUE!</v>
      </c>
    </row>
    <row r="6905" spans="1:12" x14ac:dyDescent="0.35">
      <c r="A6905" s="9">
        <f t="shared" si="405"/>
        <v>6904</v>
      </c>
      <c r="B6905" t="s">
        <v>109</v>
      </c>
      <c r="C6905" s="109">
        <f>IF(ISBLANK(K6905),IFERROR(VLOOKUP(I6905,FS_input_data!$C$458:$N$648,Export!J6905,FALSE),""),K6905)</f>
        <v>36000</v>
      </c>
      <c r="D6905" s="6" t="b">
        <v>1</v>
      </c>
      <c r="E6905" s="6"/>
      <c r="F6905" s="6"/>
      <c r="G6905" s="115" t="b">
        <f>VLOOKUP(I6900,FS_input_noty,J6900,FALSE)=""</f>
        <v>0</v>
      </c>
      <c r="H6905" s="6" t="s">
        <v>2189</v>
      </c>
      <c r="I6905" t="s">
        <v>2078</v>
      </c>
      <c r="J6905">
        <v>7</v>
      </c>
      <c r="L6905" s="26" t="e">
        <f t="shared" si="404"/>
        <v>#VALUE!</v>
      </c>
    </row>
    <row r="6906" spans="1:12" x14ac:dyDescent="0.35">
      <c r="A6906">
        <f t="shared" si="405"/>
        <v>6905</v>
      </c>
      <c r="B6906" t="s">
        <v>110</v>
      </c>
      <c r="C6906" s="109" t="str">
        <f>IF(ISBLANK(K6906),IFERROR(VLOOKUP(I6906,FS_input_data!$C$458:$N$648,Export!J6906,FALSE),""),K6906)</f>
        <v/>
      </c>
      <c r="D6906" s="6"/>
      <c r="E6906" s="6"/>
      <c r="F6906" s="6"/>
      <c r="G6906" s="115" t="b">
        <f>VLOOKUP(I6900,FS_input_noty,J6900,FALSE)=""</f>
        <v>0</v>
      </c>
      <c r="H6906" s="6" t="s">
        <v>2189</v>
      </c>
      <c r="I6906" t="s">
        <v>1561</v>
      </c>
      <c r="J6906" t="s">
        <v>1561</v>
      </c>
      <c r="L6906">
        <f t="shared" si="404"/>
        <v>1</v>
      </c>
    </row>
    <row r="6907" spans="1:12" x14ac:dyDescent="0.35">
      <c r="A6907" s="9">
        <f t="shared" si="405"/>
        <v>6906</v>
      </c>
      <c r="B6907" t="s">
        <v>111</v>
      </c>
      <c r="C6907" s="109">
        <f>IF(ISBLANK(K6907),IFERROR(VLOOKUP(I6907,FS_input_data!$C$458:$N$648,Export!J6907,FALSE),""),K6907)</f>
        <v>18000</v>
      </c>
      <c r="D6907" s="6" t="b">
        <v>0</v>
      </c>
      <c r="E6907" s="6"/>
      <c r="F6907" s="6"/>
      <c r="G6907" s="115" t="b">
        <f>VLOOKUP(I6900,FS_input_noty,J6900,TRUE)=""</f>
        <v>0</v>
      </c>
      <c r="H6907" s="6" t="s">
        <v>2189</v>
      </c>
      <c r="I6907" t="s">
        <v>2078</v>
      </c>
      <c r="J6907">
        <v>8</v>
      </c>
      <c r="L6907" s="26" t="e">
        <f t="shared" si="404"/>
        <v>#VALUE!</v>
      </c>
    </row>
    <row r="6908" spans="1:12" x14ac:dyDescent="0.35">
      <c r="A6908">
        <f t="shared" si="405"/>
        <v>6907</v>
      </c>
      <c r="B6908" t="s">
        <v>112</v>
      </c>
      <c r="C6908" s="109" t="str">
        <f>IF(ISBLANK(K6908),IFERROR(VLOOKUP(I6908,FS_input_data!$C$458:$N$648,Export!J6908,FALSE),""),K6908)</f>
        <v/>
      </c>
      <c r="D6908" s="6"/>
      <c r="E6908" s="6"/>
      <c r="F6908" s="6"/>
      <c r="G6908" s="115" t="b">
        <f>VLOOKUP(I6900,FS_input_noty,J6900,FALSE)=""</f>
        <v>0</v>
      </c>
      <c r="H6908" s="6" t="s">
        <v>2189</v>
      </c>
      <c r="I6908" t="s">
        <v>1561</v>
      </c>
      <c r="J6908" t="s">
        <v>1561</v>
      </c>
      <c r="L6908">
        <f t="shared" si="404"/>
        <v>1</v>
      </c>
    </row>
    <row r="6909" spans="1:12" x14ac:dyDescent="0.35">
      <c r="A6909" s="9">
        <f t="shared" si="405"/>
        <v>6908</v>
      </c>
      <c r="B6909" t="s">
        <v>749</v>
      </c>
      <c r="C6909" s="109">
        <f>IF(ISBLANK(K6909),IFERROR(VLOOKUP(I6909,FS_input_data!$C$458:$N$648,Export!J6909,FALSE),""),K6909)</f>
        <v>18000</v>
      </c>
      <c r="D6909" s="6" t="b">
        <v>0</v>
      </c>
      <c r="E6909" s="6"/>
      <c r="F6909" s="6"/>
      <c r="G6909" s="115" t="b">
        <f>VLOOKUP(I6900,FS_input_noty,J6900,FALSE)=""</f>
        <v>0</v>
      </c>
      <c r="H6909" s="6" t="s">
        <v>2189</v>
      </c>
      <c r="I6909" t="s">
        <v>2078</v>
      </c>
      <c r="J6909">
        <v>9</v>
      </c>
      <c r="L6909" s="26" t="e">
        <f t="shared" si="404"/>
        <v>#VALUE!</v>
      </c>
    </row>
    <row r="6910" spans="1:12" x14ac:dyDescent="0.35">
      <c r="A6910">
        <f t="shared" si="405"/>
        <v>6909</v>
      </c>
      <c r="B6910" t="s">
        <v>750</v>
      </c>
      <c r="C6910" s="109" t="str">
        <f>IF(ISBLANK(K6910),IFERROR(VLOOKUP(I6910,FS_input_data!$C$458:$N$648,Export!J6910,FALSE),""),K6910)</f>
        <v/>
      </c>
      <c r="D6910" s="6"/>
      <c r="E6910" s="6"/>
      <c r="F6910" s="6"/>
      <c r="G6910" s="115" t="b">
        <f>VLOOKUP(I6900,FS_input_noty,J6900,FALSE)=""</f>
        <v>0</v>
      </c>
      <c r="H6910" s="6" t="s">
        <v>2189</v>
      </c>
      <c r="I6910" t="s">
        <v>1561</v>
      </c>
      <c r="J6910" t="s">
        <v>1561</v>
      </c>
      <c r="L6910">
        <f t="shared" si="404"/>
        <v>1</v>
      </c>
    </row>
    <row r="6911" spans="1:12" x14ac:dyDescent="0.35">
      <c r="A6911">
        <f t="shared" si="405"/>
        <v>6910</v>
      </c>
      <c r="B6911" t="s">
        <v>751</v>
      </c>
      <c r="C6911" s="109" t="str">
        <f>IF(ISBLANK(K6911),IFERROR(VLOOKUP(I6911,FS_input_data!$C$458:$N$648,Export!J6911,FALSE),""),K6911)</f>
        <v/>
      </c>
      <c r="D6911" s="6"/>
      <c r="E6911" s="6"/>
      <c r="F6911" s="6"/>
      <c r="G6911" s="115" t="b">
        <f>VLOOKUP(I6900,FS_input_noty,J6900,FALSE)=""</f>
        <v>0</v>
      </c>
      <c r="H6911" s="6" t="s">
        <v>2189</v>
      </c>
      <c r="I6911" t="s">
        <v>1561</v>
      </c>
      <c r="J6911" t="s">
        <v>1561</v>
      </c>
      <c r="L6911">
        <f t="shared" si="404"/>
        <v>1</v>
      </c>
    </row>
    <row r="6912" spans="1:12" x14ac:dyDescent="0.35">
      <c r="A6912">
        <f t="shared" si="405"/>
        <v>6911</v>
      </c>
      <c r="B6912" t="s">
        <v>754</v>
      </c>
      <c r="C6912" s="109" t="str">
        <f>IF(ISBLANK(K6912),IFERROR(VLOOKUP(I6912,FS_input_data!$C$458:$N$648,Export!J6912,FALSE),""),K6912)</f>
        <v/>
      </c>
      <c r="D6912" s="6"/>
      <c r="E6912" s="6"/>
      <c r="F6912" s="6"/>
      <c r="G6912" s="115" t="b">
        <f>VLOOKUP(I6900,FS_input_noty,J6900,FALSE)=""</f>
        <v>0</v>
      </c>
      <c r="H6912" s="6" t="s">
        <v>2189</v>
      </c>
      <c r="I6912" t="s">
        <v>1561</v>
      </c>
      <c r="J6912" t="s">
        <v>1561</v>
      </c>
      <c r="L6912" s="26" t="e">
        <f t="shared" si="404"/>
        <v>#VALUE!</v>
      </c>
    </row>
    <row r="6913" spans="1:12" x14ac:dyDescent="0.35">
      <c r="A6913" s="9">
        <f t="shared" si="405"/>
        <v>6912</v>
      </c>
      <c r="B6913" t="s">
        <v>755</v>
      </c>
      <c r="C6913" s="109">
        <f>IF(ISBLANK(K6913),IFERROR(VLOOKUP(I6913,FS_input_data!$C$458:$N$648,Export!J6913,FALSE),""),K6913)</f>
        <v>134</v>
      </c>
      <c r="D6913" s="6" t="b">
        <v>1</v>
      </c>
      <c r="E6913" s="6"/>
      <c r="F6913" s="6"/>
      <c r="G6913" s="115" t="b">
        <f>VLOOKUP(I6900,FS_input_noty,J6900,FALSE)=""</f>
        <v>0</v>
      </c>
      <c r="H6913" s="6" t="s">
        <v>2189</v>
      </c>
      <c r="I6913" t="s">
        <v>2078</v>
      </c>
      <c r="J6913">
        <v>2</v>
      </c>
      <c r="L6913" s="26" t="e">
        <f t="shared" si="404"/>
        <v>#VALUE!</v>
      </c>
    </row>
    <row r="6914" spans="1:12" x14ac:dyDescent="0.35">
      <c r="A6914">
        <f t="shared" si="405"/>
        <v>6913</v>
      </c>
      <c r="B6914" t="s">
        <v>756</v>
      </c>
      <c r="C6914" s="109" t="str">
        <f>IF(ISBLANK(K6914),IFERROR(VLOOKUP(I6914,FS_input_data!$C$458:$N$648,Export!J6914,FALSE),""),K6914)</f>
        <v/>
      </c>
      <c r="D6914" s="6"/>
      <c r="E6914" s="6"/>
      <c r="F6914" s="6"/>
      <c r="G6914" s="115" t="b">
        <f>VLOOKUP(I6900,FS_input_noty,J6900,FALSE)=""</f>
        <v>0</v>
      </c>
      <c r="H6914" s="6" t="s">
        <v>2189</v>
      </c>
      <c r="I6914" t="s">
        <v>1561</v>
      </c>
      <c r="J6914" t="s">
        <v>1561</v>
      </c>
      <c r="L6914">
        <f t="shared" ref="L6914:L6977" si="408">FIND("/",B6914)</f>
        <v>1</v>
      </c>
    </row>
    <row r="6915" spans="1:12" x14ac:dyDescent="0.35">
      <c r="A6915" s="9">
        <f t="shared" ref="A6915:A6978" si="409">A6914+1</f>
        <v>6914</v>
      </c>
      <c r="B6915" t="s">
        <v>757</v>
      </c>
      <c r="C6915" s="109">
        <f>IF(ISBLANK(K6915),IFERROR(VLOOKUP(I6915,FS_input_data!$C$458:$N$648,Export!J6915,FALSE),""),K6915)</f>
        <v>234</v>
      </c>
      <c r="D6915" s="6" t="b">
        <v>0</v>
      </c>
      <c r="E6915" s="6"/>
      <c r="F6915" s="6"/>
      <c r="G6915" s="115" t="b">
        <f>VLOOKUP(I6900,FS_input_noty,J6900,FALSE)=""</f>
        <v>0</v>
      </c>
      <c r="H6915" s="6" t="s">
        <v>2189</v>
      </c>
      <c r="I6915" t="s">
        <v>2078</v>
      </c>
      <c r="J6915">
        <v>3</v>
      </c>
      <c r="L6915" s="26" t="e">
        <f t="shared" si="408"/>
        <v>#VALUE!</v>
      </c>
    </row>
    <row r="6916" spans="1:12" x14ac:dyDescent="0.35">
      <c r="A6916">
        <f t="shared" si="409"/>
        <v>6915</v>
      </c>
      <c r="B6916" t="s">
        <v>758</v>
      </c>
      <c r="C6916" s="109" t="str">
        <f>IF(ISBLANK(K6916),IFERROR(VLOOKUP(I6916,FS_input_data!$C$458:$N$648,Export!J6916,FALSE),""),K6916)</f>
        <v/>
      </c>
      <c r="D6916" s="6"/>
      <c r="E6916" s="6"/>
      <c r="F6916" s="6"/>
      <c r="G6916" s="115" t="b">
        <f>VLOOKUP(I6900,FS_input_noty,J6900,FALSE)=""</f>
        <v>0</v>
      </c>
      <c r="H6916" s="6" t="s">
        <v>2189</v>
      </c>
      <c r="I6916" t="s">
        <v>1561</v>
      </c>
      <c r="J6916" t="s">
        <v>1561</v>
      </c>
      <c r="L6916">
        <f t="shared" si="408"/>
        <v>1</v>
      </c>
    </row>
    <row r="6917" spans="1:12" x14ac:dyDescent="0.35">
      <c r="A6917" s="9">
        <f t="shared" si="409"/>
        <v>6916</v>
      </c>
      <c r="B6917" t="s">
        <v>759</v>
      </c>
      <c r="C6917" s="109">
        <f>IF(ISBLANK(K6917),IFERROR(VLOOKUP(I6917,FS_input_data!$C$458:$N$648,Export!J6917,FALSE),""),K6917)</f>
        <v>334</v>
      </c>
      <c r="D6917" s="6" t="b">
        <v>0</v>
      </c>
      <c r="E6917" s="6"/>
      <c r="F6917" s="6"/>
      <c r="G6917" s="115" t="b">
        <f>VLOOKUP(I6900,FS_input_noty,J6900,FALSE)=""</f>
        <v>0</v>
      </c>
      <c r="H6917" s="6" t="s">
        <v>2189</v>
      </c>
      <c r="I6917" t="s">
        <v>2078</v>
      </c>
      <c r="J6917">
        <v>4</v>
      </c>
      <c r="L6917" s="26" t="e">
        <f t="shared" si="408"/>
        <v>#VALUE!</v>
      </c>
    </row>
    <row r="6918" spans="1:12" x14ac:dyDescent="0.35">
      <c r="A6918">
        <f t="shared" si="409"/>
        <v>6917</v>
      </c>
      <c r="B6918" t="s">
        <v>760</v>
      </c>
      <c r="C6918" s="109" t="str">
        <f>IF(ISBLANK(K6918),IFERROR(VLOOKUP(I6918,FS_input_data!$C$458:$N$648,Export!J6918,FALSE),""),K6918)</f>
        <v/>
      </c>
      <c r="D6918" s="6"/>
      <c r="E6918" s="6"/>
      <c r="F6918" s="6"/>
      <c r="G6918" s="115" t="b">
        <f>VLOOKUP(I6900,FS_input_noty,J6900,FALSE)=""</f>
        <v>0</v>
      </c>
      <c r="H6918" s="6" t="s">
        <v>2189</v>
      </c>
      <c r="I6918" t="s">
        <v>1561</v>
      </c>
      <c r="J6918" t="s">
        <v>1561</v>
      </c>
      <c r="L6918">
        <f t="shared" si="408"/>
        <v>1</v>
      </c>
    </row>
    <row r="6919" spans="1:12" x14ac:dyDescent="0.35">
      <c r="A6919" s="9">
        <f t="shared" si="409"/>
        <v>6918</v>
      </c>
      <c r="B6919" t="s">
        <v>761</v>
      </c>
      <c r="C6919" s="109" t="str">
        <f>IF(ISBLANK(K6919),IFERROR(VLOOKUP(I6919,FS_input_data!$C$458:$N$648,Export!J6919,FALSE),""),K6919)</f>
        <v>h</v>
      </c>
      <c r="D6919" s="6" t="b">
        <v>0</v>
      </c>
      <c r="E6919" s="6"/>
      <c r="F6919" s="6"/>
      <c r="G6919" s="115" t="b">
        <f>VLOOKUP(I6900,FS_input_noty,J6900,FALSE)=""</f>
        <v>0</v>
      </c>
      <c r="H6919" s="6" t="s">
        <v>2189</v>
      </c>
      <c r="I6919" t="s">
        <v>2078</v>
      </c>
      <c r="J6919">
        <v>5</v>
      </c>
      <c r="L6919" s="26" t="e">
        <f t="shared" si="408"/>
        <v>#VALUE!</v>
      </c>
    </row>
    <row r="6920" spans="1:12" x14ac:dyDescent="0.35">
      <c r="A6920">
        <f t="shared" si="409"/>
        <v>6919</v>
      </c>
      <c r="B6920" t="s">
        <v>762</v>
      </c>
      <c r="C6920" s="109" t="str">
        <f>IF(ISBLANK(K6920),IFERROR(VLOOKUP(I6920,FS_input_data!$C$458:$N$648,Export!J6920,FALSE),""),K6920)</f>
        <v/>
      </c>
      <c r="D6920" s="6"/>
      <c r="E6920" s="6"/>
      <c r="F6920" s="6"/>
      <c r="G6920" s="115" t="b">
        <f>VLOOKUP(I6900,FS_input_noty,J6900,FALSE)=""</f>
        <v>0</v>
      </c>
      <c r="H6920" s="6" t="s">
        <v>2189</v>
      </c>
      <c r="I6920" t="s">
        <v>1561</v>
      </c>
      <c r="J6920" t="s">
        <v>1561</v>
      </c>
      <c r="L6920">
        <f t="shared" si="408"/>
        <v>1</v>
      </c>
    </row>
    <row r="6921" spans="1:12" x14ac:dyDescent="0.35">
      <c r="A6921">
        <f t="shared" si="409"/>
        <v>6920</v>
      </c>
      <c r="B6921" t="s">
        <v>763</v>
      </c>
      <c r="C6921" s="109" t="str">
        <f>IF(ISBLANK(K6921),IFERROR(VLOOKUP(I6921,FS_input_data!$C$458:$N$648,Export!J6921,FALSE),""),K6921)</f>
        <v/>
      </c>
      <c r="E6921" s="6"/>
      <c r="F6921" s="6"/>
      <c r="G6921" s="115" t="b">
        <f>VLOOKUP(I6900,FS_input_noty,J6900,FALSE)=""</f>
        <v>0</v>
      </c>
      <c r="H6921" s="6" t="s">
        <v>2189</v>
      </c>
      <c r="I6921" t="s">
        <v>1561</v>
      </c>
      <c r="J6921" t="s">
        <v>1561</v>
      </c>
      <c r="L6921">
        <f t="shared" si="408"/>
        <v>1</v>
      </c>
    </row>
    <row r="6922" spans="1:12" x14ac:dyDescent="0.35">
      <c r="A6922">
        <f t="shared" si="409"/>
        <v>6921</v>
      </c>
      <c r="B6922" t="s">
        <v>743</v>
      </c>
      <c r="C6922" s="109" t="str">
        <f>IF(ISBLANK(K6922),IFERROR(VLOOKUP(I6922,FS_input_data!$C$458:$N$648,Export!J6922,FALSE),""),K6922)</f>
        <v/>
      </c>
      <c r="E6922" s="6"/>
      <c r="F6922" s="6"/>
      <c r="G6922" s="115" t="b">
        <f>VLOOKUP(I6900,FS_input_noty,J6900,FALSE)=""</f>
        <v>0</v>
      </c>
      <c r="H6922" s="6" t="s">
        <v>2189</v>
      </c>
      <c r="I6922" t="s">
        <v>1561</v>
      </c>
      <c r="J6922" t="s">
        <v>1561</v>
      </c>
      <c r="L6922">
        <f t="shared" si="408"/>
        <v>1</v>
      </c>
    </row>
    <row r="6923" spans="1:12" x14ac:dyDescent="0.35">
      <c r="A6923">
        <f t="shared" si="409"/>
        <v>6922</v>
      </c>
      <c r="B6923" t="s">
        <v>744</v>
      </c>
      <c r="C6923" s="109" t="str">
        <f>IF(ISBLANK(K6923),IFERROR(VLOOKUP(I6923,FS_input_data!$C$458:$N$648,Export!J6923,FALSE),""),K6923)</f>
        <v/>
      </c>
      <c r="E6923" s="6"/>
      <c r="F6923" s="6"/>
      <c r="G6923" s="115" t="b">
        <f t="shared" ref="G6923:G6930" si="410">RP_tax</f>
        <v>1</v>
      </c>
      <c r="H6923" s="6" t="s">
        <v>2189</v>
      </c>
      <c r="I6923" t="s">
        <v>1561</v>
      </c>
      <c r="J6923" t="s">
        <v>1561</v>
      </c>
      <c r="L6923" s="26" t="e">
        <f t="shared" si="408"/>
        <v>#VALUE!</v>
      </c>
    </row>
    <row r="6924" spans="1:12" x14ac:dyDescent="0.35">
      <c r="A6924" s="9">
        <f t="shared" si="409"/>
        <v>6923</v>
      </c>
      <c r="B6924" t="s">
        <v>109</v>
      </c>
      <c r="C6924" s="109">
        <f>IF(ISBLANK(K6924),IFERROR(VLOOKUP(I6924,FS_input_data!$C$458:$N$648,Export!J6924,FALSE),""),K6924)</f>
        <v>36000</v>
      </c>
      <c r="D6924" s="6" t="b">
        <v>1</v>
      </c>
      <c r="E6924" s="6"/>
      <c r="F6924" s="6"/>
      <c r="G6924" s="115" t="b">
        <f t="shared" si="410"/>
        <v>1</v>
      </c>
      <c r="H6924" s="6" t="s">
        <v>2189</v>
      </c>
      <c r="I6924" t="s">
        <v>2078</v>
      </c>
      <c r="J6924">
        <v>10</v>
      </c>
      <c r="L6924" s="26" t="e">
        <f t="shared" si="408"/>
        <v>#VALUE!</v>
      </c>
    </row>
    <row r="6925" spans="1:12" x14ac:dyDescent="0.35">
      <c r="A6925">
        <f t="shared" si="409"/>
        <v>6924</v>
      </c>
      <c r="B6925" t="s">
        <v>110</v>
      </c>
      <c r="C6925" s="109" t="str">
        <f>IF(ISBLANK(K6925),IFERROR(VLOOKUP(I6925,FS_input_data!$C$458:$N$648,Export!J6925,FALSE),""),K6925)</f>
        <v/>
      </c>
      <c r="D6925" s="6"/>
      <c r="E6925" s="6"/>
      <c r="F6925" s="6"/>
      <c r="G6925" s="115" t="b">
        <f t="shared" si="410"/>
        <v>1</v>
      </c>
      <c r="H6925" s="6" t="s">
        <v>2189</v>
      </c>
      <c r="I6925" t="s">
        <v>1561</v>
      </c>
      <c r="J6925" t="s">
        <v>1561</v>
      </c>
      <c r="L6925">
        <f t="shared" si="408"/>
        <v>1</v>
      </c>
    </row>
    <row r="6926" spans="1:12" x14ac:dyDescent="0.35">
      <c r="A6926" s="9">
        <f t="shared" si="409"/>
        <v>6925</v>
      </c>
      <c r="B6926" t="s">
        <v>111</v>
      </c>
      <c r="C6926" s="109">
        <f>IF(ISBLANK(K6926),IFERROR(VLOOKUP(I6926,FS_input_data!$C$458:$N$648,Export!J6926,FALSE),""),K6926)</f>
        <v>18000</v>
      </c>
      <c r="D6926" s="6" t="b">
        <v>0</v>
      </c>
      <c r="E6926" s="6"/>
      <c r="F6926" s="6"/>
      <c r="G6926" s="115" t="b">
        <f t="shared" si="410"/>
        <v>1</v>
      </c>
      <c r="H6926" s="6" t="s">
        <v>2189</v>
      </c>
      <c r="I6926" t="s">
        <v>2078</v>
      </c>
      <c r="J6926">
        <v>11</v>
      </c>
      <c r="L6926" s="26" t="e">
        <f t="shared" si="408"/>
        <v>#VALUE!</v>
      </c>
    </row>
    <row r="6927" spans="1:12" x14ac:dyDescent="0.35">
      <c r="A6927">
        <f t="shared" si="409"/>
        <v>6926</v>
      </c>
      <c r="B6927" t="s">
        <v>112</v>
      </c>
      <c r="C6927" s="109" t="str">
        <f>IF(ISBLANK(K6927),IFERROR(VLOOKUP(I6927,FS_input_data!$C$458:$N$648,Export!J6927,FALSE),""),K6927)</f>
        <v/>
      </c>
      <c r="D6927" s="6"/>
      <c r="E6927" s="6"/>
      <c r="F6927" s="6"/>
      <c r="G6927" s="115" t="b">
        <f t="shared" si="410"/>
        <v>1</v>
      </c>
      <c r="H6927" s="6" t="s">
        <v>2189</v>
      </c>
      <c r="I6927" t="s">
        <v>1561</v>
      </c>
      <c r="J6927" t="s">
        <v>1561</v>
      </c>
      <c r="L6927">
        <f t="shared" si="408"/>
        <v>1</v>
      </c>
    </row>
    <row r="6928" spans="1:12" x14ac:dyDescent="0.35">
      <c r="A6928" s="9">
        <f t="shared" si="409"/>
        <v>6927</v>
      </c>
      <c r="B6928" t="s">
        <v>749</v>
      </c>
      <c r="C6928" s="109">
        <f>IF(ISBLANK(K6928),IFERROR(VLOOKUP(I6928,FS_input_data!$C$458:$N$648,Export!J6928,FALSE),""),K6928)</f>
        <v>18000</v>
      </c>
      <c r="D6928" s="6" t="b">
        <v>0</v>
      </c>
      <c r="E6928" s="6"/>
      <c r="F6928" s="6"/>
      <c r="G6928" s="115" t="b">
        <f t="shared" si="410"/>
        <v>1</v>
      </c>
      <c r="H6928" s="6" t="s">
        <v>2189</v>
      </c>
      <c r="I6928" t="s">
        <v>2078</v>
      </c>
      <c r="J6928">
        <v>12</v>
      </c>
      <c r="L6928" s="26" t="e">
        <f t="shared" si="408"/>
        <v>#VALUE!</v>
      </c>
    </row>
    <row r="6929" spans="1:12" x14ac:dyDescent="0.35">
      <c r="A6929">
        <f t="shared" si="409"/>
        <v>6928</v>
      </c>
      <c r="B6929" t="s">
        <v>750</v>
      </c>
      <c r="C6929" s="109" t="str">
        <f>IF(ISBLANK(K6929),IFERROR(VLOOKUP(I6929,FS_input_data!$C$458:$N$648,Export!J6929,FALSE),""),K6929)</f>
        <v/>
      </c>
      <c r="D6929" s="6"/>
      <c r="E6929" s="6"/>
      <c r="F6929" s="6"/>
      <c r="G6929" s="115" t="b">
        <f t="shared" si="410"/>
        <v>1</v>
      </c>
      <c r="H6929" s="6" t="s">
        <v>2189</v>
      </c>
      <c r="I6929" t="s">
        <v>1561</v>
      </c>
      <c r="J6929" t="s">
        <v>1561</v>
      </c>
      <c r="L6929">
        <f t="shared" si="408"/>
        <v>1</v>
      </c>
    </row>
    <row r="6930" spans="1:12" x14ac:dyDescent="0.35">
      <c r="A6930">
        <f t="shared" si="409"/>
        <v>6929</v>
      </c>
      <c r="B6930" t="s">
        <v>745</v>
      </c>
      <c r="C6930" s="109" t="str">
        <f>IF(ISBLANK(K6930),IFERROR(VLOOKUP(I6930,FS_input_data!$C$458:$N$648,Export!J6930,FALSE),""),K6930)</f>
        <v/>
      </c>
      <c r="D6930" s="6"/>
      <c r="E6930" s="6"/>
      <c r="F6930" s="6"/>
      <c r="G6930" s="115" t="b">
        <f t="shared" si="410"/>
        <v>1</v>
      </c>
      <c r="H6930" s="6" t="s">
        <v>2189</v>
      </c>
      <c r="I6930" t="s">
        <v>1561</v>
      </c>
      <c r="J6930" t="s">
        <v>1561</v>
      </c>
      <c r="L6930">
        <f t="shared" si="408"/>
        <v>1</v>
      </c>
    </row>
    <row r="6931" spans="1:12" x14ac:dyDescent="0.35">
      <c r="A6931">
        <f t="shared" si="409"/>
        <v>6930</v>
      </c>
      <c r="B6931" t="s">
        <v>764</v>
      </c>
      <c r="C6931" s="109" t="str">
        <f>IF(ISBLANK(K6931),IFERROR(VLOOKUP(I6931,FS_input_data!$C$458:$N$648,Export!J6931,FALSE),""),K6931)</f>
        <v/>
      </c>
      <c r="D6931" s="6"/>
      <c r="E6931" s="6"/>
      <c r="F6931" s="6"/>
      <c r="G6931" s="115" t="b">
        <f>VLOOKUP(I6900,FS_input_noty,J6900,FALSE)=""</f>
        <v>0</v>
      </c>
      <c r="H6931" s="6" t="s">
        <v>2189</v>
      </c>
      <c r="I6931" t="s">
        <v>1561</v>
      </c>
      <c r="J6931" t="s">
        <v>1561</v>
      </c>
      <c r="L6931">
        <f t="shared" si="408"/>
        <v>1</v>
      </c>
    </row>
    <row r="6932" spans="1:12" x14ac:dyDescent="0.35">
      <c r="A6932">
        <f t="shared" si="409"/>
        <v>6931</v>
      </c>
      <c r="B6932" t="s">
        <v>765</v>
      </c>
      <c r="C6932" s="109" t="str">
        <f>IF(ISBLANK(K6932),IFERROR(VLOOKUP(I6932,FS_input_data!$C$458:$N$648,Export!J6932,FALSE),""),K6932)</f>
        <v/>
      </c>
      <c r="E6932" s="6"/>
      <c r="F6932" s="6"/>
      <c r="G6932" s="115" t="b">
        <f>VLOOKUP(I6900,FS_input_noty,J6900,FALSE)=""</f>
        <v>0</v>
      </c>
      <c r="H6932" s="6" t="s">
        <v>2189</v>
      </c>
      <c r="I6932" t="s">
        <v>1561</v>
      </c>
      <c r="J6932" t="s">
        <v>1561</v>
      </c>
      <c r="L6932">
        <f t="shared" si="408"/>
        <v>1</v>
      </c>
    </row>
    <row r="6933" spans="1:12" x14ac:dyDescent="0.35">
      <c r="A6933">
        <f t="shared" si="409"/>
        <v>6932</v>
      </c>
      <c r="B6933" t="s">
        <v>752</v>
      </c>
      <c r="C6933" s="109" t="str">
        <f>IF(ISBLANK(K6933),IFERROR(VLOOKUP(I6933,FS_input_data!$C$458:$N$648,Export!J6933,FALSE),""),K6933)</f>
        <v/>
      </c>
      <c r="E6933" s="6"/>
      <c r="F6933" s="6"/>
      <c r="G6933" s="115" t="b">
        <f>VLOOKUP(I6934,FS_input_noty,J6934,FALSE)=""</f>
        <v>0</v>
      </c>
      <c r="H6933" s="6" t="s">
        <v>2189</v>
      </c>
      <c r="I6933" t="s">
        <v>1561</v>
      </c>
      <c r="J6933" t="s">
        <v>1561</v>
      </c>
      <c r="L6933" s="26" t="e">
        <f t="shared" si="408"/>
        <v>#VALUE!</v>
      </c>
    </row>
    <row r="6934" spans="1:12" x14ac:dyDescent="0.35">
      <c r="A6934" s="9">
        <f t="shared" si="409"/>
        <v>6933</v>
      </c>
      <c r="B6934" t="s">
        <v>101</v>
      </c>
      <c r="C6934" s="109" t="str">
        <f>IF(ISBLANK(K6934),IFERROR(VLOOKUP(I6934,FS_input_data!$C$458:$N$648,Export!J6934,FALSE),""),K6934)</f>
        <v>OC112</v>
      </c>
      <c r="D6934" t="b">
        <v>1</v>
      </c>
      <c r="E6934" s="6"/>
      <c r="F6934" s="6"/>
      <c r="G6934" s="115" t="b">
        <f>VLOOKUP(I6934,FS_input_noty,J6934,FALSE)=""</f>
        <v>0</v>
      </c>
      <c r="H6934" s="6" t="s">
        <v>2189</v>
      </c>
      <c r="I6934" t="s">
        <v>2080</v>
      </c>
      <c r="J6934">
        <v>6</v>
      </c>
      <c r="L6934" s="26" t="e">
        <f t="shared" si="408"/>
        <v>#VALUE!</v>
      </c>
    </row>
    <row r="6935" spans="1:12" x14ac:dyDescent="0.35">
      <c r="A6935">
        <f t="shared" si="409"/>
        <v>6934</v>
      </c>
      <c r="B6935" t="s">
        <v>102</v>
      </c>
      <c r="C6935" s="109" t="str">
        <f>IF(ISBLANK(K6935),IFERROR(VLOOKUP(I6935,FS_input_data!$C$458:$N$648,Export!J6935,FALSE),""),K6935)</f>
        <v/>
      </c>
      <c r="E6935" s="6"/>
      <c r="F6935" s="6"/>
      <c r="G6935" s="115" t="b">
        <f>VLOOKUP(I6934,FS_input_noty,J6934,FALSE)=""</f>
        <v>0</v>
      </c>
      <c r="H6935" s="6" t="s">
        <v>2189</v>
      </c>
      <c r="I6935" t="s">
        <v>1561</v>
      </c>
      <c r="J6935" t="s">
        <v>1561</v>
      </c>
      <c r="L6935">
        <f t="shared" si="408"/>
        <v>1</v>
      </c>
    </row>
    <row r="6936" spans="1:12" x14ac:dyDescent="0.35">
      <c r="A6936">
        <f t="shared" si="409"/>
        <v>6935</v>
      </c>
      <c r="B6936" t="s">
        <v>753</v>
      </c>
      <c r="C6936" s="109" t="str">
        <f>IF(ISBLANK(K6936),IFERROR(VLOOKUP(I6936,FS_input_data!$C$458:$N$648,Export!J6936,FALSE),""),K6936)</f>
        <v/>
      </c>
      <c r="E6936" s="6"/>
      <c r="F6936" s="6"/>
      <c r="G6936" s="115" t="b">
        <f>VLOOKUP(I6934,FS_input_noty,J6934,FALSE)=""</f>
        <v>0</v>
      </c>
      <c r="H6936" s="6" t="s">
        <v>2189</v>
      </c>
      <c r="I6936" t="s">
        <v>1561</v>
      </c>
      <c r="J6936" t="s">
        <v>1561</v>
      </c>
      <c r="L6936" s="26" t="e">
        <f t="shared" si="408"/>
        <v>#VALUE!</v>
      </c>
    </row>
    <row r="6937" spans="1:12" x14ac:dyDescent="0.35">
      <c r="A6937">
        <f t="shared" si="409"/>
        <v>6936</v>
      </c>
      <c r="B6937" t="s">
        <v>742</v>
      </c>
      <c r="C6937" s="109" t="str">
        <f>IF(ISBLANK(K6937),IFERROR(VLOOKUP(I6937,FS_input_data!$C$458:$N$648,Export!J6937,FALSE),""),K6937)</f>
        <v/>
      </c>
      <c r="D6937" s="6"/>
      <c r="E6937" s="6"/>
      <c r="F6937" s="6"/>
      <c r="G6937" s="115" t="b">
        <f>VLOOKUP(I6934,FS_input_noty,J6934,FALSE)=""</f>
        <v>0</v>
      </c>
      <c r="H6937" s="6" t="s">
        <v>2189</v>
      </c>
      <c r="I6937" t="s">
        <v>1561</v>
      </c>
      <c r="J6937" t="s">
        <v>1561</v>
      </c>
      <c r="L6937" s="26" t="e">
        <f t="shared" si="408"/>
        <v>#VALUE!</v>
      </c>
    </row>
    <row r="6938" spans="1:12" x14ac:dyDescent="0.35">
      <c r="A6938">
        <f t="shared" si="409"/>
        <v>6937</v>
      </c>
      <c r="B6938" t="s">
        <v>748</v>
      </c>
      <c r="C6938" s="109" t="str">
        <f>IF(ISBLANK(K6938),IFERROR(VLOOKUP(I6938,FS_input_data!$C$458:$N$648,Export!J6938,FALSE),""),K6938)</f>
        <v/>
      </c>
      <c r="D6938" s="6"/>
      <c r="E6938" s="6"/>
      <c r="F6938" s="6"/>
      <c r="G6938" s="115" t="b">
        <f>VLOOKUP(I6934,FS_input_noty,J6934,FALSE)=""</f>
        <v>0</v>
      </c>
      <c r="H6938" s="6" t="s">
        <v>2189</v>
      </c>
      <c r="I6938" t="s">
        <v>1561</v>
      </c>
      <c r="J6938" t="s">
        <v>1561</v>
      </c>
      <c r="L6938" s="26" t="e">
        <f t="shared" si="408"/>
        <v>#VALUE!</v>
      </c>
    </row>
    <row r="6939" spans="1:12" x14ac:dyDescent="0.35">
      <c r="A6939" s="9">
        <f t="shared" si="409"/>
        <v>6938</v>
      </c>
      <c r="B6939" t="s">
        <v>109</v>
      </c>
      <c r="C6939" s="109">
        <f>IF(ISBLANK(K6939),IFERROR(VLOOKUP(I6939,FS_input_data!$C$458:$N$648,Export!J6939,FALSE),""),K6939)</f>
        <v>37000</v>
      </c>
      <c r="D6939" s="6" t="b">
        <v>1</v>
      </c>
      <c r="E6939" s="6"/>
      <c r="F6939" s="6"/>
      <c r="G6939" s="115" t="b">
        <f>VLOOKUP(I6934,FS_input_noty,J6934,FALSE)=""</f>
        <v>0</v>
      </c>
      <c r="H6939" s="6" t="s">
        <v>2189</v>
      </c>
      <c r="I6939" t="s">
        <v>2080</v>
      </c>
      <c r="J6939">
        <v>7</v>
      </c>
      <c r="L6939" s="26" t="e">
        <f t="shared" si="408"/>
        <v>#VALUE!</v>
      </c>
    </row>
    <row r="6940" spans="1:12" x14ac:dyDescent="0.35">
      <c r="A6940">
        <f t="shared" si="409"/>
        <v>6939</v>
      </c>
      <c r="B6940" t="s">
        <v>110</v>
      </c>
      <c r="C6940" s="109" t="str">
        <f>IF(ISBLANK(K6940),IFERROR(VLOOKUP(I6940,FS_input_data!$C$458:$N$648,Export!J6940,FALSE),""),K6940)</f>
        <v/>
      </c>
      <c r="D6940" s="6"/>
      <c r="E6940" s="6"/>
      <c r="F6940" s="6"/>
      <c r="G6940" s="115" t="b">
        <f>VLOOKUP(I6934,FS_input_noty,J6934,FALSE)=""</f>
        <v>0</v>
      </c>
      <c r="H6940" s="6" t="s">
        <v>2189</v>
      </c>
      <c r="I6940" t="s">
        <v>1561</v>
      </c>
      <c r="J6940" t="s">
        <v>1561</v>
      </c>
      <c r="L6940">
        <f t="shared" si="408"/>
        <v>1</v>
      </c>
    </row>
    <row r="6941" spans="1:12" x14ac:dyDescent="0.35">
      <c r="A6941" s="9">
        <f t="shared" si="409"/>
        <v>6940</v>
      </c>
      <c r="B6941" t="s">
        <v>111</v>
      </c>
      <c r="C6941" s="109">
        <f>IF(ISBLANK(K6941),IFERROR(VLOOKUP(I6941,FS_input_data!$C$458:$N$648,Export!J6941,FALSE),""),K6941)</f>
        <v>18500</v>
      </c>
      <c r="D6941" s="6" t="b">
        <v>0</v>
      </c>
      <c r="E6941" s="6"/>
      <c r="F6941" s="6"/>
      <c r="G6941" s="115" t="b">
        <f>VLOOKUP(I6934,FS_input_noty,J6934,TRUE)=""</f>
        <v>0</v>
      </c>
      <c r="H6941" s="6" t="s">
        <v>2189</v>
      </c>
      <c r="I6941" t="s">
        <v>2080</v>
      </c>
      <c r="J6941">
        <v>8</v>
      </c>
      <c r="L6941" s="26" t="e">
        <f t="shared" si="408"/>
        <v>#VALUE!</v>
      </c>
    </row>
    <row r="6942" spans="1:12" x14ac:dyDescent="0.35">
      <c r="A6942">
        <f t="shared" si="409"/>
        <v>6941</v>
      </c>
      <c r="B6942" t="s">
        <v>112</v>
      </c>
      <c r="C6942" s="109" t="str">
        <f>IF(ISBLANK(K6942),IFERROR(VLOOKUP(I6942,FS_input_data!$C$458:$N$648,Export!J6942,FALSE),""),K6942)</f>
        <v/>
      </c>
      <c r="D6942" s="6"/>
      <c r="E6942" s="6"/>
      <c r="F6942" s="6"/>
      <c r="G6942" s="115" t="b">
        <f>VLOOKUP(I6934,FS_input_noty,J6934,FALSE)=""</f>
        <v>0</v>
      </c>
      <c r="H6942" s="6" t="s">
        <v>2189</v>
      </c>
      <c r="I6942" t="s">
        <v>1561</v>
      </c>
      <c r="J6942" t="s">
        <v>1561</v>
      </c>
      <c r="L6942">
        <f t="shared" si="408"/>
        <v>1</v>
      </c>
    </row>
    <row r="6943" spans="1:12" x14ac:dyDescent="0.35">
      <c r="A6943" s="9">
        <f t="shared" si="409"/>
        <v>6942</v>
      </c>
      <c r="B6943" t="s">
        <v>749</v>
      </c>
      <c r="C6943" s="109">
        <f>IF(ISBLANK(K6943),IFERROR(VLOOKUP(I6943,FS_input_data!$C$458:$N$648,Export!J6943,FALSE),""),K6943)</f>
        <v>18500</v>
      </c>
      <c r="D6943" s="6" t="b">
        <v>0</v>
      </c>
      <c r="E6943" s="6"/>
      <c r="F6943" s="6"/>
      <c r="G6943" s="115" t="b">
        <f>VLOOKUP(I6934,FS_input_noty,J6934,FALSE)=""</f>
        <v>0</v>
      </c>
      <c r="H6943" s="6" t="s">
        <v>2189</v>
      </c>
      <c r="I6943" t="s">
        <v>2080</v>
      </c>
      <c r="J6943">
        <v>9</v>
      </c>
      <c r="L6943" s="26" t="e">
        <f t="shared" si="408"/>
        <v>#VALUE!</v>
      </c>
    </row>
    <row r="6944" spans="1:12" x14ac:dyDescent="0.35">
      <c r="A6944">
        <f t="shared" si="409"/>
        <v>6943</v>
      </c>
      <c r="B6944" t="s">
        <v>750</v>
      </c>
      <c r="C6944" s="109" t="str">
        <f>IF(ISBLANK(K6944),IFERROR(VLOOKUP(I6944,FS_input_data!$C$458:$N$648,Export!J6944,FALSE),""),K6944)</f>
        <v/>
      </c>
      <c r="D6944" s="6"/>
      <c r="E6944" s="6"/>
      <c r="F6944" s="6"/>
      <c r="G6944" s="115" t="b">
        <f>VLOOKUP(I6934,FS_input_noty,J6934,FALSE)=""</f>
        <v>0</v>
      </c>
      <c r="H6944" s="6" t="s">
        <v>2189</v>
      </c>
      <c r="I6944" t="s">
        <v>1561</v>
      </c>
      <c r="J6944" t="s">
        <v>1561</v>
      </c>
      <c r="L6944">
        <f t="shared" si="408"/>
        <v>1</v>
      </c>
    </row>
    <row r="6945" spans="1:12" x14ac:dyDescent="0.35">
      <c r="A6945">
        <f t="shared" si="409"/>
        <v>6944</v>
      </c>
      <c r="B6945" t="s">
        <v>751</v>
      </c>
      <c r="C6945" s="109" t="str">
        <f>IF(ISBLANK(K6945),IFERROR(VLOOKUP(I6945,FS_input_data!$C$458:$N$648,Export!J6945,FALSE),""),K6945)</f>
        <v/>
      </c>
      <c r="D6945" s="6"/>
      <c r="E6945" s="6"/>
      <c r="F6945" s="6"/>
      <c r="G6945" s="115" t="b">
        <f>VLOOKUP(I6934,FS_input_noty,J6934,FALSE)=""</f>
        <v>0</v>
      </c>
      <c r="H6945" s="6" t="s">
        <v>2189</v>
      </c>
      <c r="I6945" t="s">
        <v>1561</v>
      </c>
      <c r="J6945" t="s">
        <v>1561</v>
      </c>
      <c r="L6945">
        <f t="shared" si="408"/>
        <v>1</v>
      </c>
    </row>
    <row r="6946" spans="1:12" x14ac:dyDescent="0.35">
      <c r="A6946">
        <f t="shared" si="409"/>
        <v>6945</v>
      </c>
      <c r="B6946" t="s">
        <v>754</v>
      </c>
      <c r="C6946" s="109" t="str">
        <f>IF(ISBLANK(K6946),IFERROR(VLOOKUP(I6946,FS_input_data!$C$458:$N$648,Export!J6946,FALSE),""),K6946)</f>
        <v/>
      </c>
      <c r="D6946" s="6"/>
      <c r="E6946" s="6"/>
      <c r="F6946" s="6"/>
      <c r="G6946" s="115" t="b">
        <f>VLOOKUP(I6934,FS_input_noty,J6934,FALSE)=""</f>
        <v>0</v>
      </c>
      <c r="H6946" s="6" t="s">
        <v>2189</v>
      </c>
      <c r="I6946" t="s">
        <v>1561</v>
      </c>
      <c r="J6946" t="s">
        <v>1561</v>
      </c>
      <c r="L6946" s="26" t="e">
        <f t="shared" si="408"/>
        <v>#VALUE!</v>
      </c>
    </row>
    <row r="6947" spans="1:12" x14ac:dyDescent="0.35">
      <c r="A6947" s="9">
        <f t="shared" si="409"/>
        <v>6946</v>
      </c>
      <c r="B6947" t="s">
        <v>755</v>
      </c>
      <c r="C6947" s="109">
        <f>IF(ISBLANK(K6947),IFERROR(VLOOKUP(I6947,FS_input_data!$C$458:$N$648,Export!J6947,FALSE),""),K6947)</f>
        <v>135</v>
      </c>
      <c r="D6947" s="6" t="b">
        <v>1</v>
      </c>
      <c r="E6947" s="6"/>
      <c r="F6947" s="6"/>
      <c r="G6947" s="115" t="b">
        <f>VLOOKUP(I6934,FS_input_noty,J6934,FALSE)=""</f>
        <v>0</v>
      </c>
      <c r="H6947" s="6" t="s">
        <v>2189</v>
      </c>
      <c r="I6947" t="s">
        <v>2080</v>
      </c>
      <c r="J6947">
        <v>2</v>
      </c>
      <c r="L6947" s="26" t="e">
        <f t="shared" si="408"/>
        <v>#VALUE!</v>
      </c>
    </row>
    <row r="6948" spans="1:12" x14ac:dyDescent="0.35">
      <c r="A6948">
        <f t="shared" si="409"/>
        <v>6947</v>
      </c>
      <c r="B6948" t="s">
        <v>756</v>
      </c>
      <c r="C6948" s="109" t="str">
        <f>IF(ISBLANK(K6948),IFERROR(VLOOKUP(I6948,FS_input_data!$C$458:$N$648,Export!J6948,FALSE),""),K6948)</f>
        <v/>
      </c>
      <c r="D6948" s="6"/>
      <c r="E6948" s="6"/>
      <c r="F6948" s="6"/>
      <c r="G6948" s="115" t="b">
        <f>VLOOKUP(I6934,FS_input_noty,J6934,FALSE)=""</f>
        <v>0</v>
      </c>
      <c r="H6948" s="6" t="s">
        <v>2189</v>
      </c>
      <c r="I6948" t="s">
        <v>1561</v>
      </c>
      <c r="J6948" t="s">
        <v>1561</v>
      </c>
      <c r="L6948">
        <f t="shared" si="408"/>
        <v>1</v>
      </c>
    </row>
    <row r="6949" spans="1:12" x14ac:dyDescent="0.35">
      <c r="A6949" s="9">
        <f t="shared" si="409"/>
        <v>6948</v>
      </c>
      <c r="B6949" t="s">
        <v>757</v>
      </c>
      <c r="C6949" s="109">
        <f>IF(ISBLANK(K6949),IFERROR(VLOOKUP(I6949,FS_input_data!$C$458:$N$648,Export!J6949,FALSE),""),K6949)</f>
        <v>235</v>
      </c>
      <c r="D6949" s="6" t="b">
        <v>0</v>
      </c>
      <c r="E6949" s="6"/>
      <c r="F6949" s="6"/>
      <c r="G6949" s="115" t="b">
        <f>VLOOKUP(I6934,FS_input_noty,J6934,FALSE)=""</f>
        <v>0</v>
      </c>
      <c r="H6949" s="6" t="s">
        <v>2189</v>
      </c>
      <c r="I6949" t="s">
        <v>2080</v>
      </c>
      <c r="J6949">
        <v>3</v>
      </c>
      <c r="L6949" s="26" t="e">
        <f t="shared" si="408"/>
        <v>#VALUE!</v>
      </c>
    </row>
    <row r="6950" spans="1:12" x14ac:dyDescent="0.35">
      <c r="A6950">
        <f t="shared" si="409"/>
        <v>6949</v>
      </c>
      <c r="B6950" t="s">
        <v>758</v>
      </c>
      <c r="C6950" s="109" t="str">
        <f>IF(ISBLANK(K6950),IFERROR(VLOOKUP(I6950,FS_input_data!$C$458:$N$648,Export!J6950,FALSE),""),K6950)</f>
        <v/>
      </c>
      <c r="D6950" s="6"/>
      <c r="E6950" s="6"/>
      <c r="F6950" s="6"/>
      <c r="G6950" s="115" t="b">
        <f>VLOOKUP(I6934,FS_input_noty,J6934,FALSE)=""</f>
        <v>0</v>
      </c>
      <c r="H6950" s="6" t="s">
        <v>2189</v>
      </c>
      <c r="I6950" t="s">
        <v>1561</v>
      </c>
      <c r="J6950" t="s">
        <v>1561</v>
      </c>
      <c r="L6950">
        <f t="shared" si="408"/>
        <v>1</v>
      </c>
    </row>
    <row r="6951" spans="1:12" x14ac:dyDescent="0.35">
      <c r="A6951" s="9">
        <f t="shared" si="409"/>
        <v>6950</v>
      </c>
      <c r="B6951" t="s">
        <v>759</v>
      </c>
      <c r="C6951" s="109">
        <f>IF(ISBLANK(K6951),IFERROR(VLOOKUP(I6951,FS_input_data!$C$458:$N$648,Export!J6951,FALSE),""),K6951)</f>
        <v>335</v>
      </c>
      <c r="D6951" s="6" t="b">
        <v>0</v>
      </c>
      <c r="E6951" s="6"/>
      <c r="F6951" s="6"/>
      <c r="G6951" s="115" t="b">
        <f>VLOOKUP(I6934,FS_input_noty,J6934,FALSE)=""</f>
        <v>0</v>
      </c>
      <c r="H6951" s="6" t="s">
        <v>2189</v>
      </c>
      <c r="I6951" t="s">
        <v>2080</v>
      </c>
      <c r="J6951">
        <v>4</v>
      </c>
      <c r="L6951" s="26" t="e">
        <f t="shared" si="408"/>
        <v>#VALUE!</v>
      </c>
    </row>
    <row r="6952" spans="1:12" x14ac:dyDescent="0.35">
      <c r="A6952">
        <f t="shared" si="409"/>
        <v>6951</v>
      </c>
      <c r="B6952" t="s">
        <v>760</v>
      </c>
      <c r="C6952" s="109" t="str">
        <f>IF(ISBLANK(K6952),IFERROR(VLOOKUP(I6952,FS_input_data!$C$458:$N$648,Export!J6952,FALSE),""),K6952)</f>
        <v/>
      </c>
      <c r="D6952" s="6"/>
      <c r="E6952" s="6"/>
      <c r="F6952" s="6"/>
      <c r="G6952" s="115" t="b">
        <f>VLOOKUP(I6934,FS_input_noty,J6934,FALSE)=""</f>
        <v>0</v>
      </c>
      <c r="H6952" s="6" t="s">
        <v>2189</v>
      </c>
      <c r="I6952" t="s">
        <v>1561</v>
      </c>
      <c r="J6952" t="s">
        <v>1561</v>
      </c>
      <c r="L6952">
        <f t="shared" si="408"/>
        <v>1</v>
      </c>
    </row>
    <row r="6953" spans="1:12" x14ac:dyDescent="0.35">
      <c r="A6953" s="9">
        <f t="shared" si="409"/>
        <v>6952</v>
      </c>
      <c r="B6953" t="s">
        <v>761</v>
      </c>
      <c r="C6953" s="109" t="str">
        <f>IF(ISBLANK(K6953),IFERROR(VLOOKUP(I6953,FS_input_data!$C$458:$N$648,Export!J6953,FALSE),""),K6953)</f>
        <v>i</v>
      </c>
      <c r="D6953" s="6" t="b">
        <v>0</v>
      </c>
      <c r="E6953" s="6"/>
      <c r="F6953" s="6"/>
      <c r="G6953" s="115" t="b">
        <f>VLOOKUP(I6934,FS_input_noty,J6934,FALSE)=""</f>
        <v>0</v>
      </c>
      <c r="H6953" s="6" t="s">
        <v>2189</v>
      </c>
      <c r="I6953" t="s">
        <v>2080</v>
      </c>
      <c r="J6953">
        <v>5</v>
      </c>
      <c r="L6953" s="26" t="e">
        <f t="shared" si="408"/>
        <v>#VALUE!</v>
      </c>
    </row>
    <row r="6954" spans="1:12" x14ac:dyDescent="0.35">
      <c r="A6954">
        <f t="shared" si="409"/>
        <v>6953</v>
      </c>
      <c r="B6954" t="s">
        <v>762</v>
      </c>
      <c r="C6954" s="109" t="str">
        <f>IF(ISBLANK(K6954),IFERROR(VLOOKUP(I6954,FS_input_data!$C$458:$N$648,Export!J6954,FALSE),""),K6954)</f>
        <v/>
      </c>
      <c r="D6954" s="6"/>
      <c r="E6954" s="6"/>
      <c r="F6954" s="6"/>
      <c r="G6954" s="115" t="b">
        <f>VLOOKUP(I6934,FS_input_noty,J6934,FALSE)=""</f>
        <v>0</v>
      </c>
      <c r="H6954" s="6" t="s">
        <v>2189</v>
      </c>
      <c r="I6954" t="s">
        <v>1561</v>
      </c>
      <c r="J6954" t="s">
        <v>1561</v>
      </c>
      <c r="L6954">
        <f t="shared" si="408"/>
        <v>1</v>
      </c>
    </row>
    <row r="6955" spans="1:12" x14ac:dyDescent="0.35">
      <c r="A6955">
        <f t="shared" si="409"/>
        <v>6954</v>
      </c>
      <c r="B6955" t="s">
        <v>763</v>
      </c>
      <c r="C6955" s="109" t="str">
        <f>IF(ISBLANK(K6955),IFERROR(VLOOKUP(I6955,FS_input_data!$C$458:$N$648,Export!J6955,FALSE),""),K6955)</f>
        <v/>
      </c>
      <c r="D6955" s="6"/>
      <c r="E6955" s="6"/>
      <c r="F6955" s="6"/>
      <c r="G6955" s="115" t="b">
        <f>VLOOKUP(I6934,FS_input_noty,J6934,FALSE)=""</f>
        <v>0</v>
      </c>
      <c r="H6955" s="6" t="s">
        <v>2189</v>
      </c>
      <c r="I6955" t="s">
        <v>1561</v>
      </c>
      <c r="J6955" t="s">
        <v>1561</v>
      </c>
      <c r="L6955">
        <f t="shared" si="408"/>
        <v>1</v>
      </c>
    </row>
    <row r="6956" spans="1:12" x14ac:dyDescent="0.35">
      <c r="A6956">
        <f t="shared" si="409"/>
        <v>6955</v>
      </c>
      <c r="B6956" t="s">
        <v>743</v>
      </c>
      <c r="C6956" s="109" t="str">
        <f>IF(ISBLANK(K6956),IFERROR(VLOOKUP(I6956,FS_input_data!$C$458:$N$648,Export!J6956,FALSE),""),K6956)</f>
        <v/>
      </c>
      <c r="D6956" s="6"/>
      <c r="E6956" s="6"/>
      <c r="F6956" s="6"/>
      <c r="G6956" s="115" t="b">
        <f>VLOOKUP(I6934,FS_input_noty,J6934,FALSE)=""</f>
        <v>0</v>
      </c>
      <c r="H6956" s="6" t="s">
        <v>2189</v>
      </c>
      <c r="I6956" t="s">
        <v>1561</v>
      </c>
      <c r="J6956" t="s">
        <v>1561</v>
      </c>
      <c r="L6956">
        <f t="shared" si="408"/>
        <v>1</v>
      </c>
    </row>
    <row r="6957" spans="1:12" x14ac:dyDescent="0.35">
      <c r="A6957">
        <f t="shared" si="409"/>
        <v>6956</v>
      </c>
      <c r="B6957" t="s">
        <v>744</v>
      </c>
      <c r="C6957" s="109" t="str">
        <f>IF(ISBLANK(K6957),IFERROR(VLOOKUP(I6957,FS_input_data!$C$458:$N$648,Export!J6957,FALSE),""),K6957)</f>
        <v/>
      </c>
      <c r="D6957" s="6"/>
      <c r="E6957" s="6"/>
      <c r="F6957" s="6"/>
      <c r="G6957" s="115" t="b">
        <f t="shared" ref="G6957:G6964" si="411">RP_tax</f>
        <v>1</v>
      </c>
      <c r="H6957" s="6" t="s">
        <v>2189</v>
      </c>
      <c r="I6957" t="s">
        <v>1561</v>
      </c>
      <c r="J6957" t="s">
        <v>1561</v>
      </c>
      <c r="L6957" s="26" t="e">
        <f t="shared" si="408"/>
        <v>#VALUE!</v>
      </c>
    </row>
    <row r="6958" spans="1:12" x14ac:dyDescent="0.35">
      <c r="A6958" s="9">
        <f t="shared" si="409"/>
        <v>6957</v>
      </c>
      <c r="B6958" t="s">
        <v>109</v>
      </c>
      <c r="C6958" s="109">
        <f>IF(ISBLANK(K6958),IFERROR(VLOOKUP(I6958,FS_input_data!$C$458:$N$648,Export!J6958,FALSE),""),K6958)</f>
        <v>37000</v>
      </c>
      <c r="D6958" s="6" t="b">
        <v>1</v>
      </c>
      <c r="E6958" s="6"/>
      <c r="F6958" s="6"/>
      <c r="G6958" s="115" t="b">
        <f t="shared" si="411"/>
        <v>1</v>
      </c>
      <c r="H6958" s="6" t="s">
        <v>2189</v>
      </c>
      <c r="I6958" t="s">
        <v>2080</v>
      </c>
      <c r="J6958">
        <v>10</v>
      </c>
      <c r="L6958" s="26" t="e">
        <f t="shared" si="408"/>
        <v>#VALUE!</v>
      </c>
    </row>
    <row r="6959" spans="1:12" x14ac:dyDescent="0.35">
      <c r="A6959">
        <f t="shared" si="409"/>
        <v>6958</v>
      </c>
      <c r="B6959" t="s">
        <v>110</v>
      </c>
      <c r="C6959" s="109" t="str">
        <f>IF(ISBLANK(K6959),IFERROR(VLOOKUP(I6959,FS_input_data!$C$458:$N$648,Export!J6959,FALSE),""),K6959)</f>
        <v/>
      </c>
      <c r="D6959" s="6"/>
      <c r="E6959" s="6"/>
      <c r="F6959" s="6"/>
      <c r="G6959" s="115" t="b">
        <f t="shared" si="411"/>
        <v>1</v>
      </c>
      <c r="H6959" s="6" t="s">
        <v>2189</v>
      </c>
      <c r="I6959" t="s">
        <v>1561</v>
      </c>
      <c r="J6959" t="s">
        <v>1561</v>
      </c>
      <c r="L6959">
        <f t="shared" si="408"/>
        <v>1</v>
      </c>
    </row>
    <row r="6960" spans="1:12" x14ac:dyDescent="0.35">
      <c r="A6960" s="9">
        <f t="shared" si="409"/>
        <v>6959</v>
      </c>
      <c r="B6960" t="s">
        <v>111</v>
      </c>
      <c r="C6960" s="109">
        <f>IF(ISBLANK(K6960),IFERROR(VLOOKUP(I6960,FS_input_data!$C$458:$N$648,Export!J6960,FALSE),""),K6960)</f>
        <v>18500</v>
      </c>
      <c r="D6960" s="6" t="b">
        <v>0</v>
      </c>
      <c r="E6960" s="6"/>
      <c r="F6960" s="6"/>
      <c r="G6960" s="115" t="b">
        <f t="shared" si="411"/>
        <v>1</v>
      </c>
      <c r="H6960" s="6" t="s">
        <v>2189</v>
      </c>
      <c r="I6960" t="s">
        <v>2080</v>
      </c>
      <c r="J6960">
        <v>11</v>
      </c>
      <c r="L6960" s="26" t="e">
        <f t="shared" si="408"/>
        <v>#VALUE!</v>
      </c>
    </row>
    <row r="6961" spans="1:12" x14ac:dyDescent="0.35">
      <c r="A6961">
        <f t="shared" si="409"/>
        <v>6960</v>
      </c>
      <c r="B6961" t="s">
        <v>112</v>
      </c>
      <c r="C6961" s="109" t="str">
        <f>IF(ISBLANK(K6961),IFERROR(VLOOKUP(I6961,FS_input_data!$C$458:$N$648,Export!J6961,FALSE),""),K6961)</f>
        <v/>
      </c>
      <c r="D6961" s="6"/>
      <c r="E6961" s="6"/>
      <c r="F6961" s="6"/>
      <c r="G6961" s="115" t="b">
        <f t="shared" si="411"/>
        <v>1</v>
      </c>
      <c r="H6961" s="6" t="s">
        <v>2189</v>
      </c>
      <c r="I6961" t="s">
        <v>1561</v>
      </c>
      <c r="J6961" t="s">
        <v>1561</v>
      </c>
      <c r="L6961">
        <f t="shared" si="408"/>
        <v>1</v>
      </c>
    </row>
    <row r="6962" spans="1:12" x14ac:dyDescent="0.35">
      <c r="A6962" s="9">
        <f t="shared" si="409"/>
        <v>6961</v>
      </c>
      <c r="B6962" t="s">
        <v>749</v>
      </c>
      <c r="C6962" s="109">
        <f>IF(ISBLANK(K6962),IFERROR(VLOOKUP(I6962,FS_input_data!$C$458:$N$648,Export!J6962,FALSE),""),K6962)</f>
        <v>18500</v>
      </c>
      <c r="D6962" s="6" t="b">
        <v>0</v>
      </c>
      <c r="E6962" s="6"/>
      <c r="F6962" s="6"/>
      <c r="G6962" s="115" t="b">
        <f t="shared" si="411"/>
        <v>1</v>
      </c>
      <c r="H6962" s="6" t="s">
        <v>2189</v>
      </c>
      <c r="I6962" t="s">
        <v>2080</v>
      </c>
      <c r="J6962">
        <v>12</v>
      </c>
      <c r="L6962" s="26" t="e">
        <f t="shared" si="408"/>
        <v>#VALUE!</v>
      </c>
    </row>
    <row r="6963" spans="1:12" x14ac:dyDescent="0.35">
      <c r="A6963">
        <f t="shared" si="409"/>
        <v>6962</v>
      </c>
      <c r="B6963" t="s">
        <v>750</v>
      </c>
      <c r="C6963" s="109" t="str">
        <f>IF(ISBLANK(K6963),IFERROR(VLOOKUP(I6963,FS_input_data!$C$458:$N$648,Export!J6963,FALSE),""),K6963)</f>
        <v/>
      </c>
      <c r="D6963" s="6"/>
      <c r="E6963" s="6"/>
      <c r="F6963" s="6"/>
      <c r="G6963" s="115" t="b">
        <f t="shared" si="411"/>
        <v>1</v>
      </c>
      <c r="H6963" s="6" t="s">
        <v>2189</v>
      </c>
      <c r="I6963" t="s">
        <v>1561</v>
      </c>
      <c r="J6963" t="s">
        <v>1561</v>
      </c>
      <c r="L6963">
        <f t="shared" si="408"/>
        <v>1</v>
      </c>
    </row>
    <row r="6964" spans="1:12" x14ac:dyDescent="0.35">
      <c r="A6964">
        <f t="shared" si="409"/>
        <v>6963</v>
      </c>
      <c r="B6964" t="s">
        <v>745</v>
      </c>
      <c r="C6964" s="109" t="str">
        <f>IF(ISBLANK(K6964),IFERROR(VLOOKUP(I6964,FS_input_data!$C$458:$N$648,Export!J6964,FALSE),""),K6964)</f>
        <v/>
      </c>
      <c r="D6964" s="6"/>
      <c r="E6964" s="6"/>
      <c r="F6964" s="6"/>
      <c r="G6964" s="115" t="b">
        <f t="shared" si="411"/>
        <v>1</v>
      </c>
      <c r="H6964" s="6" t="s">
        <v>2189</v>
      </c>
      <c r="I6964" t="s">
        <v>1561</v>
      </c>
      <c r="J6964" t="s">
        <v>1561</v>
      </c>
      <c r="L6964">
        <f t="shared" si="408"/>
        <v>1</v>
      </c>
    </row>
    <row r="6965" spans="1:12" x14ac:dyDescent="0.35">
      <c r="A6965">
        <f t="shared" si="409"/>
        <v>6964</v>
      </c>
      <c r="B6965" t="s">
        <v>764</v>
      </c>
      <c r="C6965" s="109" t="str">
        <f>IF(ISBLANK(K6965),IFERROR(VLOOKUP(I6965,FS_input_data!$C$458:$N$648,Export!J6965,FALSE),""),K6965)</f>
        <v/>
      </c>
      <c r="D6965" s="6"/>
      <c r="E6965" s="6"/>
      <c r="F6965" s="6"/>
      <c r="G6965" s="115" t="b">
        <f>VLOOKUP(I6934,FS_input_noty,J6934,FALSE)=""</f>
        <v>0</v>
      </c>
      <c r="H6965" s="6" t="s">
        <v>2189</v>
      </c>
      <c r="I6965" t="s">
        <v>1561</v>
      </c>
      <c r="J6965" t="s">
        <v>1561</v>
      </c>
      <c r="L6965">
        <f t="shared" si="408"/>
        <v>1</v>
      </c>
    </row>
    <row r="6966" spans="1:12" x14ac:dyDescent="0.35">
      <c r="A6966">
        <f t="shared" si="409"/>
        <v>6965</v>
      </c>
      <c r="B6966" t="s">
        <v>765</v>
      </c>
      <c r="C6966" s="109" t="str">
        <f>IF(ISBLANK(K6966),IFERROR(VLOOKUP(I6966,FS_input_data!$C$458:$N$648,Export!J6966,FALSE),""),K6966)</f>
        <v/>
      </c>
      <c r="D6966" s="6"/>
      <c r="E6966" s="6"/>
      <c r="F6966" s="6"/>
      <c r="G6966" s="115" t="b">
        <f>VLOOKUP(I6934,FS_input_noty,J6934,FALSE)=""</f>
        <v>0</v>
      </c>
      <c r="H6966" s="6" t="s">
        <v>2189</v>
      </c>
      <c r="I6966" t="s">
        <v>1561</v>
      </c>
      <c r="J6966" t="s">
        <v>1561</v>
      </c>
      <c r="L6966">
        <f t="shared" si="408"/>
        <v>1</v>
      </c>
    </row>
    <row r="6967" spans="1:12" x14ac:dyDescent="0.35">
      <c r="A6967">
        <f t="shared" si="409"/>
        <v>6966</v>
      </c>
      <c r="B6967" t="s">
        <v>752</v>
      </c>
      <c r="C6967" s="109" t="str">
        <f>IF(ISBLANK(K6967),IFERROR(VLOOKUP(I6967,FS_input_data!$C$458:$N$648,Export!J6967,FALSE),""),K6967)</f>
        <v/>
      </c>
      <c r="D6967" s="6"/>
      <c r="E6967" s="6"/>
      <c r="F6967" s="6"/>
      <c r="G6967" s="115" t="b">
        <f>VLOOKUP(I6968,FS_input_noty,J6968,FALSE)=""</f>
        <v>0</v>
      </c>
      <c r="H6967" s="6" t="s">
        <v>2189</v>
      </c>
      <c r="I6967" t="s">
        <v>1561</v>
      </c>
      <c r="J6967" t="s">
        <v>1561</v>
      </c>
      <c r="L6967" s="26" t="e">
        <f t="shared" si="408"/>
        <v>#VALUE!</v>
      </c>
    </row>
    <row r="6968" spans="1:12" x14ac:dyDescent="0.35">
      <c r="A6968" s="9">
        <f t="shared" si="409"/>
        <v>6967</v>
      </c>
      <c r="B6968" t="s">
        <v>101</v>
      </c>
      <c r="C6968" s="109" t="str">
        <f>IF(ISBLANK(K6968),IFERROR(VLOOKUP(I6968,FS_input_data!$C$458:$N$648,Export!J6968,FALSE),""),K6968)</f>
        <v>OC113</v>
      </c>
      <c r="D6968" s="6" t="b">
        <v>1</v>
      </c>
      <c r="E6968" s="6"/>
      <c r="F6968" s="6"/>
      <c r="G6968" s="115" t="b">
        <f>VLOOKUP(I6968,FS_input_noty,J6968,FALSE)=""</f>
        <v>0</v>
      </c>
      <c r="H6968" s="6" t="s">
        <v>2189</v>
      </c>
      <c r="I6968" t="s">
        <v>2082</v>
      </c>
      <c r="J6968">
        <v>6</v>
      </c>
      <c r="L6968" s="26" t="e">
        <f t="shared" si="408"/>
        <v>#VALUE!</v>
      </c>
    </row>
    <row r="6969" spans="1:12" x14ac:dyDescent="0.35">
      <c r="A6969">
        <f t="shared" si="409"/>
        <v>6968</v>
      </c>
      <c r="B6969" t="s">
        <v>102</v>
      </c>
      <c r="C6969" s="109" t="str">
        <f>IF(ISBLANK(K6969),IFERROR(VLOOKUP(I6969,FS_input_data!$C$458:$N$648,Export!J6969,FALSE),""),K6969)</f>
        <v/>
      </c>
      <c r="D6969" s="6"/>
      <c r="E6969" s="6"/>
      <c r="F6969" s="6"/>
      <c r="G6969" s="115" t="b">
        <f>VLOOKUP(I6968,FS_input_noty,J6968,FALSE)=""</f>
        <v>0</v>
      </c>
      <c r="H6969" s="6" t="s">
        <v>2189</v>
      </c>
      <c r="I6969" t="s">
        <v>1561</v>
      </c>
      <c r="J6969" t="s">
        <v>1561</v>
      </c>
      <c r="L6969">
        <f t="shared" si="408"/>
        <v>1</v>
      </c>
    </row>
    <row r="6970" spans="1:12" x14ac:dyDescent="0.35">
      <c r="A6970">
        <f t="shared" si="409"/>
        <v>6969</v>
      </c>
      <c r="B6970" t="s">
        <v>753</v>
      </c>
      <c r="C6970" s="109" t="str">
        <f>IF(ISBLANK(K6970),IFERROR(VLOOKUP(I6970,FS_input_data!$C$458:$N$648,Export!J6970,FALSE),""),K6970)</f>
        <v/>
      </c>
      <c r="D6970" s="6"/>
      <c r="E6970" s="6"/>
      <c r="F6970" s="6"/>
      <c r="G6970" s="115" t="b">
        <f>VLOOKUP(I6968,FS_input_noty,J6968,FALSE)=""</f>
        <v>0</v>
      </c>
      <c r="H6970" s="6" t="s">
        <v>2189</v>
      </c>
      <c r="I6970" t="s">
        <v>1561</v>
      </c>
      <c r="J6970" t="s">
        <v>1561</v>
      </c>
      <c r="L6970" s="26" t="e">
        <f t="shared" si="408"/>
        <v>#VALUE!</v>
      </c>
    </row>
    <row r="6971" spans="1:12" x14ac:dyDescent="0.35">
      <c r="A6971">
        <f t="shared" si="409"/>
        <v>6970</v>
      </c>
      <c r="B6971" t="s">
        <v>742</v>
      </c>
      <c r="C6971" s="109" t="str">
        <f>IF(ISBLANK(K6971),IFERROR(VLOOKUP(I6971,FS_input_data!$C$458:$N$648,Export!J6971,FALSE),""),K6971)</f>
        <v/>
      </c>
      <c r="D6971" s="6"/>
      <c r="E6971" s="6"/>
      <c r="F6971" s="6"/>
      <c r="G6971" s="115" t="b">
        <f>VLOOKUP(I6968,FS_input_noty,J6968,FALSE)=""</f>
        <v>0</v>
      </c>
      <c r="H6971" s="6" t="s">
        <v>2189</v>
      </c>
      <c r="I6971" t="s">
        <v>1561</v>
      </c>
      <c r="J6971" t="s">
        <v>1561</v>
      </c>
      <c r="L6971" s="26" t="e">
        <f t="shared" si="408"/>
        <v>#VALUE!</v>
      </c>
    </row>
    <row r="6972" spans="1:12" x14ac:dyDescent="0.35">
      <c r="A6972">
        <f t="shared" si="409"/>
        <v>6971</v>
      </c>
      <c r="B6972" t="s">
        <v>748</v>
      </c>
      <c r="C6972" s="109" t="str">
        <f>IF(ISBLANK(K6972),IFERROR(VLOOKUP(I6972,FS_input_data!$C$458:$N$648,Export!J6972,FALSE),""),K6972)</f>
        <v/>
      </c>
      <c r="D6972" s="6"/>
      <c r="E6972" s="6"/>
      <c r="F6972" s="6"/>
      <c r="G6972" s="115" t="b">
        <f>VLOOKUP(I6968,FS_input_noty,J6968,FALSE)=""</f>
        <v>0</v>
      </c>
      <c r="H6972" s="6" t="s">
        <v>2189</v>
      </c>
      <c r="I6972" t="s">
        <v>1561</v>
      </c>
      <c r="J6972" t="s">
        <v>1561</v>
      </c>
      <c r="L6972" s="26" t="e">
        <f t="shared" si="408"/>
        <v>#VALUE!</v>
      </c>
    </row>
    <row r="6973" spans="1:12" x14ac:dyDescent="0.35">
      <c r="A6973" s="9">
        <f t="shared" si="409"/>
        <v>6972</v>
      </c>
      <c r="B6973" t="s">
        <v>109</v>
      </c>
      <c r="C6973" s="109">
        <f>IF(ISBLANK(K6973),IFERROR(VLOOKUP(I6973,FS_input_data!$C$458:$N$648,Export!J6973,FALSE),""),K6973)</f>
        <v>38000</v>
      </c>
      <c r="D6973" s="6" t="b">
        <v>1</v>
      </c>
      <c r="E6973" s="6"/>
      <c r="F6973" s="6"/>
      <c r="G6973" s="115" t="b">
        <f>VLOOKUP(I6968,FS_input_noty,J6968,FALSE)=""</f>
        <v>0</v>
      </c>
      <c r="H6973" s="6" t="s">
        <v>2189</v>
      </c>
      <c r="I6973" t="s">
        <v>2082</v>
      </c>
      <c r="J6973">
        <v>7</v>
      </c>
      <c r="L6973" s="26" t="e">
        <f t="shared" si="408"/>
        <v>#VALUE!</v>
      </c>
    </row>
    <row r="6974" spans="1:12" x14ac:dyDescent="0.35">
      <c r="A6974">
        <f t="shared" si="409"/>
        <v>6973</v>
      </c>
      <c r="B6974" t="s">
        <v>110</v>
      </c>
      <c r="C6974" s="109" t="str">
        <f>IF(ISBLANK(K6974),IFERROR(VLOOKUP(I6974,FS_input_data!$C$458:$N$648,Export!J6974,FALSE),""),K6974)</f>
        <v/>
      </c>
      <c r="D6974" s="6"/>
      <c r="E6974" s="6"/>
      <c r="F6974" s="6"/>
      <c r="G6974" s="115" t="b">
        <f>VLOOKUP(I6968,FS_input_noty,J6968,FALSE)=""</f>
        <v>0</v>
      </c>
      <c r="H6974" s="6" t="s">
        <v>2189</v>
      </c>
      <c r="I6974" t="s">
        <v>1561</v>
      </c>
      <c r="J6974" t="s">
        <v>1561</v>
      </c>
      <c r="L6974">
        <f t="shared" si="408"/>
        <v>1</v>
      </c>
    </row>
    <row r="6975" spans="1:12" x14ac:dyDescent="0.35">
      <c r="A6975" s="9">
        <f t="shared" si="409"/>
        <v>6974</v>
      </c>
      <c r="B6975" t="s">
        <v>111</v>
      </c>
      <c r="C6975" s="109">
        <f>IF(ISBLANK(K6975),IFERROR(VLOOKUP(I6975,FS_input_data!$C$458:$N$648,Export!J6975,FALSE),""),K6975)</f>
        <v>19000</v>
      </c>
      <c r="D6975" s="6" t="b">
        <v>0</v>
      </c>
      <c r="E6975" s="6"/>
      <c r="F6975" s="6"/>
      <c r="G6975" s="115" t="b">
        <f>VLOOKUP(I6968,FS_input_noty,J6968,TRUE)=""</f>
        <v>0</v>
      </c>
      <c r="H6975" s="6" t="s">
        <v>2189</v>
      </c>
      <c r="I6975" t="s">
        <v>2082</v>
      </c>
      <c r="J6975">
        <v>8</v>
      </c>
      <c r="L6975" s="26" t="e">
        <f t="shared" si="408"/>
        <v>#VALUE!</v>
      </c>
    </row>
    <row r="6976" spans="1:12" x14ac:dyDescent="0.35">
      <c r="A6976">
        <f t="shared" si="409"/>
        <v>6975</v>
      </c>
      <c r="B6976" t="s">
        <v>112</v>
      </c>
      <c r="C6976" s="109" t="str">
        <f>IF(ISBLANK(K6976),IFERROR(VLOOKUP(I6976,FS_input_data!$C$458:$N$648,Export!J6976,FALSE),""),K6976)</f>
        <v/>
      </c>
      <c r="D6976" s="6"/>
      <c r="E6976" s="6"/>
      <c r="F6976" s="6"/>
      <c r="G6976" s="115" t="b">
        <f>VLOOKUP(I6968,FS_input_noty,J6968,FALSE)=""</f>
        <v>0</v>
      </c>
      <c r="H6976" s="6" t="s">
        <v>2189</v>
      </c>
      <c r="I6976" t="s">
        <v>1561</v>
      </c>
      <c r="J6976" t="s">
        <v>1561</v>
      </c>
      <c r="L6976">
        <f t="shared" si="408"/>
        <v>1</v>
      </c>
    </row>
    <row r="6977" spans="1:12" x14ac:dyDescent="0.35">
      <c r="A6977" s="9">
        <f t="shared" si="409"/>
        <v>6976</v>
      </c>
      <c r="B6977" t="s">
        <v>749</v>
      </c>
      <c r="C6977" s="109">
        <f>IF(ISBLANK(K6977),IFERROR(VLOOKUP(I6977,FS_input_data!$C$458:$N$648,Export!J6977,FALSE),""),K6977)</f>
        <v>19000</v>
      </c>
      <c r="D6977" s="6" t="b">
        <v>0</v>
      </c>
      <c r="E6977" s="6"/>
      <c r="F6977" s="6"/>
      <c r="G6977" s="115" t="b">
        <f>VLOOKUP(I6968,FS_input_noty,J6968,FALSE)=""</f>
        <v>0</v>
      </c>
      <c r="H6977" s="6" t="s">
        <v>2189</v>
      </c>
      <c r="I6977" t="s">
        <v>2082</v>
      </c>
      <c r="J6977">
        <v>9</v>
      </c>
      <c r="L6977" s="26" t="e">
        <f t="shared" si="408"/>
        <v>#VALUE!</v>
      </c>
    </row>
    <row r="6978" spans="1:12" x14ac:dyDescent="0.35">
      <c r="A6978">
        <f t="shared" si="409"/>
        <v>6977</v>
      </c>
      <c r="B6978" t="s">
        <v>750</v>
      </c>
      <c r="C6978" s="109" t="str">
        <f>IF(ISBLANK(K6978),IFERROR(VLOOKUP(I6978,FS_input_data!$C$458:$N$648,Export!J6978,FALSE),""),K6978)</f>
        <v/>
      </c>
      <c r="D6978" s="6"/>
      <c r="E6978" s="6"/>
      <c r="F6978" s="6"/>
      <c r="G6978" s="115" t="b">
        <f>VLOOKUP(I6968,FS_input_noty,J6968,FALSE)=""</f>
        <v>0</v>
      </c>
      <c r="H6978" s="6" t="s">
        <v>2189</v>
      </c>
      <c r="I6978" t="s">
        <v>1561</v>
      </c>
      <c r="J6978" t="s">
        <v>1561</v>
      </c>
      <c r="L6978">
        <f t="shared" ref="L6978:L7041" si="412">FIND("/",B6978)</f>
        <v>1</v>
      </c>
    </row>
    <row r="6979" spans="1:12" x14ac:dyDescent="0.35">
      <c r="A6979">
        <f t="shared" ref="A6979:A7042" si="413">A6978+1</f>
        <v>6978</v>
      </c>
      <c r="B6979" t="s">
        <v>751</v>
      </c>
      <c r="C6979" s="109" t="str">
        <f>IF(ISBLANK(K6979),IFERROR(VLOOKUP(I6979,FS_input_data!$C$458:$N$648,Export!J6979,FALSE),""),K6979)</f>
        <v/>
      </c>
      <c r="D6979" s="6"/>
      <c r="E6979" s="6"/>
      <c r="F6979" s="6"/>
      <c r="G6979" s="115" t="b">
        <f>VLOOKUP(I6968,FS_input_noty,J6968,FALSE)=""</f>
        <v>0</v>
      </c>
      <c r="H6979" s="6" t="s">
        <v>2189</v>
      </c>
      <c r="I6979" t="s">
        <v>1561</v>
      </c>
      <c r="J6979" t="s">
        <v>1561</v>
      </c>
      <c r="L6979">
        <f t="shared" si="412"/>
        <v>1</v>
      </c>
    </row>
    <row r="6980" spans="1:12" x14ac:dyDescent="0.35">
      <c r="A6980">
        <f t="shared" si="413"/>
        <v>6979</v>
      </c>
      <c r="B6980" t="s">
        <v>754</v>
      </c>
      <c r="C6980" s="109" t="str">
        <f>IF(ISBLANK(K6980),IFERROR(VLOOKUP(I6980,FS_input_data!$C$458:$N$648,Export!J6980,FALSE),""),K6980)</f>
        <v/>
      </c>
      <c r="D6980" s="6"/>
      <c r="E6980" s="6"/>
      <c r="F6980" s="6"/>
      <c r="G6980" s="115" t="b">
        <f>VLOOKUP(I6968,FS_input_noty,J6968,FALSE)=""</f>
        <v>0</v>
      </c>
      <c r="H6980" s="6" t="s">
        <v>2189</v>
      </c>
      <c r="I6980" t="s">
        <v>1561</v>
      </c>
      <c r="J6980" t="s">
        <v>1561</v>
      </c>
      <c r="L6980" s="26" t="e">
        <f t="shared" si="412"/>
        <v>#VALUE!</v>
      </c>
    </row>
    <row r="6981" spans="1:12" x14ac:dyDescent="0.35">
      <c r="A6981" s="9">
        <f t="shared" si="413"/>
        <v>6980</v>
      </c>
      <c r="B6981" t="s">
        <v>755</v>
      </c>
      <c r="C6981" s="109">
        <f>IF(ISBLANK(K6981),IFERROR(VLOOKUP(I6981,FS_input_data!$C$458:$N$648,Export!J6981,FALSE),""),K6981)</f>
        <v>136</v>
      </c>
      <c r="D6981" s="6" t="b">
        <v>1</v>
      </c>
      <c r="E6981" s="6"/>
      <c r="F6981" s="6"/>
      <c r="G6981" s="115" t="b">
        <f>VLOOKUP(I6968,FS_input_noty,J6968,FALSE)=""</f>
        <v>0</v>
      </c>
      <c r="H6981" s="6" t="s">
        <v>2189</v>
      </c>
      <c r="I6981" t="s">
        <v>2082</v>
      </c>
      <c r="J6981">
        <v>2</v>
      </c>
      <c r="L6981" s="26" t="e">
        <f t="shared" si="412"/>
        <v>#VALUE!</v>
      </c>
    </row>
    <row r="6982" spans="1:12" x14ac:dyDescent="0.35">
      <c r="A6982">
        <f t="shared" si="413"/>
        <v>6981</v>
      </c>
      <c r="B6982" t="s">
        <v>756</v>
      </c>
      <c r="C6982" s="109" t="str">
        <f>IF(ISBLANK(K6982),IFERROR(VLOOKUP(I6982,FS_input_data!$C$458:$N$648,Export!J6982,FALSE),""),K6982)</f>
        <v/>
      </c>
      <c r="D6982" s="6"/>
      <c r="E6982" s="6"/>
      <c r="F6982" s="6"/>
      <c r="G6982" s="115" t="b">
        <f>VLOOKUP(I6968,FS_input_noty,J6968,FALSE)=""</f>
        <v>0</v>
      </c>
      <c r="H6982" s="6" t="s">
        <v>2189</v>
      </c>
      <c r="I6982" t="s">
        <v>1561</v>
      </c>
      <c r="J6982" t="s">
        <v>1561</v>
      </c>
      <c r="L6982">
        <f t="shared" si="412"/>
        <v>1</v>
      </c>
    </row>
    <row r="6983" spans="1:12" x14ac:dyDescent="0.35">
      <c r="A6983" s="9">
        <f t="shared" si="413"/>
        <v>6982</v>
      </c>
      <c r="B6983" t="s">
        <v>757</v>
      </c>
      <c r="C6983" s="109">
        <f>IF(ISBLANK(K6983),IFERROR(VLOOKUP(I6983,FS_input_data!$C$458:$N$648,Export!J6983,FALSE),""),K6983)</f>
        <v>236</v>
      </c>
      <c r="D6983" s="6" t="b">
        <v>0</v>
      </c>
      <c r="E6983" s="6"/>
      <c r="F6983" s="6"/>
      <c r="G6983" s="115" t="b">
        <f>VLOOKUP(I6968,FS_input_noty,J6968,FALSE)=""</f>
        <v>0</v>
      </c>
      <c r="H6983" s="6" t="s">
        <v>2189</v>
      </c>
      <c r="I6983" t="s">
        <v>2082</v>
      </c>
      <c r="J6983">
        <v>3</v>
      </c>
      <c r="L6983" s="26" t="e">
        <f t="shared" si="412"/>
        <v>#VALUE!</v>
      </c>
    </row>
    <row r="6984" spans="1:12" x14ac:dyDescent="0.35">
      <c r="A6984">
        <f t="shared" si="413"/>
        <v>6983</v>
      </c>
      <c r="B6984" t="s">
        <v>758</v>
      </c>
      <c r="C6984" s="109" t="str">
        <f>IF(ISBLANK(K6984),IFERROR(VLOOKUP(I6984,FS_input_data!$C$458:$N$648,Export!J6984,FALSE),""),K6984)</f>
        <v/>
      </c>
      <c r="D6984" s="6"/>
      <c r="E6984" s="6"/>
      <c r="F6984" s="6"/>
      <c r="G6984" s="115" t="b">
        <f>VLOOKUP(I6968,FS_input_noty,J6968,FALSE)=""</f>
        <v>0</v>
      </c>
      <c r="H6984" s="6" t="s">
        <v>2189</v>
      </c>
      <c r="I6984" t="s">
        <v>1561</v>
      </c>
      <c r="J6984" t="s">
        <v>1561</v>
      </c>
      <c r="L6984">
        <f t="shared" si="412"/>
        <v>1</v>
      </c>
    </row>
    <row r="6985" spans="1:12" x14ac:dyDescent="0.35">
      <c r="A6985" s="9">
        <f t="shared" si="413"/>
        <v>6984</v>
      </c>
      <c r="B6985" t="s">
        <v>759</v>
      </c>
      <c r="C6985" s="109">
        <f>IF(ISBLANK(K6985),IFERROR(VLOOKUP(I6985,FS_input_data!$C$458:$N$648,Export!J6985,FALSE),""),K6985)</f>
        <v>336</v>
      </c>
      <c r="D6985" s="6" t="b">
        <v>0</v>
      </c>
      <c r="E6985" s="6"/>
      <c r="F6985" s="6"/>
      <c r="G6985" s="115" t="b">
        <f>VLOOKUP(I6968,FS_input_noty,J6968,FALSE)=""</f>
        <v>0</v>
      </c>
      <c r="H6985" s="6" t="s">
        <v>2189</v>
      </c>
      <c r="I6985" t="s">
        <v>2082</v>
      </c>
      <c r="J6985">
        <v>4</v>
      </c>
      <c r="L6985" s="26" t="e">
        <f t="shared" si="412"/>
        <v>#VALUE!</v>
      </c>
    </row>
    <row r="6986" spans="1:12" x14ac:dyDescent="0.35">
      <c r="A6986">
        <f t="shared" si="413"/>
        <v>6985</v>
      </c>
      <c r="B6986" t="s">
        <v>760</v>
      </c>
      <c r="C6986" s="109" t="str">
        <f>IF(ISBLANK(K6986),IFERROR(VLOOKUP(I6986,FS_input_data!$C$458:$N$648,Export!J6986,FALSE),""),K6986)</f>
        <v/>
      </c>
      <c r="D6986" s="6"/>
      <c r="E6986" s="6"/>
      <c r="F6986" s="6"/>
      <c r="G6986" s="115" t="b">
        <f>VLOOKUP(I6968,FS_input_noty,J6968,FALSE)=""</f>
        <v>0</v>
      </c>
      <c r="H6986" s="6" t="s">
        <v>2189</v>
      </c>
      <c r="I6986" t="s">
        <v>1561</v>
      </c>
      <c r="J6986" t="s">
        <v>1561</v>
      </c>
      <c r="L6986">
        <f t="shared" si="412"/>
        <v>1</v>
      </c>
    </row>
    <row r="6987" spans="1:12" x14ac:dyDescent="0.35">
      <c r="A6987" s="9">
        <f t="shared" si="413"/>
        <v>6986</v>
      </c>
      <c r="B6987" t="s">
        <v>761</v>
      </c>
      <c r="C6987" s="109" t="str">
        <f>IF(ISBLANK(K6987),IFERROR(VLOOKUP(I6987,FS_input_data!$C$458:$N$648,Export!J6987,FALSE),""),K6987)</f>
        <v>j</v>
      </c>
      <c r="D6987" s="6" t="b">
        <v>0</v>
      </c>
      <c r="E6987" s="6"/>
      <c r="F6987" s="6"/>
      <c r="G6987" s="115" t="b">
        <f>VLOOKUP(I6968,FS_input_noty,J6968,FALSE)=""</f>
        <v>0</v>
      </c>
      <c r="H6987" s="6" t="s">
        <v>2189</v>
      </c>
      <c r="I6987" t="s">
        <v>2082</v>
      </c>
      <c r="J6987">
        <v>5</v>
      </c>
      <c r="L6987" s="26" t="e">
        <f t="shared" si="412"/>
        <v>#VALUE!</v>
      </c>
    </row>
    <row r="6988" spans="1:12" x14ac:dyDescent="0.35">
      <c r="A6988">
        <f t="shared" si="413"/>
        <v>6987</v>
      </c>
      <c r="B6988" t="s">
        <v>762</v>
      </c>
      <c r="C6988" s="109" t="str">
        <f>IF(ISBLANK(K6988),IFERROR(VLOOKUP(I6988,FS_input_data!$C$458:$N$648,Export!J6988,FALSE),""),K6988)</f>
        <v/>
      </c>
      <c r="D6988" s="6"/>
      <c r="E6988" s="6"/>
      <c r="F6988" s="6"/>
      <c r="G6988" s="115" t="b">
        <f>VLOOKUP(I6968,FS_input_noty,J6968,FALSE)=""</f>
        <v>0</v>
      </c>
      <c r="H6988" s="6" t="s">
        <v>2189</v>
      </c>
      <c r="I6988" t="s">
        <v>1561</v>
      </c>
      <c r="J6988" t="s">
        <v>1561</v>
      </c>
      <c r="L6988">
        <f t="shared" si="412"/>
        <v>1</v>
      </c>
    </row>
    <row r="6989" spans="1:12" x14ac:dyDescent="0.35">
      <c r="A6989">
        <f t="shared" si="413"/>
        <v>6988</v>
      </c>
      <c r="B6989" t="s">
        <v>763</v>
      </c>
      <c r="C6989" s="109" t="str">
        <f>IF(ISBLANK(K6989),IFERROR(VLOOKUP(I6989,FS_input_data!$C$458:$N$648,Export!J6989,FALSE),""),K6989)</f>
        <v/>
      </c>
      <c r="D6989" s="6"/>
      <c r="E6989" s="6"/>
      <c r="F6989" s="6"/>
      <c r="G6989" s="115" t="b">
        <f>VLOOKUP(I6968,FS_input_noty,J6968,FALSE)=""</f>
        <v>0</v>
      </c>
      <c r="H6989" s="6" t="s">
        <v>2189</v>
      </c>
      <c r="I6989" t="s">
        <v>1561</v>
      </c>
      <c r="J6989" t="s">
        <v>1561</v>
      </c>
      <c r="L6989">
        <f t="shared" si="412"/>
        <v>1</v>
      </c>
    </row>
    <row r="6990" spans="1:12" x14ac:dyDescent="0.35">
      <c r="A6990">
        <f t="shared" si="413"/>
        <v>6989</v>
      </c>
      <c r="B6990" t="s">
        <v>743</v>
      </c>
      <c r="C6990" s="109" t="str">
        <f>IF(ISBLANK(K6990),IFERROR(VLOOKUP(I6990,FS_input_data!$C$458:$N$648,Export!J6990,FALSE),""),K6990)</f>
        <v/>
      </c>
      <c r="D6990" s="6"/>
      <c r="E6990" s="6"/>
      <c r="F6990" s="6"/>
      <c r="G6990" s="115" t="b">
        <f>VLOOKUP(I6968,FS_input_noty,J6968,FALSE)=""</f>
        <v>0</v>
      </c>
      <c r="H6990" s="6" t="s">
        <v>2189</v>
      </c>
      <c r="I6990" t="s">
        <v>1561</v>
      </c>
      <c r="J6990" t="s">
        <v>1561</v>
      </c>
      <c r="L6990">
        <f t="shared" si="412"/>
        <v>1</v>
      </c>
    </row>
    <row r="6991" spans="1:12" x14ac:dyDescent="0.35">
      <c r="A6991">
        <f t="shared" si="413"/>
        <v>6990</v>
      </c>
      <c r="B6991" t="s">
        <v>744</v>
      </c>
      <c r="C6991" s="109" t="str">
        <f>IF(ISBLANK(K6991),IFERROR(VLOOKUP(I6991,FS_input_data!$C$458:$N$648,Export!J6991,FALSE),""),K6991)</f>
        <v/>
      </c>
      <c r="D6991" s="6"/>
      <c r="E6991" s="6"/>
      <c r="F6991" s="6"/>
      <c r="G6991" s="115" t="b">
        <f t="shared" ref="G6991:G6998" si="414">RP_tax</f>
        <v>1</v>
      </c>
      <c r="H6991" s="6" t="s">
        <v>2189</v>
      </c>
      <c r="I6991" t="s">
        <v>1561</v>
      </c>
      <c r="J6991" t="s">
        <v>1561</v>
      </c>
      <c r="L6991" s="26" t="e">
        <f t="shared" si="412"/>
        <v>#VALUE!</v>
      </c>
    </row>
    <row r="6992" spans="1:12" x14ac:dyDescent="0.35">
      <c r="A6992" s="9">
        <f t="shared" si="413"/>
        <v>6991</v>
      </c>
      <c r="B6992" t="s">
        <v>109</v>
      </c>
      <c r="C6992" s="109">
        <f>IF(ISBLANK(K6992),IFERROR(VLOOKUP(I6992,FS_input_data!$C$458:$N$648,Export!J6992,FALSE),""),K6992)</f>
        <v>38000</v>
      </c>
      <c r="D6992" s="6" t="b">
        <v>1</v>
      </c>
      <c r="E6992" s="6"/>
      <c r="F6992" s="6"/>
      <c r="G6992" s="115" t="b">
        <f t="shared" si="414"/>
        <v>1</v>
      </c>
      <c r="H6992" s="6" t="s">
        <v>2189</v>
      </c>
      <c r="I6992" t="s">
        <v>2082</v>
      </c>
      <c r="J6992">
        <v>10</v>
      </c>
      <c r="L6992" s="26" t="e">
        <f t="shared" si="412"/>
        <v>#VALUE!</v>
      </c>
    </row>
    <row r="6993" spans="1:12" x14ac:dyDescent="0.35">
      <c r="A6993">
        <f t="shared" si="413"/>
        <v>6992</v>
      </c>
      <c r="B6993" t="s">
        <v>110</v>
      </c>
      <c r="C6993" s="109" t="str">
        <f>IF(ISBLANK(K6993),IFERROR(VLOOKUP(I6993,FS_input_data!$C$458:$N$648,Export!J6993,FALSE),""),K6993)</f>
        <v/>
      </c>
      <c r="D6993" s="6"/>
      <c r="E6993" s="6"/>
      <c r="F6993" s="6"/>
      <c r="G6993" s="115" t="b">
        <f t="shared" si="414"/>
        <v>1</v>
      </c>
      <c r="H6993" s="6" t="s">
        <v>2189</v>
      </c>
      <c r="I6993" t="s">
        <v>1561</v>
      </c>
      <c r="J6993" t="s">
        <v>1561</v>
      </c>
      <c r="L6993">
        <f t="shared" si="412"/>
        <v>1</v>
      </c>
    </row>
    <row r="6994" spans="1:12" x14ac:dyDescent="0.35">
      <c r="A6994" s="9">
        <f t="shared" si="413"/>
        <v>6993</v>
      </c>
      <c r="B6994" t="s">
        <v>111</v>
      </c>
      <c r="C6994" s="109">
        <f>IF(ISBLANK(K6994),IFERROR(VLOOKUP(I6994,FS_input_data!$C$458:$N$648,Export!J6994,FALSE),""),K6994)</f>
        <v>19000</v>
      </c>
      <c r="D6994" s="6" t="b">
        <v>0</v>
      </c>
      <c r="E6994" s="6"/>
      <c r="F6994" s="6"/>
      <c r="G6994" s="115" t="b">
        <f t="shared" si="414"/>
        <v>1</v>
      </c>
      <c r="H6994" s="6" t="s">
        <v>2189</v>
      </c>
      <c r="I6994" t="s">
        <v>2082</v>
      </c>
      <c r="J6994">
        <v>11</v>
      </c>
      <c r="L6994" s="26" t="e">
        <f t="shared" si="412"/>
        <v>#VALUE!</v>
      </c>
    </row>
    <row r="6995" spans="1:12" x14ac:dyDescent="0.35">
      <c r="A6995">
        <f t="shared" si="413"/>
        <v>6994</v>
      </c>
      <c r="B6995" t="s">
        <v>112</v>
      </c>
      <c r="C6995" s="109" t="str">
        <f>IF(ISBLANK(K6995),IFERROR(VLOOKUP(I6995,FS_input_data!$C$458:$N$648,Export!J6995,FALSE),""),K6995)</f>
        <v/>
      </c>
      <c r="D6995" s="6"/>
      <c r="E6995" s="6"/>
      <c r="F6995" s="6"/>
      <c r="G6995" s="115" t="b">
        <f t="shared" si="414"/>
        <v>1</v>
      </c>
      <c r="H6995" s="6" t="s">
        <v>2189</v>
      </c>
      <c r="I6995" t="s">
        <v>1561</v>
      </c>
      <c r="J6995" t="s">
        <v>1561</v>
      </c>
      <c r="L6995">
        <f t="shared" si="412"/>
        <v>1</v>
      </c>
    </row>
    <row r="6996" spans="1:12" x14ac:dyDescent="0.35">
      <c r="A6996" s="9">
        <f t="shared" si="413"/>
        <v>6995</v>
      </c>
      <c r="B6996" t="s">
        <v>749</v>
      </c>
      <c r="C6996" s="109">
        <f>IF(ISBLANK(K6996),IFERROR(VLOOKUP(I6996,FS_input_data!$C$458:$N$648,Export!J6996,FALSE),""),K6996)</f>
        <v>19000</v>
      </c>
      <c r="D6996" s="6" t="b">
        <v>0</v>
      </c>
      <c r="E6996" s="6"/>
      <c r="F6996" s="6"/>
      <c r="G6996" s="115" t="b">
        <f t="shared" si="414"/>
        <v>1</v>
      </c>
      <c r="H6996" s="6" t="s">
        <v>2189</v>
      </c>
      <c r="I6996" t="s">
        <v>2082</v>
      </c>
      <c r="J6996">
        <v>12</v>
      </c>
      <c r="L6996" s="26" t="e">
        <f t="shared" si="412"/>
        <v>#VALUE!</v>
      </c>
    </row>
    <row r="6997" spans="1:12" x14ac:dyDescent="0.35">
      <c r="A6997">
        <f t="shared" si="413"/>
        <v>6996</v>
      </c>
      <c r="B6997" t="s">
        <v>750</v>
      </c>
      <c r="C6997" s="109" t="str">
        <f>IF(ISBLANK(K6997),IFERROR(VLOOKUP(I6997,FS_input_data!$C$458:$N$648,Export!J6997,FALSE),""),K6997)</f>
        <v/>
      </c>
      <c r="D6997" s="6"/>
      <c r="E6997" s="6"/>
      <c r="F6997" s="6"/>
      <c r="G6997" s="115" t="b">
        <f t="shared" si="414"/>
        <v>1</v>
      </c>
      <c r="H6997" s="6" t="s">
        <v>2189</v>
      </c>
      <c r="I6997" t="s">
        <v>1561</v>
      </c>
      <c r="J6997" t="s">
        <v>1561</v>
      </c>
      <c r="L6997">
        <f t="shared" si="412"/>
        <v>1</v>
      </c>
    </row>
    <row r="6998" spans="1:12" x14ac:dyDescent="0.35">
      <c r="A6998">
        <f t="shared" si="413"/>
        <v>6997</v>
      </c>
      <c r="B6998" t="s">
        <v>745</v>
      </c>
      <c r="C6998" s="109" t="str">
        <f>IF(ISBLANK(K6998),IFERROR(VLOOKUP(I6998,FS_input_data!$C$458:$N$648,Export!J6998,FALSE),""),K6998)</f>
        <v/>
      </c>
      <c r="D6998" s="6"/>
      <c r="E6998" s="6"/>
      <c r="F6998" s="6"/>
      <c r="G6998" s="115" t="b">
        <f t="shared" si="414"/>
        <v>1</v>
      </c>
      <c r="H6998" s="6" t="s">
        <v>2189</v>
      </c>
      <c r="I6998" t="s">
        <v>1561</v>
      </c>
      <c r="J6998" t="s">
        <v>1561</v>
      </c>
      <c r="L6998">
        <f t="shared" si="412"/>
        <v>1</v>
      </c>
    </row>
    <row r="6999" spans="1:12" x14ac:dyDescent="0.35">
      <c r="A6999">
        <f t="shared" si="413"/>
        <v>6998</v>
      </c>
      <c r="B6999" t="s">
        <v>764</v>
      </c>
      <c r="C6999" s="109" t="str">
        <f>IF(ISBLANK(K6999),IFERROR(VLOOKUP(I6999,FS_input_data!$C$458:$N$648,Export!J6999,FALSE),""),K6999)</f>
        <v/>
      </c>
      <c r="D6999" s="6"/>
      <c r="E6999" s="6"/>
      <c r="F6999" s="6"/>
      <c r="G6999" s="115" t="b">
        <f>VLOOKUP(I6968,FS_input_noty,J6968,FALSE)=""</f>
        <v>0</v>
      </c>
      <c r="H6999" s="6" t="s">
        <v>2189</v>
      </c>
      <c r="I6999" t="s">
        <v>1561</v>
      </c>
      <c r="J6999" t="s">
        <v>1561</v>
      </c>
      <c r="L6999">
        <f t="shared" si="412"/>
        <v>1</v>
      </c>
    </row>
    <row r="7000" spans="1:12" x14ac:dyDescent="0.35">
      <c r="A7000">
        <f t="shared" si="413"/>
        <v>6999</v>
      </c>
      <c r="B7000" t="s">
        <v>765</v>
      </c>
      <c r="C7000" s="109" t="str">
        <f>IF(ISBLANK(K7000),IFERROR(VLOOKUP(I7000,FS_input_data!$C$458:$N$648,Export!J7000,FALSE),""),K7000)</f>
        <v/>
      </c>
      <c r="D7000" s="6"/>
      <c r="E7000" s="6"/>
      <c r="F7000" s="6"/>
      <c r="G7000" s="115" t="b">
        <f>VLOOKUP(I6968,FS_input_noty,J6968,FALSE)=""</f>
        <v>0</v>
      </c>
      <c r="H7000" s="6" t="s">
        <v>2189</v>
      </c>
      <c r="I7000" t="s">
        <v>1561</v>
      </c>
      <c r="J7000" t="s">
        <v>1561</v>
      </c>
      <c r="L7000">
        <f t="shared" si="412"/>
        <v>1</v>
      </c>
    </row>
    <row r="7001" spans="1:12" x14ac:dyDescent="0.35">
      <c r="A7001">
        <f t="shared" si="413"/>
        <v>7000</v>
      </c>
      <c r="B7001" t="s">
        <v>752</v>
      </c>
      <c r="C7001" s="109" t="str">
        <f>IF(ISBLANK(K7001),IFERROR(VLOOKUP(I7001,FS_input_data!$C$458:$N$648,Export!J7001,FALSE),""),K7001)</f>
        <v/>
      </c>
      <c r="D7001" s="6"/>
      <c r="E7001" s="6"/>
      <c r="F7001" s="6"/>
      <c r="G7001" s="115" t="b">
        <f>VLOOKUP(I7002,FS_input_noty,J7002,FALSE)=""</f>
        <v>0</v>
      </c>
      <c r="H7001" s="6" t="s">
        <v>2189</v>
      </c>
      <c r="I7001" t="s">
        <v>1561</v>
      </c>
      <c r="J7001" t="s">
        <v>1561</v>
      </c>
      <c r="L7001" s="26" t="e">
        <f t="shared" si="412"/>
        <v>#VALUE!</v>
      </c>
    </row>
    <row r="7002" spans="1:12" x14ac:dyDescent="0.35">
      <c r="A7002" s="9">
        <f t="shared" si="413"/>
        <v>7001</v>
      </c>
      <c r="B7002" t="s">
        <v>101</v>
      </c>
      <c r="C7002" s="109" t="str">
        <f>IF(ISBLANK(K7002),IFERROR(VLOOKUP(I7002,FS_input_data!$C$458:$N$648,Export!J7002,FALSE),""),K7002)</f>
        <v>OC114</v>
      </c>
      <c r="D7002" s="6" t="b">
        <v>1</v>
      </c>
      <c r="E7002" s="6"/>
      <c r="F7002" s="6"/>
      <c r="G7002" s="115" t="b">
        <f>VLOOKUP(I7002,FS_input_noty,J7002,FALSE)=""</f>
        <v>0</v>
      </c>
      <c r="H7002" s="6" t="s">
        <v>2189</v>
      </c>
      <c r="I7002" t="s">
        <v>2084</v>
      </c>
      <c r="J7002">
        <v>6</v>
      </c>
      <c r="L7002" s="26" t="e">
        <f t="shared" si="412"/>
        <v>#VALUE!</v>
      </c>
    </row>
    <row r="7003" spans="1:12" x14ac:dyDescent="0.35">
      <c r="A7003">
        <f t="shared" si="413"/>
        <v>7002</v>
      </c>
      <c r="B7003" t="s">
        <v>102</v>
      </c>
      <c r="C7003" s="109" t="str">
        <f>IF(ISBLANK(K7003),IFERROR(VLOOKUP(I7003,FS_input_data!$C$458:$N$648,Export!J7003,FALSE),""),K7003)</f>
        <v/>
      </c>
      <c r="E7003" s="6"/>
      <c r="F7003" s="6"/>
      <c r="G7003" s="115" t="b">
        <f>VLOOKUP(I7002,FS_input_noty,J7002,FALSE)=""</f>
        <v>0</v>
      </c>
      <c r="H7003" s="6" t="s">
        <v>2189</v>
      </c>
      <c r="I7003" t="s">
        <v>1561</v>
      </c>
      <c r="J7003" t="s">
        <v>1561</v>
      </c>
      <c r="L7003">
        <f t="shared" si="412"/>
        <v>1</v>
      </c>
    </row>
    <row r="7004" spans="1:12" x14ac:dyDescent="0.35">
      <c r="A7004">
        <f t="shared" si="413"/>
        <v>7003</v>
      </c>
      <c r="B7004" t="s">
        <v>753</v>
      </c>
      <c r="C7004" s="109" t="str">
        <f>IF(ISBLANK(K7004),IFERROR(VLOOKUP(I7004,FS_input_data!$C$458:$N$648,Export!J7004,FALSE),""),K7004)</f>
        <v/>
      </c>
      <c r="E7004" s="6"/>
      <c r="F7004" s="6"/>
      <c r="G7004" s="115" t="b">
        <f>VLOOKUP(I7002,FS_input_noty,J7002,FALSE)=""</f>
        <v>0</v>
      </c>
      <c r="H7004" s="6" t="s">
        <v>2189</v>
      </c>
      <c r="I7004" t="s">
        <v>1561</v>
      </c>
      <c r="J7004" t="s">
        <v>1561</v>
      </c>
      <c r="L7004" s="26" t="e">
        <f t="shared" si="412"/>
        <v>#VALUE!</v>
      </c>
    </row>
    <row r="7005" spans="1:12" x14ac:dyDescent="0.35">
      <c r="A7005">
        <f t="shared" si="413"/>
        <v>7004</v>
      </c>
      <c r="B7005" t="s">
        <v>742</v>
      </c>
      <c r="C7005" s="109" t="str">
        <f>IF(ISBLANK(K7005),IFERROR(VLOOKUP(I7005,FS_input_data!$C$458:$N$648,Export!J7005,FALSE),""),K7005)</f>
        <v/>
      </c>
      <c r="E7005" s="6"/>
      <c r="F7005" s="6"/>
      <c r="G7005" s="115" t="b">
        <f>VLOOKUP(I7002,FS_input_noty,J7002,FALSE)=""</f>
        <v>0</v>
      </c>
      <c r="H7005" s="6" t="s">
        <v>2189</v>
      </c>
      <c r="I7005" t="s">
        <v>1561</v>
      </c>
      <c r="J7005" t="s">
        <v>1561</v>
      </c>
      <c r="L7005" s="26" t="e">
        <f t="shared" si="412"/>
        <v>#VALUE!</v>
      </c>
    </row>
    <row r="7006" spans="1:12" x14ac:dyDescent="0.35">
      <c r="A7006">
        <f t="shared" si="413"/>
        <v>7005</v>
      </c>
      <c r="B7006" t="s">
        <v>748</v>
      </c>
      <c r="C7006" s="109" t="str">
        <f>IF(ISBLANK(K7006),IFERROR(VLOOKUP(I7006,FS_input_data!$C$458:$N$648,Export!J7006,FALSE),""),K7006)</f>
        <v/>
      </c>
      <c r="E7006" s="6"/>
      <c r="F7006" s="6"/>
      <c r="G7006" s="115" t="b">
        <f>VLOOKUP(I7002,FS_input_noty,J7002,FALSE)=""</f>
        <v>0</v>
      </c>
      <c r="H7006" s="6" t="s">
        <v>2189</v>
      </c>
      <c r="I7006" t="s">
        <v>1561</v>
      </c>
      <c r="J7006" t="s">
        <v>1561</v>
      </c>
      <c r="L7006" s="26" t="e">
        <f t="shared" si="412"/>
        <v>#VALUE!</v>
      </c>
    </row>
    <row r="7007" spans="1:12" x14ac:dyDescent="0.35">
      <c r="A7007" s="9">
        <f t="shared" si="413"/>
        <v>7006</v>
      </c>
      <c r="B7007" t="s">
        <v>109</v>
      </c>
      <c r="C7007" s="109">
        <f>IF(ISBLANK(K7007),IFERROR(VLOOKUP(I7007,FS_input_data!$C$458:$N$648,Export!J7007,FALSE),""),K7007)</f>
        <v>39000</v>
      </c>
      <c r="D7007" s="6" t="b">
        <v>1</v>
      </c>
      <c r="E7007" s="6"/>
      <c r="F7007" s="6"/>
      <c r="G7007" s="115" t="b">
        <f>VLOOKUP(I7002,FS_input_noty,J7002,FALSE)=""</f>
        <v>0</v>
      </c>
      <c r="H7007" s="6" t="s">
        <v>2189</v>
      </c>
      <c r="I7007" t="s">
        <v>2084</v>
      </c>
      <c r="J7007">
        <v>7</v>
      </c>
      <c r="L7007" s="26" t="e">
        <f t="shared" si="412"/>
        <v>#VALUE!</v>
      </c>
    </row>
    <row r="7008" spans="1:12" x14ac:dyDescent="0.35">
      <c r="A7008">
        <f t="shared" si="413"/>
        <v>7007</v>
      </c>
      <c r="B7008" t="s">
        <v>110</v>
      </c>
      <c r="C7008" s="109" t="str">
        <f>IF(ISBLANK(K7008),IFERROR(VLOOKUP(I7008,FS_input_data!$C$458:$N$648,Export!J7008,FALSE),""),K7008)</f>
        <v/>
      </c>
      <c r="D7008" s="6"/>
      <c r="E7008" s="6"/>
      <c r="F7008" s="6"/>
      <c r="G7008" s="115" t="b">
        <f>VLOOKUP(I7002,FS_input_noty,J7002,FALSE)=""</f>
        <v>0</v>
      </c>
      <c r="H7008" s="6" t="s">
        <v>2189</v>
      </c>
      <c r="I7008" t="s">
        <v>1561</v>
      </c>
      <c r="J7008" t="s">
        <v>1561</v>
      </c>
      <c r="L7008">
        <f t="shared" si="412"/>
        <v>1</v>
      </c>
    </row>
    <row r="7009" spans="1:12" x14ac:dyDescent="0.35">
      <c r="A7009" s="9">
        <f t="shared" si="413"/>
        <v>7008</v>
      </c>
      <c r="B7009" t="s">
        <v>111</v>
      </c>
      <c r="C7009" s="109">
        <f>IF(ISBLANK(K7009),IFERROR(VLOOKUP(I7009,FS_input_data!$C$458:$N$648,Export!J7009,FALSE),""),K7009)</f>
        <v>19500</v>
      </c>
      <c r="D7009" s="6" t="b">
        <v>0</v>
      </c>
      <c r="E7009" s="6"/>
      <c r="F7009" s="6"/>
      <c r="G7009" s="115" t="b">
        <f>VLOOKUP(I7002,FS_input_noty,J7002,TRUE)=""</f>
        <v>0</v>
      </c>
      <c r="H7009" s="6" t="s">
        <v>2189</v>
      </c>
      <c r="I7009" t="s">
        <v>2084</v>
      </c>
      <c r="J7009">
        <v>8</v>
      </c>
      <c r="L7009" s="26" t="e">
        <f t="shared" si="412"/>
        <v>#VALUE!</v>
      </c>
    </row>
    <row r="7010" spans="1:12" x14ac:dyDescent="0.35">
      <c r="A7010">
        <f t="shared" si="413"/>
        <v>7009</v>
      </c>
      <c r="B7010" t="s">
        <v>112</v>
      </c>
      <c r="C7010" s="109" t="str">
        <f>IF(ISBLANK(K7010),IFERROR(VLOOKUP(I7010,FS_input_data!$C$458:$N$648,Export!J7010,FALSE),""),K7010)</f>
        <v/>
      </c>
      <c r="D7010" s="6"/>
      <c r="E7010" s="6"/>
      <c r="F7010" s="6"/>
      <c r="G7010" s="115" t="b">
        <f>VLOOKUP(I7002,FS_input_noty,J7002,FALSE)=""</f>
        <v>0</v>
      </c>
      <c r="H7010" s="6" t="s">
        <v>2189</v>
      </c>
      <c r="I7010" t="s">
        <v>1561</v>
      </c>
      <c r="J7010" t="s">
        <v>1561</v>
      </c>
      <c r="L7010">
        <f t="shared" si="412"/>
        <v>1</v>
      </c>
    </row>
    <row r="7011" spans="1:12" x14ac:dyDescent="0.35">
      <c r="A7011" s="9">
        <f t="shared" si="413"/>
        <v>7010</v>
      </c>
      <c r="B7011" t="s">
        <v>749</v>
      </c>
      <c r="C7011" s="109">
        <f>IF(ISBLANK(K7011),IFERROR(VLOOKUP(I7011,FS_input_data!$C$458:$N$648,Export!J7011,FALSE),""),K7011)</f>
        <v>19500</v>
      </c>
      <c r="D7011" s="6" t="b">
        <v>0</v>
      </c>
      <c r="E7011" s="6"/>
      <c r="F7011" s="6"/>
      <c r="G7011" s="115" t="b">
        <f>VLOOKUP(I7002,FS_input_noty,J7002,FALSE)=""</f>
        <v>0</v>
      </c>
      <c r="H7011" s="6" t="s">
        <v>2189</v>
      </c>
      <c r="I7011" t="s">
        <v>2084</v>
      </c>
      <c r="J7011">
        <v>9</v>
      </c>
      <c r="L7011" s="26" t="e">
        <f t="shared" si="412"/>
        <v>#VALUE!</v>
      </c>
    </row>
    <row r="7012" spans="1:12" x14ac:dyDescent="0.35">
      <c r="A7012">
        <f t="shared" si="413"/>
        <v>7011</v>
      </c>
      <c r="B7012" t="s">
        <v>750</v>
      </c>
      <c r="C7012" s="109" t="str">
        <f>IF(ISBLANK(K7012),IFERROR(VLOOKUP(I7012,FS_input_data!$C$458:$N$648,Export!J7012,FALSE),""),K7012)</f>
        <v/>
      </c>
      <c r="D7012" s="6"/>
      <c r="E7012" s="6"/>
      <c r="F7012" s="6"/>
      <c r="G7012" s="115" t="b">
        <f>VLOOKUP(I7002,FS_input_noty,J7002,FALSE)=""</f>
        <v>0</v>
      </c>
      <c r="H7012" s="6" t="s">
        <v>2189</v>
      </c>
      <c r="I7012" t="s">
        <v>1561</v>
      </c>
      <c r="J7012" t="s">
        <v>1561</v>
      </c>
      <c r="L7012">
        <f t="shared" si="412"/>
        <v>1</v>
      </c>
    </row>
    <row r="7013" spans="1:12" x14ac:dyDescent="0.35">
      <c r="A7013">
        <f t="shared" si="413"/>
        <v>7012</v>
      </c>
      <c r="B7013" t="s">
        <v>751</v>
      </c>
      <c r="C7013" s="109" t="str">
        <f>IF(ISBLANK(K7013),IFERROR(VLOOKUP(I7013,FS_input_data!$C$458:$N$648,Export!J7013,FALSE),""),K7013)</f>
        <v/>
      </c>
      <c r="D7013" s="6"/>
      <c r="E7013" s="6"/>
      <c r="F7013" s="6"/>
      <c r="G7013" s="115" t="b">
        <f>VLOOKUP(I7002,FS_input_noty,J7002,FALSE)=""</f>
        <v>0</v>
      </c>
      <c r="H7013" s="6" t="s">
        <v>2189</v>
      </c>
      <c r="I7013" t="s">
        <v>1561</v>
      </c>
      <c r="J7013" t="s">
        <v>1561</v>
      </c>
      <c r="L7013">
        <f t="shared" si="412"/>
        <v>1</v>
      </c>
    </row>
    <row r="7014" spans="1:12" x14ac:dyDescent="0.35">
      <c r="A7014">
        <f t="shared" si="413"/>
        <v>7013</v>
      </c>
      <c r="B7014" t="s">
        <v>754</v>
      </c>
      <c r="C7014" s="109" t="str">
        <f>IF(ISBLANK(K7014),IFERROR(VLOOKUP(I7014,FS_input_data!$C$458:$N$648,Export!J7014,FALSE),""),K7014)</f>
        <v/>
      </c>
      <c r="D7014" s="6"/>
      <c r="E7014" s="6"/>
      <c r="F7014" s="6"/>
      <c r="G7014" s="115" t="b">
        <f>VLOOKUP(I7002,FS_input_noty,J7002,FALSE)=""</f>
        <v>0</v>
      </c>
      <c r="H7014" s="6" t="s">
        <v>2189</v>
      </c>
      <c r="I7014" t="s">
        <v>1561</v>
      </c>
      <c r="J7014" t="s">
        <v>1561</v>
      </c>
      <c r="L7014" s="26" t="e">
        <f t="shared" si="412"/>
        <v>#VALUE!</v>
      </c>
    </row>
    <row r="7015" spans="1:12" x14ac:dyDescent="0.35">
      <c r="A7015" s="9">
        <f t="shared" si="413"/>
        <v>7014</v>
      </c>
      <c r="B7015" t="s">
        <v>755</v>
      </c>
      <c r="C7015" s="109">
        <f>IF(ISBLANK(K7015),IFERROR(VLOOKUP(I7015,FS_input_data!$C$458:$N$648,Export!J7015,FALSE),""),K7015)</f>
        <v>137</v>
      </c>
      <c r="D7015" s="6" t="b">
        <v>1</v>
      </c>
      <c r="E7015" s="6"/>
      <c r="F7015" s="6"/>
      <c r="G7015" s="115" t="b">
        <f>VLOOKUP(I7002,FS_input_noty,J7002,FALSE)=""</f>
        <v>0</v>
      </c>
      <c r="H7015" s="6" t="s">
        <v>2189</v>
      </c>
      <c r="I7015" t="s">
        <v>2084</v>
      </c>
      <c r="J7015">
        <v>2</v>
      </c>
      <c r="L7015" s="26" t="e">
        <f t="shared" si="412"/>
        <v>#VALUE!</v>
      </c>
    </row>
    <row r="7016" spans="1:12" x14ac:dyDescent="0.35">
      <c r="A7016">
        <f t="shared" si="413"/>
        <v>7015</v>
      </c>
      <c r="B7016" t="s">
        <v>756</v>
      </c>
      <c r="C7016" s="109" t="str">
        <f>IF(ISBLANK(K7016),IFERROR(VLOOKUP(I7016,FS_input_data!$C$458:$N$648,Export!J7016,FALSE),""),K7016)</f>
        <v/>
      </c>
      <c r="D7016" s="6"/>
      <c r="E7016" s="6"/>
      <c r="F7016" s="6"/>
      <c r="G7016" s="115" t="b">
        <f>VLOOKUP(I7002,FS_input_noty,J7002,FALSE)=""</f>
        <v>0</v>
      </c>
      <c r="H7016" s="6" t="s">
        <v>2189</v>
      </c>
      <c r="I7016" t="s">
        <v>1561</v>
      </c>
      <c r="J7016" t="s">
        <v>1561</v>
      </c>
      <c r="L7016">
        <f t="shared" si="412"/>
        <v>1</v>
      </c>
    </row>
    <row r="7017" spans="1:12" x14ac:dyDescent="0.35">
      <c r="A7017" s="9">
        <f t="shared" si="413"/>
        <v>7016</v>
      </c>
      <c r="B7017" t="s">
        <v>757</v>
      </c>
      <c r="C7017" s="109">
        <f>IF(ISBLANK(K7017),IFERROR(VLOOKUP(I7017,FS_input_data!$C$458:$N$648,Export!J7017,FALSE),""),K7017)</f>
        <v>237</v>
      </c>
      <c r="D7017" s="6" t="b">
        <v>0</v>
      </c>
      <c r="E7017" s="6"/>
      <c r="F7017" s="6"/>
      <c r="G7017" s="115" t="b">
        <f>VLOOKUP(I7002,FS_input_noty,J7002,FALSE)=""</f>
        <v>0</v>
      </c>
      <c r="H7017" s="6" t="s">
        <v>2189</v>
      </c>
      <c r="I7017" t="s">
        <v>2084</v>
      </c>
      <c r="J7017">
        <v>3</v>
      </c>
      <c r="L7017" s="26" t="e">
        <f t="shared" si="412"/>
        <v>#VALUE!</v>
      </c>
    </row>
    <row r="7018" spans="1:12" x14ac:dyDescent="0.35">
      <c r="A7018">
        <f t="shared" si="413"/>
        <v>7017</v>
      </c>
      <c r="B7018" t="s">
        <v>758</v>
      </c>
      <c r="C7018" s="109" t="str">
        <f>IF(ISBLANK(K7018),IFERROR(VLOOKUP(I7018,FS_input_data!$C$458:$N$648,Export!J7018,FALSE),""),K7018)</f>
        <v/>
      </c>
      <c r="D7018" s="6"/>
      <c r="E7018" s="6"/>
      <c r="F7018" s="6"/>
      <c r="G7018" s="115" t="b">
        <f>VLOOKUP(I7002,FS_input_noty,J7002,FALSE)=""</f>
        <v>0</v>
      </c>
      <c r="H7018" s="6" t="s">
        <v>2189</v>
      </c>
      <c r="I7018" t="s">
        <v>1561</v>
      </c>
      <c r="J7018" t="s">
        <v>1561</v>
      </c>
      <c r="L7018">
        <f t="shared" si="412"/>
        <v>1</v>
      </c>
    </row>
    <row r="7019" spans="1:12" x14ac:dyDescent="0.35">
      <c r="A7019" s="9">
        <f t="shared" si="413"/>
        <v>7018</v>
      </c>
      <c r="B7019" t="s">
        <v>759</v>
      </c>
      <c r="C7019" s="109">
        <f>IF(ISBLANK(K7019),IFERROR(VLOOKUP(I7019,FS_input_data!$C$458:$N$648,Export!J7019,FALSE),""),K7019)</f>
        <v>337</v>
      </c>
      <c r="D7019" s="6" t="b">
        <v>0</v>
      </c>
      <c r="E7019" s="6"/>
      <c r="F7019" s="6"/>
      <c r="G7019" s="115" t="b">
        <f>VLOOKUP(I7002,FS_input_noty,J7002,FALSE)=""</f>
        <v>0</v>
      </c>
      <c r="H7019" s="6" t="s">
        <v>2189</v>
      </c>
      <c r="I7019" t="s">
        <v>2084</v>
      </c>
      <c r="J7019">
        <v>4</v>
      </c>
      <c r="L7019" s="26" t="e">
        <f t="shared" si="412"/>
        <v>#VALUE!</v>
      </c>
    </row>
    <row r="7020" spans="1:12" x14ac:dyDescent="0.35">
      <c r="A7020">
        <f t="shared" si="413"/>
        <v>7019</v>
      </c>
      <c r="B7020" t="s">
        <v>760</v>
      </c>
      <c r="C7020" s="109" t="str">
        <f>IF(ISBLANK(K7020),IFERROR(VLOOKUP(I7020,FS_input_data!$C$458:$N$648,Export!J7020,FALSE),""),K7020)</f>
        <v/>
      </c>
      <c r="D7020" s="6"/>
      <c r="E7020" s="6"/>
      <c r="F7020" s="6"/>
      <c r="G7020" s="115" t="b">
        <f>VLOOKUP(I7002,FS_input_noty,J7002,FALSE)=""</f>
        <v>0</v>
      </c>
      <c r="H7020" s="6" t="s">
        <v>2189</v>
      </c>
      <c r="I7020" t="s">
        <v>1561</v>
      </c>
      <c r="J7020" t="s">
        <v>1561</v>
      </c>
      <c r="L7020">
        <f t="shared" si="412"/>
        <v>1</v>
      </c>
    </row>
    <row r="7021" spans="1:12" x14ac:dyDescent="0.35">
      <c r="A7021" s="9">
        <f t="shared" si="413"/>
        <v>7020</v>
      </c>
      <c r="B7021" t="s">
        <v>761</v>
      </c>
      <c r="C7021" s="109" t="str">
        <f>IF(ISBLANK(K7021),IFERROR(VLOOKUP(I7021,FS_input_data!$C$458:$N$648,Export!J7021,FALSE),""),K7021)</f>
        <v>a</v>
      </c>
      <c r="D7021" s="6" t="b">
        <v>0</v>
      </c>
      <c r="E7021" s="6"/>
      <c r="F7021" s="6"/>
      <c r="G7021" s="115" t="b">
        <f>VLOOKUP(I7002,FS_input_noty,J7002,FALSE)=""</f>
        <v>0</v>
      </c>
      <c r="H7021" s="6" t="s">
        <v>2189</v>
      </c>
      <c r="I7021" t="s">
        <v>2084</v>
      </c>
      <c r="J7021">
        <v>5</v>
      </c>
      <c r="L7021" s="26" t="e">
        <f t="shared" si="412"/>
        <v>#VALUE!</v>
      </c>
    </row>
    <row r="7022" spans="1:12" x14ac:dyDescent="0.35">
      <c r="A7022">
        <f t="shared" si="413"/>
        <v>7021</v>
      </c>
      <c r="B7022" t="s">
        <v>762</v>
      </c>
      <c r="C7022" s="109" t="str">
        <f>IF(ISBLANK(K7022),IFERROR(VLOOKUP(I7022,FS_input_data!$C$458:$N$648,Export!J7022,FALSE),""),K7022)</f>
        <v/>
      </c>
      <c r="D7022" s="6"/>
      <c r="E7022" s="6"/>
      <c r="F7022" s="6"/>
      <c r="G7022" s="115" t="b">
        <f>VLOOKUP(I7002,FS_input_noty,J7002,FALSE)=""</f>
        <v>0</v>
      </c>
      <c r="H7022" s="6" t="s">
        <v>2189</v>
      </c>
      <c r="I7022" t="s">
        <v>1561</v>
      </c>
      <c r="J7022" t="s">
        <v>1561</v>
      </c>
      <c r="L7022">
        <f t="shared" si="412"/>
        <v>1</v>
      </c>
    </row>
    <row r="7023" spans="1:12" x14ac:dyDescent="0.35">
      <c r="A7023">
        <f t="shared" si="413"/>
        <v>7022</v>
      </c>
      <c r="B7023" t="s">
        <v>763</v>
      </c>
      <c r="C7023" s="109" t="str">
        <f>IF(ISBLANK(K7023),IFERROR(VLOOKUP(I7023,FS_input_data!$C$458:$N$648,Export!J7023,FALSE),""),K7023)</f>
        <v/>
      </c>
      <c r="D7023" s="6"/>
      <c r="E7023" s="6"/>
      <c r="F7023" s="6"/>
      <c r="G7023" s="115" t="b">
        <f>VLOOKUP(I7002,FS_input_noty,J7002,FALSE)=""</f>
        <v>0</v>
      </c>
      <c r="H7023" s="6" t="s">
        <v>2189</v>
      </c>
      <c r="I7023" t="s">
        <v>1561</v>
      </c>
      <c r="J7023" t="s">
        <v>1561</v>
      </c>
      <c r="L7023">
        <f t="shared" si="412"/>
        <v>1</v>
      </c>
    </row>
    <row r="7024" spans="1:12" x14ac:dyDescent="0.35">
      <c r="A7024">
        <f t="shared" si="413"/>
        <v>7023</v>
      </c>
      <c r="B7024" t="s">
        <v>743</v>
      </c>
      <c r="C7024" s="109" t="str">
        <f>IF(ISBLANK(K7024),IFERROR(VLOOKUP(I7024,FS_input_data!$C$458:$N$648,Export!J7024,FALSE),""),K7024)</f>
        <v/>
      </c>
      <c r="D7024" s="6"/>
      <c r="E7024" s="6"/>
      <c r="F7024" s="6"/>
      <c r="G7024" s="115" t="b">
        <f>VLOOKUP(I7002,FS_input_noty,J7002,FALSE)=""</f>
        <v>0</v>
      </c>
      <c r="H7024" s="6" t="s">
        <v>2189</v>
      </c>
      <c r="I7024" t="s">
        <v>1561</v>
      </c>
      <c r="J7024" t="s">
        <v>1561</v>
      </c>
      <c r="L7024">
        <f t="shared" si="412"/>
        <v>1</v>
      </c>
    </row>
    <row r="7025" spans="1:12" x14ac:dyDescent="0.35">
      <c r="A7025">
        <f t="shared" si="413"/>
        <v>7024</v>
      </c>
      <c r="B7025" t="s">
        <v>744</v>
      </c>
      <c r="C7025" s="109" t="str">
        <f>IF(ISBLANK(K7025),IFERROR(VLOOKUP(I7025,FS_input_data!$C$458:$N$648,Export!J7025,FALSE),""),K7025)</f>
        <v/>
      </c>
      <c r="E7025" s="6"/>
      <c r="F7025" s="6"/>
      <c r="G7025" s="115" t="b">
        <f t="shared" ref="G7025:G7032" si="415">RP_tax</f>
        <v>1</v>
      </c>
      <c r="H7025" s="6" t="s">
        <v>2189</v>
      </c>
      <c r="I7025" t="s">
        <v>1561</v>
      </c>
      <c r="J7025" t="s">
        <v>1561</v>
      </c>
      <c r="L7025" s="26" t="e">
        <f t="shared" si="412"/>
        <v>#VALUE!</v>
      </c>
    </row>
    <row r="7026" spans="1:12" x14ac:dyDescent="0.35">
      <c r="A7026" s="9">
        <f t="shared" si="413"/>
        <v>7025</v>
      </c>
      <c r="B7026" t="s">
        <v>109</v>
      </c>
      <c r="C7026" s="109">
        <f>IF(ISBLANK(K7026),IFERROR(VLOOKUP(I7026,FS_input_data!$C$458:$N$648,Export!J7026,FALSE),""),K7026)</f>
        <v>39000</v>
      </c>
      <c r="D7026" s="6" t="b">
        <v>1</v>
      </c>
      <c r="E7026" s="6"/>
      <c r="F7026" s="6"/>
      <c r="G7026" s="115" t="b">
        <f t="shared" si="415"/>
        <v>1</v>
      </c>
      <c r="H7026" s="6" t="s">
        <v>2189</v>
      </c>
      <c r="I7026" t="s">
        <v>2084</v>
      </c>
      <c r="J7026">
        <v>10</v>
      </c>
      <c r="L7026" s="26" t="e">
        <f t="shared" si="412"/>
        <v>#VALUE!</v>
      </c>
    </row>
    <row r="7027" spans="1:12" x14ac:dyDescent="0.35">
      <c r="A7027">
        <f t="shared" si="413"/>
        <v>7026</v>
      </c>
      <c r="B7027" t="s">
        <v>110</v>
      </c>
      <c r="C7027" s="109" t="str">
        <f>IF(ISBLANK(K7027),IFERROR(VLOOKUP(I7027,FS_input_data!$C$458:$N$648,Export!J7027,FALSE),""),K7027)</f>
        <v/>
      </c>
      <c r="D7027" s="6"/>
      <c r="E7027" s="6"/>
      <c r="F7027" s="6"/>
      <c r="G7027" s="115" t="b">
        <f t="shared" si="415"/>
        <v>1</v>
      </c>
      <c r="H7027" s="6" t="s">
        <v>2189</v>
      </c>
      <c r="I7027" t="s">
        <v>1561</v>
      </c>
      <c r="J7027" t="s">
        <v>1561</v>
      </c>
      <c r="L7027">
        <f t="shared" si="412"/>
        <v>1</v>
      </c>
    </row>
    <row r="7028" spans="1:12" x14ac:dyDescent="0.35">
      <c r="A7028" s="9">
        <f t="shared" si="413"/>
        <v>7027</v>
      </c>
      <c r="B7028" t="s">
        <v>111</v>
      </c>
      <c r="C7028" s="109">
        <f>IF(ISBLANK(K7028),IFERROR(VLOOKUP(I7028,FS_input_data!$C$458:$N$648,Export!J7028,FALSE),""),K7028)</f>
        <v>19500</v>
      </c>
      <c r="D7028" s="6" t="b">
        <v>0</v>
      </c>
      <c r="E7028" s="6"/>
      <c r="F7028" s="6"/>
      <c r="G7028" s="115" t="b">
        <f t="shared" si="415"/>
        <v>1</v>
      </c>
      <c r="H7028" s="6" t="s">
        <v>2189</v>
      </c>
      <c r="I7028" t="s">
        <v>2084</v>
      </c>
      <c r="J7028">
        <v>11</v>
      </c>
      <c r="L7028" s="26" t="e">
        <f t="shared" si="412"/>
        <v>#VALUE!</v>
      </c>
    </row>
    <row r="7029" spans="1:12" x14ac:dyDescent="0.35">
      <c r="A7029">
        <f t="shared" si="413"/>
        <v>7028</v>
      </c>
      <c r="B7029" t="s">
        <v>112</v>
      </c>
      <c r="C7029" s="109" t="str">
        <f>IF(ISBLANK(K7029),IFERROR(VLOOKUP(I7029,FS_input_data!$C$458:$N$648,Export!J7029,FALSE),""),K7029)</f>
        <v/>
      </c>
      <c r="D7029" s="6"/>
      <c r="E7029" s="6"/>
      <c r="F7029" s="6"/>
      <c r="G7029" s="115" t="b">
        <f t="shared" si="415"/>
        <v>1</v>
      </c>
      <c r="H7029" s="6" t="s">
        <v>2189</v>
      </c>
      <c r="I7029" t="s">
        <v>1561</v>
      </c>
      <c r="J7029" t="s">
        <v>1561</v>
      </c>
      <c r="L7029">
        <f t="shared" si="412"/>
        <v>1</v>
      </c>
    </row>
    <row r="7030" spans="1:12" x14ac:dyDescent="0.35">
      <c r="A7030" s="9">
        <f t="shared" si="413"/>
        <v>7029</v>
      </c>
      <c r="B7030" t="s">
        <v>749</v>
      </c>
      <c r="C7030" s="109">
        <f>IF(ISBLANK(K7030),IFERROR(VLOOKUP(I7030,FS_input_data!$C$458:$N$648,Export!J7030,FALSE),""),K7030)</f>
        <v>19500</v>
      </c>
      <c r="D7030" s="6" t="b">
        <v>0</v>
      </c>
      <c r="E7030" s="6"/>
      <c r="F7030" s="6"/>
      <c r="G7030" s="115" t="b">
        <f t="shared" si="415"/>
        <v>1</v>
      </c>
      <c r="H7030" s="6" t="s">
        <v>2189</v>
      </c>
      <c r="I7030" t="s">
        <v>2084</v>
      </c>
      <c r="J7030">
        <v>12</v>
      </c>
      <c r="L7030" s="26" t="e">
        <f t="shared" si="412"/>
        <v>#VALUE!</v>
      </c>
    </row>
    <row r="7031" spans="1:12" x14ac:dyDescent="0.35">
      <c r="A7031">
        <f t="shared" si="413"/>
        <v>7030</v>
      </c>
      <c r="B7031" t="s">
        <v>750</v>
      </c>
      <c r="C7031" s="109" t="str">
        <f>IF(ISBLANK(K7031),IFERROR(VLOOKUP(I7031,FS_input_data!$C$458:$N$648,Export!J7031,FALSE),""),K7031)</f>
        <v/>
      </c>
      <c r="E7031" s="6"/>
      <c r="F7031" s="6"/>
      <c r="G7031" s="115" t="b">
        <f t="shared" si="415"/>
        <v>1</v>
      </c>
      <c r="H7031" s="6" t="s">
        <v>2189</v>
      </c>
      <c r="I7031" t="s">
        <v>1561</v>
      </c>
      <c r="J7031" t="s">
        <v>1561</v>
      </c>
      <c r="L7031">
        <f t="shared" si="412"/>
        <v>1</v>
      </c>
    </row>
    <row r="7032" spans="1:12" x14ac:dyDescent="0.35">
      <c r="A7032">
        <f t="shared" si="413"/>
        <v>7031</v>
      </c>
      <c r="B7032" t="s">
        <v>745</v>
      </c>
      <c r="C7032" s="109" t="str">
        <f>IF(ISBLANK(K7032),IFERROR(VLOOKUP(I7032,FS_input_data!$C$458:$N$648,Export!J7032,FALSE),""),K7032)</f>
        <v/>
      </c>
      <c r="E7032" s="6"/>
      <c r="F7032" s="6"/>
      <c r="G7032" s="115" t="b">
        <f t="shared" si="415"/>
        <v>1</v>
      </c>
      <c r="H7032" s="6" t="s">
        <v>2189</v>
      </c>
      <c r="I7032" t="s">
        <v>1561</v>
      </c>
      <c r="J7032" t="s">
        <v>1561</v>
      </c>
      <c r="L7032">
        <f t="shared" si="412"/>
        <v>1</v>
      </c>
    </row>
    <row r="7033" spans="1:12" x14ac:dyDescent="0.35">
      <c r="A7033">
        <f t="shared" si="413"/>
        <v>7032</v>
      </c>
      <c r="B7033" t="s">
        <v>764</v>
      </c>
      <c r="C7033" s="109" t="str">
        <f>IF(ISBLANK(K7033),IFERROR(VLOOKUP(I7033,FS_input_data!$C$458:$N$648,Export!J7033,FALSE),""),K7033)</f>
        <v/>
      </c>
      <c r="E7033" s="6"/>
      <c r="F7033" s="6"/>
      <c r="G7033" s="115" t="b">
        <f>VLOOKUP(I7002,FS_input_noty,J7002,FALSE)=""</f>
        <v>0</v>
      </c>
      <c r="H7033" s="6" t="s">
        <v>2189</v>
      </c>
      <c r="I7033" t="s">
        <v>1561</v>
      </c>
      <c r="J7033" t="s">
        <v>1561</v>
      </c>
      <c r="L7033">
        <f t="shared" si="412"/>
        <v>1</v>
      </c>
    </row>
    <row r="7034" spans="1:12" x14ac:dyDescent="0.35">
      <c r="A7034">
        <f t="shared" si="413"/>
        <v>7033</v>
      </c>
      <c r="B7034" t="s">
        <v>765</v>
      </c>
      <c r="C7034" s="109" t="str">
        <f>IF(ISBLANK(K7034),IFERROR(VLOOKUP(I7034,FS_input_data!$C$458:$N$648,Export!J7034,FALSE),""),K7034)</f>
        <v/>
      </c>
      <c r="E7034" s="6"/>
      <c r="F7034" s="6"/>
      <c r="G7034" s="115" t="b">
        <f>VLOOKUP(I7002,FS_input_noty,J7002,FALSE)=""</f>
        <v>0</v>
      </c>
      <c r="H7034" s="6" t="s">
        <v>2189</v>
      </c>
      <c r="I7034" t="s">
        <v>1561</v>
      </c>
      <c r="J7034" t="s">
        <v>1561</v>
      </c>
      <c r="L7034">
        <f t="shared" si="412"/>
        <v>1</v>
      </c>
    </row>
    <row r="7035" spans="1:12" x14ac:dyDescent="0.35">
      <c r="A7035">
        <f t="shared" si="413"/>
        <v>7034</v>
      </c>
      <c r="B7035" t="s">
        <v>752</v>
      </c>
      <c r="C7035" s="109" t="str">
        <f>IF(ISBLANK(K7035),IFERROR(VLOOKUP(I7035,FS_input_data!$C$458:$N$648,Export!J7035,FALSE),""),K7035)</f>
        <v/>
      </c>
      <c r="E7035" s="6"/>
      <c r="F7035" s="6"/>
      <c r="G7035" s="115" t="b">
        <f>VLOOKUP(I7036,FS_input_noty,J7036,FALSE)=""</f>
        <v>0</v>
      </c>
      <c r="H7035" s="6" t="s">
        <v>2189</v>
      </c>
      <c r="I7035" t="s">
        <v>1561</v>
      </c>
      <c r="J7035" t="s">
        <v>1561</v>
      </c>
      <c r="L7035" s="26" t="e">
        <f t="shared" si="412"/>
        <v>#VALUE!</v>
      </c>
    </row>
    <row r="7036" spans="1:12" x14ac:dyDescent="0.35">
      <c r="A7036" s="9">
        <f t="shared" si="413"/>
        <v>7035</v>
      </c>
      <c r="B7036" t="s">
        <v>101</v>
      </c>
      <c r="C7036" s="109" t="str">
        <f>IF(ISBLANK(K7036),IFERROR(VLOOKUP(I7036,FS_input_data!$C$458:$N$648,Export!J7036,FALSE),""),K7036)</f>
        <v>OC115</v>
      </c>
      <c r="D7036" t="b">
        <v>1</v>
      </c>
      <c r="E7036" s="6"/>
      <c r="F7036" s="6"/>
      <c r="G7036" s="115" t="b">
        <f>VLOOKUP(I7036,FS_input_noty,J7036,FALSE)=""</f>
        <v>0</v>
      </c>
      <c r="H7036" s="6" t="s">
        <v>2189</v>
      </c>
      <c r="I7036" t="s">
        <v>2086</v>
      </c>
      <c r="J7036">
        <v>6</v>
      </c>
      <c r="L7036" s="26" t="e">
        <f t="shared" si="412"/>
        <v>#VALUE!</v>
      </c>
    </row>
    <row r="7037" spans="1:12" x14ac:dyDescent="0.35">
      <c r="A7037">
        <f t="shared" si="413"/>
        <v>7036</v>
      </c>
      <c r="B7037" t="s">
        <v>102</v>
      </c>
      <c r="C7037" s="109" t="str">
        <f>IF(ISBLANK(K7037),IFERROR(VLOOKUP(I7037,FS_input_data!$C$458:$N$648,Export!J7037,FALSE),""),K7037)</f>
        <v/>
      </c>
      <c r="E7037" s="6"/>
      <c r="F7037" s="6"/>
      <c r="G7037" s="115" t="b">
        <f>VLOOKUP(I7036,FS_input_noty,J7036,FALSE)=""</f>
        <v>0</v>
      </c>
      <c r="H7037" s="6" t="s">
        <v>2189</v>
      </c>
      <c r="I7037" t="s">
        <v>1561</v>
      </c>
      <c r="J7037" t="s">
        <v>1561</v>
      </c>
      <c r="L7037">
        <f t="shared" si="412"/>
        <v>1</v>
      </c>
    </row>
    <row r="7038" spans="1:12" x14ac:dyDescent="0.35">
      <c r="A7038">
        <f t="shared" si="413"/>
        <v>7037</v>
      </c>
      <c r="B7038" t="s">
        <v>753</v>
      </c>
      <c r="C7038" s="109" t="str">
        <f>IF(ISBLANK(K7038),IFERROR(VLOOKUP(I7038,FS_input_data!$C$458:$N$648,Export!J7038,FALSE),""),K7038)</f>
        <v/>
      </c>
      <c r="E7038" s="6"/>
      <c r="F7038" s="6"/>
      <c r="G7038" s="115" t="b">
        <f>VLOOKUP(I7036,FS_input_noty,J7036,FALSE)=""</f>
        <v>0</v>
      </c>
      <c r="H7038" s="6" t="s">
        <v>2189</v>
      </c>
      <c r="I7038" t="s">
        <v>1561</v>
      </c>
      <c r="J7038" t="s">
        <v>1561</v>
      </c>
      <c r="L7038" s="26" t="e">
        <f t="shared" si="412"/>
        <v>#VALUE!</v>
      </c>
    </row>
    <row r="7039" spans="1:12" x14ac:dyDescent="0.35">
      <c r="A7039">
        <f t="shared" si="413"/>
        <v>7038</v>
      </c>
      <c r="B7039" t="s">
        <v>742</v>
      </c>
      <c r="C7039" s="109" t="str">
        <f>IF(ISBLANK(K7039),IFERROR(VLOOKUP(I7039,FS_input_data!$C$458:$N$648,Export!J7039,FALSE),""),K7039)</f>
        <v/>
      </c>
      <c r="E7039" s="6"/>
      <c r="F7039" s="6"/>
      <c r="G7039" s="115" t="b">
        <f>VLOOKUP(I7036,FS_input_noty,J7036,FALSE)=""</f>
        <v>0</v>
      </c>
      <c r="H7039" s="6" t="s">
        <v>2189</v>
      </c>
      <c r="I7039" t="s">
        <v>1561</v>
      </c>
      <c r="J7039" t="s">
        <v>1561</v>
      </c>
      <c r="L7039" s="26" t="e">
        <f t="shared" si="412"/>
        <v>#VALUE!</v>
      </c>
    </row>
    <row r="7040" spans="1:12" x14ac:dyDescent="0.35">
      <c r="A7040">
        <f t="shared" si="413"/>
        <v>7039</v>
      </c>
      <c r="B7040" t="s">
        <v>748</v>
      </c>
      <c r="C7040" s="109" t="str">
        <f>IF(ISBLANK(K7040),IFERROR(VLOOKUP(I7040,FS_input_data!$C$458:$N$648,Export!J7040,FALSE),""),K7040)</f>
        <v/>
      </c>
      <c r="D7040" s="6"/>
      <c r="E7040" s="6"/>
      <c r="F7040" s="6"/>
      <c r="G7040" s="115" t="b">
        <f>VLOOKUP(I7036,FS_input_noty,J7036,FALSE)=""</f>
        <v>0</v>
      </c>
      <c r="H7040" s="6" t="s">
        <v>2189</v>
      </c>
      <c r="I7040" t="s">
        <v>1561</v>
      </c>
      <c r="J7040" t="s">
        <v>1561</v>
      </c>
      <c r="L7040" s="26" t="e">
        <f t="shared" si="412"/>
        <v>#VALUE!</v>
      </c>
    </row>
    <row r="7041" spans="1:12" x14ac:dyDescent="0.35">
      <c r="A7041" s="9">
        <f t="shared" si="413"/>
        <v>7040</v>
      </c>
      <c r="B7041" t="s">
        <v>109</v>
      </c>
      <c r="C7041" s="109">
        <f>IF(ISBLANK(K7041),IFERROR(VLOOKUP(I7041,FS_input_data!$C$458:$N$648,Export!J7041,FALSE),""),K7041)</f>
        <v>40000</v>
      </c>
      <c r="D7041" s="6" t="b">
        <v>1</v>
      </c>
      <c r="E7041" s="6"/>
      <c r="F7041" s="6"/>
      <c r="G7041" s="115" t="b">
        <f>VLOOKUP(I7036,FS_input_noty,J7036,FALSE)=""</f>
        <v>0</v>
      </c>
      <c r="H7041" s="6" t="s">
        <v>2189</v>
      </c>
      <c r="I7041" t="s">
        <v>2086</v>
      </c>
      <c r="J7041">
        <v>7</v>
      </c>
      <c r="L7041" s="26" t="e">
        <f t="shared" si="412"/>
        <v>#VALUE!</v>
      </c>
    </row>
    <row r="7042" spans="1:12" x14ac:dyDescent="0.35">
      <c r="A7042">
        <f t="shared" si="413"/>
        <v>7041</v>
      </c>
      <c r="B7042" t="s">
        <v>110</v>
      </c>
      <c r="C7042" s="109" t="str">
        <f>IF(ISBLANK(K7042),IFERROR(VLOOKUP(I7042,FS_input_data!$C$458:$N$648,Export!J7042,FALSE),""),K7042)</f>
        <v/>
      </c>
      <c r="D7042" s="6"/>
      <c r="E7042" s="6"/>
      <c r="F7042" s="6"/>
      <c r="G7042" s="115" t="b">
        <f>VLOOKUP(I7036,FS_input_noty,J7036,FALSE)=""</f>
        <v>0</v>
      </c>
      <c r="H7042" s="6" t="s">
        <v>2189</v>
      </c>
      <c r="I7042" t="s">
        <v>1561</v>
      </c>
      <c r="J7042" t="s">
        <v>1561</v>
      </c>
      <c r="L7042">
        <f t="shared" ref="L7042:L7105" si="416">FIND("/",B7042)</f>
        <v>1</v>
      </c>
    </row>
    <row r="7043" spans="1:12" x14ac:dyDescent="0.35">
      <c r="A7043" s="9">
        <f t="shared" ref="A7043:A7106" si="417">A7042+1</f>
        <v>7042</v>
      </c>
      <c r="B7043" t="s">
        <v>111</v>
      </c>
      <c r="C7043" s="109">
        <f>IF(ISBLANK(K7043),IFERROR(VLOOKUP(I7043,FS_input_data!$C$458:$N$648,Export!J7043,FALSE),""),K7043)</f>
        <v>20000</v>
      </c>
      <c r="D7043" s="6" t="b">
        <v>0</v>
      </c>
      <c r="E7043" s="6"/>
      <c r="F7043" s="6"/>
      <c r="G7043" s="115" t="b">
        <f>VLOOKUP(I7036,FS_input_noty,J7036,TRUE)=""</f>
        <v>0</v>
      </c>
      <c r="H7043" s="6" t="s">
        <v>2189</v>
      </c>
      <c r="I7043" t="s">
        <v>2086</v>
      </c>
      <c r="J7043">
        <v>8</v>
      </c>
      <c r="L7043" s="26" t="e">
        <f t="shared" si="416"/>
        <v>#VALUE!</v>
      </c>
    </row>
    <row r="7044" spans="1:12" x14ac:dyDescent="0.35">
      <c r="A7044">
        <f t="shared" si="417"/>
        <v>7043</v>
      </c>
      <c r="B7044" t="s">
        <v>112</v>
      </c>
      <c r="C7044" s="109" t="str">
        <f>IF(ISBLANK(K7044),IFERROR(VLOOKUP(I7044,FS_input_data!$C$458:$N$648,Export!J7044,FALSE),""),K7044)</f>
        <v/>
      </c>
      <c r="D7044" s="6"/>
      <c r="E7044" s="6"/>
      <c r="F7044" s="6"/>
      <c r="G7044" s="115" t="b">
        <f>VLOOKUP(I7036,FS_input_noty,J7036,FALSE)=""</f>
        <v>0</v>
      </c>
      <c r="H7044" s="6" t="s">
        <v>2189</v>
      </c>
      <c r="I7044" t="s">
        <v>1561</v>
      </c>
      <c r="J7044" t="s">
        <v>1561</v>
      </c>
      <c r="L7044">
        <f t="shared" si="416"/>
        <v>1</v>
      </c>
    </row>
    <row r="7045" spans="1:12" x14ac:dyDescent="0.35">
      <c r="A7045" s="9">
        <f t="shared" si="417"/>
        <v>7044</v>
      </c>
      <c r="B7045" t="s">
        <v>749</v>
      </c>
      <c r="C7045" s="109">
        <f>IF(ISBLANK(K7045),IFERROR(VLOOKUP(I7045,FS_input_data!$C$458:$N$648,Export!J7045,FALSE),""),K7045)</f>
        <v>20000</v>
      </c>
      <c r="D7045" s="6" t="b">
        <v>0</v>
      </c>
      <c r="E7045" s="6"/>
      <c r="F7045" s="6"/>
      <c r="G7045" s="115" t="b">
        <f>VLOOKUP(I7036,FS_input_noty,J7036,FALSE)=""</f>
        <v>0</v>
      </c>
      <c r="H7045" s="6" t="s">
        <v>2189</v>
      </c>
      <c r="I7045" t="s">
        <v>2086</v>
      </c>
      <c r="J7045">
        <v>9</v>
      </c>
      <c r="L7045" s="26" t="e">
        <f t="shared" si="416"/>
        <v>#VALUE!</v>
      </c>
    </row>
    <row r="7046" spans="1:12" x14ac:dyDescent="0.35">
      <c r="A7046">
        <f t="shared" si="417"/>
        <v>7045</v>
      </c>
      <c r="B7046" t="s">
        <v>750</v>
      </c>
      <c r="C7046" s="109" t="str">
        <f>IF(ISBLANK(K7046),IFERROR(VLOOKUP(I7046,FS_input_data!$C$458:$N$648,Export!J7046,FALSE),""),K7046)</f>
        <v/>
      </c>
      <c r="D7046" s="6"/>
      <c r="E7046" s="6"/>
      <c r="F7046" s="6"/>
      <c r="G7046" s="115" t="b">
        <f>VLOOKUP(I7036,FS_input_noty,J7036,FALSE)=""</f>
        <v>0</v>
      </c>
      <c r="H7046" s="6" t="s">
        <v>2189</v>
      </c>
      <c r="I7046" t="s">
        <v>1561</v>
      </c>
      <c r="J7046" t="s">
        <v>1561</v>
      </c>
      <c r="L7046">
        <f t="shared" si="416"/>
        <v>1</v>
      </c>
    </row>
    <row r="7047" spans="1:12" x14ac:dyDescent="0.35">
      <c r="A7047">
        <f t="shared" si="417"/>
        <v>7046</v>
      </c>
      <c r="B7047" t="s">
        <v>751</v>
      </c>
      <c r="C7047" s="109" t="str">
        <f>IF(ISBLANK(K7047),IFERROR(VLOOKUP(I7047,FS_input_data!$C$458:$N$648,Export!J7047,FALSE),""),K7047)</f>
        <v/>
      </c>
      <c r="D7047" s="6"/>
      <c r="E7047" s="6"/>
      <c r="F7047" s="6"/>
      <c r="G7047" s="115" t="b">
        <f>VLOOKUP(I7036,FS_input_noty,J7036,FALSE)=""</f>
        <v>0</v>
      </c>
      <c r="H7047" s="6" t="s">
        <v>2189</v>
      </c>
      <c r="I7047" t="s">
        <v>1561</v>
      </c>
      <c r="J7047" t="s">
        <v>1561</v>
      </c>
      <c r="L7047">
        <f t="shared" si="416"/>
        <v>1</v>
      </c>
    </row>
    <row r="7048" spans="1:12" x14ac:dyDescent="0.35">
      <c r="A7048">
        <f t="shared" si="417"/>
        <v>7047</v>
      </c>
      <c r="B7048" t="s">
        <v>754</v>
      </c>
      <c r="C7048" s="109" t="str">
        <f>IF(ISBLANK(K7048),IFERROR(VLOOKUP(I7048,FS_input_data!$C$458:$N$648,Export!J7048,FALSE),""),K7048)</f>
        <v/>
      </c>
      <c r="D7048" s="6"/>
      <c r="E7048" s="6"/>
      <c r="F7048" s="6"/>
      <c r="G7048" s="115" t="b">
        <f>VLOOKUP(I7036,FS_input_noty,J7036,FALSE)=""</f>
        <v>0</v>
      </c>
      <c r="H7048" s="6" t="s">
        <v>2189</v>
      </c>
      <c r="I7048" t="s">
        <v>1561</v>
      </c>
      <c r="J7048" t="s">
        <v>1561</v>
      </c>
      <c r="L7048" s="26" t="e">
        <f t="shared" si="416"/>
        <v>#VALUE!</v>
      </c>
    </row>
    <row r="7049" spans="1:12" x14ac:dyDescent="0.35">
      <c r="A7049" s="9">
        <f t="shared" si="417"/>
        <v>7048</v>
      </c>
      <c r="B7049" t="s">
        <v>755</v>
      </c>
      <c r="C7049" s="109">
        <f>IF(ISBLANK(K7049),IFERROR(VLOOKUP(I7049,FS_input_data!$C$458:$N$648,Export!J7049,FALSE),""),K7049)</f>
        <v>138</v>
      </c>
      <c r="D7049" s="6" t="b">
        <v>1</v>
      </c>
      <c r="E7049" s="6"/>
      <c r="F7049" s="6"/>
      <c r="G7049" s="115" t="b">
        <f>VLOOKUP(I7036,FS_input_noty,J7036,FALSE)=""</f>
        <v>0</v>
      </c>
      <c r="H7049" s="6" t="s">
        <v>2189</v>
      </c>
      <c r="I7049" t="s">
        <v>2086</v>
      </c>
      <c r="J7049">
        <v>2</v>
      </c>
      <c r="L7049" s="26" t="e">
        <f t="shared" si="416"/>
        <v>#VALUE!</v>
      </c>
    </row>
    <row r="7050" spans="1:12" x14ac:dyDescent="0.35">
      <c r="A7050">
        <f t="shared" si="417"/>
        <v>7049</v>
      </c>
      <c r="B7050" t="s">
        <v>756</v>
      </c>
      <c r="C7050" s="109" t="str">
        <f>IF(ISBLANK(K7050),IFERROR(VLOOKUP(I7050,FS_input_data!$C$458:$N$648,Export!J7050,FALSE),""),K7050)</f>
        <v/>
      </c>
      <c r="D7050" s="6"/>
      <c r="E7050" s="6"/>
      <c r="F7050" s="6"/>
      <c r="G7050" s="115" t="b">
        <f>VLOOKUP(I7036,FS_input_noty,J7036,FALSE)=""</f>
        <v>0</v>
      </c>
      <c r="H7050" s="6" t="s">
        <v>2189</v>
      </c>
      <c r="I7050" t="s">
        <v>1561</v>
      </c>
      <c r="J7050" t="s">
        <v>1561</v>
      </c>
      <c r="L7050">
        <f t="shared" si="416"/>
        <v>1</v>
      </c>
    </row>
    <row r="7051" spans="1:12" x14ac:dyDescent="0.35">
      <c r="A7051" s="9">
        <f t="shared" si="417"/>
        <v>7050</v>
      </c>
      <c r="B7051" t="s">
        <v>757</v>
      </c>
      <c r="C7051" s="109">
        <f>IF(ISBLANK(K7051),IFERROR(VLOOKUP(I7051,FS_input_data!$C$458:$N$648,Export!J7051,FALSE),""),K7051)</f>
        <v>238</v>
      </c>
      <c r="D7051" s="6" t="b">
        <v>0</v>
      </c>
      <c r="E7051" s="6"/>
      <c r="F7051" s="6"/>
      <c r="G7051" s="115" t="b">
        <f>VLOOKUP(I7036,FS_input_noty,J7036,FALSE)=""</f>
        <v>0</v>
      </c>
      <c r="H7051" s="6" t="s">
        <v>2189</v>
      </c>
      <c r="I7051" t="s">
        <v>2086</v>
      </c>
      <c r="J7051">
        <v>3</v>
      </c>
      <c r="L7051" s="26" t="e">
        <f t="shared" si="416"/>
        <v>#VALUE!</v>
      </c>
    </row>
    <row r="7052" spans="1:12" x14ac:dyDescent="0.35">
      <c r="A7052">
        <f t="shared" si="417"/>
        <v>7051</v>
      </c>
      <c r="B7052" t="s">
        <v>758</v>
      </c>
      <c r="C7052" s="109" t="str">
        <f>IF(ISBLANK(K7052),IFERROR(VLOOKUP(I7052,FS_input_data!$C$458:$N$648,Export!J7052,FALSE),""),K7052)</f>
        <v/>
      </c>
      <c r="D7052" s="6"/>
      <c r="E7052" s="6"/>
      <c r="F7052" s="6"/>
      <c r="G7052" s="115" t="b">
        <f>VLOOKUP(I7036,FS_input_noty,J7036,FALSE)=""</f>
        <v>0</v>
      </c>
      <c r="H7052" s="6" t="s">
        <v>2189</v>
      </c>
      <c r="I7052" t="s">
        <v>1561</v>
      </c>
      <c r="J7052" t="s">
        <v>1561</v>
      </c>
      <c r="L7052">
        <f t="shared" si="416"/>
        <v>1</v>
      </c>
    </row>
    <row r="7053" spans="1:12" x14ac:dyDescent="0.35">
      <c r="A7053" s="9">
        <f t="shared" si="417"/>
        <v>7052</v>
      </c>
      <c r="B7053" t="s">
        <v>759</v>
      </c>
      <c r="C7053" s="109">
        <f>IF(ISBLANK(K7053),IFERROR(VLOOKUP(I7053,FS_input_data!$C$458:$N$648,Export!J7053,FALSE),""),K7053)</f>
        <v>338</v>
      </c>
      <c r="D7053" s="6" t="b">
        <v>0</v>
      </c>
      <c r="E7053" s="6"/>
      <c r="F7053" s="6"/>
      <c r="G7053" s="115" t="b">
        <f>VLOOKUP(I7036,FS_input_noty,J7036,FALSE)=""</f>
        <v>0</v>
      </c>
      <c r="H7053" s="6" t="s">
        <v>2189</v>
      </c>
      <c r="I7053" t="s">
        <v>2086</v>
      </c>
      <c r="J7053">
        <v>4</v>
      </c>
      <c r="L7053" s="26" t="e">
        <f t="shared" si="416"/>
        <v>#VALUE!</v>
      </c>
    </row>
    <row r="7054" spans="1:12" x14ac:dyDescent="0.35">
      <c r="A7054">
        <f t="shared" si="417"/>
        <v>7053</v>
      </c>
      <c r="B7054" t="s">
        <v>760</v>
      </c>
      <c r="C7054" s="109" t="str">
        <f>IF(ISBLANK(K7054),IFERROR(VLOOKUP(I7054,FS_input_data!$C$458:$N$648,Export!J7054,FALSE),""),K7054)</f>
        <v/>
      </c>
      <c r="D7054" s="6"/>
      <c r="E7054" s="6"/>
      <c r="F7054" s="6"/>
      <c r="G7054" s="115" t="b">
        <f>VLOOKUP(I7036,FS_input_noty,J7036,FALSE)=""</f>
        <v>0</v>
      </c>
      <c r="H7054" s="6" t="s">
        <v>2189</v>
      </c>
      <c r="I7054" t="s">
        <v>1561</v>
      </c>
      <c r="J7054" t="s">
        <v>1561</v>
      </c>
      <c r="L7054">
        <f t="shared" si="416"/>
        <v>1</v>
      </c>
    </row>
    <row r="7055" spans="1:12" x14ac:dyDescent="0.35">
      <c r="A7055" s="9">
        <f t="shared" si="417"/>
        <v>7054</v>
      </c>
      <c r="B7055" t="s">
        <v>761</v>
      </c>
      <c r="C7055" s="109" t="str">
        <f>IF(ISBLANK(K7055),IFERROR(VLOOKUP(I7055,FS_input_data!$C$458:$N$648,Export!J7055,FALSE),""),K7055)</f>
        <v>b</v>
      </c>
      <c r="D7055" s="6" t="b">
        <v>0</v>
      </c>
      <c r="E7055" s="6"/>
      <c r="F7055" s="6"/>
      <c r="G7055" s="115" t="b">
        <f>VLOOKUP(I7036,FS_input_noty,J7036,FALSE)=""</f>
        <v>0</v>
      </c>
      <c r="H7055" s="6" t="s">
        <v>2189</v>
      </c>
      <c r="I7055" t="s">
        <v>2086</v>
      </c>
      <c r="J7055">
        <v>5</v>
      </c>
      <c r="L7055" s="26" t="e">
        <f t="shared" si="416"/>
        <v>#VALUE!</v>
      </c>
    </row>
    <row r="7056" spans="1:12" x14ac:dyDescent="0.35">
      <c r="A7056">
        <f t="shared" si="417"/>
        <v>7055</v>
      </c>
      <c r="B7056" t="s">
        <v>762</v>
      </c>
      <c r="C7056" s="109" t="str">
        <f>IF(ISBLANK(K7056),IFERROR(VLOOKUP(I7056,FS_input_data!$C$458:$N$648,Export!J7056,FALSE),""),K7056)</f>
        <v/>
      </c>
      <c r="D7056" s="6"/>
      <c r="E7056" s="6"/>
      <c r="F7056" s="6"/>
      <c r="G7056" s="115" t="b">
        <f>VLOOKUP(I7036,FS_input_noty,J7036,FALSE)=""</f>
        <v>0</v>
      </c>
      <c r="H7056" s="6" t="s">
        <v>2189</v>
      </c>
      <c r="I7056" t="s">
        <v>1561</v>
      </c>
      <c r="J7056" t="s">
        <v>1561</v>
      </c>
      <c r="L7056">
        <f t="shared" si="416"/>
        <v>1</v>
      </c>
    </row>
    <row r="7057" spans="1:12" x14ac:dyDescent="0.35">
      <c r="A7057">
        <f t="shared" si="417"/>
        <v>7056</v>
      </c>
      <c r="B7057" t="s">
        <v>763</v>
      </c>
      <c r="C7057" s="109" t="str">
        <f>IF(ISBLANK(K7057),IFERROR(VLOOKUP(I7057,FS_input_data!$C$458:$N$648,Export!J7057,FALSE),""),K7057)</f>
        <v/>
      </c>
      <c r="E7057" s="6"/>
      <c r="F7057" s="6"/>
      <c r="G7057" s="115" t="b">
        <f>VLOOKUP(I7036,FS_input_noty,J7036,FALSE)=""</f>
        <v>0</v>
      </c>
      <c r="H7057" s="6" t="s">
        <v>2189</v>
      </c>
      <c r="I7057" t="s">
        <v>1561</v>
      </c>
      <c r="J7057" t="s">
        <v>1561</v>
      </c>
      <c r="L7057">
        <f t="shared" si="416"/>
        <v>1</v>
      </c>
    </row>
    <row r="7058" spans="1:12" x14ac:dyDescent="0.35">
      <c r="A7058">
        <f t="shared" si="417"/>
        <v>7057</v>
      </c>
      <c r="B7058" t="s">
        <v>743</v>
      </c>
      <c r="C7058" s="109" t="str">
        <f>IF(ISBLANK(K7058),IFERROR(VLOOKUP(I7058,FS_input_data!$C$458:$N$648,Export!J7058,FALSE),""),K7058)</f>
        <v/>
      </c>
      <c r="E7058" s="6"/>
      <c r="F7058" s="6"/>
      <c r="G7058" s="115" t="b">
        <f>VLOOKUP(I7036,FS_input_noty,J7036,FALSE)=""</f>
        <v>0</v>
      </c>
      <c r="H7058" s="6" t="s">
        <v>2189</v>
      </c>
      <c r="I7058" t="s">
        <v>1561</v>
      </c>
      <c r="J7058" t="s">
        <v>1561</v>
      </c>
      <c r="L7058">
        <f t="shared" si="416"/>
        <v>1</v>
      </c>
    </row>
    <row r="7059" spans="1:12" x14ac:dyDescent="0.35">
      <c r="A7059">
        <f t="shared" si="417"/>
        <v>7058</v>
      </c>
      <c r="B7059" t="s">
        <v>744</v>
      </c>
      <c r="C7059" s="109" t="str">
        <f>IF(ISBLANK(K7059),IFERROR(VLOOKUP(I7059,FS_input_data!$C$458:$N$648,Export!J7059,FALSE),""),K7059)</f>
        <v/>
      </c>
      <c r="E7059" s="6"/>
      <c r="F7059" s="6"/>
      <c r="G7059" s="115" t="b">
        <f t="shared" ref="G7059:G7066" si="418">RP_tax</f>
        <v>1</v>
      </c>
      <c r="H7059" s="6" t="s">
        <v>2189</v>
      </c>
      <c r="I7059" t="s">
        <v>1561</v>
      </c>
      <c r="J7059" t="s">
        <v>1561</v>
      </c>
      <c r="L7059" s="26" t="e">
        <f t="shared" si="416"/>
        <v>#VALUE!</v>
      </c>
    </row>
    <row r="7060" spans="1:12" x14ac:dyDescent="0.35">
      <c r="A7060" s="9">
        <f t="shared" si="417"/>
        <v>7059</v>
      </c>
      <c r="B7060" t="s">
        <v>109</v>
      </c>
      <c r="C7060" s="109">
        <f>IF(ISBLANK(K7060),IFERROR(VLOOKUP(I7060,FS_input_data!$C$458:$N$648,Export!J7060,FALSE),""),K7060)</f>
        <v>40000</v>
      </c>
      <c r="D7060" s="6" t="b">
        <v>1</v>
      </c>
      <c r="E7060" s="6"/>
      <c r="F7060" s="6"/>
      <c r="G7060" s="115" t="b">
        <f t="shared" si="418"/>
        <v>1</v>
      </c>
      <c r="H7060" s="6" t="s">
        <v>2189</v>
      </c>
      <c r="I7060" t="s">
        <v>2086</v>
      </c>
      <c r="J7060">
        <v>10</v>
      </c>
      <c r="L7060" s="26" t="e">
        <f t="shared" si="416"/>
        <v>#VALUE!</v>
      </c>
    </row>
    <row r="7061" spans="1:12" x14ac:dyDescent="0.35">
      <c r="A7061">
        <f t="shared" si="417"/>
        <v>7060</v>
      </c>
      <c r="B7061" t="s">
        <v>110</v>
      </c>
      <c r="C7061" s="109" t="str">
        <f>IF(ISBLANK(K7061),IFERROR(VLOOKUP(I7061,FS_input_data!$C$458:$N$648,Export!J7061,FALSE),""),K7061)</f>
        <v/>
      </c>
      <c r="D7061" s="6"/>
      <c r="E7061" s="6"/>
      <c r="F7061" s="6"/>
      <c r="G7061" s="115" t="b">
        <f t="shared" si="418"/>
        <v>1</v>
      </c>
      <c r="H7061" s="6" t="s">
        <v>2189</v>
      </c>
      <c r="I7061" t="s">
        <v>1561</v>
      </c>
      <c r="J7061" t="s">
        <v>1561</v>
      </c>
      <c r="L7061">
        <f t="shared" si="416"/>
        <v>1</v>
      </c>
    </row>
    <row r="7062" spans="1:12" x14ac:dyDescent="0.35">
      <c r="A7062" s="9">
        <f t="shared" si="417"/>
        <v>7061</v>
      </c>
      <c r="B7062" t="s">
        <v>111</v>
      </c>
      <c r="C7062" s="109">
        <f>IF(ISBLANK(K7062),IFERROR(VLOOKUP(I7062,FS_input_data!$C$458:$N$648,Export!J7062,FALSE),""),K7062)</f>
        <v>20000</v>
      </c>
      <c r="D7062" s="6" t="b">
        <v>0</v>
      </c>
      <c r="E7062" s="6"/>
      <c r="F7062" s="6"/>
      <c r="G7062" s="115" t="b">
        <f t="shared" si="418"/>
        <v>1</v>
      </c>
      <c r="H7062" s="6" t="s">
        <v>2189</v>
      </c>
      <c r="I7062" t="s">
        <v>2086</v>
      </c>
      <c r="J7062">
        <v>11</v>
      </c>
      <c r="L7062" s="26" t="e">
        <f t="shared" si="416"/>
        <v>#VALUE!</v>
      </c>
    </row>
    <row r="7063" spans="1:12" x14ac:dyDescent="0.35">
      <c r="A7063">
        <f t="shared" si="417"/>
        <v>7062</v>
      </c>
      <c r="B7063" t="s">
        <v>112</v>
      </c>
      <c r="C7063" s="109" t="str">
        <f>IF(ISBLANK(K7063),IFERROR(VLOOKUP(I7063,FS_input_data!$C$458:$N$648,Export!J7063,FALSE),""),K7063)</f>
        <v/>
      </c>
      <c r="D7063" s="6"/>
      <c r="E7063" s="6"/>
      <c r="F7063" s="6"/>
      <c r="G7063" s="115" t="b">
        <f t="shared" si="418"/>
        <v>1</v>
      </c>
      <c r="H7063" s="6" t="s">
        <v>2189</v>
      </c>
      <c r="I7063" t="s">
        <v>1561</v>
      </c>
      <c r="J7063" t="s">
        <v>1561</v>
      </c>
      <c r="L7063">
        <f t="shared" si="416"/>
        <v>1</v>
      </c>
    </row>
    <row r="7064" spans="1:12" x14ac:dyDescent="0.35">
      <c r="A7064" s="9">
        <f t="shared" si="417"/>
        <v>7063</v>
      </c>
      <c r="B7064" t="s">
        <v>749</v>
      </c>
      <c r="C7064" s="109">
        <f>IF(ISBLANK(K7064),IFERROR(VLOOKUP(I7064,FS_input_data!$C$458:$N$648,Export!J7064,FALSE),""),K7064)</f>
        <v>20000</v>
      </c>
      <c r="D7064" s="6" t="b">
        <v>0</v>
      </c>
      <c r="E7064" s="6"/>
      <c r="F7064" s="6"/>
      <c r="G7064" s="115" t="b">
        <f t="shared" si="418"/>
        <v>1</v>
      </c>
      <c r="H7064" s="6" t="s">
        <v>2189</v>
      </c>
      <c r="I7064" t="s">
        <v>2086</v>
      </c>
      <c r="J7064">
        <v>12</v>
      </c>
      <c r="L7064" s="26" t="e">
        <f t="shared" si="416"/>
        <v>#VALUE!</v>
      </c>
    </row>
    <row r="7065" spans="1:12" x14ac:dyDescent="0.35">
      <c r="A7065">
        <f t="shared" si="417"/>
        <v>7064</v>
      </c>
      <c r="B7065" t="s">
        <v>750</v>
      </c>
      <c r="C7065" s="109" t="str">
        <f>IF(ISBLANK(K7065),IFERROR(VLOOKUP(I7065,FS_input_data!$C$458:$N$648,Export!J7065,FALSE),""),K7065)</f>
        <v/>
      </c>
      <c r="D7065" s="6"/>
      <c r="E7065" s="6"/>
      <c r="F7065" s="6"/>
      <c r="G7065" s="115" t="b">
        <f t="shared" si="418"/>
        <v>1</v>
      </c>
      <c r="H7065" s="6" t="s">
        <v>2189</v>
      </c>
      <c r="I7065" t="s">
        <v>1561</v>
      </c>
      <c r="J7065" t="s">
        <v>1561</v>
      </c>
      <c r="L7065">
        <f t="shared" si="416"/>
        <v>1</v>
      </c>
    </row>
    <row r="7066" spans="1:12" x14ac:dyDescent="0.35">
      <c r="A7066">
        <f t="shared" si="417"/>
        <v>7065</v>
      </c>
      <c r="B7066" t="s">
        <v>745</v>
      </c>
      <c r="C7066" s="109" t="str">
        <f>IF(ISBLANK(K7066),IFERROR(VLOOKUP(I7066,FS_input_data!$C$458:$N$648,Export!J7066,FALSE),""),K7066)</f>
        <v/>
      </c>
      <c r="D7066" s="6"/>
      <c r="E7066" s="6"/>
      <c r="F7066" s="6"/>
      <c r="G7066" s="115" t="b">
        <f t="shared" si="418"/>
        <v>1</v>
      </c>
      <c r="H7066" s="6" t="s">
        <v>2189</v>
      </c>
      <c r="I7066" t="s">
        <v>1561</v>
      </c>
      <c r="J7066" t="s">
        <v>1561</v>
      </c>
      <c r="L7066">
        <f t="shared" si="416"/>
        <v>1</v>
      </c>
    </row>
    <row r="7067" spans="1:12" x14ac:dyDescent="0.35">
      <c r="A7067">
        <f t="shared" si="417"/>
        <v>7066</v>
      </c>
      <c r="B7067" t="s">
        <v>764</v>
      </c>
      <c r="C7067" s="109" t="str">
        <f>IF(ISBLANK(K7067),IFERROR(VLOOKUP(I7067,FS_input_data!$C$458:$N$648,Export!J7067,FALSE),""),K7067)</f>
        <v/>
      </c>
      <c r="D7067" s="6"/>
      <c r="E7067" s="6"/>
      <c r="F7067" s="6"/>
      <c r="G7067" s="115" t="b">
        <f>VLOOKUP(I7036,FS_input_noty,J7036,FALSE)=""</f>
        <v>0</v>
      </c>
      <c r="H7067" s="6" t="s">
        <v>2189</v>
      </c>
      <c r="I7067" t="s">
        <v>1561</v>
      </c>
      <c r="J7067" t="s">
        <v>1561</v>
      </c>
      <c r="L7067">
        <f t="shared" si="416"/>
        <v>1</v>
      </c>
    </row>
    <row r="7068" spans="1:12" x14ac:dyDescent="0.35">
      <c r="A7068">
        <f t="shared" si="417"/>
        <v>7067</v>
      </c>
      <c r="B7068" t="s">
        <v>765</v>
      </c>
      <c r="C7068" s="109" t="str">
        <f>IF(ISBLANK(K7068),IFERROR(VLOOKUP(I7068,FS_input_data!$C$458:$N$648,Export!J7068,FALSE),""),K7068)</f>
        <v/>
      </c>
      <c r="E7068" s="6"/>
      <c r="F7068" s="6"/>
      <c r="G7068" s="115" t="b">
        <f>VLOOKUP(I7036,FS_input_noty,J7036,FALSE)=""</f>
        <v>0</v>
      </c>
      <c r="H7068" s="6" t="s">
        <v>2189</v>
      </c>
      <c r="I7068" t="s">
        <v>1561</v>
      </c>
      <c r="J7068" t="s">
        <v>1561</v>
      </c>
      <c r="L7068">
        <f t="shared" si="416"/>
        <v>1</v>
      </c>
    </row>
    <row r="7069" spans="1:12" x14ac:dyDescent="0.35">
      <c r="A7069">
        <f t="shared" si="417"/>
        <v>7068</v>
      </c>
      <c r="B7069" t="s">
        <v>752</v>
      </c>
      <c r="C7069" s="109" t="str">
        <f>IF(ISBLANK(K7069),IFERROR(VLOOKUP(I7069,FS_input_data!$C$458:$N$648,Export!J7069,FALSE),""),K7069)</f>
        <v/>
      </c>
      <c r="E7069" s="6"/>
      <c r="F7069" s="6"/>
      <c r="G7069" s="115" t="b">
        <f>VLOOKUP(I7070,FS_input_noty,J7070,FALSE)=""</f>
        <v>0</v>
      </c>
      <c r="H7069" s="6" t="s">
        <v>2189</v>
      </c>
      <c r="I7069" t="s">
        <v>1561</v>
      </c>
      <c r="J7069" t="s">
        <v>1561</v>
      </c>
      <c r="L7069" s="26" t="e">
        <f t="shared" si="416"/>
        <v>#VALUE!</v>
      </c>
    </row>
    <row r="7070" spans="1:12" x14ac:dyDescent="0.35">
      <c r="A7070" s="9">
        <f t="shared" si="417"/>
        <v>7069</v>
      </c>
      <c r="B7070" t="s">
        <v>101</v>
      </c>
      <c r="C7070" s="109" t="str">
        <f>IF(ISBLANK(K7070),IFERROR(VLOOKUP(I7070,FS_input_data!$C$458:$N$648,Export!J7070,FALSE),""),K7070)</f>
        <v>OC116</v>
      </c>
      <c r="D7070" t="b">
        <v>1</v>
      </c>
      <c r="E7070" s="6"/>
      <c r="F7070" s="6"/>
      <c r="G7070" s="115" t="b">
        <f>VLOOKUP(I7070,FS_input_noty,J7070,FALSE)=""</f>
        <v>0</v>
      </c>
      <c r="H7070" s="6" t="s">
        <v>2189</v>
      </c>
      <c r="I7070" t="s">
        <v>2088</v>
      </c>
      <c r="J7070">
        <v>6</v>
      </c>
      <c r="L7070" s="26" t="e">
        <f t="shared" si="416"/>
        <v>#VALUE!</v>
      </c>
    </row>
    <row r="7071" spans="1:12" x14ac:dyDescent="0.35">
      <c r="A7071">
        <f t="shared" si="417"/>
        <v>7070</v>
      </c>
      <c r="B7071" t="s">
        <v>102</v>
      </c>
      <c r="C7071" s="109" t="str">
        <f>IF(ISBLANK(K7071),IFERROR(VLOOKUP(I7071,FS_input_data!$C$458:$N$648,Export!J7071,FALSE),""),K7071)</f>
        <v/>
      </c>
      <c r="E7071" s="6"/>
      <c r="F7071" s="6"/>
      <c r="G7071" s="115" t="b">
        <f>VLOOKUP(I7070,FS_input_noty,J7070,FALSE)=""</f>
        <v>0</v>
      </c>
      <c r="H7071" s="6" t="s">
        <v>2189</v>
      </c>
      <c r="I7071" t="s">
        <v>1561</v>
      </c>
      <c r="J7071" t="s">
        <v>1561</v>
      </c>
      <c r="L7071">
        <f t="shared" si="416"/>
        <v>1</v>
      </c>
    </row>
    <row r="7072" spans="1:12" x14ac:dyDescent="0.35">
      <c r="A7072">
        <f t="shared" si="417"/>
        <v>7071</v>
      </c>
      <c r="B7072" t="s">
        <v>753</v>
      </c>
      <c r="C7072" s="109" t="str">
        <f>IF(ISBLANK(K7072),IFERROR(VLOOKUP(I7072,FS_input_data!$C$458:$N$648,Export!J7072,FALSE),""),K7072)</f>
        <v/>
      </c>
      <c r="E7072" s="6"/>
      <c r="F7072" s="6"/>
      <c r="G7072" s="115" t="b">
        <f>VLOOKUP(I7070,FS_input_noty,J7070,FALSE)=""</f>
        <v>0</v>
      </c>
      <c r="H7072" s="6" t="s">
        <v>2189</v>
      </c>
      <c r="I7072" t="s">
        <v>1561</v>
      </c>
      <c r="J7072" t="s">
        <v>1561</v>
      </c>
      <c r="L7072" s="26" t="e">
        <f t="shared" si="416"/>
        <v>#VALUE!</v>
      </c>
    </row>
    <row r="7073" spans="1:12" x14ac:dyDescent="0.35">
      <c r="A7073">
        <f t="shared" si="417"/>
        <v>7072</v>
      </c>
      <c r="B7073" t="s">
        <v>742</v>
      </c>
      <c r="C7073" s="109" t="str">
        <f>IF(ISBLANK(K7073),IFERROR(VLOOKUP(I7073,FS_input_data!$C$458:$N$648,Export!J7073,FALSE),""),K7073)</f>
        <v/>
      </c>
      <c r="D7073" s="6"/>
      <c r="E7073" s="6"/>
      <c r="F7073" s="6"/>
      <c r="G7073" s="115" t="b">
        <f>VLOOKUP(I7070,FS_input_noty,J7070,FALSE)=""</f>
        <v>0</v>
      </c>
      <c r="H7073" s="6" t="s">
        <v>2189</v>
      </c>
      <c r="I7073" t="s">
        <v>1561</v>
      </c>
      <c r="J7073" t="s">
        <v>1561</v>
      </c>
      <c r="L7073" s="26" t="e">
        <f t="shared" si="416"/>
        <v>#VALUE!</v>
      </c>
    </row>
    <row r="7074" spans="1:12" x14ac:dyDescent="0.35">
      <c r="A7074">
        <f t="shared" si="417"/>
        <v>7073</v>
      </c>
      <c r="B7074" t="s">
        <v>748</v>
      </c>
      <c r="C7074" s="109" t="str">
        <f>IF(ISBLANK(K7074),IFERROR(VLOOKUP(I7074,FS_input_data!$C$458:$N$648,Export!J7074,FALSE),""),K7074)</f>
        <v/>
      </c>
      <c r="D7074" s="6"/>
      <c r="E7074" s="6"/>
      <c r="F7074" s="6"/>
      <c r="G7074" s="115" t="b">
        <f>VLOOKUP(I7070,FS_input_noty,J7070,FALSE)=""</f>
        <v>0</v>
      </c>
      <c r="H7074" s="6" t="s">
        <v>2189</v>
      </c>
      <c r="I7074" t="s">
        <v>1561</v>
      </c>
      <c r="J7074" t="s">
        <v>1561</v>
      </c>
      <c r="L7074" s="26" t="e">
        <f t="shared" si="416"/>
        <v>#VALUE!</v>
      </c>
    </row>
    <row r="7075" spans="1:12" x14ac:dyDescent="0.35">
      <c r="A7075" s="9">
        <f t="shared" si="417"/>
        <v>7074</v>
      </c>
      <c r="B7075" t="s">
        <v>109</v>
      </c>
      <c r="C7075" s="109">
        <f>IF(ISBLANK(K7075),IFERROR(VLOOKUP(I7075,FS_input_data!$C$458:$N$648,Export!J7075,FALSE),""),K7075)</f>
        <v>41000</v>
      </c>
      <c r="D7075" s="6" t="b">
        <v>1</v>
      </c>
      <c r="E7075" s="6"/>
      <c r="F7075" s="6"/>
      <c r="G7075" s="115" t="b">
        <f>VLOOKUP(I7070,FS_input_noty,J7070,FALSE)=""</f>
        <v>0</v>
      </c>
      <c r="H7075" s="6" t="s">
        <v>2189</v>
      </c>
      <c r="I7075" t="s">
        <v>2088</v>
      </c>
      <c r="J7075">
        <v>7</v>
      </c>
      <c r="L7075" s="26" t="e">
        <f t="shared" si="416"/>
        <v>#VALUE!</v>
      </c>
    </row>
    <row r="7076" spans="1:12" x14ac:dyDescent="0.35">
      <c r="A7076">
        <f t="shared" si="417"/>
        <v>7075</v>
      </c>
      <c r="B7076" t="s">
        <v>110</v>
      </c>
      <c r="C7076" s="109" t="str">
        <f>IF(ISBLANK(K7076),IFERROR(VLOOKUP(I7076,FS_input_data!$C$458:$N$648,Export!J7076,FALSE),""),K7076)</f>
        <v/>
      </c>
      <c r="D7076" s="6"/>
      <c r="E7076" s="6"/>
      <c r="F7076" s="6"/>
      <c r="G7076" s="115" t="b">
        <f>VLOOKUP(I7070,FS_input_noty,J7070,FALSE)=""</f>
        <v>0</v>
      </c>
      <c r="H7076" s="6" t="s">
        <v>2189</v>
      </c>
      <c r="I7076" t="s">
        <v>1561</v>
      </c>
      <c r="J7076" t="s">
        <v>1561</v>
      </c>
      <c r="L7076">
        <f t="shared" si="416"/>
        <v>1</v>
      </c>
    </row>
    <row r="7077" spans="1:12" x14ac:dyDescent="0.35">
      <c r="A7077" s="9">
        <f t="shared" si="417"/>
        <v>7076</v>
      </c>
      <c r="B7077" t="s">
        <v>111</v>
      </c>
      <c r="C7077" s="109">
        <f>IF(ISBLANK(K7077),IFERROR(VLOOKUP(I7077,FS_input_data!$C$458:$N$648,Export!J7077,FALSE),""),K7077)</f>
        <v>20500</v>
      </c>
      <c r="D7077" s="6" t="b">
        <v>0</v>
      </c>
      <c r="E7077" s="6"/>
      <c r="F7077" s="6"/>
      <c r="G7077" s="115" t="b">
        <f>VLOOKUP(I7070,FS_input_noty,J7070,TRUE)=""</f>
        <v>0</v>
      </c>
      <c r="H7077" s="6" t="s">
        <v>2189</v>
      </c>
      <c r="I7077" t="s">
        <v>2088</v>
      </c>
      <c r="J7077">
        <v>8</v>
      </c>
      <c r="L7077" s="26" t="e">
        <f t="shared" si="416"/>
        <v>#VALUE!</v>
      </c>
    </row>
    <row r="7078" spans="1:12" x14ac:dyDescent="0.35">
      <c r="A7078">
        <f t="shared" si="417"/>
        <v>7077</v>
      </c>
      <c r="B7078" t="s">
        <v>112</v>
      </c>
      <c r="C7078" s="109" t="str">
        <f>IF(ISBLANK(K7078),IFERROR(VLOOKUP(I7078,FS_input_data!$C$458:$N$648,Export!J7078,FALSE),""),K7078)</f>
        <v/>
      </c>
      <c r="D7078" s="6"/>
      <c r="E7078" s="6"/>
      <c r="F7078" s="6"/>
      <c r="G7078" s="115" t="b">
        <f>VLOOKUP(I7070,FS_input_noty,J7070,FALSE)=""</f>
        <v>0</v>
      </c>
      <c r="H7078" s="6" t="s">
        <v>2189</v>
      </c>
      <c r="I7078" t="s">
        <v>1561</v>
      </c>
      <c r="J7078" t="s">
        <v>1561</v>
      </c>
      <c r="L7078">
        <f t="shared" si="416"/>
        <v>1</v>
      </c>
    </row>
    <row r="7079" spans="1:12" x14ac:dyDescent="0.35">
      <c r="A7079" s="9">
        <f t="shared" si="417"/>
        <v>7078</v>
      </c>
      <c r="B7079" t="s">
        <v>749</v>
      </c>
      <c r="C7079" s="109">
        <f>IF(ISBLANK(K7079),IFERROR(VLOOKUP(I7079,FS_input_data!$C$458:$N$648,Export!J7079,FALSE),""),K7079)</f>
        <v>20500</v>
      </c>
      <c r="D7079" s="6" t="b">
        <v>0</v>
      </c>
      <c r="E7079" s="6"/>
      <c r="F7079" s="6"/>
      <c r="G7079" s="115" t="b">
        <f>VLOOKUP(I7070,FS_input_noty,J7070,FALSE)=""</f>
        <v>0</v>
      </c>
      <c r="H7079" s="6" t="s">
        <v>2189</v>
      </c>
      <c r="I7079" t="s">
        <v>2088</v>
      </c>
      <c r="J7079">
        <v>9</v>
      </c>
      <c r="L7079" s="26" t="e">
        <f t="shared" si="416"/>
        <v>#VALUE!</v>
      </c>
    </row>
    <row r="7080" spans="1:12" x14ac:dyDescent="0.35">
      <c r="A7080">
        <f t="shared" si="417"/>
        <v>7079</v>
      </c>
      <c r="B7080" t="s">
        <v>750</v>
      </c>
      <c r="C7080" s="109" t="str">
        <f>IF(ISBLANK(K7080),IFERROR(VLOOKUP(I7080,FS_input_data!$C$458:$N$648,Export!J7080,FALSE),""),K7080)</f>
        <v/>
      </c>
      <c r="D7080" s="6"/>
      <c r="E7080" s="6"/>
      <c r="F7080" s="6"/>
      <c r="G7080" s="115" t="b">
        <f>VLOOKUP(I7070,FS_input_noty,J7070,FALSE)=""</f>
        <v>0</v>
      </c>
      <c r="H7080" s="6" t="s">
        <v>2189</v>
      </c>
      <c r="I7080" t="s">
        <v>1561</v>
      </c>
      <c r="J7080" t="s">
        <v>1561</v>
      </c>
      <c r="L7080">
        <f t="shared" si="416"/>
        <v>1</v>
      </c>
    </row>
    <row r="7081" spans="1:12" x14ac:dyDescent="0.35">
      <c r="A7081">
        <f t="shared" si="417"/>
        <v>7080</v>
      </c>
      <c r="B7081" t="s">
        <v>751</v>
      </c>
      <c r="C7081" s="109" t="str">
        <f>IF(ISBLANK(K7081),IFERROR(VLOOKUP(I7081,FS_input_data!$C$458:$N$648,Export!J7081,FALSE),""),K7081)</f>
        <v/>
      </c>
      <c r="D7081" s="6"/>
      <c r="E7081" s="6"/>
      <c r="F7081" s="6"/>
      <c r="G7081" s="115" t="b">
        <f>VLOOKUP(I7070,FS_input_noty,J7070,FALSE)=""</f>
        <v>0</v>
      </c>
      <c r="H7081" s="6" t="s">
        <v>2189</v>
      </c>
      <c r="I7081" t="s">
        <v>1561</v>
      </c>
      <c r="J7081" t="s">
        <v>1561</v>
      </c>
      <c r="L7081">
        <f t="shared" si="416"/>
        <v>1</v>
      </c>
    </row>
    <row r="7082" spans="1:12" x14ac:dyDescent="0.35">
      <c r="A7082">
        <f t="shared" si="417"/>
        <v>7081</v>
      </c>
      <c r="B7082" t="s">
        <v>754</v>
      </c>
      <c r="C7082" s="109" t="str">
        <f>IF(ISBLANK(K7082),IFERROR(VLOOKUP(I7082,FS_input_data!$C$458:$N$648,Export!J7082,FALSE),""),K7082)</f>
        <v/>
      </c>
      <c r="D7082" s="6"/>
      <c r="E7082" s="6"/>
      <c r="F7082" s="6"/>
      <c r="G7082" s="115" t="b">
        <f>VLOOKUP(I7070,FS_input_noty,J7070,FALSE)=""</f>
        <v>0</v>
      </c>
      <c r="H7082" s="6" t="s">
        <v>2189</v>
      </c>
      <c r="I7082" t="s">
        <v>1561</v>
      </c>
      <c r="J7082" t="s">
        <v>1561</v>
      </c>
      <c r="L7082" s="26" t="e">
        <f t="shared" si="416"/>
        <v>#VALUE!</v>
      </c>
    </row>
    <row r="7083" spans="1:12" x14ac:dyDescent="0.35">
      <c r="A7083" s="9">
        <f t="shared" si="417"/>
        <v>7082</v>
      </c>
      <c r="B7083" t="s">
        <v>755</v>
      </c>
      <c r="C7083" s="109">
        <f>IF(ISBLANK(K7083),IFERROR(VLOOKUP(I7083,FS_input_data!$C$458:$N$648,Export!J7083,FALSE),""),K7083)</f>
        <v>139</v>
      </c>
      <c r="D7083" s="6" t="b">
        <v>1</v>
      </c>
      <c r="E7083" s="6"/>
      <c r="F7083" s="6"/>
      <c r="G7083" s="115" t="b">
        <f>VLOOKUP(I7070,FS_input_noty,J7070,FALSE)=""</f>
        <v>0</v>
      </c>
      <c r="H7083" s="6" t="s">
        <v>2189</v>
      </c>
      <c r="I7083" t="s">
        <v>2088</v>
      </c>
      <c r="J7083">
        <v>2</v>
      </c>
      <c r="L7083" s="26" t="e">
        <f t="shared" si="416"/>
        <v>#VALUE!</v>
      </c>
    </row>
    <row r="7084" spans="1:12" x14ac:dyDescent="0.35">
      <c r="A7084">
        <f t="shared" si="417"/>
        <v>7083</v>
      </c>
      <c r="B7084" t="s">
        <v>756</v>
      </c>
      <c r="C7084" s="109" t="str">
        <f>IF(ISBLANK(K7084),IFERROR(VLOOKUP(I7084,FS_input_data!$C$458:$N$648,Export!J7084,FALSE),""),K7084)</f>
        <v/>
      </c>
      <c r="D7084" s="6"/>
      <c r="E7084" s="6"/>
      <c r="F7084" s="6"/>
      <c r="G7084" s="115" t="b">
        <f>VLOOKUP(I7070,FS_input_noty,J7070,FALSE)=""</f>
        <v>0</v>
      </c>
      <c r="H7084" s="6" t="s">
        <v>2189</v>
      </c>
      <c r="I7084" t="s">
        <v>1561</v>
      </c>
      <c r="J7084" t="s">
        <v>1561</v>
      </c>
      <c r="L7084">
        <f t="shared" si="416"/>
        <v>1</v>
      </c>
    </row>
    <row r="7085" spans="1:12" x14ac:dyDescent="0.35">
      <c r="A7085" s="9">
        <f t="shared" si="417"/>
        <v>7084</v>
      </c>
      <c r="B7085" t="s">
        <v>757</v>
      </c>
      <c r="C7085" s="109">
        <f>IF(ISBLANK(K7085),IFERROR(VLOOKUP(I7085,FS_input_data!$C$458:$N$648,Export!J7085,FALSE),""),K7085)</f>
        <v>239</v>
      </c>
      <c r="D7085" s="6" t="b">
        <v>0</v>
      </c>
      <c r="E7085" s="6"/>
      <c r="F7085" s="6"/>
      <c r="G7085" s="115" t="b">
        <f>VLOOKUP(I7070,FS_input_noty,J7070,FALSE)=""</f>
        <v>0</v>
      </c>
      <c r="H7085" s="6" t="s">
        <v>2189</v>
      </c>
      <c r="I7085" t="s">
        <v>2088</v>
      </c>
      <c r="J7085">
        <v>3</v>
      </c>
      <c r="L7085" s="26" t="e">
        <f t="shared" si="416"/>
        <v>#VALUE!</v>
      </c>
    </row>
    <row r="7086" spans="1:12" x14ac:dyDescent="0.35">
      <c r="A7086">
        <f t="shared" si="417"/>
        <v>7085</v>
      </c>
      <c r="B7086" t="s">
        <v>758</v>
      </c>
      <c r="C7086" s="109" t="str">
        <f>IF(ISBLANK(K7086),IFERROR(VLOOKUP(I7086,FS_input_data!$C$458:$N$648,Export!J7086,FALSE),""),K7086)</f>
        <v/>
      </c>
      <c r="D7086" s="6"/>
      <c r="E7086" s="6"/>
      <c r="F7086" s="6"/>
      <c r="G7086" s="115" t="b">
        <f>VLOOKUP(I7070,FS_input_noty,J7070,FALSE)=""</f>
        <v>0</v>
      </c>
      <c r="H7086" s="6" t="s">
        <v>2189</v>
      </c>
      <c r="I7086" t="s">
        <v>1561</v>
      </c>
      <c r="J7086" t="s">
        <v>1561</v>
      </c>
      <c r="L7086">
        <f t="shared" si="416"/>
        <v>1</v>
      </c>
    </row>
    <row r="7087" spans="1:12" x14ac:dyDescent="0.35">
      <c r="A7087" s="9">
        <f t="shared" si="417"/>
        <v>7086</v>
      </c>
      <c r="B7087" t="s">
        <v>759</v>
      </c>
      <c r="C7087" s="109">
        <f>IF(ISBLANK(K7087),IFERROR(VLOOKUP(I7087,FS_input_data!$C$458:$N$648,Export!J7087,FALSE),""),K7087)</f>
        <v>339</v>
      </c>
      <c r="D7087" s="6" t="b">
        <v>0</v>
      </c>
      <c r="E7087" s="6"/>
      <c r="F7087" s="6"/>
      <c r="G7087" s="115" t="b">
        <f>VLOOKUP(I7070,FS_input_noty,J7070,FALSE)=""</f>
        <v>0</v>
      </c>
      <c r="H7087" s="6" t="s">
        <v>2189</v>
      </c>
      <c r="I7087" t="s">
        <v>2088</v>
      </c>
      <c r="J7087">
        <v>4</v>
      </c>
      <c r="L7087" s="26" t="e">
        <f t="shared" si="416"/>
        <v>#VALUE!</v>
      </c>
    </row>
    <row r="7088" spans="1:12" x14ac:dyDescent="0.35">
      <c r="A7088">
        <f t="shared" si="417"/>
        <v>7087</v>
      </c>
      <c r="B7088" t="s">
        <v>760</v>
      </c>
      <c r="C7088" s="109" t="str">
        <f>IF(ISBLANK(K7088),IFERROR(VLOOKUP(I7088,FS_input_data!$C$458:$N$648,Export!J7088,FALSE),""),K7088)</f>
        <v/>
      </c>
      <c r="D7088" s="6"/>
      <c r="E7088" s="6"/>
      <c r="F7088" s="6"/>
      <c r="G7088" s="115" t="b">
        <f>VLOOKUP(I7070,FS_input_noty,J7070,FALSE)=""</f>
        <v>0</v>
      </c>
      <c r="H7088" s="6" t="s">
        <v>2189</v>
      </c>
      <c r="I7088" t="s">
        <v>1561</v>
      </c>
      <c r="J7088" t="s">
        <v>1561</v>
      </c>
      <c r="L7088">
        <f t="shared" si="416"/>
        <v>1</v>
      </c>
    </row>
    <row r="7089" spans="1:12" x14ac:dyDescent="0.35">
      <c r="A7089" s="9">
        <f t="shared" si="417"/>
        <v>7088</v>
      </c>
      <c r="B7089" t="s">
        <v>761</v>
      </c>
      <c r="C7089" s="109" t="str">
        <f>IF(ISBLANK(K7089),IFERROR(VLOOKUP(I7089,FS_input_data!$C$458:$N$648,Export!J7089,FALSE),""),K7089)</f>
        <v>c</v>
      </c>
      <c r="D7089" s="6" t="b">
        <v>0</v>
      </c>
      <c r="E7089" s="6"/>
      <c r="F7089" s="6"/>
      <c r="G7089" s="115" t="b">
        <f>VLOOKUP(I7070,FS_input_noty,J7070,FALSE)=""</f>
        <v>0</v>
      </c>
      <c r="H7089" s="6" t="s">
        <v>2189</v>
      </c>
      <c r="I7089" t="s">
        <v>2088</v>
      </c>
      <c r="J7089">
        <v>5</v>
      </c>
      <c r="L7089" s="26" t="e">
        <f t="shared" si="416"/>
        <v>#VALUE!</v>
      </c>
    </row>
    <row r="7090" spans="1:12" x14ac:dyDescent="0.35">
      <c r="A7090">
        <f t="shared" si="417"/>
        <v>7089</v>
      </c>
      <c r="B7090" t="s">
        <v>762</v>
      </c>
      <c r="C7090" s="109" t="str">
        <f>IF(ISBLANK(K7090),IFERROR(VLOOKUP(I7090,FS_input_data!$C$458:$N$648,Export!J7090,FALSE),""),K7090)</f>
        <v/>
      </c>
      <c r="D7090" s="6"/>
      <c r="E7090" s="6"/>
      <c r="F7090" s="6"/>
      <c r="G7090" s="115" t="b">
        <f>VLOOKUP(I7070,FS_input_noty,J7070,FALSE)=""</f>
        <v>0</v>
      </c>
      <c r="H7090" s="6" t="s">
        <v>2189</v>
      </c>
      <c r="I7090" t="s">
        <v>1561</v>
      </c>
      <c r="J7090" t="s">
        <v>1561</v>
      </c>
      <c r="L7090">
        <f t="shared" si="416"/>
        <v>1</v>
      </c>
    </row>
    <row r="7091" spans="1:12" x14ac:dyDescent="0.35">
      <c r="A7091">
        <f t="shared" si="417"/>
        <v>7090</v>
      </c>
      <c r="B7091" t="s">
        <v>763</v>
      </c>
      <c r="C7091" s="109" t="str">
        <f>IF(ISBLANK(K7091),IFERROR(VLOOKUP(I7091,FS_input_data!$C$458:$N$648,Export!J7091,FALSE),""),K7091)</f>
        <v/>
      </c>
      <c r="E7091" s="6"/>
      <c r="F7091" s="6"/>
      <c r="G7091" s="115" t="b">
        <f>VLOOKUP(I7070,FS_input_noty,J7070,FALSE)=""</f>
        <v>0</v>
      </c>
      <c r="H7091" s="6" t="s">
        <v>2189</v>
      </c>
      <c r="I7091" t="s">
        <v>1561</v>
      </c>
      <c r="J7091" t="s">
        <v>1561</v>
      </c>
      <c r="L7091">
        <f t="shared" si="416"/>
        <v>1</v>
      </c>
    </row>
    <row r="7092" spans="1:12" x14ac:dyDescent="0.35">
      <c r="A7092">
        <f t="shared" si="417"/>
        <v>7091</v>
      </c>
      <c r="B7092" t="s">
        <v>743</v>
      </c>
      <c r="C7092" s="109" t="str">
        <f>IF(ISBLANK(K7092),IFERROR(VLOOKUP(I7092,FS_input_data!$C$458:$N$648,Export!J7092,FALSE),""),K7092)</f>
        <v/>
      </c>
      <c r="E7092" s="6"/>
      <c r="F7092" s="6"/>
      <c r="G7092" s="115" t="b">
        <f>VLOOKUP(I7070,FS_input_noty,J7070,FALSE)=""</f>
        <v>0</v>
      </c>
      <c r="H7092" s="6" t="s">
        <v>2189</v>
      </c>
      <c r="I7092" t="s">
        <v>1561</v>
      </c>
      <c r="J7092" t="s">
        <v>1561</v>
      </c>
      <c r="L7092">
        <f t="shared" si="416"/>
        <v>1</v>
      </c>
    </row>
    <row r="7093" spans="1:12" x14ac:dyDescent="0.35">
      <c r="A7093">
        <f t="shared" si="417"/>
        <v>7092</v>
      </c>
      <c r="B7093" t="s">
        <v>744</v>
      </c>
      <c r="C7093" s="109" t="str">
        <f>IF(ISBLANK(K7093),IFERROR(VLOOKUP(I7093,FS_input_data!$C$458:$N$648,Export!J7093,FALSE),""),K7093)</f>
        <v/>
      </c>
      <c r="E7093" s="6"/>
      <c r="F7093" s="6"/>
      <c r="G7093" s="115" t="b">
        <f t="shared" ref="G7093:G7100" si="419">RP_tax</f>
        <v>1</v>
      </c>
      <c r="H7093" s="6" t="s">
        <v>2189</v>
      </c>
      <c r="I7093" t="s">
        <v>1561</v>
      </c>
      <c r="J7093" t="s">
        <v>1561</v>
      </c>
      <c r="L7093" s="26" t="e">
        <f t="shared" si="416"/>
        <v>#VALUE!</v>
      </c>
    </row>
    <row r="7094" spans="1:12" x14ac:dyDescent="0.35">
      <c r="A7094" s="9">
        <f t="shared" si="417"/>
        <v>7093</v>
      </c>
      <c r="B7094" t="s">
        <v>109</v>
      </c>
      <c r="C7094" s="109">
        <f>IF(ISBLANK(K7094),IFERROR(VLOOKUP(I7094,FS_input_data!$C$458:$N$648,Export!J7094,FALSE),""),K7094)</f>
        <v>41000</v>
      </c>
      <c r="D7094" s="6" t="b">
        <v>1</v>
      </c>
      <c r="E7094" s="6"/>
      <c r="F7094" s="6"/>
      <c r="G7094" s="115" t="b">
        <f t="shared" si="419"/>
        <v>1</v>
      </c>
      <c r="H7094" s="6" t="s">
        <v>2189</v>
      </c>
      <c r="I7094" t="s">
        <v>2088</v>
      </c>
      <c r="J7094">
        <v>10</v>
      </c>
      <c r="L7094" s="26" t="e">
        <f t="shared" si="416"/>
        <v>#VALUE!</v>
      </c>
    </row>
    <row r="7095" spans="1:12" x14ac:dyDescent="0.35">
      <c r="A7095">
        <f t="shared" si="417"/>
        <v>7094</v>
      </c>
      <c r="B7095" t="s">
        <v>110</v>
      </c>
      <c r="C7095" s="109" t="str">
        <f>IF(ISBLANK(K7095),IFERROR(VLOOKUP(I7095,FS_input_data!$C$458:$N$648,Export!J7095,FALSE),""),K7095)</f>
        <v/>
      </c>
      <c r="D7095" s="6"/>
      <c r="E7095" s="6"/>
      <c r="F7095" s="6"/>
      <c r="G7095" s="115" t="b">
        <f t="shared" si="419"/>
        <v>1</v>
      </c>
      <c r="H7095" s="6" t="s">
        <v>2189</v>
      </c>
      <c r="I7095" t="s">
        <v>1561</v>
      </c>
      <c r="J7095" t="s">
        <v>1561</v>
      </c>
      <c r="L7095">
        <f t="shared" si="416"/>
        <v>1</v>
      </c>
    </row>
    <row r="7096" spans="1:12" x14ac:dyDescent="0.35">
      <c r="A7096" s="9">
        <f t="shared" si="417"/>
        <v>7095</v>
      </c>
      <c r="B7096" t="s">
        <v>111</v>
      </c>
      <c r="C7096" s="109">
        <f>IF(ISBLANK(K7096),IFERROR(VLOOKUP(I7096,FS_input_data!$C$458:$N$648,Export!J7096,FALSE),""),K7096)</f>
        <v>20500</v>
      </c>
      <c r="D7096" s="6" t="b">
        <v>0</v>
      </c>
      <c r="E7096" s="6"/>
      <c r="F7096" s="6"/>
      <c r="G7096" s="115" t="b">
        <f t="shared" si="419"/>
        <v>1</v>
      </c>
      <c r="H7096" s="6" t="s">
        <v>2189</v>
      </c>
      <c r="I7096" t="s">
        <v>2088</v>
      </c>
      <c r="J7096">
        <v>11</v>
      </c>
      <c r="L7096" s="26" t="e">
        <f t="shared" si="416"/>
        <v>#VALUE!</v>
      </c>
    </row>
    <row r="7097" spans="1:12" x14ac:dyDescent="0.35">
      <c r="A7097">
        <f t="shared" si="417"/>
        <v>7096</v>
      </c>
      <c r="B7097" t="s">
        <v>112</v>
      </c>
      <c r="C7097" s="109" t="str">
        <f>IF(ISBLANK(K7097),IFERROR(VLOOKUP(I7097,FS_input_data!$C$458:$N$648,Export!J7097,FALSE),""),K7097)</f>
        <v/>
      </c>
      <c r="D7097" s="6"/>
      <c r="E7097" s="6"/>
      <c r="F7097" s="6"/>
      <c r="G7097" s="115" t="b">
        <f t="shared" si="419"/>
        <v>1</v>
      </c>
      <c r="H7097" s="6" t="s">
        <v>2189</v>
      </c>
      <c r="I7097" t="s">
        <v>1561</v>
      </c>
      <c r="J7097" t="s">
        <v>1561</v>
      </c>
      <c r="L7097">
        <f t="shared" si="416"/>
        <v>1</v>
      </c>
    </row>
    <row r="7098" spans="1:12" x14ac:dyDescent="0.35">
      <c r="A7098" s="9">
        <f t="shared" si="417"/>
        <v>7097</v>
      </c>
      <c r="B7098" t="s">
        <v>749</v>
      </c>
      <c r="C7098" s="109">
        <f>IF(ISBLANK(K7098),IFERROR(VLOOKUP(I7098,FS_input_data!$C$458:$N$648,Export!J7098,FALSE),""),K7098)</f>
        <v>20500</v>
      </c>
      <c r="D7098" s="6" t="b">
        <v>0</v>
      </c>
      <c r="E7098" s="6"/>
      <c r="F7098" s="6"/>
      <c r="G7098" s="115" t="b">
        <f t="shared" si="419"/>
        <v>1</v>
      </c>
      <c r="H7098" s="6" t="s">
        <v>2189</v>
      </c>
      <c r="I7098" t="s">
        <v>2088</v>
      </c>
      <c r="J7098">
        <v>12</v>
      </c>
      <c r="L7098" s="26" t="e">
        <f t="shared" si="416"/>
        <v>#VALUE!</v>
      </c>
    </row>
    <row r="7099" spans="1:12" x14ac:dyDescent="0.35">
      <c r="A7099">
        <f t="shared" si="417"/>
        <v>7098</v>
      </c>
      <c r="B7099" t="s">
        <v>750</v>
      </c>
      <c r="C7099" s="109" t="str">
        <f>IF(ISBLANK(K7099),IFERROR(VLOOKUP(I7099,FS_input_data!$C$458:$N$648,Export!J7099,FALSE),""),K7099)</f>
        <v/>
      </c>
      <c r="D7099" s="6"/>
      <c r="E7099" s="6"/>
      <c r="F7099" s="6"/>
      <c r="G7099" s="115" t="b">
        <f t="shared" si="419"/>
        <v>1</v>
      </c>
      <c r="H7099" s="6" t="s">
        <v>2189</v>
      </c>
      <c r="I7099" t="s">
        <v>1561</v>
      </c>
      <c r="J7099" t="s">
        <v>1561</v>
      </c>
      <c r="L7099">
        <f t="shared" si="416"/>
        <v>1</v>
      </c>
    </row>
    <row r="7100" spans="1:12" x14ac:dyDescent="0.35">
      <c r="A7100">
        <f t="shared" si="417"/>
        <v>7099</v>
      </c>
      <c r="B7100" t="s">
        <v>745</v>
      </c>
      <c r="C7100" s="109" t="str">
        <f>IF(ISBLANK(K7100),IFERROR(VLOOKUP(I7100,FS_input_data!$C$458:$N$648,Export!J7100,FALSE),""),K7100)</f>
        <v/>
      </c>
      <c r="D7100" s="6"/>
      <c r="E7100" s="6"/>
      <c r="F7100" s="6"/>
      <c r="G7100" s="115" t="b">
        <f t="shared" si="419"/>
        <v>1</v>
      </c>
      <c r="H7100" s="6" t="s">
        <v>2189</v>
      </c>
      <c r="I7100" t="s">
        <v>1561</v>
      </c>
      <c r="J7100" t="s">
        <v>1561</v>
      </c>
      <c r="L7100">
        <f t="shared" si="416"/>
        <v>1</v>
      </c>
    </row>
    <row r="7101" spans="1:12" x14ac:dyDescent="0.35">
      <c r="A7101">
        <f t="shared" si="417"/>
        <v>7100</v>
      </c>
      <c r="B7101" t="s">
        <v>764</v>
      </c>
      <c r="C7101" s="109" t="str">
        <f>IF(ISBLANK(K7101),IFERROR(VLOOKUP(I7101,FS_input_data!$C$458:$N$648,Export!J7101,FALSE),""),K7101)</f>
        <v/>
      </c>
      <c r="D7101" s="6"/>
      <c r="E7101" s="6"/>
      <c r="F7101" s="6"/>
      <c r="G7101" s="115" t="b">
        <f>VLOOKUP(I7070,FS_input_noty,J7070,FALSE)=""</f>
        <v>0</v>
      </c>
      <c r="H7101" s="6" t="s">
        <v>2189</v>
      </c>
      <c r="I7101" t="s">
        <v>1561</v>
      </c>
      <c r="J7101" t="s">
        <v>1561</v>
      </c>
      <c r="L7101">
        <f t="shared" si="416"/>
        <v>1</v>
      </c>
    </row>
    <row r="7102" spans="1:12" x14ac:dyDescent="0.35">
      <c r="A7102">
        <f t="shared" si="417"/>
        <v>7101</v>
      </c>
      <c r="B7102" t="s">
        <v>765</v>
      </c>
      <c r="C7102" s="109" t="str">
        <f>IF(ISBLANK(K7102),IFERROR(VLOOKUP(I7102,FS_input_data!$C$458:$N$648,Export!J7102,FALSE),""),K7102)</f>
        <v/>
      </c>
      <c r="E7102" s="6"/>
      <c r="F7102" s="6"/>
      <c r="G7102" s="115" t="b">
        <f>VLOOKUP(I7070,FS_input_noty,J7070,FALSE)=""</f>
        <v>0</v>
      </c>
      <c r="H7102" s="6" t="s">
        <v>2189</v>
      </c>
      <c r="I7102" t="s">
        <v>1561</v>
      </c>
      <c r="J7102" t="s">
        <v>1561</v>
      </c>
      <c r="L7102">
        <f t="shared" si="416"/>
        <v>1</v>
      </c>
    </row>
    <row r="7103" spans="1:12" x14ac:dyDescent="0.35">
      <c r="A7103">
        <f t="shared" si="417"/>
        <v>7102</v>
      </c>
      <c r="B7103" t="s">
        <v>752</v>
      </c>
      <c r="C7103" s="109" t="str">
        <f>IF(ISBLANK(K7103),IFERROR(VLOOKUP(I7103,FS_input_data!$C$458:$N$648,Export!J7103,FALSE),""),K7103)</f>
        <v/>
      </c>
      <c r="E7103" s="6"/>
      <c r="F7103" s="6"/>
      <c r="G7103" s="115" t="b">
        <f>VLOOKUP(I7104,FS_input_noty,J7104,FALSE)=""</f>
        <v>0</v>
      </c>
      <c r="H7103" s="6" t="s">
        <v>2189</v>
      </c>
      <c r="I7103" t="s">
        <v>1561</v>
      </c>
      <c r="J7103" t="s">
        <v>1561</v>
      </c>
      <c r="L7103" s="26" t="e">
        <f t="shared" si="416"/>
        <v>#VALUE!</v>
      </c>
    </row>
    <row r="7104" spans="1:12" x14ac:dyDescent="0.35">
      <c r="A7104" s="9">
        <f t="shared" si="417"/>
        <v>7103</v>
      </c>
      <c r="B7104" t="s">
        <v>101</v>
      </c>
      <c r="C7104" s="109" t="str">
        <f>IF(ISBLANK(K7104),IFERROR(VLOOKUP(I7104,FS_input_data!$C$458:$N$648,Export!J7104,FALSE),""),K7104)</f>
        <v>OC117</v>
      </c>
      <c r="D7104" t="b">
        <v>1</v>
      </c>
      <c r="E7104" s="6"/>
      <c r="F7104" s="6"/>
      <c r="G7104" s="115" t="b">
        <f>VLOOKUP(I7104,FS_input_noty,J7104,FALSE)=""</f>
        <v>0</v>
      </c>
      <c r="H7104" s="6" t="s">
        <v>2189</v>
      </c>
      <c r="I7104" t="s">
        <v>2090</v>
      </c>
      <c r="J7104">
        <v>6</v>
      </c>
      <c r="L7104" s="26" t="e">
        <f t="shared" si="416"/>
        <v>#VALUE!</v>
      </c>
    </row>
    <row r="7105" spans="1:12" x14ac:dyDescent="0.35">
      <c r="A7105">
        <f t="shared" si="417"/>
        <v>7104</v>
      </c>
      <c r="B7105" t="s">
        <v>102</v>
      </c>
      <c r="C7105" s="109" t="str">
        <f>IF(ISBLANK(K7105),IFERROR(VLOOKUP(I7105,FS_input_data!$C$458:$N$648,Export!J7105,FALSE),""),K7105)</f>
        <v/>
      </c>
      <c r="E7105" s="6"/>
      <c r="F7105" s="6"/>
      <c r="G7105" s="115" t="b">
        <f>VLOOKUP(I7104,FS_input_noty,J7104,FALSE)=""</f>
        <v>0</v>
      </c>
      <c r="H7105" s="6" t="s">
        <v>2189</v>
      </c>
      <c r="I7105" t="s">
        <v>1561</v>
      </c>
      <c r="J7105" t="s">
        <v>1561</v>
      </c>
      <c r="L7105">
        <f t="shared" si="416"/>
        <v>1</v>
      </c>
    </row>
    <row r="7106" spans="1:12" x14ac:dyDescent="0.35">
      <c r="A7106">
        <f t="shared" si="417"/>
        <v>7105</v>
      </c>
      <c r="B7106" t="s">
        <v>753</v>
      </c>
      <c r="C7106" s="109" t="str">
        <f>IF(ISBLANK(K7106),IFERROR(VLOOKUP(I7106,FS_input_data!$C$458:$N$648,Export!J7106,FALSE),""),K7106)</f>
        <v/>
      </c>
      <c r="E7106" s="6"/>
      <c r="F7106" s="6"/>
      <c r="G7106" s="115" t="b">
        <f>VLOOKUP(I7104,FS_input_noty,J7104,FALSE)=""</f>
        <v>0</v>
      </c>
      <c r="H7106" s="6" t="s">
        <v>2189</v>
      </c>
      <c r="I7106" t="s">
        <v>1561</v>
      </c>
      <c r="J7106" t="s">
        <v>1561</v>
      </c>
      <c r="L7106" s="26" t="e">
        <f t="shared" ref="L7106:L7169" si="420">FIND("/",B7106)</f>
        <v>#VALUE!</v>
      </c>
    </row>
    <row r="7107" spans="1:12" x14ac:dyDescent="0.35">
      <c r="A7107">
        <f t="shared" ref="A7107:A7170" si="421">A7106+1</f>
        <v>7106</v>
      </c>
      <c r="B7107" t="s">
        <v>742</v>
      </c>
      <c r="C7107" s="109" t="str">
        <f>IF(ISBLANK(K7107),IFERROR(VLOOKUP(I7107,FS_input_data!$C$458:$N$648,Export!J7107,FALSE),""),K7107)</f>
        <v/>
      </c>
      <c r="D7107" s="6"/>
      <c r="E7107" s="6"/>
      <c r="F7107" s="6"/>
      <c r="G7107" s="115" t="b">
        <f>VLOOKUP(I7104,FS_input_noty,J7104,FALSE)=""</f>
        <v>0</v>
      </c>
      <c r="H7107" s="6" t="s">
        <v>2189</v>
      </c>
      <c r="I7107" t="s">
        <v>1561</v>
      </c>
      <c r="J7107" t="s">
        <v>1561</v>
      </c>
      <c r="L7107" s="26" t="e">
        <f t="shared" si="420"/>
        <v>#VALUE!</v>
      </c>
    </row>
    <row r="7108" spans="1:12" x14ac:dyDescent="0.35">
      <c r="A7108">
        <f t="shared" si="421"/>
        <v>7107</v>
      </c>
      <c r="B7108" t="s">
        <v>748</v>
      </c>
      <c r="C7108" s="109" t="str">
        <f>IF(ISBLANK(K7108),IFERROR(VLOOKUP(I7108,FS_input_data!$C$458:$N$648,Export!J7108,FALSE),""),K7108)</f>
        <v/>
      </c>
      <c r="D7108" s="6"/>
      <c r="E7108" s="6"/>
      <c r="F7108" s="6"/>
      <c r="G7108" s="115" t="b">
        <f>VLOOKUP(I7104,FS_input_noty,J7104,FALSE)=""</f>
        <v>0</v>
      </c>
      <c r="H7108" s="6" t="s">
        <v>2189</v>
      </c>
      <c r="I7108" t="s">
        <v>1561</v>
      </c>
      <c r="J7108" t="s">
        <v>1561</v>
      </c>
      <c r="L7108" s="26" t="e">
        <f t="shared" si="420"/>
        <v>#VALUE!</v>
      </c>
    </row>
    <row r="7109" spans="1:12" x14ac:dyDescent="0.35">
      <c r="A7109" s="9">
        <f t="shared" si="421"/>
        <v>7108</v>
      </c>
      <c r="B7109" t="s">
        <v>109</v>
      </c>
      <c r="C7109" s="109">
        <f>IF(ISBLANK(K7109),IFERROR(VLOOKUP(I7109,FS_input_data!$C$458:$N$648,Export!J7109,FALSE),""),K7109)</f>
        <v>42000</v>
      </c>
      <c r="D7109" s="6" t="b">
        <v>1</v>
      </c>
      <c r="E7109" s="6"/>
      <c r="F7109" s="6"/>
      <c r="G7109" s="115" t="b">
        <f>VLOOKUP(I7104,FS_input_noty,J7104,FALSE)=""</f>
        <v>0</v>
      </c>
      <c r="H7109" s="6" t="s">
        <v>2189</v>
      </c>
      <c r="I7109" t="s">
        <v>2090</v>
      </c>
      <c r="J7109">
        <v>7</v>
      </c>
      <c r="L7109" s="26" t="e">
        <f t="shared" si="420"/>
        <v>#VALUE!</v>
      </c>
    </row>
    <row r="7110" spans="1:12" x14ac:dyDescent="0.35">
      <c r="A7110">
        <f t="shared" si="421"/>
        <v>7109</v>
      </c>
      <c r="B7110" t="s">
        <v>110</v>
      </c>
      <c r="C7110" s="109" t="str">
        <f>IF(ISBLANK(K7110),IFERROR(VLOOKUP(I7110,FS_input_data!$C$458:$N$648,Export!J7110,FALSE),""),K7110)</f>
        <v/>
      </c>
      <c r="D7110" s="6"/>
      <c r="E7110" s="6"/>
      <c r="F7110" s="6"/>
      <c r="G7110" s="115" t="b">
        <f>VLOOKUP(I7104,FS_input_noty,J7104,FALSE)=""</f>
        <v>0</v>
      </c>
      <c r="H7110" s="6" t="s">
        <v>2189</v>
      </c>
      <c r="I7110" t="s">
        <v>1561</v>
      </c>
      <c r="J7110" t="s">
        <v>1561</v>
      </c>
      <c r="L7110">
        <f t="shared" si="420"/>
        <v>1</v>
      </c>
    </row>
    <row r="7111" spans="1:12" x14ac:dyDescent="0.35">
      <c r="A7111" s="9">
        <f t="shared" si="421"/>
        <v>7110</v>
      </c>
      <c r="B7111" t="s">
        <v>111</v>
      </c>
      <c r="C7111" s="109">
        <f>IF(ISBLANK(K7111),IFERROR(VLOOKUP(I7111,FS_input_data!$C$458:$N$648,Export!J7111,FALSE),""),K7111)</f>
        <v>21000</v>
      </c>
      <c r="D7111" s="6" t="b">
        <v>0</v>
      </c>
      <c r="E7111" s="6"/>
      <c r="F7111" s="6"/>
      <c r="G7111" s="115" t="b">
        <f>VLOOKUP(I7104,FS_input_noty,J7104,TRUE)=""</f>
        <v>0</v>
      </c>
      <c r="H7111" s="6" t="s">
        <v>2189</v>
      </c>
      <c r="I7111" t="s">
        <v>2090</v>
      </c>
      <c r="J7111">
        <v>8</v>
      </c>
      <c r="L7111" s="26" t="e">
        <f t="shared" si="420"/>
        <v>#VALUE!</v>
      </c>
    </row>
    <row r="7112" spans="1:12" x14ac:dyDescent="0.35">
      <c r="A7112">
        <f t="shared" si="421"/>
        <v>7111</v>
      </c>
      <c r="B7112" t="s">
        <v>112</v>
      </c>
      <c r="C7112" s="109" t="str">
        <f>IF(ISBLANK(K7112),IFERROR(VLOOKUP(I7112,FS_input_data!$C$458:$N$648,Export!J7112,FALSE),""),K7112)</f>
        <v/>
      </c>
      <c r="D7112" s="6"/>
      <c r="E7112" s="6"/>
      <c r="F7112" s="6"/>
      <c r="G7112" s="115" t="b">
        <f>VLOOKUP(I7104,FS_input_noty,J7104,FALSE)=""</f>
        <v>0</v>
      </c>
      <c r="H7112" s="6" t="s">
        <v>2189</v>
      </c>
      <c r="I7112" t="s">
        <v>1561</v>
      </c>
      <c r="J7112" t="s">
        <v>1561</v>
      </c>
      <c r="L7112">
        <f t="shared" si="420"/>
        <v>1</v>
      </c>
    </row>
    <row r="7113" spans="1:12" x14ac:dyDescent="0.35">
      <c r="A7113" s="9">
        <f t="shared" si="421"/>
        <v>7112</v>
      </c>
      <c r="B7113" t="s">
        <v>749</v>
      </c>
      <c r="C7113" s="109">
        <f>IF(ISBLANK(K7113),IFERROR(VLOOKUP(I7113,FS_input_data!$C$458:$N$648,Export!J7113,FALSE),""),K7113)</f>
        <v>21000</v>
      </c>
      <c r="D7113" s="6" t="b">
        <v>0</v>
      </c>
      <c r="E7113" s="6"/>
      <c r="F7113" s="6"/>
      <c r="G7113" s="115" t="b">
        <f>VLOOKUP(I7104,FS_input_noty,J7104,FALSE)=""</f>
        <v>0</v>
      </c>
      <c r="H7113" s="6" t="s">
        <v>2189</v>
      </c>
      <c r="I7113" t="s">
        <v>2090</v>
      </c>
      <c r="J7113">
        <v>9</v>
      </c>
      <c r="L7113" s="26" t="e">
        <f t="shared" si="420"/>
        <v>#VALUE!</v>
      </c>
    </row>
    <row r="7114" spans="1:12" x14ac:dyDescent="0.35">
      <c r="A7114">
        <f t="shared" si="421"/>
        <v>7113</v>
      </c>
      <c r="B7114" t="s">
        <v>750</v>
      </c>
      <c r="C7114" s="109" t="str">
        <f>IF(ISBLANK(K7114),IFERROR(VLOOKUP(I7114,FS_input_data!$C$458:$N$648,Export!J7114,FALSE),""),K7114)</f>
        <v/>
      </c>
      <c r="D7114" s="6"/>
      <c r="E7114" s="6"/>
      <c r="F7114" s="6"/>
      <c r="G7114" s="115" t="b">
        <f>VLOOKUP(I7104,FS_input_noty,J7104,FALSE)=""</f>
        <v>0</v>
      </c>
      <c r="H7114" s="6" t="s">
        <v>2189</v>
      </c>
      <c r="I7114" t="s">
        <v>1561</v>
      </c>
      <c r="J7114" t="s">
        <v>1561</v>
      </c>
      <c r="L7114">
        <f t="shared" si="420"/>
        <v>1</v>
      </c>
    </row>
    <row r="7115" spans="1:12" x14ac:dyDescent="0.35">
      <c r="A7115">
        <f t="shared" si="421"/>
        <v>7114</v>
      </c>
      <c r="B7115" t="s">
        <v>751</v>
      </c>
      <c r="C7115" s="109" t="str">
        <f>IF(ISBLANK(K7115),IFERROR(VLOOKUP(I7115,FS_input_data!$C$458:$N$648,Export!J7115,FALSE),""),K7115)</f>
        <v/>
      </c>
      <c r="D7115" s="6"/>
      <c r="E7115" s="6"/>
      <c r="F7115" s="6"/>
      <c r="G7115" s="115" t="b">
        <f>VLOOKUP(I7104,FS_input_noty,J7104,FALSE)=""</f>
        <v>0</v>
      </c>
      <c r="H7115" s="6" t="s">
        <v>2189</v>
      </c>
      <c r="I7115" t="s">
        <v>1561</v>
      </c>
      <c r="J7115" t="s">
        <v>1561</v>
      </c>
      <c r="L7115">
        <f t="shared" si="420"/>
        <v>1</v>
      </c>
    </row>
    <row r="7116" spans="1:12" x14ac:dyDescent="0.35">
      <c r="A7116">
        <f t="shared" si="421"/>
        <v>7115</v>
      </c>
      <c r="B7116" t="s">
        <v>754</v>
      </c>
      <c r="C7116" s="109" t="str">
        <f>IF(ISBLANK(K7116),IFERROR(VLOOKUP(I7116,FS_input_data!$C$458:$N$648,Export!J7116,FALSE),""),K7116)</f>
        <v/>
      </c>
      <c r="D7116" s="6"/>
      <c r="E7116" s="6"/>
      <c r="F7116" s="6"/>
      <c r="G7116" s="115" t="b">
        <f>VLOOKUP(I7104,FS_input_noty,J7104,FALSE)=""</f>
        <v>0</v>
      </c>
      <c r="H7116" s="6" t="s">
        <v>2189</v>
      </c>
      <c r="I7116" t="s">
        <v>1561</v>
      </c>
      <c r="J7116" t="s">
        <v>1561</v>
      </c>
      <c r="L7116" s="26" t="e">
        <f t="shared" si="420"/>
        <v>#VALUE!</v>
      </c>
    </row>
    <row r="7117" spans="1:12" x14ac:dyDescent="0.35">
      <c r="A7117" s="9">
        <f t="shared" si="421"/>
        <v>7116</v>
      </c>
      <c r="B7117" t="s">
        <v>755</v>
      </c>
      <c r="C7117" s="109">
        <f>IF(ISBLANK(K7117),IFERROR(VLOOKUP(I7117,FS_input_data!$C$458:$N$648,Export!J7117,FALSE),""),K7117)</f>
        <v>140</v>
      </c>
      <c r="D7117" s="6" t="b">
        <v>1</v>
      </c>
      <c r="E7117" s="6"/>
      <c r="F7117" s="6"/>
      <c r="G7117" s="115" t="b">
        <f>VLOOKUP(I7104,FS_input_noty,J7104,FALSE)=""</f>
        <v>0</v>
      </c>
      <c r="H7117" s="6" t="s">
        <v>2189</v>
      </c>
      <c r="I7117" t="s">
        <v>2090</v>
      </c>
      <c r="J7117">
        <v>2</v>
      </c>
      <c r="L7117" s="26" t="e">
        <f t="shared" si="420"/>
        <v>#VALUE!</v>
      </c>
    </row>
    <row r="7118" spans="1:12" x14ac:dyDescent="0.35">
      <c r="A7118">
        <f t="shared" si="421"/>
        <v>7117</v>
      </c>
      <c r="B7118" t="s">
        <v>756</v>
      </c>
      <c r="C7118" s="109" t="str">
        <f>IF(ISBLANK(K7118),IFERROR(VLOOKUP(I7118,FS_input_data!$C$458:$N$648,Export!J7118,FALSE),""),K7118)</f>
        <v/>
      </c>
      <c r="D7118" s="6"/>
      <c r="E7118" s="6"/>
      <c r="F7118" s="6"/>
      <c r="G7118" s="115" t="b">
        <f>VLOOKUP(I7104,FS_input_noty,J7104,FALSE)=""</f>
        <v>0</v>
      </c>
      <c r="H7118" s="6" t="s">
        <v>2189</v>
      </c>
      <c r="I7118" t="s">
        <v>1561</v>
      </c>
      <c r="J7118" t="s">
        <v>1561</v>
      </c>
      <c r="L7118">
        <f t="shared" si="420"/>
        <v>1</v>
      </c>
    </row>
    <row r="7119" spans="1:12" x14ac:dyDescent="0.35">
      <c r="A7119" s="9">
        <f t="shared" si="421"/>
        <v>7118</v>
      </c>
      <c r="B7119" t="s">
        <v>757</v>
      </c>
      <c r="C7119" s="109">
        <f>IF(ISBLANK(K7119),IFERROR(VLOOKUP(I7119,FS_input_data!$C$458:$N$648,Export!J7119,FALSE),""),K7119)</f>
        <v>240</v>
      </c>
      <c r="D7119" s="6" t="b">
        <v>0</v>
      </c>
      <c r="E7119" s="6"/>
      <c r="F7119" s="6"/>
      <c r="G7119" s="115" t="b">
        <f>VLOOKUP(I7104,FS_input_noty,J7104,FALSE)=""</f>
        <v>0</v>
      </c>
      <c r="H7119" s="6" t="s">
        <v>2189</v>
      </c>
      <c r="I7119" t="s">
        <v>2090</v>
      </c>
      <c r="J7119">
        <v>3</v>
      </c>
      <c r="L7119" s="26" t="e">
        <f t="shared" si="420"/>
        <v>#VALUE!</v>
      </c>
    </row>
    <row r="7120" spans="1:12" x14ac:dyDescent="0.35">
      <c r="A7120">
        <f t="shared" si="421"/>
        <v>7119</v>
      </c>
      <c r="B7120" t="s">
        <v>758</v>
      </c>
      <c r="C7120" s="109" t="str">
        <f>IF(ISBLANK(K7120),IFERROR(VLOOKUP(I7120,FS_input_data!$C$458:$N$648,Export!J7120,FALSE),""),K7120)</f>
        <v/>
      </c>
      <c r="D7120" s="6"/>
      <c r="E7120" s="6"/>
      <c r="F7120" s="6"/>
      <c r="G7120" s="115" t="b">
        <f>VLOOKUP(I7104,FS_input_noty,J7104,FALSE)=""</f>
        <v>0</v>
      </c>
      <c r="H7120" s="6" t="s">
        <v>2189</v>
      </c>
      <c r="I7120" t="s">
        <v>1561</v>
      </c>
      <c r="J7120" t="s">
        <v>1561</v>
      </c>
      <c r="L7120">
        <f t="shared" si="420"/>
        <v>1</v>
      </c>
    </row>
    <row r="7121" spans="1:12" x14ac:dyDescent="0.35">
      <c r="A7121" s="9">
        <f t="shared" si="421"/>
        <v>7120</v>
      </c>
      <c r="B7121" t="s">
        <v>759</v>
      </c>
      <c r="C7121" s="109">
        <f>IF(ISBLANK(K7121),IFERROR(VLOOKUP(I7121,FS_input_data!$C$458:$N$648,Export!J7121,FALSE),""),K7121)</f>
        <v>340</v>
      </c>
      <c r="D7121" s="6" t="b">
        <v>0</v>
      </c>
      <c r="E7121" s="6"/>
      <c r="F7121" s="6"/>
      <c r="G7121" s="115" t="b">
        <f>VLOOKUP(I7104,FS_input_noty,J7104,FALSE)=""</f>
        <v>0</v>
      </c>
      <c r="H7121" s="6" t="s">
        <v>2189</v>
      </c>
      <c r="I7121" t="s">
        <v>2090</v>
      </c>
      <c r="J7121">
        <v>4</v>
      </c>
      <c r="L7121" s="26" t="e">
        <f t="shared" si="420"/>
        <v>#VALUE!</v>
      </c>
    </row>
    <row r="7122" spans="1:12" x14ac:dyDescent="0.35">
      <c r="A7122">
        <f t="shared" si="421"/>
        <v>7121</v>
      </c>
      <c r="B7122" t="s">
        <v>760</v>
      </c>
      <c r="C7122" s="109" t="str">
        <f>IF(ISBLANK(K7122),IFERROR(VLOOKUP(I7122,FS_input_data!$C$458:$N$648,Export!J7122,FALSE),""),K7122)</f>
        <v/>
      </c>
      <c r="D7122" s="6"/>
      <c r="E7122" s="6"/>
      <c r="F7122" s="6"/>
      <c r="G7122" s="115" t="b">
        <f>VLOOKUP(I7104,FS_input_noty,J7104,FALSE)=""</f>
        <v>0</v>
      </c>
      <c r="H7122" s="6" t="s">
        <v>2189</v>
      </c>
      <c r="I7122" t="s">
        <v>1561</v>
      </c>
      <c r="J7122" t="s">
        <v>1561</v>
      </c>
      <c r="L7122">
        <f t="shared" si="420"/>
        <v>1</v>
      </c>
    </row>
    <row r="7123" spans="1:12" x14ac:dyDescent="0.35">
      <c r="A7123" s="9">
        <f t="shared" si="421"/>
        <v>7122</v>
      </c>
      <c r="B7123" t="s">
        <v>761</v>
      </c>
      <c r="C7123" s="109" t="str">
        <f>IF(ISBLANK(K7123),IFERROR(VLOOKUP(I7123,FS_input_data!$C$458:$N$648,Export!J7123,FALSE),""),K7123)</f>
        <v>d</v>
      </c>
      <c r="D7123" s="6" t="b">
        <v>0</v>
      </c>
      <c r="E7123" s="6"/>
      <c r="F7123" s="6"/>
      <c r="G7123" s="115" t="b">
        <f>VLOOKUP(I7104,FS_input_noty,J7104,FALSE)=""</f>
        <v>0</v>
      </c>
      <c r="H7123" s="6" t="s">
        <v>2189</v>
      </c>
      <c r="I7123" t="s">
        <v>2090</v>
      </c>
      <c r="J7123">
        <v>5</v>
      </c>
      <c r="L7123" s="26" t="e">
        <f t="shared" si="420"/>
        <v>#VALUE!</v>
      </c>
    </row>
    <row r="7124" spans="1:12" x14ac:dyDescent="0.35">
      <c r="A7124">
        <f t="shared" si="421"/>
        <v>7123</v>
      </c>
      <c r="B7124" t="s">
        <v>762</v>
      </c>
      <c r="C7124" s="109" t="str">
        <f>IF(ISBLANK(K7124),IFERROR(VLOOKUP(I7124,FS_input_data!$C$458:$N$648,Export!J7124,FALSE),""),K7124)</f>
        <v/>
      </c>
      <c r="D7124" s="6"/>
      <c r="E7124" s="6"/>
      <c r="F7124" s="6"/>
      <c r="G7124" s="115" t="b">
        <f>VLOOKUP(I7104,FS_input_noty,J7104,FALSE)=""</f>
        <v>0</v>
      </c>
      <c r="H7124" s="6" t="s">
        <v>2189</v>
      </c>
      <c r="I7124" t="s">
        <v>1561</v>
      </c>
      <c r="J7124" t="s">
        <v>1561</v>
      </c>
      <c r="L7124">
        <f t="shared" si="420"/>
        <v>1</v>
      </c>
    </row>
    <row r="7125" spans="1:12" x14ac:dyDescent="0.35">
      <c r="A7125">
        <f t="shared" si="421"/>
        <v>7124</v>
      </c>
      <c r="B7125" t="s">
        <v>763</v>
      </c>
      <c r="C7125" s="109" t="str">
        <f>IF(ISBLANK(K7125),IFERROR(VLOOKUP(I7125,FS_input_data!$C$458:$N$648,Export!J7125,FALSE),""),K7125)</f>
        <v/>
      </c>
      <c r="E7125" s="6"/>
      <c r="F7125" s="6"/>
      <c r="G7125" s="115" t="b">
        <f>VLOOKUP(I7104,FS_input_noty,J7104,FALSE)=""</f>
        <v>0</v>
      </c>
      <c r="H7125" s="6" t="s">
        <v>2189</v>
      </c>
      <c r="I7125" t="s">
        <v>1561</v>
      </c>
      <c r="J7125" t="s">
        <v>1561</v>
      </c>
      <c r="L7125">
        <f t="shared" si="420"/>
        <v>1</v>
      </c>
    </row>
    <row r="7126" spans="1:12" x14ac:dyDescent="0.35">
      <c r="A7126">
        <f t="shared" si="421"/>
        <v>7125</v>
      </c>
      <c r="B7126" t="s">
        <v>743</v>
      </c>
      <c r="C7126" s="109" t="str">
        <f>IF(ISBLANK(K7126),IFERROR(VLOOKUP(I7126,FS_input_data!$C$458:$N$648,Export!J7126,FALSE),""),K7126)</f>
        <v/>
      </c>
      <c r="E7126" s="6"/>
      <c r="F7126" s="6"/>
      <c r="G7126" s="115" t="b">
        <f>VLOOKUP(I7104,FS_input_noty,J7104,FALSE)=""</f>
        <v>0</v>
      </c>
      <c r="H7126" s="6" t="s">
        <v>2189</v>
      </c>
      <c r="I7126" t="s">
        <v>1561</v>
      </c>
      <c r="J7126" t="s">
        <v>1561</v>
      </c>
      <c r="L7126">
        <f t="shared" si="420"/>
        <v>1</v>
      </c>
    </row>
    <row r="7127" spans="1:12" x14ac:dyDescent="0.35">
      <c r="A7127">
        <f t="shared" si="421"/>
        <v>7126</v>
      </c>
      <c r="B7127" t="s">
        <v>744</v>
      </c>
      <c r="C7127" s="109" t="str">
        <f>IF(ISBLANK(K7127),IFERROR(VLOOKUP(I7127,FS_input_data!$C$458:$N$648,Export!J7127,FALSE),""),K7127)</f>
        <v/>
      </c>
      <c r="E7127" s="6"/>
      <c r="F7127" s="6"/>
      <c r="G7127" s="115" t="b">
        <f t="shared" ref="G7127:G7134" si="422">RP_tax</f>
        <v>1</v>
      </c>
      <c r="H7127" s="6" t="s">
        <v>2189</v>
      </c>
      <c r="I7127" t="s">
        <v>1561</v>
      </c>
      <c r="J7127" t="s">
        <v>1561</v>
      </c>
      <c r="L7127" s="26" t="e">
        <f t="shared" si="420"/>
        <v>#VALUE!</v>
      </c>
    </row>
    <row r="7128" spans="1:12" x14ac:dyDescent="0.35">
      <c r="A7128" s="9">
        <f t="shared" si="421"/>
        <v>7127</v>
      </c>
      <c r="B7128" t="s">
        <v>109</v>
      </c>
      <c r="C7128" s="109">
        <f>IF(ISBLANK(K7128),IFERROR(VLOOKUP(I7128,FS_input_data!$C$458:$N$648,Export!J7128,FALSE),""),K7128)</f>
        <v>42000</v>
      </c>
      <c r="D7128" s="6" t="b">
        <v>1</v>
      </c>
      <c r="E7128" s="6"/>
      <c r="F7128" s="6"/>
      <c r="G7128" s="115" t="b">
        <f t="shared" si="422"/>
        <v>1</v>
      </c>
      <c r="H7128" s="6" t="s">
        <v>2189</v>
      </c>
      <c r="I7128" t="s">
        <v>2090</v>
      </c>
      <c r="J7128">
        <v>10</v>
      </c>
      <c r="L7128" s="26" t="e">
        <f t="shared" si="420"/>
        <v>#VALUE!</v>
      </c>
    </row>
    <row r="7129" spans="1:12" x14ac:dyDescent="0.35">
      <c r="A7129">
        <f t="shared" si="421"/>
        <v>7128</v>
      </c>
      <c r="B7129" t="s">
        <v>110</v>
      </c>
      <c r="C7129" s="109" t="str">
        <f>IF(ISBLANK(K7129),IFERROR(VLOOKUP(I7129,FS_input_data!$C$458:$N$648,Export!J7129,FALSE),""),K7129)</f>
        <v/>
      </c>
      <c r="D7129" s="6"/>
      <c r="E7129" s="6"/>
      <c r="F7129" s="6"/>
      <c r="G7129" s="115" t="b">
        <f t="shared" si="422"/>
        <v>1</v>
      </c>
      <c r="H7129" s="6" t="s">
        <v>2189</v>
      </c>
      <c r="I7129" t="s">
        <v>1561</v>
      </c>
      <c r="J7129" t="s">
        <v>1561</v>
      </c>
      <c r="L7129">
        <f t="shared" si="420"/>
        <v>1</v>
      </c>
    </row>
    <row r="7130" spans="1:12" x14ac:dyDescent="0.35">
      <c r="A7130" s="9">
        <f t="shared" si="421"/>
        <v>7129</v>
      </c>
      <c r="B7130" t="s">
        <v>111</v>
      </c>
      <c r="C7130" s="109">
        <f>IF(ISBLANK(K7130),IFERROR(VLOOKUP(I7130,FS_input_data!$C$458:$N$648,Export!J7130,FALSE),""),K7130)</f>
        <v>21000</v>
      </c>
      <c r="D7130" s="6" t="b">
        <v>0</v>
      </c>
      <c r="E7130" s="6"/>
      <c r="F7130" s="6"/>
      <c r="G7130" s="115" t="b">
        <f t="shared" si="422"/>
        <v>1</v>
      </c>
      <c r="H7130" s="6" t="s">
        <v>2189</v>
      </c>
      <c r="I7130" t="s">
        <v>2090</v>
      </c>
      <c r="J7130">
        <v>11</v>
      </c>
      <c r="L7130" s="26" t="e">
        <f t="shared" si="420"/>
        <v>#VALUE!</v>
      </c>
    </row>
    <row r="7131" spans="1:12" x14ac:dyDescent="0.35">
      <c r="A7131">
        <f t="shared" si="421"/>
        <v>7130</v>
      </c>
      <c r="B7131" t="s">
        <v>112</v>
      </c>
      <c r="C7131" s="109" t="str">
        <f>IF(ISBLANK(K7131),IFERROR(VLOOKUP(I7131,FS_input_data!$C$458:$N$648,Export!J7131,FALSE),""),K7131)</f>
        <v/>
      </c>
      <c r="D7131" s="6"/>
      <c r="E7131" s="6"/>
      <c r="F7131" s="6"/>
      <c r="G7131" s="115" t="b">
        <f t="shared" si="422"/>
        <v>1</v>
      </c>
      <c r="H7131" s="6" t="s">
        <v>2189</v>
      </c>
      <c r="I7131" t="s">
        <v>1561</v>
      </c>
      <c r="J7131" t="s">
        <v>1561</v>
      </c>
      <c r="L7131">
        <f t="shared" si="420"/>
        <v>1</v>
      </c>
    </row>
    <row r="7132" spans="1:12" x14ac:dyDescent="0.35">
      <c r="A7132" s="9">
        <f t="shared" si="421"/>
        <v>7131</v>
      </c>
      <c r="B7132" t="s">
        <v>749</v>
      </c>
      <c r="C7132" s="109">
        <f>IF(ISBLANK(K7132),IFERROR(VLOOKUP(I7132,FS_input_data!$C$458:$N$648,Export!J7132,FALSE),""),K7132)</f>
        <v>21000</v>
      </c>
      <c r="D7132" s="6" t="b">
        <v>0</v>
      </c>
      <c r="E7132" s="6"/>
      <c r="F7132" s="6"/>
      <c r="G7132" s="115" t="b">
        <f t="shared" si="422"/>
        <v>1</v>
      </c>
      <c r="H7132" s="6" t="s">
        <v>2189</v>
      </c>
      <c r="I7132" t="s">
        <v>2090</v>
      </c>
      <c r="J7132">
        <v>12</v>
      </c>
      <c r="L7132" s="26" t="e">
        <f t="shared" si="420"/>
        <v>#VALUE!</v>
      </c>
    </row>
    <row r="7133" spans="1:12" x14ac:dyDescent="0.35">
      <c r="A7133">
        <f t="shared" si="421"/>
        <v>7132</v>
      </c>
      <c r="B7133" t="s">
        <v>750</v>
      </c>
      <c r="C7133" s="109" t="str">
        <f>IF(ISBLANK(K7133),IFERROR(VLOOKUP(I7133,FS_input_data!$C$458:$N$648,Export!J7133,FALSE),""),K7133)</f>
        <v/>
      </c>
      <c r="D7133" s="6"/>
      <c r="E7133" s="6"/>
      <c r="F7133" s="6"/>
      <c r="G7133" s="115" t="b">
        <f t="shared" si="422"/>
        <v>1</v>
      </c>
      <c r="H7133" s="6" t="s">
        <v>2189</v>
      </c>
      <c r="I7133" t="s">
        <v>1561</v>
      </c>
      <c r="J7133" t="s">
        <v>1561</v>
      </c>
      <c r="L7133">
        <f t="shared" si="420"/>
        <v>1</v>
      </c>
    </row>
    <row r="7134" spans="1:12" x14ac:dyDescent="0.35">
      <c r="A7134">
        <f t="shared" si="421"/>
        <v>7133</v>
      </c>
      <c r="B7134" t="s">
        <v>745</v>
      </c>
      <c r="C7134" s="109" t="str">
        <f>IF(ISBLANK(K7134),IFERROR(VLOOKUP(I7134,FS_input_data!$C$458:$N$648,Export!J7134,FALSE),""),K7134)</f>
        <v/>
      </c>
      <c r="D7134" s="6"/>
      <c r="E7134" s="6"/>
      <c r="F7134" s="6"/>
      <c r="G7134" s="115" t="b">
        <f t="shared" si="422"/>
        <v>1</v>
      </c>
      <c r="H7134" s="6" t="s">
        <v>2189</v>
      </c>
      <c r="I7134" t="s">
        <v>1561</v>
      </c>
      <c r="J7134" t="s">
        <v>1561</v>
      </c>
      <c r="L7134">
        <f t="shared" si="420"/>
        <v>1</v>
      </c>
    </row>
    <row r="7135" spans="1:12" x14ac:dyDescent="0.35">
      <c r="A7135">
        <f t="shared" si="421"/>
        <v>7134</v>
      </c>
      <c r="B7135" t="s">
        <v>764</v>
      </c>
      <c r="C7135" s="109" t="str">
        <f>IF(ISBLANK(K7135),IFERROR(VLOOKUP(I7135,FS_input_data!$C$458:$N$648,Export!J7135,FALSE),""),K7135)</f>
        <v/>
      </c>
      <c r="D7135" s="6"/>
      <c r="E7135" s="6"/>
      <c r="F7135" s="6"/>
      <c r="G7135" s="115" t="b">
        <f>VLOOKUP(I7104,FS_input_noty,J7104,FALSE)=""</f>
        <v>0</v>
      </c>
      <c r="H7135" s="6" t="s">
        <v>2189</v>
      </c>
      <c r="I7135" t="s">
        <v>1561</v>
      </c>
      <c r="J7135" t="s">
        <v>1561</v>
      </c>
      <c r="L7135">
        <f t="shared" si="420"/>
        <v>1</v>
      </c>
    </row>
    <row r="7136" spans="1:12" x14ac:dyDescent="0.35">
      <c r="A7136">
        <f t="shared" si="421"/>
        <v>7135</v>
      </c>
      <c r="B7136" t="s">
        <v>765</v>
      </c>
      <c r="C7136" s="109" t="str">
        <f>IF(ISBLANK(K7136),IFERROR(VLOOKUP(I7136,FS_input_data!$C$458:$N$648,Export!J7136,FALSE),""),K7136)</f>
        <v/>
      </c>
      <c r="E7136" s="6"/>
      <c r="F7136" s="6"/>
      <c r="G7136" s="115" t="b">
        <f>VLOOKUP(I7104,FS_input_noty,J7104,FALSE)=""</f>
        <v>0</v>
      </c>
      <c r="H7136" s="6" t="s">
        <v>2189</v>
      </c>
      <c r="I7136" t="s">
        <v>1561</v>
      </c>
      <c r="J7136" t="s">
        <v>1561</v>
      </c>
      <c r="L7136">
        <f t="shared" si="420"/>
        <v>1</v>
      </c>
    </row>
    <row r="7137" spans="1:12" x14ac:dyDescent="0.35">
      <c r="A7137">
        <f t="shared" si="421"/>
        <v>7136</v>
      </c>
      <c r="B7137" t="s">
        <v>766</v>
      </c>
      <c r="C7137" s="109" t="str">
        <f>IF(ISBLANK(K7137),IFERROR(VLOOKUP(I7137,FS_input_data!$C$458:$N$648,Export!J7137,FALSE),""),K7137)</f>
        <v/>
      </c>
      <c r="E7137" s="6"/>
      <c r="F7137" s="6"/>
      <c r="G7137" s="119" t="b">
        <f t="shared" ref="G7137:G7145" si="423">VLOOKUP($I$7139,FS_input_noty,$J$7139,FALSE)=""</f>
        <v>0</v>
      </c>
      <c r="H7137" s="6" t="s">
        <v>2189</v>
      </c>
      <c r="I7137" t="s">
        <v>1561</v>
      </c>
      <c r="J7137" t="s">
        <v>1561</v>
      </c>
      <c r="L7137" s="26" t="e">
        <f t="shared" si="420"/>
        <v>#VALUE!</v>
      </c>
    </row>
    <row r="7138" spans="1:12" x14ac:dyDescent="0.35">
      <c r="A7138">
        <f t="shared" si="421"/>
        <v>7137</v>
      </c>
      <c r="B7138" t="s">
        <v>742</v>
      </c>
      <c r="C7138" s="109" t="str">
        <f>IF(ISBLANK(K7138),IFERROR(VLOOKUP(I7138,FS_input_data!$C$458:$N$648,Export!J7138,FALSE),""),K7138)</f>
        <v/>
      </c>
      <c r="E7138" s="6"/>
      <c r="F7138" s="6"/>
      <c r="G7138" s="119" t="b">
        <f t="shared" si="423"/>
        <v>0</v>
      </c>
      <c r="H7138" s="6" t="s">
        <v>2189</v>
      </c>
      <c r="I7138" t="s">
        <v>1561</v>
      </c>
      <c r="J7138" t="s">
        <v>1561</v>
      </c>
      <c r="L7138" s="26" t="e">
        <f t="shared" si="420"/>
        <v>#VALUE!</v>
      </c>
    </row>
    <row r="7139" spans="1:12" x14ac:dyDescent="0.35">
      <c r="A7139" s="9">
        <f t="shared" si="421"/>
        <v>7138</v>
      </c>
      <c r="B7139" t="s">
        <v>109</v>
      </c>
      <c r="C7139" s="109">
        <f>IF(ISBLANK(K7139),IFERROR(VLOOKUP(I7139,FS_input_data!$C$458:$N$648,Export!J7139,FALSE),""),K7139)</f>
        <v>43000</v>
      </c>
      <c r="D7139" s="6" t="b">
        <v>1</v>
      </c>
      <c r="E7139" s="6"/>
      <c r="F7139" s="6"/>
      <c r="G7139" s="119" t="b">
        <f t="shared" si="423"/>
        <v>0</v>
      </c>
      <c r="H7139" s="6" t="s">
        <v>2189</v>
      </c>
      <c r="I7139" t="s">
        <v>2201</v>
      </c>
      <c r="J7139">
        <v>7</v>
      </c>
      <c r="L7139" s="26" t="e">
        <f t="shared" si="420"/>
        <v>#VALUE!</v>
      </c>
    </row>
    <row r="7140" spans="1:12" x14ac:dyDescent="0.35">
      <c r="A7140">
        <f t="shared" si="421"/>
        <v>7139</v>
      </c>
      <c r="B7140" t="s">
        <v>110</v>
      </c>
      <c r="C7140" s="109" t="str">
        <f>IF(ISBLANK(K7140),IFERROR(VLOOKUP(I7140,FS_input_data!$C$458:$N$648,Export!J7140,FALSE),""),K7140)</f>
        <v/>
      </c>
      <c r="D7140" s="6"/>
      <c r="E7140" s="6"/>
      <c r="F7140" s="6"/>
      <c r="G7140" s="119" t="b">
        <f t="shared" si="423"/>
        <v>0</v>
      </c>
      <c r="H7140" s="6" t="s">
        <v>2189</v>
      </c>
      <c r="I7140" t="s">
        <v>1561</v>
      </c>
      <c r="J7140" t="s">
        <v>1561</v>
      </c>
      <c r="L7140">
        <f t="shared" si="420"/>
        <v>1</v>
      </c>
    </row>
    <row r="7141" spans="1:12" x14ac:dyDescent="0.35">
      <c r="A7141" s="9">
        <f t="shared" si="421"/>
        <v>7140</v>
      </c>
      <c r="B7141" t="s">
        <v>111</v>
      </c>
      <c r="C7141" s="109">
        <f>IF(ISBLANK(K7141),IFERROR(VLOOKUP(I7141,FS_input_data!$C$458:$N$648,Export!J7141,FALSE),""),K7141)</f>
        <v>21500</v>
      </c>
      <c r="D7141" s="6" t="b">
        <v>0</v>
      </c>
      <c r="E7141" s="6"/>
      <c r="F7141" s="6"/>
      <c r="G7141" s="119" t="b">
        <f t="shared" si="423"/>
        <v>0</v>
      </c>
      <c r="H7141" s="6" t="s">
        <v>2189</v>
      </c>
      <c r="I7141" t="s">
        <v>2201</v>
      </c>
      <c r="J7141">
        <v>8</v>
      </c>
      <c r="L7141" s="26" t="e">
        <f t="shared" si="420"/>
        <v>#VALUE!</v>
      </c>
    </row>
    <row r="7142" spans="1:12" x14ac:dyDescent="0.35">
      <c r="A7142">
        <f t="shared" si="421"/>
        <v>7141</v>
      </c>
      <c r="B7142" t="s">
        <v>112</v>
      </c>
      <c r="C7142" s="109" t="str">
        <f>IF(ISBLANK(K7142),IFERROR(VLOOKUP(I7142,FS_input_data!$C$458:$N$648,Export!J7142,FALSE),""),K7142)</f>
        <v/>
      </c>
      <c r="D7142" s="6"/>
      <c r="E7142" s="6"/>
      <c r="F7142" s="6"/>
      <c r="G7142" s="119" t="b">
        <f t="shared" si="423"/>
        <v>0</v>
      </c>
      <c r="H7142" s="6" t="s">
        <v>2189</v>
      </c>
      <c r="I7142" t="s">
        <v>1561</v>
      </c>
      <c r="J7142" t="s">
        <v>1561</v>
      </c>
      <c r="L7142">
        <f t="shared" si="420"/>
        <v>1</v>
      </c>
    </row>
    <row r="7143" spans="1:12" x14ac:dyDescent="0.35">
      <c r="A7143" s="9">
        <f t="shared" si="421"/>
        <v>7142</v>
      </c>
      <c r="B7143" t="s">
        <v>749</v>
      </c>
      <c r="C7143" s="109">
        <f>IF(ISBLANK(K7143),IFERROR(VLOOKUP(I7143,FS_input_data!$C$458:$N$648,Export!J7143,FALSE),""),K7143)</f>
        <v>21500</v>
      </c>
      <c r="D7143" s="6" t="b">
        <v>0</v>
      </c>
      <c r="E7143" s="6"/>
      <c r="F7143" s="6"/>
      <c r="G7143" s="119" t="b">
        <f t="shared" si="423"/>
        <v>0</v>
      </c>
      <c r="H7143" s="6" t="s">
        <v>2189</v>
      </c>
      <c r="I7143" t="s">
        <v>2201</v>
      </c>
      <c r="J7143">
        <v>9</v>
      </c>
      <c r="L7143" s="26" t="e">
        <f t="shared" si="420"/>
        <v>#VALUE!</v>
      </c>
    </row>
    <row r="7144" spans="1:12" x14ac:dyDescent="0.35">
      <c r="A7144">
        <f t="shared" si="421"/>
        <v>7143</v>
      </c>
      <c r="B7144" t="s">
        <v>750</v>
      </c>
      <c r="C7144" s="109" t="str">
        <f>IF(ISBLANK(K7144),IFERROR(VLOOKUP(I7144,FS_input_data!$C$458:$N$648,Export!J7144,FALSE),""),K7144)</f>
        <v/>
      </c>
      <c r="E7144" s="6"/>
      <c r="F7144" s="6"/>
      <c r="G7144" s="119" t="b">
        <f t="shared" si="423"/>
        <v>0</v>
      </c>
      <c r="H7144" s="6" t="s">
        <v>2189</v>
      </c>
      <c r="I7144" t="s">
        <v>1561</v>
      </c>
      <c r="J7144" t="s">
        <v>1561</v>
      </c>
      <c r="L7144">
        <f t="shared" si="420"/>
        <v>1</v>
      </c>
    </row>
    <row r="7145" spans="1:12" x14ac:dyDescent="0.35">
      <c r="A7145">
        <f t="shared" si="421"/>
        <v>7144</v>
      </c>
      <c r="B7145" t="s">
        <v>743</v>
      </c>
      <c r="C7145" s="109" t="str">
        <f>IF(ISBLANK(K7145),IFERROR(VLOOKUP(I7145,FS_input_data!$C$458:$N$648,Export!J7145,FALSE),""),K7145)</f>
        <v/>
      </c>
      <c r="E7145" s="6"/>
      <c r="F7145" s="6"/>
      <c r="G7145" s="119" t="b">
        <f t="shared" si="423"/>
        <v>0</v>
      </c>
      <c r="H7145" s="6" t="s">
        <v>2189</v>
      </c>
      <c r="I7145" t="s">
        <v>1561</v>
      </c>
      <c r="J7145" t="s">
        <v>1561</v>
      </c>
      <c r="L7145">
        <f t="shared" si="420"/>
        <v>1</v>
      </c>
    </row>
    <row r="7146" spans="1:12" x14ac:dyDescent="0.35">
      <c r="A7146">
        <f t="shared" si="421"/>
        <v>7145</v>
      </c>
      <c r="B7146" t="s">
        <v>744</v>
      </c>
      <c r="C7146" s="109" t="str">
        <f>IF(ISBLANK(K7146),IFERROR(VLOOKUP(I7146,FS_input_data!$C$458:$N$648,Export!J7146,FALSE),""),K7146)</f>
        <v/>
      </c>
      <c r="E7146" s="6"/>
      <c r="F7146" s="6"/>
      <c r="G7146" s="119" t="b">
        <f t="shared" ref="G7146:G7153" si="424">RP_tax</f>
        <v>1</v>
      </c>
      <c r="H7146" s="6" t="s">
        <v>2189</v>
      </c>
      <c r="I7146" t="s">
        <v>1561</v>
      </c>
      <c r="J7146" t="s">
        <v>1561</v>
      </c>
      <c r="L7146" s="26" t="e">
        <f t="shared" si="420"/>
        <v>#VALUE!</v>
      </c>
    </row>
    <row r="7147" spans="1:12" x14ac:dyDescent="0.35">
      <c r="A7147" s="9">
        <f t="shared" si="421"/>
        <v>7146</v>
      </c>
      <c r="B7147" t="s">
        <v>109</v>
      </c>
      <c r="C7147" s="109">
        <f>IF(ISBLANK(K7147),IFERROR(VLOOKUP(I7147,FS_input_data!$C$458:$N$648,Export!J7147,FALSE),""),K7147)</f>
        <v>43000</v>
      </c>
      <c r="D7147" s="6" t="b">
        <v>1</v>
      </c>
      <c r="E7147" s="6"/>
      <c r="F7147" s="6"/>
      <c r="G7147" s="119" t="b">
        <f t="shared" si="424"/>
        <v>1</v>
      </c>
      <c r="H7147" s="6" t="s">
        <v>2189</v>
      </c>
      <c r="I7147" t="s">
        <v>2201</v>
      </c>
      <c r="J7147">
        <v>10</v>
      </c>
      <c r="L7147" s="26" t="e">
        <f t="shared" si="420"/>
        <v>#VALUE!</v>
      </c>
    </row>
    <row r="7148" spans="1:12" x14ac:dyDescent="0.35">
      <c r="A7148">
        <f t="shared" si="421"/>
        <v>7147</v>
      </c>
      <c r="B7148" t="s">
        <v>110</v>
      </c>
      <c r="C7148" s="109" t="str">
        <f>IF(ISBLANK(K7148),IFERROR(VLOOKUP(I7148,FS_input_data!$C$458:$N$648,Export!J7148,FALSE),""),K7148)</f>
        <v/>
      </c>
      <c r="D7148" s="6"/>
      <c r="E7148" s="6"/>
      <c r="F7148" s="6"/>
      <c r="G7148" s="119" t="b">
        <f t="shared" si="424"/>
        <v>1</v>
      </c>
      <c r="H7148" s="6" t="s">
        <v>2189</v>
      </c>
      <c r="I7148" t="s">
        <v>1561</v>
      </c>
      <c r="J7148" t="s">
        <v>1561</v>
      </c>
      <c r="L7148">
        <f t="shared" si="420"/>
        <v>1</v>
      </c>
    </row>
    <row r="7149" spans="1:12" x14ac:dyDescent="0.35">
      <c r="A7149" s="9">
        <f t="shared" si="421"/>
        <v>7148</v>
      </c>
      <c r="B7149" t="s">
        <v>111</v>
      </c>
      <c r="C7149" s="109">
        <f>IF(ISBLANK(K7149),IFERROR(VLOOKUP(I7149,FS_input_data!$C$458:$N$648,Export!J7149,FALSE),""),K7149)</f>
        <v>21500</v>
      </c>
      <c r="D7149" s="6" t="b">
        <v>0</v>
      </c>
      <c r="E7149" s="6"/>
      <c r="F7149" s="6"/>
      <c r="G7149" s="119" t="b">
        <f t="shared" si="424"/>
        <v>1</v>
      </c>
      <c r="H7149" s="6" t="s">
        <v>2189</v>
      </c>
      <c r="I7149" t="s">
        <v>2201</v>
      </c>
      <c r="J7149">
        <v>11</v>
      </c>
      <c r="L7149" s="26" t="e">
        <f t="shared" si="420"/>
        <v>#VALUE!</v>
      </c>
    </row>
    <row r="7150" spans="1:12" x14ac:dyDescent="0.35">
      <c r="A7150">
        <f t="shared" si="421"/>
        <v>7149</v>
      </c>
      <c r="B7150" t="s">
        <v>112</v>
      </c>
      <c r="C7150" s="109" t="str">
        <f>IF(ISBLANK(K7150),IFERROR(VLOOKUP(I7150,FS_input_data!$C$458:$N$648,Export!J7150,FALSE),""),K7150)</f>
        <v/>
      </c>
      <c r="D7150" s="6"/>
      <c r="E7150" s="6"/>
      <c r="F7150" s="6"/>
      <c r="G7150" s="119" t="b">
        <f t="shared" si="424"/>
        <v>1</v>
      </c>
      <c r="H7150" s="6" t="s">
        <v>2189</v>
      </c>
      <c r="I7150" t="s">
        <v>1561</v>
      </c>
      <c r="J7150" t="s">
        <v>1561</v>
      </c>
      <c r="L7150">
        <f t="shared" si="420"/>
        <v>1</v>
      </c>
    </row>
    <row r="7151" spans="1:12" x14ac:dyDescent="0.35">
      <c r="A7151" s="9">
        <f t="shared" si="421"/>
        <v>7150</v>
      </c>
      <c r="B7151" t="s">
        <v>749</v>
      </c>
      <c r="C7151" s="109">
        <f>IF(ISBLANK(K7151),IFERROR(VLOOKUP(I7151,FS_input_data!$C$458:$N$648,Export!J7151,FALSE),""),K7151)</f>
        <v>21500</v>
      </c>
      <c r="D7151" s="6" t="b">
        <v>0</v>
      </c>
      <c r="E7151" s="6"/>
      <c r="F7151" s="6"/>
      <c r="G7151" s="119" t="b">
        <f t="shared" si="424"/>
        <v>1</v>
      </c>
      <c r="H7151" s="6" t="s">
        <v>2189</v>
      </c>
      <c r="I7151" t="s">
        <v>2201</v>
      </c>
      <c r="J7151">
        <v>12</v>
      </c>
      <c r="L7151" s="26" t="e">
        <f t="shared" si="420"/>
        <v>#VALUE!</v>
      </c>
    </row>
    <row r="7152" spans="1:12" x14ac:dyDescent="0.35">
      <c r="A7152">
        <f t="shared" si="421"/>
        <v>7151</v>
      </c>
      <c r="B7152" t="s">
        <v>750</v>
      </c>
      <c r="C7152" s="109" t="str">
        <f>IF(ISBLANK(K7152),IFERROR(VLOOKUP(I7152,FS_input_data!$C$458:$N$648,Export!J7152,FALSE),""),K7152)</f>
        <v/>
      </c>
      <c r="D7152" s="6"/>
      <c r="E7152" s="6"/>
      <c r="F7152" s="6"/>
      <c r="G7152" s="119" t="b">
        <f t="shared" si="424"/>
        <v>1</v>
      </c>
      <c r="H7152" s="6" t="s">
        <v>2189</v>
      </c>
      <c r="I7152" t="s">
        <v>1561</v>
      </c>
      <c r="J7152" t="s">
        <v>1561</v>
      </c>
      <c r="L7152">
        <f t="shared" si="420"/>
        <v>1</v>
      </c>
    </row>
    <row r="7153" spans="1:12" x14ac:dyDescent="0.35">
      <c r="A7153">
        <f t="shared" si="421"/>
        <v>7152</v>
      </c>
      <c r="B7153" t="s">
        <v>745</v>
      </c>
      <c r="C7153" s="109" t="str">
        <f>IF(ISBLANK(K7153),IFERROR(VLOOKUP(I7153,FS_input_data!$C$458:$N$648,Export!J7153,FALSE),""),K7153)</f>
        <v/>
      </c>
      <c r="D7153" s="6"/>
      <c r="E7153" s="6"/>
      <c r="F7153" s="6"/>
      <c r="G7153" s="119" t="b">
        <f t="shared" si="424"/>
        <v>1</v>
      </c>
      <c r="H7153" s="6" t="s">
        <v>2189</v>
      </c>
      <c r="I7153" t="s">
        <v>1561</v>
      </c>
      <c r="J7153" t="s">
        <v>1561</v>
      </c>
      <c r="L7153">
        <f t="shared" si="420"/>
        <v>1</v>
      </c>
    </row>
    <row r="7154" spans="1:12" x14ac:dyDescent="0.35">
      <c r="A7154">
        <f t="shared" si="421"/>
        <v>7153</v>
      </c>
      <c r="B7154" t="s">
        <v>767</v>
      </c>
      <c r="C7154" s="109" t="str">
        <f>IF(ISBLANK(K7154),IFERROR(VLOOKUP(I7154,FS_input_data!$C$458:$N$648,Export!J7154,FALSE),""),K7154)</f>
        <v/>
      </c>
      <c r="D7154" s="6"/>
      <c r="E7154" s="6"/>
      <c r="F7154" s="6"/>
      <c r="G7154" s="119" t="b">
        <f t="shared" ref="G7154:G7165" si="425">VLOOKUP($I$7139,FS_input_noty,$J$7139,FALSE)=""</f>
        <v>0</v>
      </c>
      <c r="H7154" s="6" t="s">
        <v>2189</v>
      </c>
      <c r="I7154" t="s">
        <v>1561</v>
      </c>
      <c r="J7154" t="s">
        <v>1561</v>
      </c>
      <c r="L7154">
        <f t="shared" si="420"/>
        <v>1</v>
      </c>
    </row>
    <row r="7155" spans="1:12" x14ac:dyDescent="0.35">
      <c r="A7155">
        <f t="shared" si="421"/>
        <v>7154</v>
      </c>
      <c r="B7155" t="s">
        <v>778</v>
      </c>
      <c r="C7155" s="109" t="str">
        <f>IF(ISBLANK(K7155),IFERROR(VLOOKUP(I7155,FS_input_data!$C$458:$N$648,Export!J7155,FALSE),""),K7155)</f>
        <v/>
      </c>
      <c r="E7155" s="6"/>
      <c r="F7155" s="6"/>
      <c r="G7155" s="119" t="b">
        <f t="shared" si="425"/>
        <v>0</v>
      </c>
      <c r="H7155" s="6" t="s">
        <v>2189</v>
      </c>
      <c r="I7155" t="s">
        <v>1561</v>
      </c>
      <c r="J7155" t="s">
        <v>1561</v>
      </c>
      <c r="L7155">
        <f t="shared" si="420"/>
        <v>1</v>
      </c>
    </row>
    <row r="7156" spans="1:12" x14ac:dyDescent="0.35">
      <c r="A7156">
        <f t="shared" si="421"/>
        <v>7155</v>
      </c>
      <c r="B7156" t="s">
        <v>779</v>
      </c>
      <c r="C7156" s="109" t="str">
        <f>IF(ISBLANK(K7156),IFERROR(VLOOKUP(I7156,FS_input_data!$C$458:$N$648,Export!J7156,FALSE),""),K7156)</f>
        <v/>
      </c>
      <c r="E7156" s="43" t="s">
        <v>2236</v>
      </c>
      <c r="F7156" s="6"/>
      <c r="G7156" s="119" t="b">
        <f t="shared" si="425"/>
        <v>0</v>
      </c>
      <c r="H7156" s="6" t="s">
        <v>2189</v>
      </c>
      <c r="I7156" t="s">
        <v>1561</v>
      </c>
      <c r="J7156" t="s">
        <v>1561</v>
      </c>
      <c r="L7156" s="26" t="e">
        <f t="shared" si="420"/>
        <v>#VALUE!</v>
      </c>
    </row>
    <row r="7157" spans="1:12" x14ac:dyDescent="0.35">
      <c r="A7157">
        <f t="shared" si="421"/>
        <v>7156</v>
      </c>
      <c r="B7157" t="s">
        <v>748</v>
      </c>
      <c r="C7157" s="109" t="str">
        <f>IF(ISBLANK(K7157),IFERROR(VLOOKUP(I7157,FS_input_data!$C$458:$N$648,Export!J7157,FALSE),""),K7157)</f>
        <v/>
      </c>
      <c r="E7157" s="6"/>
      <c r="F7157" s="6"/>
      <c r="G7157" s="119" t="b">
        <f t="shared" si="425"/>
        <v>0</v>
      </c>
      <c r="H7157" s="6" t="s">
        <v>2189</v>
      </c>
      <c r="I7157" t="s">
        <v>1561</v>
      </c>
      <c r="J7157" t="s">
        <v>1561</v>
      </c>
      <c r="L7157" s="26" t="e">
        <f t="shared" si="420"/>
        <v>#VALUE!</v>
      </c>
    </row>
    <row r="7158" spans="1:12" x14ac:dyDescent="0.35">
      <c r="A7158">
        <f t="shared" si="421"/>
        <v>7157</v>
      </c>
      <c r="B7158" t="s">
        <v>742</v>
      </c>
      <c r="C7158" s="109" t="str">
        <f>IF(ISBLANK(K7158),IFERROR(VLOOKUP(I7158,FS_input_data!$C$458:$N$648,Export!J7158,FALSE),""),K7158)</f>
        <v/>
      </c>
      <c r="E7158" s="6"/>
      <c r="F7158" s="6"/>
      <c r="G7158" s="119" t="b">
        <f t="shared" si="425"/>
        <v>0</v>
      </c>
      <c r="H7158" s="6" t="s">
        <v>2189</v>
      </c>
      <c r="I7158" t="s">
        <v>1561</v>
      </c>
      <c r="J7158" t="s">
        <v>1561</v>
      </c>
      <c r="L7158" s="26" t="e">
        <f t="shared" si="420"/>
        <v>#VALUE!</v>
      </c>
    </row>
    <row r="7159" spans="1:12" x14ac:dyDescent="0.35">
      <c r="A7159" s="9">
        <f t="shared" si="421"/>
        <v>7158</v>
      </c>
      <c r="B7159" t="s">
        <v>109</v>
      </c>
      <c r="C7159" s="109">
        <f>IF(ISBLANK(K7159),IFERROR(VLOOKUP(I7159,FS_input_data!$C$458:$N$648,Export!J7159,FALSE),""),K7159)</f>
        <v>21000</v>
      </c>
      <c r="D7159" s="6" t="b">
        <v>1</v>
      </c>
      <c r="E7159" s="6"/>
      <c r="F7159" s="6"/>
      <c r="G7159" s="119" t="b">
        <f t="shared" si="425"/>
        <v>0</v>
      </c>
      <c r="H7159" s="6" t="s">
        <v>2189</v>
      </c>
      <c r="I7159" t="s">
        <v>2202</v>
      </c>
      <c r="J7159">
        <v>7</v>
      </c>
      <c r="L7159" s="26" t="e">
        <f t="shared" si="420"/>
        <v>#VALUE!</v>
      </c>
    </row>
    <row r="7160" spans="1:12" x14ac:dyDescent="0.35">
      <c r="A7160">
        <f t="shared" si="421"/>
        <v>7159</v>
      </c>
      <c r="B7160" t="s">
        <v>110</v>
      </c>
      <c r="C7160" s="109" t="str">
        <f>IF(ISBLANK(K7160),IFERROR(VLOOKUP(I7160,FS_input_data!$C$458:$N$648,Export!J7160,FALSE),""),K7160)</f>
        <v/>
      </c>
      <c r="D7160" s="6"/>
      <c r="E7160" s="6"/>
      <c r="F7160" s="6"/>
      <c r="G7160" s="119" t="b">
        <f t="shared" si="425"/>
        <v>0</v>
      </c>
      <c r="H7160" s="6" t="s">
        <v>2189</v>
      </c>
      <c r="I7160" t="s">
        <v>1561</v>
      </c>
      <c r="J7160" t="s">
        <v>1561</v>
      </c>
      <c r="L7160">
        <f t="shared" si="420"/>
        <v>1</v>
      </c>
    </row>
    <row r="7161" spans="1:12" x14ac:dyDescent="0.35">
      <c r="A7161" s="9">
        <f t="shared" si="421"/>
        <v>7160</v>
      </c>
      <c r="B7161" t="s">
        <v>111</v>
      </c>
      <c r="C7161" s="109">
        <f>IF(ISBLANK(K7161),IFERROR(VLOOKUP(I7161,FS_input_data!$C$458:$N$648,Export!J7161,FALSE),""),K7161)</f>
        <v>10500</v>
      </c>
      <c r="D7161" s="6" t="b">
        <v>0</v>
      </c>
      <c r="E7161" s="6"/>
      <c r="F7161" s="6"/>
      <c r="G7161" s="119" t="b">
        <f t="shared" si="425"/>
        <v>0</v>
      </c>
      <c r="H7161" s="6" t="s">
        <v>2189</v>
      </c>
      <c r="I7161" t="s">
        <v>2202</v>
      </c>
      <c r="J7161">
        <v>8</v>
      </c>
      <c r="L7161" s="26" t="e">
        <f t="shared" si="420"/>
        <v>#VALUE!</v>
      </c>
    </row>
    <row r="7162" spans="1:12" x14ac:dyDescent="0.35">
      <c r="A7162">
        <f t="shared" si="421"/>
        <v>7161</v>
      </c>
      <c r="B7162" t="s">
        <v>112</v>
      </c>
      <c r="C7162" s="109" t="str">
        <f>IF(ISBLANK(K7162),IFERROR(VLOOKUP(I7162,FS_input_data!$C$458:$N$648,Export!J7162,FALSE),""),K7162)</f>
        <v/>
      </c>
      <c r="D7162" s="6"/>
      <c r="E7162" s="6"/>
      <c r="F7162" s="6"/>
      <c r="G7162" s="119" t="b">
        <f t="shared" si="425"/>
        <v>0</v>
      </c>
      <c r="H7162" s="6" t="s">
        <v>2189</v>
      </c>
      <c r="I7162" t="s">
        <v>1561</v>
      </c>
      <c r="J7162" t="s">
        <v>1561</v>
      </c>
      <c r="L7162">
        <f t="shared" si="420"/>
        <v>1</v>
      </c>
    </row>
    <row r="7163" spans="1:12" x14ac:dyDescent="0.35">
      <c r="A7163" s="9">
        <f t="shared" si="421"/>
        <v>7162</v>
      </c>
      <c r="B7163" t="s">
        <v>749</v>
      </c>
      <c r="C7163" s="109">
        <f>IF(ISBLANK(K7163),IFERROR(VLOOKUP(I7163,FS_input_data!$C$458:$N$648,Export!J7163,FALSE),""),K7163)</f>
        <v>10500</v>
      </c>
      <c r="D7163" s="6" t="b">
        <v>0</v>
      </c>
      <c r="E7163" s="6"/>
      <c r="F7163" s="6"/>
      <c r="G7163" s="119" t="b">
        <f t="shared" si="425"/>
        <v>0</v>
      </c>
      <c r="H7163" s="6" t="s">
        <v>2189</v>
      </c>
      <c r="I7163" t="s">
        <v>2202</v>
      </c>
      <c r="J7163">
        <v>9</v>
      </c>
      <c r="L7163" s="26" t="e">
        <f t="shared" si="420"/>
        <v>#VALUE!</v>
      </c>
    </row>
    <row r="7164" spans="1:12" x14ac:dyDescent="0.35">
      <c r="A7164">
        <f t="shared" si="421"/>
        <v>7163</v>
      </c>
      <c r="B7164" t="s">
        <v>750</v>
      </c>
      <c r="C7164" s="109" t="str">
        <f>IF(ISBLANK(K7164),IFERROR(VLOOKUP(I7164,FS_input_data!$C$458:$N$648,Export!J7164,FALSE),""),K7164)</f>
        <v/>
      </c>
      <c r="E7164" s="6"/>
      <c r="F7164" s="6"/>
      <c r="G7164" s="119" t="b">
        <f t="shared" si="425"/>
        <v>0</v>
      </c>
      <c r="H7164" s="6" t="s">
        <v>2189</v>
      </c>
      <c r="I7164" t="s">
        <v>1561</v>
      </c>
      <c r="J7164" t="s">
        <v>1561</v>
      </c>
      <c r="L7164">
        <f t="shared" si="420"/>
        <v>1</v>
      </c>
    </row>
    <row r="7165" spans="1:12" x14ac:dyDescent="0.35">
      <c r="A7165">
        <f t="shared" si="421"/>
        <v>7164</v>
      </c>
      <c r="B7165" t="s">
        <v>743</v>
      </c>
      <c r="C7165" s="109" t="str">
        <f>IF(ISBLANK(K7165),IFERROR(VLOOKUP(I7165,FS_input_data!$C$458:$N$648,Export!J7165,FALSE),""),K7165)</f>
        <v/>
      </c>
      <c r="E7165" s="6"/>
      <c r="F7165" s="6"/>
      <c r="G7165" s="119" t="b">
        <f t="shared" si="425"/>
        <v>0</v>
      </c>
      <c r="H7165" s="6" t="s">
        <v>2189</v>
      </c>
      <c r="I7165" t="s">
        <v>1561</v>
      </c>
      <c r="J7165" t="s">
        <v>1561</v>
      </c>
      <c r="L7165">
        <f t="shared" si="420"/>
        <v>1</v>
      </c>
    </row>
    <row r="7166" spans="1:12" x14ac:dyDescent="0.35">
      <c r="A7166">
        <f t="shared" si="421"/>
        <v>7165</v>
      </c>
      <c r="B7166" t="s">
        <v>744</v>
      </c>
      <c r="C7166" s="109" t="str">
        <f>IF(ISBLANK(K7166),IFERROR(VLOOKUP(I7166,FS_input_data!$C$458:$N$648,Export!J7166,FALSE),""),K7166)</f>
        <v/>
      </c>
      <c r="E7166" s="6"/>
      <c r="F7166" s="6"/>
      <c r="G7166" s="119" t="b">
        <f t="shared" ref="G7166:G7173" si="426">RP_tax</f>
        <v>1</v>
      </c>
      <c r="H7166" s="6" t="s">
        <v>2189</v>
      </c>
      <c r="I7166" t="s">
        <v>1561</v>
      </c>
      <c r="J7166" t="s">
        <v>1561</v>
      </c>
      <c r="L7166" s="26" t="e">
        <f t="shared" si="420"/>
        <v>#VALUE!</v>
      </c>
    </row>
    <row r="7167" spans="1:12" x14ac:dyDescent="0.35">
      <c r="A7167" s="9">
        <f t="shared" si="421"/>
        <v>7166</v>
      </c>
      <c r="B7167" t="s">
        <v>109</v>
      </c>
      <c r="C7167" s="109">
        <f>IF(ISBLANK(K7167),IFERROR(VLOOKUP(I7167,FS_input_data!$C$458:$N$648,Export!J7167,FALSE),""),K7167)</f>
        <v>21000</v>
      </c>
      <c r="D7167" s="6" t="b">
        <v>1</v>
      </c>
      <c r="E7167" s="6"/>
      <c r="F7167" s="6"/>
      <c r="G7167" s="119" t="b">
        <f t="shared" si="426"/>
        <v>1</v>
      </c>
      <c r="H7167" s="6" t="s">
        <v>2189</v>
      </c>
      <c r="I7167" t="s">
        <v>2202</v>
      </c>
      <c r="J7167">
        <v>10</v>
      </c>
      <c r="L7167" s="26" t="e">
        <f t="shared" si="420"/>
        <v>#VALUE!</v>
      </c>
    </row>
    <row r="7168" spans="1:12" x14ac:dyDescent="0.35">
      <c r="A7168">
        <f t="shared" si="421"/>
        <v>7167</v>
      </c>
      <c r="B7168" t="s">
        <v>110</v>
      </c>
      <c r="C7168" s="109" t="str">
        <f>IF(ISBLANK(K7168),IFERROR(VLOOKUP(I7168,FS_input_data!$C$458:$N$648,Export!J7168,FALSE),""),K7168)</f>
        <v/>
      </c>
      <c r="D7168" s="6"/>
      <c r="E7168" s="6"/>
      <c r="F7168" s="6"/>
      <c r="G7168" s="119" t="b">
        <f t="shared" si="426"/>
        <v>1</v>
      </c>
      <c r="H7168" s="6" t="s">
        <v>2189</v>
      </c>
      <c r="I7168" t="s">
        <v>1561</v>
      </c>
      <c r="J7168" t="s">
        <v>1561</v>
      </c>
      <c r="L7168">
        <f t="shared" si="420"/>
        <v>1</v>
      </c>
    </row>
    <row r="7169" spans="1:12" x14ac:dyDescent="0.35">
      <c r="A7169" s="9">
        <f t="shared" si="421"/>
        <v>7168</v>
      </c>
      <c r="B7169" t="s">
        <v>111</v>
      </c>
      <c r="C7169" s="109">
        <f>IF(ISBLANK(K7169),IFERROR(VLOOKUP(I7169,FS_input_data!$C$458:$N$648,Export!J7169,FALSE),""),K7169)</f>
        <v>10500</v>
      </c>
      <c r="D7169" s="6" t="b">
        <v>0</v>
      </c>
      <c r="E7169" s="6"/>
      <c r="F7169" s="6"/>
      <c r="G7169" s="119" t="b">
        <f t="shared" si="426"/>
        <v>1</v>
      </c>
      <c r="H7169" s="6" t="s">
        <v>2189</v>
      </c>
      <c r="I7169" t="s">
        <v>2202</v>
      </c>
      <c r="J7169">
        <v>11</v>
      </c>
      <c r="L7169" s="26" t="e">
        <f t="shared" si="420"/>
        <v>#VALUE!</v>
      </c>
    </row>
    <row r="7170" spans="1:12" x14ac:dyDescent="0.35">
      <c r="A7170">
        <f t="shared" si="421"/>
        <v>7169</v>
      </c>
      <c r="B7170" t="s">
        <v>112</v>
      </c>
      <c r="C7170" s="109" t="str">
        <f>IF(ISBLANK(K7170),IFERROR(VLOOKUP(I7170,FS_input_data!$C$458:$N$648,Export!J7170,FALSE),""),K7170)</f>
        <v/>
      </c>
      <c r="D7170" s="6"/>
      <c r="E7170" s="6"/>
      <c r="F7170" s="6"/>
      <c r="G7170" s="119" t="b">
        <f t="shared" si="426"/>
        <v>1</v>
      </c>
      <c r="H7170" s="6" t="s">
        <v>2189</v>
      </c>
      <c r="I7170" t="s">
        <v>1561</v>
      </c>
      <c r="J7170" t="s">
        <v>1561</v>
      </c>
      <c r="L7170">
        <f t="shared" ref="L7170:L7233" si="427">FIND("/",B7170)</f>
        <v>1</v>
      </c>
    </row>
    <row r="7171" spans="1:12" x14ac:dyDescent="0.35">
      <c r="A7171" s="9">
        <f t="shared" ref="A7171:A7234" si="428">A7170+1</f>
        <v>7170</v>
      </c>
      <c r="B7171" t="s">
        <v>749</v>
      </c>
      <c r="C7171" s="109">
        <f>IF(ISBLANK(K7171),IFERROR(VLOOKUP(I7171,FS_input_data!$C$458:$N$648,Export!J7171,FALSE),""),K7171)</f>
        <v>10500</v>
      </c>
      <c r="D7171" s="6" t="b">
        <v>0</v>
      </c>
      <c r="E7171" s="6"/>
      <c r="F7171" s="6"/>
      <c r="G7171" s="119" t="b">
        <f t="shared" si="426"/>
        <v>1</v>
      </c>
      <c r="H7171" s="6" t="s">
        <v>2189</v>
      </c>
      <c r="I7171" t="s">
        <v>2202</v>
      </c>
      <c r="J7171">
        <v>12</v>
      </c>
      <c r="L7171" s="26" t="e">
        <f t="shared" si="427"/>
        <v>#VALUE!</v>
      </c>
    </row>
    <row r="7172" spans="1:12" x14ac:dyDescent="0.35">
      <c r="A7172">
        <f t="shared" si="428"/>
        <v>7171</v>
      </c>
      <c r="B7172" t="s">
        <v>750</v>
      </c>
      <c r="C7172" s="109" t="str">
        <f>IF(ISBLANK(K7172),IFERROR(VLOOKUP(I7172,FS_input_data!$C$458:$N$648,Export!J7172,FALSE),""),K7172)</f>
        <v/>
      </c>
      <c r="D7172" s="6"/>
      <c r="E7172" s="6"/>
      <c r="F7172" s="6"/>
      <c r="G7172" s="119" t="b">
        <f t="shared" si="426"/>
        <v>1</v>
      </c>
      <c r="H7172" s="6" t="s">
        <v>2189</v>
      </c>
      <c r="I7172" t="s">
        <v>1561</v>
      </c>
      <c r="J7172" t="s">
        <v>1561</v>
      </c>
      <c r="L7172">
        <f t="shared" si="427"/>
        <v>1</v>
      </c>
    </row>
    <row r="7173" spans="1:12" x14ac:dyDescent="0.35">
      <c r="A7173">
        <f t="shared" si="428"/>
        <v>7172</v>
      </c>
      <c r="B7173" t="s">
        <v>745</v>
      </c>
      <c r="C7173" s="109" t="str">
        <f>IF(ISBLANK(K7173),IFERROR(VLOOKUP(I7173,FS_input_data!$C$458:$N$648,Export!J7173,FALSE),""),K7173)</f>
        <v/>
      </c>
      <c r="D7173" s="6"/>
      <c r="E7173" s="6"/>
      <c r="F7173" s="6"/>
      <c r="G7173" s="119" t="b">
        <f t="shared" si="426"/>
        <v>1</v>
      </c>
      <c r="H7173" s="6" t="s">
        <v>2189</v>
      </c>
      <c r="I7173" t="s">
        <v>1561</v>
      </c>
      <c r="J7173" t="s">
        <v>1561</v>
      </c>
      <c r="L7173">
        <f t="shared" si="427"/>
        <v>1</v>
      </c>
    </row>
    <row r="7174" spans="1:12" x14ac:dyDescent="0.35">
      <c r="A7174">
        <f t="shared" si="428"/>
        <v>7173</v>
      </c>
      <c r="B7174" t="s">
        <v>751</v>
      </c>
      <c r="C7174" s="109" t="str">
        <f>IF(ISBLANK(K7174),IFERROR(VLOOKUP(I7174,FS_input_data!$C$458:$N$648,Export!J7174,FALSE),""),K7174)</f>
        <v/>
      </c>
      <c r="E7174" s="6"/>
      <c r="F7174" s="6"/>
      <c r="G7174" s="119" t="b">
        <f t="shared" ref="G7174:G7186" si="429">VLOOKUP($I$7139,FS_input_noty,$J$7139,FALSE)=""</f>
        <v>0</v>
      </c>
      <c r="H7174" s="6" t="s">
        <v>2189</v>
      </c>
      <c r="I7174" t="s">
        <v>1561</v>
      </c>
      <c r="J7174" t="s">
        <v>1561</v>
      </c>
      <c r="L7174">
        <f t="shared" si="427"/>
        <v>1</v>
      </c>
    </row>
    <row r="7175" spans="1:12" x14ac:dyDescent="0.35">
      <c r="A7175">
        <f t="shared" si="428"/>
        <v>7174</v>
      </c>
      <c r="B7175" t="s">
        <v>752</v>
      </c>
      <c r="C7175" s="109" t="str">
        <f>IF(ISBLANK(K7175),IFERROR(VLOOKUP(I7175,FS_input_data!$C$458:$N$648,Export!J7175,FALSE),""),K7175)</f>
        <v/>
      </c>
      <c r="E7175" s="6"/>
      <c r="F7175" s="6"/>
      <c r="G7175" s="119" t="b">
        <f t="shared" si="429"/>
        <v>0</v>
      </c>
      <c r="H7175" s="6" t="s">
        <v>2189</v>
      </c>
      <c r="I7175" t="s">
        <v>1561</v>
      </c>
      <c r="J7175" t="s">
        <v>1561</v>
      </c>
      <c r="L7175" s="26" t="e">
        <f t="shared" si="427"/>
        <v>#VALUE!</v>
      </c>
    </row>
    <row r="7176" spans="1:12" x14ac:dyDescent="0.35">
      <c r="A7176" s="9">
        <f t="shared" si="428"/>
        <v>7175</v>
      </c>
      <c r="B7176" t="s">
        <v>101</v>
      </c>
      <c r="C7176" s="109" t="str">
        <f>IF(ISBLANK(K7176),IFERROR(VLOOKUP(I7176,FS_input_data!$C$458:$N$648,Export!J7176,FALSE),""),K7176)</f>
        <v>OC122</v>
      </c>
      <c r="D7176" t="b">
        <v>1</v>
      </c>
      <c r="E7176" s="6"/>
      <c r="F7176" s="6"/>
      <c r="G7176" s="119" t="b">
        <f t="shared" si="429"/>
        <v>0</v>
      </c>
      <c r="H7176" s="6" t="s">
        <v>2189</v>
      </c>
      <c r="I7176" t="s">
        <v>2098</v>
      </c>
      <c r="J7176">
        <v>6</v>
      </c>
      <c r="L7176" s="26" t="e">
        <f t="shared" si="427"/>
        <v>#VALUE!</v>
      </c>
    </row>
    <row r="7177" spans="1:12" x14ac:dyDescent="0.35">
      <c r="A7177">
        <f t="shared" si="428"/>
        <v>7176</v>
      </c>
      <c r="B7177" t="s">
        <v>102</v>
      </c>
      <c r="C7177" s="109" t="str">
        <f>IF(ISBLANK(K7177),IFERROR(VLOOKUP(I7177,FS_input_data!$C$458:$N$648,Export!J7177,FALSE),""),K7177)</f>
        <v/>
      </c>
      <c r="D7177" s="6"/>
      <c r="E7177" s="6"/>
      <c r="F7177" s="6"/>
      <c r="G7177" s="119" t="b">
        <f t="shared" si="429"/>
        <v>0</v>
      </c>
      <c r="H7177" s="6" t="s">
        <v>2189</v>
      </c>
      <c r="I7177" t="s">
        <v>1561</v>
      </c>
      <c r="J7177" t="s">
        <v>1561</v>
      </c>
      <c r="L7177">
        <f t="shared" si="427"/>
        <v>1</v>
      </c>
    </row>
    <row r="7178" spans="1:12" x14ac:dyDescent="0.35">
      <c r="A7178">
        <f t="shared" si="428"/>
        <v>7177</v>
      </c>
      <c r="B7178" t="s">
        <v>753</v>
      </c>
      <c r="C7178" s="109" t="str">
        <f>IF(ISBLANK(K7178),IFERROR(VLOOKUP(I7178,FS_input_data!$C$458:$N$648,Export!J7178,FALSE),""),K7178)</f>
        <v/>
      </c>
      <c r="D7178" s="6"/>
      <c r="E7178" s="6"/>
      <c r="F7178" s="6"/>
      <c r="G7178" s="119" t="b">
        <f t="shared" si="429"/>
        <v>0</v>
      </c>
      <c r="H7178" s="6" t="s">
        <v>2189</v>
      </c>
      <c r="I7178" t="s">
        <v>1561</v>
      </c>
      <c r="J7178" t="s">
        <v>1561</v>
      </c>
      <c r="L7178" s="26" t="e">
        <f t="shared" si="427"/>
        <v>#VALUE!</v>
      </c>
    </row>
    <row r="7179" spans="1:12" x14ac:dyDescent="0.35">
      <c r="A7179">
        <f t="shared" si="428"/>
        <v>7178</v>
      </c>
      <c r="B7179" t="s">
        <v>742</v>
      </c>
      <c r="C7179" s="109" t="str">
        <f>IF(ISBLANK(K7179),IFERROR(VLOOKUP(I7179,FS_input_data!$C$458:$N$648,Export!J7179,FALSE),""),K7179)</f>
        <v/>
      </c>
      <c r="D7179" s="6"/>
      <c r="E7179" s="6"/>
      <c r="F7179" s="6"/>
      <c r="G7179" s="119" t="b">
        <f t="shared" si="429"/>
        <v>0</v>
      </c>
      <c r="H7179" s="6" t="s">
        <v>2189</v>
      </c>
      <c r="I7179" t="s">
        <v>1561</v>
      </c>
      <c r="J7179" t="s">
        <v>1561</v>
      </c>
      <c r="L7179" s="26" t="e">
        <f t="shared" si="427"/>
        <v>#VALUE!</v>
      </c>
    </row>
    <row r="7180" spans="1:12" x14ac:dyDescent="0.35">
      <c r="A7180" s="9">
        <f t="shared" si="428"/>
        <v>7179</v>
      </c>
      <c r="B7180" t="s">
        <v>109</v>
      </c>
      <c r="C7180" s="109">
        <f>IF(ISBLANK(K7180),IFERROR(VLOOKUP(I7180,FS_input_data!$C$458:$N$648,Export!J7180,FALSE),""),K7180)</f>
        <v>-188000</v>
      </c>
      <c r="D7180" s="6" t="b">
        <v>1</v>
      </c>
      <c r="E7180" s="6"/>
      <c r="F7180" s="6"/>
      <c r="G7180" s="119" t="b">
        <f t="shared" si="429"/>
        <v>0</v>
      </c>
      <c r="H7180" s="6" t="s">
        <v>2189</v>
      </c>
      <c r="I7180" t="s">
        <v>2098</v>
      </c>
      <c r="J7180">
        <v>7</v>
      </c>
      <c r="L7180" s="26" t="e">
        <f t="shared" si="427"/>
        <v>#VALUE!</v>
      </c>
    </row>
    <row r="7181" spans="1:12" x14ac:dyDescent="0.35">
      <c r="A7181">
        <f t="shared" si="428"/>
        <v>7180</v>
      </c>
      <c r="B7181" t="s">
        <v>110</v>
      </c>
      <c r="C7181" s="109" t="str">
        <f>IF(ISBLANK(K7181),IFERROR(VLOOKUP(I7181,FS_input_data!$C$458:$N$648,Export!J7181,FALSE),""),K7181)</f>
        <v/>
      </c>
      <c r="D7181" s="6"/>
      <c r="E7181" s="6"/>
      <c r="F7181" s="6"/>
      <c r="G7181" s="119" t="b">
        <f t="shared" si="429"/>
        <v>0</v>
      </c>
      <c r="H7181" s="6" t="s">
        <v>2189</v>
      </c>
      <c r="I7181" t="s">
        <v>1561</v>
      </c>
      <c r="J7181" t="s">
        <v>1561</v>
      </c>
      <c r="L7181">
        <f t="shared" si="427"/>
        <v>1</v>
      </c>
    </row>
    <row r="7182" spans="1:12" x14ac:dyDescent="0.35">
      <c r="A7182" s="9">
        <f t="shared" si="428"/>
        <v>7181</v>
      </c>
      <c r="B7182" t="s">
        <v>111</v>
      </c>
      <c r="C7182" s="109">
        <f>IF(ISBLANK(K7182),IFERROR(VLOOKUP(I7182,FS_input_data!$C$458:$N$648,Export!J7182,FALSE),""),K7182)</f>
        <v>-94000</v>
      </c>
      <c r="D7182" s="6" t="b">
        <v>0</v>
      </c>
      <c r="E7182" s="6"/>
      <c r="F7182" s="6"/>
      <c r="G7182" s="119" t="b">
        <f t="shared" si="429"/>
        <v>0</v>
      </c>
      <c r="H7182" s="6" t="s">
        <v>2189</v>
      </c>
      <c r="I7182" t="s">
        <v>2098</v>
      </c>
      <c r="J7182">
        <v>8</v>
      </c>
      <c r="L7182" s="26" t="e">
        <f t="shared" si="427"/>
        <v>#VALUE!</v>
      </c>
    </row>
    <row r="7183" spans="1:12" x14ac:dyDescent="0.35">
      <c r="A7183">
        <f t="shared" si="428"/>
        <v>7182</v>
      </c>
      <c r="B7183" t="s">
        <v>112</v>
      </c>
      <c r="C7183" s="109" t="str">
        <f>IF(ISBLANK(K7183),IFERROR(VLOOKUP(I7183,FS_input_data!$C$458:$N$648,Export!J7183,FALSE),""),K7183)</f>
        <v/>
      </c>
      <c r="D7183" s="6"/>
      <c r="E7183" s="6"/>
      <c r="F7183" s="6"/>
      <c r="G7183" s="119" t="b">
        <f t="shared" si="429"/>
        <v>0</v>
      </c>
      <c r="H7183" s="6" t="s">
        <v>2189</v>
      </c>
      <c r="I7183" t="s">
        <v>1561</v>
      </c>
      <c r="J7183" t="s">
        <v>1561</v>
      </c>
      <c r="L7183">
        <f t="shared" si="427"/>
        <v>1</v>
      </c>
    </row>
    <row r="7184" spans="1:12" x14ac:dyDescent="0.35">
      <c r="A7184" s="9">
        <f t="shared" si="428"/>
        <v>7183</v>
      </c>
      <c r="B7184" t="s">
        <v>749</v>
      </c>
      <c r="C7184" s="109">
        <f>IF(ISBLANK(K7184),IFERROR(VLOOKUP(I7184,FS_input_data!$C$458:$N$648,Export!J7184,FALSE),""),K7184)</f>
        <v>-94000</v>
      </c>
      <c r="D7184" s="6" t="b">
        <v>0</v>
      </c>
      <c r="E7184" s="6"/>
      <c r="F7184" s="6"/>
      <c r="G7184" s="119" t="b">
        <f t="shared" si="429"/>
        <v>0</v>
      </c>
      <c r="H7184" s="6" t="s">
        <v>2189</v>
      </c>
      <c r="I7184" t="s">
        <v>2098</v>
      </c>
      <c r="J7184">
        <v>9</v>
      </c>
      <c r="L7184" s="26" t="e">
        <f t="shared" si="427"/>
        <v>#VALUE!</v>
      </c>
    </row>
    <row r="7185" spans="1:12" x14ac:dyDescent="0.35">
      <c r="A7185">
        <f t="shared" si="428"/>
        <v>7184</v>
      </c>
      <c r="B7185" t="s">
        <v>750</v>
      </c>
      <c r="C7185" s="109" t="str">
        <f>IF(ISBLANK(K7185),IFERROR(VLOOKUP(I7185,FS_input_data!$C$458:$N$648,Export!J7185,FALSE),""),K7185)</f>
        <v/>
      </c>
      <c r="E7185" s="6"/>
      <c r="F7185" s="6"/>
      <c r="G7185" s="119" t="b">
        <f t="shared" si="429"/>
        <v>0</v>
      </c>
      <c r="H7185" s="6" t="s">
        <v>2189</v>
      </c>
      <c r="I7185" t="s">
        <v>1561</v>
      </c>
      <c r="J7185" t="s">
        <v>1561</v>
      </c>
      <c r="L7185">
        <f t="shared" si="427"/>
        <v>1</v>
      </c>
    </row>
    <row r="7186" spans="1:12" x14ac:dyDescent="0.35">
      <c r="A7186">
        <f t="shared" si="428"/>
        <v>7185</v>
      </c>
      <c r="B7186" t="s">
        <v>743</v>
      </c>
      <c r="C7186" s="109" t="str">
        <f>IF(ISBLANK(K7186),IFERROR(VLOOKUP(I7186,FS_input_data!$C$458:$N$648,Export!J7186,FALSE),""),K7186)</f>
        <v/>
      </c>
      <c r="E7186" s="6"/>
      <c r="F7186" s="6"/>
      <c r="G7186" s="119" t="b">
        <f t="shared" si="429"/>
        <v>0</v>
      </c>
      <c r="H7186" s="6" t="s">
        <v>2189</v>
      </c>
      <c r="I7186" t="s">
        <v>1561</v>
      </c>
      <c r="J7186" t="s">
        <v>1561</v>
      </c>
      <c r="L7186">
        <f t="shared" si="427"/>
        <v>1</v>
      </c>
    </row>
    <row r="7187" spans="1:12" x14ac:dyDescent="0.35">
      <c r="A7187">
        <f t="shared" si="428"/>
        <v>7186</v>
      </c>
      <c r="B7187" t="s">
        <v>744</v>
      </c>
      <c r="C7187" s="109" t="str">
        <f>IF(ISBLANK(K7187),IFERROR(VLOOKUP(I7187,FS_input_data!$C$458:$N$648,Export!J7187,FALSE),""),K7187)</f>
        <v/>
      </c>
      <c r="D7187" s="6"/>
      <c r="E7187" s="6"/>
      <c r="F7187" s="6"/>
      <c r="G7187" s="119" t="b">
        <f t="shared" ref="G7187:G7194" si="430">RP_tax</f>
        <v>1</v>
      </c>
      <c r="H7187" s="6" t="s">
        <v>2189</v>
      </c>
      <c r="I7187" t="s">
        <v>1561</v>
      </c>
      <c r="J7187" t="s">
        <v>1561</v>
      </c>
      <c r="L7187" s="26" t="e">
        <f t="shared" si="427"/>
        <v>#VALUE!</v>
      </c>
    </row>
    <row r="7188" spans="1:12" x14ac:dyDescent="0.35">
      <c r="A7188" s="9">
        <f t="shared" si="428"/>
        <v>7187</v>
      </c>
      <c r="B7188" t="s">
        <v>109</v>
      </c>
      <c r="C7188" s="109">
        <f>IF(ISBLANK(K7188),IFERROR(VLOOKUP(I7188,FS_input_data!$C$458:$N$648,Export!J7188,FALSE),""),K7188)</f>
        <v>-188000</v>
      </c>
      <c r="D7188" s="6" t="b">
        <v>1</v>
      </c>
      <c r="E7188" s="6"/>
      <c r="F7188" s="6"/>
      <c r="G7188" s="119" t="b">
        <f t="shared" si="430"/>
        <v>1</v>
      </c>
      <c r="H7188" s="6" t="s">
        <v>2189</v>
      </c>
      <c r="I7188" t="s">
        <v>2098</v>
      </c>
      <c r="J7188">
        <v>10</v>
      </c>
      <c r="L7188" s="26" t="e">
        <f t="shared" si="427"/>
        <v>#VALUE!</v>
      </c>
    </row>
    <row r="7189" spans="1:12" x14ac:dyDescent="0.35">
      <c r="A7189">
        <f t="shared" si="428"/>
        <v>7188</v>
      </c>
      <c r="B7189" t="s">
        <v>110</v>
      </c>
      <c r="C7189" s="109" t="str">
        <f>IF(ISBLANK(K7189),IFERROR(VLOOKUP(I7189,FS_input_data!$C$458:$N$648,Export!J7189,FALSE),""),K7189)</f>
        <v/>
      </c>
      <c r="D7189" s="6"/>
      <c r="E7189" s="6"/>
      <c r="F7189" s="6"/>
      <c r="G7189" s="119" t="b">
        <f t="shared" si="430"/>
        <v>1</v>
      </c>
      <c r="H7189" s="6" t="s">
        <v>2189</v>
      </c>
      <c r="I7189" t="s">
        <v>1561</v>
      </c>
      <c r="J7189" t="s">
        <v>1561</v>
      </c>
      <c r="L7189">
        <f t="shared" si="427"/>
        <v>1</v>
      </c>
    </row>
    <row r="7190" spans="1:12" x14ac:dyDescent="0.35">
      <c r="A7190" s="9">
        <f t="shared" si="428"/>
        <v>7189</v>
      </c>
      <c r="B7190" t="s">
        <v>111</v>
      </c>
      <c r="C7190" s="109">
        <f>IF(ISBLANK(K7190),IFERROR(VLOOKUP(I7190,FS_input_data!$C$458:$N$648,Export!J7190,FALSE),""),K7190)</f>
        <v>-94000</v>
      </c>
      <c r="D7190" s="6" t="b">
        <v>0</v>
      </c>
      <c r="E7190" s="6"/>
      <c r="F7190" s="6"/>
      <c r="G7190" s="119" t="b">
        <f t="shared" si="430"/>
        <v>1</v>
      </c>
      <c r="H7190" s="6" t="s">
        <v>2189</v>
      </c>
      <c r="I7190" t="s">
        <v>2098</v>
      </c>
      <c r="J7190">
        <v>11</v>
      </c>
      <c r="L7190" s="26" t="e">
        <f t="shared" si="427"/>
        <v>#VALUE!</v>
      </c>
    </row>
    <row r="7191" spans="1:12" x14ac:dyDescent="0.35">
      <c r="A7191">
        <f t="shared" si="428"/>
        <v>7190</v>
      </c>
      <c r="B7191" t="s">
        <v>112</v>
      </c>
      <c r="C7191" s="109" t="str">
        <f>IF(ISBLANK(K7191),IFERROR(VLOOKUP(I7191,FS_input_data!$C$458:$N$648,Export!J7191,FALSE),""),K7191)</f>
        <v/>
      </c>
      <c r="D7191" s="6"/>
      <c r="E7191" s="6"/>
      <c r="F7191" s="6"/>
      <c r="G7191" s="119" t="b">
        <f t="shared" si="430"/>
        <v>1</v>
      </c>
      <c r="H7191" s="6" t="s">
        <v>2189</v>
      </c>
      <c r="I7191" t="s">
        <v>1561</v>
      </c>
      <c r="J7191" t="s">
        <v>1561</v>
      </c>
      <c r="L7191">
        <f t="shared" si="427"/>
        <v>1</v>
      </c>
    </row>
    <row r="7192" spans="1:12" x14ac:dyDescent="0.35">
      <c r="A7192" s="9">
        <f t="shared" si="428"/>
        <v>7191</v>
      </c>
      <c r="B7192" t="s">
        <v>749</v>
      </c>
      <c r="C7192" s="109">
        <f>IF(ISBLANK(K7192),IFERROR(VLOOKUP(I7192,FS_input_data!$C$458:$N$648,Export!J7192,FALSE),""),K7192)</f>
        <v>-94000</v>
      </c>
      <c r="D7192" s="6" t="b">
        <v>0</v>
      </c>
      <c r="E7192" s="6"/>
      <c r="F7192" s="6"/>
      <c r="G7192" s="119" t="b">
        <f t="shared" si="430"/>
        <v>1</v>
      </c>
      <c r="H7192" s="6" t="s">
        <v>2189</v>
      </c>
      <c r="I7192" t="s">
        <v>2098</v>
      </c>
      <c r="J7192">
        <v>12</v>
      </c>
      <c r="L7192" s="26" t="e">
        <f t="shared" si="427"/>
        <v>#VALUE!</v>
      </c>
    </row>
    <row r="7193" spans="1:12" x14ac:dyDescent="0.35">
      <c r="A7193">
        <f t="shared" si="428"/>
        <v>7192</v>
      </c>
      <c r="B7193" t="s">
        <v>750</v>
      </c>
      <c r="C7193" s="109" t="str">
        <f>IF(ISBLANK(K7193),IFERROR(VLOOKUP(I7193,FS_input_data!$C$458:$N$648,Export!J7193,FALSE),""),K7193)</f>
        <v/>
      </c>
      <c r="D7193" s="6"/>
      <c r="E7193" s="6"/>
      <c r="F7193" s="6"/>
      <c r="G7193" s="119" t="b">
        <f t="shared" si="430"/>
        <v>1</v>
      </c>
      <c r="H7193" s="6" t="s">
        <v>2189</v>
      </c>
      <c r="I7193" t="s">
        <v>1561</v>
      </c>
      <c r="J7193" t="s">
        <v>1561</v>
      </c>
      <c r="L7193">
        <f t="shared" si="427"/>
        <v>1</v>
      </c>
    </row>
    <row r="7194" spans="1:12" x14ac:dyDescent="0.35">
      <c r="A7194">
        <f t="shared" si="428"/>
        <v>7193</v>
      </c>
      <c r="B7194" t="s">
        <v>745</v>
      </c>
      <c r="C7194" s="109" t="str">
        <f>IF(ISBLANK(K7194),IFERROR(VLOOKUP(I7194,FS_input_data!$C$458:$N$648,Export!J7194,FALSE),""),K7194)</f>
        <v/>
      </c>
      <c r="D7194" s="6"/>
      <c r="E7194" s="6"/>
      <c r="F7194" s="6"/>
      <c r="G7194" s="119" t="b">
        <f t="shared" si="430"/>
        <v>1</v>
      </c>
      <c r="H7194" s="6" t="s">
        <v>2189</v>
      </c>
      <c r="I7194" t="s">
        <v>1561</v>
      </c>
      <c r="J7194" t="s">
        <v>1561</v>
      </c>
      <c r="L7194">
        <f t="shared" si="427"/>
        <v>1</v>
      </c>
    </row>
    <row r="7195" spans="1:12" x14ac:dyDescent="0.35">
      <c r="A7195">
        <f t="shared" si="428"/>
        <v>7194</v>
      </c>
      <c r="B7195" t="s">
        <v>764</v>
      </c>
      <c r="C7195" s="109" t="str">
        <f>IF(ISBLANK(K7195),IFERROR(VLOOKUP(I7195,FS_input_data!$C$458:$N$648,Export!J7195,FALSE),""),K7195)</f>
        <v/>
      </c>
      <c r="D7195" s="6"/>
      <c r="E7195" s="6"/>
      <c r="F7195" s="6"/>
      <c r="G7195" s="119" t="b">
        <f>VLOOKUP($I$7139,FS_input_noty,$J$7139,FALSE)=""</f>
        <v>0</v>
      </c>
      <c r="H7195" s="6" t="s">
        <v>2189</v>
      </c>
      <c r="I7195" t="s">
        <v>1561</v>
      </c>
      <c r="J7195" t="s">
        <v>1561</v>
      </c>
      <c r="L7195">
        <f t="shared" si="427"/>
        <v>1</v>
      </c>
    </row>
    <row r="7196" spans="1:12" x14ac:dyDescent="0.35">
      <c r="A7196">
        <f t="shared" si="428"/>
        <v>7195</v>
      </c>
      <c r="B7196" t="s">
        <v>765</v>
      </c>
      <c r="C7196" s="109" t="str">
        <f>IF(ISBLANK(K7196),IFERROR(VLOOKUP(I7196,FS_input_data!$C$458:$N$648,Export!J7196,FALSE),""),K7196)</f>
        <v/>
      </c>
      <c r="D7196" s="6"/>
      <c r="E7196" s="6"/>
      <c r="F7196" s="6"/>
      <c r="G7196" s="119" t="b">
        <f>VLOOKUP($I$7139,FS_input_noty,$J$7139,FALSE)=""</f>
        <v>0</v>
      </c>
      <c r="H7196" s="6" t="s">
        <v>2189</v>
      </c>
      <c r="I7196" t="s">
        <v>1561</v>
      </c>
      <c r="J7196" t="s">
        <v>1561</v>
      </c>
      <c r="L7196">
        <f t="shared" si="427"/>
        <v>1</v>
      </c>
    </row>
    <row r="7197" spans="1:12" x14ac:dyDescent="0.35">
      <c r="A7197">
        <f t="shared" si="428"/>
        <v>7196</v>
      </c>
      <c r="B7197" t="s">
        <v>752</v>
      </c>
      <c r="C7197" s="109" t="str">
        <f>IF(ISBLANK(K7197),IFERROR(VLOOKUP(I7197,FS_input_data!$C$458:$N$648,Export!J7197,FALSE),""),K7197)</f>
        <v/>
      </c>
      <c r="D7197" s="6"/>
      <c r="E7197" s="6"/>
      <c r="F7197" s="6"/>
      <c r="G7197" s="120" t="b">
        <f>VLOOKUP(I7198,FS_input_noty,J7198,FALSE)=""</f>
        <v>0</v>
      </c>
      <c r="H7197" s="6" t="s">
        <v>2189</v>
      </c>
      <c r="I7197" t="s">
        <v>1561</v>
      </c>
      <c r="J7197" t="s">
        <v>1561</v>
      </c>
      <c r="L7197" s="26" t="e">
        <f t="shared" si="427"/>
        <v>#VALUE!</v>
      </c>
    </row>
    <row r="7198" spans="1:12" x14ac:dyDescent="0.35">
      <c r="A7198" s="9">
        <f t="shared" si="428"/>
        <v>7197</v>
      </c>
      <c r="B7198" t="s">
        <v>101</v>
      </c>
      <c r="C7198" s="109" t="str">
        <f>IF(ISBLANK(K7198),IFERROR(VLOOKUP(I7198,FS_input_data!$C$458:$N$648,Export!J7198,FALSE),""),K7198)</f>
        <v>OC123</v>
      </c>
      <c r="D7198" s="6" t="b">
        <v>1</v>
      </c>
      <c r="E7198" s="6"/>
      <c r="F7198" s="6"/>
      <c r="G7198" s="120" t="b">
        <f>VLOOKUP(I7198,FS_input_noty,J7198,FALSE)=""</f>
        <v>0</v>
      </c>
      <c r="H7198" s="6" t="s">
        <v>2189</v>
      </c>
      <c r="I7198" t="s">
        <v>2100</v>
      </c>
      <c r="J7198">
        <v>6</v>
      </c>
      <c r="L7198" s="26" t="e">
        <f t="shared" si="427"/>
        <v>#VALUE!</v>
      </c>
    </row>
    <row r="7199" spans="1:12" x14ac:dyDescent="0.35">
      <c r="A7199">
        <f t="shared" si="428"/>
        <v>7198</v>
      </c>
      <c r="B7199" t="s">
        <v>102</v>
      </c>
      <c r="C7199" s="109" t="str">
        <f>IF(ISBLANK(K7199),IFERROR(VLOOKUP(I7199,FS_input_data!$C$458:$N$648,Export!J7199,FALSE),""),K7199)</f>
        <v/>
      </c>
      <c r="D7199" s="6"/>
      <c r="E7199" s="6"/>
      <c r="F7199" s="6"/>
      <c r="G7199" s="120" t="b">
        <f>VLOOKUP(I7198,FS_input_noty,J7198,FALSE)=""</f>
        <v>0</v>
      </c>
      <c r="H7199" s="6" t="s">
        <v>2189</v>
      </c>
      <c r="I7199" t="s">
        <v>1561</v>
      </c>
      <c r="J7199" t="s">
        <v>1561</v>
      </c>
      <c r="L7199">
        <f t="shared" si="427"/>
        <v>1</v>
      </c>
    </row>
    <row r="7200" spans="1:12" x14ac:dyDescent="0.35">
      <c r="A7200">
        <f t="shared" si="428"/>
        <v>7199</v>
      </c>
      <c r="B7200" t="s">
        <v>753</v>
      </c>
      <c r="C7200" s="109" t="str">
        <f>IF(ISBLANK(K7200),IFERROR(VLOOKUP(I7200,FS_input_data!$C$458:$N$648,Export!J7200,FALSE),""),K7200)</f>
        <v/>
      </c>
      <c r="D7200" s="6"/>
      <c r="E7200" s="6"/>
      <c r="F7200" s="6"/>
      <c r="G7200" s="120" t="b">
        <f>VLOOKUP(I7198,FS_input_noty,J7198,FALSE)=""</f>
        <v>0</v>
      </c>
      <c r="H7200" s="6" t="s">
        <v>2189</v>
      </c>
      <c r="I7200" t="s">
        <v>1561</v>
      </c>
      <c r="J7200" t="s">
        <v>1561</v>
      </c>
      <c r="L7200" s="26" t="e">
        <f t="shared" si="427"/>
        <v>#VALUE!</v>
      </c>
    </row>
    <row r="7201" spans="1:12" x14ac:dyDescent="0.35">
      <c r="A7201">
        <f t="shared" si="428"/>
        <v>7200</v>
      </c>
      <c r="B7201" t="s">
        <v>742</v>
      </c>
      <c r="C7201" s="109" t="str">
        <f>IF(ISBLANK(K7201),IFERROR(VLOOKUP(I7201,FS_input_data!$C$458:$N$648,Export!J7201,FALSE),""),K7201)</f>
        <v/>
      </c>
      <c r="D7201" s="6"/>
      <c r="E7201" s="6"/>
      <c r="F7201" s="6"/>
      <c r="G7201" s="120" t="b">
        <f>VLOOKUP(I7198,FS_input_noty,J7198,FALSE)=""</f>
        <v>0</v>
      </c>
      <c r="H7201" s="6" t="s">
        <v>2189</v>
      </c>
      <c r="I7201" t="s">
        <v>1561</v>
      </c>
      <c r="J7201" t="s">
        <v>1561</v>
      </c>
      <c r="L7201" s="26" t="e">
        <f t="shared" si="427"/>
        <v>#VALUE!</v>
      </c>
    </row>
    <row r="7202" spans="1:12" x14ac:dyDescent="0.35">
      <c r="A7202" s="9">
        <f t="shared" si="428"/>
        <v>7201</v>
      </c>
      <c r="B7202" t="s">
        <v>109</v>
      </c>
      <c r="C7202" s="109">
        <f>IF(ISBLANK(K7202),IFERROR(VLOOKUP(I7202,FS_input_data!$C$458:$N$648,Export!J7202,FALSE),""),K7202)</f>
        <v>2000</v>
      </c>
      <c r="D7202" s="6" t="b">
        <v>1</v>
      </c>
      <c r="E7202" s="6"/>
      <c r="F7202" s="6"/>
      <c r="G7202" s="120" t="b">
        <f>VLOOKUP(I7198,FS_input_noty,J7198,FALSE)=""</f>
        <v>0</v>
      </c>
      <c r="H7202" s="6" t="s">
        <v>2189</v>
      </c>
      <c r="I7202" t="s">
        <v>2100</v>
      </c>
      <c r="J7202">
        <v>7</v>
      </c>
      <c r="L7202" s="26" t="e">
        <f t="shared" si="427"/>
        <v>#VALUE!</v>
      </c>
    </row>
    <row r="7203" spans="1:12" x14ac:dyDescent="0.35">
      <c r="A7203">
        <f t="shared" si="428"/>
        <v>7202</v>
      </c>
      <c r="B7203" t="s">
        <v>110</v>
      </c>
      <c r="C7203" s="109" t="str">
        <f>IF(ISBLANK(K7203),IFERROR(VLOOKUP(I7203,FS_input_data!$C$458:$N$648,Export!J7203,FALSE),""),K7203)</f>
        <v/>
      </c>
      <c r="D7203" s="6"/>
      <c r="E7203" s="6"/>
      <c r="F7203" s="6"/>
      <c r="G7203" s="120" t="b">
        <f>VLOOKUP(I7198,FS_input_noty,J7198,FALSE)=""</f>
        <v>0</v>
      </c>
      <c r="H7203" s="6" t="s">
        <v>2189</v>
      </c>
      <c r="I7203" t="s">
        <v>1561</v>
      </c>
      <c r="J7203" t="s">
        <v>1561</v>
      </c>
      <c r="L7203">
        <f t="shared" si="427"/>
        <v>1</v>
      </c>
    </row>
    <row r="7204" spans="1:12" x14ac:dyDescent="0.35">
      <c r="A7204" s="9">
        <f t="shared" si="428"/>
        <v>7203</v>
      </c>
      <c r="B7204" t="s">
        <v>111</v>
      </c>
      <c r="C7204" s="109">
        <f>IF(ISBLANK(K7204),IFERROR(VLOOKUP(I7204,FS_input_data!$C$458:$N$648,Export!J7204,FALSE),""),K7204)</f>
        <v>1000</v>
      </c>
      <c r="D7204" s="6" t="b">
        <v>0</v>
      </c>
      <c r="E7204" s="6"/>
      <c r="F7204" s="6"/>
      <c r="G7204" s="120" t="b">
        <f>VLOOKUP(I7198,FS_input_noty,J7198,FALSE)=""</f>
        <v>0</v>
      </c>
      <c r="H7204" s="6" t="s">
        <v>2189</v>
      </c>
      <c r="I7204" t="s">
        <v>2100</v>
      </c>
      <c r="J7204">
        <v>8</v>
      </c>
      <c r="L7204" s="26" t="e">
        <f t="shared" si="427"/>
        <v>#VALUE!</v>
      </c>
    </row>
    <row r="7205" spans="1:12" x14ac:dyDescent="0.35">
      <c r="A7205">
        <f t="shared" si="428"/>
        <v>7204</v>
      </c>
      <c r="B7205" t="s">
        <v>112</v>
      </c>
      <c r="C7205" s="109" t="str">
        <f>IF(ISBLANK(K7205),IFERROR(VLOOKUP(I7205,FS_input_data!$C$458:$N$648,Export!J7205,FALSE),""),K7205)</f>
        <v/>
      </c>
      <c r="D7205" s="6"/>
      <c r="E7205" s="6"/>
      <c r="F7205" s="6"/>
      <c r="G7205" s="120" t="b">
        <f>VLOOKUP(I7198,FS_input_noty,J7198,FALSE)=""</f>
        <v>0</v>
      </c>
      <c r="H7205" s="6" t="s">
        <v>2189</v>
      </c>
      <c r="I7205" t="s">
        <v>1561</v>
      </c>
      <c r="J7205" t="s">
        <v>1561</v>
      </c>
      <c r="L7205">
        <f t="shared" si="427"/>
        <v>1</v>
      </c>
    </row>
    <row r="7206" spans="1:12" x14ac:dyDescent="0.35">
      <c r="A7206" s="9">
        <f t="shared" si="428"/>
        <v>7205</v>
      </c>
      <c r="B7206" t="s">
        <v>749</v>
      </c>
      <c r="C7206" s="109">
        <f>IF(ISBLANK(K7206),IFERROR(VLOOKUP(I7206,FS_input_data!$C$458:$N$648,Export!J7206,FALSE),""),K7206)</f>
        <v>1000</v>
      </c>
      <c r="D7206" s="6" t="b">
        <v>0</v>
      </c>
      <c r="E7206" s="6"/>
      <c r="F7206" s="6"/>
      <c r="G7206" s="120" t="b">
        <f>VLOOKUP(I7198,FS_input_noty,J7198,FALSE)=""</f>
        <v>0</v>
      </c>
      <c r="H7206" s="6" t="s">
        <v>2189</v>
      </c>
      <c r="I7206" t="s">
        <v>2100</v>
      </c>
      <c r="J7206">
        <v>9</v>
      </c>
      <c r="L7206" s="26" t="e">
        <f t="shared" si="427"/>
        <v>#VALUE!</v>
      </c>
    </row>
    <row r="7207" spans="1:12" x14ac:dyDescent="0.35">
      <c r="A7207">
        <f t="shared" si="428"/>
        <v>7206</v>
      </c>
      <c r="B7207" t="s">
        <v>750</v>
      </c>
      <c r="C7207" s="109" t="str">
        <f>IF(ISBLANK(K7207),IFERROR(VLOOKUP(I7207,FS_input_data!$C$458:$N$648,Export!J7207,FALSE),""),K7207)</f>
        <v/>
      </c>
      <c r="D7207" s="6"/>
      <c r="E7207" s="6"/>
      <c r="F7207" s="6"/>
      <c r="G7207" s="121" t="b">
        <f>VLOOKUP(I7198,FS_input_noty,J7198,FALSE)=""</f>
        <v>0</v>
      </c>
      <c r="H7207" s="6" t="s">
        <v>2189</v>
      </c>
      <c r="I7207" t="s">
        <v>1561</v>
      </c>
      <c r="J7207" t="s">
        <v>1561</v>
      </c>
      <c r="L7207">
        <f t="shared" si="427"/>
        <v>1</v>
      </c>
    </row>
    <row r="7208" spans="1:12" x14ac:dyDescent="0.35">
      <c r="A7208">
        <f t="shared" si="428"/>
        <v>7207</v>
      </c>
      <c r="B7208" t="s">
        <v>743</v>
      </c>
      <c r="C7208" s="109" t="str">
        <f>IF(ISBLANK(K7208),IFERROR(VLOOKUP(I7208,FS_input_data!$C$458:$N$648,Export!J7208,FALSE),""),K7208)</f>
        <v/>
      </c>
      <c r="D7208" s="6"/>
      <c r="E7208" s="6"/>
      <c r="F7208" s="6"/>
      <c r="G7208" s="121" t="b">
        <f>VLOOKUP(I7198,FS_input_noty,J7198,FALSE)=""</f>
        <v>0</v>
      </c>
      <c r="H7208" s="6" t="s">
        <v>2189</v>
      </c>
      <c r="I7208" t="s">
        <v>1561</v>
      </c>
      <c r="J7208" t="s">
        <v>1561</v>
      </c>
      <c r="L7208">
        <f t="shared" si="427"/>
        <v>1</v>
      </c>
    </row>
    <row r="7209" spans="1:12" x14ac:dyDescent="0.35">
      <c r="A7209">
        <f t="shared" si="428"/>
        <v>7208</v>
      </c>
      <c r="B7209" t="s">
        <v>744</v>
      </c>
      <c r="C7209" s="109" t="str">
        <f>IF(ISBLANK(K7209),IFERROR(VLOOKUP(I7209,FS_input_data!$C$458:$N$648,Export!J7209,FALSE),""),K7209)</f>
        <v/>
      </c>
      <c r="D7209" s="6"/>
      <c r="E7209" s="6"/>
      <c r="F7209" s="6"/>
      <c r="G7209" s="120" t="b">
        <f t="shared" ref="G7209:G7216" si="431">RP_tax</f>
        <v>1</v>
      </c>
      <c r="H7209" s="6" t="s">
        <v>2189</v>
      </c>
      <c r="I7209" t="s">
        <v>1561</v>
      </c>
      <c r="J7209" t="s">
        <v>1561</v>
      </c>
      <c r="L7209" s="26" t="e">
        <f t="shared" si="427"/>
        <v>#VALUE!</v>
      </c>
    </row>
    <row r="7210" spans="1:12" x14ac:dyDescent="0.35">
      <c r="A7210" s="9">
        <f t="shared" si="428"/>
        <v>7209</v>
      </c>
      <c r="B7210" t="s">
        <v>109</v>
      </c>
      <c r="C7210" s="109">
        <f>IF(ISBLANK(K7210),IFERROR(VLOOKUP(I7210,FS_input_data!$C$458:$N$648,Export!J7210,FALSE),""),K7210)</f>
        <v>2000</v>
      </c>
      <c r="D7210" s="6" t="b">
        <v>1</v>
      </c>
      <c r="E7210" s="6"/>
      <c r="F7210" s="6"/>
      <c r="G7210" s="120" t="b">
        <f t="shared" si="431"/>
        <v>1</v>
      </c>
      <c r="H7210" s="6" t="s">
        <v>2189</v>
      </c>
      <c r="I7210" t="s">
        <v>2100</v>
      </c>
      <c r="J7210">
        <v>10</v>
      </c>
      <c r="L7210" s="26" t="e">
        <f t="shared" si="427"/>
        <v>#VALUE!</v>
      </c>
    </row>
    <row r="7211" spans="1:12" x14ac:dyDescent="0.35">
      <c r="A7211">
        <f t="shared" si="428"/>
        <v>7210</v>
      </c>
      <c r="B7211" t="s">
        <v>110</v>
      </c>
      <c r="C7211" s="109" t="str">
        <f>IF(ISBLANK(K7211),IFERROR(VLOOKUP(I7211,FS_input_data!$C$458:$N$648,Export!J7211,FALSE),""),K7211)</f>
        <v/>
      </c>
      <c r="D7211" s="6"/>
      <c r="E7211" s="6"/>
      <c r="F7211" s="6"/>
      <c r="G7211" s="120" t="b">
        <f t="shared" si="431"/>
        <v>1</v>
      </c>
      <c r="H7211" s="6" t="s">
        <v>2189</v>
      </c>
      <c r="I7211" t="s">
        <v>1561</v>
      </c>
      <c r="J7211" t="s">
        <v>1561</v>
      </c>
      <c r="L7211">
        <f t="shared" si="427"/>
        <v>1</v>
      </c>
    </row>
    <row r="7212" spans="1:12" x14ac:dyDescent="0.35">
      <c r="A7212" s="9">
        <f t="shared" si="428"/>
        <v>7211</v>
      </c>
      <c r="B7212" t="s">
        <v>111</v>
      </c>
      <c r="C7212" s="109">
        <f>IF(ISBLANK(K7212),IFERROR(VLOOKUP(I7212,FS_input_data!$C$458:$N$648,Export!J7212,FALSE),""),K7212)</f>
        <v>1000</v>
      </c>
      <c r="D7212" s="6" t="b">
        <v>0</v>
      </c>
      <c r="E7212" s="6"/>
      <c r="F7212" s="6"/>
      <c r="G7212" s="120" t="b">
        <f t="shared" si="431"/>
        <v>1</v>
      </c>
      <c r="H7212" s="6" t="s">
        <v>2189</v>
      </c>
      <c r="I7212" t="s">
        <v>2100</v>
      </c>
      <c r="J7212">
        <v>11</v>
      </c>
      <c r="L7212" s="26" t="e">
        <f t="shared" si="427"/>
        <v>#VALUE!</v>
      </c>
    </row>
    <row r="7213" spans="1:12" x14ac:dyDescent="0.35">
      <c r="A7213">
        <f t="shared" si="428"/>
        <v>7212</v>
      </c>
      <c r="B7213" t="s">
        <v>112</v>
      </c>
      <c r="C7213" s="109" t="str">
        <f>IF(ISBLANK(K7213),IFERROR(VLOOKUP(I7213,FS_input_data!$C$458:$N$648,Export!J7213,FALSE),""),K7213)</f>
        <v/>
      </c>
      <c r="D7213" s="6"/>
      <c r="E7213" s="6"/>
      <c r="F7213" s="6"/>
      <c r="G7213" s="120" t="b">
        <f t="shared" si="431"/>
        <v>1</v>
      </c>
      <c r="H7213" s="6" t="s">
        <v>2189</v>
      </c>
      <c r="I7213" t="s">
        <v>1561</v>
      </c>
      <c r="J7213" t="s">
        <v>1561</v>
      </c>
      <c r="L7213">
        <f t="shared" si="427"/>
        <v>1</v>
      </c>
    </row>
    <row r="7214" spans="1:12" x14ac:dyDescent="0.35">
      <c r="A7214" s="9">
        <f t="shared" si="428"/>
        <v>7213</v>
      </c>
      <c r="B7214" t="s">
        <v>749</v>
      </c>
      <c r="C7214" s="109">
        <f>IF(ISBLANK(K7214),IFERROR(VLOOKUP(I7214,FS_input_data!$C$458:$N$648,Export!J7214,FALSE),""),K7214)</f>
        <v>1000</v>
      </c>
      <c r="D7214" s="6" t="b">
        <v>0</v>
      </c>
      <c r="E7214" s="6"/>
      <c r="F7214" s="6"/>
      <c r="G7214" s="120" t="b">
        <f t="shared" si="431"/>
        <v>1</v>
      </c>
      <c r="H7214" s="6" t="s">
        <v>2189</v>
      </c>
      <c r="I7214" t="s">
        <v>2100</v>
      </c>
      <c r="J7214">
        <v>12</v>
      </c>
      <c r="L7214" s="26" t="e">
        <f t="shared" si="427"/>
        <v>#VALUE!</v>
      </c>
    </row>
    <row r="7215" spans="1:12" x14ac:dyDescent="0.35">
      <c r="A7215">
        <f t="shared" si="428"/>
        <v>7214</v>
      </c>
      <c r="B7215" t="s">
        <v>750</v>
      </c>
      <c r="C7215" s="109" t="str">
        <f>IF(ISBLANK(K7215),IFERROR(VLOOKUP(I7215,FS_input_data!$C$458:$N$648,Export!J7215,FALSE),""),K7215)</f>
        <v/>
      </c>
      <c r="D7215" s="6"/>
      <c r="E7215" s="6"/>
      <c r="F7215" s="6"/>
      <c r="G7215" s="120" t="b">
        <f t="shared" si="431"/>
        <v>1</v>
      </c>
      <c r="H7215" s="6" t="s">
        <v>2189</v>
      </c>
      <c r="I7215" t="s">
        <v>1561</v>
      </c>
      <c r="J7215" t="s">
        <v>1561</v>
      </c>
      <c r="L7215">
        <f t="shared" si="427"/>
        <v>1</v>
      </c>
    </row>
    <row r="7216" spans="1:12" x14ac:dyDescent="0.35">
      <c r="A7216">
        <f t="shared" si="428"/>
        <v>7215</v>
      </c>
      <c r="B7216" t="s">
        <v>745</v>
      </c>
      <c r="C7216" s="109" t="str">
        <f>IF(ISBLANK(K7216),IFERROR(VLOOKUP(I7216,FS_input_data!$C$458:$N$648,Export!J7216,FALSE),""),K7216)</f>
        <v/>
      </c>
      <c r="D7216" s="6"/>
      <c r="E7216" s="6"/>
      <c r="F7216" s="6"/>
      <c r="G7216" s="120" t="b">
        <f t="shared" si="431"/>
        <v>1</v>
      </c>
      <c r="H7216" s="6" t="s">
        <v>2189</v>
      </c>
      <c r="I7216" t="s">
        <v>1561</v>
      </c>
      <c r="J7216" t="s">
        <v>1561</v>
      </c>
      <c r="L7216">
        <f t="shared" si="427"/>
        <v>1</v>
      </c>
    </row>
    <row r="7217" spans="1:12" x14ac:dyDescent="0.35">
      <c r="A7217">
        <f t="shared" si="428"/>
        <v>7216</v>
      </c>
      <c r="B7217" t="s">
        <v>764</v>
      </c>
      <c r="C7217" s="109" t="str">
        <f>IF(ISBLANK(K7217),IFERROR(VLOOKUP(I7217,FS_input_data!$C$458:$N$648,Export!J7217,FALSE),""),K7217)</f>
        <v/>
      </c>
      <c r="D7217" s="6"/>
      <c r="E7217" s="6"/>
      <c r="F7217" s="6"/>
      <c r="G7217" s="120" t="b">
        <f>VLOOKUP(I7198,FS_input_noty,J7198,FALSE)=""</f>
        <v>0</v>
      </c>
      <c r="H7217" s="6" t="s">
        <v>2189</v>
      </c>
      <c r="I7217" t="s">
        <v>1561</v>
      </c>
      <c r="J7217" t="s">
        <v>1561</v>
      </c>
      <c r="L7217">
        <f t="shared" si="427"/>
        <v>1</v>
      </c>
    </row>
    <row r="7218" spans="1:12" x14ac:dyDescent="0.35">
      <c r="A7218">
        <f t="shared" si="428"/>
        <v>7217</v>
      </c>
      <c r="B7218" t="s">
        <v>765</v>
      </c>
      <c r="C7218" s="109" t="str">
        <f>IF(ISBLANK(K7218),IFERROR(VLOOKUP(I7218,FS_input_data!$C$458:$N$648,Export!J7218,FALSE),""),K7218)</f>
        <v/>
      </c>
      <c r="D7218" s="6"/>
      <c r="E7218" s="6"/>
      <c r="F7218" s="6"/>
      <c r="G7218" s="120" t="b">
        <f>VLOOKUP(I7198,FS_input_noty,J7198,FALSE)=""</f>
        <v>0</v>
      </c>
      <c r="H7218" s="6" t="s">
        <v>2189</v>
      </c>
      <c r="I7218" t="s">
        <v>1561</v>
      </c>
      <c r="J7218" t="s">
        <v>1561</v>
      </c>
      <c r="L7218">
        <f t="shared" si="427"/>
        <v>1</v>
      </c>
    </row>
    <row r="7219" spans="1:12" x14ac:dyDescent="0.35">
      <c r="A7219">
        <f t="shared" si="428"/>
        <v>7218</v>
      </c>
      <c r="B7219" t="s">
        <v>752</v>
      </c>
      <c r="C7219" s="109" t="str">
        <f>IF(ISBLANK(K7219),IFERROR(VLOOKUP(I7219,FS_input_data!$C$458:$N$648,Export!J7219,FALSE),""),K7219)</f>
        <v/>
      </c>
      <c r="D7219" s="6"/>
      <c r="E7219" s="6"/>
      <c r="F7219" s="6"/>
      <c r="G7219" s="120" t="b">
        <f>VLOOKUP(I7220,FS_input_noty,J7220,FALSE)=""</f>
        <v>0</v>
      </c>
      <c r="H7219" s="6" t="s">
        <v>2189</v>
      </c>
      <c r="I7219" t="s">
        <v>1561</v>
      </c>
      <c r="J7219" t="s">
        <v>1561</v>
      </c>
      <c r="L7219" s="26" t="e">
        <f t="shared" si="427"/>
        <v>#VALUE!</v>
      </c>
    </row>
    <row r="7220" spans="1:12" x14ac:dyDescent="0.35">
      <c r="A7220" s="9">
        <f t="shared" si="428"/>
        <v>7219</v>
      </c>
      <c r="B7220" t="s">
        <v>101</v>
      </c>
      <c r="C7220" s="109" t="str">
        <f>IF(ISBLANK(K7220),IFERROR(VLOOKUP(I7220,FS_input_data!$C$458:$N$648,Export!J7220,FALSE),""),K7220)</f>
        <v>OC124</v>
      </c>
      <c r="D7220" s="6" t="b">
        <v>1</v>
      </c>
      <c r="E7220" s="6"/>
      <c r="F7220" s="6"/>
      <c r="G7220" s="120" t="b">
        <f>VLOOKUP(I7220,FS_input_noty,J7220,FALSE)=""</f>
        <v>0</v>
      </c>
      <c r="H7220" s="6" t="s">
        <v>2189</v>
      </c>
      <c r="I7220" t="s">
        <v>2102</v>
      </c>
      <c r="J7220">
        <v>6</v>
      </c>
      <c r="L7220" s="26" t="e">
        <f t="shared" si="427"/>
        <v>#VALUE!</v>
      </c>
    </row>
    <row r="7221" spans="1:12" x14ac:dyDescent="0.35">
      <c r="A7221">
        <f t="shared" si="428"/>
        <v>7220</v>
      </c>
      <c r="B7221" t="s">
        <v>102</v>
      </c>
      <c r="C7221" s="109" t="str">
        <f>IF(ISBLANK(K7221),IFERROR(VLOOKUP(I7221,FS_input_data!$C$458:$N$648,Export!J7221,FALSE),""),K7221)</f>
        <v/>
      </c>
      <c r="D7221" s="6"/>
      <c r="E7221" s="6"/>
      <c r="F7221" s="6"/>
      <c r="G7221" s="120" t="b">
        <f>VLOOKUP(I7220,FS_input_noty,J7220,FALSE)=""</f>
        <v>0</v>
      </c>
      <c r="H7221" s="6" t="s">
        <v>2189</v>
      </c>
      <c r="I7221" t="s">
        <v>1561</v>
      </c>
      <c r="J7221" t="s">
        <v>1561</v>
      </c>
      <c r="L7221">
        <f t="shared" si="427"/>
        <v>1</v>
      </c>
    </row>
    <row r="7222" spans="1:12" x14ac:dyDescent="0.35">
      <c r="A7222">
        <f t="shared" si="428"/>
        <v>7221</v>
      </c>
      <c r="B7222" t="s">
        <v>753</v>
      </c>
      <c r="C7222" s="109" t="str">
        <f>IF(ISBLANK(K7222),IFERROR(VLOOKUP(I7222,FS_input_data!$C$458:$N$648,Export!J7222,FALSE),""),K7222)</f>
        <v/>
      </c>
      <c r="D7222" s="6"/>
      <c r="E7222" s="6"/>
      <c r="F7222" s="6"/>
      <c r="G7222" s="120" t="b">
        <f>VLOOKUP(I7220,FS_input_noty,J7220,FALSE)=""</f>
        <v>0</v>
      </c>
      <c r="H7222" s="6" t="s">
        <v>2189</v>
      </c>
      <c r="I7222" t="s">
        <v>1561</v>
      </c>
      <c r="J7222" t="s">
        <v>1561</v>
      </c>
      <c r="L7222" s="26" t="e">
        <f t="shared" si="427"/>
        <v>#VALUE!</v>
      </c>
    </row>
    <row r="7223" spans="1:12" x14ac:dyDescent="0.35">
      <c r="A7223">
        <f t="shared" si="428"/>
        <v>7222</v>
      </c>
      <c r="B7223" t="s">
        <v>742</v>
      </c>
      <c r="C7223" s="109" t="str">
        <f>IF(ISBLANK(K7223),IFERROR(VLOOKUP(I7223,FS_input_data!$C$458:$N$648,Export!J7223,FALSE),""),K7223)</f>
        <v/>
      </c>
      <c r="D7223" s="6"/>
      <c r="E7223" s="6"/>
      <c r="F7223" s="6"/>
      <c r="G7223" s="120" t="b">
        <f>VLOOKUP(I7220,FS_input_noty,J7220,FALSE)=""</f>
        <v>0</v>
      </c>
      <c r="H7223" s="6" t="s">
        <v>2189</v>
      </c>
      <c r="I7223" t="s">
        <v>1561</v>
      </c>
      <c r="J7223" t="s">
        <v>1561</v>
      </c>
      <c r="L7223" s="26" t="e">
        <f t="shared" si="427"/>
        <v>#VALUE!</v>
      </c>
    </row>
    <row r="7224" spans="1:12" x14ac:dyDescent="0.35">
      <c r="A7224" s="9">
        <f t="shared" si="428"/>
        <v>7223</v>
      </c>
      <c r="B7224" t="s">
        <v>109</v>
      </c>
      <c r="C7224" s="109">
        <f>IF(ISBLANK(K7224),IFERROR(VLOOKUP(I7224,FS_input_data!$C$458:$N$648,Export!J7224,FALSE),""),K7224)</f>
        <v>3000</v>
      </c>
      <c r="D7224" s="6" t="b">
        <v>1</v>
      </c>
      <c r="E7224" s="6"/>
      <c r="F7224" s="6"/>
      <c r="G7224" s="120" t="b">
        <f>VLOOKUP(I7220,FS_input_noty,J7220,FALSE)=""</f>
        <v>0</v>
      </c>
      <c r="H7224" s="6" t="s">
        <v>2189</v>
      </c>
      <c r="I7224" t="s">
        <v>2102</v>
      </c>
      <c r="J7224">
        <v>7</v>
      </c>
      <c r="L7224" s="26" t="e">
        <f t="shared" si="427"/>
        <v>#VALUE!</v>
      </c>
    </row>
    <row r="7225" spans="1:12" x14ac:dyDescent="0.35">
      <c r="A7225">
        <f t="shared" si="428"/>
        <v>7224</v>
      </c>
      <c r="B7225" t="s">
        <v>110</v>
      </c>
      <c r="C7225" s="109" t="str">
        <f>IF(ISBLANK(K7225),IFERROR(VLOOKUP(I7225,FS_input_data!$C$458:$N$648,Export!J7225,FALSE),""),K7225)</f>
        <v/>
      </c>
      <c r="D7225" s="6"/>
      <c r="E7225" s="6"/>
      <c r="F7225" s="6"/>
      <c r="G7225" s="120" t="b">
        <f>VLOOKUP(I7220,FS_input_noty,J7220,FALSE)=""</f>
        <v>0</v>
      </c>
      <c r="H7225" s="6" t="s">
        <v>2189</v>
      </c>
      <c r="I7225" t="s">
        <v>1561</v>
      </c>
      <c r="J7225" t="s">
        <v>1561</v>
      </c>
      <c r="L7225">
        <f t="shared" si="427"/>
        <v>1</v>
      </c>
    </row>
    <row r="7226" spans="1:12" x14ac:dyDescent="0.35">
      <c r="A7226" s="9">
        <f t="shared" si="428"/>
        <v>7225</v>
      </c>
      <c r="B7226" t="s">
        <v>111</v>
      </c>
      <c r="C7226" s="109">
        <f>IF(ISBLANK(K7226),IFERROR(VLOOKUP(I7226,FS_input_data!$C$458:$N$648,Export!J7226,FALSE),""),K7226)</f>
        <v>1500</v>
      </c>
      <c r="D7226" s="6" t="b">
        <v>0</v>
      </c>
      <c r="E7226" s="6"/>
      <c r="F7226" s="6"/>
      <c r="G7226" s="120" t="b">
        <f>VLOOKUP(I7220,FS_input_noty,J7220,FALSE)=""</f>
        <v>0</v>
      </c>
      <c r="H7226" s="6" t="s">
        <v>2189</v>
      </c>
      <c r="I7226" t="s">
        <v>2102</v>
      </c>
      <c r="J7226">
        <v>8</v>
      </c>
      <c r="L7226" s="26" t="e">
        <f t="shared" si="427"/>
        <v>#VALUE!</v>
      </c>
    </row>
    <row r="7227" spans="1:12" x14ac:dyDescent="0.35">
      <c r="A7227">
        <f t="shared" si="428"/>
        <v>7226</v>
      </c>
      <c r="B7227" t="s">
        <v>112</v>
      </c>
      <c r="C7227" s="109" t="str">
        <f>IF(ISBLANK(K7227),IFERROR(VLOOKUP(I7227,FS_input_data!$C$458:$N$648,Export!J7227,FALSE),""),K7227)</f>
        <v/>
      </c>
      <c r="D7227" s="6"/>
      <c r="E7227" s="6"/>
      <c r="F7227" s="6"/>
      <c r="G7227" s="120" t="b">
        <f>VLOOKUP(I7220,FS_input_noty,J7220,FALSE)=""</f>
        <v>0</v>
      </c>
      <c r="H7227" s="6" t="s">
        <v>2189</v>
      </c>
      <c r="I7227" t="s">
        <v>1561</v>
      </c>
      <c r="J7227" t="s">
        <v>1561</v>
      </c>
      <c r="L7227">
        <f t="shared" si="427"/>
        <v>1</v>
      </c>
    </row>
    <row r="7228" spans="1:12" x14ac:dyDescent="0.35">
      <c r="A7228" s="9">
        <f t="shared" si="428"/>
        <v>7227</v>
      </c>
      <c r="B7228" t="s">
        <v>749</v>
      </c>
      <c r="C7228" s="109">
        <f>IF(ISBLANK(K7228),IFERROR(VLOOKUP(I7228,FS_input_data!$C$458:$N$648,Export!J7228,FALSE),""),K7228)</f>
        <v>1500</v>
      </c>
      <c r="D7228" s="6" t="b">
        <v>0</v>
      </c>
      <c r="E7228" s="6"/>
      <c r="F7228" s="6"/>
      <c r="G7228" s="120" t="b">
        <f>VLOOKUP(I7220,FS_input_noty,J7220,FALSE)=""</f>
        <v>0</v>
      </c>
      <c r="H7228" s="6" t="s">
        <v>2189</v>
      </c>
      <c r="I7228" t="s">
        <v>2102</v>
      </c>
      <c r="J7228">
        <v>9</v>
      </c>
      <c r="L7228" s="26" t="e">
        <f t="shared" si="427"/>
        <v>#VALUE!</v>
      </c>
    </row>
    <row r="7229" spans="1:12" x14ac:dyDescent="0.35">
      <c r="A7229">
        <f t="shared" si="428"/>
        <v>7228</v>
      </c>
      <c r="B7229" t="s">
        <v>750</v>
      </c>
      <c r="C7229" s="109" t="str">
        <f>IF(ISBLANK(K7229),IFERROR(VLOOKUP(I7229,FS_input_data!$C$458:$N$648,Export!J7229,FALSE),""),K7229)</f>
        <v/>
      </c>
      <c r="D7229" s="6"/>
      <c r="E7229" s="6"/>
      <c r="F7229" s="6"/>
      <c r="G7229" s="120" t="b">
        <f>VLOOKUP(I7220,FS_input_noty,J7220,FALSE)=""</f>
        <v>0</v>
      </c>
      <c r="H7229" s="6" t="s">
        <v>2189</v>
      </c>
      <c r="I7229" t="s">
        <v>1561</v>
      </c>
      <c r="J7229" t="s">
        <v>1561</v>
      </c>
      <c r="L7229">
        <f t="shared" si="427"/>
        <v>1</v>
      </c>
    </row>
    <row r="7230" spans="1:12" x14ac:dyDescent="0.35">
      <c r="A7230">
        <f t="shared" si="428"/>
        <v>7229</v>
      </c>
      <c r="B7230" t="s">
        <v>743</v>
      </c>
      <c r="C7230" s="109" t="str">
        <f>IF(ISBLANK(K7230),IFERROR(VLOOKUP(I7230,FS_input_data!$C$458:$N$648,Export!J7230,FALSE),""),K7230)</f>
        <v/>
      </c>
      <c r="D7230" s="6"/>
      <c r="E7230" s="6"/>
      <c r="F7230" s="6"/>
      <c r="G7230" s="120" t="b">
        <f>VLOOKUP(I7220,FS_input_noty,J7220,FALSE)=""</f>
        <v>0</v>
      </c>
      <c r="H7230" s="6" t="s">
        <v>2189</v>
      </c>
      <c r="I7230" t="s">
        <v>1561</v>
      </c>
      <c r="J7230" t="s">
        <v>1561</v>
      </c>
      <c r="L7230">
        <f t="shared" si="427"/>
        <v>1</v>
      </c>
    </row>
    <row r="7231" spans="1:12" x14ac:dyDescent="0.35">
      <c r="A7231">
        <f t="shared" si="428"/>
        <v>7230</v>
      </c>
      <c r="B7231" t="s">
        <v>744</v>
      </c>
      <c r="C7231" s="109" t="str">
        <f>IF(ISBLANK(K7231),IFERROR(VLOOKUP(I7231,FS_input_data!$C$458:$N$648,Export!J7231,FALSE),""),K7231)</f>
        <v/>
      </c>
      <c r="D7231" s="6"/>
      <c r="E7231" s="6"/>
      <c r="F7231" s="6"/>
      <c r="G7231" s="120" t="b">
        <f t="shared" ref="G7231:G7238" si="432">RP_tax</f>
        <v>1</v>
      </c>
      <c r="H7231" s="6" t="s">
        <v>2189</v>
      </c>
      <c r="I7231" t="s">
        <v>1561</v>
      </c>
      <c r="J7231" t="s">
        <v>1561</v>
      </c>
      <c r="L7231" s="26" t="e">
        <f t="shared" si="427"/>
        <v>#VALUE!</v>
      </c>
    </row>
    <row r="7232" spans="1:12" x14ac:dyDescent="0.35">
      <c r="A7232" s="9">
        <f t="shared" si="428"/>
        <v>7231</v>
      </c>
      <c r="B7232" t="s">
        <v>109</v>
      </c>
      <c r="C7232" s="109">
        <f>IF(ISBLANK(K7232),IFERROR(VLOOKUP(I7232,FS_input_data!$C$458:$N$648,Export!J7232,FALSE),""),K7232)</f>
        <v>3000</v>
      </c>
      <c r="D7232" s="6" t="b">
        <v>1</v>
      </c>
      <c r="E7232" s="6"/>
      <c r="F7232" s="6"/>
      <c r="G7232" s="120" t="b">
        <f t="shared" si="432"/>
        <v>1</v>
      </c>
      <c r="H7232" s="6" t="s">
        <v>2189</v>
      </c>
      <c r="I7232" t="s">
        <v>2102</v>
      </c>
      <c r="J7232">
        <v>10</v>
      </c>
      <c r="L7232" s="26" t="e">
        <f t="shared" si="427"/>
        <v>#VALUE!</v>
      </c>
    </row>
    <row r="7233" spans="1:12" x14ac:dyDescent="0.35">
      <c r="A7233">
        <f t="shared" si="428"/>
        <v>7232</v>
      </c>
      <c r="B7233" t="s">
        <v>110</v>
      </c>
      <c r="C7233" s="109" t="str">
        <f>IF(ISBLANK(K7233),IFERROR(VLOOKUP(I7233,FS_input_data!$C$458:$N$648,Export!J7233,FALSE),""),K7233)</f>
        <v/>
      </c>
      <c r="D7233" s="6"/>
      <c r="E7233" s="6"/>
      <c r="F7233" s="6"/>
      <c r="G7233" s="120" t="b">
        <f t="shared" si="432"/>
        <v>1</v>
      </c>
      <c r="H7233" s="6" t="s">
        <v>2189</v>
      </c>
      <c r="I7233" t="s">
        <v>1561</v>
      </c>
      <c r="J7233" t="s">
        <v>1561</v>
      </c>
      <c r="L7233">
        <f t="shared" si="427"/>
        <v>1</v>
      </c>
    </row>
    <row r="7234" spans="1:12" x14ac:dyDescent="0.35">
      <c r="A7234" s="9">
        <f t="shared" si="428"/>
        <v>7233</v>
      </c>
      <c r="B7234" t="s">
        <v>111</v>
      </c>
      <c r="C7234" s="109">
        <f>IF(ISBLANK(K7234),IFERROR(VLOOKUP(I7234,FS_input_data!$C$458:$N$648,Export!J7234,FALSE),""),K7234)</f>
        <v>1500</v>
      </c>
      <c r="D7234" s="6" t="b">
        <v>0</v>
      </c>
      <c r="E7234" s="6"/>
      <c r="F7234" s="6"/>
      <c r="G7234" s="120" t="b">
        <f t="shared" si="432"/>
        <v>1</v>
      </c>
      <c r="H7234" s="6" t="s">
        <v>2189</v>
      </c>
      <c r="I7234" t="s">
        <v>2102</v>
      </c>
      <c r="J7234">
        <v>11</v>
      </c>
      <c r="L7234" s="26" t="e">
        <f t="shared" ref="L7234:L7297" si="433">FIND("/",B7234)</f>
        <v>#VALUE!</v>
      </c>
    </row>
    <row r="7235" spans="1:12" x14ac:dyDescent="0.35">
      <c r="A7235">
        <f t="shared" ref="A7235:A7298" si="434">A7234+1</f>
        <v>7234</v>
      </c>
      <c r="B7235" t="s">
        <v>112</v>
      </c>
      <c r="C7235" s="109" t="str">
        <f>IF(ISBLANK(K7235),IFERROR(VLOOKUP(I7235,FS_input_data!$C$458:$N$648,Export!J7235,FALSE),""),K7235)</f>
        <v/>
      </c>
      <c r="D7235" s="6"/>
      <c r="E7235" s="6"/>
      <c r="F7235" s="6"/>
      <c r="G7235" s="120" t="b">
        <f t="shared" si="432"/>
        <v>1</v>
      </c>
      <c r="H7235" s="6" t="s">
        <v>2189</v>
      </c>
      <c r="I7235" t="s">
        <v>1561</v>
      </c>
      <c r="J7235" t="s">
        <v>1561</v>
      </c>
      <c r="L7235">
        <f t="shared" si="433"/>
        <v>1</v>
      </c>
    </row>
    <row r="7236" spans="1:12" x14ac:dyDescent="0.35">
      <c r="A7236" s="9">
        <f t="shared" si="434"/>
        <v>7235</v>
      </c>
      <c r="B7236" t="s">
        <v>749</v>
      </c>
      <c r="C7236" s="109">
        <f>IF(ISBLANK(K7236),IFERROR(VLOOKUP(I7236,FS_input_data!$C$458:$N$648,Export!J7236,FALSE),""),K7236)</f>
        <v>1500</v>
      </c>
      <c r="D7236" s="6" t="b">
        <v>0</v>
      </c>
      <c r="E7236" s="6"/>
      <c r="F7236" s="6"/>
      <c r="G7236" s="120" t="b">
        <f t="shared" si="432"/>
        <v>1</v>
      </c>
      <c r="H7236" s="6" t="s">
        <v>2189</v>
      </c>
      <c r="I7236" t="s">
        <v>2102</v>
      </c>
      <c r="J7236">
        <v>12</v>
      </c>
      <c r="L7236" s="26" t="e">
        <f t="shared" si="433"/>
        <v>#VALUE!</v>
      </c>
    </row>
    <row r="7237" spans="1:12" x14ac:dyDescent="0.35">
      <c r="A7237">
        <f t="shared" si="434"/>
        <v>7236</v>
      </c>
      <c r="B7237" t="s">
        <v>750</v>
      </c>
      <c r="C7237" s="109" t="str">
        <f>IF(ISBLANK(K7237),IFERROR(VLOOKUP(I7237,FS_input_data!$C$458:$N$648,Export!J7237,FALSE),""),K7237)</f>
        <v/>
      </c>
      <c r="D7237" s="6"/>
      <c r="E7237" s="6"/>
      <c r="F7237" s="6"/>
      <c r="G7237" s="120" t="b">
        <f t="shared" si="432"/>
        <v>1</v>
      </c>
      <c r="H7237" s="6" t="s">
        <v>2189</v>
      </c>
      <c r="I7237" t="s">
        <v>1561</v>
      </c>
      <c r="J7237" t="s">
        <v>1561</v>
      </c>
      <c r="L7237">
        <f t="shared" si="433"/>
        <v>1</v>
      </c>
    </row>
    <row r="7238" spans="1:12" x14ac:dyDescent="0.35">
      <c r="A7238">
        <f t="shared" si="434"/>
        <v>7237</v>
      </c>
      <c r="B7238" t="s">
        <v>745</v>
      </c>
      <c r="C7238" s="109" t="str">
        <f>IF(ISBLANK(K7238),IFERROR(VLOOKUP(I7238,FS_input_data!$C$458:$N$648,Export!J7238,FALSE),""),K7238)</f>
        <v/>
      </c>
      <c r="D7238" s="6"/>
      <c r="E7238" s="6"/>
      <c r="F7238" s="6"/>
      <c r="G7238" s="120" t="b">
        <f t="shared" si="432"/>
        <v>1</v>
      </c>
      <c r="H7238" s="6" t="s">
        <v>2189</v>
      </c>
      <c r="I7238" t="s">
        <v>1561</v>
      </c>
      <c r="J7238" t="s">
        <v>1561</v>
      </c>
      <c r="L7238">
        <f t="shared" si="433"/>
        <v>1</v>
      </c>
    </row>
    <row r="7239" spans="1:12" x14ac:dyDescent="0.35">
      <c r="A7239">
        <f t="shared" si="434"/>
        <v>7238</v>
      </c>
      <c r="B7239" t="s">
        <v>764</v>
      </c>
      <c r="C7239" s="109" t="str">
        <f>IF(ISBLANK(K7239),IFERROR(VLOOKUP(I7239,FS_input_data!$C$458:$N$648,Export!J7239,FALSE),""),K7239)</f>
        <v/>
      </c>
      <c r="D7239" s="6"/>
      <c r="E7239" s="6"/>
      <c r="F7239" s="6"/>
      <c r="G7239" s="120" t="b">
        <f>VLOOKUP(I7220,FS_input_noty,J7220,FALSE)=""</f>
        <v>0</v>
      </c>
      <c r="H7239" s="6" t="s">
        <v>2189</v>
      </c>
      <c r="I7239" t="s">
        <v>1561</v>
      </c>
      <c r="J7239" t="s">
        <v>1561</v>
      </c>
      <c r="L7239">
        <f t="shared" si="433"/>
        <v>1</v>
      </c>
    </row>
    <row r="7240" spans="1:12" x14ac:dyDescent="0.35">
      <c r="A7240">
        <f t="shared" si="434"/>
        <v>7239</v>
      </c>
      <c r="B7240" t="s">
        <v>765</v>
      </c>
      <c r="C7240" s="109" t="str">
        <f>IF(ISBLANK(K7240),IFERROR(VLOOKUP(I7240,FS_input_data!$C$458:$N$648,Export!J7240,FALSE),""),K7240)</f>
        <v/>
      </c>
      <c r="D7240" s="6"/>
      <c r="E7240" s="6"/>
      <c r="F7240" s="6"/>
      <c r="G7240" s="120" t="b">
        <f>VLOOKUP(I7220,FS_input_noty,J7220,FALSE)=""</f>
        <v>0</v>
      </c>
      <c r="H7240" s="6" t="s">
        <v>2189</v>
      </c>
      <c r="I7240" t="s">
        <v>1561</v>
      </c>
      <c r="J7240" t="s">
        <v>1561</v>
      </c>
      <c r="L7240">
        <f t="shared" si="433"/>
        <v>1</v>
      </c>
    </row>
    <row r="7241" spans="1:12" x14ac:dyDescent="0.35">
      <c r="A7241">
        <f t="shared" si="434"/>
        <v>7240</v>
      </c>
      <c r="B7241" t="s">
        <v>752</v>
      </c>
      <c r="C7241" s="109" t="str">
        <f>IF(ISBLANK(K7241),IFERROR(VLOOKUP(I7241,FS_input_data!$C$458:$N$648,Export!J7241,FALSE),""),K7241)</f>
        <v/>
      </c>
      <c r="D7241" s="6"/>
      <c r="E7241" s="6"/>
      <c r="F7241" s="6"/>
      <c r="G7241" s="120" t="b">
        <f>VLOOKUP(I7242,FS_input_noty,J7242,FALSE)=""</f>
        <v>0</v>
      </c>
      <c r="H7241" s="6" t="s">
        <v>2189</v>
      </c>
      <c r="I7241" t="s">
        <v>1561</v>
      </c>
      <c r="J7241" t="s">
        <v>1561</v>
      </c>
      <c r="L7241" s="26" t="e">
        <f t="shared" si="433"/>
        <v>#VALUE!</v>
      </c>
    </row>
    <row r="7242" spans="1:12" x14ac:dyDescent="0.35">
      <c r="A7242" s="9">
        <f t="shared" si="434"/>
        <v>7241</v>
      </c>
      <c r="B7242" t="s">
        <v>101</v>
      </c>
      <c r="C7242" s="109" t="str">
        <f>IF(ISBLANK(K7242),IFERROR(VLOOKUP(I7242,FS_input_data!$C$458:$N$648,Export!J7242,FALSE),""),K7242)</f>
        <v>OC125</v>
      </c>
      <c r="D7242" s="6" t="b">
        <v>1</v>
      </c>
      <c r="E7242" s="6"/>
      <c r="F7242" s="6"/>
      <c r="G7242" s="120" t="b">
        <f>VLOOKUP(I7242,FS_input_noty,J7242,FALSE)=""</f>
        <v>0</v>
      </c>
      <c r="H7242" s="6" t="s">
        <v>2189</v>
      </c>
      <c r="I7242" t="s">
        <v>2104</v>
      </c>
      <c r="J7242">
        <v>6</v>
      </c>
      <c r="L7242" s="26" t="e">
        <f t="shared" si="433"/>
        <v>#VALUE!</v>
      </c>
    </row>
    <row r="7243" spans="1:12" x14ac:dyDescent="0.35">
      <c r="A7243">
        <f t="shared" si="434"/>
        <v>7242</v>
      </c>
      <c r="B7243" t="s">
        <v>102</v>
      </c>
      <c r="C7243" s="109" t="str">
        <f>IF(ISBLANK(K7243),IFERROR(VLOOKUP(I7243,FS_input_data!$C$458:$N$648,Export!J7243,FALSE),""),K7243)</f>
        <v/>
      </c>
      <c r="D7243" s="6"/>
      <c r="E7243" s="6"/>
      <c r="F7243" s="6"/>
      <c r="G7243" s="120" t="b">
        <f>VLOOKUP(I7242,FS_input_noty,J7242,FALSE)=""</f>
        <v>0</v>
      </c>
      <c r="H7243" s="6" t="s">
        <v>2189</v>
      </c>
      <c r="I7243" t="s">
        <v>1561</v>
      </c>
      <c r="J7243" t="s">
        <v>1561</v>
      </c>
      <c r="L7243">
        <f t="shared" si="433"/>
        <v>1</v>
      </c>
    </row>
    <row r="7244" spans="1:12" x14ac:dyDescent="0.35">
      <c r="A7244">
        <f t="shared" si="434"/>
        <v>7243</v>
      </c>
      <c r="B7244" t="s">
        <v>753</v>
      </c>
      <c r="C7244" s="109" t="str">
        <f>IF(ISBLANK(K7244),IFERROR(VLOOKUP(I7244,FS_input_data!$C$458:$N$648,Export!J7244,FALSE),""),K7244)</f>
        <v/>
      </c>
      <c r="D7244" s="6"/>
      <c r="E7244" s="6"/>
      <c r="F7244" s="6"/>
      <c r="G7244" s="120" t="b">
        <f>VLOOKUP(I7242,FS_input_noty,J7242,FALSE)=""</f>
        <v>0</v>
      </c>
      <c r="H7244" s="6" t="s">
        <v>2189</v>
      </c>
      <c r="I7244" t="s">
        <v>1561</v>
      </c>
      <c r="J7244" t="s">
        <v>1561</v>
      </c>
      <c r="L7244" s="26" t="e">
        <f t="shared" si="433"/>
        <v>#VALUE!</v>
      </c>
    </row>
    <row r="7245" spans="1:12" x14ac:dyDescent="0.35">
      <c r="A7245">
        <f t="shared" si="434"/>
        <v>7244</v>
      </c>
      <c r="B7245" t="s">
        <v>742</v>
      </c>
      <c r="C7245" s="109" t="str">
        <f>IF(ISBLANK(K7245),IFERROR(VLOOKUP(I7245,FS_input_data!$C$458:$N$648,Export!J7245,FALSE),""),K7245)</f>
        <v/>
      </c>
      <c r="D7245" s="6"/>
      <c r="E7245" s="6"/>
      <c r="F7245" s="6"/>
      <c r="G7245" s="120" t="b">
        <f>VLOOKUP(I7242,FS_input_noty,J7242,FALSE)=""</f>
        <v>0</v>
      </c>
      <c r="H7245" s="6" t="s">
        <v>2189</v>
      </c>
      <c r="I7245" t="s">
        <v>1561</v>
      </c>
      <c r="J7245" t="s">
        <v>1561</v>
      </c>
      <c r="L7245" s="26" t="e">
        <f t="shared" si="433"/>
        <v>#VALUE!</v>
      </c>
    </row>
    <row r="7246" spans="1:12" x14ac:dyDescent="0.35">
      <c r="A7246" s="9">
        <f t="shared" si="434"/>
        <v>7245</v>
      </c>
      <c r="B7246" t="s">
        <v>109</v>
      </c>
      <c r="C7246" s="109">
        <f>IF(ISBLANK(K7246),IFERROR(VLOOKUP(I7246,FS_input_data!$C$458:$N$648,Export!J7246,FALSE),""),K7246)</f>
        <v>4000</v>
      </c>
      <c r="D7246" s="6" t="b">
        <v>1</v>
      </c>
      <c r="E7246" s="6"/>
      <c r="F7246" s="6"/>
      <c r="G7246" s="120" t="b">
        <f>VLOOKUP(I7242,FS_input_noty,J7242,FALSE)=""</f>
        <v>0</v>
      </c>
      <c r="H7246" s="6" t="s">
        <v>2189</v>
      </c>
      <c r="I7246" t="s">
        <v>2104</v>
      </c>
      <c r="J7246">
        <v>7</v>
      </c>
      <c r="L7246" s="26" t="e">
        <f t="shared" si="433"/>
        <v>#VALUE!</v>
      </c>
    </row>
    <row r="7247" spans="1:12" x14ac:dyDescent="0.35">
      <c r="A7247">
        <f t="shared" si="434"/>
        <v>7246</v>
      </c>
      <c r="B7247" t="s">
        <v>110</v>
      </c>
      <c r="C7247" s="109" t="str">
        <f>IF(ISBLANK(K7247),IFERROR(VLOOKUP(I7247,FS_input_data!$C$458:$N$648,Export!J7247,FALSE),""),K7247)</f>
        <v/>
      </c>
      <c r="D7247" s="6"/>
      <c r="E7247" s="6"/>
      <c r="F7247" s="6"/>
      <c r="G7247" s="120" t="b">
        <f>VLOOKUP(I7242,FS_input_noty,J7242,FALSE)=""</f>
        <v>0</v>
      </c>
      <c r="H7247" s="6" t="s">
        <v>2189</v>
      </c>
      <c r="I7247" t="s">
        <v>1561</v>
      </c>
      <c r="J7247" t="s">
        <v>1561</v>
      </c>
      <c r="L7247">
        <f t="shared" si="433"/>
        <v>1</v>
      </c>
    </row>
    <row r="7248" spans="1:12" x14ac:dyDescent="0.35">
      <c r="A7248" s="9">
        <f t="shared" si="434"/>
        <v>7247</v>
      </c>
      <c r="B7248" t="s">
        <v>111</v>
      </c>
      <c r="C7248" s="109">
        <f>IF(ISBLANK(K7248),IFERROR(VLOOKUP(I7248,FS_input_data!$C$458:$N$648,Export!J7248,FALSE),""),K7248)</f>
        <v>2000</v>
      </c>
      <c r="D7248" s="6" t="b">
        <v>0</v>
      </c>
      <c r="E7248" s="6"/>
      <c r="F7248" s="6"/>
      <c r="G7248" s="120" t="b">
        <f>VLOOKUP(I7242,FS_input_noty,J7242,FALSE)=""</f>
        <v>0</v>
      </c>
      <c r="H7248" s="6" t="s">
        <v>2189</v>
      </c>
      <c r="I7248" t="s">
        <v>2104</v>
      </c>
      <c r="J7248">
        <v>8</v>
      </c>
      <c r="L7248" s="26" t="e">
        <f t="shared" si="433"/>
        <v>#VALUE!</v>
      </c>
    </row>
    <row r="7249" spans="1:12" x14ac:dyDescent="0.35">
      <c r="A7249">
        <f t="shared" si="434"/>
        <v>7248</v>
      </c>
      <c r="B7249" t="s">
        <v>112</v>
      </c>
      <c r="C7249" s="109" t="str">
        <f>IF(ISBLANK(K7249),IFERROR(VLOOKUP(I7249,FS_input_data!$C$458:$N$648,Export!J7249,FALSE),""),K7249)</f>
        <v/>
      </c>
      <c r="D7249" s="6"/>
      <c r="E7249" s="6"/>
      <c r="F7249" s="6"/>
      <c r="G7249" s="120" t="b">
        <f>VLOOKUP(I7242,FS_input_noty,J7242,FALSE)=""</f>
        <v>0</v>
      </c>
      <c r="H7249" s="6" t="s">
        <v>2189</v>
      </c>
      <c r="I7249" t="s">
        <v>1561</v>
      </c>
      <c r="J7249" t="s">
        <v>1561</v>
      </c>
      <c r="L7249">
        <f t="shared" si="433"/>
        <v>1</v>
      </c>
    </row>
    <row r="7250" spans="1:12" x14ac:dyDescent="0.35">
      <c r="A7250" s="9">
        <f t="shared" si="434"/>
        <v>7249</v>
      </c>
      <c r="B7250" t="s">
        <v>749</v>
      </c>
      <c r="C7250" s="109">
        <f>IF(ISBLANK(K7250),IFERROR(VLOOKUP(I7250,FS_input_data!$C$458:$N$648,Export!J7250,FALSE),""),K7250)</f>
        <v>2000</v>
      </c>
      <c r="D7250" s="6" t="b">
        <v>0</v>
      </c>
      <c r="E7250" s="6"/>
      <c r="F7250" s="6"/>
      <c r="G7250" s="120" t="b">
        <f>VLOOKUP(I7242,FS_input_noty,J7242,FALSE)=""</f>
        <v>0</v>
      </c>
      <c r="H7250" s="6" t="s">
        <v>2189</v>
      </c>
      <c r="I7250" t="s">
        <v>2104</v>
      </c>
      <c r="J7250">
        <v>9</v>
      </c>
      <c r="L7250" s="26" t="e">
        <f t="shared" si="433"/>
        <v>#VALUE!</v>
      </c>
    </row>
    <row r="7251" spans="1:12" x14ac:dyDescent="0.35">
      <c r="A7251">
        <f t="shared" si="434"/>
        <v>7250</v>
      </c>
      <c r="B7251" t="s">
        <v>750</v>
      </c>
      <c r="C7251" s="109" t="str">
        <f>IF(ISBLANK(K7251),IFERROR(VLOOKUP(I7251,FS_input_data!$C$458:$N$648,Export!J7251,FALSE),""),K7251)</f>
        <v/>
      </c>
      <c r="D7251" s="6"/>
      <c r="E7251" s="6"/>
      <c r="F7251" s="6"/>
      <c r="G7251" s="120" t="b">
        <f>VLOOKUP(I7242,FS_input_noty,J7242,FALSE)=""</f>
        <v>0</v>
      </c>
      <c r="H7251" s="6" t="s">
        <v>2189</v>
      </c>
      <c r="I7251" t="s">
        <v>1561</v>
      </c>
      <c r="J7251" t="s">
        <v>1561</v>
      </c>
      <c r="L7251">
        <f t="shared" si="433"/>
        <v>1</v>
      </c>
    </row>
    <row r="7252" spans="1:12" x14ac:dyDescent="0.35">
      <c r="A7252">
        <f t="shared" si="434"/>
        <v>7251</v>
      </c>
      <c r="B7252" t="s">
        <v>743</v>
      </c>
      <c r="C7252" s="109" t="str">
        <f>IF(ISBLANK(K7252),IFERROR(VLOOKUP(I7252,FS_input_data!$C$458:$N$648,Export!J7252,FALSE),""),K7252)</f>
        <v/>
      </c>
      <c r="D7252" s="6"/>
      <c r="E7252" s="6"/>
      <c r="F7252" s="6"/>
      <c r="G7252" s="120" t="b">
        <f>VLOOKUP(I7242,FS_input_noty,J7242,FALSE)=""</f>
        <v>0</v>
      </c>
      <c r="H7252" s="6" t="s">
        <v>2189</v>
      </c>
      <c r="I7252" t="s">
        <v>1561</v>
      </c>
      <c r="J7252" t="s">
        <v>1561</v>
      </c>
      <c r="L7252">
        <f t="shared" si="433"/>
        <v>1</v>
      </c>
    </row>
    <row r="7253" spans="1:12" x14ac:dyDescent="0.35">
      <c r="A7253">
        <f t="shared" si="434"/>
        <v>7252</v>
      </c>
      <c r="B7253" t="s">
        <v>744</v>
      </c>
      <c r="C7253" s="109" t="str">
        <f>IF(ISBLANK(K7253),IFERROR(VLOOKUP(I7253,FS_input_data!$C$458:$N$648,Export!J7253,FALSE),""),K7253)</f>
        <v/>
      </c>
      <c r="D7253" s="6"/>
      <c r="E7253" s="6"/>
      <c r="F7253" s="6"/>
      <c r="G7253" s="120" t="b">
        <f t="shared" ref="G7253:G7260" si="435">RP_tax</f>
        <v>1</v>
      </c>
      <c r="H7253" s="6" t="s">
        <v>2189</v>
      </c>
      <c r="I7253" t="s">
        <v>1561</v>
      </c>
      <c r="J7253" t="s">
        <v>1561</v>
      </c>
      <c r="L7253" s="26" t="e">
        <f t="shared" si="433"/>
        <v>#VALUE!</v>
      </c>
    </row>
    <row r="7254" spans="1:12" x14ac:dyDescent="0.35">
      <c r="A7254" s="9">
        <f t="shared" si="434"/>
        <v>7253</v>
      </c>
      <c r="B7254" t="s">
        <v>109</v>
      </c>
      <c r="C7254" s="109">
        <f>IF(ISBLANK(K7254),IFERROR(VLOOKUP(I7254,FS_input_data!$C$458:$N$648,Export!J7254,FALSE),""),K7254)</f>
        <v>4000</v>
      </c>
      <c r="D7254" s="6" t="b">
        <v>1</v>
      </c>
      <c r="E7254" s="6"/>
      <c r="F7254" s="6"/>
      <c r="G7254" s="120" t="b">
        <f t="shared" si="435"/>
        <v>1</v>
      </c>
      <c r="H7254" s="6" t="s">
        <v>2189</v>
      </c>
      <c r="I7254" t="s">
        <v>2104</v>
      </c>
      <c r="J7254">
        <v>10</v>
      </c>
      <c r="L7254" s="26" t="e">
        <f t="shared" si="433"/>
        <v>#VALUE!</v>
      </c>
    </row>
    <row r="7255" spans="1:12" x14ac:dyDescent="0.35">
      <c r="A7255">
        <f t="shared" si="434"/>
        <v>7254</v>
      </c>
      <c r="B7255" t="s">
        <v>110</v>
      </c>
      <c r="C7255" s="109" t="str">
        <f>IF(ISBLANK(K7255),IFERROR(VLOOKUP(I7255,FS_input_data!$C$458:$N$648,Export!J7255,FALSE),""),K7255)</f>
        <v/>
      </c>
      <c r="D7255" s="6"/>
      <c r="E7255" s="6"/>
      <c r="F7255" s="6"/>
      <c r="G7255" s="120" t="b">
        <f t="shared" si="435"/>
        <v>1</v>
      </c>
      <c r="H7255" s="6" t="s">
        <v>2189</v>
      </c>
      <c r="I7255" t="s">
        <v>1561</v>
      </c>
      <c r="J7255" t="s">
        <v>1561</v>
      </c>
      <c r="L7255">
        <f t="shared" si="433"/>
        <v>1</v>
      </c>
    </row>
    <row r="7256" spans="1:12" x14ac:dyDescent="0.35">
      <c r="A7256" s="9">
        <f t="shared" si="434"/>
        <v>7255</v>
      </c>
      <c r="B7256" t="s">
        <v>111</v>
      </c>
      <c r="C7256" s="109">
        <f>IF(ISBLANK(K7256),IFERROR(VLOOKUP(I7256,FS_input_data!$C$458:$N$648,Export!J7256,FALSE),""),K7256)</f>
        <v>2000</v>
      </c>
      <c r="D7256" s="6" t="b">
        <v>0</v>
      </c>
      <c r="E7256" s="6"/>
      <c r="F7256" s="6"/>
      <c r="G7256" s="120" t="b">
        <f t="shared" si="435"/>
        <v>1</v>
      </c>
      <c r="H7256" s="6" t="s">
        <v>2189</v>
      </c>
      <c r="I7256" t="s">
        <v>2104</v>
      </c>
      <c r="J7256">
        <v>11</v>
      </c>
      <c r="L7256" s="26" t="e">
        <f t="shared" si="433"/>
        <v>#VALUE!</v>
      </c>
    </row>
    <row r="7257" spans="1:12" x14ac:dyDescent="0.35">
      <c r="A7257">
        <f t="shared" si="434"/>
        <v>7256</v>
      </c>
      <c r="B7257" t="s">
        <v>112</v>
      </c>
      <c r="C7257" s="109" t="str">
        <f>IF(ISBLANK(K7257),IFERROR(VLOOKUP(I7257,FS_input_data!$C$458:$N$648,Export!J7257,FALSE),""),K7257)</f>
        <v/>
      </c>
      <c r="D7257" s="6"/>
      <c r="E7257" s="6"/>
      <c r="F7257" s="6"/>
      <c r="G7257" s="120" t="b">
        <f t="shared" si="435"/>
        <v>1</v>
      </c>
      <c r="H7257" s="6" t="s">
        <v>2189</v>
      </c>
      <c r="I7257" t="s">
        <v>1561</v>
      </c>
      <c r="J7257" t="s">
        <v>1561</v>
      </c>
      <c r="L7257">
        <f t="shared" si="433"/>
        <v>1</v>
      </c>
    </row>
    <row r="7258" spans="1:12" x14ac:dyDescent="0.35">
      <c r="A7258" s="9">
        <f t="shared" si="434"/>
        <v>7257</v>
      </c>
      <c r="B7258" t="s">
        <v>749</v>
      </c>
      <c r="C7258" s="109">
        <f>IF(ISBLANK(K7258),IFERROR(VLOOKUP(I7258,FS_input_data!$C$458:$N$648,Export!J7258,FALSE),""),K7258)</f>
        <v>2000</v>
      </c>
      <c r="D7258" s="6" t="b">
        <v>0</v>
      </c>
      <c r="E7258" s="6"/>
      <c r="F7258" s="6"/>
      <c r="G7258" s="120" t="b">
        <f t="shared" si="435"/>
        <v>1</v>
      </c>
      <c r="H7258" s="6" t="s">
        <v>2189</v>
      </c>
      <c r="I7258" t="s">
        <v>2104</v>
      </c>
      <c r="J7258">
        <v>12</v>
      </c>
      <c r="L7258" s="26" t="e">
        <f t="shared" si="433"/>
        <v>#VALUE!</v>
      </c>
    </row>
    <row r="7259" spans="1:12" x14ac:dyDescent="0.35">
      <c r="A7259">
        <f t="shared" si="434"/>
        <v>7258</v>
      </c>
      <c r="B7259" t="s">
        <v>750</v>
      </c>
      <c r="C7259" s="109" t="str">
        <f>IF(ISBLANK(K7259),IFERROR(VLOOKUP(I7259,FS_input_data!$C$458:$N$648,Export!J7259,FALSE),""),K7259)</f>
        <v/>
      </c>
      <c r="D7259" s="6"/>
      <c r="E7259" s="6"/>
      <c r="F7259" s="6"/>
      <c r="G7259" s="120" t="b">
        <f t="shared" si="435"/>
        <v>1</v>
      </c>
      <c r="H7259" s="6" t="s">
        <v>2189</v>
      </c>
      <c r="I7259" t="s">
        <v>1561</v>
      </c>
      <c r="J7259" t="s">
        <v>1561</v>
      </c>
      <c r="L7259">
        <f t="shared" si="433"/>
        <v>1</v>
      </c>
    </row>
    <row r="7260" spans="1:12" x14ac:dyDescent="0.35">
      <c r="A7260">
        <f t="shared" si="434"/>
        <v>7259</v>
      </c>
      <c r="B7260" t="s">
        <v>745</v>
      </c>
      <c r="C7260" s="109" t="str">
        <f>IF(ISBLANK(K7260),IFERROR(VLOOKUP(I7260,FS_input_data!$C$458:$N$648,Export!J7260,FALSE),""),K7260)</f>
        <v/>
      </c>
      <c r="D7260" s="6"/>
      <c r="E7260" s="6"/>
      <c r="F7260" s="6"/>
      <c r="G7260" s="120" t="b">
        <f t="shared" si="435"/>
        <v>1</v>
      </c>
      <c r="H7260" s="6" t="s">
        <v>2189</v>
      </c>
      <c r="I7260" t="s">
        <v>1561</v>
      </c>
      <c r="J7260" t="s">
        <v>1561</v>
      </c>
      <c r="L7260">
        <f t="shared" si="433"/>
        <v>1</v>
      </c>
    </row>
    <row r="7261" spans="1:12" x14ac:dyDescent="0.35">
      <c r="A7261">
        <f t="shared" si="434"/>
        <v>7260</v>
      </c>
      <c r="B7261" t="s">
        <v>764</v>
      </c>
      <c r="C7261" s="109" t="str">
        <f>IF(ISBLANK(K7261),IFERROR(VLOOKUP(I7261,FS_input_data!$C$458:$N$648,Export!J7261,FALSE),""),K7261)</f>
        <v/>
      </c>
      <c r="D7261" s="6"/>
      <c r="E7261" s="6"/>
      <c r="F7261" s="6"/>
      <c r="G7261" s="120" t="b">
        <f>VLOOKUP(I7242,FS_input_noty,J7242,FALSE)=""</f>
        <v>0</v>
      </c>
      <c r="H7261" s="6" t="s">
        <v>2189</v>
      </c>
      <c r="I7261" t="s">
        <v>1561</v>
      </c>
      <c r="J7261" t="s">
        <v>1561</v>
      </c>
      <c r="L7261">
        <f t="shared" si="433"/>
        <v>1</v>
      </c>
    </row>
    <row r="7262" spans="1:12" x14ac:dyDescent="0.35">
      <c r="A7262">
        <f t="shared" si="434"/>
        <v>7261</v>
      </c>
      <c r="B7262" t="s">
        <v>765</v>
      </c>
      <c r="C7262" s="109" t="str">
        <f>IF(ISBLANK(K7262),IFERROR(VLOOKUP(I7262,FS_input_data!$C$458:$N$648,Export!J7262,FALSE),""),K7262)</f>
        <v/>
      </c>
      <c r="D7262" s="6"/>
      <c r="E7262" s="6"/>
      <c r="F7262" s="6"/>
      <c r="G7262" s="120" t="b">
        <f>VLOOKUP(I7242,FS_input_noty,J7242,FALSE)=""</f>
        <v>0</v>
      </c>
      <c r="H7262" s="6" t="s">
        <v>2189</v>
      </c>
      <c r="I7262" t="s">
        <v>1561</v>
      </c>
      <c r="J7262" t="s">
        <v>1561</v>
      </c>
      <c r="L7262">
        <f t="shared" si="433"/>
        <v>1</v>
      </c>
    </row>
    <row r="7263" spans="1:12" x14ac:dyDescent="0.35">
      <c r="A7263">
        <f t="shared" si="434"/>
        <v>7262</v>
      </c>
      <c r="B7263" t="s">
        <v>752</v>
      </c>
      <c r="C7263" s="109" t="str">
        <f>IF(ISBLANK(K7263),IFERROR(VLOOKUP(I7263,FS_input_data!$C$458:$N$648,Export!J7263,FALSE),""),K7263)</f>
        <v/>
      </c>
      <c r="D7263" s="6"/>
      <c r="E7263" s="6"/>
      <c r="F7263" s="6"/>
      <c r="G7263" s="120" t="b">
        <f>VLOOKUP(I7264,FS_input_noty,J7264,FALSE)=""</f>
        <v>0</v>
      </c>
      <c r="H7263" s="6" t="s">
        <v>2189</v>
      </c>
      <c r="I7263" t="s">
        <v>1561</v>
      </c>
      <c r="J7263" t="s">
        <v>1561</v>
      </c>
      <c r="L7263" s="26" t="e">
        <f t="shared" si="433"/>
        <v>#VALUE!</v>
      </c>
    </row>
    <row r="7264" spans="1:12" x14ac:dyDescent="0.35">
      <c r="A7264" s="9">
        <f t="shared" si="434"/>
        <v>7263</v>
      </c>
      <c r="B7264" t="s">
        <v>101</v>
      </c>
      <c r="C7264" s="109" t="str">
        <f>IF(ISBLANK(K7264),IFERROR(VLOOKUP(I7264,FS_input_data!$C$458:$N$648,Export!J7264,FALSE),""),K7264)</f>
        <v>OC126</v>
      </c>
      <c r="D7264" s="6" t="b">
        <v>1</v>
      </c>
      <c r="E7264" s="6"/>
      <c r="F7264" s="6"/>
      <c r="G7264" s="120" t="b">
        <f>VLOOKUP(I7264,FS_input_noty,J7264,FALSE)=""</f>
        <v>0</v>
      </c>
      <c r="H7264" s="6" t="s">
        <v>2189</v>
      </c>
      <c r="I7264" t="s">
        <v>2106</v>
      </c>
      <c r="J7264">
        <v>6</v>
      </c>
      <c r="L7264" s="26" t="e">
        <f t="shared" si="433"/>
        <v>#VALUE!</v>
      </c>
    </row>
    <row r="7265" spans="1:12" x14ac:dyDescent="0.35">
      <c r="A7265">
        <f t="shared" si="434"/>
        <v>7264</v>
      </c>
      <c r="B7265" t="s">
        <v>102</v>
      </c>
      <c r="C7265" s="109" t="str">
        <f>IF(ISBLANK(K7265),IFERROR(VLOOKUP(I7265,FS_input_data!$C$458:$N$648,Export!J7265,FALSE),""),K7265)</f>
        <v/>
      </c>
      <c r="D7265" s="6"/>
      <c r="E7265" s="6"/>
      <c r="F7265" s="6"/>
      <c r="G7265" s="120" t="b">
        <f>VLOOKUP(I7264,FS_input_noty,J7264,FALSE)=""</f>
        <v>0</v>
      </c>
      <c r="H7265" s="6" t="s">
        <v>2189</v>
      </c>
      <c r="I7265" t="s">
        <v>1561</v>
      </c>
      <c r="J7265" t="s">
        <v>1561</v>
      </c>
      <c r="L7265">
        <f t="shared" si="433"/>
        <v>1</v>
      </c>
    </row>
    <row r="7266" spans="1:12" x14ac:dyDescent="0.35">
      <c r="A7266">
        <f t="shared" si="434"/>
        <v>7265</v>
      </c>
      <c r="B7266" t="s">
        <v>753</v>
      </c>
      <c r="C7266" s="109" t="str">
        <f>IF(ISBLANK(K7266),IFERROR(VLOOKUP(I7266,FS_input_data!$C$458:$N$648,Export!J7266,FALSE),""),K7266)</f>
        <v/>
      </c>
      <c r="D7266" s="6"/>
      <c r="E7266" s="6"/>
      <c r="F7266" s="6"/>
      <c r="G7266" s="120" t="b">
        <f>VLOOKUP(I7264,FS_input_noty,J7264,FALSE)=""</f>
        <v>0</v>
      </c>
      <c r="H7266" s="6" t="s">
        <v>2189</v>
      </c>
      <c r="I7266" t="s">
        <v>1561</v>
      </c>
      <c r="J7266" t="s">
        <v>1561</v>
      </c>
      <c r="L7266" s="26" t="e">
        <f t="shared" si="433"/>
        <v>#VALUE!</v>
      </c>
    </row>
    <row r="7267" spans="1:12" x14ac:dyDescent="0.35">
      <c r="A7267">
        <f t="shared" si="434"/>
        <v>7266</v>
      </c>
      <c r="B7267" t="s">
        <v>742</v>
      </c>
      <c r="C7267" s="109" t="str">
        <f>IF(ISBLANK(K7267),IFERROR(VLOOKUP(I7267,FS_input_data!$C$458:$N$648,Export!J7267,FALSE),""),K7267)</f>
        <v/>
      </c>
      <c r="D7267" s="6"/>
      <c r="E7267" s="6"/>
      <c r="F7267" s="6"/>
      <c r="G7267" s="120" t="b">
        <f>VLOOKUP(I7264,FS_input_noty,J7264,FALSE)=""</f>
        <v>0</v>
      </c>
      <c r="H7267" s="6" t="s">
        <v>2189</v>
      </c>
      <c r="I7267" t="s">
        <v>1561</v>
      </c>
      <c r="J7267" t="s">
        <v>1561</v>
      </c>
      <c r="L7267" s="26" t="e">
        <f t="shared" si="433"/>
        <v>#VALUE!</v>
      </c>
    </row>
    <row r="7268" spans="1:12" x14ac:dyDescent="0.35">
      <c r="A7268" s="9">
        <f t="shared" si="434"/>
        <v>7267</v>
      </c>
      <c r="B7268" t="s">
        <v>109</v>
      </c>
      <c r="C7268" s="109">
        <f>IF(ISBLANK(K7268),IFERROR(VLOOKUP(I7268,FS_input_data!$C$458:$N$648,Export!J7268,FALSE),""),K7268)</f>
        <v>5000</v>
      </c>
      <c r="D7268" s="6" t="b">
        <v>1</v>
      </c>
      <c r="E7268" s="6"/>
      <c r="F7268" s="6"/>
      <c r="G7268" s="120" t="b">
        <f>VLOOKUP(I7264,FS_input_noty,J7264,FALSE)=""</f>
        <v>0</v>
      </c>
      <c r="H7268" s="6" t="s">
        <v>2189</v>
      </c>
      <c r="I7268" t="s">
        <v>2106</v>
      </c>
      <c r="J7268">
        <v>7</v>
      </c>
      <c r="L7268" s="26" t="e">
        <f t="shared" si="433"/>
        <v>#VALUE!</v>
      </c>
    </row>
    <row r="7269" spans="1:12" x14ac:dyDescent="0.35">
      <c r="A7269">
        <f t="shared" si="434"/>
        <v>7268</v>
      </c>
      <c r="B7269" t="s">
        <v>110</v>
      </c>
      <c r="C7269" s="109" t="str">
        <f>IF(ISBLANK(K7269),IFERROR(VLOOKUP(I7269,FS_input_data!$C$458:$N$648,Export!J7269,FALSE),""),K7269)</f>
        <v/>
      </c>
      <c r="D7269" s="6"/>
      <c r="E7269" s="6"/>
      <c r="F7269" s="6"/>
      <c r="G7269" s="120" t="b">
        <f>VLOOKUP(I7264,FS_input_noty,J7264,FALSE)=""</f>
        <v>0</v>
      </c>
      <c r="H7269" s="6" t="s">
        <v>2189</v>
      </c>
      <c r="I7269" t="s">
        <v>1561</v>
      </c>
      <c r="J7269" t="s">
        <v>1561</v>
      </c>
      <c r="L7269">
        <f t="shared" si="433"/>
        <v>1</v>
      </c>
    </row>
    <row r="7270" spans="1:12" x14ac:dyDescent="0.35">
      <c r="A7270" s="9">
        <f t="shared" si="434"/>
        <v>7269</v>
      </c>
      <c r="B7270" t="s">
        <v>111</v>
      </c>
      <c r="C7270" s="109">
        <f>IF(ISBLANK(K7270),IFERROR(VLOOKUP(I7270,FS_input_data!$C$458:$N$648,Export!J7270,FALSE),""),K7270)</f>
        <v>2500</v>
      </c>
      <c r="D7270" s="6" t="b">
        <v>0</v>
      </c>
      <c r="E7270" s="6"/>
      <c r="F7270" s="6"/>
      <c r="G7270" s="120" t="b">
        <f>VLOOKUP(I7264,FS_input_noty,J7264,FALSE)=""</f>
        <v>0</v>
      </c>
      <c r="H7270" s="6" t="s">
        <v>2189</v>
      </c>
      <c r="I7270" t="s">
        <v>2106</v>
      </c>
      <c r="J7270">
        <v>8</v>
      </c>
      <c r="L7270" s="26" t="e">
        <f t="shared" si="433"/>
        <v>#VALUE!</v>
      </c>
    </row>
    <row r="7271" spans="1:12" x14ac:dyDescent="0.35">
      <c r="A7271">
        <f t="shared" si="434"/>
        <v>7270</v>
      </c>
      <c r="B7271" t="s">
        <v>112</v>
      </c>
      <c r="C7271" s="109" t="str">
        <f>IF(ISBLANK(K7271),IFERROR(VLOOKUP(I7271,FS_input_data!$C$458:$N$648,Export!J7271,FALSE),""),K7271)</f>
        <v/>
      </c>
      <c r="D7271" s="6"/>
      <c r="E7271" s="6"/>
      <c r="F7271" s="6"/>
      <c r="G7271" s="120" t="b">
        <f>VLOOKUP(I7264,FS_input_noty,J7264,FALSE)=""</f>
        <v>0</v>
      </c>
      <c r="H7271" s="6" t="s">
        <v>2189</v>
      </c>
      <c r="I7271" t="s">
        <v>1561</v>
      </c>
      <c r="J7271" t="s">
        <v>1561</v>
      </c>
      <c r="L7271">
        <f t="shared" si="433"/>
        <v>1</v>
      </c>
    </row>
    <row r="7272" spans="1:12" x14ac:dyDescent="0.35">
      <c r="A7272" s="9">
        <f t="shared" si="434"/>
        <v>7271</v>
      </c>
      <c r="B7272" t="s">
        <v>749</v>
      </c>
      <c r="C7272" s="109">
        <f>IF(ISBLANK(K7272),IFERROR(VLOOKUP(I7272,FS_input_data!$C$458:$N$648,Export!J7272,FALSE),""),K7272)</f>
        <v>2500</v>
      </c>
      <c r="D7272" s="6" t="b">
        <v>0</v>
      </c>
      <c r="E7272" s="6"/>
      <c r="F7272" s="6"/>
      <c r="G7272" s="120" t="b">
        <f>VLOOKUP(I7264,FS_input_noty,J7264,FALSE)=""</f>
        <v>0</v>
      </c>
      <c r="H7272" s="6" t="s">
        <v>2189</v>
      </c>
      <c r="I7272" t="s">
        <v>2106</v>
      </c>
      <c r="J7272">
        <v>9</v>
      </c>
      <c r="L7272" s="26" t="e">
        <f t="shared" si="433"/>
        <v>#VALUE!</v>
      </c>
    </row>
    <row r="7273" spans="1:12" x14ac:dyDescent="0.35">
      <c r="A7273">
        <f t="shared" si="434"/>
        <v>7272</v>
      </c>
      <c r="B7273" t="s">
        <v>750</v>
      </c>
      <c r="C7273" s="109" t="str">
        <f>IF(ISBLANK(K7273),IFERROR(VLOOKUP(I7273,FS_input_data!$C$458:$N$648,Export!J7273,FALSE),""),K7273)</f>
        <v/>
      </c>
      <c r="D7273" s="6"/>
      <c r="E7273" s="6"/>
      <c r="F7273" s="6"/>
      <c r="G7273" s="120" t="b">
        <f>VLOOKUP(I7264,FS_input_noty,J7264,FALSE)=""</f>
        <v>0</v>
      </c>
      <c r="H7273" s="6" t="s">
        <v>2189</v>
      </c>
      <c r="I7273" t="s">
        <v>1561</v>
      </c>
      <c r="J7273" t="s">
        <v>1561</v>
      </c>
      <c r="L7273">
        <f t="shared" si="433"/>
        <v>1</v>
      </c>
    </row>
    <row r="7274" spans="1:12" x14ac:dyDescent="0.35">
      <c r="A7274">
        <f t="shared" si="434"/>
        <v>7273</v>
      </c>
      <c r="B7274" t="s">
        <v>743</v>
      </c>
      <c r="C7274" s="109" t="str">
        <f>IF(ISBLANK(K7274),IFERROR(VLOOKUP(I7274,FS_input_data!$C$458:$N$648,Export!J7274,FALSE),""),K7274)</f>
        <v/>
      </c>
      <c r="D7274" s="6"/>
      <c r="E7274" s="6"/>
      <c r="F7274" s="6"/>
      <c r="G7274" s="120" t="b">
        <f>VLOOKUP(I7264,FS_input_noty,J7264,FALSE)=""</f>
        <v>0</v>
      </c>
      <c r="H7274" s="6" t="s">
        <v>2189</v>
      </c>
      <c r="I7274" t="s">
        <v>1561</v>
      </c>
      <c r="J7274" t="s">
        <v>1561</v>
      </c>
      <c r="L7274">
        <f t="shared" si="433"/>
        <v>1</v>
      </c>
    </row>
    <row r="7275" spans="1:12" x14ac:dyDescent="0.35">
      <c r="A7275">
        <f t="shared" si="434"/>
        <v>7274</v>
      </c>
      <c r="B7275" t="s">
        <v>744</v>
      </c>
      <c r="C7275" s="109" t="str">
        <f>IF(ISBLANK(K7275),IFERROR(VLOOKUP(I7275,FS_input_data!$C$458:$N$648,Export!J7275,FALSE),""),K7275)</f>
        <v/>
      </c>
      <c r="D7275" s="6"/>
      <c r="E7275" s="6"/>
      <c r="F7275" s="6"/>
      <c r="G7275" s="120" t="b">
        <f t="shared" ref="G7275:G7282" si="436">RP_tax</f>
        <v>1</v>
      </c>
      <c r="H7275" s="6" t="s">
        <v>2189</v>
      </c>
      <c r="I7275" t="s">
        <v>1561</v>
      </c>
      <c r="J7275" t="s">
        <v>1561</v>
      </c>
      <c r="L7275" s="26" t="e">
        <f t="shared" si="433"/>
        <v>#VALUE!</v>
      </c>
    </row>
    <row r="7276" spans="1:12" x14ac:dyDescent="0.35">
      <c r="A7276" s="9">
        <f t="shared" si="434"/>
        <v>7275</v>
      </c>
      <c r="B7276" t="s">
        <v>109</v>
      </c>
      <c r="C7276" s="109">
        <f>IF(ISBLANK(K7276),IFERROR(VLOOKUP(I7276,FS_input_data!$C$458:$N$648,Export!J7276,FALSE),""),K7276)</f>
        <v>5000</v>
      </c>
      <c r="D7276" s="6" t="b">
        <v>1</v>
      </c>
      <c r="E7276" s="6"/>
      <c r="F7276" s="6"/>
      <c r="G7276" s="120" t="b">
        <f t="shared" si="436"/>
        <v>1</v>
      </c>
      <c r="H7276" s="6" t="s">
        <v>2189</v>
      </c>
      <c r="I7276" t="s">
        <v>2106</v>
      </c>
      <c r="J7276">
        <v>10</v>
      </c>
      <c r="L7276" s="26" t="e">
        <f t="shared" si="433"/>
        <v>#VALUE!</v>
      </c>
    </row>
    <row r="7277" spans="1:12" x14ac:dyDescent="0.35">
      <c r="A7277">
        <f t="shared" si="434"/>
        <v>7276</v>
      </c>
      <c r="B7277" t="s">
        <v>110</v>
      </c>
      <c r="C7277" s="109" t="str">
        <f>IF(ISBLANK(K7277),IFERROR(VLOOKUP(I7277,FS_input_data!$C$458:$N$648,Export!J7277,FALSE),""),K7277)</f>
        <v/>
      </c>
      <c r="D7277" s="6"/>
      <c r="E7277" s="6"/>
      <c r="F7277" s="6"/>
      <c r="G7277" s="120" t="b">
        <f t="shared" si="436"/>
        <v>1</v>
      </c>
      <c r="H7277" s="6" t="s">
        <v>2189</v>
      </c>
      <c r="I7277" t="s">
        <v>1561</v>
      </c>
      <c r="J7277" t="s">
        <v>1561</v>
      </c>
      <c r="L7277">
        <f t="shared" si="433"/>
        <v>1</v>
      </c>
    </row>
    <row r="7278" spans="1:12" x14ac:dyDescent="0.35">
      <c r="A7278" s="9">
        <f t="shared" si="434"/>
        <v>7277</v>
      </c>
      <c r="B7278" t="s">
        <v>111</v>
      </c>
      <c r="C7278" s="109">
        <f>IF(ISBLANK(K7278),IFERROR(VLOOKUP(I7278,FS_input_data!$C$458:$N$648,Export!J7278,FALSE),""),K7278)</f>
        <v>2500</v>
      </c>
      <c r="D7278" s="6" t="b">
        <v>0</v>
      </c>
      <c r="E7278" s="6"/>
      <c r="F7278" s="6"/>
      <c r="G7278" s="120" t="b">
        <f t="shared" si="436"/>
        <v>1</v>
      </c>
      <c r="H7278" s="6" t="s">
        <v>2189</v>
      </c>
      <c r="I7278" t="s">
        <v>2106</v>
      </c>
      <c r="J7278">
        <v>11</v>
      </c>
      <c r="L7278" s="26" t="e">
        <f t="shared" si="433"/>
        <v>#VALUE!</v>
      </c>
    </row>
    <row r="7279" spans="1:12" x14ac:dyDescent="0.35">
      <c r="A7279">
        <f t="shared" si="434"/>
        <v>7278</v>
      </c>
      <c r="B7279" t="s">
        <v>112</v>
      </c>
      <c r="C7279" s="109" t="str">
        <f>IF(ISBLANK(K7279),IFERROR(VLOOKUP(I7279,FS_input_data!$C$458:$N$648,Export!J7279,FALSE),""),K7279)</f>
        <v/>
      </c>
      <c r="D7279" s="6"/>
      <c r="E7279" s="6"/>
      <c r="F7279" s="6"/>
      <c r="G7279" s="120" t="b">
        <f t="shared" si="436"/>
        <v>1</v>
      </c>
      <c r="H7279" s="6" t="s">
        <v>2189</v>
      </c>
      <c r="I7279" t="s">
        <v>1561</v>
      </c>
      <c r="J7279" t="s">
        <v>1561</v>
      </c>
      <c r="L7279">
        <f t="shared" si="433"/>
        <v>1</v>
      </c>
    </row>
    <row r="7280" spans="1:12" x14ac:dyDescent="0.35">
      <c r="A7280" s="9">
        <f t="shared" si="434"/>
        <v>7279</v>
      </c>
      <c r="B7280" t="s">
        <v>749</v>
      </c>
      <c r="C7280" s="109">
        <f>IF(ISBLANK(K7280),IFERROR(VLOOKUP(I7280,FS_input_data!$C$458:$N$648,Export!J7280,FALSE),""),K7280)</f>
        <v>2500</v>
      </c>
      <c r="D7280" s="6" t="b">
        <v>0</v>
      </c>
      <c r="E7280" s="6"/>
      <c r="F7280" s="6"/>
      <c r="G7280" s="120" t="b">
        <f t="shared" si="436"/>
        <v>1</v>
      </c>
      <c r="H7280" s="6" t="s">
        <v>2189</v>
      </c>
      <c r="I7280" t="s">
        <v>2106</v>
      </c>
      <c r="J7280">
        <v>12</v>
      </c>
      <c r="L7280" s="26" t="e">
        <f t="shared" si="433"/>
        <v>#VALUE!</v>
      </c>
    </row>
    <row r="7281" spans="1:12" x14ac:dyDescent="0.35">
      <c r="A7281">
        <f t="shared" si="434"/>
        <v>7280</v>
      </c>
      <c r="B7281" t="s">
        <v>750</v>
      </c>
      <c r="C7281" s="109" t="str">
        <f>IF(ISBLANK(K7281),IFERROR(VLOOKUP(I7281,FS_input_data!$C$458:$N$648,Export!J7281,FALSE),""),K7281)</f>
        <v/>
      </c>
      <c r="D7281" s="6"/>
      <c r="E7281" s="6"/>
      <c r="F7281" s="6"/>
      <c r="G7281" s="120" t="b">
        <f t="shared" si="436"/>
        <v>1</v>
      </c>
      <c r="H7281" s="6" t="s">
        <v>2189</v>
      </c>
      <c r="I7281" t="s">
        <v>1561</v>
      </c>
      <c r="J7281" t="s">
        <v>1561</v>
      </c>
      <c r="L7281">
        <f t="shared" si="433"/>
        <v>1</v>
      </c>
    </row>
    <row r="7282" spans="1:12" x14ac:dyDescent="0.35">
      <c r="A7282">
        <f t="shared" si="434"/>
        <v>7281</v>
      </c>
      <c r="B7282" t="s">
        <v>745</v>
      </c>
      <c r="C7282" s="109" t="str">
        <f>IF(ISBLANK(K7282),IFERROR(VLOOKUP(I7282,FS_input_data!$C$458:$N$648,Export!J7282,FALSE),""),K7282)</f>
        <v/>
      </c>
      <c r="D7282" s="6"/>
      <c r="E7282" s="6"/>
      <c r="F7282" s="6"/>
      <c r="G7282" s="120" t="b">
        <f t="shared" si="436"/>
        <v>1</v>
      </c>
      <c r="H7282" s="6" t="s">
        <v>2189</v>
      </c>
      <c r="I7282" t="s">
        <v>1561</v>
      </c>
      <c r="J7282" t="s">
        <v>1561</v>
      </c>
      <c r="L7282">
        <f t="shared" si="433"/>
        <v>1</v>
      </c>
    </row>
    <row r="7283" spans="1:12" x14ac:dyDescent="0.35">
      <c r="A7283">
        <f t="shared" si="434"/>
        <v>7282</v>
      </c>
      <c r="B7283" t="s">
        <v>764</v>
      </c>
      <c r="C7283" s="109" t="str">
        <f>IF(ISBLANK(K7283),IFERROR(VLOOKUP(I7283,FS_input_data!$C$458:$N$648,Export!J7283,FALSE),""),K7283)</f>
        <v/>
      </c>
      <c r="D7283" s="6"/>
      <c r="E7283" s="6"/>
      <c r="F7283" s="6"/>
      <c r="G7283" s="120" t="b">
        <f>VLOOKUP(I7264,FS_input_noty,J7264,FALSE)=""</f>
        <v>0</v>
      </c>
      <c r="H7283" s="6" t="s">
        <v>2189</v>
      </c>
      <c r="I7283" t="s">
        <v>1561</v>
      </c>
      <c r="J7283" t="s">
        <v>1561</v>
      </c>
      <c r="L7283">
        <f t="shared" si="433"/>
        <v>1</v>
      </c>
    </row>
    <row r="7284" spans="1:12" x14ac:dyDescent="0.35">
      <c r="A7284">
        <f t="shared" si="434"/>
        <v>7283</v>
      </c>
      <c r="B7284" t="s">
        <v>765</v>
      </c>
      <c r="C7284" s="109" t="str">
        <f>IF(ISBLANK(K7284),IFERROR(VLOOKUP(I7284,FS_input_data!$C$458:$N$648,Export!J7284,FALSE),""),K7284)</f>
        <v/>
      </c>
      <c r="D7284" s="6"/>
      <c r="E7284" s="6"/>
      <c r="F7284" s="6"/>
      <c r="G7284" s="120" t="b">
        <f>VLOOKUP(I7264,FS_input_noty,J7264,FALSE)=""</f>
        <v>0</v>
      </c>
      <c r="H7284" s="6" t="s">
        <v>2189</v>
      </c>
      <c r="I7284" t="s">
        <v>1561</v>
      </c>
      <c r="J7284" t="s">
        <v>1561</v>
      </c>
      <c r="L7284">
        <f t="shared" si="433"/>
        <v>1</v>
      </c>
    </row>
    <row r="7285" spans="1:12" x14ac:dyDescent="0.35">
      <c r="A7285">
        <f t="shared" si="434"/>
        <v>7284</v>
      </c>
      <c r="B7285" t="s">
        <v>752</v>
      </c>
      <c r="C7285" s="109" t="str">
        <f>IF(ISBLANK(K7285),IFERROR(VLOOKUP(I7285,FS_input_data!$C$458:$N$648,Export!J7285,FALSE),""),K7285)</f>
        <v/>
      </c>
      <c r="D7285" s="6"/>
      <c r="E7285" s="6"/>
      <c r="F7285" s="6"/>
      <c r="G7285" s="120" t="b">
        <f>VLOOKUP(I7286,FS_input_noty,J7286,FALSE)=""</f>
        <v>0</v>
      </c>
      <c r="H7285" s="6" t="s">
        <v>2189</v>
      </c>
      <c r="I7285" t="s">
        <v>1561</v>
      </c>
      <c r="J7285" t="s">
        <v>1561</v>
      </c>
      <c r="L7285" s="26" t="e">
        <f t="shared" si="433"/>
        <v>#VALUE!</v>
      </c>
    </row>
    <row r="7286" spans="1:12" x14ac:dyDescent="0.35">
      <c r="A7286" s="9">
        <f t="shared" si="434"/>
        <v>7285</v>
      </c>
      <c r="B7286" t="s">
        <v>101</v>
      </c>
      <c r="C7286" s="109" t="str">
        <f>IF(ISBLANK(K7286),IFERROR(VLOOKUP(I7286,FS_input_data!$C$458:$N$648,Export!J7286,FALSE),""),K7286)</f>
        <v>OC127</v>
      </c>
      <c r="D7286" s="6" t="b">
        <v>1</v>
      </c>
      <c r="E7286" s="6"/>
      <c r="F7286" s="6"/>
      <c r="G7286" s="120" t="b">
        <f>VLOOKUP(I7286,FS_input_noty,J7286,FALSE)=""</f>
        <v>0</v>
      </c>
      <c r="H7286" s="6" t="s">
        <v>2189</v>
      </c>
      <c r="I7286" t="s">
        <v>2108</v>
      </c>
      <c r="J7286">
        <v>6</v>
      </c>
      <c r="L7286" s="26" t="e">
        <f t="shared" si="433"/>
        <v>#VALUE!</v>
      </c>
    </row>
    <row r="7287" spans="1:12" x14ac:dyDescent="0.35">
      <c r="A7287">
        <f t="shared" si="434"/>
        <v>7286</v>
      </c>
      <c r="B7287" t="s">
        <v>102</v>
      </c>
      <c r="C7287" s="109" t="str">
        <f>IF(ISBLANK(K7287),IFERROR(VLOOKUP(I7287,FS_input_data!$C$458:$N$648,Export!J7287,FALSE),""),K7287)</f>
        <v/>
      </c>
      <c r="D7287" s="6"/>
      <c r="E7287" s="6"/>
      <c r="F7287" s="6"/>
      <c r="G7287" s="120" t="b">
        <f>VLOOKUP(I7286,FS_input_noty,J7286,FALSE)=""</f>
        <v>0</v>
      </c>
      <c r="H7287" s="6" t="s">
        <v>2189</v>
      </c>
      <c r="I7287" t="s">
        <v>1561</v>
      </c>
      <c r="J7287" t="s">
        <v>1561</v>
      </c>
      <c r="L7287">
        <f t="shared" si="433"/>
        <v>1</v>
      </c>
    </row>
    <row r="7288" spans="1:12" x14ac:dyDescent="0.35">
      <c r="A7288">
        <f t="shared" si="434"/>
        <v>7287</v>
      </c>
      <c r="B7288" t="s">
        <v>753</v>
      </c>
      <c r="C7288" s="109" t="str">
        <f>IF(ISBLANK(K7288),IFERROR(VLOOKUP(I7288,FS_input_data!$C$458:$N$648,Export!J7288,FALSE),""),K7288)</f>
        <v/>
      </c>
      <c r="D7288" s="6"/>
      <c r="E7288" s="6"/>
      <c r="F7288" s="6"/>
      <c r="G7288" s="120" t="b">
        <f>VLOOKUP(I7286,FS_input_noty,J7286,FALSE)=""</f>
        <v>0</v>
      </c>
      <c r="H7288" s="6" t="s">
        <v>2189</v>
      </c>
      <c r="I7288" t="s">
        <v>1561</v>
      </c>
      <c r="J7288" t="s">
        <v>1561</v>
      </c>
      <c r="L7288" s="26" t="e">
        <f t="shared" si="433"/>
        <v>#VALUE!</v>
      </c>
    </row>
    <row r="7289" spans="1:12" x14ac:dyDescent="0.35">
      <c r="A7289">
        <f t="shared" si="434"/>
        <v>7288</v>
      </c>
      <c r="B7289" t="s">
        <v>742</v>
      </c>
      <c r="C7289" s="109" t="str">
        <f>IF(ISBLANK(K7289),IFERROR(VLOOKUP(I7289,FS_input_data!$C$458:$N$648,Export!J7289,FALSE),""),K7289)</f>
        <v/>
      </c>
      <c r="D7289" s="6"/>
      <c r="E7289" s="6"/>
      <c r="F7289" s="6"/>
      <c r="G7289" s="120" t="b">
        <f>VLOOKUP(I7286,FS_input_noty,J7286,FALSE)=""</f>
        <v>0</v>
      </c>
      <c r="H7289" s="6" t="s">
        <v>2189</v>
      </c>
      <c r="I7289" t="s">
        <v>1561</v>
      </c>
      <c r="J7289" t="s">
        <v>1561</v>
      </c>
      <c r="L7289" s="26" t="e">
        <f t="shared" si="433"/>
        <v>#VALUE!</v>
      </c>
    </row>
    <row r="7290" spans="1:12" x14ac:dyDescent="0.35">
      <c r="A7290" s="9">
        <f t="shared" si="434"/>
        <v>7289</v>
      </c>
      <c r="B7290" t="s">
        <v>109</v>
      </c>
      <c r="C7290" s="109">
        <f>IF(ISBLANK(K7290),IFERROR(VLOOKUP(I7290,FS_input_data!$C$458:$N$648,Export!J7290,FALSE),""),K7290)</f>
        <v>6000</v>
      </c>
      <c r="D7290" s="6" t="b">
        <v>1</v>
      </c>
      <c r="E7290" s="6"/>
      <c r="F7290" s="6"/>
      <c r="G7290" s="120" t="b">
        <f>VLOOKUP(I7286,FS_input_noty,J7286,FALSE)=""</f>
        <v>0</v>
      </c>
      <c r="H7290" s="6" t="s">
        <v>2189</v>
      </c>
      <c r="I7290" t="s">
        <v>2108</v>
      </c>
      <c r="J7290">
        <v>7</v>
      </c>
      <c r="L7290" s="26" t="e">
        <f t="shared" si="433"/>
        <v>#VALUE!</v>
      </c>
    </row>
    <row r="7291" spans="1:12" x14ac:dyDescent="0.35">
      <c r="A7291">
        <f t="shared" si="434"/>
        <v>7290</v>
      </c>
      <c r="B7291" t="s">
        <v>110</v>
      </c>
      <c r="C7291" s="109" t="str">
        <f>IF(ISBLANK(K7291),IFERROR(VLOOKUP(I7291,FS_input_data!$C$458:$N$648,Export!J7291,FALSE),""),K7291)</f>
        <v/>
      </c>
      <c r="D7291" s="6"/>
      <c r="E7291" s="6"/>
      <c r="F7291" s="6"/>
      <c r="G7291" s="120" t="b">
        <f>VLOOKUP(I7286,FS_input_noty,J7286,FALSE)=""</f>
        <v>0</v>
      </c>
      <c r="H7291" s="6" t="s">
        <v>2189</v>
      </c>
      <c r="I7291" t="s">
        <v>1561</v>
      </c>
      <c r="J7291" t="s">
        <v>1561</v>
      </c>
      <c r="L7291">
        <f t="shared" si="433"/>
        <v>1</v>
      </c>
    </row>
    <row r="7292" spans="1:12" x14ac:dyDescent="0.35">
      <c r="A7292" s="9">
        <f t="shared" si="434"/>
        <v>7291</v>
      </c>
      <c r="B7292" t="s">
        <v>111</v>
      </c>
      <c r="C7292" s="109">
        <f>IF(ISBLANK(K7292),IFERROR(VLOOKUP(I7292,FS_input_data!$C$458:$N$648,Export!J7292,FALSE),""),K7292)</f>
        <v>3000</v>
      </c>
      <c r="D7292" s="6" t="b">
        <v>0</v>
      </c>
      <c r="E7292" s="6"/>
      <c r="F7292" s="6"/>
      <c r="G7292" s="120" t="b">
        <f>VLOOKUP(I7286,FS_input_noty,J7286,FALSE)=""</f>
        <v>0</v>
      </c>
      <c r="H7292" s="6" t="s">
        <v>2189</v>
      </c>
      <c r="I7292" t="s">
        <v>2108</v>
      </c>
      <c r="J7292">
        <v>8</v>
      </c>
      <c r="L7292" s="26" t="e">
        <f t="shared" si="433"/>
        <v>#VALUE!</v>
      </c>
    </row>
    <row r="7293" spans="1:12" x14ac:dyDescent="0.35">
      <c r="A7293">
        <f t="shared" si="434"/>
        <v>7292</v>
      </c>
      <c r="B7293" t="s">
        <v>112</v>
      </c>
      <c r="C7293" s="109" t="str">
        <f>IF(ISBLANK(K7293),IFERROR(VLOOKUP(I7293,FS_input_data!$C$458:$N$648,Export!J7293,FALSE),""),K7293)</f>
        <v/>
      </c>
      <c r="D7293" s="6"/>
      <c r="E7293" s="6"/>
      <c r="F7293" s="6"/>
      <c r="G7293" s="120" t="b">
        <f>VLOOKUP(I7286,FS_input_noty,J7286,FALSE)=""</f>
        <v>0</v>
      </c>
      <c r="H7293" s="6" t="s">
        <v>2189</v>
      </c>
      <c r="I7293" t="s">
        <v>1561</v>
      </c>
      <c r="J7293" t="s">
        <v>1561</v>
      </c>
      <c r="L7293">
        <f t="shared" si="433"/>
        <v>1</v>
      </c>
    </row>
    <row r="7294" spans="1:12" x14ac:dyDescent="0.35">
      <c r="A7294" s="9">
        <f t="shared" si="434"/>
        <v>7293</v>
      </c>
      <c r="B7294" t="s">
        <v>749</v>
      </c>
      <c r="C7294" s="109">
        <f>IF(ISBLANK(K7294),IFERROR(VLOOKUP(I7294,FS_input_data!$C$458:$N$648,Export!J7294,FALSE),""),K7294)</f>
        <v>3000</v>
      </c>
      <c r="D7294" s="6" t="b">
        <v>0</v>
      </c>
      <c r="E7294" s="6"/>
      <c r="F7294" s="6"/>
      <c r="G7294" s="120" t="b">
        <f>VLOOKUP(I7286,FS_input_noty,J7286,FALSE)=""</f>
        <v>0</v>
      </c>
      <c r="H7294" s="6" t="s">
        <v>2189</v>
      </c>
      <c r="I7294" t="s">
        <v>2108</v>
      </c>
      <c r="J7294">
        <v>9</v>
      </c>
      <c r="L7294" s="26" t="e">
        <f t="shared" si="433"/>
        <v>#VALUE!</v>
      </c>
    </row>
    <row r="7295" spans="1:12" x14ac:dyDescent="0.35">
      <c r="A7295">
        <f t="shared" si="434"/>
        <v>7294</v>
      </c>
      <c r="B7295" t="s">
        <v>750</v>
      </c>
      <c r="C7295" s="109" t="str">
        <f>IF(ISBLANK(K7295),IFERROR(VLOOKUP(I7295,FS_input_data!$C$458:$N$648,Export!J7295,FALSE),""),K7295)</f>
        <v/>
      </c>
      <c r="D7295" s="6"/>
      <c r="E7295" s="6"/>
      <c r="F7295" s="6"/>
      <c r="G7295" s="120" t="b">
        <f>VLOOKUP(I7286,FS_input_noty,J7286,FALSE)=""</f>
        <v>0</v>
      </c>
      <c r="H7295" s="6" t="s">
        <v>2189</v>
      </c>
      <c r="I7295" t="s">
        <v>1561</v>
      </c>
      <c r="J7295" t="s">
        <v>1561</v>
      </c>
      <c r="L7295">
        <f t="shared" si="433"/>
        <v>1</v>
      </c>
    </row>
    <row r="7296" spans="1:12" x14ac:dyDescent="0.35">
      <c r="A7296">
        <f t="shared" si="434"/>
        <v>7295</v>
      </c>
      <c r="B7296" t="s">
        <v>743</v>
      </c>
      <c r="C7296" s="109" t="str">
        <f>IF(ISBLANK(K7296),IFERROR(VLOOKUP(I7296,FS_input_data!$C$458:$N$648,Export!J7296,FALSE),""),K7296)</f>
        <v/>
      </c>
      <c r="D7296" s="6"/>
      <c r="E7296" s="6"/>
      <c r="F7296" s="6"/>
      <c r="G7296" s="120" t="b">
        <f>VLOOKUP(I7286,FS_input_noty,J7286,FALSE)=""</f>
        <v>0</v>
      </c>
      <c r="H7296" s="6" t="s">
        <v>2189</v>
      </c>
      <c r="I7296" t="s">
        <v>1561</v>
      </c>
      <c r="J7296" t="s">
        <v>1561</v>
      </c>
      <c r="L7296">
        <f t="shared" si="433"/>
        <v>1</v>
      </c>
    </row>
    <row r="7297" spans="1:12" x14ac:dyDescent="0.35">
      <c r="A7297">
        <f t="shared" si="434"/>
        <v>7296</v>
      </c>
      <c r="B7297" t="s">
        <v>744</v>
      </c>
      <c r="C7297" s="109" t="str">
        <f>IF(ISBLANK(K7297),IFERROR(VLOOKUP(I7297,FS_input_data!$C$458:$N$648,Export!J7297,FALSE),""),K7297)</f>
        <v/>
      </c>
      <c r="D7297" s="6"/>
      <c r="E7297" s="6"/>
      <c r="F7297" s="6"/>
      <c r="G7297" s="120" t="b">
        <f t="shared" ref="G7297:G7304" si="437">RP_tax</f>
        <v>1</v>
      </c>
      <c r="H7297" s="6" t="s">
        <v>2189</v>
      </c>
      <c r="I7297" t="s">
        <v>1561</v>
      </c>
      <c r="J7297" t="s">
        <v>1561</v>
      </c>
      <c r="L7297" s="26" t="e">
        <f t="shared" si="433"/>
        <v>#VALUE!</v>
      </c>
    </row>
    <row r="7298" spans="1:12" x14ac:dyDescent="0.35">
      <c r="A7298" s="9">
        <f t="shared" si="434"/>
        <v>7297</v>
      </c>
      <c r="B7298" t="s">
        <v>109</v>
      </c>
      <c r="C7298" s="109">
        <f>IF(ISBLANK(K7298),IFERROR(VLOOKUP(I7298,FS_input_data!$C$458:$N$648,Export!J7298,FALSE),""),K7298)</f>
        <v>6000</v>
      </c>
      <c r="D7298" s="6" t="b">
        <v>1</v>
      </c>
      <c r="E7298" s="6"/>
      <c r="F7298" s="6"/>
      <c r="G7298" s="120" t="b">
        <f t="shared" si="437"/>
        <v>1</v>
      </c>
      <c r="H7298" s="6" t="s">
        <v>2189</v>
      </c>
      <c r="I7298" t="s">
        <v>2108</v>
      </c>
      <c r="J7298">
        <v>10</v>
      </c>
      <c r="L7298" s="26" t="e">
        <f t="shared" ref="L7298:L7361" si="438">FIND("/",B7298)</f>
        <v>#VALUE!</v>
      </c>
    </row>
    <row r="7299" spans="1:12" x14ac:dyDescent="0.35">
      <c r="A7299">
        <f t="shared" ref="A7299:A7362" si="439">A7298+1</f>
        <v>7298</v>
      </c>
      <c r="B7299" t="s">
        <v>110</v>
      </c>
      <c r="C7299" s="109" t="str">
        <f>IF(ISBLANK(K7299),IFERROR(VLOOKUP(I7299,FS_input_data!$C$458:$N$648,Export!J7299,FALSE),""),K7299)</f>
        <v/>
      </c>
      <c r="D7299" s="6"/>
      <c r="E7299" s="6"/>
      <c r="F7299" s="6"/>
      <c r="G7299" s="120" t="b">
        <f t="shared" si="437"/>
        <v>1</v>
      </c>
      <c r="H7299" s="6" t="s">
        <v>2189</v>
      </c>
      <c r="I7299" t="s">
        <v>1561</v>
      </c>
      <c r="J7299" t="s">
        <v>1561</v>
      </c>
      <c r="L7299">
        <f t="shared" si="438"/>
        <v>1</v>
      </c>
    </row>
    <row r="7300" spans="1:12" x14ac:dyDescent="0.35">
      <c r="A7300" s="9">
        <f t="shared" si="439"/>
        <v>7299</v>
      </c>
      <c r="B7300" t="s">
        <v>111</v>
      </c>
      <c r="C7300" s="109">
        <f>IF(ISBLANK(K7300),IFERROR(VLOOKUP(I7300,FS_input_data!$C$458:$N$648,Export!J7300,FALSE),""),K7300)</f>
        <v>3000</v>
      </c>
      <c r="D7300" s="6" t="b">
        <v>0</v>
      </c>
      <c r="E7300" s="6"/>
      <c r="F7300" s="6"/>
      <c r="G7300" s="120" t="b">
        <f t="shared" si="437"/>
        <v>1</v>
      </c>
      <c r="H7300" s="6" t="s">
        <v>2189</v>
      </c>
      <c r="I7300" t="s">
        <v>2108</v>
      </c>
      <c r="J7300">
        <v>11</v>
      </c>
      <c r="L7300" s="26" t="e">
        <f t="shared" si="438"/>
        <v>#VALUE!</v>
      </c>
    </row>
    <row r="7301" spans="1:12" x14ac:dyDescent="0.35">
      <c r="A7301">
        <f t="shared" si="439"/>
        <v>7300</v>
      </c>
      <c r="B7301" t="s">
        <v>112</v>
      </c>
      <c r="C7301" s="109" t="str">
        <f>IF(ISBLANK(K7301),IFERROR(VLOOKUP(I7301,FS_input_data!$C$458:$N$648,Export!J7301,FALSE),""),K7301)</f>
        <v/>
      </c>
      <c r="D7301" s="6"/>
      <c r="E7301" s="6"/>
      <c r="F7301" s="6"/>
      <c r="G7301" s="120" t="b">
        <f t="shared" si="437"/>
        <v>1</v>
      </c>
      <c r="H7301" s="6" t="s">
        <v>2189</v>
      </c>
      <c r="I7301" t="s">
        <v>1561</v>
      </c>
      <c r="J7301" t="s">
        <v>1561</v>
      </c>
      <c r="L7301">
        <f t="shared" si="438"/>
        <v>1</v>
      </c>
    </row>
    <row r="7302" spans="1:12" x14ac:dyDescent="0.35">
      <c r="A7302" s="9">
        <f t="shared" si="439"/>
        <v>7301</v>
      </c>
      <c r="B7302" t="s">
        <v>749</v>
      </c>
      <c r="C7302" s="109">
        <f>IF(ISBLANK(K7302),IFERROR(VLOOKUP(I7302,FS_input_data!$C$458:$N$648,Export!J7302,FALSE),""),K7302)</f>
        <v>3000</v>
      </c>
      <c r="D7302" s="6" t="b">
        <v>0</v>
      </c>
      <c r="E7302" s="6"/>
      <c r="F7302" s="6"/>
      <c r="G7302" s="120" t="b">
        <f t="shared" si="437"/>
        <v>1</v>
      </c>
      <c r="H7302" s="6" t="s">
        <v>2189</v>
      </c>
      <c r="I7302" t="s">
        <v>2108</v>
      </c>
      <c r="J7302">
        <v>12</v>
      </c>
      <c r="L7302" s="26" t="e">
        <f t="shared" si="438"/>
        <v>#VALUE!</v>
      </c>
    </row>
    <row r="7303" spans="1:12" x14ac:dyDescent="0.35">
      <c r="A7303">
        <f t="shared" si="439"/>
        <v>7302</v>
      </c>
      <c r="B7303" t="s">
        <v>750</v>
      </c>
      <c r="C7303" s="109" t="str">
        <f>IF(ISBLANK(K7303),IFERROR(VLOOKUP(I7303,FS_input_data!$C$458:$N$648,Export!J7303,FALSE),""),K7303)</f>
        <v/>
      </c>
      <c r="D7303" s="6"/>
      <c r="E7303" s="6"/>
      <c r="F7303" s="6"/>
      <c r="G7303" s="120" t="b">
        <f t="shared" si="437"/>
        <v>1</v>
      </c>
      <c r="H7303" s="6" t="s">
        <v>2189</v>
      </c>
      <c r="I7303" t="s">
        <v>1561</v>
      </c>
      <c r="J7303" t="s">
        <v>1561</v>
      </c>
      <c r="L7303">
        <f t="shared" si="438"/>
        <v>1</v>
      </c>
    </row>
    <row r="7304" spans="1:12" x14ac:dyDescent="0.35">
      <c r="A7304">
        <f t="shared" si="439"/>
        <v>7303</v>
      </c>
      <c r="B7304" t="s">
        <v>745</v>
      </c>
      <c r="C7304" s="109" t="str">
        <f>IF(ISBLANK(K7304),IFERROR(VLOOKUP(I7304,FS_input_data!$C$458:$N$648,Export!J7304,FALSE),""),K7304)</f>
        <v/>
      </c>
      <c r="D7304" s="6"/>
      <c r="E7304" s="6"/>
      <c r="F7304" s="6"/>
      <c r="G7304" s="120" t="b">
        <f t="shared" si="437"/>
        <v>1</v>
      </c>
      <c r="H7304" s="6" t="s">
        <v>2189</v>
      </c>
      <c r="I7304" t="s">
        <v>1561</v>
      </c>
      <c r="J7304" t="s">
        <v>1561</v>
      </c>
      <c r="L7304">
        <f t="shared" si="438"/>
        <v>1</v>
      </c>
    </row>
    <row r="7305" spans="1:12" x14ac:dyDescent="0.35">
      <c r="A7305">
        <f t="shared" si="439"/>
        <v>7304</v>
      </c>
      <c r="B7305" t="s">
        <v>764</v>
      </c>
      <c r="C7305" s="109" t="str">
        <f>IF(ISBLANK(K7305),IFERROR(VLOOKUP(I7305,FS_input_data!$C$458:$N$648,Export!J7305,FALSE),""),K7305)</f>
        <v/>
      </c>
      <c r="D7305" s="6"/>
      <c r="E7305" s="6"/>
      <c r="F7305" s="6"/>
      <c r="G7305" s="120" t="b">
        <f>VLOOKUP(I7286,FS_input_noty,J7286,FALSE)=""</f>
        <v>0</v>
      </c>
      <c r="H7305" s="6" t="s">
        <v>2189</v>
      </c>
      <c r="I7305" t="s">
        <v>1561</v>
      </c>
      <c r="J7305" t="s">
        <v>1561</v>
      </c>
      <c r="L7305">
        <f t="shared" si="438"/>
        <v>1</v>
      </c>
    </row>
    <row r="7306" spans="1:12" x14ac:dyDescent="0.35">
      <c r="A7306">
        <f t="shared" si="439"/>
        <v>7305</v>
      </c>
      <c r="B7306" t="s">
        <v>765</v>
      </c>
      <c r="C7306" s="109" t="str">
        <f>IF(ISBLANK(K7306),IFERROR(VLOOKUP(I7306,FS_input_data!$C$458:$N$648,Export!J7306,FALSE),""),K7306)</f>
        <v/>
      </c>
      <c r="D7306" s="6"/>
      <c r="E7306" s="6"/>
      <c r="F7306" s="6"/>
      <c r="G7306" s="120" t="b">
        <f>VLOOKUP(I7286,FS_input_noty,J7286,FALSE)=""</f>
        <v>0</v>
      </c>
      <c r="H7306" s="6" t="s">
        <v>2189</v>
      </c>
      <c r="I7306" t="s">
        <v>1561</v>
      </c>
      <c r="J7306" t="s">
        <v>1561</v>
      </c>
      <c r="L7306">
        <f t="shared" si="438"/>
        <v>1</v>
      </c>
    </row>
    <row r="7307" spans="1:12" x14ac:dyDescent="0.35">
      <c r="A7307">
        <f t="shared" si="439"/>
        <v>7306</v>
      </c>
      <c r="B7307" t="s">
        <v>752</v>
      </c>
      <c r="C7307" s="109" t="str">
        <f>IF(ISBLANK(K7307),IFERROR(VLOOKUP(I7307,FS_input_data!$C$458:$N$648,Export!J7307,FALSE),""),K7307)</f>
        <v/>
      </c>
      <c r="D7307" s="6"/>
      <c r="E7307" s="6"/>
      <c r="F7307" s="6"/>
      <c r="G7307" s="120" t="b">
        <f>VLOOKUP(I7308,FS_input_noty,J7308,FALSE)=""</f>
        <v>0</v>
      </c>
      <c r="H7307" s="6" t="s">
        <v>2189</v>
      </c>
      <c r="I7307" t="s">
        <v>1561</v>
      </c>
      <c r="J7307" t="s">
        <v>1561</v>
      </c>
      <c r="L7307" s="26" t="e">
        <f t="shared" si="438"/>
        <v>#VALUE!</v>
      </c>
    </row>
    <row r="7308" spans="1:12" x14ac:dyDescent="0.35">
      <c r="A7308" s="9">
        <f t="shared" si="439"/>
        <v>7307</v>
      </c>
      <c r="B7308" t="s">
        <v>101</v>
      </c>
      <c r="C7308" s="109" t="str">
        <f>IF(ISBLANK(K7308),IFERROR(VLOOKUP(I7308,FS_input_data!$C$458:$N$648,Export!J7308,FALSE),""),K7308)</f>
        <v>OC128</v>
      </c>
      <c r="D7308" s="6" t="b">
        <v>1</v>
      </c>
      <c r="E7308" s="6"/>
      <c r="F7308" s="6"/>
      <c r="G7308" s="120" t="b">
        <f>VLOOKUP(I7308,FS_input_noty,J7308,FALSE)=""</f>
        <v>0</v>
      </c>
      <c r="H7308" s="6" t="s">
        <v>2189</v>
      </c>
      <c r="I7308" t="s">
        <v>2110</v>
      </c>
      <c r="J7308">
        <v>6</v>
      </c>
      <c r="L7308" s="26" t="e">
        <f t="shared" si="438"/>
        <v>#VALUE!</v>
      </c>
    </row>
    <row r="7309" spans="1:12" x14ac:dyDescent="0.35">
      <c r="A7309">
        <f t="shared" si="439"/>
        <v>7308</v>
      </c>
      <c r="B7309" t="s">
        <v>102</v>
      </c>
      <c r="C7309" s="109" t="str">
        <f>IF(ISBLANK(K7309),IFERROR(VLOOKUP(I7309,FS_input_data!$C$458:$N$648,Export!J7309,FALSE),""),K7309)</f>
        <v/>
      </c>
      <c r="D7309" s="6"/>
      <c r="E7309" s="6"/>
      <c r="F7309" s="6"/>
      <c r="G7309" s="120" t="b">
        <f>VLOOKUP(I7308,FS_input_noty,J7308,FALSE)=""</f>
        <v>0</v>
      </c>
      <c r="H7309" s="6" t="s">
        <v>2189</v>
      </c>
      <c r="I7309" t="s">
        <v>1561</v>
      </c>
      <c r="J7309" t="s">
        <v>1561</v>
      </c>
      <c r="L7309">
        <f t="shared" si="438"/>
        <v>1</v>
      </c>
    </row>
    <row r="7310" spans="1:12" x14ac:dyDescent="0.35">
      <c r="A7310">
        <f t="shared" si="439"/>
        <v>7309</v>
      </c>
      <c r="B7310" t="s">
        <v>753</v>
      </c>
      <c r="C7310" s="109" t="str">
        <f>IF(ISBLANK(K7310),IFERROR(VLOOKUP(I7310,FS_input_data!$C$458:$N$648,Export!J7310,FALSE),""),K7310)</f>
        <v/>
      </c>
      <c r="D7310" s="6"/>
      <c r="E7310" s="6"/>
      <c r="F7310" s="6"/>
      <c r="G7310" s="120" t="b">
        <f>VLOOKUP(I7308,FS_input_noty,J7308,FALSE)=""</f>
        <v>0</v>
      </c>
      <c r="H7310" s="6" t="s">
        <v>2189</v>
      </c>
      <c r="I7310" t="s">
        <v>1561</v>
      </c>
      <c r="J7310" t="s">
        <v>1561</v>
      </c>
      <c r="L7310" s="26" t="e">
        <f t="shared" si="438"/>
        <v>#VALUE!</v>
      </c>
    </row>
    <row r="7311" spans="1:12" x14ac:dyDescent="0.35">
      <c r="A7311">
        <f t="shared" si="439"/>
        <v>7310</v>
      </c>
      <c r="B7311" t="s">
        <v>742</v>
      </c>
      <c r="C7311" s="109" t="str">
        <f>IF(ISBLANK(K7311),IFERROR(VLOOKUP(I7311,FS_input_data!$C$458:$N$648,Export!J7311,FALSE),""),K7311)</f>
        <v/>
      </c>
      <c r="D7311" s="6"/>
      <c r="E7311" s="6"/>
      <c r="F7311" s="6"/>
      <c r="G7311" s="120" t="b">
        <f>VLOOKUP(I7308,FS_input_noty,J7308,FALSE)=""</f>
        <v>0</v>
      </c>
      <c r="H7311" s="6" t="s">
        <v>2189</v>
      </c>
      <c r="I7311" t="s">
        <v>1561</v>
      </c>
      <c r="J7311" t="s">
        <v>1561</v>
      </c>
      <c r="L7311" s="26" t="e">
        <f t="shared" si="438"/>
        <v>#VALUE!</v>
      </c>
    </row>
    <row r="7312" spans="1:12" x14ac:dyDescent="0.35">
      <c r="A7312" s="9">
        <f t="shared" si="439"/>
        <v>7311</v>
      </c>
      <c r="B7312" t="s">
        <v>109</v>
      </c>
      <c r="C7312" s="109">
        <f>IF(ISBLANK(K7312),IFERROR(VLOOKUP(I7312,FS_input_data!$C$458:$N$648,Export!J7312,FALSE),""),K7312)</f>
        <v>7000</v>
      </c>
      <c r="D7312" s="6" t="b">
        <v>1</v>
      </c>
      <c r="E7312" s="6"/>
      <c r="F7312" s="6"/>
      <c r="G7312" s="120" t="b">
        <f>VLOOKUP(I7308,FS_input_noty,J7308,FALSE)=""</f>
        <v>0</v>
      </c>
      <c r="H7312" s="6" t="s">
        <v>2189</v>
      </c>
      <c r="I7312" t="s">
        <v>2110</v>
      </c>
      <c r="J7312">
        <v>7</v>
      </c>
      <c r="L7312" s="26" t="e">
        <f t="shared" si="438"/>
        <v>#VALUE!</v>
      </c>
    </row>
    <row r="7313" spans="1:12" x14ac:dyDescent="0.35">
      <c r="A7313">
        <f t="shared" si="439"/>
        <v>7312</v>
      </c>
      <c r="B7313" t="s">
        <v>110</v>
      </c>
      <c r="C7313" s="109" t="str">
        <f>IF(ISBLANK(K7313),IFERROR(VLOOKUP(I7313,FS_input_data!$C$458:$N$648,Export!J7313,FALSE),""),K7313)</f>
        <v/>
      </c>
      <c r="D7313" s="6"/>
      <c r="E7313" s="6"/>
      <c r="F7313" s="6"/>
      <c r="G7313" s="120" t="b">
        <f>VLOOKUP(I7308,FS_input_noty,J7308,FALSE)=""</f>
        <v>0</v>
      </c>
      <c r="H7313" s="6" t="s">
        <v>2189</v>
      </c>
      <c r="I7313" t="s">
        <v>1561</v>
      </c>
      <c r="J7313" t="s">
        <v>1561</v>
      </c>
      <c r="L7313">
        <f t="shared" si="438"/>
        <v>1</v>
      </c>
    </row>
    <row r="7314" spans="1:12" x14ac:dyDescent="0.35">
      <c r="A7314" s="9">
        <f t="shared" si="439"/>
        <v>7313</v>
      </c>
      <c r="B7314" t="s">
        <v>111</v>
      </c>
      <c r="C7314" s="109">
        <f>IF(ISBLANK(K7314),IFERROR(VLOOKUP(I7314,FS_input_data!$C$458:$N$648,Export!J7314,FALSE),""),K7314)</f>
        <v>3500</v>
      </c>
      <c r="D7314" s="6" t="b">
        <v>0</v>
      </c>
      <c r="E7314" s="6"/>
      <c r="F7314" s="6"/>
      <c r="G7314" s="120" t="b">
        <f>VLOOKUP(I7308,FS_input_noty,J7308,FALSE)=""</f>
        <v>0</v>
      </c>
      <c r="H7314" s="6" t="s">
        <v>2189</v>
      </c>
      <c r="I7314" t="s">
        <v>2110</v>
      </c>
      <c r="J7314">
        <v>8</v>
      </c>
      <c r="L7314" s="26" t="e">
        <f t="shared" si="438"/>
        <v>#VALUE!</v>
      </c>
    </row>
    <row r="7315" spans="1:12" x14ac:dyDescent="0.35">
      <c r="A7315">
        <f t="shared" si="439"/>
        <v>7314</v>
      </c>
      <c r="B7315" t="s">
        <v>112</v>
      </c>
      <c r="C7315" s="109" t="str">
        <f>IF(ISBLANK(K7315),IFERROR(VLOOKUP(I7315,FS_input_data!$C$458:$N$648,Export!J7315,FALSE),""),K7315)</f>
        <v/>
      </c>
      <c r="D7315" s="6"/>
      <c r="E7315" s="6"/>
      <c r="F7315" s="6"/>
      <c r="G7315" s="120" t="b">
        <f>VLOOKUP(I7308,FS_input_noty,J7308,FALSE)=""</f>
        <v>0</v>
      </c>
      <c r="H7315" s="6" t="s">
        <v>2189</v>
      </c>
      <c r="I7315" t="s">
        <v>1561</v>
      </c>
      <c r="J7315" t="s">
        <v>1561</v>
      </c>
      <c r="L7315">
        <f t="shared" si="438"/>
        <v>1</v>
      </c>
    </row>
    <row r="7316" spans="1:12" x14ac:dyDescent="0.35">
      <c r="A7316" s="9">
        <f t="shared" si="439"/>
        <v>7315</v>
      </c>
      <c r="B7316" t="s">
        <v>749</v>
      </c>
      <c r="C7316" s="109">
        <f>IF(ISBLANK(K7316),IFERROR(VLOOKUP(I7316,FS_input_data!$C$458:$N$648,Export!J7316,FALSE),""),K7316)</f>
        <v>3500</v>
      </c>
      <c r="D7316" s="6" t="b">
        <v>0</v>
      </c>
      <c r="E7316" s="6"/>
      <c r="F7316" s="6"/>
      <c r="G7316" s="120" t="b">
        <f>VLOOKUP(I7308,FS_input_noty,J7308,FALSE)=""</f>
        <v>0</v>
      </c>
      <c r="H7316" s="6" t="s">
        <v>2189</v>
      </c>
      <c r="I7316" t="s">
        <v>2110</v>
      </c>
      <c r="J7316">
        <v>9</v>
      </c>
      <c r="L7316" s="26" t="e">
        <f t="shared" si="438"/>
        <v>#VALUE!</v>
      </c>
    </row>
    <row r="7317" spans="1:12" x14ac:dyDescent="0.35">
      <c r="A7317">
        <f t="shared" si="439"/>
        <v>7316</v>
      </c>
      <c r="B7317" t="s">
        <v>750</v>
      </c>
      <c r="C7317" s="109" t="str">
        <f>IF(ISBLANK(K7317),IFERROR(VLOOKUP(I7317,FS_input_data!$C$458:$N$648,Export!J7317,FALSE),""),K7317)</f>
        <v/>
      </c>
      <c r="D7317" s="6"/>
      <c r="E7317" s="6"/>
      <c r="F7317" s="6"/>
      <c r="G7317" s="120" t="b">
        <f>VLOOKUP(I7308,FS_input_noty,J7308,FALSE)=""</f>
        <v>0</v>
      </c>
      <c r="H7317" s="6" t="s">
        <v>2189</v>
      </c>
      <c r="I7317" t="s">
        <v>1561</v>
      </c>
      <c r="J7317" t="s">
        <v>1561</v>
      </c>
      <c r="L7317">
        <f t="shared" si="438"/>
        <v>1</v>
      </c>
    </row>
    <row r="7318" spans="1:12" x14ac:dyDescent="0.35">
      <c r="A7318">
        <f t="shared" si="439"/>
        <v>7317</v>
      </c>
      <c r="B7318" t="s">
        <v>743</v>
      </c>
      <c r="C7318" s="109" t="str">
        <f>IF(ISBLANK(K7318),IFERROR(VLOOKUP(I7318,FS_input_data!$C$458:$N$648,Export!J7318,FALSE),""),K7318)</f>
        <v/>
      </c>
      <c r="D7318" s="6"/>
      <c r="E7318" s="6"/>
      <c r="F7318" s="6"/>
      <c r="G7318" s="120" t="b">
        <f>VLOOKUP(I7308,FS_input_noty,J7308,FALSE)=""</f>
        <v>0</v>
      </c>
      <c r="H7318" s="6" t="s">
        <v>2189</v>
      </c>
      <c r="I7318" t="s">
        <v>1561</v>
      </c>
      <c r="J7318" t="s">
        <v>1561</v>
      </c>
      <c r="L7318">
        <f t="shared" si="438"/>
        <v>1</v>
      </c>
    </row>
    <row r="7319" spans="1:12" x14ac:dyDescent="0.35">
      <c r="A7319">
        <f t="shared" si="439"/>
        <v>7318</v>
      </c>
      <c r="B7319" t="s">
        <v>744</v>
      </c>
      <c r="C7319" s="109" t="str">
        <f>IF(ISBLANK(K7319),IFERROR(VLOOKUP(I7319,FS_input_data!$C$458:$N$648,Export!J7319,FALSE),""),K7319)</f>
        <v/>
      </c>
      <c r="D7319" s="6"/>
      <c r="E7319" s="6"/>
      <c r="F7319" s="6"/>
      <c r="G7319" s="120" t="b">
        <f t="shared" ref="G7319:G7326" si="440">RP_tax</f>
        <v>1</v>
      </c>
      <c r="H7319" s="6" t="s">
        <v>2189</v>
      </c>
      <c r="I7319" t="s">
        <v>1561</v>
      </c>
      <c r="J7319" t="s">
        <v>1561</v>
      </c>
      <c r="L7319" s="26" t="e">
        <f t="shared" si="438"/>
        <v>#VALUE!</v>
      </c>
    </row>
    <row r="7320" spans="1:12" x14ac:dyDescent="0.35">
      <c r="A7320" s="9">
        <f t="shared" si="439"/>
        <v>7319</v>
      </c>
      <c r="B7320" t="s">
        <v>109</v>
      </c>
      <c r="C7320" s="109">
        <f>IF(ISBLANK(K7320),IFERROR(VLOOKUP(I7320,FS_input_data!$C$458:$N$648,Export!J7320,FALSE),""),K7320)</f>
        <v>7000</v>
      </c>
      <c r="D7320" s="6" t="b">
        <v>1</v>
      </c>
      <c r="E7320" s="6"/>
      <c r="F7320" s="6"/>
      <c r="G7320" s="120" t="b">
        <f t="shared" si="440"/>
        <v>1</v>
      </c>
      <c r="H7320" s="6" t="s">
        <v>2189</v>
      </c>
      <c r="I7320" t="s">
        <v>2110</v>
      </c>
      <c r="J7320">
        <v>10</v>
      </c>
      <c r="L7320" s="26" t="e">
        <f t="shared" si="438"/>
        <v>#VALUE!</v>
      </c>
    </row>
    <row r="7321" spans="1:12" x14ac:dyDescent="0.35">
      <c r="A7321">
        <f t="shared" si="439"/>
        <v>7320</v>
      </c>
      <c r="B7321" t="s">
        <v>110</v>
      </c>
      <c r="C7321" s="109" t="str">
        <f>IF(ISBLANK(K7321),IFERROR(VLOOKUP(I7321,FS_input_data!$C$458:$N$648,Export!J7321,FALSE),""),K7321)</f>
        <v/>
      </c>
      <c r="D7321" s="6"/>
      <c r="E7321" s="6"/>
      <c r="F7321" s="6"/>
      <c r="G7321" s="120" t="b">
        <f t="shared" si="440"/>
        <v>1</v>
      </c>
      <c r="H7321" s="6" t="s">
        <v>2189</v>
      </c>
      <c r="I7321" t="s">
        <v>1561</v>
      </c>
      <c r="J7321" t="s">
        <v>1561</v>
      </c>
      <c r="L7321">
        <f t="shared" si="438"/>
        <v>1</v>
      </c>
    </row>
    <row r="7322" spans="1:12" x14ac:dyDescent="0.35">
      <c r="A7322" s="9">
        <f t="shared" si="439"/>
        <v>7321</v>
      </c>
      <c r="B7322" t="s">
        <v>111</v>
      </c>
      <c r="C7322" s="109">
        <f>IF(ISBLANK(K7322),IFERROR(VLOOKUP(I7322,FS_input_data!$C$458:$N$648,Export!J7322,FALSE),""),K7322)</f>
        <v>3500</v>
      </c>
      <c r="D7322" s="6" t="b">
        <v>0</v>
      </c>
      <c r="E7322" s="6"/>
      <c r="F7322" s="6"/>
      <c r="G7322" s="120" t="b">
        <f t="shared" si="440"/>
        <v>1</v>
      </c>
      <c r="H7322" s="6" t="s">
        <v>2189</v>
      </c>
      <c r="I7322" t="s">
        <v>2110</v>
      </c>
      <c r="J7322">
        <v>11</v>
      </c>
      <c r="L7322" s="26" t="e">
        <f t="shared" si="438"/>
        <v>#VALUE!</v>
      </c>
    </row>
    <row r="7323" spans="1:12" x14ac:dyDescent="0.35">
      <c r="A7323">
        <f t="shared" si="439"/>
        <v>7322</v>
      </c>
      <c r="B7323" t="s">
        <v>112</v>
      </c>
      <c r="C7323" s="109" t="str">
        <f>IF(ISBLANK(K7323),IFERROR(VLOOKUP(I7323,FS_input_data!$C$458:$N$648,Export!J7323,FALSE),""),K7323)</f>
        <v/>
      </c>
      <c r="D7323" s="6"/>
      <c r="E7323" s="6"/>
      <c r="F7323" s="6"/>
      <c r="G7323" s="120" t="b">
        <f t="shared" si="440"/>
        <v>1</v>
      </c>
      <c r="H7323" s="6" t="s">
        <v>2189</v>
      </c>
      <c r="I7323" t="s">
        <v>1561</v>
      </c>
      <c r="J7323" t="s">
        <v>1561</v>
      </c>
      <c r="L7323">
        <f t="shared" si="438"/>
        <v>1</v>
      </c>
    </row>
    <row r="7324" spans="1:12" x14ac:dyDescent="0.35">
      <c r="A7324" s="9">
        <f t="shared" si="439"/>
        <v>7323</v>
      </c>
      <c r="B7324" t="s">
        <v>749</v>
      </c>
      <c r="C7324" s="109">
        <f>IF(ISBLANK(K7324),IFERROR(VLOOKUP(I7324,FS_input_data!$C$458:$N$648,Export!J7324,FALSE),""),K7324)</f>
        <v>3500</v>
      </c>
      <c r="D7324" s="6" t="b">
        <v>0</v>
      </c>
      <c r="E7324" s="6"/>
      <c r="F7324" s="6"/>
      <c r="G7324" s="120" t="b">
        <f t="shared" si="440"/>
        <v>1</v>
      </c>
      <c r="H7324" s="6" t="s">
        <v>2189</v>
      </c>
      <c r="I7324" t="s">
        <v>2110</v>
      </c>
      <c r="J7324">
        <v>12</v>
      </c>
      <c r="L7324" s="26" t="e">
        <f t="shared" si="438"/>
        <v>#VALUE!</v>
      </c>
    </row>
    <row r="7325" spans="1:12" x14ac:dyDescent="0.35">
      <c r="A7325">
        <f t="shared" si="439"/>
        <v>7324</v>
      </c>
      <c r="B7325" t="s">
        <v>750</v>
      </c>
      <c r="C7325" s="109" t="str">
        <f>IF(ISBLANK(K7325),IFERROR(VLOOKUP(I7325,FS_input_data!$C$458:$N$648,Export!J7325,FALSE),""),K7325)</f>
        <v/>
      </c>
      <c r="D7325" s="6"/>
      <c r="E7325" s="6"/>
      <c r="F7325" s="6"/>
      <c r="G7325" s="120" t="b">
        <f t="shared" si="440"/>
        <v>1</v>
      </c>
      <c r="H7325" s="6" t="s">
        <v>2189</v>
      </c>
      <c r="I7325" t="s">
        <v>1561</v>
      </c>
      <c r="J7325" t="s">
        <v>1561</v>
      </c>
      <c r="L7325">
        <f t="shared" si="438"/>
        <v>1</v>
      </c>
    </row>
    <row r="7326" spans="1:12" x14ac:dyDescent="0.35">
      <c r="A7326">
        <f t="shared" si="439"/>
        <v>7325</v>
      </c>
      <c r="B7326" t="s">
        <v>745</v>
      </c>
      <c r="C7326" s="109" t="str">
        <f>IF(ISBLANK(K7326),IFERROR(VLOOKUP(I7326,FS_input_data!$C$458:$N$648,Export!J7326,FALSE),""),K7326)</f>
        <v/>
      </c>
      <c r="D7326" s="6"/>
      <c r="E7326" s="6"/>
      <c r="F7326" s="6"/>
      <c r="G7326" s="120" t="b">
        <f t="shared" si="440"/>
        <v>1</v>
      </c>
      <c r="H7326" s="6" t="s">
        <v>2189</v>
      </c>
      <c r="I7326" t="s">
        <v>1561</v>
      </c>
      <c r="J7326" t="s">
        <v>1561</v>
      </c>
      <c r="L7326">
        <f t="shared" si="438"/>
        <v>1</v>
      </c>
    </row>
    <row r="7327" spans="1:12" x14ac:dyDescent="0.35">
      <c r="A7327">
        <f t="shared" si="439"/>
        <v>7326</v>
      </c>
      <c r="B7327" t="s">
        <v>764</v>
      </c>
      <c r="C7327" s="109" t="str">
        <f>IF(ISBLANK(K7327),IFERROR(VLOOKUP(I7327,FS_input_data!$C$458:$N$648,Export!J7327,FALSE),""),K7327)</f>
        <v/>
      </c>
      <c r="D7327" s="6"/>
      <c r="E7327" s="6"/>
      <c r="F7327" s="6"/>
      <c r="G7327" s="120" t="b">
        <f>VLOOKUP(I7308,FS_input_noty,J7308,FALSE)=""</f>
        <v>0</v>
      </c>
      <c r="H7327" s="6" t="s">
        <v>2189</v>
      </c>
      <c r="I7327" t="s">
        <v>1561</v>
      </c>
      <c r="J7327" t="s">
        <v>1561</v>
      </c>
      <c r="L7327">
        <f t="shared" si="438"/>
        <v>1</v>
      </c>
    </row>
    <row r="7328" spans="1:12" x14ac:dyDescent="0.35">
      <c r="A7328">
        <f t="shared" si="439"/>
        <v>7327</v>
      </c>
      <c r="B7328" t="s">
        <v>765</v>
      </c>
      <c r="C7328" s="109" t="str">
        <f>IF(ISBLANK(K7328),IFERROR(VLOOKUP(I7328,FS_input_data!$C$458:$N$648,Export!J7328,FALSE),""),K7328)</f>
        <v/>
      </c>
      <c r="D7328" s="6"/>
      <c r="E7328" s="6"/>
      <c r="F7328" s="6"/>
      <c r="G7328" s="120" t="b">
        <f>VLOOKUP(I7308,FS_input_noty,J7308,FALSE)=""</f>
        <v>0</v>
      </c>
      <c r="H7328" s="6" t="s">
        <v>2189</v>
      </c>
      <c r="I7328" t="s">
        <v>1561</v>
      </c>
      <c r="J7328" t="s">
        <v>1561</v>
      </c>
      <c r="L7328">
        <f t="shared" si="438"/>
        <v>1</v>
      </c>
    </row>
    <row r="7329" spans="1:12" x14ac:dyDescent="0.35">
      <c r="A7329">
        <f t="shared" si="439"/>
        <v>7328</v>
      </c>
      <c r="B7329" t="s">
        <v>752</v>
      </c>
      <c r="C7329" s="109" t="str">
        <f>IF(ISBLANK(K7329),IFERROR(VLOOKUP(I7329,FS_input_data!$C$458:$N$648,Export!J7329,FALSE),""),K7329)</f>
        <v/>
      </c>
      <c r="D7329" s="6"/>
      <c r="E7329" s="6"/>
      <c r="F7329" s="6"/>
      <c r="G7329" s="120" t="b">
        <f>VLOOKUP(I7330,FS_input_noty,J7330,FALSE)=""</f>
        <v>0</v>
      </c>
      <c r="H7329" s="6" t="s">
        <v>2189</v>
      </c>
      <c r="I7329" t="s">
        <v>1561</v>
      </c>
      <c r="J7329" t="s">
        <v>1561</v>
      </c>
      <c r="L7329" s="26" t="e">
        <f t="shared" si="438"/>
        <v>#VALUE!</v>
      </c>
    </row>
    <row r="7330" spans="1:12" x14ac:dyDescent="0.35">
      <c r="A7330" s="9">
        <f t="shared" si="439"/>
        <v>7329</v>
      </c>
      <c r="B7330" t="s">
        <v>101</v>
      </c>
      <c r="C7330" s="109" t="str">
        <f>IF(ISBLANK(K7330),IFERROR(VLOOKUP(I7330,FS_input_data!$C$458:$N$648,Export!J7330,FALSE),""),K7330)</f>
        <v>OC129</v>
      </c>
      <c r="D7330" s="6" t="b">
        <v>1</v>
      </c>
      <c r="E7330" s="6"/>
      <c r="F7330" s="6"/>
      <c r="G7330" s="120" t="b">
        <f>VLOOKUP(I7330,FS_input_noty,J7330,FALSE)=""</f>
        <v>0</v>
      </c>
      <c r="H7330" s="6" t="s">
        <v>2189</v>
      </c>
      <c r="I7330" t="s">
        <v>2112</v>
      </c>
      <c r="J7330">
        <v>6</v>
      </c>
      <c r="L7330" s="26" t="e">
        <f t="shared" si="438"/>
        <v>#VALUE!</v>
      </c>
    </row>
    <row r="7331" spans="1:12" x14ac:dyDescent="0.35">
      <c r="A7331">
        <f t="shared" si="439"/>
        <v>7330</v>
      </c>
      <c r="B7331" t="s">
        <v>102</v>
      </c>
      <c r="C7331" s="109" t="str">
        <f>IF(ISBLANK(K7331),IFERROR(VLOOKUP(I7331,FS_input_data!$C$458:$N$648,Export!J7331,FALSE),""),K7331)</f>
        <v/>
      </c>
      <c r="D7331" s="6"/>
      <c r="E7331" s="6"/>
      <c r="F7331" s="6"/>
      <c r="G7331" s="120" t="b">
        <f>VLOOKUP(I7330,FS_input_noty,J7330,FALSE)=""</f>
        <v>0</v>
      </c>
      <c r="H7331" s="6" t="s">
        <v>2189</v>
      </c>
      <c r="I7331" t="s">
        <v>1561</v>
      </c>
      <c r="J7331" t="s">
        <v>1561</v>
      </c>
      <c r="L7331">
        <f t="shared" si="438"/>
        <v>1</v>
      </c>
    </row>
    <row r="7332" spans="1:12" x14ac:dyDescent="0.35">
      <c r="A7332">
        <f t="shared" si="439"/>
        <v>7331</v>
      </c>
      <c r="B7332" t="s">
        <v>753</v>
      </c>
      <c r="C7332" s="109" t="str">
        <f>IF(ISBLANK(K7332),IFERROR(VLOOKUP(I7332,FS_input_data!$C$458:$N$648,Export!J7332,FALSE),""),K7332)</f>
        <v/>
      </c>
      <c r="D7332" s="6"/>
      <c r="E7332" s="6"/>
      <c r="F7332" s="6"/>
      <c r="G7332" s="120" t="b">
        <f>VLOOKUP(I7330,FS_input_noty,J7330,FALSE)=""</f>
        <v>0</v>
      </c>
      <c r="H7332" s="6" t="s">
        <v>2189</v>
      </c>
      <c r="I7332" t="s">
        <v>1561</v>
      </c>
      <c r="J7332" t="s">
        <v>1561</v>
      </c>
      <c r="L7332" s="26" t="e">
        <f t="shared" si="438"/>
        <v>#VALUE!</v>
      </c>
    </row>
    <row r="7333" spans="1:12" x14ac:dyDescent="0.35">
      <c r="A7333">
        <f t="shared" si="439"/>
        <v>7332</v>
      </c>
      <c r="B7333" t="s">
        <v>742</v>
      </c>
      <c r="C7333" s="109" t="str">
        <f>IF(ISBLANK(K7333),IFERROR(VLOOKUP(I7333,FS_input_data!$C$458:$N$648,Export!J7333,FALSE),""),K7333)</f>
        <v/>
      </c>
      <c r="D7333" s="6"/>
      <c r="E7333" s="6"/>
      <c r="F7333" s="6"/>
      <c r="G7333" s="120" t="b">
        <f>VLOOKUP(I7330,FS_input_noty,J7330,FALSE)=""</f>
        <v>0</v>
      </c>
      <c r="H7333" s="6" t="s">
        <v>2189</v>
      </c>
      <c r="I7333" t="s">
        <v>1561</v>
      </c>
      <c r="J7333" t="s">
        <v>1561</v>
      </c>
      <c r="L7333" s="26" t="e">
        <f t="shared" si="438"/>
        <v>#VALUE!</v>
      </c>
    </row>
    <row r="7334" spans="1:12" x14ac:dyDescent="0.35">
      <c r="A7334" s="9">
        <f t="shared" si="439"/>
        <v>7333</v>
      </c>
      <c r="B7334" t="s">
        <v>109</v>
      </c>
      <c r="C7334" s="109">
        <f>IF(ISBLANK(K7334),IFERROR(VLOOKUP(I7334,FS_input_data!$C$458:$N$648,Export!J7334,FALSE),""),K7334)</f>
        <v>8000</v>
      </c>
      <c r="D7334" s="6" t="b">
        <v>1</v>
      </c>
      <c r="E7334" s="6"/>
      <c r="F7334" s="6"/>
      <c r="G7334" s="120" t="b">
        <f>VLOOKUP(I7330,FS_input_noty,J7330,FALSE)=""</f>
        <v>0</v>
      </c>
      <c r="H7334" s="6" t="s">
        <v>2189</v>
      </c>
      <c r="I7334" t="s">
        <v>2112</v>
      </c>
      <c r="J7334">
        <v>7</v>
      </c>
      <c r="L7334" s="26" t="e">
        <f t="shared" si="438"/>
        <v>#VALUE!</v>
      </c>
    </row>
    <row r="7335" spans="1:12" x14ac:dyDescent="0.35">
      <c r="A7335">
        <f t="shared" si="439"/>
        <v>7334</v>
      </c>
      <c r="B7335" t="s">
        <v>110</v>
      </c>
      <c r="C7335" s="109" t="str">
        <f>IF(ISBLANK(K7335),IFERROR(VLOOKUP(I7335,FS_input_data!$C$458:$N$648,Export!J7335,FALSE),""),K7335)</f>
        <v/>
      </c>
      <c r="D7335" s="6"/>
      <c r="E7335" s="6"/>
      <c r="F7335" s="6"/>
      <c r="G7335" s="120" t="b">
        <f>VLOOKUP(I7330,FS_input_noty,J7330,FALSE)=""</f>
        <v>0</v>
      </c>
      <c r="H7335" s="6" t="s">
        <v>2189</v>
      </c>
      <c r="I7335" t="s">
        <v>1561</v>
      </c>
      <c r="J7335" t="s">
        <v>1561</v>
      </c>
      <c r="L7335">
        <f t="shared" si="438"/>
        <v>1</v>
      </c>
    </row>
    <row r="7336" spans="1:12" x14ac:dyDescent="0.35">
      <c r="A7336" s="9">
        <f t="shared" si="439"/>
        <v>7335</v>
      </c>
      <c r="B7336" t="s">
        <v>111</v>
      </c>
      <c r="C7336" s="109">
        <f>IF(ISBLANK(K7336),IFERROR(VLOOKUP(I7336,FS_input_data!$C$458:$N$648,Export!J7336,FALSE),""),K7336)</f>
        <v>4000</v>
      </c>
      <c r="D7336" s="6" t="b">
        <v>0</v>
      </c>
      <c r="E7336" s="6"/>
      <c r="F7336" s="6"/>
      <c r="G7336" s="120" t="b">
        <f>VLOOKUP(I7330,FS_input_noty,J7330,FALSE)=""</f>
        <v>0</v>
      </c>
      <c r="H7336" s="6" t="s">
        <v>2189</v>
      </c>
      <c r="I7336" t="s">
        <v>2112</v>
      </c>
      <c r="J7336">
        <v>8</v>
      </c>
      <c r="L7336" s="26" t="e">
        <f t="shared" si="438"/>
        <v>#VALUE!</v>
      </c>
    </row>
    <row r="7337" spans="1:12" x14ac:dyDescent="0.35">
      <c r="A7337">
        <f t="shared" si="439"/>
        <v>7336</v>
      </c>
      <c r="B7337" t="s">
        <v>112</v>
      </c>
      <c r="C7337" s="109" t="str">
        <f>IF(ISBLANK(K7337),IFERROR(VLOOKUP(I7337,FS_input_data!$C$458:$N$648,Export!J7337,FALSE),""),K7337)</f>
        <v/>
      </c>
      <c r="D7337" s="6"/>
      <c r="E7337" s="6"/>
      <c r="F7337" s="6"/>
      <c r="G7337" s="120" t="b">
        <f>VLOOKUP(I7330,FS_input_noty,J7330,FALSE)=""</f>
        <v>0</v>
      </c>
      <c r="H7337" s="6" t="s">
        <v>2189</v>
      </c>
      <c r="I7337" t="s">
        <v>1561</v>
      </c>
      <c r="J7337" t="s">
        <v>1561</v>
      </c>
      <c r="L7337">
        <f t="shared" si="438"/>
        <v>1</v>
      </c>
    </row>
    <row r="7338" spans="1:12" x14ac:dyDescent="0.35">
      <c r="A7338" s="9">
        <f t="shared" si="439"/>
        <v>7337</v>
      </c>
      <c r="B7338" t="s">
        <v>749</v>
      </c>
      <c r="C7338" s="109">
        <f>IF(ISBLANK(K7338),IFERROR(VLOOKUP(I7338,FS_input_data!$C$458:$N$648,Export!J7338,FALSE),""),K7338)</f>
        <v>4000</v>
      </c>
      <c r="D7338" s="6" t="b">
        <v>0</v>
      </c>
      <c r="E7338" s="6"/>
      <c r="F7338" s="6"/>
      <c r="G7338" s="120" t="b">
        <f>VLOOKUP(I7330,FS_input_noty,J7330,FALSE)=""</f>
        <v>0</v>
      </c>
      <c r="H7338" s="6" t="s">
        <v>2189</v>
      </c>
      <c r="I7338" t="s">
        <v>2112</v>
      </c>
      <c r="J7338">
        <v>9</v>
      </c>
      <c r="L7338" s="26" t="e">
        <f t="shared" si="438"/>
        <v>#VALUE!</v>
      </c>
    </row>
    <row r="7339" spans="1:12" x14ac:dyDescent="0.35">
      <c r="A7339">
        <f t="shared" si="439"/>
        <v>7338</v>
      </c>
      <c r="B7339" t="s">
        <v>750</v>
      </c>
      <c r="C7339" s="109" t="str">
        <f>IF(ISBLANK(K7339),IFERROR(VLOOKUP(I7339,FS_input_data!$C$458:$N$648,Export!J7339,FALSE),""),K7339)</f>
        <v/>
      </c>
      <c r="D7339" s="6"/>
      <c r="E7339" s="6"/>
      <c r="F7339" s="6"/>
      <c r="G7339" s="120" t="b">
        <f>VLOOKUP(I7330,FS_input_noty,J7330,FALSE)=""</f>
        <v>0</v>
      </c>
      <c r="H7339" s="6" t="s">
        <v>2189</v>
      </c>
      <c r="I7339" t="s">
        <v>1561</v>
      </c>
      <c r="J7339" t="s">
        <v>1561</v>
      </c>
      <c r="L7339">
        <f t="shared" si="438"/>
        <v>1</v>
      </c>
    </row>
    <row r="7340" spans="1:12" x14ac:dyDescent="0.35">
      <c r="A7340">
        <f t="shared" si="439"/>
        <v>7339</v>
      </c>
      <c r="B7340" t="s">
        <v>743</v>
      </c>
      <c r="C7340" s="109" t="str">
        <f>IF(ISBLANK(K7340),IFERROR(VLOOKUP(I7340,FS_input_data!$C$458:$N$648,Export!J7340,FALSE),""),K7340)</f>
        <v/>
      </c>
      <c r="D7340" s="6"/>
      <c r="E7340" s="6"/>
      <c r="F7340" s="6"/>
      <c r="G7340" s="120" t="b">
        <f>VLOOKUP(I7330,FS_input_noty,J7330,FALSE)=""</f>
        <v>0</v>
      </c>
      <c r="H7340" s="6" t="s">
        <v>2189</v>
      </c>
      <c r="I7340" t="s">
        <v>1561</v>
      </c>
      <c r="J7340" t="s">
        <v>1561</v>
      </c>
      <c r="L7340">
        <f t="shared" si="438"/>
        <v>1</v>
      </c>
    </row>
    <row r="7341" spans="1:12" x14ac:dyDescent="0.35">
      <c r="A7341">
        <f t="shared" si="439"/>
        <v>7340</v>
      </c>
      <c r="B7341" t="s">
        <v>744</v>
      </c>
      <c r="C7341" s="109" t="str">
        <f>IF(ISBLANK(K7341),IFERROR(VLOOKUP(I7341,FS_input_data!$C$458:$N$648,Export!J7341,FALSE),""),K7341)</f>
        <v/>
      </c>
      <c r="D7341" s="6"/>
      <c r="E7341" s="6"/>
      <c r="F7341" s="6"/>
      <c r="G7341" s="120" t="b">
        <f t="shared" ref="G7341:G7348" si="441">RP_tax</f>
        <v>1</v>
      </c>
      <c r="H7341" s="6" t="s">
        <v>2189</v>
      </c>
      <c r="I7341" t="s">
        <v>1561</v>
      </c>
      <c r="J7341" t="s">
        <v>1561</v>
      </c>
      <c r="L7341" s="26" t="e">
        <f t="shared" si="438"/>
        <v>#VALUE!</v>
      </c>
    </row>
    <row r="7342" spans="1:12" x14ac:dyDescent="0.35">
      <c r="A7342" s="9">
        <f t="shared" si="439"/>
        <v>7341</v>
      </c>
      <c r="B7342" t="s">
        <v>109</v>
      </c>
      <c r="C7342" s="109">
        <f>IF(ISBLANK(K7342),IFERROR(VLOOKUP(I7342,FS_input_data!$C$458:$N$648,Export!J7342,FALSE),""),K7342)</f>
        <v>8000</v>
      </c>
      <c r="D7342" s="6" t="b">
        <v>1</v>
      </c>
      <c r="E7342" s="6"/>
      <c r="F7342" s="6"/>
      <c r="G7342" s="120" t="b">
        <f t="shared" si="441"/>
        <v>1</v>
      </c>
      <c r="H7342" s="6" t="s">
        <v>2189</v>
      </c>
      <c r="I7342" t="s">
        <v>2112</v>
      </c>
      <c r="J7342">
        <v>10</v>
      </c>
      <c r="L7342" s="26" t="e">
        <f t="shared" si="438"/>
        <v>#VALUE!</v>
      </c>
    </row>
    <row r="7343" spans="1:12" x14ac:dyDescent="0.35">
      <c r="A7343">
        <f t="shared" si="439"/>
        <v>7342</v>
      </c>
      <c r="B7343" t="s">
        <v>110</v>
      </c>
      <c r="C7343" s="109" t="str">
        <f>IF(ISBLANK(K7343),IFERROR(VLOOKUP(I7343,FS_input_data!$C$458:$N$648,Export!J7343,FALSE),""),K7343)</f>
        <v/>
      </c>
      <c r="D7343" s="6"/>
      <c r="E7343" s="6"/>
      <c r="F7343" s="6"/>
      <c r="G7343" s="120" t="b">
        <f t="shared" si="441"/>
        <v>1</v>
      </c>
      <c r="H7343" s="6" t="s">
        <v>2189</v>
      </c>
      <c r="I7343" t="s">
        <v>1561</v>
      </c>
      <c r="J7343" t="s">
        <v>1561</v>
      </c>
      <c r="L7343">
        <f t="shared" si="438"/>
        <v>1</v>
      </c>
    </row>
    <row r="7344" spans="1:12" x14ac:dyDescent="0.35">
      <c r="A7344" s="9">
        <f t="shared" si="439"/>
        <v>7343</v>
      </c>
      <c r="B7344" t="s">
        <v>111</v>
      </c>
      <c r="C7344" s="109">
        <f>IF(ISBLANK(K7344),IFERROR(VLOOKUP(I7344,FS_input_data!$C$458:$N$648,Export!J7344,FALSE),""),K7344)</f>
        <v>4000</v>
      </c>
      <c r="D7344" s="6" t="b">
        <v>0</v>
      </c>
      <c r="E7344" s="6"/>
      <c r="F7344" s="6"/>
      <c r="G7344" s="120" t="b">
        <f t="shared" si="441"/>
        <v>1</v>
      </c>
      <c r="H7344" s="6" t="s">
        <v>2189</v>
      </c>
      <c r="I7344" t="s">
        <v>2112</v>
      </c>
      <c r="J7344">
        <v>11</v>
      </c>
      <c r="L7344" s="26" t="e">
        <f t="shared" si="438"/>
        <v>#VALUE!</v>
      </c>
    </row>
    <row r="7345" spans="1:12" x14ac:dyDescent="0.35">
      <c r="A7345">
        <f t="shared" si="439"/>
        <v>7344</v>
      </c>
      <c r="B7345" t="s">
        <v>112</v>
      </c>
      <c r="C7345" s="109" t="str">
        <f>IF(ISBLANK(K7345),IFERROR(VLOOKUP(I7345,FS_input_data!$C$458:$N$648,Export!J7345,FALSE),""),K7345)</f>
        <v/>
      </c>
      <c r="D7345" s="6"/>
      <c r="E7345" s="6"/>
      <c r="F7345" s="6"/>
      <c r="G7345" s="120" t="b">
        <f t="shared" si="441"/>
        <v>1</v>
      </c>
      <c r="H7345" s="6" t="s">
        <v>2189</v>
      </c>
      <c r="I7345" t="s">
        <v>1561</v>
      </c>
      <c r="J7345" t="s">
        <v>1561</v>
      </c>
      <c r="L7345">
        <f t="shared" si="438"/>
        <v>1</v>
      </c>
    </row>
    <row r="7346" spans="1:12" x14ac:dyDescent="0.35">
      <c r="A7346" s="9">
        <f t="shared" si="439"/>
        <v>7345</v>
      </c>
      <c r="B7346" t="s">
        <v>749</v>
      </c>
      <c r="C7346" s="109">
        <f>IF(ISBLANK(K7346),IFERROR(VLOOKUP(I7346,FS_input_data!$C$458:$N$648,Export!J7346,FALSE),""),K7346)</f>
        <v>4000</v>
      </c>
      <c r="D7346" s="6" t="b">
        <v>0</v>
      </c>
      <c r="E7346" s="6"/>
      <c r="F7346" s="6"/>
      <c r="G7346" s="120" t="b">
        <f t="shared" si="441"/>
        <v>1</v>
      </c>
      <c r="H7346" s="6" t="s">
        <v>2189</v>
      </c>
      <c r="I7346" t="s">
        <v>2112</v>
      </c>
      <c r="J7346">
        <v>12</v>
      </c>
      <c r="L7346" s="26" t="e">
        <f t="shared" si="438"/>
        <v>#VALUE!</v>
      </c>
    </row>
    <row r="7347" spans="1:12" x14ac:dyDescent="0.35">
      <c r="A7347">
        <f t="shared" si="439"/>
        <v>7346</v>
      </c>
      <c r="B7347" t="s">
        <v>750</v>
      </c>
      <c r="C7347" s="109" t="str">
        <f>IF(ISBLANK(K7347),IFERROR(VLOOKUP(I7347,FS_input_data!$C$458:$N$648,Export!J7347,FALSE),""),K7347)</f>
        <v/>
      </c>
      <c r="D7347" s="6"/>
      <c r="E7347" s="6"/>
      <c r="F7347" s="6"/>
      <c r="G7347" s="120" t="b">
        <f t="shared" si="441"/>
        <v>1</v>
      </c>
      <c r="H7347" s="6" t="s">
        <v>2189</v>
      </c>
      <c r="I7347" t="s">
        <v>1561</v>
      </c>
      <c r="J7347" t="s">
        <v>1561</v>
      </c>
      <c r="L7347">
        <f t="shared" si="438"/>
        <v>1</v>
      </c>
    </row>
    <row r="7348" spans="1:12" x14ac:dyDescent="0.35">
      <c r="A7348">
        <f t="shared" si="439"/>
        <v>7347</v>
      </c>
      <c r="B7348" t="s">
        <v>745</v>
      </c>
      <c r="C7348" s="109" t="str">
        <f>IF(ISBLANK(K7348),IFERROR(VLOOKUP(I7348,FS_input_data!$C$458:$N$648,Export!J7348,FALSE),""),K7348)</f>
        <v/>
      </c>
      <c r="D7348" s="6"/>
      <c r="E7348" s="6"/>
      <c r="F7348" s="6"/>
      <c r="G7348" s="120" t="b">
        <f t="shared" si="441"/>
        <v>1</v>
      </c>
      <c r="H7348" s="6" t="s">
        <v>2189</v>
      </c>
      <c r="I7348" t="s">
        <v>1561</v>
      </c>
      <c r="J7348" t="s">
        <v>1561</v>
      </c>
      <c r="L7348">
        <f t="shared" si="438"/>
        <v>1</v>
      </c>
    </row>
    <row r="7349" spans="1:12" x14ac:dyDescent="0.35">
      <c r="A7349">
        <f t="shared" si="439"/>
        <v>7348</v>
      </c>
      <c r="B7349" t="s">
        <v>764</v>
      </c>
      <c r="C7349" s="109" t="str">
        <f>IF(ISBLANK(K7349),IFERROR(VLOOKUP(I7349,FS_input_data!$C$458:$N$648,Export!J7349,FALSE),""),K7349)</f>
        <v/>
      </c>
      <c r="D7349" s="6"/>
      <c r="E7349" s="6"/>
      <c r="F7349" s="6"/>
      <c r="G7349" s="120" t="b">
        <f>VLOOKUP(I7330,FS_input_noty,J7330,FALSE)=""</f>
        <v>0</v>
      </c>
      <c r="H7349" s="6" t="s">
        <v>2189</v>
      </c>
      <c r="I7349" t="s">
        <v>1561</v>
      </c>
      <c r="J7349" t="s">
        <v>1561</v>
      </c>
      <c r="L7349">
        <f t="shared" si="438"/>
        <v>1</v>
      </c>
    </row>
    <row r="7350" spans="1:12" x14ac:dyDescent="0.35">
      <c r="A7350">
        <f t="shared" si="439"/>
        <v>7349</v>
      </c>
      <c r="B7350" t="s">
        <v>765</v>
      </c>
      <c r="C7350" s="109" t="str">
        <f>IF(ISBLANK(K7350),IFERROR(VLOOKUP(I7350,FS_input_data!$C$458:$N$648,Export!J7350,FALSE),""),K7350)</f>
        <v/>
      </c>
      <c r="D7350" s="6"/>
      <c r="E7350" s="6"/>
      <c r="F7350" s="6"/>
      <c r="G7350" s="120" t="b">
        <f>VLOOKUP(I7330,FS_input_noty,J7330,FALSE)=""</f>
        <v>0</v>
      </c>
      <c r="H7350" s="6" t="s">
        <v>2189</v>
      </c>
      <c r="I7350" t="s">
        <v>1561</v>
      </c>
      <c r="J7350" t="s">
        <v>1561</v>
      </c>
      <c r="L7350">
        <f t="shared" si="438"/>
        <v>1</v>
      </c>
    </row>
    <row r="7351" spans="1:12" x14ac:dyDescent="0.35">
      <c r="A7351">
        <f t="shared" si="439"/>
        <v>7350</v>
      </c>
      <c r="B7351" t="s">
        <v>752</v>
      </c>
      <c r="C7351" s="109" t="str">
        <f>IF(ISBLANK(K7351),IFERROR(VLOOKUP(I7351,FS_input_data!$C$458:$N$648,Export!J7351,FALSE),""),K7351)</f>
        <v/>
      </c>
      <c r="D7351" s="6"/>
      <c r="E7351" s="6"/>
      <c r="F7351" s="6"/>
      <c r="G7351" s="120" t="b">
        <f>VLOOKUP(I7352,FS_input_noty,J7352,FALSE)=""</f>
        <v>0</v>
      </c>
      <c r="H7351" s="6" t="s">
        <v>2189</v>
      </c>
      <c r="I7351" t="s">
        <v>1561</v>
      </c>
      <c r="J7351" t="s">
        <v>1561</v>
      </c>
      <c r="L7351" s="26" t="e">
        <f t="shared" si="438"/>
        <v>#VALUE!</v>
      </c>
    </row>
    <row r="7352" spans="1:12" x14ac:dyDescent="0.35">
      <c r="A7352" s="9">
        <f t="shared" si="439"/>
        <v>7351</v>
      </c>
      <c r="B7352" t="s">
        <v>101</v>
      </c>
      <c r="C7352" s="109" t="str">
        <f>IF(ISBLANK(K7352),IFERROR(VLOOKUP(I7352,FS_input_data!$C$458:$N$648,Export!J7352,FALSE),""),K7352)</f>
        <v>OC130</v>
      </c>
      <c r="D7352" s="6" t="b">
        <v>1</v>
      </c>
      <c r="E7352" s="6"/>
      <c r="F7352" s="6"/>
      <c r="G7352" s="120" t="b">
        <f>VLOOKUP(I7352,FS_input_noty,J7352,FALSE)=""</f>
        <v>0</v>
      </c>
      <c r="H7352" s="6" t="s">
        <v>2189</v>
      </c>
      <c r="I7352" t="s">
        <v>2114</v>
      </c>
      <c r="J7352">
        <v>6</v>
      </c>
      <c r="L7352" s="26" t="e">
        <f t="shared" si="438"/>
        <v>#VALUE!</v>
      </c>
    </row>
    <row r="7353" spans="1:12" x14ac:dyDescent="0.35">
      <c r="A7353">
        <f t="shared" si="439"/>
        <v>7352</v>
      </c>
      <c r="B7353" t="s">
        <v>102</v>
      </c>
      <c r="C7353" s="109" t="str">
        <f>IF(ISBLANK(K7353),IFERROR(VLOOKUP(I7353,FS_input_data!$C$458:$N$648,Export!J7353,FALSE),""),K7353)</f>
        <v/>
      </c>
      <c r="D7353" s="6"/>
      <c r="E7353" s="6"/>
      <c r="F7353" s="6"/>
      <c r="G7353" s="120" t="b">
        <f>VLOOKUP(I7352,FS_input_noty,J7352,FALSE)=""</f>
        <v>0</v>
      </c>
      <c r="H7353" s="6" t="s">
        <v>2189</v>
      </c>
      <c r="I7353" t="s">
        <v>1561</v>
      </c>
      <c r="J7353" t="s">
        <v>1561</v>
      </c>
      <c r="L7353">
        <f t="shared" si="438"/>
        <v>1</v>
      </c>
    </row>
    <row r="7354" spans="1:12" x14ac:dyDescent="0.35">
      <c r="A7354">
        <f t="shared" si="439"/>
        <v>7353</v>
      </c>
      <c r="B7354" t="s">
        <v>753</v>
      </c>
      <c r="C7354" s="109" t="str">
        <f>IF(ISBLANK(K7354),IFERROR(VLOOKUP(I7354,FS_input_data!$C$458:$N$648,Export!J7354,FALSE),""),K7354)</f>
        <v/>
      </c>
      <c r="D7354" s="6"/>
      <c r="E7354" s="6"/>
      <c r="F7354" s="6"/>
      <c r="G7354" s="120" t="b">
        <f>VLOOKUP(I7352,FS_input_noty,J7352,FALSE)=""</f>
        <v>0</v>
      </c>
      <c r="H7354" s="6" t="s">
        <v>2189</v>
      </c>
      <c r="I7354" t="s">
        <v>1561</v>
      </c>
      <c r="J7354" t="s">
        <v>1561</v>
      </c>
      <c r="L7354" s="26" t="e">
        <f t="shared" si="438"/>
        <v>#VALUE!</v>
      </c>
    </row>
    <row r="7355" spans="1:12" x14ac:dyDescent="0.35">
      <c r="A7355">
        <f t="shared" si="439"/>
        <v>7354</v>
      </c>
      <c r="B7355" t="s">
        <v>742</v>
      </c>
      <c r="C7355" s="109" t="str">
        <f>IF(ISBLANK(K7355),IFERROR(VLOOKUP(I7355,FS_input_data!$C$458:$N$648,Export!J7355,FALSE),""),K7355)</f>
        <v/>
      </c>
      <c r="D7355" s="6"/>
      <c r="E7355" s="6"/>
      <c r="F7355" s="6"/>
      <c r="G7355" s="120" t="b">
        <f>VLOOKUP(I7352,FS_input_noty,J7352,FALSE)=""</f>
        <v>0</v>
      </c>
      <c r="H7355" s="6" t="s">
        <v>2189</v>
      </c>
      <c r="I7355" t="s">
        <v>1561</v>
      </c>
      <c r="J7355" t="s">
        <v>1561</v>
      </c>
      <c r="L7355" s="26" t="e">
        <f t="shared" si="438"/>
        <v>#VALUE!</v>
      </c>
    </row>
    <row r="7356" spans="1:12" x14ac:dyDescent="0.35">
      <c r="A7356" s="9">
        <f t="shared" si="439"/>
        <v>7355</v>
      </c>
      <c r="B7356" t="s">
        <v>109</v>
      </c>
      <c r="C7356" s="109">
        <f>IF(ISBLANK(K7356),IFERROR(VLOOKUP(I7356,FS_input_data!$C$458:$N$648,Export!J7356,FALSE),""),K7356)</f>
        <v>9000</v>
      </c>
      <c r="D7356" s="6" t="b">
        <v>1</v>
      </c>
      <c r="E7356" s="6"/>
      <c r="F7356" s="6"/>
      <c r="G7356" s="120" t="b">
        <f>VLOOKUP(I7352,FS_input_noty,J7352,FALSE)=""</f>
        <v>0</v>
      </c>
      <c r="H7356" s="6" t="s">
        <v>2189</v>
      </c>
      <c r="I7356" t="s">
        <v>2114</v>
      </c>
      <c r="J7356">
        <v>7</v>
      </c>
      <c r="L7356" s="26" t="e">
        <f t="shared" si="438"/>
        <v>#VALUE!</v>
      </c>
    </row>
    <row r="7357" spans="1:12" x14ac:dyDescent="0.35">
      <c r="A7357">
        <f t="shared" si="439"/>
        <v>7356</v>
      </c>
      <c r="B7357" t="s">
        <v>110</v>
      </c>
      <c r="C7357" s="109" t="str">
        <f>IF(ISBLANK(K7357),IFERROR(VLOOKUP(I7357,FS_input_data!$C$458:$N$648,Export!J7357,FALSE),""),K7357)</f>
        <v/>
      </c>
      <c r="D7357" s="6"/>
      <c r="E7357" s="6"/>
      <c r="F7357" s="6"/>
      <c r="G7357" s="120" t="b">
        <f>VLOOKUP(I7352,FS_input_noty,J7352,FALSE)=""</f>
        <v>0</v>
      </c>
      <c r="H7357" s="6" t="s">
        <v>2189</v>
      </c>
      <c r="I7357" t="s">
        <v>1561</v>
      </c>
      <c r="J7357" t="s">
        <v>1561</v>
      </c>
      <c r="L7357">
        <f t="shared" si="438"/>
        <v>1</v>
      </c>
    </row>
    <row r="7358" spans="1:12" x14ac:dyDescent="0.35">
      <c r="A7358" s="9">
        <f t="shared" si="439"/>
        <v>7357</v>
      </c>
      <c r="B7358" t="s">
        <v>111</v>
      </c>
      <c r="C7358" s="109">
        <f>IF(ISBLANK(K7358),IFERROR(VLOOKUP(I7358,FS_input_data!$C$458:$N$648,Export!J7358,FALSE),""),K7358)</f>
        <v>4500</v>
      </c>
      <c r="D7358" s="6" t="b">
        <v>0</v>
      </c>
      <c r="E7358" s="6"/>
      <c r="F7358" s="6"/>
      <c r="G7358" s="120" t="b">
        <f>VLOOKUP(I7352,FS_input_noty,J7352,FALSE)=""</f>
        <v>0</v>
      </c>
      <c r="H7358" s="6" t="s">
        <v>2189</v>
      </c>
      <c r="I7358" t="s">
        <v>2114</v>
      </c>
      <c r="J7358">
        <v>8</v>
      </c>
      <c r="L7358" s="26" t="e">
        <f t="shared" si="438"/>
        <v>#VALUE!</v>
      </c>
    </row>
    <row r="7359" spans="1:12" x14ac:dyDescent="0.35">
      <c r="A7359">
        <f t="shared" si="439"/>
        <v>7358</v>
      </c>
      <c r="B7359" t="s">
        <v>112</v>
      </c>
      <c r="C7359" s="109" t="str">
        <f>IF(ISBLANK(K7359),IFERROR(VLOOKUP(I7359,FS_input_data!$C$458:$N$648,Export!J7359,FALSE),""),K7359)</f>
        <v/>
      </c>
      <c r="D7359" s="6"/>
      <c r="E7359" s="6"/>
      <c r="F7359" s="6"/>
      <c r="G7359" s="120" t="b">
        <f>VLOOKUP(I7352,FS_input_noty,J7352,FALSE)=""</f>
        <v>0</v>
      </c>
      <c r="H7359" s="6" t="s">
        <v>2189</v>
      </c>
      <c r="I7359" t="s">
        <v>1561</v>
      </c>
      <c r="J7359" t="s">
        <v>1561</v>
      </c>
      <c r="L7359">
        <f t="shared" si="438"/>
        <v>1</v>
      </c>
    </row>
    <row r="7360" spans="1:12" x14ac:dyDescent="0.35">
      <c r="A7360" s="9">
        <f t="shared" si="439"/>
        <v>7359</v>
      </c>
      <c r="B7360" t="s">
        <v>749</v>
      </c>
      <c r="C7360" s="109">
        <f>IF(ISBLANK(K7360),IFERROR(VLOOKUP(I7360,FS_input_data!$C$458:$N$648,Export!J7360,FALSE),""),K7360)</f>
        <v>4500</v>
      </c>
      <c r="D7360" s="6" t="b">
        <v>0</v>
      </c>
      <c r="E7360" s="6"/>
      <c r="F7360" s="6"/>
      <c r="G7360" s="120" t="b">
        <f>VLOOKUP(I7352,FS_input_noty,J7352,FALSE)=""</f>
        <v>0</v>
      </c>
      <c r="H7360" s="6" t="s">
        <v>2189</v>
      </c>
      <c r="I7360" t="s">
        <v>2114</v>
      </c>
      <c r="J7360">
        <v>9</v>
      </c>
      <c r="L7360" s="26" t="e">
        <f t="shared" si="438"/>
        <v>#VALUE!</v>
      </c>
    </row>
    <row r="7361" spans="1:12" x14ac:dyDescent="0.35">
      <c r="A7361">
        <f t="shared" si="439"/>
        <v>7360</v>
      </c>
      <c r="B7361" t="s">
        <v>750</v>
      </c>
      <c r="C7361" s="109" t="str">
        <f>IF(ISBLANK(K7361),IFERROR(VLOOKUP(I7361,FS_input_data!$C$458:$N$648,Export!J7361,FALSE),""),K7361)</f>
        <v/>
      </c>
      <c r="D7361" s="6"/>
      <c r="E7361" s="6"/>
      <c r="F7361" s="6"/>
      <c r="G7361" s="120" t="b">
        <f>VLOOKUP(I7352,FS_input_noty,J7352,FALSE)=""</f>
        <v>0</v>
      </c>
      <c r="H7361" s="6" t="s">
        <v>2189</v>
      </c>
      <c r="I7361" t="s">
        <v>1561</v>
      </c>
      <c r="J7361" t="s">
        <v>1561</v>
      </c>
      <c r="L7361">
        <f t="shared" si="438"/>
        <v>1</v>
      </c>
    </row>
    <row r="7362" spans="1:12" x14ac:dyDescent="0.35">
      <c r="A7362">
        <f t="shared" si="439"/>
        <v>7361</v>
      </c>
      <c r="B7362" t="s">
        <v>743</v>
      </c>
      <c r="C7362" s="109" t="str">
        <f>IF(ISBLANK(K7362),IFERROR(VLOOKUP(I7362,FS_input_data!$C$458:$N$648,Export!J7362,FALSE),""),K7362)</f>
        <v/>
      </c>
      <c r="D7362" s="6"/>
      <c r="E7362" s="6"/>
      <c r="F7362" s="6"/>
      <c r="G7362" s="120" t="b">
        <f>VLOOKUP(I7352,FS_input_noty,J7352,FALSE)=""</f>
        <v>0</v>
      </c>
      <c r="H7362" s="6" t="s">
        <v>2189</v>
      </c>
      <c r="I7362" t="s">
        <v>1561</v>
      </c>
      <c r="J7362" t="s">
        <v>1561</v>
      </c>
      <c r="L7362">
        <f t="shared" ref="L7362:L7425" si="442">FIND("/",B7362)</f>
        <v>1</v>
      </c>
    </row>
    <row r="7363" spans="1:12" x14ac:dyDescent="0.35">
      <c r="A7363">
        <f t="shared" ref="A7363:A7426" si="443">A7362+1</f>
        <v>7362</v>
      </c>
      <c r="B7363" t="s">
        <v>744</v>
      </c>
      <c r="C7363" s="109" t="str">
        <f>IF(ISBLANK(K7363),IFERROR(VLOOKUP(I7363,FS_input_data!$C$458:$N$648,Export!J7363,FALSE),""),K7363)</f>
        <v/>
      </c>
      <c r="D7363" s="6"/>
      <c r="E7363" s="6"/>
      <c r="F7363" s="6"/>
      <c r="G7363" s="120" t="b">
        <f t="shared" ref="G7363:G7370" si="444">RP_tax</f>
        <v>1</v>
      </c>
      <c r="H7363" s="6" t="s">
        <v>2189</v>
      </c>
      <c r="I7363" t="s">
        <v>1561</v>
      </c>
      <c r="J7363" t="s">
        <v>1561</v>
      </c>
      <c r="L7363" s="26" t="e">
        <f t="shared" si="442"/>
        <v>#VALUE!</v>
      </c>
    </row>
    <row r="7364" spans="1:12" x14ac:dyDescent="0.35">
      <c r="A7364" s="9">
        <f t="shared" si="443"/>
        <v>7363</v>
      </c>
      <c r="B7364" t="s">
        <v>109</v>
      </c>
      <c r="C7364" s="109">
        <f>IF(ISBLANK(K7364),IFERROR(VLOOKUP(I7364,FS_input_data!$C$458:$N$648,Export!J7364,FALSE),""),K7364)</f>
        <v>9000</v>
      </c>
      <c r="D7364" s="6" t="b">
        <v>1</v>
      </c>
      <c r="E7364" s="6"/>
      <c r="F7364" s="6"/>
      <c r="G7364" s="120" t="b">
        <f t="shared" si="444"/>
        <v>1</v>
      </c>
      <c r="H7364" s="6" t="s">
        <v>2189</v>
      </c>
      <c r="I7364" t="s">
        <v>2114</v>
      </c>
      <c r="J7364">
        <v>10</v>
      </c>
      <c r="L7364" s="26" t="e">
        <f t="shared" si="442"/>
        <v>#VALUE!</v>
      </c>
    </row>
    <row r="7365" spans="1:12" x14ac:dyDescent="0.35">
      <c r="A7365">
        <f t="shared" si="443"/>
        <v>7364</v>
      </c>
      <c r="B7365" t="s">
        <v>110</v>
      </c>
      <c r="C7365" s="109" t="str">
        <f>IF(ISBLANK(K7365),IFERROR(VLOOKUP(I7365,FS_input_data!$C$458:$N$648,Export!J7365,FALSE),""),K7365)</f>
        <v/>
      </c>
      <c r="D7365" s="6"/>
      <c r="E7365" s="6"/>
      <c r="F7365" s="6"/>
      <c r="G7365" s="120" t="b">
        <f t="shared" si="444"/>
        <v>1</v>
      </c>
      <c r="H7365" s="6" t="s">
        <v>2189</v>
      </c>
      <c r="I7365" t="s">
        <v>1561</v>
      </c>
      <c r="J7365" t="s">
        <v>1561</v>
      </c>
      <c r="L7365">
        <f t="shared" si="442"/>
        <v>1</v>
      </c>
    </row>
    <row r="7366" spans="1:12" x14ac:dyDescent="0.35">
      <c r="A7366" s="9">
        <f t="shared" si="443"/>
        <v>7365</v>
      </c>
      <c r="B7366" t="s">
        <v>111</v>
      </c>
      <c r="C7366" s="109">
        <f>IF(ISBLANK(K7366),IFERROR(VLOOKUP(I7366,FS_input_data!$C$458:$N$648,Export!J7366,FALSE),""),K7366)</f>
        <v>4500</v>
      </c>
      <c r="D7366" s="6" t="b">
        <v>0</v>
      </c>
      <c r="E7366" s="6"/>
      <c r="F7366" s="6"/>
      <c r="G7366" s="120" t="b">
        <f t="shared" si="444"/>
        <v>1</v>
      </c>
      <c r="H7366" s="6" t="s">
        <v>2189</v>
      </c>
      <c r="I7366" t="s">
        <v>2114</v>
      </c>
      <c r="J7366">
        <v>11</v>
      </c>
      <c r="L7366" s="26" t="e">
        <f t="shared" si="442"/>
        <v>#VALUE!</v>
      </c>
    </row>
    <row r="7367" spans="1:12" x14ac:dyDescent="0.35">
      <c r="A7367">
        <f t="shared" si="443"/>
        <v>7366</v>
      </c>
      <c r="B7367" t="s">
        <v>112</v>
      </c>
      <c r="C7367" s="109" t="str">
        <f>IF(ISBLANK(K7367),IFERROR(VLOOKUP(I7367,FS_input_data!$C$458:$N$648,Export!J7367,FALSE),""),K7367)</f>
        <v/>
      </c>
      <c r="D7367" s="6"/>
      <c r="E7367" s="6"/>
      <c r="F7367" s="6"/>
      <c r="G7367" s="120" t="b">
        <f t="shared" si="444"/>
        <v>1</v>
      </c>
      <c r="H7367" s="6" t="s">
        <v>2189</v>
      </c>
      <c r="I7367" t="s">
        <v>1561</v>
      </c>
      <c r="J7367" t="s">
        <v>1561</v>
      </c>
      <c r="L7367">
        <f t="shared" si="442"/>
        <v>1</v>
      </c>
    </row>
    <row r="7368" spans="1:12" x14ac:dyDescent="0.35">
      <c r="A7368" s="9">
        <f t="shared" si="443"/>
        <v>7367</v>
      </c>
      <c r="B7368" t="s">
        <v>749</v>
      </c>
      <c r="C7368" s="109">
        <f>IF(ISBLANK(K7368),IFERROR(VLOOKUP(I7368,FS_input_data!$C$458:$N$648,Export!J7368,FALSE),""),K7368)</f>
        <v>4500</v>
      </c>
      <c r="D7368" s="6" t="b">
        <v>0</v>
      </c>
      <c r="E7368" s="6"/>
      <c r="F7368" s="6"/>
      <c r="G7368" s="120" t="b">
        <f t="shared" si="444"/>
        <v>1</v>
      </c>
      <c r="H7368" s="6" t="s">
        <v>2189</v>
      </c>
      <c r="I7368" t="s">
        <v>2114</v>
      </c>
      <c r="J7368">
        <v>12</v>
      </c>
      <c r="L7368" s="26" t="e">
        <f t="shared" si="442"/>
        <v>#VALUE!</v>
      </c>
    </row>
    <row r="7369" spans="1:12" x14ac:dyDescent="0.35">
      <c r="A7369">
        <f t="shared" si="443"/>
        <v>7368</v>
      </c>
      <c r="B7369" t="s">
        <v>750</v>
      </c>
      <c r="C7369" s="109" t="str">
        <f>IF(ISBLANK(K7369),IFERROR(VLOOKUP(I7369,FS_input_data!$C$458:$N$648,Export!J7369,FALSE),""),K7369)</f>
        <v/>
      </c>
      <c r="D7369" s="6"/>
      <c r="E7369" s="6"/>
      <c r="F7369" s="6"/>
      <c r="G7369" s="120" t="b">
        <f t="shared" si="444"/>
        <v>1</v>
      </c>
      <c r="H7369" s="6" t="s">
        <v>2189</v>
      </c>
      <c r="I7369" t="s">
        <v>1561</v>
      </c>
      <c r="J7369" t="s">
        <v>1561</v>
      </c>
      <c r="L7369">
        <f t="shared" si="442"/>
        <v>1</v>
      </c>
    </row>
    <row r="7370" spans="1:12" x14ac:dyDescent="0.35">
      <c r="A7370">
        <f t="shared" si="443"/>
        <v>7369</v>
      </c>
      <c r="B7370" t="s">
        <v>745</v>
      </c>
      <c r="C7370" s="109" t="str">
        <f>IF(ISBLANK(K7370),IFERROR(VLOOKUP(I7370,FS_input_data!$C$458:$N$648,Export!J7370,FALSE),""),K7370)</f>
        <v/>
      </c>
      <c r="D7370" s="6"/>
      <c r="E7370" s="6"/>
      <c r="F7370" s="6"/>
      <c r="G7370" s="120" t="b">
        <f t="shared" si="444"/>
        <v>1</v>
      </c>
      <c r="H7370" s="6" t="s">
        <v>2189</v>
      </c>
      <c r="I7370" t="s">
        <v>1561</v>
      </c>
      <c r="J7370" t="s">
        <v>1561</v>
      </c>
      <c r="L7370">
        <f t="shared" si="442"/>
        <v>1</v>
      </c>
    </row>
    <row r="7371" spans="1:12" x14ac:dyDescent="0.35">
      <c r="A7371">
        <f t="shared" si="443"/>
        <v>7370</v>
      </c>
      <c r="B7371" t="s">
        <v>764</v>
      </c>
      <c r="C7371" s="109" t="str">
        <f>IF(ISBLANK(K7371),IFERROR(VLOOKUP(I7371,FS_input_data!$C$458:$N$648,Export!J7371,FALSE),""),K7371)</f>
        <v/>
      </c>
      <c r="D7371" s="6"/>
      <c r="E7371" s="6"/>
      <c r="F7371" s="6"/>
      <c r="G7371" s="120" t="b">
        <f>VLOOKUP(I7352,FS_input_noty,J7352,FALSE)=""</f>
        <v>0</v>
      </c>
      <c r="H7371" s="6" t="s">
        <v>2189</v>
      </c>
      <c r="I7371" t="s">
        <v>1561</v>
      </c>
      <c r="J7371" t="s">
        <v>1561</v>
      </c>
      <c r="L7371">
        <f t="shared" si="442"/>
        <v>1</v>
      </c>
    </row>
    <row r="7372" spans="1:12" x14ac:dyDescent="0.35">
      <c r="A7372">
        <f t="shared" si="443"/>
        <v>7371</v>
      </c>
      <c r="B7372" t="s">
        <v>765</v>
      </c>
      <c r="C7372" s="109" t="str">
        <f>IF(ISBLANK(K7372),IFERROR(VLOOKUP(I7372,FS_input_data!$C$458:$N$648,Export!J7372,FALSE),""),K7372)</f>
        <v/>
      </c>
      <c r="D7372" s="6"/>
      <c r="E7372" s="6"/>
      <c r="F7372" s="6"/>
      <c r="G7372" s="120" t="b">
        <f>VLOOKUP(I7352,FS_input_noty,J7352,FALSE)=""</f>
        <v>0</v>
      </c>
      <c r="H7372" s="6" t="s">
        <v>2189</v>
      </c>
      <c r="I7372" t="s">
        <v>1561</v>
      </c>
      <c r="J7372" t="s">
        <v>1561</v>
      </c>
      <c r="L7372">
        <f t="shared" si="442"/>
        <v>1</v>
      </c>
    </row>
    <row r="7373" spans="1:12" x14ac:dyDescent="0.35">
      <c r="A7373">
        <f t="shared" si="443"/>
        <v>7372</v>
      </c>
      <c r="B7373" t="s">
        <v>752</v>
      </c>
      <c r="C7373" s="109" t="str">
        <f>IF(ISBLANK(K7373),IFERROR(VLOOKUP(I7373,FS_input_data!$C$458:$N$648,Export!J7373,FALSE),""),K7373)</f>
        <v/>
      </c>
      <c r="D7373" s="6"/>
      <c r="E7373" s="6"/>
      <c r="F7373" s="6"/>
      <c r="G7373" s="120" t="b">
        <f>VLOOKUP(I7374,FS_input_noty,J7374,FALSE)=""</f>
        <v>0</v>
      </c>
      <c r="H7373" s="6" t="s">
        <v>2189</v>
      </c>
      <c r="I7373" t="s">
        <v>1561</v>
      </c>
      <c r="J7373" t="s">
        <v>1561</v>
      </c>
      <c r="L7373" s="26" t="e">
        <f t="shared" si="442"/>
        <v>#VALUE!</v>
      </c>
    </row>
    <row r="7374" spans="1:12" x14ac:dyDescent="0.35">
      <c r="A7374" s="9">
        <f t="shared" si="443"/>
        <v>7373</v>
      </c>
      <c r="B7374" t="s">
        <v>101</v>
      </c>
      <c r="C7374" s="109" t="str">
        <f>IF(ISBLANK(K7374),IFERROR(VLOOKUP(I7374,FS_input_data!$C$458:$N$648,Export!J7374,FALSE),""),K7374)</f>
        <v>OC131</v>
      </c>
      <c r="D7374" s="6" t="b">
        <v>1</v>
      </c>
      <c r="E7374" s="6"/>
      <c r="F7374" s="6"/>
      <c r="G7374" s="120" t="b">
        <f>VLOOKUP(I7374,FS_input_noty,J7374,FALSE)=""</f>
        <v>0</v>
      </c>
      <c r="H7374" s="6" t="s">
        <v>2189</v>
      </c>
      <c r="I7374" t="s">
        <v>2116</v>
      </c>
      <c r="J7374">
        <v>6</v>
      </c>
      <c r="L7374" s="26" t="e">
        <f t="shared" si="442"/>
        <v>#VALUE!</v>
      </c>
    </row>
    <row r="7375" spans="1:12" x14ac:dyDescent="0.35">
      <c r="A7375">
        <f t="shared" si="443"/>
        <v>7374</v>
      </c>
      <c r="B7375" t="s">
        <v>102</v>
      </c>
      <c r="C7375" s="109" t="str">
        <f>IF(ISBLANK(K7375),IFERROR(VLOOKUP(I7375,FS_input_data!$C$458:$N$648,Export!J7375,FALSE),""),K7375)</f>
        <v/>
      </c>
      <c r="D7375" s="6"/>
      <c r="E7375" s="6"/>
      <c r="F7375" s="6"/>
      <c r="G7375" s="120" t="b">
        <f>VLOOKUP(I7374,FS_input_noty,J7374,FALSE)=""</f>
        <v>0</v>
      </c>
      <c r="H7375" s="6" t="s">
        <v>2189</v>
      </c>
      <c r="I7375" t="s">
        <v>1561</v>
      </c>
      <c r="J7375" t="s">
        <v>1561</v>
      </c>
      <c r="L7375">
        <f t="shared" si="442"/>
        <v>1</v>
      </c>
    </row>
    <row r="7376" spans="1:12" x14ac:dyDescent="0.35">
      <c r="A7376">
        <f t="shared" si="443"/>
        <v>7375</v>
      </c>
      <c r="B7376" t="s">
        <v>753</v>
      </c>
      <c r="C7376" s="109" t="str">
        <f>IF(ISBLANK(K7376),IFERROR(VLOOKUP(I7376,FS_input_data!$C$458:$N$648,Export!J7376,FALSE),""),K7376)</f>
        <v/>
      </c>
      <c r="D7376" s="6"/>
      <c r="E7376" s="6"/>
      <c r="F7376" s="6"/>
      <c r="G7376" s="120" t="b">
        <f>VLOOKUP(I7374,FS_input_noty,J7374,FALSE)=""</f>
        <v>0</v>
      </c>
      <c r="H7376" s="6" t="s">
        <v>2189</v>
      </c>
      <c r="I7376" t="s">
        <v>1561</v>
      </c>
      <c r="J7376" t="s">
        <v>1561</v>
      </c>
      <c r="L7376" s="26" t="e">
        <f t="shared" si="442"/>
        <v>#VALUE!</v>
      </c>
    </row>
    <row r="7377" spans="1:12" x14ac:dyDescent="0.35">
      <c r="A7377">
        <f t="shared" si="443"/>
        <v>7376</v>
      </c>
      <c r="B7377" t="s">
        <v>742</v>
      </c>
      <c r="C7377" s="109" t="str">
        <f>IF(ISBLANK(K7377),IFERROR(VLOOKUP(I7377,FS_input_data!$C$458:$N$648,Export!J7377,FALSE),""),K7377)</f>
        <v/>
      </c>
      <c r="D7377" s="6"/>
      <c r="E7377" s="6"/>
      <c r="F7377" s="6"/>
      <c r="G7377" s="120" t="b">
        <f>VLOOKUP(I7374,FS_input_noty,J7374,FALSE)=""</f>
        <v>0</v>
      </c>
      <c r="H7377" s="6" t="s">
        <v>2189</v>
      </c>
      <c r="I7377" t="s">
        <v>1561</v>
      </c>
      <c r="J7377" t="s">
        <v>1561</v>
      </c>
      <c r="L7377" s="26" t="e">
        <f t="shared" si="442"/>
        <v>#VALUE!</v>
      </c>
    </row>
    <row r="7378" spans="1:12" x14ac:dyDescent="0.35">
      <c r="A7378" s="9">
        <f t="shared" si="443"/>
        <v>7377</v>
      </c>
      <c r="B7378" t="s">
        <v>109</v>
      </c>
      <c r="C7378" s="109">
        <f>IF(ISBLANK(K7378),IFERROR(VLOOKUP(I7378,FS_input_data!$C$458:$N$648,Export!J7378,FALSE),""),K7378)</f>
        <v>10000</v>
      </c>
      <c r="D7378" s="6" t="b">
        <v>1</v>
      </c>
      <c r="E7378" s="6"/>
      <c r="F7378" s="6"/>
      <c r="G7378" s="120" t="b">
        <f>VLOOKUP(I7374,FS_input_noty,J7374,FALSE)=""</f>
        <v>0</v>
      </c>
      <c r="H7378" s="6" t="s">
        <v>2189</v>
      </c>
      <c r="I7378" t="s">
        <v>2116</v>
      </c>
      <c r="J7378">
        <v>7</v>
      </c>
      <c r="L7378" s="26" t="e">
        <f t="shared" si="442"/>
        <v>#VALUE!</v>
      </c>
    </row>
    <row r="7379" spans="1:12" x14ac:dyDescent="0.35">
      <c r="A7379">
        <f t="shared" si="443"/>
        <v>7378</v>
      </c>
      <c r="B7379" t="s">
        <v>110</v>
      </c>
      <c r="C7379" s="109" t="str">
        <f>IF(ISBLANK(K7379),IFERROR(VLOOKUP(I7379,FS_input_data!$C$458:$N$648,Export!J7379,FALSE),""),K7379)</f>
        <v/>
      </c>
      <c r="D7379" s="6"/>
      <c r="E7379" s="6"/>
      <c r="F7379" s="6"/>
      <c r="G7379" s="120" t="b">
        <f>VLOOKUP(I7374,FS_input_noty,J7374,FALSE)=""</f>
        <v>0</v>
      </c>
      <c r="H7379" s="6" t="s">
        <v>2189</v>
      </c>
      <c r="I7379" t="s">
        <v>1561</v>
      </c>
      <c r="J7379" t="s">
        <v>1561</v>
      </c>
      <c r="L7379">
        <f t="shared" si="442"/>
        <v>1</v>
      </c>
    </row>
    <row r="7380" spans="1:12" x14ac:dyDescent="0.35">
      <c r="A7380" s="9">
        <f t="shared" si="443"/>
        <v>7379</v>
      </c>
      <c r="B7380" t="s">
        <v>111</v>
      </c>
      <c r="C7380" s="109">
        <f>IF(ISBLANK(K7380),IFERROR(VLOOKUP(I7380,FS_input_data!$C$458:$N$648,Export!J7380,FALSE),""),K7380)</f>
        <v>5000</v>
      </c>
      <c r="D7380" s="6" t="b">
        <v>0</v>
      </c>
      <c r="E7380" s="6"/>
      <c r="F7380" s="6"/>
      <c r="G7380" s="120" t="b">
        <f>VLOOKUP(I7374,FS_input_noty,J7374,FALSE)=""</f>
        <v>0</v>
      </c>
      <c r="H7380" s="6" t="s">
        <v>2189</v>
      </c>
      <c r="I7380" t="s">
        <v>2116</v>
      </c>
      <c r="J7380">
        <v>8</v>
      </c>
      <c r="L7380" s="26" t="e">
        <f t="shared" si="442"/>
        <v>#VALUE!</v>
      </c>
    </row>
    <row r="7381" spans="1:12" x14ac:dyDescent="0.35">
      <c r="A7381">
        <f t="shared" si="443"/>
        <v>7380</v>
      </c>
      <c r="B7381" t="s">
        <v>112</v>
      </c>
      <c r="C7381" s="109" t="str">
        <f>IF(ISBLANK(K7381),IFERROR(VLOOKUP(I7381,FS_input_data!$C$458:$N$648,Export!J7381,FALSE),""),K7381)</f>
        <v/>
      </c>
      <c r="D7381" s="6"/>
      <c r="E7381" s="6"/>
      <c r="F7381" s="6"/>
      <c r="G7381" s="120" t="b">
        <f>VLOOKUP(I7374,FS_input_noty,J7374,FALSE)=""</f>
        <v>0</v>
      </c>
      <c r="H7381" s="6" t="s">
        <v>2189</v>
      </c>
      <c r="I7381" t="s">
        <v>1561</v>
      </c>
      <c r="J7381" t="s">
        <v>1561</v>
      </c>
      <c r="L7381">
        <f t="shared" si="442"/>
        <v>1</v>
      </c>
    </row>
    <row r="7382" spans="1:12" x14ac:dyDescent="0.35">
      <c r="A7382" s="9">
        <f t="shared" si="443"/>
        <v>7381</v>
      </c>
      <c r="B7382" t="s">
        <v>749</v>
      </c>
      <c r="C7382" s="109">
        <f>IF(ISBLANK(K7382),IFERROR(VLOOKUP(I7382,FS_input_data!$C$458:$N$648,Export!J7382,FALSE),""),K7382)</f>
        <v>5000</v>
      </c>
      <c r="D7382" s="6" t="b">
        <v>0</v>
      </c>
      <c r="E7382" s="6"/>
      <c r="F7382" s="6"/>
      <c r="G7382" s="120" t="b">
        <f>VLOOKUP(I7374,FS_input_noty,J7374,FALSE)=""</f>
        <v>0</v>
      </c>
      <c r="H7382" s="6" t="s">
        <v>2189</v>
      </c>
      <c r="I7382" t="s">
        <v>2116</v>
      </c>
      <c r="J7382">
        <v>9</v>
      </c>
      <c r="L7382" s="26" t="e">
        <f t="shared" si="442"/>
        <v>#VALUE!</v>
      </c>
    </row>
    <row r="7383" spans="1:12" x14ac:dyDescent="0.35">
      <c r="A7383">
        <f t="shared" si="443"/>
        <v>7382</v>
      </c>
      <c r="B7383" t="s">
        <v>750</v>
      </c>
      <c r="C7383" s="109" t="str">
        <f>IF(ISBLANK(K7383),IFERROR(VLOOKUP(I7383,FS_input_data!$C$458:$N$648,Export!J7383,FALSE),""),K7383)</f>
        <v/>
      </c>
      <c r="D7383" s="6"/>
      <c r="E7383" s="6"/>
      <c r="F7383" s="6"/>
      <c r="G7383" s="120" t="b">
        <f>VLOOKUP(I7374,FS_input_noty,J7374,FALSE)=""</f>
        <v>0</v>
      </c>
      <c r="H7383" s="6" t="s">
        <v>2189</v>
      </c>
      <c r="I7383" t="s">
        <v>1561</v>
      </c>
      <c r="J7383" t="s">
        <v>1561</v>
      </c>
      <c r="L7383">
        <f t="shared" si="442"/>
        <v>1</v>
      </c>
    </row>
    <row r="7384" spans="1:12" x14ac:dyDescent="0.35">
      <c r="A7384">
        <f t="shared" si="443"/>
        <v>7383</v>
      </c>
      <c r="B7384" t="s">
        <v>743</v>
      </c>
      <c r="C7384" s="109" t="str">
        <f>IF(ISBLANK(K7384),IFERROR(VLOOKUP(I7384,FS_input_data!$C$458:$N$648,Export!J7384,FALSE),""),K7384)</f>
        <v/>
      </c>
      <c r="D7384" s="6"/>
      <c r="E7384" s="6"/>
      <c r="F7384" s="6"/>
      <c r="G7384" s="120" t="b">
        <f>VLOOKUP(I7374,FS_input_noty,J7374,FALSE)=""</f>
        <v>0</v>
      </c>
      <c r="H7384" s="6" t="s">
        <v>2189</v>
      </c>
      <c r="I7384" t="s">
        <v>1561</v>
      </c>
      <c r="J7384" t="s">
        <v>1561</v>
      </c>
      <c r="L7384">
        <f t="shared" si="442"/>
        <v>1</v>
      </c>
    </row>
    <row r="7385" spans="1:12" x14ac:dyDescent="0.35">
      <c r="A7385">
        <f t="shared" si="443"/>
        <v>7384</v>
      </c>
      <c r="B7385" t="s">
        <v>744</v>
      </c>
      <c r="C7385" s="109" t="str">
        <f>IF(ISBLANK(K7385),IFERROR(VLOOKUP(I7385,FS_input_data!$C$458:$N$648,Export!J7385,FALSE),""),K7385)</f>
        <v/>
      </c>
      <c r="D7385" s="6"/>
      <c r="E7385" s="6"/>
      <c r="F7385" s="6"/>
      <c r="G7385" s="120" t="b">
        <f t="shared" ref="G7385:G7392" si="445">RP_tax</f>
        <v>1</v>
      </c>
      <c r="H7385" s="6" t="s">
        <v>2189</v>
      </c>
      <c r="I7385" t="s">
        <v>1561</v>
      </c>
      <c r="J7385" t="s">
        <v>1561</v>
      </c>
      <c r="L7385" s="26" t="e">
        <f t="shared" si="442"/>
        <v>#VALUE!</v>
      </c>
    </row>
    <row r="7386" spans="1:12" x14ac:dyDescent="0.35">
      <c r="A7386" s="9">
        <f t="shared" si="443"/>
        <v>7385</v>
      </c>
      <c r="B7386" t="s">
        <v>109</v>
      </c>
      <c r="C7386" s="109">
        <f>IF(ISBLANK(K7386),IFERROR(VLOOKUP(I7386,FS_input_data!$C$458:$N$648,Export!J7386,FALSE),""),K7386)</f>
        <v>10000</v>
      </c>
      <c r="D7386" s="6" t="b">
        <v>1</v>
      </c>
      <c r="E7386" s="6"/>
      <c r="F7386" s="6"/>
      <c r="G7386" s="120" t="b">
        <f t="shared" si="445"/>
        <v>1</v>
      </c>
      <c r="H7386" s="6" t="s">
        <v>2189</v>
      </c>
      <c r="I7386" t="s">
        <v>2116</v>
      </c>
      <c r="J7386">
        <v>10</v>
      </c>
      <c r="L7386" s="26" t="e">
        <f t="shared" si="442"/>
        <v>#VALUE!</v>
      </c>
    </row>
    <row r="7387" spans="1:12" x14ac:dyDescent="0.35">
      <c r="A7387">
        <f t="shared" si="443"/>
        <v>7386</v>
      </c>
      <c r="B7387" t="s">
        <v>110</v>
      </c>
      <c r="C7387" s="109" t="str">
        <f>IF(ISBLANK(K7387),IFERROR(VLOOKUP(I7387,FS_input_data!$C$458:$N$648,Export!J7387,FALSE),""),K7387)</f>
        <v/>
      </c>
      <c r="D7387" s="6"/>
      <c r="E7387" s="6"/>
      <c r="F7387" s="6"/>
      <c r="G7387" s="120" t="b">
        <f t="shared" si="445"/>
        <v>1</v>
      </c>
      <c r="H7387" s="6" t="s">
        <v>2189</v>
      </c>
      <c r="I7387" t="s">
        <v>1561</v>
      </c>
      <c r="J7387" t="s">
        <v>1561</v>
      </c>
      <c r="L7387">
        <f t="shared" si="442"/>
        <v>1</v>
      </c>
    </row>
    <row r="7388" spans="1:12" x14ac:dyDescent="0.35">
      <c r="A7388" s="9">
        <f t="shared" si="443"/>
        <v>7387</v>
      </c>
      <c r="B7388" t="s">
        <v>111</v>
      </c>
      <c r="C7388" s="109">
        <f>IF(ISBLANK(K7388),IFERROR(VLOOKUP(I7388,FS_input_data!$C$458:$N$648,Export!J7388,FALSE),""),K7388)</f>
        <v>5000</v>
      </c>
      <c r="D7388" s="6" t="b">
        <v>0</v>
      </c>
      <c r="E7388" s="6"/>
      <c r="F7388" s="6"/>
      <c r="G7388" s="120" t="b">
        <f t="shared" si="445"/>
        <v>1</v>
      </c>
      <c r="H7388" s="6" t="s">
        <v>2189</v>
      </c>
      <c r="I7388" t="s">
        <v>2116</v>
      </c>
      <c r="J7388">
        <v>11</v>
      </c>
      <c r="L7388" s="26" t="e">
        <f t="shared" si="442"/>
        <v>#VALUE!</v>
      </c>
    </row>
    <row r="7389" spans="1:12" x14ac:dyDescent="0.35">
      <c r="A7389">
        <f t="shared" si="443"/>
        <v>7388</v>
      </c>
      <c r="B7389" t="s">
        <v>112</v>
      </c>
      <c r="C7389" s="109" t="str">
        <f>IF(ISBLANK(K7389),IFERROR(VLOOKUP(I7389,FS_input_data!$C$458:$N$648,Export!J7389,FALSE),""),K7389)</f>
        <v/>
      </c>
      <c r="D7389" s="6"/>
      <c r="E7389" s="6"/>
      <c r="F7389" s="6"/>
      <c r="G7389" s="120" t="b">
        <f t="shared" si="445"/>
        <v>1</v>
      </c>
      <c r="H7389" s="6" t="s">
        <v>2189</v>
      </c>
      <c r="I7389" t="s">
        <v>1561</v>
      </c>
      <c r="J7389" t="s">
        <v>1561</v>
      </c>
      <c r="L7389">
        <f t="shared" si="442"/>
        <v>1</v>
      </c>
    </row>
    <row r="7390" spans="1:12" x14ac:dyDescent="0.35">
      <c r="A7390" s="9">
        <f t="shared" si="443"/>
        <v>7389</v>
      </c>
      <c r="B7390" t="s">
        <v>749</v>
      </c>
      <c r="C7390" s="109">
        <f>IF(ISBLANK(K7390),IFERROR(VLOOKUP(I7390,FS_input_data!$C$458:$N$648,Export!J7390,FALSE),""),K7390)</f>
        <v>5000</v>
      </c>
      <c r="D7390" s="6" t="b">
        <v>0</v>
      </c>
      <c r="E7390" s="6"/>
      <c r="F7390" s="6"/>
      <c r="G7390" s="120" t="b">
        <f t="shared" si="445"/>
        <v>1</v>
      </c>
      <c r="H7390" s="6" t="s">
        <v>2189</v>
      </c>
      <c r="I7390" t="s">
        <v>2116</v>
      </c>
      <c r="J7390">
        <v>12</v>
      </c>
      <c r="L7390" s="26" t="e">
        <f t="shared" si="442"/>
        <v>#VALUE!</v>
      </c>
    </row>
    <row r="7391" spans="1:12" x14ac:dyDescent="0.35">
      <c r="A7391">
        <f t="shared" si="443"/>
        <v>7390</v>
      </c>
      <c r="B7391" t="s">
        <v>750</v>
      </c>
      <c r="C7391" s="109" t="str">
        <f>IF(ISBLANK(K7391),IFERROR(VLOOKUP(I7391,FS_input_data!$C$458:$N$648,Export!J7391,FALSE),""),K7391)</f>
        <v/>
      </c>
      <c r="D7391" s="6"/>
      <c r="E7391" s="6"/>
      <c r="F7391" s="6"/>
      <c r="G7391" s="120" t="b">
        <f t="shared" si="445"/>
        <v>1</v>
      </c>
      <c r="H7391" s="6" t="s">
        <v>2189</v>
      </c>
      <c r="I7391" t="s">
        <v>1561</v>
      </c>
      <c r="J7391" t="s">
        <v>1561</v>
      </c>
      <c r="L7391">
        <f t="shared" si="442"/>
        <v>1</v>
      </c>
    </row>
    <row r="7392" spans="1:12" x14ac:dyDescent="0.35">
      <c r="A7392">
        <f t="shared" si="443"/>
        <v>7391</v>
      </c>
      <c r="B7392" t="s">
        <v>745</v>
      </c>
      <c r="C7392" s="109" t="str">
        <f>IF(ISBLANK(K7392),IFERROR(VLOOKUP(I7392,FS_input_data!$C$458:$N$648,Export!J7392,FALSE),""),K7392)</f>
        <v/>
      </c>
      <c r="D7392" s="6"/>
      <c r="E7392" s="6"/>
      <c r="F7392" s="6"/>
      <c r="G7392" s="120" t="b">
        <f t="shared" si="445"/>
        <v>1</v>
      </c>
      <c r="H7392" s="6" t="s">
        <v>2189</v>
      </c>
      <c r="I7392" t="s">
        <v>1561</v>
      </c>
      <c r="J7392" t="s">
        <v>1561</v>
      </c>
      <c r="L7392">
        <f t="shared" si="442"/>
        <v>1</v>
      </c>
    </row>
    <row r="7393" spans="1:12" x14ac:dyDescent="0.35">
      <c r="A7393">
        <f t="shared" si="443"/>
        <v>7392</v>
      </c>
      <c r="B7393" t="s">
        <v>764</v>
      </c>
      <c r="C7393" s="109" t="str">
        <f>IF(ISBLANK(K7393),IFERROR(VLOOKUP(I7393,FS_input_data!$C$458:$N$648,Export!J7393,FALSE),""),K7393)</f>
        <v/>
      </c>
      <c r="D7393" s="6"/>
      <c r="E7393" s="6"/>
      <c r="F7393" s="6"/>
      <c r="G7393" s="120" t="b">
        <f>VLOOKUP(I7374,FS_input_noty,J7374,FALSE)=""</f>
        <v>0</v>
      </c>
      <c r="H7393" s="6" t="s">
        <v>2189</v>
      </c>
      <c r="I7393" t="s">
        <v>1561</v>
      </c>
      <c r="J7393" t="s">
        <v>1561</v>
      </c>
      <c r="L7393">
        <f t="shared" si="442"/>
        <v>1</v>
      </c>
    </row>
    <row r="7394" spans="1:12" x14ac:dyDescent="0.35">
      <c r="A7394">
        <f t="shared" si="443"/>
        <v>7393</v>
      </c>
      <c r="B7394" t="s">
        <v>765</v>
      </c>
      <c r="C7394" s="109" t="str">
        <f>IF(ISBLANK(K7394),IFERROR(VLOOKUP(I7394,FS_input_data!$C$458:$N$648,Export!J7394,FALSE),""),K7394)</f>
        <v/>
      </c>
      <c r="D7394" s="6"/>
      <c r="E7394" s="6"/>
      <c r="F7394" s="6"/>
      <c r="G7394" s="120" t="b">
        <f>VLOOKUP(I7374,FS_input_noty,J7374,FALSE)=""</f>
        <v>0</v>
      </c>
      <c r="H7394" s="6" t="s">
        <v>2189</v>
      </c>
      <c r="I7394" t="s">
        <v>1561</v>
      </c>
      <c r="J7394" t="s">
        <v>1561</v>
      </c>
      <c r="L7394">
        <f t="shared" si="442"/>
        <v>1</v>
      </c>
    </row>
    <row r="7395" spans="1:12" x14ac:dyDescent="0.35">
      <c r="A7395">
        <f t="shared" si="443"/>
        <v>7394</v>
      </c>
      <c r="B7395" t="s">
        <v>752</v>
      </c>
      <c r="C7395" s="109" t="str">
        <f>IF(ISBLANK(K7395),IFERROR(VLOOKUP(I7395,FS_input_data!$C$458:$N$648,Export!J7395,FALSE),""),K7395)</f>
        <v/>
      </c>
      <c r="D7395" s="6"/>
      <c r="E7395" s="6"/>
      <c r="F7395" s="6"/>
      <c r="G7395" s="120" t="b">
        <f>VLOOKUP(I7396,FS_input_noty,J7396,FALSE)=""</f>
        <v>0</v>
      </c>
      <c r="H7395" s="6" t="s">
        <v>2189</v>
      </c>
      <c r="I7395" t="s">
        <v>1561</v>
      </c>
      <c r="J7395" t="s">
        <v>1561</v>
      </c>
      <c r="L7395" s="26" t="e">
        <f t="shared" si="442"/>
        <v>#VALUE!</v>
      </c>
    </row>
    <row r="7396" spans="1:12" x14ac:dyDescent="0.35">
      <c r="A7396" s="9">
        <f t="shared" si="443"/>
        <v>7395</v>
      </c>
      <c r="B7396" t="s">
        <v>101</v>
      </c>
      <c r="C7396" s="109" t="str">
        <f>IF(ISBLANK(K7396),IFERROR(VLOOKUP(I7396,FS_input_data!$C$458:$N$648,Export!J7396,FALSE),""),K7396)</f>
        <v>OC132</v>
      </c>
      <c r="D7396" t="b">
        <v>1</v>
      </c>
      <c r="E7396" s="6"/>
      <c r="F7396" s="6"/>
      <c r="G7396" s="120" t="b">
        <f>VLOOKUP(I7396,FS_input_noty,J7396,FALSE)=""</f>
        <v>0</v>
      </c>
      <c r="H7396" s="6" t="s">
        <v>2189</v>
      </c>
      <c r="I7396" t="s">
        <v>2118</v>
      </c>
      <c r="J7396">
        <v>6</v>
      </c>
      <c r="L7396" s="26" t="e">
        <f t="shared" si="442"/>
        <v>#VALUE!</v>
      </c>
    </row>
    <row r="7397" spans="1:12" x14ac:dyDescent="0.35">
      <c r="A7397">
        <f t="shared" si="443"/>
        <v>7396</v>
      </c>
      <c r="B7397" t="s">
        <v>102</v>
      </c>
      <c r="C7397" s="109" t="str">
        <f>IF(ISBLANK(K7397),IFERROR(VLOOKUP(I7397,FS_input_data!$C$458:$N$648,Export!J7397,FALSE),""),K7397)</f>
        <v/>
      </c>
      <c r="D7397" s="6"/>
      <c r="E7397" s="6"/>
      <c r="F7397" s="6"/>
      <c r="G7397" s="120" t="b">
        <f>VLOOKUP(I7396,FS_input_noty,J7396,FALSE)=""</f>
        <v>0</v>
      </c>
      <c r="H7397" s="6" t="s">
        <v>2189</v>
      </c>
      <c r="I7397" t="s">
        <v>1561</v>
      </c>
      <c r="J7397" t="s">
        <v>1561</v>
      </c>
      <c r="L7397">
        <f t="shared" si="442"/>
        <v>1</v>
      </c>
    </row>
    <row r="7398" spans="1:12" x14ac:dyDescent="0.35">
      <c r="A7398">
        <f t="shared" si="443"/>
        <v>7397</v>
      </c>
      <c r="B7398" t="s">
        <v>753</v>
      </c>
      <c r="C7398" s="109" t="str">
        <f>IF(ISBLANK(K7398),IFERROR(VLOOKUP(I7398,FS_input_data!$C$458:$N$648,Export!J7398,FALSE),""),K7398)</f>
        <v/>
      </c>
      <c r="D7398" s="6"/>
      <c r="E7398" s="6"/>
      <c r="F7398" s="6"/>
      <c r="G7398" s="120" t="b">
        <f>VLOOKUP(I7396,FS_input_noty,J7396,FALSE)=""</f>
        <v>0</v>
      </c>
      <c r="H7398" s="6" t="s">
        <v>2189</v>
      </c>
      <c r="I7398" t="s">
        <v>1561</v>
      </c>
      <c r="J7398" t="s">
        <v>1561</v>
      </c>
      <c r="L7398" s="26" t="e">
        <f t="shared" si="442"/>
        <v>#VALUE!</v>
      </c>
    </row>
    <row r="7399" spans="1:12" x14ac:dyDescent="0.35">
      <c r="A7399">
        <f t="shared" si="443"/>
        <v>7398</v>
      </c>
      <c r="B7399" t="s">
        <v>742</v>
      </c>
      <c r="C7399" s="109" t="str">
        <f>IF(ISBLANK(K7399),IFERROR(VLOOKUP(I7399,FS_input_data!$C$458:$N$648,Export!J7399,FALSE),""),K7399)</f>
        <v/>
      </c>
      <c r="D7399" s="6"/>
      <c r="E7399" s="6"/>
      <c r="F7399" s="6"/>
      <c r="G7399" s="120" t="b">
        <f>VLOOKUP(I7396,FS_input_noty,J7396,FALSE)=""</f>
        <v>0</v>
      </c>
      <c r="H7399" s="6" t="s">
        <v>2189</v>
      </c>
      <c r="I7399" t="s">
        <v>1561</v>
      </c>
      <c r="J7399" t="s">
        <v>1561</v>
      </c>
      <c r="L7399" s="26" t="e">
        <f t="shared" si="442"/>
        <v>#VALUE!</v>
      </c>
    </row>
    <row r="7400" spans="1:12" x14ac:dyDescent="0.35">
      <c r="A7400" s="9">
        <f t="shared" si="443"/>
        <v>7399</v>
      </c>
      <c r="B7400" t="s">
        <v>109</v>
      </c>
      <c r="C7400" s="109">
        <f>IF(ISBLANK(K7400),IFERROR(VLOOKUP(I7400,FS_input_data!$C$458:$N$648,Export!J7400,FALSE),""),K7400)</f>
        <v>11000</v>
      </c>
      <c r="D7400" s="6" t="b">
        <v>1</v>
      </c>
      <c r="E7400" s="6"/>
      <c r="F7400" s="6"/>
      <c r="G7400" s="120" t="b">
        <f>VLOOKUP(I7396,FS_input_noty,J7396,FALSE)=""</f>
        <v>0</v>
      </c>
      <c r="H7400" s="6" t="s">
        <v>2189</v>
      </c>
      <c r="I7400" t="s">
        <v>2118</v>
      </c>
      <c r="J7400">
        <v>7</v>
      </c>
      <c r="L7400" s="26" t="e">
        <f t="shared" si="442"/>
        <v>#VALUE!</v>
      </c>
    </row>
    <row r="7401" spans="1:12" x14ac:dyDescent="0.35">
      <c r="A7401">
        <f t="shared" si="443"/>
        <v>7400</v>
      </c>
      <c r="B7401" t="s">
        <v>110</v>
      </c>
      <c r="C7401" s="109" t="str">
        <f>IF(ISBLANK(K7401),IFERROR(VLOOKUP(I7401,FS_input_data!$C$458:$N$648,Export!J7401,FALSE),""),K7401)</f>
        <v/>
      </c>
      <c r="D7401" s="6"/>
      <c r="E7401" s="6"/>
      <c r="F7401" s="6"/>
      <c r="G7401" s="120" t="b">
        <f>VLOOKUP(I7396,FS_input_noty,J7396,FALSE)=""</f>
        <v>0</v>
      </c>
      <c r="H7401" s="6" t="s">
        <v>2189</v>
      </c>
      <c r="I7401" t="s">
        <v>1561</v>
      </c>
      <c r="J7401" t="s">
        <v>1561</v>
      </c>
      <c r="L7401">
        <f t="shared" si="442"/>
        <v>1</v>
      </c>
    </row>
    <row r="7402" spans="1:12" x14ac:dyDescent="0.35">
      <c r="A7402" s="9">
        <f t="shared" si="443"/>
        <v>7401</v>
      </c>
      <c r="B7402" t="s">
        <v>111</v>
      </c>
      <c r="C7402" s="109">
        <f>IF(ISBLANK(K7402),IFERROR(VLOOKUP(I7402,FS_input_data!$C$458:$N$648,Export!J7402,FALSE),""),K7402)</f>
        <v>5500</v>
      </c>
      <c r="D7402" s="6" t="b">
        <v>0</v>
      </c>
      <c r="E7402" s="6"/>
      <c r="F7402" s="6"/>
      <c r="G7402" s="120" t="b">
        <f>VLOOKUP(I7396,FS_input_noty,J7396,FALSE)=""</f>
        <v>0</v>
      </c>
      <c r="H7402" s="6" t="s">
        <v>2189</v>
      </c>
      <c r="I7402" t="s">
        <v>2118</v>
      </c>
      <c r="J7402">
        <v>8</v>
      </c>
      <c r="L7402" s="26" t="e">
        <f t="shared" si="442"/>
        <v>#VALUE!</v>
      </c>
    </row>
    <row r="7403" spans="1:12" x14ac:dyDescent="0.35">
      <c r="A7403">
        <f t="shared" si="443"/>
        <v>7402</v>
      </c>
      <c r="B7403" t="s">
        <v>112</v>
      </c>
      <c r="C7403" s="109" t="str">
        <f>IF(ISBLANK(K7403),IFERROR(VLOOKUP(I7403,FS_input_data!$C$458:$N$648,Export!J7403,FALSE),""),K7403)</f>
        <v/>
      </c>
      <c r="D7403" s="6"/>
      <c r="E7403" s="6"/>
      <c r="F7403" s="6"/>
      <c r="G7403" s="120" t="b">
        <f>VLOOKUP(I7396,FS_input_noty,J7396,FALSE)=""</f>
        <v>0</v>
      </c>
      <c r="H7403" s="6" t="s">
        <v>2189</v>
      </c>
      <c r="I7403" t="s">
        <v>1561</v>
      </c>
      <c r="J7403" t="s">
        <v>1561</v>
      </c>
      <c r="L7403">
        <f t="shared" si="442"/>
        <v>1</v>
      </c>
    </row>
    <row r="7404" spans="1:12" x14ac:dyDescent="0.35">
      <c r="A7404" s="9">
        <f t="shared" si="443"/>
        <v>7403</v>
      </c>
      <c r="B7404" t="s">
        <v>749</v>
      </c>
      <c r="C7404" s="109">
        <f>IF(ISBLANK(K7404),IFERROR(VLOOKUP(I7404,FS_input_data!$C$458:$N$648,Export!J7404,FALSE),""),K7404)</f>
        <v>5500</v>
      </c>
      <c r="D7404" s="6" t="b">
        <v>0</v>
      </c>
      <c r="E7404" s="6"/>
      <c r="F7404" s="6"/>
      <c r="G7404" s="120" t="b">
        <f>VLOOKUP(I7396,FS_input_noty,J7396,FALSE)=""</f>
        <v>0</v>
      </c>
      <c r="H7404" s="6" t="s">
        <v>2189</v>
      </c>
      <c r="I7404" t="s">
        <v>2118</v>
      </c>
      <c r="J7404">
        <v>9</v>
      </c>
      <c r="L7404" s="26" t="e">
        <f t="shared" si="442"/>
        <v>#VALUE!</v>
      </c>
    </row>
    <row r="7405" spans="1:12" x14ac:dyDescent="0.35">
      <c r="A7405">
        <f t="shared" si="443"/>
        <v>7404</v>
      </c>
      <c r="B7405" t="s">
        <v>750</v>
      </c>
      <c r="C7405" s="109" t="str">
        <f>IF(ISBLANK(K7405),IFERROR(VLOOKUP(I7405,FS_input_data!$C$458:$N$648,Export!J7405,FALSE),""),K7405)</f>
        <v/>
      </c>
      <c r="E7405" s="6"/>
      <c r="F7405" s="6"/>
      <c r="G7405" s="120" t="b">
        <f>VLOOKUP(I7396,FS_input_noty,J7396,FALSE)=""</f>
        <v>0</v>
      </c>
      <c r="H7405" s="6" t="s">
        <v>2189</v>
      </c>
      <c r="I7405" t="s">
        <v>1561</v>
      </c>
      <c r="J7405" t="s">
        <v>1561</v>
      </c>
      <c r="L7405">
        <f t="shared" si="442"/>
        <v>1</v>
      </c>
    </row>
    <row r="7406" spans="1:12" x14ac:dyDescent="0.35">
      <c r="A7406">
        <f t="shared" si="443"/>
        <v>7405</v>
      </c>
      <c r="B7406" t="s">
        <v>743</v>
      </c>
      <c r="C7406" s="109" t="str">
        <f>IF(ISBLANK(K7406),IFERROR(VLOOKUP(I7406,FS_input_data!$C$458:$N$648,Export!J7406,FALSE),""),K7406)</f>
        <v/>
      </c>
      <c r="E7406" s="6"/>
      <c r="F7406" s="6"/>
      <c r="G7406" s="120" t="b">
        <f>VLOOKUP(I7396,FS_input_noty,J7396,FALSE)=""</f>
        <v>0</v>
      </c>
      <c r="H7406" s="6" t="s">
        <v>2189</v>
      </c>
      <c r="I7406" t="s">
        <v>1561</v>
      </c>
      <c r="J7406" t="s">
        <v>1561</v>
      </c>
      <c r="L7406">
        <f t="shared" si="442"/>
        <v>1</v>
      </c>
    </row>
    <row r="7407" spans="1:12" x14ac:dyDescent="0.35">
      <c r="A7407">
        <f t="shared" si="443"/>
        <v>7406</v>
      </c>
      <c r="B7407" t="s">
        <v>744</v>
      </c>
      <c r="C7407" s="109" t="str">
        <f>IF(ISBLANK(K7407),IFERROR(VLOOKUP(I7407,FS_input_data!$C$458:$N$648,Export!J7407,FALSE),""),K7407)</f>
        <v/>
      </c>
      <c r="D7407" s="6"/>
      <c r="E7407" s="6"/>
      <c r="F7407" s="6"/>
      <c r="G7407" s="120" t="b">
        <f t="shared" ref="G7407:G7414" si="446">RP_tax</f>
        <v>1</v>
      </c>
      <c r="H7407" s="6" t="s">
        <v>2189</v>
      </c>
      <c r="I7407" t="s">
        <v>1561</v>
      </c>
      <c r="J7407" t="s">
        <v>1561</v>
      </c>
      <c r="L7407" s="26" t="e">
        <f t="shared" si="442"/>
        <v>#VALUE!</v>
      </c>
    </row>
    <row r="7408" spans="1:12" x14ac:dyDescent="0.35">
      <c r="A7408" s="9">
        <f t="shared" si="443"/>
        <v>7407</v>
      </c>
      <c r="B7408" t="s">
        <v>109</v>
      </c>
      <c r="C7408" s="109">
        <f>IF(ISBLANK(K7408),IFERROR(VLOOKUP(I7408,FS_input_data!$C$458:$N$648,Export!J7408,FALSE),""),K7408)</f>
        <v>11000</v>
      </c>
      <c r="D7408" s="6" t="b">
        <v>1</v>
      </c>
      <c r="E7408" s="6"/>
      <c r="F7408" s="6"/>
      <c r="G7408" s="120" t="b">
        <f t="shared" si="446"/>
        <v>1</v>
      </c>
      <c r="H7408" s="6" t="s">
        <v>2189</v>
      </c>
      <c r="I7408" t="s">
        <v>2118</v>
      </c>
      <c r="J7408">
        <v>10</v>
      </c>
      <c r="L7408" s="26" t="e">
        <f t="shared" si="442"/>
        <v>#VALUE!</v>
      </c>
    </row>
    <row r="7409" spans="1:12" x14ac:dyDescent="0.35">
      <c r="A7409">
        <f t="shared" si="443"/>
        <v>7408</v>
      </c>
      <c r="B7409" t="s">
        <v>110</v>
      </c>
      <c r="C7409" s="109" t="str">
        <f>IF(ISBLANK(K7409),IFERROR(VLOOKUP(I7409,FS_input_data!$C$458:$N$648,Export!J7409,FALSE),""),K7409)</f>
        <v/>
      </c>
      <c r="D7409" s="6"/>
      <c r="E7409" s="6"/>
      <c r="F7409" s="6"/>
      <c r="G7409" s="120" t="b">
        <f t="shared" si="446"/>
        <v>1</v>
      </c>
      <c r="H7409" s="6" t="s">
        <v>2189</v>
      </c>
      <c r="I7409" t="s">
        <v>1561</v>
      </c>
      <c r="J7409" t="s">
        <v>1561</v>
      </c>
      <c r="L7409">
        <f t="shared" si="442"/>
        <v>1</v>
      </c>
    </row>
    <row r="7410" spans="1:12" x14ac:dyDescent="0.35">
      <c r="A7410" s="9">
        <f t="shared" si="443"/>
        <v>7409</v>
      </c>
      <c r="B7410" t="s">
        <v>111</v>
      </c>
      <c r="C7410" s="109">
        <f>IF(ISBLANK(K7410),IFERROR(VLOOKUP(I7410,FS_input_data!$C$458:$N$648,Export!J7410,FALSE),""),K7410)</f>
        <v>5500</v>
      </c>
      <c r="D7410" s="6" t="b">
        <v>0</v>
      </c>
      <c r="E7410" s="6"/>
      <c r="F7410" s="6"/>
      <c r="G7410" s="120" t="b">
        <f t="shared" si="446"/>
        <v>1</v>
      </c>
      <c r="H7410" s="6" t="s">
        <v>2189</v>
      </c>
      <c r="I7410" t="s">
        <v>2118</v>
      </c>
      <c r="J7410">
        <v>11</v>
      </c>
      <c r="L7410" s="26" t="e">
        <f t="shared" si="442"/>
        <v>#VALUE!</v>
      </c>
    </row>
    <row r="7411" spans="1:12" x14ac:dyDescent="0.35">
      <c r="A7411">
        <f t="shared" si="443"/>
        <v>7410</v>
      </c>
      <c r="B7411" t="s">
        <v>112</v>
      </c>
      <c r="C7411" s="109" t="str">
        <f>IF(ISBLANK(K7411),IFERROR(VLOOKUP(I7411,FS_input_data!$C$458:$N$648,Export!J7411,FALSE),""),K7411)</f>
        <v/>
      </c>
      <c r="D7411" s="6"/>
      <c r="E7411" s="6"/>
      <c r="F7411" s="6"/>
      <c r="G7411" s="120" t="b">
        <f t="shared" si="446"/>
        <v>1</v>
      </c>
      <c r="H7411" s="6" t="s">
        <v>2189</v>
      </c>
      <c r="I7411" t="s">
        <v>1561</v>
      </c>
      <c r="J7411" t="s">
        <v>1561</v>
      </c>
      <c r="L7411">
        <f t="shared" si="442"/>
        <v>1</v>
      </c>
    </row>
    <row r="7412" spans="1:12" x14ac:dyDescent="0.35">
      <c r="A7412" s="9">
        <f t="shared" si="443"/>
        <v>7411</v>
      </c>
      <c r="B7412" t="s">
        <v>749</v>
      </c>
      <c r="C7412" s="109">
        <f>IF(ISBLANK(K7412),IFERROR(VLOOKUP(I7412,FS_input_data!$C$458:$N$648,Export!J7412,FALSE),""),K7412)</f>
        <v>5500</v>
      </c>
      <c r="D7412" s="6" t="b">
        <v>0</v>
      </c>
      <c r="E7412" s="6"/>
      <c r="F7412" s="6"/>
      <c r="G7412" s="120" t="b">
        <f t="shared" si="446"/>
        <v>1</v>
      </c>
      <c r="H7412" s="6" t="s">
        <v>2189</v>
      </c>
      <c r="I7412" t="s">
        <v>2118</v>
      </c>
      <c r="J7412">
        <v>12</v>
      </c>
      <c r="L7412" s="26" t="e">
        <f t="shared" si="442"/>
        <v>#VALUE!</v>
      </c>
    </row>
    <row r="7413" spans="1:12" x14ac:dyDescent="0.35">
      <c r="A7413">
        <f t="shared" si="443"/>
        <v>7412</v>
      </c>
      <c r="B7413" t="s">
        <v>750</v>
      </c>
      <c r="C7413" s="109" t="str">
        <f>IF(ISBLANK(K7413),IFERROR(VLOOKUP(I7413,FS_input_data!$C$458:$N$648,Export!J7413,FALSE),""),K7413)</f>
        <v/>
      </c>
      <c r="D7413" s="6"/>
      <c r="E7413" s="6"/>
      <c r="F7413" s="6"/>
      <c r="G7413" s="120" t="b">
        <f t="shared" si="446"/>
        <v>1</v>
      </c>
      <c r="H7413" s="6" t="s">
        <v>2189</v>
      </c>
      <c r="I7413" t="s">
        <v>1561</v>
      </c>
      <c r="J7413" t="s">
        <v>1561</v>
      </c>
      <c r="L7413">
        <f t="shared" si="442"/>
        <v>1</v>
      </c>
    </row>
    <row r="7414" spans="1:12" x14ac:dyDescent="0.35">
      <c r="A7414">
        <f t="shared" si="443"/>
        <v>7413</v>
      </c>
      <c r="B7414" t="s">
        <v>745</v>
      </c>
      <c r="C7414" s="109" t="str">
        <f>IF(ISBLANK(K7414),IFERROR(VLOOKUP(I7414,FS_input_data!$C$458:$N$648,Export!J7414,FALSE),""),K7414)</f>
        <v/>
      </c>
      <c r="D7414" s="6"/>
      <c r="E7414" s="6"/>
      <c r="F7414" s="6"/>
      <c r="G7414" s="120" t="b">
        <f t="shared" si="446"/>
        <v>1</v>
      </c>
      <c r="H7414" s="6" t="s">
        <v>2189</v>
      </c>
      <c r="I7414" t="s">
        <v>1561</v>
      </c>
      <c r="J7414" t="s">
        <v>1561</v>
      </c>
      <c r="L7414">
        <f t="shared" si="442"/>
        <v>1</v>
      </c>
    </row>
    <row r="7415" spans="1:12" x14ac:dyDescent="0.35">
      <c r="A7415">
        <f t="shared" si="443"/>
        <v>7414</v>
      </c>
      <c r="B7415" t="s">
        <v>764</v>
      </c>
      <c r="C7415" s="109" t="str">
        <f>IF(ISBLANK(K7415),IFERROR(VLOOKUP(I7415,FS_input_data!$C$458:$N$648,Export!J7415,FALSE),""),K7415)</f>
        <v/>
      </c>
      <c r="D7415" s="6"/>
      <c r="E7415" s="6"/>
      <c r="F7415" s="6"/>
      <c r="G7415" s="120" t="b">
        <f>VLOOKUP(I7396,FS_input_noty,J7396,FALSE)=""</f>
        <v>0</v>
      </c>
      <c r="H7415" s="6" t="s">
        <v>2189</v>
      </c>
      <c r="I7415" t="s">
        <v>1561</v>
      </c>
      <c r="J7415" t="s">
        <v>1561</v>
      </c>
      <c r="L7415">
        <f t="shared" si="442"/>
        <v>1</v>
      </c>
    </row>
    <row r="7416" spans="1:12" x14ac:dyDescent="0.35">
      <c r="A7416">
        <f t="shared" si="443"/>
        <v>7415</v>
      </c>
      <c r="B7416" t="s">
        <v>765</v>
      </c>
      <c r="C7416" s="109" t="str">
        <f>IF(ISBLANK(K7416),IFERROR(VLOOKUP(I7416,FS_input_data!$C$458:$N$648,Export!J7416,FALSE),""),K7416)</f>
        <v/>
      </c>
      <c r="D7416" s="6"/>
      <c r="E7416" s="6"/>
      <c r="F7416" s="6"/>
      <c r="G7416" s="120" t="b">
        <f>VLOOKUP(I7396,FS_input_noty,J7396,FALSE)=""</f>
        <v>0</v>
      </c>
      <c r="H7416" s="6" t="s">
        <v>2189</v>
      </c>
      <c r="I7416" t="s">
        <v>1561</v>
      </c>
      <c r="J7416" t="s">
        <v>1561</v>
      </c>
      <c r="L7416">
        <f t="shared" si="442"/>
        <v>1</v>
      </c>
    </row>
    <row r="7417" spans="1:12" x14ac:dyDescent="0.35">
      <c r="A7417">
        <f t="shared" si="443"/>
        <v>7416</v>
      </c>
      <c r="B7417" t="s">
        <v>752</v>
      </c>
      <c r="C7417" s="109" t="str">
        <f>IF(ISBLANK(K7417),IFERROR(VLOOKUP(I7417,FS_input_data!$C$458:$N$648,Export!J7417,FALSE),""),K7417)</f>
        <v/>
      </c>
      <c r="D7417" s="6"/>
      <c r="E7417" s="6"/>
      <c r="F7417" s="6"/>
      <c r="G7417" s="120" t="b">
        <f>VLOOKUP(I7418,FS_input_noty,J7418,FALSE)=""</f>
        <v>0</v>
      </c>
      <c r="H7417" s="6" t="s">
        <v>2189</v>
      </c>
      <c r="I7417" t="s">
        <v>1561</v>
      </c>
      <c r="J7417" t="s">
        <v>1561</v>
      </c>
      <c r="L7417" s="26" t="e">
        <f t="shared" si="442"/>
        <v>#VALUE!</v>
      </c>
    </row>
    <row r="7418" spans="1:12" x14ac:dyDescent="0.35">
      <c r="A7418" s="9">
        <f t="shared" si="443"/>
        <v>7417</v>
      </c>
      <c r="B7418" t="s">
        <v>101</v>
      </c>
      <c r="C7418" s="109" t="str">
        <f>IF(ISBLANK(K7418),IFERROR(VLOOKUP(I7418,FS_input_data!$C$458:$N$648,Export!J7418,FALSE),""),K7418)</f>
        <v>OC133</v>
      </c>
      <c r="D7418" s="6" t="b">
        <v>1</v>
      </c>
      <c r="E7418" s="6"/>
      <c r="F7418" s="6"/>
      <c r="G7418" s="120" t="b">
        <f>VLOOKUP(I7418,FS_input_noty,J7418,FALSE)=""</f>
        <v>0</v>
      </c>
      <c r="H7418" s="6" t="s">
        <v>2189</v>
      </c>
      <c r="I7418" t="s">
        <v>2120</v>
      </c>
      <c r="J7418">
        <v>6</v>
      </c>
      <c r="L7418" s="26" t="e">
        <f t="shared" si="442"/>
        <v>#VALUE!</v>
      </c>
    </row>
    <row r="7419" spans="1:12" x14ac:dyDescent="0.35">
      <c r="A7419">
        <f t="shared" si="443"/>
        <v>7418</v>
      </c>
      <c r="B7419" t="s">
        <v>102</v>
      </c>
      <c r="C7419" s="109" t="str">
        <f>IF(ISBLANK(K7419),IFERROR(VLOOKUP(I7419,FS_input_data!$C$458:$N$648,Export!J7419,FALSE),""),K7419)</f>
        <v/>
      </c>
      <c r="D7419" s="6"/>
      <c r="E7419" s="6"/>
      <c r="F7419" s="6"/>
      <c r="G7419" s="120" t="b">
        <f>VLOOKUP(I7418,FS_input_noty,J7418,FALSE)=""</f>
        <v>0</v>
      </c>
      <c r="H7419" s="6" t="s">
        <v>2189</v>
      </c>
      <c r="I7419" t="s">
        <v>1561</v>
      </c>
      <c r="J7419" t="s">
        <v>1561</v>
      </c>
      <c r="L7419">
        <f t="shared" si="442"/>
        <v>1</v>
      </c>
    </row>
    <row r="7420" spans="1:12" x14ac:dyDescent="0.35">
      <c r="A7420">
        <f t="shared" si="443"/>
        <v>7419</v>
      </c>
      <c r="B7420" t="s">
        <v>753</v>
      </c>
      <c r="C7420" s="109" t="str">
        <f>IF(ISBLANK(K7420),IFERROR(VLOOKUP(I7420,FS_input_data!$C$458:$N$648,Export!J7420,FALSE),""),K7420)</f>
        <v/>
      </c>
      <c r="D7420" s="6"/>
      <c r="E7420" s="6"/>
      <c r="F7420" s="6"/>
      <c r="G7420" s="120" t="b">
        <f>VLOOKUP(I7418,FS_input_noty,J7418,FALSE)=""</f>
        <v>0</v>
      </c>
      <c r="H7420" s="6" t="s">
        <v>2189</v>
      </c>
      <c r="I7420" t="s">
        <v>1561</v>
      </c>
      <c r="J7420" t="s">
        <v>1561</v>
      </c>
      <c r="L7420" s="26" t="e">
        <f t="shared" si="442"/>
        <v>#VALUE!</v>
      </c>
    </row>
    <row r="7421" spans="1:12" x14ac:dyDescent="0.35">
      <c r="A7421">
        <f t="shared" si="443"/>
        <v>7420</v>
      </c>
      <c r="B7421" t="s">
        <v>742</v>
      </c>
      <c r="C7421" s="109" t="str">
        <f>IF(ISBLANK(K7421),IFERROR(VLOOKUP(I7421,FS_input_data!$C$458:$N$648,Export!J7421,FALSE),""),K7421)</f>
        <v/>
      </c>
      <c r="D7421" s="6"/>
      <c r="E7421" s="6"/>
      <c r="F7421" s="6"/>
      <c r="G7421" s="120" t="b">
        <f>VLOOKUP(I7418,FS_input_noty,J7418,FALSE)=""</f>
        <v>0</v>
      </c>
      <c r="H7421" s="6" t="s">
        <v>2189</v>
      </c>
      <c r="I7421" t="s">
        <v>1561</v>
      </c>
      <c r="J7421" t="s">
        <v>1561</v>
      </c>
      <c r="L7421" s="26" t="e">
        <f t="shared" si="442"/>
        <v>#VALUE!</v>
      </c>
    </row>
    <row r="7422" spans="1:12" x14ac:dyDescent="0.35">
      <c r="A7422" s="9">
        <f t="shared" si="443"/>
        <v>7421</v>
      </c>
      <c r="B7422" t="s">
        <v>109</v>
      </c>
      <c r="C7422" s="109">
        <f>IF(ISBLANK(K7422),IFERROR(VLOOKUP(I7422,FS_input_data!$C$458:$N$648,Export!J7422,FALSE),""),K7422)</f>
        <v>12000</v>
      </c>
      <c r="D7422" s="6" t="b">
        <v>1</v>
      </c>
      <c r="E7422" s="6"/>
      <c r="F7422" s="6"/>
      <c r="G7422" s="120" t="b">
        <f>VLOOKUP(I7418,FS_input_noty,J7418,FALSE)=""</f>
        <v>0</v>
      </c>
      <c r="H7422" s="6" t="s">
        <v>2189</v>
      </c>
      <c r="I7422" t="s">
        <v>2120</v>
      </c>
      <c r="J7422">
        <v>7</v>
      </c>
      <c r="L7422" s="26" t="e">
        <f t="shared" si="442"/>
        <v>#VALUE!</v>
      </c>
    </row>
    <row r="7423" spans="1:12" x14ac:dyDescent="0.35">
      <c r="A7423">
        <f t="shared" si="443"/>
        <v>7422</v>
      </c>
      <c r="B7423" t="s">
        <v>110</v>
      </c>
      <c r="C7423" s="109" t="str">
        <f>IF(ISBLANK(K7423),IFERROR(VLOOKUP(I7423,FS_input_data!$C$458:$N$648,Export!J7423,FALSE),""),K7423)</f>
        <v/>
      </c>
      <c r="D7423" s="6"/>
      <c r="E7423" s="6"/>
      <c r="F7423" s="6"/>
      <c r="G7423" s="120" t="b">
        <f>VLOOKUP(I7418,FS_input_noty,J7418,FALSE)=""</f>
        <v>0</v>
      </c>
      <c r="H7423" s="6" t="s">
        <v>2189</v>
      </c>
      <c r="I7423" t="s">
        <v>1561</v>
      </c>
      <c r="J7423" t="s">
        <v>1561</v>
      </c>
      <c r="L7423">
        <f t="shared" si="442"/>
        <v>1</v>
      </c>
    </row>
    <row r="7424" spans="1:12" x14ac:dyDescent="0.35">
      <c r="A7424" s="9">
        <f t="shared" si="443"/>
        <v>7423</v>
      </c>
      <c r="B7424" t="s">
        <v>111</v>
      </c>
      <c r="C7424" s="109">
        <f>IF(ISBLANK(K7424),IFERROR(VLOOKUP(I7424,FS_input_data!$C$458:$N$648,Export!J7424,FALSE),""),K7424)</f>
        <v>6000</v>
      </c>
      <c r="D7424" s="6" t="b">
        <v>0</v>
      </c>
      <c r="E7424" s="6"/>
      <c r="F7424" s="6"/>
      <c r="G7424" s="120" t="b">
        <f>VLOOKUP(I7418,FS_input_noty,J7418,FALSE)=""</f>
        <v>0</v>
      </c>
      <c r="H7424" s="6" t="s">
        <v>2189</v>
      </c>
      <c r="I7424" t="s">
        <v>2120</v>
      </c>
      <c r="J7424">
        <v>8</v>
      </c>
      <c r="L7424" s="26" t="e">
        <f t="shared" si="442"/>
        <v>#VALUE!</v>
      </c>
    </row>
    <row r="7425" spans="1:12" x14ac:dyDescent="0.35">
      <c r="A7425">
        <f t="shared" si="443"/>
        <v>7424</v>
      </c>
      <c r="B7425" t="s">
        <v>112</v>
      </c>
      <c r="C7425" s="109" t="str">
        <f>IF(ISBLANK(K7425),IFERROR(VLOOKUP(I7425,FS_input_data!$C$458:$N$648,Export!J7425,FALSE),""),K7425)</f>
        <v/>
      </c>
      <c r="D7425" s="6"/>
      <c r="E7425" s="6"/>
      <c r="F7425" s="6"/>
      <c r="G7425" s="120" t="b">
        <f>VLOOKUP(I7418,FS_input_noty,J7418,FALSE)=""</f>
        <v>0</v>
      </c>
      <c r="H7425" s="6" t="s">
        <v>2189</v>
      </c>
      <c r="I7425" t="s">
        <v>1561</v>
      </c>
      <c r="J7425" t="s">
        <v>1561</v>
      </c>
      <c r="L7425">
        <f t="shared" si="442"/>
        <v>1</v>
      </c>
    </row>
    <row r="7426" spans="1:12" x14ac:dyDescent="0.35">
      <c r="A7426" s="9">
        <f t="shared" si="443"/>
        <v>7425</v>
      </c>
      <c r="B7426" t="s">
        <v>749</v>
      </c>
      <c r="C7426" s="109">
        <f>IF(ISBLANK(K7426),IFERROR(VLOOKUP(I7426,FS_input_data!$C$458:$N$648,Export!J7426,FALSE),""),K7426)</f>
        <v>6000</v>
      </c>
      <c r="D7426" s="6" t="b">
        <v>0</v>
      </c>
      <c r="E7426" s="6"/>
      <c r="F7426" s="6"/>
      <c r="G7426" s="120" t="b">
        <f>VLOOKUP(I7418,FS_input_noty,J7418,FALSE)=""</f>
        <v>0</v>
      </c>
      <c r="H7426" s="6" t="s">
        <v>2189</v>
      </c>
      <c r="I7426" t="s">
        <v>2120</v>
      </c>
      <c r="J7426">
        <v>9</v>
      </c>
      <c r="L7426" s="26" t="e">
        <f t="shared" ref="L7426:L7489" si="447">FIND("/",B7426)</f>
        <v>#VALUE!</v>
      </c>
    </row>
    <row r="7427" spans="1:12" x14ac:dyDescent="0.35">
      <c r="A7427">
        <f t="shared" ref="A7427:A7490" si="448">A7426+1</f>
        <v>7426</v>
      </c>
      <c r="B7427" t="s">
        <v>750</v>
      </c>
      <c r="C7427" s="109" t="str">
        <f>IF(ISBLANK(K7427),IFERROR(VLOOKUP(I7427,FS_input_data!$C$458:$N$648,Export!J7427,FALSE),""),K7427)</f>
        <v/>
      </c>
      <c r="D7427" s="6"/>
      <c r="E7427" s="6"/>
      <c r="F7427" s="6"/>
      <c r="G7427" s="120" t="b">
        <f>VLOOKUP(I7418,FS_input_noty,J7418,FALSE)=""</f>
        <v>0</v>
      </c>
      <c r="H7427" s="6" t="s">
        <v>2189</v>
      </c>
      <c r="I7427" t="s">
        <v>1561</v>
      </c>
      <c r="J7427" t="s">
        <v>1561</v>
      </c>
      <c r="L7427">
        <f t="shared" si="447"/>
        <v>1</v>
      </c>
    </row>
    <row r="7428" spans="1:12" x14ac:dyDescent="0.35">
      <c r="A7428">
        <f t="shared" si="448"/>
        <v>7427</v>
      </c>
      <c r="B7428" t="s">
        <v>743</v>
      </c>
      <c r="C7428" s="109" t="str">
        <f>IF(ISBLANK(K7428),IFERROR(VLOOKUP(I7428,FS_input_data!$C$458:$N$648,Export!J7428,FALSE),""),K7428)</f>
        <v/>
      </c>
      <c r="D7428" s="6"/>
      <c r="E7428" s="6"/>
      <c r="F7428" s="6"/>
      <c r="G7428" s="120" t="b">
        <f>VLOOKUP(I7418,FS_input_noty,J7418,FALSE)=""</f>
        <v>0</v>
      </c>
      <c r="H7428" s="6" t="s">
        <v>2189</v>
      </c>
      <c r="I7428" t="s">
        <v>1561</v>
      </c>
      <c r="J7428" t="s">
        <v>1561</v>
      </c>
      <c r="L7428">
        <f t="shared" si="447"/>
        <v>1</v>
      </c>
    </row>
    <row r="7429" spans="1:12" x14ac:dyDescent="0.35">
      <c r="A7429">
        <f t="shared" si="448"/>
        <v>7428</v>
      </c>
      <c r="B7429" t="s">
        <v>744</v>
      </c>
      <c r="C7429" s="109" t="str">
        <f>IF(ISBLANK(K7429),IFERROR(VLOOKUP(I7429,FS_input_data!$C$458:$N$648,Export!J7429,FALSE),""),K7429)</f>
        <v/>
      </c>
      <c r="D7429" s="6"/>
      <c r="E7429" s="6"/>
      <c r="F7429" s="6"/>
      <c r="G7429" s="120" t="b">
        <f t="shared" ref="G7429:G7436" si="449">RP_tax</f>
        <v>1</v>
      </c>
      <c r="H7429" s="6" t="s">
        <v>2189</v>
      </c>
      <c r="I7429" t="s">
        <v>1561</v>
      </c>
      <c r="J7429" t="s">
        <v>1561</v>
      </c>
      <c r="L7429" s="26" t="e">
        <f t="shared" si="447"/>
        <v>#VALUE!</v>
      </c>
    </row>
    <row r="7430" spans="1:12" x14ac:dyDescent="0.35">
      <c r="A7430" s="9">
        <f t="shared" si="448"/>
        <v>7429</v>
      </c>
      <c r="B7430" t="s">
        <v>109</v>
      </c>
      <c r="C7430" s="109">
        <f>IF(ISBLANK(K7430),IFERROR(VLOOKUP(I7430,FS_input_data!$C$458:$N$648,Export!J7430,FALSE),""),K7430)</f>
        <v>12000</v>
      </c>
      <c r="D7430" s="6" t="b">
        <v>1</v>
      </c>
      <c r="E7430" s="6"/>
      <c r="F7430" s="6"/>
      <c r="G7430" s="120" t="b">
        <f t="shared" si="449"/>
        <v>1</v>
      </c>
      <c r="H7430" s="6" t="s">
        <v>2189</v>
      </c>
      <c r="I7430" t="s">
        <v>2120</v>
      </c>
      <c r="J7430">
        <v>10</v>
      </c>
      <c r="L7430" s="26" t="e">
        <f t="shared" si="447"/>
        <v>#VALUE!</v>
      </c>
    </row>
    <row r="7431" spans="1:12" x14ac:dyDescent="0.35">
      <c r="A7431">
        <f t="shared" si="448"/>
        <v>7430</v>
      </c>
      <c r="B7431" t="s">
        <v>110</v>
      </c>
      <c r="C7431" s="109" t="str">
        <f>IF(ISBLANK(K7431),IFERROR(VLOOKUP(I7431,FS_input_data!$C$458:$N$648,Export!J7431,FALSE),""),K7431)</f>
        <v/>
      </c>
      <c r="D7431" s="6"/>
      <c r="E7431" s="6"/>
      <c r="F7431" s="6"/>
      <c r="G7431" s="120" t="b">
        <f t="shared" si="449"/>
        <v>1</v>
      </c>
      <c r="H7431" s="6" t="s">
        <v>2189</v>
      </c>
      <c r="I7431" t="s">
        <v>1561</v>
      </c>
      <c r="J7431" t="s">
        <v>1561</v>
      </c>
      <c r="L7431">
        <f t="shared" si="447"/>
        <v>1</v>
      </c>
    </row>
    <row r="7432" spans="1:12" x14ac:dyDescent="0.35">
      <c r="A7432" s="9">
        <f t="shared" si="448"/>
        <v>7431</v>
      </c>
      <c r="B7432" t="s">
        <v>111</v>
      </c>
      <c r="C7432" s="109">
        <f>IF(ISBLANK(K7432),IFERROR(VLOOKUP(I7432,FS_input_data!$C$458:$N$648,Export!J7432,FALSE),""),K7432)</f>
        <v>6000</v>
      </c>
      <c r="D7432" s="6" t="b">
        <v>0</v>
      </c>
      <c r="E7432" s="6"/>
      <c r="F7432" s="6"/>
      <c r="G7432" s="120" t="b">
        <f t="shared" si="449"/>
        <v>1</v>
      </c>
      <c r="H7432" s="6" t="s">
        <v>2189</v>
      </c>
      <c r="I7432" t="s">
        <v>2120</v>
      </c>
      <c r="J7432">
        <v>11</v>
      </c>
      <c r="L7432" s="26" t="e">
        <f t="shared" si="447"/>
        <v>#VALUE!</v>
      </c>
    </row>
    <row r="7433" spans="1:12" x14ac:dyDescent="0.35">
      <c r="A7433">
        <f t="shared" si="448"/>
        <v>7432</v>
      </c>
      <c r="B7433" t="s">
        <v>112</v>
      </c>
      <c r="C7433" s="109" t="str">
        <f>IF(ISBLANK(K7433),IFERROR(VLOOKUP(I7433,FS_input_data!$C$458:$N$648,Export!J7433,FALSE),""),K7433)</f>
        <v/>
      </c>
      <c r="D7433" s="6"/>
      <c r="E7433" s="6"/>
      <c r="F7433" s="6"/>
      <c r="G7433" s="120" t="b">
        <f t="shared" si="449"/>
        <v>1</v>
      </c>
      <c r="H7433" s="6" t="s">
        <v>2189</v>
      </c>
      <c r="I7433" t="s">
        <v>1561</v>
      </c>
      <c r="J7433" t="s">
        <v>1561</v>
      </c>
      <c r="L7433">
        <f t="shared" si="447"/>
        <v>1</v>
      </c>
    </row>
    <row r="7434" spans="1:12" x14ac:dyDescent="0.35">
      <c r="A7434" s="9">
        <f t="shared" si="448"/>
        <v>7433</v>
      </c>
      <c r="B7434" t="s">
        <v>749</v>
      </c>
      <c r="C7434" s="109">
        <f>IF(ISBLANK(K7434),IFERROR(VLOOKUP(I7434,FS_input_data!$C$458:$N$648,Export!J7434,FALSE),""),K7434)</f>
        <v>6000</v>
      </c>
      <c r="D7434" s="6" t="b">
        <v>0</v>
      </c>
      <c r="E7434" s="6"/>
      <c r="F7434" s="6"/>
      <c r="G7434" s="120" t="b">
        <f t="shared" si="449"/>
        <v>1</v>
      </c>
      <c r="H7434" s="6" t="s">
        <v>2189</v>
      </c>
      <c r="I7434" t="s">
        <v>2120</v>
      </c>
      <c r="J7434">
        <v>12</v>
      </c>
      <c r="L7434" s="26" t="e">
        <f t="shared" si="447"/>
        <v>#VALUE!</v>
      </c>
    </row>
    <row r="7435" spans="1:12" x14ac:dyDescent="0.35">
      <c r="A7435">
        <f t="shared" si="448"/>
        <v>7434</v>
      </c>
      <c r="B7435" t="s">
        <v>750</v>
      </c>
      <c r="C7435" s="109" t="str">
        <f>IF(ISBLANK(K7435),IFERROR(VLOOKUP(I7435,FS_input_data!$C$458:$N$648,Export!J7435,FALSE),""),K7435)</f>
        <v/>
      </c>
      <c r="D7435" s="6"/>
      <c r="E7435" s="6"/>
      <c r="F7435" s="6"/>
      <c r="G7435" s="120" t="b">
        <f t="shared" si="449"/>
        <v>1</v>
      </c>
      <c r="H7435" s="6" t="s">
        <v>2189</v>
      </c>
      <c r="I7435" t="s">
        <v>1561</v>
      </c>
      <c r="J7435" t="s">
        <v>1561</v>
      </c>
      <c r="L7435">
        <f t="shared" si="447"/>
        <v>1</v>
      </c>
    </row>
    <row r="7436" spans="1:12" x14ac:dyDescent="0.35">
      <c r="A7436">
        <f t="shared" si="448"/>
        <v>7435</v>
      </c>
      <c r="B7436" t="s">
        <v>745</v>
      </c>
      <c r="C7436" s="109" t="str">
        <f>IF(ISBLANK(K7436),IFERROR(VLOOKUP(I7436,FS_input_data!$C$458:$N$648,Export!J7436,FALSE),""),K7436)</f>
        <v/>
      </c>
      <c r="D7436" s="6"/>
      <c r="E7436" s="6"/>
      <c r="F7436" s="6"/>
      <c r="G7436" s="120" t="b">
        <f t="shared" si="449"/>
        <v>1</v>
      </c>
      <c r="H7436" s="6" t="s">
        <v>2189</v>
      </c>
      <c r="I7436" t="s">
        <v>1561</v>
      </c>
      <c r="J7436" t="s">
        <v>1561</v>
      </c>
      <c r="L7436">
        <f t="shared" si="447"/>
        <v>1</v>
      </c>
    </row>
    <row r="7437" spans="1:12" x14ac:dyDescent="0.35">
      <c r="A7437">
        <f t="shared" si="448"/>
        <v>7436</v>
      </c>
      <c r="B7437" t="s">
        <v>764</v>
      </c>
      <c r="C7437" s="109" t="str">
        <f>IF(ISBLANK(K7437),IFERROR(VLOOKUP(I7437,FS_input_data!$C$458:$N$648,Export!J7437,FALSE),""),K7437)</f>
        <v/>
      </c>
      <c r="D7437" s="6"/>
      <c r="E7437" s="6"/>
      <c r="F7437" s="6"/>
      <c r="G7437" s="120" t="b">
        <f>VLOOKUP(I7418,FS_input_noty,J7418,FALSE)=""</f>
        <v>0</v>
      </c>
      <c r="H7437" s="6" t="s">
        <v>2189</v>
      </c>
      <c r="I7437" t="s">
        <v>1561</v>
      </c>
      <c r="J7437" t="s">
        <v>1561</v>
      </c>
      <c r="L7437">
        <f t="shared" si="447"/>
        <v>1</v>
      </c>
    </row>
    <row r="7438" spans="1:12" x14ac:dyDescent="0.35">
      <c r="A7438">
        <f t="shared" si="448"/>
        <v>7437</v>
      </c>
      <c r="B7438" t="s">
        <v>765</v>
      </c>
      <c r="C7438" s="109" t="str">
        <f>IF(ISBLANK(K7438),IFERROR(VLOOKUP(I7438,FS_input_data!$C$458:$N$648,Export!J7438,FALSE),""),K7438)</f>
        <v/>
      </c>
      <c r="D7438" s="6"/>
      <c r="E7438" s="6"/>
      <c r="F7438" s="6"/>
      <c r="G7438" s="120" t="b">
        <f>VLOOKUP(I7418,FS_input_noty,J7418,FALSE)=""</f>
        <v>0</v>
      </c>
      <c r="H7438" s="6" t="s">
        <v>2189</v>
      </c>
      <c r="I7438" t="s">
        <v>1561</v>
      </c>
      <c r="J7438" t="s">
        <v>1561</v>
      </c>
      <c r="L7438">
        <f t="shared" si="447"/>
        <v>1</v>
      </c>
    </row>
    <row r="7439" spans="1:12" x14ac:dyDescent="0.35">
      <c r="A7439">
        <f t="shared" si="448"/>
        <v>7438</v>
      </c>
      <c r="B7439" t="s">
        <v>752</v>
      </c>
      <c r="C7439" s="109" t="str">
        <f>IF(ISBLANK(K7439),IFERROR(VLOOKUP(I7439,FS_input_data!$C$458:$N$648,Export!J7439,FALSE),""),K7439)</f>
        <v/>
      </c>
      <c r="D7439" s="6"/>
      <c r="E7439" s="6"/>
      <c r="F7439" s="6"/>
      <c r="G7439" s="120" t="b">
        <f>VLOOKUP(I7440,FS_input_noty,J7440,FALSE)=""</f>
        <v>0</v>
      </c>
      <c r="H7439" s="6" t="s">
        <v>2189</v>
      </c>
      <c r="I7439" t="s">
        <v>1561</v>
      </c>
      <c r="J7439" t="s">
        <v>1561</v>
      </c>
      <c r="L7439" s="26" t="e">
        <f t="shared" si="447"/>
        <v>#VALUE!</v>
      </c>
    </row>
    <row r="7440" spans="1:12" x14ac:dyDescent="0.35">
      <c r="A7440" s="9">
        <f t="shared" si="448"/>
        <v>7439</v>
      </c>
      <c r="B7440" t="s">
        <v>101</v>
      </c>
      <c r="C7440" s="109" t="str">
        <f>IF(ISBLANK(K7440),IFERROR(VLOOKUP(I7440,FS_input_data!$C$458:$N$648,Export!J7440,FALSE),""),K7440)</f>
        <v>OC134</v>
      </c>
      <c r="D7440" s="6" t="b">
        <v>1</v>
      </c>
      <c r="E7440" s="6"/>
      <c r="F7440" s="6"/>
      <c r="G7440" s="120" t="b">
        <f>VLOOKUP(I7440,FS_input_noty,J7440,FALSE)=""</f>
        <v>0</v>
      </c>
      <c r="H7440" s="6" t="s">
        <v>2189</v>
      </c>
      <c r="I7440" t="s">
        <v>2122</v>
      </c>
      <c r="J7440">
        <v>6</v>
      </c>
      <c r="L7440" s="26" t="e">
        <f t="shared" si="447"/>
        <v>#VALUE!</v>
      </c>
    </row>
    <row r="7441" spans="1:12" x14ac:dyDescent="0.35">
      <c r="A7441">
        <f t="shared" si="448"/>
        <v>7440</v>
      </c>
      <c r="B7441" t="s">
        <v>102</v>
      </c>
      <c r="C7441" s="109" t="str">
        <f>IF(ISBLANK(K7441),IFERROR(VLOOKUP(I7441,FS_input_data!$C$458:$N$648,Export!J7441,FALSE),""),K7441)</f>
        <v/>
      </c>
      <c r="D7441" s="6"/>
      <c r="E7441" s="6"/>
      <c r="F7441" s="6"/>
      <c r="G7441" s="120" t="b">
        <f>VLOOKUP(I7440,FS_input_noty,J7440,FALSE)=""</f>
        <v>0</v>
      </c>
      <c r="H7441" s="6" t="s">
        <v>2189</v>
      </c>
      <c r="I7441" t="s">
        <v>1561</v>
      </c>
      <c r="J7441" t="s">
        <v>1561</v>
      </c>
      <c r="L7441">
        <f t="shared" si="447"/>
        <v>1</v>
      </c>
    </row>
    <row r="7442" spans="1:12" x14ac:dyDescent="0.35">
      <c r="A7442">
        <f t="shared" si="448"/>
        <v>7441</v>
      </c>
      <c r="B7442" t="s">
        <v>753</v>
      </c>
      <c r="C7442" s="109" t="str">
        <f>IF(ISBLANK(K7442),IFERROR(VLOOKUP(I7442,FS_input_data!$C$458:$N$648,Export!J7442,FALSE),""),K7442)</f>
        <v/>
      </c>
      <c r="D7442" s="6"/>
      <c r="E7442" s="6"/>
      <c r="F7442" s="6"/>
      <c r="G7442" s="120" t="b">
        <f>VLOOKUP(I7440,FS_input_noty,J7440,FALSE)=""</f>
        <v>0</v>
      </c>
      <c r="H7442" s="6" t="s">
        <v>2189</v>
      </c>
      <c r="I7442" t="s">
        <v>1561</v>
      </c>
      <c r="J7442" t="s">
        <v>1561</v>
      </c>
      <c r="L7442" s="26" t="e">
        <f t="shared" si="447"/>
        <v>#VALUE!</v>
      </c>
    </row>
    <row r="7443" spans="1:12" x14ac:dyDescent="0.35">
      <c r="A7443">
        <f t="shared" si="448"/>
        <v>7442</v>
      </c>
      <c r="B7443" t="s">
        <v>742</v>
      </c>
      <c r="C7443" s="109" t="str">
        <f>IF(ISBLANK(K7443),IFERROR(VLOOKUP(I7443,FS_input_data!$C$458:$N$648,Export!J7443,FALSE),""),K7443)</f>
        <v/>
      </c>
      <c r="D7443" s="6"/>
      <c r="E7443" s="6"/>
      <c r="F7443" s="6"/>
      <c r="G7443" s="120" t="b">
        <f>VLOOKUP(I7440,FS_input_noty,J7440,FALSE)=""</f>
        <v>0</v>
      </c>
      <c r="H7443" s="6" t="s">
        <v>2189</v>
      </c>
      <c r="I7443" t="s">
        <v>1561</v>
      </c>
      <c r="J7443" t="s">
        <v>1561</v>
      </c>
      <c r="L7443" s="26" t="e">
        <f t="shared" si="447"/>
        <v>#VALUE!</v>
      </c>
    </row>
    <row r="7444" spans="1:12" x14ac:dyDescent="0.35">
      <c r="A7444" s="9">
        <f t="shared" si="448"/>
        <v>7443</v>
      </c>
      <c r="B7444" t="s">
        <v>109</v>
      </c>
      <c r="C7444" s="109">
        <f>IF(ISBLANK(K7444),IFERROR(VLOOKUP(I7444,FS_input_data!$C$458:$N$648,Export!J7444,FALSE),""),K7444)</f>
        <v>13000</v>
      </c>
      <c r="D7444" s="6" t="b">
        <v>1</v>
      </c>
      <c r="E7444" s="6"/>
      <c r="F7444" s="6"/>
      <c r="G7444" s="120" t="b">
        <f>VLOOKUP(I7440,FS_input_noty,J7440,FALSE)=""</f>
        <v>0</v>
      </c>
      <c r="H7444" s="6" t="s">
        <v>2189</v>
      </c>
      <c r="I7444" t="s">
        <v>2122</v>
      </c>
      <c r="J7444">
        <v>7</v>
      </c>
      <c r="L7444" s="26" t="e">
        <f t="shared" si="447"/>
        <v>#VALUE!</v>
      </c>
    </row>
    <row r="7445" spans="1:12" x14ac:dyDescent="0.35">
      <c r="A7445">
        <f t="shared" si="448"/>
        <v>7444</v>
      </c>
      <c r="B7445" t="s">
        <v>110</v>
      </c>
      <c r="C7445" s="109" t="str">
        <f>IF(ISBLANK(K7445),IFERROR(VLOOKUP(I7445,FS_input_data!$C$458:$N$648,Export!J7445,FALSE),""),K7445)</f>
        <v/>
      </c>
      <c r="D7445" s="6"/>
      <c r="E7445" s="6"/>
      <c r="F7445" s="6"/>
      <c r="G7445" s="120" t="b">
        <f>VLOOKUP(I7440,FS_input_noty,J7440,FALSE)=""</f>
        <v>0</v>
      </c>
      <c r="H7445" s="6" t="s">
        <v>2189</v>
      </c>
      <c r="I7445" t="s">
        <v>1561</v>
      </c>
      <c r="J7445" t="s">
        <v>1561</v>
      </c>
      <c r="L7445">
        <f t="shared" si="447"/>
        <v>1</v>
      </c>
    </row>
    <row r="7446" spans="1:12" x14ac:dyDescent="0.35">
      <c r="A7446" s="9">
        <f t="shared" si="448"/>
        <v>7445</v>
      </c>
      <c r="B7446" t="s">
        <v>111</v>
      </c>
      <c r="C7446" s="109">
        <f>IF(ISBLANK(K7446),IFERROR(VLOOKUP(I7446,FS_input_data!$C$458:$N$648,Export!J7446,FALSE),""),K7446)</f>
        <v>6500</v>
      </c>
      <c r="D7446" s="6" t="b">
        <v>0</v>
      </c>
      <c r="E7446" s="6"/>
      <c r="F7446" s="6"/>
      <c r="G7446" s="120" t="b">
        <f>VLOOKUP(I7440,FS_input_noty,J7440,FALSE)=""</f>
        <v>0</v>
      </c>
      <c r="H7446" s="6" t="s">
        <v>2189</v>
      </c>
      <c r="I7446" t="s">
        <v>2122</v>
      </c>
      <c r="J7446">
        <v>8</v>
      </c>
      <c r="L7446" s="26" t="e">
        <f t="shared" si="447"/>
        <v>#VALUE!</v>
      </c>
    </row>
    <row r="7447" spans="1:12" x14ac:dyDescent="0.35">
      <c r="A7447">
        <f t="shared" si="448"/>
        <v>7446</v>
      </c>
      <c r="B7447" t="s">
        <v>112</v>
      </c>
      <c r="C7447" s="109" t="str">
        <f>IF(ISBLANK(K7447),IFERROR(VLOOKUP(I7447,FS_input_data!$C$458:$N$648,Export!J7447,FALSE),""),K7447)</f>
        <v/>
      </c>
      <c r="D7447" s="6"/>
      <c r="E7447" s="6"/>
      <c r="F7447" s="6"/>
      <c r="G7447" s="120" t="b">
        <f>VLOOKUP(I7440,FS_input_noty,J7440,FALSE)=""</f>
        <v>0</v>
      </c>
      <c r="H7447" s="6" t="s">
        <v>2189</v>
      </c>
      <c r="I7447" t="s">
        <v>1561</v>
      </c>
      <c r="J7447" t="s">
        <v>1561</v>
      </c>
      <c r="L7447">
        <f t="shared" si="447"/>
        <v>1</v>
      </c>
    </row>
    <row r="7448" spans="1:12" x14ac:dyDescent="0.35">
      <c r="A7448" s="9">
        <f t="shared" si="448"/>
        <v>7447</v>
      </c>
      <c r="B7448" t="s">
        <v>749</v>
      </c>
      <c r="C7448" s="109">
        <f>IF(ISBLANK(K7448),IFERROR(VLOOKUP(I7448,FS_input_data!$C$458:$N$648,Export!J7448,FALSE),""),K7448)</f>
        <v>6500</v>
      </c>
      <c r="D7448" s="6" t="b">
        <v>0</v>
      </c>
      <c r="E7448" s="6"/>
      <c r="F7448" s="6"/>
      <c r="G7448" s="120" t="b">
        <f>VLOOKUP(I7440,FS_input_noty,J7440,FALSE)=""</f>
        <v>0</v>
      </c>
      <c r="H7448" s="6" t="s">
        <v>2189</v>
      </c>
      <c r="I7448" t="s">
        <v>2122</v>
      </c>
      <c r="J7448">
        <v>9</v>
      </c>
      <c r="L7448" s="26" t="e">
        <f t="shared" si="447"/>
        <v>#VALUE!</v>
      </c>
    </row>
    <row r="7449" spans="1:12" x14ac:dyDescent="0.35">
      <c r="A7449">
        <f t="shared" si="448"/>
        <v>7448</v>
      </c>
      <c r="B7449" t="s">
        <v>750</v>
      </c>
      <c r="C7449" s="109" t="str">
        <f>IF(ISBLANK(K7449),IFERROR(VLOOKUP(I7449,FS_input_data!$C$458:$N$648,Export!J7449,FALSE),""),K7449)</f>
        <v/>
      </c>
      <c r="D7449" s="6"/>
      <c r="E7449" s="6"/>
      <c r="F7449" s="6"/>
      <c r="G7449" s="120" t="b">
        <f>VLOOKUP(I7440,FS_input_noty,J7440,FALSE)=""</f>
        <v>0</v>
      </c>
      <c r="H7449" s="6" t="s">
        <v>2189</v>
      </c>
      <c r="I7449" t="s">
        <v>1561</v>
      </c>
      <c r="J7449" t="s">
        <v>1561</v>
      </c>
      <c r="L7449">
        <f t="shared" si="447"/>
        <v>1</v>
      </c>
    </row>
    <row r="7450" spans="1:12" x14ac:dyDescent="0.35">
      <c r="A7450">
        <f t="shared" si="448"/>
        <v>7449</v>
      </c>
      <c r="B7450" t="s">
        <v>743</v>
      </c>
      <c r="C7450" s="109" t="str">
        <f>IF(ISBLANK(K7450),IFERROR(VLOOKUP(I7450,FS_input_data!$C$458:$N$648,Export!J7450,FALSE),""),K7450)</f>
        <v/>
      </c>
      <c r="D7450" s="6"/>
      <c r="E7450" s="6"/>
      <c r="F7450" s="6"/>
      <c r="G7450" s="120" t="b">
        <f>VLOOKUP(I7440,FS_input_noty,J7440,FALSE)=""</f>
        <v>0</v>
      </c>
      <c r="H7450" s="6" t="s">
        <v>2189</v>
      </c>
      <c r="I7450" t="s">
        <v>1561</v>
      </c>
      <c r="J7450" t="s">
        <v>1561</v>
      </c>
      <c r="L7450">
        <f t="shared" si="447"/>
        <v>1</v>
      </c>
    </row>
    <row r="7451" spans="1:12" x14ac:dyDescent="0.35">
      <c r="A7451">
        <f t="shared" si="448"/>
        <v>7450</v>
      </c>
      <c r="B7451" t="s">
        <v>744</v>
      </c>
      <c r="C7451" s="109" t="str">
        <f>IF(ISBLANK(K7451),IFERROR(VLOOKUP(I7451,FS_input_data!$C$458:$N$648,Export!J7451,FALSE),""),K7451)</f>
        <v/>
      </c>
      <c r="D7451" s="6"/>
      <c r="E7451" s="6"/>
      <c r="F7451" s="6"/>
      <c r="G7451" s="120" t="b">
        <f t="shared" ref="G7451:G7458" si="450">RP_tax</f>
        <v>1</v>
      </c>
      <c r="H7451" s="6" t="s">
        <v>2189</v>
      </c>
      <c r="I7451" t="s">
        <v>1561</v>
      </c>
      <c r="J7451" t="s">
        <v>1561</v>
      </c>
      <c r="L7451" s="26" t="e">
        <f t="shared" si="447"/>
        <v>#VALUE!</v>
      </c>
    </row>
    <row r="7452" spans="1:12" x14ac:dyDescent="0.35">
      <c r="A7452" s="9">
        <f t="shared" si="448"/>
        <v>7451</v>
      </c>
      <c r="B7452" t="s">
        <v>109</v>
      </c>
      <c r="C7452" s="109">
        <f>IF(ISBLANK(K7452),IFERROR(VLOOKUP(I7452,FS_input_data!$C$458:$N$648,Export!J7452,FALSE),""),K7452)</f>
        <v>13000</v>
      </c>
      <c r="D7452" s="6" t="b">
        <v>1</v>
      </c>
      <c r="E7452" s="6"/>
      <c r="F7452" s="6"/>
      <c r="G7452" s="120" t="b">
        <f t="shared" si="450"/>
        <v>1</v>
      </c>
      <c r="H7452" s="6" t="s">
        <v>2189</v>
      </c>
      <c r="I7452" t="s">
        <v>2122</v>
      </c>
      <c r="J7452">
        <v>10</v>
      </c>
      <c r="L7452" s="26" t="e">
        <f t="shared" si="447"/>
        <v>#VALUE!</v>
      </c>
    </row>
    <row r="7453" spans="1:12" x14ac:dyDescent="0.35">
      <c r="A7453">
        <f t="shared" si="448"/>
        <v>7452</v>
      </c>
      <c r="B7453" t="s">
        <v>110</v>
      </c>
      <c r="C7453" s="109" t="str">
        <f>IF(ISBLANK(K7453),IFERROR(VLOOKUP(I7453,FS_input_data!$C$458:$N$648,Export!J7453,FALSE),""),K7453)</f>
        <v/>
      </c>
      <c r="D7453" s="6"/>
      <c r="E7453" s="6"/>
      <c r="F7453" s="6"/>
      <c r="G7453" s="120" t="b">
        <f t="shared" si="450"/>
        <v>1</v>
      </c>
      <c r="H7453" s="6" t="s">
        <v>2189</v>
      </c>
      <c r="I7453" t="s">
        <v>1561</v>
      </c>
      <c r="J7453" t="s">
        <v>1561</v>
      </c>
      <c r="L7453">
        <f t="shared" si="447"/>
        <v>1</v>
      </c>
    </row>
    <row r="7454" spans="1:12" x14ac:dyDescent="0.35">
      <c r="A7454" s="9">
        <f t="shared" si="448"/>
        <v>7453</v>
      </c>
      <c r="B7454" t="s">
        <v>111</v>
      </c>
      <c r="C7454" s="109">
        <f>IF(ISBLANK(K7454),IFERROR(VLOOKUP(I7454,FS_input_data!$C$458:$N$648,Export!J7454,FALSE),""),K7454)</f>
        <v>6500</v>
      </c>
      <c r="D7454" s="6" t="b">
        <v>0</v>
      </c>
      <c r="E7454" s="6"/>
      <c r="F7454" s="6"/>
      <c r="G7454" s="120" t="b">
        <f t="shared" si="450"/>
        <v>1</v>
      </c>
      <c r="H7454" s="6" t="s">
        <v>2189</v>
      </c>
      <c r="I7454" t="s">
        <v>2122</v>
      </c>
      <c r="J7454">
        <v>11</v>
      </c>
      <c r="L7454" s="26" t="e">
        <f t="shared" si="447"/>
        <v>#VALUE!</v>
      </c>
    </row>
    <row r="7455" spans="1:12" x14ac:dyDescent="0.35">
      <c r="A7455">
        <f t="shared" si="448"/>
        <v>7454</v>
      </c>
      <c r="B7455" t="s">
        <v>112</v>
      </c>
      <c r="C7455" s="109" t="str">
        <f>IF(ISBLANK(K7455),IFERROR(VLOOKUP(I7455,FS_input_data!$C$458:$N$648,Export!J7455,FALSE),""),K7455)</f>
        <v/>
      </c>
      <c r="D7455" s="6"/>
      <c r="E7455" s="6"/>
      <c r="F7455" s="6"/>
      <c r="G7455" s="120" t="b">
        <f t="shared" si="450"/>
        <v>1</v>
      </c>
      <c r="H7455" s="6" t="s">
        <v>2189</v>
      </c>
      <c r="I7455" t="s">
        <v>1561</v>
      </c>
      <c r="J7455" t="s">
        <v>1561</v>
      </c>
      <c r="L7455">
        <f t="shared" si="447"/>
        <v>1</v>
      </c>
    </row>
    <row r="7456" spans="1:12" x14ac:dyDescent="0.35">
      <c r="A7456" s="9">
        <f t="shared" si="448"/>
        <v>7455</v>
      </c>
      <c r="B7456" t="s">
        <v>749</v>
      </c>
      <c r="C7456" s="109">
        <f>IF(ISBLANK(K7456),IFERROR(VLOOKUP(I7456,FS_input_data!$C$458:$N$648,Export!J7456,FALSE),""),K7456)</f>
        <v>6500</v>
      </c>
      <c r="D7456" s="6" t="b">
        <v>0</v>
      </c>
      <c r="E7456" s="6"/>
      <c r="F7456" s="6"/>
      <c r="G7456" s="120" t="b">
        <f t="shared" si="450"/>
        <v>1</v>
      </c>
      <c r="H7456" s="6" t="s">
        <v>2189</v>
      </c>
      <c r="I7456" t="s">
        <v>2122</v>
      </c>
      <c r="J7456">
        <v>12</v>
      </c>
      <c r="L7456" s="26" t="e">
        <f t="shared" si="447"/>
        <v>#VALUE!</v>
      </c>
    </row>
    <row r="7457" spans="1:12" x14ac:dyDescent="0.35">
      <c r="A7457">
        <f t="shared" si="448"/>
        <v>7456</v>
      </c>
      <c r="B7457" t="s">
        <v>750</v>
      </c>
      <c r="C7457" s="109" t="str">
        <f>IF(ISBLANK(K7457),IFERROR(VLOOKUP(I7457,FS_input_data!$C$458:$N$648,Export!J7457,FALSE),""),K7457)</f>
        <v/>
      </c>
      <c r="D7457" s="6"/>
      <c r="E7457" s="6"/>
      <c r="F7457" s="6"/>
      <c r="G7457" s="120" t="b">
        <f t="shared" si="450"/>
        <v>1</v>
      </c>
      <c r="H7457" s="6" t="s">
        <v>2189</v>
      </c>
      <c r="I7457" t="s">
        <v>1561</v>
      </c>
      <c r="J7457" t="s">
        <v>1561</v>
      </c>
      <c r="L7457">
        <f t="shared" si="447"/>
        <v>1</v>
      </c>
    </row>
    <row r="7458" spans="1:12" x14ac:dyDescent="0.35">
      <c r="A7458">
        <f t="shared" si="448"/>
        <v>7457</v>
      </c>
      <c r="B7458" t="s">
        <v>745</v>
      </c>
      <c r="C7458" s="109" t="str">
        <f>IF(ISBLANK(K7458),IFERROR(VLOOKUP(I7458,FS_input_data!$C$458:$N$648,Export!J7458,FALSE),""),K7458)</f>
        <v/>
      </c>
      <c r="D7458" s="6"/>
      <c r="E7458" s="6"/>
      <c r="F7458" s="6"/>
      <c r="G7458" s="120" t="b">
        <f t="shared" si="450"/>
        <v>1</v>
      </c>
      <c r="H7458" s="6" t="s">
        <v>2189</v>
      </c>
      <c r="I7458" t="s">
        <v>1561</v>
      </c>
      <c r="J7458" t="s">
        <v>1561</v>
      </c>
      <c r="L7458">
        <f t="shared" si="447"/>
        <v>1</v>
      </c>
    </row>
    <row r="7459" spans="1:12" x14ac:dyDescent="0.35">
      <c r="A7459">
        <f t="shared" si="448"/>
        <v>7458</v>
      </c>
      <c r="B7459" t="s">
        <v>764</v>
      </c>
      <c r="C7459" s="109" t="str">
        <f>IF(ISBLANK(K7459),IFERROR(VLOOKUP(I7459,FS_input_data!$C$458:$N$648,Export!J7459,FALSE),""),K7459)</f>
        <v/>
      </c>
      <c r="D7459" s="6"/>
      <c r="E7459" s="6"/>
      <c r="F7459" s="6"/>
      <c r="G7459" s="120" t="b">
        <f>VLOOKUP(I7440,FS_input_noty,J7440,FALSE)=""</f>
        <v>0</v>
      </c>
      <c r="H7459" s="6" t="s">
        <v>2189</v>
      </c>
      <c r="I7459" t="s">
        <v>1561</v>
      </c>
      <c r="J7459" t="s">
        <v>1561</v>
      </c>
      <c r="L7459">
        <f t="shared" si="447"/>
        <v>1</v>
      </c>
    </row>
    <row r="7460" spans="1:12" x14ac:dyDescent="0.35">
      <c r="A7460">
        <f t="shared" si="448"/>
        <v>7459</v>
      </c>
      <c r="B7460" t="s">
        <v>765</v>
      </c>
      <c r="C7460" s="109" t="str">
        <f>IF(ISBLANK(K7460),IFERROR(VLOOKUP(I7460,FS_input_data!$C$458:$N$648,Export!J7460,FALSE),""),K7460)</f>
        <v/>
      </c>
      <c r="D7460" s="6"/>
      <c r="E7460" s="6"/>
      <c r="F7460" s="6"/>
      <c r="G7460" s="120" t="b">
        <f>VLOOKUP(I7440,FS_input_noty,J7440,FALSE)=""</f>
        <v>0</v>
      </c>
      <c r="H7460" s="6" t="s">
        <v>2189</v>
      </c>
      <c r="I7460" t="s">
        <v>1561</v>
      </c>
      <c r="J7460" t="s">
        <v>1561</v>
      </c>
      <c r="L7460">
        <f t="shared" si="447"/>
        <v>1</v>
      </c>
    </row>
    <row r="7461" spans="1:12" x14ac:dyDescent="0.35">
      <c r="A7461">
        <f t="shared" si="448"/>
        <v>7460</v>
      </c>
      <c r="B7461" t="s">
        <v>752</v>
      </c>
      <c r="C7461" s="109" t="str">
        <f>IF(ISBLANK(K7461),IFERROR(VLOOKUP(I7461,FS_input_data!$C$458:$N$648,Export!J7461,FALSE),""),K7461)</f>
        <v/>
      </c>
      <c r="D7461" s="6"/>
      <c r="E7461" s="6"/>
      <c r="F7461" s="6"/>
      <c r="G7461" s="120" t="b">
        <f>VLOOKUP(I7462,FS_input_noty,J7462,FALSE)=""</f>
        <v>0</v>
      </c>
      <c r="H7461" s="6" t="s">
        <v>2189</v>
      </c>
      <c r="I7461" t="s">
        <v>1561</v>
      </c>
      <c r="J7461" t="s">
        <v>1561</v>
      </c>
      <c r="L7461" s="26" t="e">
        <f t="shared" si="447"/>
        <v>#VALUE!</v>
      </c>
    </row>
    <row r="7462" spans="1:12" x14ac:dyDescent="0.35">
      <c r="A7462" s="9">
        <f t="shared" si="448"/>
        <v>7461</v>
      </c>
      <c r="B7462" t="s">
        <v>101</v>
      </c>
      <c r="C7462" s="109" t="str">
        <f>IF(ISBLANK(K7462),IFERROR(VLOOKUP(I7462,FS_input_data!$C$458:$N$648,Export!J7462,FALSE),""),K7462)</f>
        <v>OC135</v>
      </c>
      <c r="D7462" s="6" t="b">
        <v>1</v>
      </c>
      <c r="E7462" s="6"/>
      <c r="F7462" s="6"/>
      <c r="G7462" s="120" t="b">
        <f>VLOOKUP(I7462,FS_input_noty,J7462,FALSE)=""</f>
        <v>0</v>
      </c>
      <c r="H7462" s="6" t="s">
        <v>2189</v>
      </c>
      <c r="I7462" t="s">
        <v>2124</v>
      </c>
      <c r="J7462">
        <v>6</v>
      </c>
      <c r="L7462" s="26" t="e">
        <f t="shared" si="447"/>
        <v>#VALUE!</v>
      </c>
    </row>
    <row r="7463" spans="1:12" x14ac:dyDescent="0.35">
      <c r="A7463">
        <f t="shared" si="448"/>
        <v>7462</v>
      </c>
      <c r="B7463" t="s">
        <v>102</v>
      </c>
      <c r="C7463" s="109" t="str">
        <f>IF(ISBLANK(K7463),IFERROR(VLOOKUP(I7463,FS_input_data!$C$458:$N$648,Export!J7463,FALSE),""),K7463)</f>
        <v/>
      </c>
      <c r="D7463" s="6"/>
      <c r="E7463" s="6"/>
      <c r="F7463" s="6"/>
      <c r="G7463" s="120" t="b">
        <f>VLOOKUP(I7462,FS_input_noty,J7462,FALSE)=""</f>
        <v>0</v>
      </c>
      <c r="H7463" s="6" t="s">
        <v>2189</v>
      </c>
      <c r="I7463" t="s">
        <v>1561</v>
      </c>
      <c r="J7463" t="s">
        <v>1561</v>
      </c>
      <c r="L7463">
        <f t="shared" si="447"/>
        <v>1</v>
      </c>
    </row>
    <row r="7464" spans="1:12" x14ac:dyDescent="0.35">
      <c r="A7464">
        <f t="shared" si="448"/>
        <v>7463</v>
      </c>
      <c r="B7464" t="s">
        <v>753</v>
      </c>
      <c r="C7464" s="109" t="str">
        <f>IF(ISBLANK(K7464),IFERROR(VLOOKUP(I7464,FS_input_data!$C$458:$N$648,Export!J7464,FALSE),""),K7464)</f>
        <v/>
      </c>
      <c r="D7464" s="6"/>
      <c r="E7464" s="6"/>
      <c r="F7464" s="6"/>
      <c r="G7464" s="120" t="b">
        <f>VLOOKUP(I7462,FS_input_noty,J7462,FALSE)=""</f>
        <v>0</v>
      </c>
      <c r="H7464" s="6" t="s">
        <v>2189</v>
      </c>
      <c r="I7464" t="s">
        <v>1561</v>
      </c>
      <c r="J7464" t="s">
        <v>1561</v>
      </c>
      <c r="L7464" s="26" t="e">
        <f t="shared" si="447"/>
        <v>#VALUE!</v>
      </c>
    </row>
    <row r="7465" spans="1:12" x14ac:dyDescent="0.35">
      <c r="A7465">
        <f t="shared" si="448"/>
        <v>7464</v>
      </c>
      <c r="B7465" t="s">
        <v>742</v>
      </c>
      <c r="C7465" s="109" t="str">
        <f>IF(ISBLANK(K7465),IFERROR(VLOOKUP(I7465,FS_input_data!$C$458:$N$648,Export!J7465,FALSE),""),K7465)</f>
        <v/>
      </c>
      <c r="D7465" s="6"/>
      <c r="E7465" s="6"/>
      <c r="F7465" s="6"/>
      <c r="G7465" s="120" t="b">
        <f>VLOOKUP(I7462,FS_input_noty,J7462,FALSE)=""</f>
        <v>0</v>
      </c>
      <c r="H7465" s="6" t="s">
        <v>2189</v>
      </c>
      <c r="I7465" t="s">
        <v>1561</v>
      </c>
      <c r="J7465" t="s">
        <v>1561</v>
      </c>
      <c r="L7465" s="26" t="e">
        <f t="shared" si="447"/>
        <v>#VALUE!</v>
      </c>
    </row>
    <row r="7466" spans="1:12" x14ac:dyDescent="0.35">
      <c r="A7466" s="9">
        <f t="shared" si="448"/>
        <v>7465</v>
      </c>
      <c r="B7466" t="s">
        <v>109</v>
      </c>
      <c r="C7466" s="109">
        <f>IF(ISBLANK(K7466),IFERROR(VLOOKUP(I7466,FS_input_data!$C$458:$N$648,Export!J7466,FALSE),""),K7466)</f>
        <v>14000</v>
      </c>
      <c r="D7466" s="6" t="b">
        <v>1</v>
      </c>
      <c r="E7466" s="6"/>
      <c r="F7466" s="6"/>
      <c r="G7466" s="120" t="b">
        <f>VLOOKUP(I7462,FS_input_noty,J7462,FALSE)=""</f>
        <v>0</v>
      </c>
      <c r="H7466" s="6" t="s">
        <v>2189</v>
      </c>
      <c r="I7466" t="s">
        <v>2124</v>
      </c>
      <c r="J7466">
        <v>7</v>
      </c>
      <c r="L7466" s="26" t="e">
        <f t="shared" si="447"/>
        <v>#VALUE!</v>
      </c>
    </row>
    <row r="7467" spans="1:12" x14ac:dyDescent="0.35">
      <c r="A7467">
        <f t="shared" si="448"/>
        <v>7466</v>
      </c>
      <c r="B7467" t="s">
        <v>110</v>
      </c>
      <c r="C7467" s="109" t="str">
        <f>IF(ISBLANK(K7467),IFERROR(VLOOKUP(I7467,FS_input_data!$C$458:$N$648,Export!J7467,FALSE),""),K7467)</f>
        <v/>
      </c>
      <c r="D7467" s="6"/>
      <c r="E7467" s="6"/>
      <c r="F7467" s="6"/>
      <c r="G7467" s="120" t="b">
        <f>VLOOKUP(I7462,FS_input_noty,J7462,FALSE)=""</f>
        <v>0</v>
      </c>
      <c r="H7467" s="6" t="s">
        <v>2189</v>
      </c>
      <c r="I7467" t="s">
        <v>1561</v>
      </c>
      <c r="J7467" t="s">
        <v>1561</v>
      </c>
      <c r="L7467">
        <f t="shared" si="447"/>
        <v>1</v>
      </c>
    </row>
    <row r="7468" spans="1:12" x14ac:dyDescent="0.35">
      <c r="A7468" s="9">
        <f t="shared" si="448"/>
        <v>7467</v>
      </c>
      <c r="B7468" t="s">
        <v>111</v>
      </c>
      <c r="C7468" s="109">
        <f>IF(ISBLANK(K7468),IFERROR(VLOOKUP(I7468,FS_input_data!$C$458:$N$648,Export!J7468,FALSE),""),K7468)</f>
        <v>7000</v>
      </c>
      <c r="D7468" s="6" t="b">
        <v>0</v>
      </c>
      <c r="E7468" s="6"/>
      <c r="F7468" s="6"/>
      <c r="G7468" s="120" t="b">
        <f>VLOOKUP(I7462,FS_input_noty,J7462,FALSE)=""</f>
        <v>0</v>
      </c>
      <c r="H7468" s="6" t="s">
        <v>2189</v>
      </c>
      <c r="I7468" t="s">
        <v>2124</v>
      </c>
      <c r="J7468">
        <v>8</v>
      </c>
      <c r="L7468" s="26" t="e">
        <f t="shared" si="447"/>
        <v>#VALUE!</v>
      </c>
    </row>
    <row r="7469" spans="1:12" x14ac:dyDescent="0.35">
      <c r="A7469">
        <f t="shared" si="448"/>
        <v>7468</v>
      </c>
      <c r="B7469" t="s">
        <v>112</v>
      </c>
      <c r="C7469" s="109" t="str">
        <f>IF(ISBLANK(K7469),IFERROR(VLOOKUP(I7469,FS_input_data!$C$458:$N$648,Export!J7469,FALSE),""),K7469)</f>
        <v/>
      </c>
      <c r="D7469" s="6"/>
      <c r="E7469" s="6"/>
      <c r="F7469" s="6"/>
      <c r="G7469" s="120" t="b">
        <f>VLOOKUP(I7462,FS_input_noty,J7462,FALSE)=""</f>
        <v>0</v>
      </c>
      <c r="H7469" s="6" t="s">
        <v>2189</v>
      </c>
      <c r="I7469" t="s">
        <v>1561</v>
      </c>
      <c r="J7469" t="s">
        <v>1561</v>
      </c>
      <c r="L7469">
        <f t="shared" si="447"/>
        <v>1</v>
      </c>
    </row>
    <row r="7470" spans="1:12" x14ac:dyDescent="0.35">
      <c r="A7470" s="9">
        <f t="shared" si="448"/>
        <v>7469</v>
      </c>
      <c r="B7470" t="s">
        <v>749</v>
      </c>
      <c r="C7470" s="109">
        <f>IF(ISBLANK(K7470),IFERROR(VLOOKUP(I7470,FS_input_data!$C$458:$N$648,Export!J7470,FALSE),""),K7470)</f>
        <v>7000</v>
      </c>
      <c r="D7470" s="6" t="b">
        <v>0</v>
      </c>
      <c r="E7470" s="6"/>
      <c r="F7470" s="6"/>
      <c r="G7470" s="120" t="b">
        <f>VLOOKUP(I7462,FS_input_noty,J7462,FALSE)=""</f>
        <v>0</v>
      </c>
      <c r="H7470" s="6" t="s">
        <v>2189</v>
      </c>
      <c r="I7470" t="s">
        <v>2124</v>
      </c>
      <c r="J7470">
        <v>9</v>
      </c>
      <c r="L7470" s="26" t="e">
        <f t="shared" si="447"/>
        <v>#VALUE!</v>
      </c>
    </row>
    <row r="7471" spans="1:12" x14ac:dyDescent="0.35">
      <c r="A7471">
        <f t="shared" si="448"/>
        <v>7470</v>
      </c>
      <c r="B7471" t="s">
        <v>750</v>
      </c>
      <c r="C7471" s="109" t="str">
        <f>IF(ISBLANK(K7471),IFERROR(VLOOKUP(I7471,FS_input_data!$C$458:$N$648,Export!J7471,FALSE),""),K7471)</f>
        <v/>
      </c>
      <c r="D7471" s="6"/>
      <c r="E7471" s="6"/>
      <c r="F7471" s="6"/>
      <c r="G7471" s="120" t="b">
        <f>VLOOKUP(I7462,FS_input_noty,J7462,FALSE)=""</f>
        <v>0</v>
      </c>
      <c r="H7471" s="6" t="s">
        <v>2189</v>
      </c>
      <c r="I7471" t="s">
        <v>1561</v>
      </c>
      <c r="J7471" t="s">
        <v>1561</v>
      </c>
      <c r="L7471">
        <f t="shared" si="447"/>
        <v>1</v>
      </c>
    </row>
    <row r="7472" spans="1:12" x14ac:dyDescent="0.35">
      <c r="A7472">
        <f t="shared" si="448"/>
        <v>7471</v>
      </c>
      <c r="B7472" t="s">
        <v>743</v>
      </c>
      <c r="C7472" s="109" t="str">
        <f>IF(ISBLANK(K7472),IFERROR(VLOOKUP(I7472,FS_input_data!$C$458:$N$648,Export!J7472,FALSE),""),K7472)</f>
        <v/>
      </c>
      <c r="D7472" s="6"/>
      <c r="E7472" s="6"/>
      <c r="F7472" s="6"/>
      <c r="G7472" s="120" t="b">
        <f>VLOOKUP(I7462,FS_input_noty,J7462,FALSE)=""</f>
        <v>0</v>
      </c>
      <c r="H7472" s="6" t="s">
        <v>2189</v>
      </c>
      <c r="I7472" t="s">
        <v>1561</v>
      </c>
      <c r="J7472" t="s">
        <v>1561</v>
      </c>
      <c r="L7472">
        <f t="shared" si="447"/>
        <v>1</v>
      </c>
    </row>
    <row r="7473" spans="1:12" x14ac:dyDescent="0.35">
      <c r="A7473">
        <f t="shared" si="448"/>
        <v>7472</v>
      </c>
      <c r="B7473" t="s">
        <v>744</v>
      </c>
      <c r="C7473" s="109" t="str">
        <f>IF(ISBLANK(K7473),IFERROR(VLOOKUP(I7473,FS_input_data!$C$458:$N$648,Export!J7473,FALSE),""),K7473)</f>
        <v/>
      </c>
      <c r="D7473" s="6"/>
      <c r="E7473" s="6"/>
      <c r="F7473" s="6"/>
      <c r="G7473" s="120" t="b">
        <f t="shared" ref="G7473:G7480" si="451">RP_tax</f>
        <v>1</v>
      </c>
      <c r="H7473" s="6" t="s">
        <v>2189</v>
      </c>
      <c r="I7473" t="s">
        <v>1561</v>
      </c>
      <c r="J7473" t="s">
        <v>1561</v>
      </c>
      <c r="L7473" s="26" t="e">
        <f t="shared" si="447"/>
        <v>#VALUE!</v>
      </c>
    </row>
    <row r="7474" spans="1:12" x14ac:dyDescent="0.35">
      <c r="A7474" s="9">
        <f t="shared" si="448"/>
        <v>7473</v>
      </c>
      <c r="B7474" t="s">
        <v>109</v>
      </c>
      <c r="C7474" s="109">
        <f>IF(ISBLANK(K7474),IFERROR(VLOOKUP(I7474,FS_input_data!$C$458:$N$648,Export!J7474,FALSE),""),K7474)</f>
        <v>14000</v>
      </c>
      <c r="D7474" s="6" t="b">
        <v>1</v>
      </c>
      <c r="E7474" s="6"/>
      <c r="F7474" s="6"/>
      <c r="G7474" s="120" t="b">
        <f t="shared" si="451"/>
        <v>1</v>
      </c>
      <c r="H7474" s="6" t="s">
        <v>2189</v>
      </c>
      <c r="I7474" t="s">
        <v>2124</v>
      </c>
      <c r="J7474">
        <v>10</v>
      </c>
      <c r="L7474" s="26" t="e">
        <f t="shared" si="447"/>
        <v>#VALUE!</v>
      </c>
    </row>
    <row r="7475" spans="1:12" x14ac:dyDescent="0.35">
      <c r="A7475">
        <f t="shared" si="448"/>
        <v>7474</v>
      </c>
      <c r="B7475" t="s">
        <v>110</v>
      </c>
      <c r="C7475" s="109" t="str">
        <f>IF(ISBLANK(K7475),IFERROR(VLOOKUP(I7475,FS_input_data!$C$458:$N$648,Export!J7475,FALSE),""),K7475)</f>
        <v/>
      </c>
      <c r="D7475" s="6"/>
      <c r="E7475" s="6"/>
      <c r="F7475" s="6"/>
      <c r="G7475" s="120" t="b">
        <f t="shared" si="451"/>
        <v>1</v>
      </c>
      <c r="H7475" s="6" t="s">
        <v>2189</v>
      </c>
      <c r="I7475" t="s">
        <v>1561</v>
      </c>
      <c r="J7475" t="s">
        <v>1561</v>
      </c>
      <c r="L7475">
        <f t="shared" si="447"/>
        <v>1</v>
      </c>
    </row>
    <row r="7476" spans="1:12" x14ac:dyDescent="0.35">
      <c r="A7476" s="9">
        <f t="shared" si="448"/>
        <v>7475</v>
      </c>
      <c r="B7476" t="s">
        <v>111</v>
      </c>
      <c r="C7476" s="109">
        <f>IF(ISBLANK(K7476),IFERROR(VLOOKUP(I7476,FS_input_data!$C$458:$N$648,Export!J7476,FALSE),""),K7476)</f>
        <v>7000</v>
      </c>
      <c r="D7476" s="6" t="b">
        <v>0</v>
      </c>
      <c r="E7476" s="6"/>
      <c r="F7476" s="6"/>
      <c r="G7476" s="120" t="b">
        <f t="shared" si="451"/>
        <v>1</v>
      </c>
      <c r="H7476" s="6" t="s">
        <v>2189</v>
      </c>
      <c r="I7476" t="s">
        <v>2124</v>
      </c>
      <c r="J7476">
        <v>11</v>
      </c>
      <c r="L7476" s="26" t="e">
        <f t="shared" si="447"/>
        <v>#VALUE!</v>
      </c>
    </row>
    <row r="7477" spans="1:12" x14ac:dyDescent="0.35">
      <c r="A7477">
        <f t="shared" si="448"/>
        <v>7476</v>
      </c>
      <c r="B7477" t="s">
        <v>112</v>
      </c>
      <c r="C7477" s="109" t="str">
        <f>IF(ISBLANK(K7477),IFERROR(VLOOKUP(I7477,FS_input_data!$C$458:$N$648,Export!J7477,FALSE),""),K7477)</f>
        <v/>
      </c>
      <c r="D7477" s="6"/>
      <c r="E7477" s="6"/>
      <c r="F7477" s="6"/>
      <c r="G7477" s="120" t="b">
        <f t="shared" si="451"/>
        <v>1</v>
      </c>
      <c r="H7477" s="6" t="s">
        <v>2189</v>
      </c>
      <c r="I7477" t="s">
        <v>1561</v>
      </c>
      <c r="J7477" t="s">
        <v>1561</v>
      </c>
      <c r="L7477">
        <f t="shared" si="447"/>
        <v>1</v>
      </c>
    </row>
    <row r="7478" spans="1:12" x14ac:dyDescent="0.35">
      <c r="A7478" s="9">
        <f t="shared" si="448"/>
        <v>7477</v>
      </c>
      <c r="B7478" t="s">
        <v>749</v>
      </c>
      <c r="C7478" s="109">
        <f>IF(ISBLANK(K7478),IFERROR(VLOOKUP(I7478,FS_input_data!$C$458:$N$648,Export!J7478,FALSE),""),K7478)</f>
        <v>7000</v>
      </c>
      <c r="D7478" s="6" t="b">
        <v>0</v>
      </c>
      <c r="E7478" s="6"/>
      <c r="F7478" s="6"/>
      <c r="G7478" s="120" t="b">
        <f t="shared" si="451"/>
        <v>1</v>
      </c>
      <c r="H7478" s="6" t="s">
        <v>2189</v>
      </c>
      <c r="I7478" t="s">
        <v>2124</v>
      </c>
      <c r="J7478">
        <v>12</v>
      </c>
      <c r="L7478" s="26" t="e">
        <f t="shared" si="447"/>
        <v>#VALUE!</v>
      </c>
    </row>
    <row r="7479" spans="1:12" x14ac:dyDescent="0.35">
      <c r="A7479">
        <f t="shared" si="448"/>
        <v>7478</v>
      </c>
      <c r="B7479" t="s">
        <v>750</v>
      </c>
      <c r="C7479" s="109" t="str">
        <f>IF(ISBLANK(K7479),IFERROR(VLOOKUP(I7479,FS_input_data!$C$458:$N$648,Export!J7479,FALSE),""),K7479)</f>
        <v/>
      </c>
      <c r="D7479" s="6"/>
      <c r="E7479" s="6"/>
      <c r="F7479" s="6"/>
      <c r="G7479" s="120" t="b">
        <f t="shared" si="451"/>
        <v>1</v>
      </c>
      <c r="H7479" s="6" t="s">
        <v>2189</v>
      </c>
      <c r="I7479" t="s">
        <v>1561</v>
      </c>
      <c r="J7479" t="s">
        <v>1561</v>
      </c>
      <c r="L7479">
        <f t="shared" si="447"/>
        <v>1</v>
      </c>
    </row>
    <row r="7480" spans="1:12" x14ac:dyDescent="0.35">
      <c r="A7480">
        <f t="shared" si="448"/>
        <v>7479</v>
      </c>
      <c r="B7480" t="s">
        <v>745</v>
      </c>
      <c r="C7480" s="109" t="str">
        <f>IF(ISBLANK(K7480),IFERROR(VLOOKUP(I7480,FS_input_data!$C$458:$N$648,Export!J7480,FALSE),""),K7480)</f>
        <v/>
      </c>
      <c r="D7480" s="6"/>
      <c r="E7480" s="6"/>
      <c r="F7480" s="6"/>
      <c r="G7480" s="120" t="b">
        <f t="shared" si="451"/>
        <v>1</v>
      </c>
      <c r="H7480" s="6" t="s">
        <v>2189</v>
      </c>
      <c r="I7480" t="s">
        <v>1561</v>
      </c>
      <c r="J7480" t="s">
        <v>1561</v>
      </c>
      <c r="L7480">
        <f t="shared" si="447"/>
        <v>1</v>
      </c>
    </row>
    <row r="7481" spans="1:12" x14ac:dyDescent="0.35">
      <c r="A7481">
        <f t="shared" si="448"/>
        <v>7480</v>
      </c>
      <c r="B7481" t="s">
        <v>764</v>
      </c>
      <c r="C7481" s="109" t="str">
        <f>IF(ISBLANK(K7481),IFERROR(VLOOKUP(I7481,FS_input_data!$C$458:$N$648,Export!J7481,FALSE),""),K7481)</f>
        <v/>
      </c>
      <c r="D7481" s="6"/>
      <c r="E7481" s="6"/>
      <c r="F7481" s="6"/>
      <c r="G7481" s="120" t="b">
        <f>VLOOKUP(I7462,FS_input_noty,J7462,FALSE)=""</f>
        <v>0</v>
      </c>
      <c r="H7481" s="6" t="s">
        <v>2189</v>
      </c>
      <c r="I7481" t="s">
        <v>1561</v>
      </c>
      <c r="J7481" t="s">
        <v>1561</v>
      </c>
      <c r="L7481">
        <f t="shared" si="447"/>
        <v>1</v>
      </c>
    </row>
    <row r="7482" spans="1:12" x14ac:dyDescent="0.35">
      <c r="A7482">
        <f t="shared" si="448"/>
        <v>7481</v>
      </c>
      <c r="B7482" t="s">
        <v>765</v>
      </c>
      <c r="C7482" s="109" t="str">
        <f>IF(ISBLANK(K7482),IFERROR(VLOOKUP(I7482,FS_input_data!$C$458:$N$648,Export!J7482,FALSE),""),K7482)</f>
        <v/>
      </c>
      <c r="D7482" s="6"/>
      <c r="E7482" s="6"/>
      <c r="F7482" s="6"/>
      <c r="G7482" s="120" t="b">
        <f>VLOOKUP(I7462,FS_input_noty,J7462,FALSE)=""</f>
        <v>0</v>
      </c>
      <c r="H7482" s="6" t="s">
        <v>2189</v>
      </c>
      <c r="I7482" t="s">
        <v>1561</v>
      </c>
      <c r="J7482" t="s">
        <v>1561</v>
      </c>
      <c r="L7482">
        <f t="shared" si="447"/>
        <v>1</v>
      </c>
    </row>
    <row r="7483" spans="1:12" x14ac:dyDescent="0.35">
      <c r="A7483">
        <f t="shared" si="448"/>
        <v>7482</v>
      </c>
      <c r="B7483" t="s">
        <v>752</v>
      </c>
      <c r="C7483" s="109" t="str">
        <f>IF(ISBLANK(K7483),IFERROR(VLOOKUP(I7483,FS_input_data!$C$458:$N$648,Export!J7483,FALSE),""),K7483)</f>
        <v/>
      </c>
      <c r="D7483" s="6"/>
      <c r="E7483" s="6"/>
      <c r="F7483" s="6"/>
      <c r="G7483" s="120" t="b">
        <f>VLOOKUP(I7484,FS_input_noty,J7484,FALSE)=""</f>
        <v>0</v>
      </c>
      <c r="H7483" s="6" t="s">
        <v>2189</v>
      </c>
      <c r="I7483" t="s">
        <v>1561</v>
      </c>
      <c r="J7483" t="s">
        <v>1561</v>
      </c>
      <c r="L7483" s="26" t="e">
        <f t="shared" si="447"/>
        <v>#VALUE!</v>
      </c>
    </row>
    <row r="7484" spans="1:12" x14ac:dyDescent="0.35">
      <c r="A7484" s="9">
        <f t="shared" si="448"/>
        <v>7483</v>
      </c>
      <c r="B7484" t="s">
        <v>101</v>
      </c>
      <c r="C7484" s="109" t="str">
        <f>IF(ISBLANK(K7484),IFERROR(VLOOKUP(I7484,FS_input_data!$C$458:$N$648,Export!J7484,FALSE),""),K7484)</f>
        <v>OC136</v>
      </c>
      <c r="D7484" s="6" t="b">
        <v>1</v>
      </c>
      <c r="E7484" s="6"/>
      <c r="F7484" s="6"/>
      <c r="G7484" s="120" t="b">
        <f>VLOOKUP(I7484,FS_input_noty,J7484,FALSE)=""</f>
        <v>0</v>
      </c>
      <c r="H7484" s="6" t="s">
        <v>2189</v>
      </c>
      <c r="I7484" t="s">
        <v>2126</v>
      </c>
      <c r="J7484">
        <v>6</v>
      </c>
      <c r="L7484" s="26" t="e">
        <f t="shared" si="447"/>
        <v>#VALUE!</v>
      </c>
    </row>
    <row r="7485" spans="1:12" x14ac:dyDescent="0.35">
      <c r="A7485">
        <f t="shared" si="448"/>
        <v>7484</v>
      </c>
      <c r="B7485" t="s">
        <v>102</v>
      </c>
      <c r="C7485" s="109" t="str">
        <f>IF(ISBLANK(K7485),IFERROR(VLOOKUP(I7485,FS_input_data!$C$458:$N$648,Export!J7485,FALSE),""),K7485)</f>
        <v/>
      </c>
      <c r="D7485" s="6"/>
      <c r="E7485" s="6"/>
      <c r="F7485" s="6"/>
      <c r="G7485" s="120" t="b">
        <f>VLOOKUP(I7484,FS_input_noty,J7484,FALSE)=""</f>
        <v>0</v>
      </c>
      <c r="H7485" s="6" t="s">
        <v>2189</v>
      </c>
      <c r="I7485" t="s">
        <v>1561</v>
      </c>
      <c r="J7485" t="s">
        <v>1561</v>
      </c>
      <c r="L7485">
        <f t="shared" si="447"/>
        <v>1</v>
      </c>
    </row>
    <row r="7486" spans="1:12" x14ac:dyDescent="0.35">
      <c r="A7486">
        <f t="shared" si="448"/>
        <v>7485</v>
      </c>
      <c r="B7486" t="s">
        <v>753</v>
      </c>
      <c r="C7486" s="109" t="str">
        <f>IF(ISBLANK(K7486),IFERROR(VLOOKUP(I7486,FS_input_data!$C$458:$N$648,Export!J7486,FALSE),""),K7486)</f>
        <v/>
      </c>
      <c r="D7486" s="6"/>
      <c r="E7486" s="6"/>
      <c r="F7486" s="6"/>
      <c r="G7486" s="120" t="b">
        <f>VLOOKUP(I7484,FS_input_noty,J7484,FALSE)=""</f>
        <v>0</v>
      </c>
      <c r="H7486" s="6" t="s">
        <v>2189</v>
      </c>
      <c r="I7486" t="s">
        <v>1561</v>
      </c>
      <c r="J7486" t="s">
        <v>1561</v>
      </c>
      <c r="L7486" s="26" t="e">
        <f t="shared" si="447"/>
        <v>#VALUE!</v>
      </c>
    </row>
    <row r="7487" spans="1:12" x14ac:dyDescent="0.35">
      <c r="A7487">
        <f t="shared" si="448"/>
        <v>7486</v>
      </c>
      <c r="B7487" t="s">
        <v>742</v>
      </c>
      <c r="C7487" s="109" t="str">
        <f>IF(ISBLANK(K7487),IFERROR(VLOOKUP(I7487,FS_input_data!$C$458:$N$648,Export!J7487,FALSE),""),K7487)</f>
        <v/>
      </c>
      <c r="D7487" s="6"/>
      <c r="E7487" s="6"/>
      <c r="F7487" s="6"/>
      <c r="G7487" s="120" t="b">
        <f>VLOOKUP(I7484,FS_input_noty,J7484,FALSE)=""</f>
        <v>0</v>
      </c>
      <c r="H7487" s="6" t="s">
        <v>2189</v>
      </c>
      <c r="I7487" t="s">
        <v>1561</v>
      </c>
      <c r="J7487" t="s">
        <v>1561</v>
      </c>
      <c r="L7487" s="26" t="e">
        <f t="shared" si="447"/>
        <v>#VALUE!</v>
      </c>
    </row>
    <row r="7488" spans="1:12" x14ac:dyDescent="0.35">
      <c r="A7488" s="9">
        <f t="shared" si="448"/>
        <v>7487</v>
      </c>
      <c r="B7488" t="s">
        <v>109</v>
      </c>
      <c r="C7488" s="109">
        <f>IF(ISBLANK(K7488),IFERROR(VLOOKUP(I7488,FS_input_data!$C$458:$N$648,Export!J7488,FALSE),""),K7488)</f>
        <v>15000</v>
      </c>
      <c r="D7488" s="6" t="b">
        <v>1</v>
      </c>
      <c r="E7488" s="6"/>
      <c r="F7488" s="6"/>
      <c r="G7488" s="120" t="b">
        <f>VLOOKUP(I7484,FS_input_noty,J7484,FALSE)=""</f>
        <v>0</v>
      </c>
      <c r="H7488" s="6" t="s">
        <v>2189</v>
      </c>
      <c r="I7488" t="s">
        <v>2126</v>
      </c>
      <c r="J7488">
        <v>7</v>
      </c>
      <c r="L7488" s="26" t="e">
        <f t="shared" si="447"/>
        <v>#VALUE!</v>
      </c>
    </row>
    <row r="7489" spans="1:12" x14ac:dyDescent="0.35">
      <c r="A7489">
        <f t="shared" si="448"/>
        <v>7488</v>
      </c>
      <c r="B7489" t="s">
        <v>110</v>
      </c>
      <c r="C7489" s="109" t="str">
        <f>IF(ISBLANK(K7489),IFERROR(VLOOKUP(I7489,FS_input_data!$C$458:$N$648,Export!J7489,FALSE),""),K7489)</f>
        <v/>
      </c>
      <c r="D7489" s="6"/>
      <c r="E7489" s="6"/>
      <c r="F7489" s="6"/>
      <c r="G7489" s="120" t="b">
        <f>VLOOKUP(I7484,FS_input_noty,J7484,FALSE)=""</f>
        <v>0</v>
      </c>
      <c r="H7489" s="6" t="s">
        <v>2189</v>
      </c>
      <c r="I7489" t="s">
        <v>1561</v>
      </c>
      <c r="J7489" t="s">
        <v>1561</v>
      </c>
      <c r="L7489">
        <f t="shared" si="447"/>
        <v>1</v>
      </c>
    </row>
    <row r="7490" spans="1:12" x14ac:dyDescent="0.35">
      <c r="A7490" s="9">
        <f t="shared" si="448"/>
        <v>7489</v>
      </c>
      <c r="B7490" t="s">
        <v>111</v>
      </c>
      <c r="C7490" s="109">
        <f>IF(ISBLANK(K7490),IFERROR(VLOOKUP(I7490,FS_input_data!$C$458:$N$648,Export!J7490,FALSE),""),K7490)</f>
        <v>7500</v>
      </c>
      <c r="D7490" s="6" t="b">
        <v>0</v>
      </c>
      <c r="E7490" s="6"/>
      <c r="F7490" s="6"/>
      <c r="G7490" s="120" t="b">
        <f>VLOOKUP(I7484,FS_input_noty,J7484,FALSE)=""</f>
        <v>0</v>
      </c>
      <c r="H7490" s="6" t="s">
        <v>2189</v>
      </c>
      <c r="I7490" t="s">
        <v>2126</v>
      </c>
      <c r="J7490">
        <v>8</v>
      </c>
      <c r="L7490" s="26" t="e">
        <f t="shared" ref="L7490:L7553" si="452">FIND("/",B7490)</f>
        <v>#VALUE!</v>
      </c>
    </row>
    <row r="7491" spans="1:12" x14ac:dyDescent="0.35">
      <c r="A7491">
        <f t="shared" ref="A7491:A7554" si="453">A7490+1</f>
        <v>7490</v>
      </c>
      <c r="B7491" t="s">
        <v>112</v>
      </c>
      <c r="C7491" s="109" t="str">
        <f>IF(ISBLANK(K7491),IFERROR(VLOOKUP(I7491,FS_input_data!$C$458:$N$648,Export!J7491,FALSE),""),K7491)</f>
        <v/>
      </c>
      <c r="D7491" s="6"/>
      <c r="E7491" s="6"/>
      <c r="F7491" s="6"/>
      <c r="G7491" s="120" t="b">
        <f>VLOOKUP(I7484,FS_input_noty,J7484,FALSE)=""</f>
        <v>0</v>
      </c>
      <c r="H7491" s="6" t="s">
        <v>2189</v>
      </c>
      <c r="I7491" t="s">
        <v>1561</v>
      </c>
      <c r="J7491" t="s">
        <v>1561</v>
      </c>
      <c r="L7491">
        <f t="shared" si="452"/>
        <v>1</v>
      </c>
    </row>
    <row r="7492" spans="1:12" x14ac:dyDescent="0.35">
      <c r="A7492" s="9">
        <f t="shared" si="453"/>
        <v>7491</v>
      </c>
      <c r="B7492" t="s">
        <v>749</v>
      </c>
      <c r="C7492" s="109">
        <f>IF(ISBLANK(K7492),IFERROR(VLOOKUP(I7492,FS_input_data!$C$458:$N$648,Export!J7492,FALSE),""),K7492)</f>
        <v>7500</v>
      </c>
      <c r="D7492" s="6" t="b">
        <v>0</v>
      </c>
      <c r="E7492" s="6"/>
      <c r="F7492" s="6"/>
      <c r="G7492" s="120" t="b">
        <f>VLOOKUP(I7484,FS_input_noty,J7484,FALSE)=""</f>
        <v>0</v>
      </c>
      <c r="H7492" s="6" t="s">
        <v>2189</v>
      </c>
      <c r="I7492" t="s">
        <v>2126</v>
      </c>
      <c r="J7492">
        <v>9</v>
      </c>
      <c r="L7492" s="26" t="e">
        <f t="shared" si="452"/>
        <v>#VALUE!</v>
      </c>
    </row>
    <row r="7493" spans="1:12" x14ac:dyDescent="0.35">
      <c r="A7493">
        <f t="shared" si="453"/>
        <v>7492</v>
      </c>
      <c r="B7493" t="s">
        <v>750</v>
      </c>
      <c r="C7493" s="109" t="str">
        <f>IF(ISBLANK(K7493),IFERROR(VLOOKUP(I7493,FS_input_data!$C$458:$N$648,Export!J7493,FALSE),""),K7493)</f>
        <v/>
      </c>
      <c r="D7493" s="6"/>
      <c r="E7493" s="6"/>
      <c r="F7493" s="6"/>
      <c r="G7493" s="120" t="b">
        <f>VLOOKUP(I7484,FS_input_noty,J7484,FALSE)=""</f>
        <v>0</v>
      </c>
      <c r="H7493" s="6" t="s">
        <v>2189</v>
      </c>
      <c r="I7493" t="s">
        <v>1561</v>
      </c>
      <c r="J7493" t="s">
        <v>1561</v>
      </c>
      <c r="L7493">
        <f t="shared" si="452"/>
        <v>1</v>
      </c>
    </row>
    <row r="7494" spans="1:12" x14ac:dyDescent="0.35">
      <c r="A7494">
        <f t="shared" si="453"/>
        <v>7493</v>
      </c>
      <c r="B7494" t="s">
        <v>743</v>
      </c>
      <c r="C7494" s="109" t="str">
        <f>IF(ISBLANK(K7494),IFERROR(VLOOKUP(I7494,FS_input_data!$C$458:$N$648,Export!J7494,FALSE),""),K7494)</f>
        <v/>
      </c>
      <c r="D7494" s="6"/>
      <c r="E7494" s="6"/>
      <c r="F7494" s="6"/>
      <c r="G7494" s="120" t="b">
        <f>VLOOKUP(I7484,FS_input_noty,J7484,FALSE)=""</f>
        <v>0</v>
      </c>
      <c r="H7494" s="6" t="s">
        <v>2189</v>
      </c>
      <c r="I7494" t="s">
        <v>1561</v>
      </c>
      <c r="J7494" t="s">
        <v>1561</v>
      </c>
      <c r="L7494">
        <f t="shared" si="452"/>
        <v>1</v>
      </c>
    </row>
    <row r="7495" spans="1:12" x14ac:dyDescent="0.35">
      <c r="A7495">
        <f t="shared" si="453"/>
        <v>7494</v>
      </c>
      <c r="B7495" t="s">
        <v>744</v>
      </c>
      <c r="C7495" s="109" t="str">
        <f>IF(ISBLANK(K7495),IFERROR(VLOOKUP(I7495,FS_input_data!$C$458:$N$648,Export!J7495,FALSE),""),K7495)</f>
        <v/>
      </c>
      <c r="D7495" s="6"/>
      <c r="E7495" s="6"/>
      <c r="F7495" s="6"/>
      <c r="G7495" s="120" t="b">
        <f t="shared" ref="G7495:G7502" si="454">RP_tax</f>
        <v>1</v>
      </c>
      <c r="H7495" s="6" t="s">
        <v>2189</v>
      </c>
      <c r="I7495" t="s">
        <v>1561</v>
      </c>
      <c r="J7495" t="s">
        <v>1561</v>
      </c>
      <c r="L7495" s="26" t="e">
        <f t="shared" si="452"/>
        <v>#VALUE!</v>
      </c>
    </row>
    <row r="7496" spans="1:12" x14ac:dyDescent="0.35">
      <c r="A7496" s="9">
        <f t="shared" si="453"/>
        <v>7495</v>
      </c>
      <c r="B7496" t="s">
        <v>109</v>
      </c>
      <c r="C7496" s="109">
        <f>IF(ISBLANK(K7496),IFERROR(VLOOKUP(I7496,FS_input_data!$C$458:$N$648,Export!J7496,FALSE),""),K7496)</f>
        <v>15000</v>
      </c>
      <c r="D7496" s="6" t="b">
        <v>1</v>
      </c>
      <c r="E7496" s="6"/>
      <c r="F7496" s="6"/>
      <c r="G7496" s="120" t="b">
        <f t="shared" si="454"/>
        <v>1</v>
      </c>
      <c r="H7496" s="6" t="s">
        <v>2189</v>
      </c>
      <c r="I7496" t="s">
        <v>2126</v>
      </c>
      <c r="J7496">
        <v>10</v>
      </c>
      <c r="L7496" s="26" t="e">
        <f t="shared" si="452"/>
        <v>#VALUE!</v>
      </c>
    </row>
    <row r="7497" spans="1:12" x14ac:dyDescent="0.35">
      <c r="A7497">
        <f t="shared" si="453"/>
        <v>7496</v>
      </c>
      <c r="B7497" t="s">
        <v>110</v>
      </c>
      <c r="C7497" s="109" t="str">
        <f>IF(ISBLANK(K7497),IFERROR(VLOOKUP(I7497,FS_input_data!$C$458:$N$648,Export!J7497,FALSE),""),K7497)</f>
        <v/>
      </c>
      <c r="D7497" s="6"/>
      <c r="E7497" s="6"/>
      <c r="F7497" s="6"/>
      <c r="G7497" s="120" t="b">
        <f t="shared" si="454"/>
        <v>1</v>
      </c>
      <c r="H7497" s="6" t="s">
        <v>2189</v>
      </c>
      <c r="I7497" t="s">
        <v>1561</v>
      </c>
      <c r="J7497" t="s">
        <v>1561</v>
      </c>
      <c r="L7497">
        <f t="shared" si="452"/>
        <v>1</v>
      </c>
    </row>
    <row r="7498" spans="1:12" x14ac:dyDescent="0.35">
      <c r="A7498" s="9">
        <f t="shared" si="453"/>
        <v>7497</v>
      </c>
      <c r="B7498" t="s">
        <v>111</v>
      </c>
      <c r="C7498" s="109">
        <f>IF(ISBLANK(K7498),IFERROR(VLOOKUP(I7498,FS_input_data!$C$458:$N$648,Export!J7498,FALSE),""),K7498)</f>
        <v>7500</v>
      </c>
      <c r="D7498" s="6" t="b">
        <v>0</v>
      </c>
      <c r="E7498" s="6"/>
      <c r="F7498" s="6"/>
      <c r="G7498" s="120" t="b">
        <f t="shared" si="454"/>
        <v>1</v>
      </c>
      <c r="H7498" s="6" t="s">
        <v>2189</v>
      </c>
      <c r="I7498" t="s">
        <v>2126</v>
      </c>
      <c r="J7498">
        <v>11</v>
      </c>
      <c r="L7498" s="26" t="e">
        <f t="shared" si="452"/>
        <v>#VALUE!</v>
      </c>
    </row>
    <row r="7499" spans="1:12" x14ac:dyDescent="0.35">
      <c r="A7499">
        <f t="shared" si="453"/>
        <v>7498</v>
      </c>
      <c r="B7499" t="s">
        <v>112</v>
      </c>
      <c r="C7499" s="109" t="str">
        <f>IF(ISBLANK(K7499),IFERROR(VLOOKUP(I7499,FS_input_data!$C$458:$N$648,Export!J7499,FALSE),""),K7499)</f>
        <v/>
      </c>
      <c r="D7499" s="6"/>
      <c r="E7499" s="6"/>
      <c r="F7499" s="6"/>
      <c r="G7499" s="120" t="b">
        <f t="shared" si="454"/>
        <v>1</v>
      </c>
      <c r="H7499" s="6" t="s">
        <v>2189</v>
      </c>
      <c r="I7499" t="s">
        <v>1561</v>
      </c>
      <c r="J7499" t="s">
        <v>1561</v>
      </c>
      <c r="L7499">
        <f t="shared" si="452"/>
        <v>1</v>
      </c>
    </row>
    <row r="7500" spans="1:12" x14ac:dyDescent="0.35">
      <c r="A7500" s="9">
        <f t="shared" si="453"/>
        <v>7499</v>
      </c>
      <c r="B7500" t="s">
        <v>749</v>
      </c>
      <c r="C7500" s="109">
        <f>IF(ISBLANK(K7500),IFERROR(VLOOKUP(I7500,FS_input_data!$C$458:$N$648,Export!J7500,FALSE),""),K7500)</f>
        <v>7500</v>
      </c>
      <c r="D7500" s="6" t="b">
        <v>0</v>
      </c>
      <c r="E7500" s="6"/>
      <c r="F7500" s="6"/>
      <c r="G7500" s="120" t="b">
        <f t="shared" si="454"/>
        <v>1</v>
      </c>
      <c r="H7500" s="6" t="s">
        <v>2189</v>
      </c>
      <c r="I7500" t="s">
        <v>2126</v>
      </c>
      <c r="J7500">
        <v>12</v>
      </c>
      <c r="L7500" s="26" t="e">
        <f t="shared" si="452"/>
        <v>#VALUE!</v>
      </c>
    </row>
    <row r="7501" spans="1:12" x14ac:dyDescent="0.35">
      <c r="A7501">
        <f t="shared" si="453"/>
        <v>7500</v>
      </c>
      <c r="B7501" t="s">
        <v>750</v>
      </c>
      <c r="C7501" s="109" t="str">
        <f>IF(ISBLANK(K7501),IFERROR(VLOOKUP(I7501,FS_input_data!$C$458:$N$648,Export!J7501,FALSE),""),K7501)</f>
        <v/>
      </c>
      <c r="D7501" s="6"/>
      <c r="E7501" s="6"/>
      <c r="F7501" s="6"/>
      <c r="G7501" s="120" t="b">
        <f t="shared" si="454"/>
        <v>1</v>
      </c>
      <c r="H7501" s="6" t="s">
        <v>2189</v>
      </c>
      <c r="I7501" t="s">
        <v>1561</v>
      </c>
      <c r="J7501" t="s">
        <v>1561</v>
      </c>
      <c r="L7501">
        <f t="shared" si="452"/>
        <v>1</v>
      </c>
    </row>
    <row r="7502" spans="1:12" x14ac:dyDescent="0.35">
      <c r="A7502">
        <f t="shared" si="453"/>
        <v>7501</v>
      </c>
      <c r="B7502" t="s">
        <v>745</v>
      </c>
      <c r="C7502" s="109" t="str">
        <f>IF(ISBLANK(K7502),IFERROR(VLOOKUP(I7502,FS_input_data!$C$458:$N$648,Export!J7502,FALSE),""),K7502)</f>
        <v/>
      </c>
      <c r="D7502" s="6"/>
      <c r="E7502" s="6"/>
      <c r="F7502" s="6"/>
      <c r="G7502" s="120" t="b">
        <f t="shared" si="454"/>
        <v>1</v>
      </c>
      <c r="H7502" s="6" t="s">
        <v>2189</v>
      </c>
      <c r="I7502" t="s">
        <v>1561</v>
      </c>
      <c r="J7502" t="s">
        <v>1561</v>
      </c>
      <c r="L7502">
        <f t="shared" si="452"/>
        <v>1</v>
      </c>
    </row>
    <row r="7503" spans="1:12" x14ac:dyDescent="0.35">
      <c r="A7503">
        <f t="shared" si="453"/>
        <v>7502</v>
      </c>
      <c r="B7503" t="s">
        <v>764</v>
      </c>
      <c r="C7503" s="109" t="str">
        <f>IF(ISBLANK(K7503),IFERROR(VLOOKUP(I7503,FS_input_data!$C$458:$N$648,Export!J7503,FALSE),""),K7503)</f>
        <v/>
      </c>
      <c r="D7503" s="6"/>
      <c r="E7503" s="6"/>
      <c r="F7503" s="6"/>
      <c r="G7503" s="120" t="b">
        <f>VLOOKUP(I7484,FS_input_noty,J7484,FALSE)=""</f>
        <v>0</v>
      </c>
      <c r="H7503" s="6" t="s">
        <v>2189</v>
      </c>
      <c r="I7503" t="s">
        <v>1561</v>
      </c>
      <c r="J7503" t="s">
        <v>1561</v>
      </c>
      <c r="L7503">
        <f t="shared" si="452"/>
        <v>1</v>
      </c>
    </row>
    <row r="7504" spans="1:12" x14ac:dyDescent="0.35">
      <c r="A7504">
        <f t="shared" si="453"/>
        <v>7503</v>
      </c>
      <c r="B7504" t="s">
        <v>765</v>
      </c>
      <c r="C7504" s="109" t="str">
        <f>IF(ISBLANK(K7504),IFERROR(VLOOKUP(I7504,FS_input_data!$C$458:$N$648,Export!J7504,FALSE),""),K7504)</f>
        <v/>
      </c>
      <c r="D7504" s="6"/>
      <c r="E7504" s="6"/>
      <c r="F7504" s="6"/>
      <c r="G7504" s="120" t="b">
        <f>VLOOKUP(I7484,FS_input_noty,J7484,FALSE)=""</f>
        <v>0</v>
      </c>
      <c r="H7504" s="6" t="s">
        <v>2189</v>
      </c>
      <c r="I7504" t="s">
        <v>1561</v>
      </c>
      <c r="J7504" t="s">
        <v>1561</v>
      </c>
      <c r="L7504">
        <f t="shared" si="452"/>
        <v>1</v>
      </c>
    </row>
    <row r="7505" spans="1:12" x14ac:dyDescent="0.35">
      <c r="A7505">
        <f t="shared" si="453"/>
        <v>7504</v>
      </c>
      <c r="B7505" t="s">
        <v>752</v>
      </c>
      <c r="C7505" s="109" t="str">
        <f>IF(ISBLANK(K7505),IFERROR(VLOOKUP(I7505,FS_input_data!$C$458:$N$648,Export!J7505,FALSE),""),K7505)</f>
        <v/>
      </c>
      <c r="D7505" s="6"/>
      <c r="E7505" s="6"/>
      <c r="F7505" s="6"/>
      <c r="G7505" s="120" t="b">
        <f>VLOOKUP(I7506,FS_input_noty,J7506,FALSE)=""</f>
        <v>0</v>
      </c>
      <c r="H7505" s="6" t="s">
        <v>2189</v>
      </c>
      <c r="I7505" t="s">
        <v>1561</v>
      </c>
      <c r="J7505" t="s">
        <v>1561</v>
      </c>
      <c r="L7505" s="26" t="e">
        <f t="shared" si="452"/>
        <v>#VALUE!</v>
      </c>
    </row>
    <row r="7506" spans="1:12" x14ac:dyDescent="0.35">
      <c r="A7506" s="9">
        <f t="shared" si="453"/>
        <v>7505</v>
      </c>
      <c r="B7506" t="s">
        <v>101</v>
      </c>
      <c r="C7506" s="109" t="str">
        <f>IF(ISBLANK(K7506),IFERROR(VLOOKUP(I7506,FS_input_data!$C$458:$N$648,Export!J7506,FALSE),""),K7506)</f>
        <v>OC137</v>
      </c>
      <c r="D7506" s="6" t="b">
        <v>1</v>
      </c>
      <c r="E7506" s="6"/>
      <c r="F7506" s="6"/>
      <c r="G7506" s="120" t="b">
        <f>VLOOKUP(I7506,FS_input_noty,J7506,FALSE)=""</f>
        <v>0</v>
      </c>
      <c r="H7506" s="6" t="s">
        <v>2189</v>
      </c>
      <c r="I7506" t="s">
        <v>2128</v>
      </c>
      <c r="J7506">
        <v>6</v>
      </c>
      <c r="L7506" s="26" t="e">
        <f t="shared" si="452"/>
        <v>#VALUE!</v>
      </c>
    </row>
    <row r="7507" spans="1:12" x14ac:dyDescent="0.35">
      <c r="A7507">
        <f t="shared" si="453"/>
        <v>7506</v>
      </c>
      <c r="B7507" t="s">
        <v>102</v>
      </c>
      <c r="C7507" s="109" t="str">
        <f>IF(ISBLANK(K7507),IFERROR(VLOOKUP(I7507,FS_input_data!$C$458:$N$648,Export!J7507,FALSE),""),K7507)</f>
        <v/>
      </c>
      <c r="D7507" s="6"/>
      <c r="E7507" s="6"/>
      <c r="F7507" s="6"/>
      <c r="G7507" s="120" t="b">
        <f>VLOOKUP(I7506,FS_input_noty,J7506,FALSE)=""</f>
        <v>0</v>
      </c>
      <c r="H7507" s="6" t="s">
        <v>2189</v>
      </c>
      <c r="I7507" t="s">
        <v>1561</v>
      </c>
      <c r="J7507" t="s">
        <v>1561</v>
      </c>
      <c r="L7507">
        <f t="shared" si="452"/>
        <v>1</v>
      </c>
    </row>
    <row r="7508" spans="1:12" x14ac:dyDescent="0.35">
      <c r="A7508">
        <f t="shared" si="453"/>
        <v>7507</v>
      </c>
      <c r="B7508" t="s">
        <v>753</v>
      </c>
      <c r="C7508" s="109" t="str">
        <f>IF(ISBLANK(K7508),IFERROR(VLOOKUP(I7508,FS_input_data!$C$458:$N$648,Export!J7508,FALSE),""),K7508)</f>
        <v/>
      </c>
      <c r="D7508" s="6"/>
      <c r="E7508" s="6"/>
      <c r="F7508" s="6"/>
      <c r="G7508" s="120" t="b">
        <f>VLOOKUP(I7506,FS_input_noty,J7506,FALSE)=""</f>
        <v>0</v>
      </c>
      <c r="H7508" s="6" t="s">
        <v>2189</v>
      </c>
      <c r="I7508" t="s">
        <v>1561</v>
      </c>
      <c r="J7508" t="s">
        <v>1561</v>
      </c>
      <c r="L7508" s="26" t="e">
        <f t="shared" si="452"/>
        <v>#VALUE!</v>
      </c>
    </row>
    <row r="7509" spans="1:12" x14ac:dyDescent="0.35">
      <c r="A7509">
        <f t="shared" si="453"/>
        <v>7508</v>
      </c>
      <c r="B7509" t="s">
        <v>742</v>
      </c>
      <c r="C7509" s="109" t="str">
        <f>IF(ISBLANK(K7509),IFERROR(VLOOKUP(I7509,FS_input_data!$C$458:$N$648,Export!J7509,FALSE),""),K7509)</f>
        <v/>
      </c>
      <c r="D7509" s="6"/>
      <c r="E7509" s="6"/>
      <c r="F7509" s="6"/>
      <c r="G7509" s="120" t="b">
        <f>VLOOKUP(I7506,FS_input_noty,J7506,FALSE)=""</f>
        <v>0</v>
      </c>
      <c r="H7509" s="6" t="s">
        <v>2189</v>
      </c>
      <c r="I7509" t="s">
        <v>1561</v>
      </c>
      <c r="J7509" t="s">
        <v>1561</v>
      </c>
      <c r="L7509" s="26" t="e">
        <f t="shared" si="452"/>
        <v>#VALUE!</v>
      </c>
    </row>
    <row r="7510" spans="1:12" x14ac:dyDescent="0.35">
      <c r="A7510" s="9">
        <f t="shared" si="453"/>
        <v>7509</v>
      </c>
      <c r="B7510" t="s">
        <v>109</v>
      </c>
      <c r="C7510" s="109">
        <f>IF(ISBLANK(K7510),IFERROR(VLOOKUP(I7510,FS_input_data!$C$458:$N$648,Export!J7510,FALSE),""),K7510)</f>
        <v>16000</v>
      </c>
      <c r="D7510" s="6" t="b">
        <v>1</v>
      </c>
      <c r="E7510" s="6"/>
      <c r="F7510" s="6"/>
      <c r="G7510" s="120" t="b">
        <f>VLOOKUP(I7506,FS_input_noty,J7506,FALSE)=""</f>
        <v>0</v>
      </c>
      <c r="H7510" s="6" t="s">
        <v>2189</v>
      </c>
      <c r="I7510" t="s">
        <v>2128</v>
      </c>
      <c r="J7510">
        <v>7</v>
      </c>
      <c r="L7510" s="26" t="e">
        <f t="shared" si="452"/>
        <v>#VALUE!</v>
      </c>
    </row>
    <row r="7511" spans="1:12" x14ac:dyDescent="0.35">
      <c r="A7511">
        <f t="shared" si="453"/>
        <v>7510</v>
      </c>
      <c r="B7511" t="s">
        <v>110</v>
      </c>
      <c r="C7511" s="109" t="str">
        <f>IF(ISBLANK(K7511),IFERROR(VLOOKUP(I7511,FS_input_data!$C$458:$N$648,Export!J7511,FALSE),""),K7511)</f>
        <v/>
      </c>
      <c r="D7511" s="6"/>
      <c r="E7511" s="6"/>
      <c r="F7511" s="6"/>
      <c r="G7511" s="120" t="b">
        <f>VLOOKUP(I7506,FS_input_noty,J7506,FALSE)=""</f>
        <v>0</v>
      </c>
      <c r="H7511" s="6" t="s">
        <v>2189</v>
      </c>
      <c r="I7511" t="s">
        <v>1561</v>
      </c>
      <c r="J7511" t="s">
        <v>1561</v>
      </c>
      <c r="L7511">
        <f t="shared" si="452"/>
        <v>1</v>
      </c>
    </row>
    <row r="7512" spans="1:12" x14ac:dyDescent="0.35">
      <c r="A7512" s="9">
        <f t="shared" si="453"/>
        <v>7511</v>
      </c>
      <c r="B7512" t="s">
        <v>111</v>
      </c>
      <c r="C7512" s="109">
        <f>IF(ISBLANK(K7512),IFERROR(VLOOKUP(I7512,FS_input_data!$C$458:$N$648,Export!J7512,FALSE),""),K7512)</f>
        <v>8000</v>
      </c>
      <c r="D7512" s="6" t="b">
        <v>0</v>
      </c>
      <c r="E7512" s="6"/>
      <c r="F7512" s="6"/>
      <c r="G7512" s="120" t="b">
        <f>VLOOKUP(I7506,FS_input_noty,J7506,FALSE)=""</f>
        <v>0</v>
      </c>
      <c r="H7512" s="6" t="s">
        <v>2189</v>
      </c>
      <c r="I7512" t="s">
        <v>2128</v>
      </c>
      <c r="J7512">
        <v>8</v>
      </c>
      <c r="L7512" s="26" t="e">
        <f t="shared" si="452"/>
        <v>#VALUE!</v>
      </c>
    </row>
    <row r="7513" spans="1:12" x14ac:dyDescent="0.35">
      <c r="A7513">
        <f t="shared" si="453"/>
        <v>7512</v>
      </c>
      <c r="B7513" t="s">
        <v>112</v>
      </c>
      <c r="C7513" s="109" t="str">
        <f>IF(ISBLANK(K7513),IFERROR(VLOOKUP(I7513,FS_input_data!$C$458:$N$648,Export!J7513,FALSE),""),K7513)</f>
        <v/>
      </c>
      <c r="D7513" s="6"/>
      <c r="E7513" s="6"/>
      <c r="F7513" s="6"/>
      <c r="G7513" s="120" t="b">
        <f>VLOOKUP(I7506,FS_input_noty,J7506,FALSE)=""</f>
        <v>0</v>
      </c>
      <c r="H7513" s="6" t="s">
        <v>2189</v>
      </c>
      <c r="I7513" t="s">
        <v>1561</v>
      </c>
      <c r="J7513" t="s">
        <v>1561</v>
      </c>
      <c r="L7513">
        <f t="shared" si="452"/>
        <v>1</v>
      </c>
    </row>
    <row r="7514" spans="1:12" x14ac:dyDescent="0.35">
      <c r="A7514" s="9">
        <f t="shared" si="453"/>
        <v>7513</v>
      </c>
      <c r="B7514" t="s">
        <v>749</v>
      </c>
      <c r="C7514" s="109">
        <f>IF(ISBLANK(K7514),IFERROR(VLOOKUP(I7514,FS_input_data!$C$458:$N$648,Export!J7514,FALSE),""),K7514)</f>
        <v>8000</v>
      </c>
      <c r="D7514" s="6" t="b">
        <v>0</v>
      </c>
      <c r="E7514" s="6"/>
      <c r="F7514" s="6"/>
      <c r="G7514" s="120" t="b">
        <f>VLOOKUP(I7506,FS_input_noty,J7506,FALSE)=""</f>
        <v>0</v>
      </c>
      <c r="H7514" s="6" t="s">
        <v>2189</v>
      </c>
      <c r="I7514" t="s">
        <v>2128</v>
      </c>
      <c r="J7514">
        <v>9</v>
      </c>
      <c r="L7514" s="26" t="e">
        <f t="shared" si="452"/>
        <v>#VALUE!</v>
      </c>
    </row>
    <row r="7515" spans="1:12" x14ac:dyDescent="0.35">
      <c r="A7515">
        <f t="shared" si="453"/>
        <v>7514</v>
      </c>
      <c r="B7515" t="s">
        <v>750</v>
      </c>
      <c r="C7515" s="109" t="str">
        <f>IF(ISBLANK(K7515),IFERROR(VLOOKUP(I7515,FS_input_data!$C$458:$N$648,Export!J7515,FALSE),""),K7515)</f>
        <v/>
      </c>
      <c r="D7515" s="6"/>
      <c r="E7515" s="6"/>
      <c r="F7515" s="6"/>
      <c r="G7515" s="120" t="b">
        <f>VLOOKUP(I7506,FS_input_noty,J7506,FALSE)=""</f>
        <v>0</v>
      </c>
      <c r="H7515" s="6" t="s">
        <v>2189</v>
      </c>
      <c r="I7515" t="s">
        <v>1561</v>
      </c>
      <c r="J7515" t="s">
        <v>1561</v>
      </c>
      <c r="L7515">
        <f t="shared" si="452"/>
        <v>1</v>
      </c>
    </row>
    <row r="7516" spans="1:12" x14ac:dyDescent="0.35">
      <c r="A7516">
        <f t="shared" si="453"/>
        <v>7515</v>
      </c>
      <c r="B7516" t="s">
        <v>743</v>
      </c>
      <c r="C7516" s="109" t="str">
        <f>IF(ISBLANK(K7516),IFERROR(VLOOKUP(I7516,FS_input_data!$C$458:$N$648,Export!J7516,FALSE),""),K7516)</f>
        <v/>
      </c>
      <c r="D7516" s="6"/>
      <c r="E7516" s="6"/>
      <c r="F7516" s="6"/>
      <c r="G7516" s="120" t="b">
        <f>VLOOKUP(I7506,FS_input_noty,J7506,FALSE)=""</f>
        <v>0</v>
      </c>
      <c r="H7516" s="6" t="s">
        <v>2189</v>
      </c>
      <c r="I7516" t="s">
        <v>1561</v>
      </c>
      <c r="J7516" t="s">
        <v>1561</v>
      </c>
      <c r="L7516">
        <f t="shared" si="452"/>
        <v>1</v>
      </c>
    </row>
    <row r="7517" spans="1:12" x14ac:dyDescent="0.35">
      <c r="A7517">
        <f t="shared" si="453"/>
        <v>7516</v>
      </c>
      <c r="B7517" t="s">
        <v>744</v>
      </c>
      <c r="C7517" s="109" t="str">
        <f>IF(ISBLANK(K7517),IFERROR(VLOOKUP(I7517,FS_input_data!$C$458:$N$648,Export!J7517,FALSE),""),K7517)</f>
        <v/>
      </c>
      <c r="D7517" s="6"/>
      <c r="E7517" s="6"/>
      <c r="F7517" s="6"/>
      <c r="G7517" s="120" t="b">
        <f t="shared" ref="G7517:G7524" si="455">RP_tax</f>
        <v>1</v>
      </c>
      <c r="H7517" s="6" t="s">
        <v>2189</v>
      </c>
      <c r="I7517" t="s">
        <v>1561</v>
      </c>
      <c r="J7517" t="s">
        <v>1561</v>
      </c>
      <c r="L7517" s="26" t="e">
        <f t="shared" si="452"/>
        <v>#VALUE!</v>
      </c>
    </row>
    <row r="7518" spans="1:12" x14ac:dyDescent="0.35">
      <c r="A7518" s="9">
        <f t="shared" si="453"/>
        <v>7517</v>
      </c>
      <c r="B7518" t="s">
        <v>109</v>
      </c>
      <c r="C7518" s="109">
        <f>IF(ISBLANK(K7518),IFERROR(VLOOKUP(I7518,FS_input_data!$C$458:$N$648,Export!J7518,FALSE),""),K7518)</f>
        <v>16000</v>
      </c>
      <c r="D7518" s="6" t="b">
        <v>1</v>
      </c>
      <c r="E7518" s="6"/>
      <c r="F7518" s="6"/>
      <c r="G7518" s="120" t="b">
        <f t="shared" si="455"/>
        <v>1</v>
      </c>
      <c r="H7518" s="6" t="s">
        <v>2189</v>
      </c>
      <c r="I7518" t="s">
        <v>2128</v>
      </c>
      <c r="J7518">
        <v>10</v>
      </c>
      <c r="L7518" s="26" t="e">
        <f t="shared" si="452"/>
        <v>#VALUE!</v>
      </c>
    </row>
    <row r="7519" spans="1:12" x14ac:dyDescent="0.35">
      <c r="A7519">
        <f t="shared" si="453"/>
        <v>7518</v>
      </c>
      <c r="B7519" t="s">
        <v>110</v>
      </c>
      <c r="C7519" s="109" t="str">
        <f>IF(ISBLANK(K7519),IFERROR(VLOOKUP(I7519,FS_input_data!$C$458:$N$648,Export!J7519,FALSE),""),K7519)</f>
        <v/>
      </c>
      <c r="D7519" s="6"/>
      <c r="E7519" s="6"/>
      <c r="F7519" s="6"/>
      <c r="G7519" s="120" t="b">
        <f t="shared" si="455"/>
        <v>1</v>
      </c>
      <c r="H7519" s="6" t="s">
        <v>2189</v>
      </c>
      <c r="I7519" t="s">
        <v>1561</v>
      </c>
      <c r="J7519" t="s">
        <v>1561</v>
      </c>
      <c r="L7519">
        <f t="shared" si="452"/>
        <v>1</v>
      </c>
    </row>
    <row r="7520" spans="1:12" x14ac:dyDescent="0.35">
      <c r="A7520" s="9">
        <f t="shared" si="453"/>
        <v>7519</v>
      </c>
      <c r="B7520" t="s">
        <v>111</v>
      </c>
      <c r="C7520" s="109">
        <f>IF(ISBLANK(K7520),IFERROR(VLOOKUP(I7520,FS_input_data!$C$458:$N$648,Export!J7520,FALSE),""),K7520)</f>
        <v>8000</v>
      </c>
      <c r="D7520" s="6" t="b">
        <v>0</v>
      </c>
      <c r="E7520" s="6"/>
      <c r="F7520" s="6"/>
      <c r="G7520" s="120" t="b">
        <f t="shared" si="455"/>
        <v>1</v>
      </c>
      <c r="H7520" s="6" t="s">
        <v>2189</v>
      </c>
      <c r="I7520" t="s">
        <v>2128</v>
      </c>
      <c r="J7520">
        <v>11</v>
      </c>
      <c r="L7520" s="26" t="e">
        <f t="shared" si="452"/>
        <v>#VALUE!</v>
      </c>
    </row>
    <row r="7521" spans="1:12" x14ac:dyDescent="0.35">
      <c r="A7521">
        <f t="shared" si="453"/>
        <v>7520</v>
      </c>
      <c r="B7521" t="s">
        <v>112</v>
      </c>
      <c r="C7521" s="109" t="str">
        <f>IF(ISBLANK(K7521),IFERROR(VLOOKUP(I7521,FS_input_data!$C$458:$N$648,Export!J7521,FALSE),""),K7521)</f>
        <v/>
      </c>
      <c r="D7521" s="6"/>
      <c r="E7521" s="6"/>
      <c r="F7521" s="6"/>
      <c r="G7521" s="120" t="b">
        <f t="shared" si="455"/>
        <v>1</v>
      </c>
      <c r="H7521" s="6" t="s">
        <v>2189</v>
      </c>
      <c r="I7521" t="s">
        <v>1561</v>
      </c>
      <c r="J7521" t="s">
        <v>1561</v>
      </c>
      <c r="L7521">
        <f t="shared" si="452"/>
        <v>1</v>
      </c>
    </row>
    <row r="7522" spans="1:12" x14ac:dyDescent="0.35">
      <c r="A7522" s="9">
        <f t="shared" si="453"/>
        <v>7521</v>
      </c>
      <c r="B7522" t="s">
        <v>749</v>
      </c>
      <c r="C7522" s="109">
        <f>IF(ISBLANK(K7522),IFERROR(VLOOKUP(I7522,FS_input_data!$C$458:$N$648,Export!J7522,FALSE),""),K7522)</f>
        <v>8000</v>
      </c>
      <c r="D7522" s="6" t="b">
        <v>0</v>
      </c>
      <c r="E7522" s="6"/>
      <c r="F7522" s="6"/>
      <c r="G7522" s="120" t="b">
        <f t="shared" si="455"/>
        <v>1</v>
      </c>
      <c r="H7522" s="6" t="s">
        <v>2189</v>
      </c>
      <c r="I7522" t="s">
        <v>2128</v>
      </c>
      <c r="J7522">
        <v>12</v>
      </c>
      <c r="L7522" s="26" t="e">
        <f t="shared" si="452"/>
        <v>#VALUE!</v>
      </c>
    </row>
    <row r="7523" spans="1:12" x14ac:dyDescent="0.35">
      <c r="A7523">
        <f t="shared" si="453"/>
        <v>7522</v>
      </c>
      <c r="B7523" t="s">
        <v>750</v>
      </c>
      <c r="C7523" s="109" t="str">
        <f>IF(ISBLANK(K7523),IFERROR(VLOOKUP(I7523,FS_input_data!$C$458:$N$648,Export!J7523,FALSE),""),K7523)</f>
        <v/>
      </c>
      <c r="D7523" s="6"/>
      <c r="E7523" s="6"/>
      <c r="F7523" s="6"/>
      <c r="G7523" s="120" t="b">
        <f t="shared" si="455"/>
        <v>1</v>
      </c>
      <c r="H7523" s="6" t="s">
        <v>2189</v>
      </c>
      <c r="I7523" t="s">
        <v>1561</v>
      </c>
      <c r="J7523" t="s">
        <v>1561</v>
      </c>
      <c r="L7523">
        <f t="shared" si="452"/>
        <v>1</v>
      </c>
    </row>
    <row r="7524" spans="1:12" x14ac:dyDescent="0.35">
      <c r="A7524">
        <f t="shared" si="453"/>
        <v>7523</v>
      </c>
      <c r="B7524" t="s">
        <v>745</v>
      </c>
      <c r="C7524" s="109" t="str">
        <f>IF(ISBLANK(K7524),IFERROR(VLOOKUP(I7524,FS_input_data!$C$458:$N$648,Export!J7524,FALSE),""),K7524)</f>
        <v/>
      </c>
      <c r="D7524" s="6"/>
      <c r="E7524" s="6"/>
      <c r="F7524" s="6"/>
      <c r="G7524" s="120" t="b">
        <f t="shared" si="455"/>
        <v>1</v>
      </c>
      <c r="H7524" s="6" t="s">
        <v>2189</v>
      </c>
      <c r="I7524" t="s">
        <v>1561</v>
      </c>
      <c r="J7524" t="s">
        <v>1561</v>
      </c>
      <c r="L7524">
        <f t="shared" si="452"/>
        <v>1</v>
      </c>
    </row>
    <row r="7525" spans="1:12" x14ac:dyDescent="0.35">
      <c r="A7525">
        <f t="shared" si="453"/>
        <v>7524</v>
      </c>
      <c r="B7525" t="s">
        <v>764</v>
      </c>
      <c r="C7525" s="109" t="str">
        <f>IF(ISBLANK(K7525),IFERROR(VLOOKUP(I7525,FS_input_data!$C$458:$N$648,Export!J7525,FALSE),""),K7525)</f>
        <v/>
      </c>
      <c r="D7525" s="6"/>
      <c r="E7525" s="6"/>
      <c r="F7525" s="6"/>
      <c r="G7525" s="120" t="b">
        <f>VLOOKUP(I7506,FS_input_noty,J7506,FALSE)=""</f>
        <v>0</v>
      </c>
      <c r="H7525" s="6" t="s">
        <v>2189</v>
      </c>
      <c r="I7525" t="s">
        <v>1561</v>
      </c>
      <c r="J7525" t="s">
        <v>1561</v>
      </c>
      <c r="L7525">
        <f t="shared" si="452"/>
        <v>1</v>
      </c>
    </row>
    <row r="7526" spans="1:12" x14ac:dyDescent="0.35">
      <c r="A7526">
        <f t="shared" si="453"/>
        <v>7525</v>
      </c>
      <c r="B7526" t="s">
        <v>765</v>
      </c>
      <c r="C7526" s="109" t="str">
        <f>IF(ISBLANK(K7526),IFERROR(VLOOKUP(I7526,FS_input_data!$C$458:$N$648,Export!J7526,FALSE),""),K7526)</f>
        <v/>
      </c>
      <c r="D7526" s="6"/>
      <c r="E7526" s="6"/>
      <c r="F7526" s="6"/>
      <c r="G7526" s="120" t="b">
        <f>VLOOKUP(I7506,FS_input_noty,J7506,FALSE)=""</f>
        <v>0</v>
      </c>
      <c r="H7526" s="6" t="s">
        <v>2189</v>
      </c>
      <c r="I7526" t="s">
        <v>1561</v>
      </c>
      <c r="J7526" t="s">
        <v>1561</v>
      </c>
      <c r="L7526">
        <f t="shared" si="452"/>
        <v>1</v>
      </c>
    </row>
    <row r="7527" spans="1:12" x14ac:dyDescent="0.35">
      <c r="A7527">
        <f t="shared" si="453"/>
        <v>7526</v>
      </c>
      <c r="B7527" t="s">
        <v>752</v>
      </c>
      <c r="C7527" s="109" t="str">
        <f>IF(ISBLANK(K7527),IFERROR(VLOOKUP(I7527,FS_input_data!$C$458:$N$648,Export!J7527,FALSE),""),K7527)</f>
        <v/>
      </c>
      <c r="D7527" s="6"/>
      <c r="E7527" s="6"/>
      <c r="F7527" s="6"/>
      <c r="G7527" s="120" t="b">
        <f>VLOOKUP(I7528,FS_input_noty,J7528,FALSE)=""</f>
        <v>0</v>
      </c>
      <c r="H7527" s="6" t="s">
        <v>2189</v>
      </c>
      <c r="I7527" t="s">
        <v>1561</v>
      </c>
      <c r="J7527" t="s">
        <v>1561</v>
      </c>
      <c r="L7527" s="26" t="e">
        <f t="shared" si="452"/>
        <v>#VALUE!</v>
      </c>
    </row>
    <row r="7528" spans="1:12" x14ac:dyDescent="0.35">
      <c r="A7528" s="9">
        <f t="shared" si="453"/>
        <v>7527</v>
      </c>
      <c r="B7528" t="s">
        <v>101</v>
      </c>
      <c r="C7528" s="109" t="str">
        <f>IF(ISBLANK(K7528),IFERROR(VLOOKUP(I7528,FS_input_data!$C$458:$N$648,Export!J7528,FALSE),""),K7528)</f>
        <v>OC138</v>
      </c>
      <c r="D7528" s="6" t="b">
        <v>1</v>
      </c>
      <c r="E7528" s="6"/>
      <c r="F7528" s="6"/>
      <c r="G7528" s="120" t="b">
        <f>VLOOKUP(I7528,FS_input_noty,J7528,FALSE)=""</f>
        <v>0</v>
      </c>
      <c r="H7528" s="6" t="s">
        <v>2189</v>
      </c>
      <c r="I7528" t="s">
        <v>2130</v>
      </c>
      <c r="J7528">
        <v>6</v>
      </c>
      <c r="L7528" s="26" t="e">
        <f t="shared" si="452"/>
        <v>#VALUE!</v>
      </c>
    </row>
    <row r="7529" spans="1:12" x14ac:dyDescent="0.35">
      <c r="A7529">
        <f t="shared" si="453"/>
        <v>7528</v>
      </c>
      <c r="B7529" t="s">
        <v>102</v>
      </c>
      <c r="C7529" s="109" t="str">
        <f>IF(ISBLANK(K7529),IFERROR(VLOOKUP(I7529,FS_input_data!$C$458:$N$648,Export!J7529,FALSE),""),K7529)</f>
        <v/>
      </c>
      <c r="D7529" s="6"/>
      <c r="E7529" s="6"/>
      <c r="F7529" s="6"/>
      <c r="G7529" s="120" t="b">
        <f>VLOOKUP(I7528,FS_input_noty,J7528,FALSE)=""</f>
        <v>0</v>
      </c>
      <c r="H7529" s="6" t="s">
        <v>2189</v>
      </c>
      <c r="I7529" t="s">
        <v>1561</v>
      </c>
      <c r="J7529" t="s">
        <v>1561</v>
      </c>
      <c r="L7529">
        <f t="shared" si="452"/>
        <v>1</v>
      </c>
    </row>
    <row r="7530" spans="1:12" x14ac:dyDescent="0.35">
      <c r="A7530">
        <f t="shared" si="453"/>
        <v>7529</v>
      </c>
      <c r="B7530" t="s">
        <v>753</v>
      </c>
      <c r="C7530" s="109" t="str">
        <f>IF(ISBLANK(K7530),IFERROR(VLOOKUP(I7530,FS_input_data!$C$458:$N$648,Export!J7530,FALSE),""),K7530)</f>
        <v/>
      </c>
      <c r="D7530" s="6"/>
      <c r="E7530" s="6"/>
      <c r="F7530" s="6"/>
      <c r="G7530" s="120" t="b">
        <f>VLOOKUP(I7528,FS_input_noty,J7528,FALSE)=""</f>
        <v>0</v>
      </c>
      <c r="H7530" s="6" t="s">
        <v>2189</v>
      </c>
      <c r="I7530" t="s">
        <v>1561</v>
      </c>
      <c r="J7530" t="s">
        <v>1561</v>
      </c>
      <c r="L7530" s="26" t="e">
        <f t="shared" si="452"/>
        <v>#VALUE!</v>
      </c>
    </row>
    <row r="7531" spans="1:12" x14ac:dyDescent="0.35">
      <c r="A7531">
        <f t="shared" si="453"/>
        <v>7530</v>
      </c>
      <c r="B7531" t="s">
        <v>742</v>
      </c>
      <c r="C7531" s="109" t="str">
        <f>IF(ISBLANK(K7531),IFERROR(VLOOKUP(I7531,FS_input_data!$C$458:$N$648,Export!J7531,FALSE),""),K7531)</f>
        <v/>
      </c>
      <c r="D7531" s="6"/>
      <c r="E7531" s="6"/>
      <c r="F7531" s="6"/>
      <c r="G7531" s="120" t="b">
        <f>VLOOKUP(I7528,FS_input_noty,J7528,FALSE)=""</f>
        <v>0</v>
      </c>
      <c r="H7531" s="6" t="s">
        <v>2189</v>
      </c>
      <c r="I7531" t="s">
        <v>1561</v>
      </c>
      <c r="J7531" t="s">
        <v>1561</v>
      </c>
      <c r="L7531" s="26" t="e">
        <f t="shared" si="452"/>
        <v>#VALUE!</v>
      </c>
    </row>
    <row r="7532" spans="1:12" x14ac:dyDescent="0.35">
      <c r="A7532" s="9">
        <f t="shared" si="453"/>
        <v>7531</v>
      </c>
      <c r="B7532" t="s">
        <v>109</v>
      </c>
      <c r="C7532" s="109">
        <f>IF(ISBLANK(K7532),IFERROR(VLOOKUP(I7532,FS_input_data!$C$458:$N$648,Export!J7532,FALSE),""),K7532)</f>
        <v>17000</v>
      </c>
      <c r="D7532" s="6" t="b">
        <v>1</v>
      </c>
      <c r="E7532" s="6"/>
      <c r="F7532" s="6"/>
      <c r="G7532" s="120" t="b">
        <f>VLOOKUP(I7528,FS_input_noty,J7528,FALSE)=""</f>
        <v>0</v>
      </c>
      <c r="H7532" s="6" t="s">
        <v>2189</v>
      </c>
      <c r="I7532" t="s">
        <v>2130</v>
      </c>
      <c r="J7532">
        <v>7</v>
      </c>
      <c r="L7532" s="26" t="e">
        <f t="shared" si="452"/>
        <v>#VALUE!</v>
      </c>
    </row>
    <row r="7533" spans="1:12" x14ac:dyDescent="0.35">
      <c r="A7533">
        <f t="shared" si="453"/>
        <v>7532</v>
      </c>
      <c r="B7533" t="s">
        <v>110</v>
      </c>
      <c r="C7533" s="109" t="str">
        <f>IF(ISBLANK(K7533),IFERROR(VLOOKUP(I7533,FS_input_data!$C$458:$N$648,Export!J7533,FALSE),""),K7533)</f>
        <v/>
      </c>
      <c r="D7533" s="6"/>
      <c r="E7533" s="6"/>
      <c r="F7533" s="6"/>
      <c r="G7533" s="120" t="b">
        <f>VLOOKUP(I7528,FS_input_noty,J7528,FALSE)=""</f>
        <v>0</v>
      </c>
      <c r="H7533" s="6" t="s">
        <v>2189</v>
      </c>
      <c r="I7533" t="s">
        <v>1561</v>
      </c>
      <c r="J7533" t="s">
        <v>1561</v>
      </c>
      <c r="L7533">
        <f t="shared" si="452"/>
        <v>1</v>
      </c>
    </row>
    <row r="7534" spans="1:12" x14ac:dyDescent="0.35">
      <c r="A7534" s="9">
        <f t="shared" si="453"/>
        <v>7533</v>
      </c>
      <c r="B7534" t="s">
        <v>111</v>
      </c>
      <c r="C7534" s="109">
        <f>IF(ISBLANK(K7534),IFERROR(VLOOKUP(I7534,FS_input_data!$C$458:$N$648,Export!J7534,FALSE),""),K7534)</f>
        <v>8500</v>
      </c>
      <c r="D7534" s="6" t="b">
        <v>0</v>
      </c>
      <c r="E7534" s="6"/>
      <c r="F7534" s="6"/>
      <c r="G7534" s="120" t="b">
        <f>VLOOKUP(I7528,FS_input_noty,J7528,FALSE)=""</f>
        <v>0</v>
      </c>
      <c r="H7534" s="6" t="s">
        <v>2189</v>
      </c>
      <c r="I7534" t="s">
        <v>2130</v>
      </c>
      <c r="J7534">
        <v>8</v>
      </c>
      <c r="L7534" s="26" t="e">
        <f t="shared" si="452"/>
        <v>#VALUE!</v>
      </c>
    </row>
    <row r="7535" spans="1:12" x14ac:dyDescent="0.35">
      <c r="A7535">
        <f t="shared" si="453"/>
        <v>7534</v>
      </c>
      <c r="B7535" t="s">
        <v>112</v>
      </c>
      <c r="C7535" s="109" t="str">
        <f>IF(ISBLANK(K7535),IFERROR(VLOOKUP(I7535,FS_input_data!$C$458:$N$648,Export!J7535,FALSE),""),K7535)</f>
        <v/>
      </c>
      <c r="D7535" s="6"/>
      <c r="E7535" s="6"/>
      <c r="F7535" s="6"/>
      <c r="G7535" s="120" t="b">
        <f>VLOOKUP(I7528,FS_input_noty,J7528,FALSE)=""</f>
        <v>0</v>
      </c>
      <c r="H7535" s="6" t="s">
        <v>2189</v>
      </c>
      <c r="I7535" t="s">
        <v>1561</v>
      </c>
      <c r="J7535" t="s">
        <v>1561</v>
      </c>
      <c r="L7535">
        <f t="shared" si="452"/>
        <v>1</v>
      </c>
    </row>
    <row r="7536" spans="1:12" x14ac:dyDescent="0.35">
      <c r="A7536" s="9">
        <f t="shared" si="453"/>
        <v>7535</v>
      </c>
      <c r="B7536" t="s">
        <v>749</v>
      </c>
      <c r="C7536" s="109">
        <f>IF(ISBLANK(K7536),IFERROR(VLOOKUP(I7536,FS_input_data!$C$458:$N$648,Export!J7536,FALSE),""),K7536)</f>
        <v>8500</v>
      </c>
      <c r="D7536" s="6" t="b">
        <v>0</v>
      </c>
      <c r="E7536" s="6"/>
      <c r="F7536" s="6"/>
      <c r="G7536" s="120" t="b">
        <f>VLOOKUP(I7528,FS_input_noty,J7528,FALSE)=""</f>
        <v>0</v>
      </c>
      <c r="H7536" s="6" t="s">
        <v>2189</v>
      </c>
      <c r="I7536" t="s">
        <v>2130</v>
      </c>
      <c r="J7536">
        <v>9</v>
      </c>
      <c r="L7536" s="26" t="e">
        <f t="shared" si="452"/>
        <v>#VALUE!</v>
      </c>
    </row>
    <row r="7537" spans="1:12" x14ac:dyDescent="0.35">
      <c r="A7537">
        <f t="shared" si="453"/>
        <v>7536</v>
      </c>
      <c r="B7537" t="s">
        <v>750</v>
      </c>
      <c r="C7537" s="109" t="str">
        <f>IF(ISBLANK(K7537),IFERROR(VLOOKUP(I7537,FS_input_data!$C$458:$N$648,Export!J7537,FALSE),""),K7537)</f>
        <v/>
      </c>
      <c r="D7537" s="6"/>
      <c r="E7537" s="6"/>
      <c r="F7537" s="6"/>
      <c r="G7537" s="120" t="b">
        <f>VLOOKUP(I7528,FS_input_noty,J7528,FALSE)=""</f>
        <v>0</v>
      </c>
      <c r="H7537" s="6" t="s">
        <v>2189</v>
      </c>
      <c r="I7537" t="s">
        <v>1561</v>
      </c>
      <c r="J7537" t="s">
        <v>1561</v>
      </c>
      <c r="L7537">
        <f t="shared" si="452"/>
        <v>1</v>
      </c>
    </row>
    <row r="7538" spans="1:12" x14ac:dyDescent="0.35">
      <c r="A7538">
        <f t="shared" si="453"/>
        <v>7537</v>
      </c>
      <c r="B7538" t="s">
        <v>743</v>
      </c>
      <c r="C7538" s="109" t="str">
        <f>IF(ISBLANK(K7538),IFERROR(VLOOKUP(I7538,FS_input_data!$C$458:$N$648,Export!J7538,FALSE),""),K7538)</f>
        <v/>
      </c>
      <c r="D7538" s="6"/>
      <c r="E7538" s="6"/>
      <c r="F7538" s="6"/>
      <c r="G7538" s="120" t="b">
        <f>VLOOKUP(I7528,FS_input_noty,J7528,FALSE)=""</f>
        <v>0</v>
      </c>
      <c r="H7538" s="6" t="s">
        <v>2189</v>
      </c>
      <c r="I7538" t="s">
        <v>1561</v>
      </c>
      <c r="J7538" t="s">
        <v>1561</v>
      </c>
      <c r="L7538">
        <f t="shared" si="452"/>
        <v>1</v>
      </c>
    </row>
    <row r="7539" spans="1:12" x14ac:dyDescent="0.35">
      <c r="A7539">
        <f t="shared" si="453"/>
        <v>7538</v>
      </c>
      <c r="B7539" t="s">
        <v>744</v>
      </c>
      <c r="C7539" s="109" t="str">
        <f>IF(ISBLANK(K7539),IFERROR(VLOOKUP(I7539,FS_input_data!$C$458:$N$648,Export!J7539,FALSE),""),K7539)</f>
        <v/>
      </c>
      <c r="D7539" s="6"/>
      <c r="E7539" s="6"/>
      <c r="F7539" s="6"/>
      <c r="G7539" s="120" t="b">
        <f t="shared" ref="G7539:G7546" si="456">RP_tax</f>
        <v>1</v>
      </c>
      <c r="H7539" s="6" t="s">
        <v>2189</v>
      </c>
      <c r="I7539" t="s">
        <v>1561</v>
      </c>
      <c r="J7539" t="s">
        <v>1561</v>
      </c>
      <c r="L7539" s="26" t="e">
        <f t="shared" si="452"/>
        <v>#VALUE!</v>
      </c>
    </row>
    <row r="7540" spans="1:12" x14ac:dyDescent="0.35">
      <c r="A7540" s="9">
        <f t="shared" si="453"/>
        <v>7539</v>
      </c>
      <c r="B7540" t="s">
        <v>109</v>
      </c>
      <c r="C7540" s="109">
        <f>IF(ISBLANK(K7540),IFERROR(VLOOKUP(I7540,FS_input_data!$C$458:$N$648,Export!J7540,FALSE),""),K7540)</f>
        <v>17000</v>
      </c>
      <c r="D7540" s="6" t="b">
        <v>1</v>
      </c>
      <c r="E7540" s="6"/>
      <c r="F7540" s="6"/>
      <c r="G7540" s="120" t="b">
        <f t="shared" si="456"/>
        <v>1</v>
      </c>
      <c r="H7540" s="6" t="s">
        <v>2189</v>
      </c>
      <c r="I7540" t="s">
        <v>2130</v>
      </c>
      <c r="J7540">
        <v>10</v>
      </c>
      <c r="L7540" s="26" t="e">
        <f t="shared" si="452"/>
        <v>#VALUE!</v>
      </c>
    </row>
    <row r="7541" spans="1:12" x14ac:dyDescent="0.35">
      <c r="A7541">
        <f t="shared" si="453"/>
        <v>7540</v>
      </c>
      <c r="B7541" t="s">
        <v>110</v>
      </c>
      <c r="C7541" s="109" t="str">
        <f>IF(ISBLANK(K7541),IFERROR(VLOOKUP(I7541,FS_input_data!$C$458:$N$648,Export!J7541,FALSE),""),K7541)</f>
        <v/>
      </c>
      <c r="D7541" s="6"/>
      <c r="E7541" s="6"/>
      <c r="F7541" s="6"/>
      <c r="G7541" s="120" t="b">
        <f t="shared" si="456"/>
        <v>1</v>
      </c>
      <c r="H7541" s="6" t="s">
        <v>2189</v>
      </c>
      <c r="I7541" t="s">
        <v>1561</v>
      </c>
      <c r="J7541" t="s">
        <v>1561</v>
      </c>
      <c r="L7541">
        <f t="shared" si="452"/>
        <v>1</v>
      </c>
    </row>
    <row r="7542" spans="1:12" x14ac:dyDescent="0.35">
      <c r="A7542" s="9">
        <f t="shared" si="453"/>
        <v>7541</v>
      </c>
      <c r="B7542" t="s">
        <v>111</v>
      </c>
      <c r="C7542" s="109">
        <f>IF(ISBLANK(K7542),IFERROR(VLOOKUP(I7542,FS_input_data!$C$458:$N$648,Export!J7542,FALSE),""),K7542)</f>
        <v>8500</v>
      </c>
      <c r="D7542" s="6" t="b">
        <v>0</v>
      </c>
      <c r="E7542" s="6"/>
      <c r="F7542" s="6"/>
      <c r="G7542" s="120" t="b">
        <f t="shared" si="456"/>
        <v>1</v>
      </c>
      <c r="H7542" s="6" t="s">
        <v>2189</v>
      </c>
      <c r="I7542" t="s">
        <v>2130</v>
      </c>
      <c r="J7542">
        <v>11</v>
      </c>
      <c r="L7542" s="26" t="e">
        <f t="shared" si="452"/>
        <v>#VALUE!</v>
      </c>
    </row>
    <row r="7543" spans="1:12" x14ac:dyDescent="0.35">
      <c r="A7543">
        <f t="shared" si="453"/>
        <v>7542</v>
      </c>
      <c r="B7543" t="s">
        <v>112</v>
      </c>
      <c r="C7543" s="109" t="str">
        <f>IF(ISBLANK(K7543),IFERROR(VLOOKUP(I7543,FS_input_data!$C$458:$N$648,Export!J7543,FALSE),""),K7543)</f>
        <v/>
      </c>
      <c r="D7543" s="6"/>
      <c r="E7543" s="6"/>
      <c r="F7543" s="6"/>
      <c r="G7543" s="120" t="b">
        <f t="shared" si="456"/>
        <v>1</v>
      </c>
      <c r="H7543" s="6" t="s">
        <v>2189</v>
      </c>
      <c r="I7543" t="s">
        <v>1561</v>
      </c>
      <c r="J7543" t="s">
        <v>1561</v>
      </c>
      <c r="L7543">
        <f t="shared" si="452"/>
        <v>1</v>
      </c>
    </row>
    <row r="7544" spans="1:12" x14ac:dyDescent="0.35">
      <c r="A7544" s="9">
        <f t="shared" si="453"/>
        <v>7543</v>
      </c>
      <c r="B7544" t="s">
        <v>749</v>
      </c>
      <c r="C7544" s="109">
        <f>IF(ISBLANK(K7544),IFERROR(VLOOKUP(I7544,FS_input_data!$C$458:$N$648,Export!J7544,FALSE),""),K7544)</f>
        <v>8500</v>
      </c>
      <c r="D7544" s="6" t="b">
        <v>0</v>
      </c>
      <c r="E7544" s="6"/>
      <c r="F7544" s="6"/>
      <c r="G7544" s="120" t="b">
        <f t="shared" si="456"/>
        <v>1</v>
      </c>
      <c r="H7544" s="6" t="s">
        <v>2189</v>
      </c>
      <c r="I7544" t="s">
        <v>2130</v>
      </c>
      <c r="J7544">
        <v>12</v>
      </c>
      <c r="L7544" s="26" t="e">
        <f t="shared" si="452"/>
        <v>#VALUE!</v>
      </c>
    </row>
    <row r="7545" spans="1:12" x14ac:dyDescent="0.35">
      <c r="A7545">
        <f t="shared" si="453"/>
        <v>7544</v>
      </c>
      <c r="B7545" t="s">
        <v>750</v>
      </c>
      <c r="C7545" s="109" t="str">
        <f>IF(ISBLANK(K7545),IFERROR(VLOOKUP(I7545,FS_input_data!$C$458:$N$648,Export!J7545,FALSE),""),K7545)</f>
        <v/>
      </c>
      <c r="D7545" s="6"/>
      <c r="E7545" s="6"/>
      <c r="F7545" s="6"/>
      <c r="G7545" s="120" t="b">
        <f t="shared" si="456"/>
        <v>1</v>
      </c>
      <c r="H7545" s="6" t="s">
        <v>2189</v>
      </c>
      <c r="I7545" t="s">
        <v>1561</v>
      </c>
      <c r="J7545" t="s">
        <v>1561</v>
      </c>
      <c r="L7545">
        <f t="shared" si="452"/>
        <v>1</v>
      </c>
    </row>
    <row r="7546" spans="1:12" x14ac:dyDescent="0.35">
      <c r="A7546">
        <f t="shared" si="453"/>
        <v>7545</v>
      </c>
      <c r="B7546" t="s">
        <v>745</v>
      </c>
      <c r="C7546" s="109" t="str">
        <f>IF(ISBLANK(K7546),IFERROR(VLOOKUP(I7546,FS_input_data!$C$458:$N$648,Export!J7546,FALSE),""),K7546)</f>
        <v/>
      </c>
      <c r="D7546" s="6"/>
      <c r="E7546" s="6"/>
      <c r="F7546" s="6"/>
      <c r="G7546" s="120" t="b">
        <f t="shared" si="456"/>
        <v>1</v>
      </c>
      <c r="H7546" s="6" t="s">
        <v>2189</v>
      </c>
      <c r="I7546" t="s">
        <v>1561</v>
      </c>
      <c r="J7546" t="s">
        <v>1561</v>
      </c>
      <c r="L7546">
        <f t="shared" si="452"/>
        <v>1</v>
      </c>
    </row>
    <row r="7547" spans="1:12" x14ac:dyDescent="0.35">
      <c r="A7547">
        <f t="shared" si="453"/>
        <v>7546</v>
      </c>
      <c r="B7547" t="s">
        <v>764</v>
      </c>
      <c r="C7547" s="109" t="str">
        <f>IF(ISBLANK(K7547),IFERROR(VLOOKUP(I7547,FS_input_data!$C$458:$N$648,Export!J7547,FALSE),""),K7547)</f>
        <v/>
      </c>
      <c r="D7547" s="6"/>
      <c r="E7547" s="6"/>
      <c r="F7547" s="6"/>
      <c r="G7547" s="120" t="b">
        <f>VLOOKUP(I7528,FS_input_noty,J7528,FALSE)=""</f>
        <v>0</v>
      </c>
      <c r="H7547" s="6" t="s">
        <v>2189</v>
      </c>
      <c r="I7547" t="s">
        <v>1561</v>
      </c>
      <c r="J7547" t="s">
        <v>1561</v>
      </c>
      <c r="L7547">
        <f t="shared" si="452"/>
        <v>1</v>
      </c>
    </row>
    <row r="7548" spans="1:12" x14ac:dyDescent="0.35">
      <c r="A7548">
        <f t="shared" si="453"/>
        <v>7547</v>
      </c>
      <c r="B7548" t="s">
        <v>765</v>
      </c>
      <c r="C7548" s="109" t="str">
        <f>IF(ISBLANK(K7548),IFERROR(VLOOKUP(I7548,FS_input_data!$C$458:$N$648,Export!J7548,FALSE),""),K7548)</f>
        <v/>
      </c>
      <c r="D7548" s="6"/>
      <c r="E7548" s="6"/>
      <c r="F7548" s="6"/>
      <c r="G7548" s="120" t="b">
        <f>VLOOKUP(I7528,FS_input_noty,J7528,FALSE)=""</f>
        <v>0</v>
      </c>
      <c r="H7548" s="6" t="s">
        <v>2189</v>
      </c>
      <c r="I7548" t="s">
        <v>1561</v>
      </c>
      <c r="J7548" t="s">
        <v>1561</v>
      </c>
      <c r="L7548">
        <f t="shared" si="452"/>
        <v>1</v>
      </c>
    </row>
    <row r="7549" spans="1:12" x14ac:dyDescent="0.35">
      <c r="A7549">
        <f t="shared" si="453"/>
        <v>7548</v>
      </c>
      <c r="B7549" t="s">
        <v>752</v>
      </c>
      <c r="C7549" s="109" t="str">
        <f>IF(ISBLANK(K7549),IFERROR(VLOOKUP(I7549,FS_input_data!$C$458:$N$648,Export!J7549,FALSE),""),K7549)</f>
        <v/>
      </c>
      <c r="D7549" s="6"/>
      <c r="E7549" s="6"/>
      <c r="F7549" s="6"/>
      <c r="G7549" s="120" t="b">
        <f>VLOOKUP(I7550,FS_input_noty,J7550,FALSE)=""</f>
        <v>0</v>
      </c>
      <c r="H7549" s="6" t="s">
        <v>2189</v>
      </c>
      <c r="I7549" t="s">
        <v>1561</v>
      </c>
      <c r="J7549" t="s">
        <v>1561</v>
      </c>
      <c r="L7549" s="26" t="e">
        <f t="shared" si="452"/>
        <v>#VALUE!</v>
      </c>
    </row>
    <row r="7550" spans="1:12" x14ac:dyDescent="0.35">
      <c r="A7550" s="9">
        <f t="shared" si="453"/>
        <v>7549</v>
      </c>
      <c r="B7550" t="s">
        <v>101</v>
      </c>
      <c r="C7550" s="109" t="str">
        <f>IF(ISBLANK(K7550),IFERROR(VLOOKUP(I7550,FS_input_data!$C$458:$N$648,Export!J7550,FALSE),""),K7550)</f>
        <v>OC139</v>
      </c>
      <c r="D7550" s="6" t="b">
        <v>1</v>
      </c>
      <c r="E7550" s="6"/>
      <c r="F7550" s="6"/>
      <c r="G7550" s="120" t="b">
        <f>VLOOKUP(I7550,FS_input_noty,J7550,FALSE)=""</f>
        <v>0</v>
      </c>
      <c r="H7550" s="6" t="s">
        <v>2189</v>
      </c>
      <c r="I7550" t="s">
        <v>2132</v>
      </c>
      <c r="J7550">
        <v>6</v>
      </c>
      <c r="L7550" s="26" t="e">
        <f t="shared" si="452"/>
        <v>#VALUE!</v>
      </c>
    </row>
    <row r="7551" spans="1:12" x14ac:dyDescent="0.35">
      <c r="A7551">
        <f t="shared" si="453"/>
        <v>7550</v>
      </c>
      <c r="B7551" t="s">
        <v>102</v>
      </c>
      <c r="C7551" s="109" t="str">
        <f>IF(ISBLANK(K7551),IFERROR(VLOOKUP(I7551,FS_input_data!$C$458:$N$648,Export!J7551,FALSE),""),K7551)</f>
        <v/>
      </c>
      <c r="D7551" s="6"/>
      <c r="E7551" s="6"/>
      <c r="F7551" s="6"/>
      <c r="G7551" s="120" t="b">
        <f>VLOOKUP(I7550,FS_input_noty,J7550,FALSE)=""</f>
        <v>0</v>
      </c>
      <c r="H7551" s="6" t="s">
        <v>2189</v>
      </c>
      <c r="I7551" t="s">
        <v>1561</v>
      </c>
      <c r="J7551" t="s">
        <v>1561</v>
      </c>
      <c r="L7551">
        <f t="shared" si="452"/>
        <v>1</v>
      </c>
    </row>
    <row r="7552" spans="1:12" x14ac:dyDescent="0.35">
      <c r="A7552">
        <f t="shared" si="453"/>
        <v>7551</v>
      </c>
      <c r="B7552" t="s">
        <v>753</v>
      </c>
      <c r="C7552" s="109" t="str">
        <f>IF(ISBLANK(K7552),IFERROR(VLOOKUP(I7552,FS_input_data!$C$458:$N$648,Export!J7552,FALSE),""),K7552)</f>
        <v/>
      </c>
      <c r="D7552" s="6"/>
      <c r="E7552" s="6"/>
      <c r="F7552" s="6"/>
      <c r="G7552" s="120" t="b">
        <f>VLOOKUP(I7550,FS_input_noty,J7550,FALSE)=""</f>
        <v>0</v>
      </c>
      <c r="H7552" s="6" t="s">
        <v>2189</v>
      </c>
      <c r="I7552" t="s">
        <v>1561</v>
      </c>
      <c r="J7552" t="s">
        <v>1561</v>
      </c>
      <c r="L7552" s="26" t="e">
        <f t="shared" si="452"/>
        <v>#VALUE!</v>
      </c>
    </row>
    <row r="7553" spans="1:12" x14ac:dyDescent="0.35">
      <c r="A7553">
        <f t="shared" si="453"/>
        <v>7552</v>
      </c>
      <c r="B7553" t="s">
        <v>742</v>
      </c>
      <c r="C7553" s="109" t="str">
        <f>IF(ISBLANK(K7553),IFERROR(VLOOKUP(I7553,FS_input_data!$C$458:$N$648,Export!J7553,FALSE),""),K7553)</f>
        <v/>
      </c>
      <c r="D7553" s="6"/>
      <c r="E7553" s="6"/>
      <c r="F7553" s="6"/>
      <c r="G7553" s="120" t="b">
        <f>VLOOKUP(I7550,FS_input_noty,J7550,FALSE)=""</f>
        <v>0</v>
      </c>
      <c r="H7553" s="6" t="s">
        <v>2189</v>
      </c>
      <c r="I7553" t="s">
        <v>1561</v>
      </c>
      <c r="J7553" t="s">
        <v>1561</v>
      </c>
      <c r="L7553" s="26" t="e">
        <f t="shared" si="452"/>
        <v>#VALUE!</v>
      </c>
    </row>
    <row r="7554" spans="1:12" x14ac:dyDescent="0.35">
      <c r="A7554" s="9">
        <f t="shared" si="453"/>
        <v>7553</v>
      </c>
      <c r="B7554" t="s">
        <v>109</v>
      </c>
      <c r="C7554" s="109">
        <f>IF(ISBLANK(K7554),IFERROR(VLOOKUP(I7554,FS_input_data!$C$458:$N$648,Export!J7554,FALSE),""),K7554)</f>
        <v>18000</v>
      </c>
      <c r="D7554" s="6" t="b">
        <v>1</v>
      </c>
      <c r="E7554" s="6"/>
      <c r="F7554" s="6"/>
      <c r="G7554" s="120" t="b">
        <f>VLOOKUP(I7550,FS_input_noty,J7550,FALSE)=""</f>
        <v>0</v>
      </c>
      <c r="H7554" s="6" t="s">
        <v>2189</v>
      </c>
      <c r="I7554" t="s">
        <v>2132</v>
      </c>
      <c r="J7554">
        <v>7</v>
      </c>
      <c r="L7554" s="26" t="e">
        <f t="shared" ref="L7554:L7617" si="457">FIND("/",B7554)</f>
        <v>#VALUE!</v>
      </c>
    </row>
    <row r="7555" spans="1:12" x14ac:dyDescent="0.35">
      <c r="A7555">
        <f t="shared" ref="A7555:A7618" si="458">A7554+1</f>
        <v>7554</v>
      </c>
      <c r="B7555" t="s">
        <v>110</v>
      </c>
      <c r="C7555" s="109" t="str">
        <f>IF(ISBLANK(K7555),IFERROR(VLOOKUP(I7555,FS_input_data!$C$458:$N$648,Export!J7555,FALSE),""),K7555)</f>
        <v/>
      </c>
      <c r="D7555" s="6"/>
      <c r="E7555" s="6"/>
      <c r="F7555" s="6"/>
      <c r="G7555" s="120" t="b">
        <f>VLOOKUP(I7550,FS_input_noty,J7550,FALSE)=""</f>
        <v>0</v>
      </c>
      <c r="H7555" s="6" t="s">
        <v>2189</v>
      </c>
      <c r="I7555" t="s">
        <v>1561</v>
      </c>
      <c r="J7555" t="s">
        <v>1561</v>
      </c>
      <c r="L7555">
        <f t="shared" si="457"/>
        <v>1</v>
      </c>
    </row>
    <row r="7556" spans="1:12" x14ac:dyDescent="0.35">
      <c r="A7556" s="9">
        <f t="shared" si="458"/>
        <v>7555</v>
      </c>
      <c r="B7556" t="s">
        <v>111</v>
      </c>
      <c r="C7556" s="109">
        <f>IF(ISBLANK(K7556),IFERROR(VLOOKUP(I7556,FS_input_data!$C$458:$N$648,Export!J7556,FALSE),""),K7556)</f>
        <v>9000</v>
      </c>
      <c r="D7556" s="6" t="b">
        <v>0</v>
      </c>
      <c r="E7556" s="6"/>
      <c r="F7556" s="6"/>
      <c r="G7556" s="120" t="b">
        <f>VLOOKUP(I7550,FS_input_noty,J7550,FALSE)=""</f>
        <v>0</v>
      </c>
      <c r="H7556" s="6" t="s">
        <v>2189</v>
      </c>
      <c r="I7556" t="s">
        <v>2132</v>
      </c>
      <c r="J7556">
        <v>8</v>
      </c>
      <c r="L7556" s="26" t="e">
        <f t="shared" si="457"/>
        <v>#VALUE!</v>
      </c>
    </row>
    <row r="7557" spans="1:12" x14ac:dyDescent="0.35">
      <c r="A7557">
        <f t="shared" si="458"/>
        <v>7556</v>
      </c>
      <c r="B7557" t="s">
        <v>112</v>
      </c>
      <c r="C7557" s="109" t="str">
        <f>IF(ISBLANK(K7557),IFERROR(VLOOKUP(I7557,FS_input_data!$C$458:$N$648,Export!J7557,FALSE),""),K7557)</f>
        <v/>
      </c>
      <c r="D7557" s="6"/>
      <c r="E7557" s="6"/>
      <c r="F7557" s="6"/>
      <c r="G7557" s="120" t="b">
        <f>VLOOKUP(I7550,FS_input_noty,J7550,FALSE)=""</f>
        <v>0</v>
      </c>
      <c r="H7557" s="6" t="s">
        <v>2189</v>
      </c>
      <c r="I7557" t="s">
        <v>1561</v>
      </c>
      <c r="J7557" t="s">
        <v>1561</v>
      </c>
      <c r="L7557">
        <f t="shared" si="457"/>
        <v>1</v>
      </c>
    </row>
    <row r="7558" spans="1:12" x14ac:dyDescent="0.35">
      <c r="A7558" s="9">
        <f t="shared" si="458"/>
        <v>7557</v>
      </c>
      <c r="B7558" t="s">
        <v>749</v>
      </c>
      <c r="C7558" s="109">
        <f>IF(ISBLANK(K7558),IFERROR(VLOOKUP(I7558,FS_input_data!$C$458:$N$648,Export!J7558,FALSE),""),K7558)</f>
        <v>9000</v>
      </c>
      <c r="D7558" s="6" t="b">
        <v>0</v>
      </c>
      <c r="E7558" s="6"/>
      <c r="F7558" s="6"/>
      <c r="G7558" s="120" t="b">
        <f>VLOOKUP(I7550,FS_input_noty,J7550,FALSE)=""</f>
        <v>0</v>
      </c>
      <c r="H7558" s="6" t="s">
        <v>2189</v>
      </c>
      <c r="I7558" t="s">
        <v>2132</v>
      </c>
      <c r="J7558">
        <v>9</v>
      </c>
      <c r="L7558" s="26" t="e">
        <f t="shared" si="457"/>
        <v>#VALUE!</v>
      </c>
    </row>
    <row r="7559" spans="1:12" x14ac:dyDescent="0.35">
      <c r="A7559">
        <f t="shared" si="458"/>
        <v>7558</v>
      </c>
      <c r="B7559" t="s">
        <v>750</v>
      </c>
      <c r="C7559" s="109" t="str">
        <f>IF(ISBLANK(K7559),IFERROR(VLOOKUP(I7559,FS_input_data!$C$458:$N$648,Export!J7559,FALSE),""),K7559)</f>
        <v/>
      </c>
      <c r="D7559" s="6"/>
      <c r="E7559" s="6"/>
      <c r="F7559" s="6"/>
      <c r="G7559" s="120" t="b">
        <f>VLOOKUP(I7550,FS_input_noty,J7550,FALSE)=""</f>
        <v>0</v>
      </c>
      <c r="H7559" s="6" t="s">
        <v>2189</v>
      </c>
      <c r="I7559" t="s">
        <v>1561</v>
      </c>
      <c r="J7559" t="s">
        <v>1561</v>
      </c>
      <c r="L7559">
        <f t="shared" si="457"/>
        <v>1</v>
      </c>
    </row>
    <row r="7560" spans="1:12" x14ac:dyDescent="0.35">
      <c r="A7560">
        <f t="shared" si="458"/>
        <v>7559</v>
      </c>
      <c r="B7560" t="s">
        <v>743</v>
      </c>
      <c r="C7560" s="109" t="str">
        <f>IF(ISBLANK(K7560),IFERROR(VLOOKUP(I7560,FS_input_data!$C$458:$N$648,Export!J7560,FALSE),""),K7560)</f>
        <v/>
      </c>
      <c r="D7560" s="6"/>
      <c r="E7560" s="6"/>
      <c r="F7560" s="6"/>
      <c r="G7560" s="120" t="b">
        <f>VLOOKUP(I7550,FS_input_noty,J7550,FALSE)=""</f>
        <v>0</v>
      </c>
      <c r="H7560" s="6" t="s">
        <v>2189</v>
      </c>
      <c r="I7560" t="s">
        <v>1561</v>
      </c>
      <c r="J7560" t="s">
        <v>1561</v>
      </c>
      <c r="L7560">
        <f t="shared" si="457"/>
        <v>1</v>
      </c>
    </row>
    <row r="7561" spans="1:12" x14ac:dyDescent="0.35">
      <c r="A7561">
        <f t="shared" si="458"/>
        <v>7560</v>
      </c>
      <c r="B7561" t="s">
        <v>744</v>
      </c>
      <c r="C7561" s="109" t="str">
        <f>IF(ISBLANK(K7561),IFERROR(VLOOKUP(I7561,FS_input_data!$C$458:$N$648,Export!J7561,FALSE),""),K7561)</f>
        <v/>
      </c>
      <c r="D7561" s="6"/>
      <c r="E7561" s="6"/>
      <c r="F7561" s="6"/>
      <c r="G7561" s="120" t="b">
        <f t="shared" ref="G7561:G7568" si="459">RP_tax</f>
        <v>1</v>
      </c>
      <c r="H7561" s="6" t="s">
        <v>2189</v>
      </c>
      <c r="I7561" t="s">
        <v>1561</v>
      </c>
      <c r="J7561" t="s">
        <v>1561</v>
      </c>
      <c r="L7561" s="26" t="e">
        <f t="shared" si="457"/>
        <v>#VALUE!</v>
      </c>
    </row>
    <row r="7562" spans="1:12" x14ac:dyDescent="0.35">
      <c r="A7562" s="9">
        <f t="shared" si="458"/>
        <v>7561</v>
      </c>
      <c r="B7562" t="s">
        <v>109</v>
      </c>
      <c r="C7562" s="109">
        <f>IF(ISBLANK(K7562),IFERROR(VLOOKUP(I7562,FS_input_data!$C$458:$N$648,Export!J7562,FALSE),""),K7562)</f>
        <v>18000</v>
      </c>
      <c r="D7562" s="6" t="b">
        <v>1</v>
      </c>
      <c r="E7562" s="6"/>
      <c r="F7562" s="6"/>
      <c r="G7562" s="120" t="b">
        <f t="shared" si="459"/>
        <v>1</v>
      </c>
      <c r="H7562" s="6" t="s">
        <v>2189</v>
      </c>
      <c r="I7562" t="s">
        <v>2132</v>
      </c>
      <c r="J7562">
        <v>10</v>
      </c>
      <c r="L7562" s="26" t="e">
        <f t="shared" si="457"/>
        <v>#VALUE!</v>
      </c>
    </row>
    <row r="7563" spans="1:12" x14ac:dyDescent="0.35">
      <c r="A7563">
        <f t="shared" si="458"/>
        <v>7562</v>
      </c>
      <c r="B7563" t="s">
        <v>110</v>
      </c>
      <c r="C7563" s="109" t="str">
        <f>IF(ISBLANK(K7563),IFERROR(VLOOKUP(I7563,FS_input_data!$C$458:$N$648,Export!J7563,FALSE),""),K7563)</f>
        <v/>
      </c>
      <c r="D7563" s="6"/>
      <c r="E7563" s="6"/>
      <c r="F7563" s="6"/>
      <c r="G7563" s="120" t="b">
        <f t="shared" si="459"/>
        <v>1</v>
      </c>
      <c r="H7563" s="6" t="s">
        <v>2189</v>
      </c>
      <c r="I7563" t="s">
        <v>1561</v>
      </c>
      <c r="J7563" t="s">
        <v>1561</v>
      </c>
      <c r="L7563">
        <f t="shared" si="457"/>
        <v>1</v>
      </c>
    </row>
    <row r="7564" spans="1:12" x14ac:dyDescent="0.35">
      <c r="A7564" s="9">
        <f t="shared" si="458"/>
        <v>7563</v>
      </c>
      <c r="B7564" t="s">
        <v>111</v>
      </c>
      <c r="C7564" s="109">
        <f>IF(ISBLANK(K7564),IFERROR(VLOOKUP(I7564,FS_input_data!$C$458:$N$648,Export!J7564,FALSE),""),K7564)</f>
        <v>9000</v>
      </c>
      <c r="D7564" s="6" t="b">
        <v>0</v>
      </c>
      <c r="E7564" s="6"/>
      <c r="F7564" s="6"/>
      <c r="G7564" s="120" t="b">
        <f t="shared" si="459"/>
        <v>1</v>
      </c>
      <c r="H7564" s="6" t="s">
        <v>2189</v>
      </c>
      <c r="I7564" t="s">
        <v>2132</v>
      </c>
      <c r="J7564">
        <v>11</v>
      </c>
      <c r="L7564" s="26" t="e">
        <f t="shared" si="457"/>
        <v>#VALUE!</v>
      </c>
    </row>
    <row r="7565" spans="1:12" x14ac:dyDescent="0.35">
      <c r="A7565">
        <f t="shared" si="458"/>
        <v>7564</v>
      </c>
      <c r="B7565" t="s">
        <v>112</v>
      </c>
      <c r="C7565" s="109" t="str">
        <f>IF(ISBLANK(K7565),IFERROR(VLOOKUP(I7565,FS_input_data!$C$458:$N$648,Export!J7565,FALSE),""),K7565)</f>
        <v/>
      </c>
      <c r="D7565" s="6"/>
      <c r="E7565" s="6"/>
      <c r="F7565" s="6"/>
      <c r="G7565" s="120" t="b">
        <f t="shared" si="459"/>
        <v>1</v>
      </c>
      <c r="H7565" s="6" t="s">
        <v>2189</v>
      </c>
      <c r="I7565" t="s">
        <v>1561</v>
      </c>
      <c r="J7565" t="s">
        <v>1561</v>
      </c>
      <c r="L7565">
        <f t="shared" si="457"/>
        <v>1</v>
      </c>
    </row>
    <row r="7566" spans="1:12" x14ac:dyDescent="0.35">
      <c r="A7566" s="9">
        <f t="shared" si="458"/>
        <v>7565</v>
      </c>
      <c r="B7566" t="s">
        <v>749</v>
      </c>
      <c r="C7566" s="109">
        <f>IF(ISBLANK(K7566),IFERROR(VLOOKUP(I7566,FS_input_data!$C$458:$N$648,Export!J7566,FALSE),""),K7566)</f>
        <v>9000</v>
      </c>
      <c r="D7566" s="6" t="b">
        <v>0</v>
      </c>
      <c r="E7566" s="6"/>
      <c r="F7566" s="6"/>
      <c r="G7566" s="120" t="b">
        <f t="shared" si="459"/>
        <v>1</v>
      </c>
      <c r="H7566" s="6" t="s">
        <v>2189</v>
      </c>
      <c r="I7566" t="s">
        <v>2132</v>
      </c>
      <c r="J7566">
        <v>12</v>
      </c>
      <c r="L7566" s="26" t="e">
        <f t="shared" si="457"/>
        <v>#VALUE!</v>
      </c>
    </row>
    <row r="7567" spans="1:12" x14ac:dyDescent="0.35">
      <c r="A7567">
        <f t="shared" si="458"/>
        <v>7566</v>
      </c>
      <c r="B7567" t="s">
        <v>750</v>
      </c>
      <c r="C7567" s="109" t="str">
        <f>IF(ISBLANK(K7567),IFERROR(VLOOKUP(I7567,FS_input_data!$C$458:$N$648,Export!J7567,FALSE),""),K7567)</f>
        <v/>
      </c>
      <c r="D7567" s="6"/>
      <c r="E7567" s="6"/>
      <c r="F7567" s="6"/>
      <c r="G7567" s="120" t="b">
        <f t="shared" si="459"/>
        <v>1</v>
      </c>
      <c r="H7567" s="6" t="s">
        <v>2189</v>
      </c>
      <c r="I7567" t="s">
        <v>1561</v>
      </c>
      <c r="J7567" t="s">
        <v>1561</v>
      </c>
      <c r="L7567">
        <f t="shared" si="457"/>
        <v>1</v>
      </c>
    </row>
    <row r="7568" spans="1:12" x14ac:dyDescent="0.35">
      <c r="A7568">
        <f t="shared" si="458"/>
        <v>7567</v>
      </c>
      <c r="B7568" t="s">
        <v>745</v>
      </c>
      <c r="C7568" s="109" t="str">
        <f>IF(ISBLANK(K7568),IFERROR(VLOOKUP(I7568,FS_input_data!$C$458:$N$648,Export!J7568,FALSE),""),K7568)</f>
        <v/>
      </c>
      <c r="D7568" s="6"/>
      <c r="E7568" s="6"/>
      <c r="F7568" s="6"/>
      <c r="G7568" s="120" t="b">
        <f t="shared" si="459"/>
        <v>1</v>
      </c>
      <c r="H7568" s="6" t="s">
        <v>2189</v>
      </c>
      <c r="I7568" t="s">
        <v>1561</v>
      </c>
      <c r="J7568" t="s">
        <v>1561</v>
      </c>
      <c r="L7568">
        <f t="shared" si="457"/>
        <v>1</v>
      </c>
    </row>
    <row r="7569" spans="1:12" x14ac:dyDescent="0.35">
      <c r="A7569">
        <f t="shared" si="458"/>
        <v>7568</v>
      </c>
      <c r="B7569" t="s">
        <v>764</v>
      </c>
      <c r="C7569" s="109" t="str">
        <f>IF(ISBLANK(K7569),IFERROR(VLOOKUP(I7569,FS_input_data!$C$458:$N$648,Export!J7569,FALSE),""),K7569)</f>
        <v/>
      </c>
      <c r="D7569" s="6"/>
      <c r="E7569" s="6"/>
      <c r="F7569" s="6"/>
      <c r="G7569" s="120" t="b">
        <f>VLOOKUP(I7550,FS_input_noty,J7550,FALSE)=""</f>
        <v>0</v>
      </c>
      <c r="H7569" s="6" t="s">
        <v>2189</v>
      </c>
      <c r="I7569" t="s">
        <v>1561</v>
      </c>
      <c r="J7569" t="s">
        <v>1561</v>
      </c>
      <c r="L7569">
        <f t="shared" si="457"/>
        <v>1</v>
      </c>
    </row>
    <row r="7570" spans="1:12" x14ac:dyDescent="0.35">
      <c r="A7570">
        <f t="shared" si="458"/>
        <v>7569</v>
      </c>
      <c r="B7570" t="s">
        <v>765</v>
      </c>
      <c r="C7570" s="109" t="str">
        <f>IF(ISBLANK(K7570),IFERROR(VLOOKUP(I7570,FS_input_data!$C$458:$N$648,Export!J7570,FALSE),""),K7570)</f>
        <v/>
      </c>
      <c r="D7570" s="6"/>
      <c r="E7570" s="6"/>
      <c r="F7570" s="6"/>
      <c r="G7570" s="120" t="b">
        <f>VLOOKUP(I7550,FS_input_noty,J7550,FALSE)=""</f>
        <v>0</v>
      </c>
      <c r="H7570" s="6" t="s">
        <v>2189</v>
      </c>
      <c r="I7570" t="s">
        <v>1561</v>
      </c>
      <c r="J7570" t="s">
        <v>1561</v>
      </c>
      <c r="L7570">
        <f t="shared" si="457"/>
        <v>1</v>
      </c>
    </row>
    <row r="7571" spans="1:12" x14ac:dyDescent="0.35">
      <c r="A7571">
        <f t="shared" si="458"/>
        <v>7570</v>
      </c>
      <c r="B7571" t="s">
        <v>752</v>
      </c>
      <c r="C7571" s="109" t="str">
        <f>IF(ISBLANK(K7571),IFERROR(VLOOKUP(I7571,FS_input_data!$C$458:$N$648,Export!J7571,FALSE),""),K7571)</f>
        <v/>
      </c>
      <c r="D7571" s="6"/>
      <c r="E7571" s="6"/>
      <c r="F7571" s="6"/>
      <c r="G7571" s="120" t="b">
        <f>VLOOKUP(I7572,FS_input_noty,J7572,FALSE)=""</f>
        <v>0</v>
      </c>
      <c r="H7571" s="6" t="s">
        <v>2189</v>
      </c>
      <c r="I7571" t="s">
        <v>1561</v>
      </c>
      <c r="J7571" t="s">
        <v>1561</v>
      </c>
      <c r="L7571" s="26" t="e">
        <f t="shared" si="457"/>
        <v>#VALUE!</v>
      </c>
    </row>
    <row r="7572" spans="1:12" x14ac:dyDescent="0.35">
      <c r="A7572" s="9">
        <f t="shared" si="458"/>
        <v>7571</v>
      </c>
      <c r="B7572" t="s">
        <v>101</v>
      </c>
      <c r="C7572" s="109">
        <f>IF(ISBLANK(K7572),IFERROR(VLOOKUP(I7572,FS_input_data!$C$458:$N$648,Export!J7572,FALSE),""),K7572)</f>
        <v>263</v>
      </c>
      <c r="D7572" s="6" t="b">
        <v>1</v>
      </c>
      <c r="E7572" s="6"/>
      <c r="F7572" s="6"/>
      <c r="G7572" s="120" t="b">
        <f>VLOOKUP(I7572,FS_input_noty,J7572,FALSE)=""</f>
        <v>0</v>
      </c>
      <c r="H7572" s="6" t="s">
        <v>2189</v>
      </c>
      <c r="I7572" t="s">
        <v>2134</v>
      </c>
      <c r="J7572">
        <v>3</v>
      </c>
      <c r="L7572" s="26" t="e">
        <f t="shared" si="457"/>
        <v>#VALUE!</v>
      </c>
    </row>
    <row r="7573" spans="1:12" x14ac:dyDescent="0.35">
      <c r="A7573">
        <f t="shared" si="458"/>
        <v>7572</v>
      </c>
      <c r="B7573" t="s">
        <v>102</v>
      </c>
      <c r="C7573" s="109" t="str">
        <f>IF(ISBLANK(K7573),IFERROR(VLOOKUP(I7573,FS_input_data!$C$458:$N$648,Export!J7573,FALSE),""),K7573)</f>
        <v/>
      </c>
      <c r="D7573" s="6"/>
      <c r="E7573" s="6"/>
      <c r="F7573" s="6"/>
      <c r="G7573" s="120" t="b">
        <f>VLOOKUP(I7572,FS_input_noty,J7572,FALSE)=""</f>
        <v>0</v>
      </c>
      <c r="H7573" s="6" t="s">
        <v>2189</v>
      </c>
      <c r="I7573" t="s">
        <v>1561</v>
      </c>
      <c r="J7573" t="s">
        <v>1561</v>
      </c>
      <c r="L7573">
        <f t="shared" si="457"/>
        <v>1</v>
      </c>
    </row>
    <row r="7574" spans="1:12" x14ac:dyDescent="0.35">
      <c r="A7574">
        <f t="shared" si="458"/>
        <v>7573</v>
      </c>
      <c r="B7574" t="s">
        <v>753</v>
      </c>
      <c r="C7574" s="109" t="str">
        <f>IF(ISBLANK(K7574),IFERROR(VLOOKUP(I7574,FS_input_data!$C$458:$N$648,Export!J7574,FALSE),""),K7574)</f>
        <v/>
      </c>
      <c r="D7574" s="9"/>
      <c r="E7574" s="6"/>
      <c r="F7574" s="6"/>
      <c r="G7574" s="120" t="b">
        <f>VLOOKUP(I7572,FS_input_noty,J7572,FALSE)=""</f>
        <v>0</v>
      </c>
      <c r="H7574" s="6" t="s">
        <v>2189</v>
      </c>
      <c r="I7574" t="s">
        <v>1561</v>
      </c>
      <c r="J7574" t="s">
        <v>1561</v>
      </c>
      <c r="L7574" s="26" t="e">
        <f t="shared" si="457"/>
        <v>#VALUE!</v>
      </c>
    </row>
    <row r="7575" spans="1:12" x14ac:dyDescent="0.35">
      <c r="A7575">
        <f t="shared" si="458"/>
        <v>7574</v>
      </c>
      <c r="B7575" t="s">
        <v>742</v>
      </c>
      <c r="C7575" s="109" t="str">
        <f>IF(ISBLANK(K7575),IFERROR(VLOOKUP(I7575,FS_input_data!$C$458:$N$648,Export!J7575,FALSE),""),K7575)</f>
        <v/>
      </c>
      <c r="D7575" s="9"/>
      <c r="E7575" s="6"/>
      <c r="F7575" s="6"/>
      <c r="G7575" s="120" t="b">
        <f>VLOOKUP(I7572,FS_input_noty,J7572,FALSE)=""</f>
        <v>0</v>
      </c>
      <c r="H7575" s="6" t="s">
        <v>2189</v>
      </c>
      <c r="I7575" t="s">
        <v>1561</v>
      </c>
      <c r="J7575" t="s">
        <v>1561</v>
      </c>
      <c r="L7575" s="26" t="e">
        <f t="shared" si="457"/>
        <v>#VALUE!</v>
      </c>
    </row>
    <row r="7576" spans="1:12" x14ac:dyDescent="0.35">
      <c r="A7576" s="9">
        <f t="shared" si="458"/>
        <v>7575</v>
      </c>
      <c r="B7576" t="s">
        <v>109</v>
      </c>
      <c r="C7576" s="109">
        <f>IF(ISBLANK(K7576),IFERROR(VLOOKUP(I7576,FS_input_data!$C$458:$N$648,Export!J7576,FALSE),""),K7576)</f>
        <v>363</v>
      </c>
      <c r="D7576" s="9" t="b">
        <v>1</v>
      </c>
      <c r="E7576" s="6"/>
      <c r="F7576" s="6"/>
      <c r="G7576" s="120" t="b">
        <f>VLOOKUP(I7572,FS_input_noty,J7572,FALSE)=""</f>
        <v>0</v>
      </c>
      <c r="H7576" s="6" t="s">
        <v>2189</v>
      </c>
      <c r="I7576" t="s">
        <v>2134</v>
      </c>
      <c r="J7576">
        <v>4</v>
      </c>
      <c r="L7576" s="26" t="e">
        <f t="shared" si="457"/>
        <v>#VALUE!</v>
      </c>
    </row>
    <row r="7577" spans="1:12" x14ac:dyDescent="0.35">
      <c r="A7577">
        <f t="shared" si="458"/>
        <v>7576</v>
      </c>
      <c r="B7577" t="s">
        <v>110</v>
      </c>
      <c r="C7577" s="109" t="str">
        <f>IF(ISBLANK(K7577),IFERROR(VLOOKUP(I7577,FS_input_data!$C$458:$N$648,Export!J7577,FALSE),""),K7577)</f>
        <v/>
      </c>
      <c r="D7577" s="9"/>
      <c r="E7577" s="6"/>
      <c r="F7577" s="6"/>
      <c r="G7577" s="120" t="b">
        <f>VLOOKUP(I7572,FS_input_noty,J7572,FALSE)=""</f>
        <v>0</v>
      </c>
      <c r="H7577" s="6" t="s">
        <v>2189</v>
      </c>
      <c r="I7577" t="s">
        <v>1561</v>
      </c>
      <c r="J7577" t="s">
        <v>1561</v>
      </c>
      <c r="L7577">
        <f t="shared" si="457"/>
        <v>1</v>
      </c>
    </row>
    <row r="7578" spans="1:12" x14ac:dyDescent="0.35">
      <c r="A7578" s="9">
        <f t="shared" si="458"/>
        <v>7577</v>
      </c>
      <c r="B7578" t="s">
        <v>111</v>
      </c>
      <c r="C7578" s="109" t="str">
        <f>IF(ISBLANK(K7578),IFERROR(VLOOKUP(I7578,FS_input_data!$C$458:$N$648,Export!J7578,FALSE),""),K7578)</f>
        <v>g</v>
      </c>
      <c r="D7578" s="9" t="b">
        <v>0</v>
      </c>
      <c r="E7578" s="6"/>
      <c r="F7578" s="6"/>
      <c r="G7578" s="120" t="b">
        <f>VLOOKUP(I7572,FS_input_noty,J7572,FALSE)=""</f>
        <v>0</v>
      </c>
      <c r="H7578" s="6" t="s">
        <v>2189</v>
      </c>
      <c r="I7578" t="s">
        <v>2134</v>
      </c>
      <c r="J7578">
        <v>5</v>
      </c>
      <c r="L7578" s="26" t="e">
        <f t="shared" si="457"/>
        <v>#VALUE!</v>
      </c>
    </row>
    <row r="7579" spans="1:12" x14ac:dyDescent="0.35">
      <c r="A7579">
        <f t="shared" si="458"/>
        <v>7578</v>
      </c>
      <c r="B7579" t="s">
        <v>112</v>
      </c>
      <c r="C7579" s="109" t="str">
        <f>IF(ISBLANK(K7579),IFERROR(VLOOKUP(I7579,FS_input_data!$C$458:$N$648,Export!J7579,FALSE),""),K7579)</f>
        <v/>
      </c>
      <c r="D7579" s="9"/>
      <c r="E7579" s="6"/>
      <c r="F7579" s="6"/>
      <c r="G7579" s="120" t="b">
        <f>VLOOKUP(I7572,FS_input_noty,J7572,FALSE)=""</f>
        <v>0</v>
      </c>
      <c r="H7579" s="6" t="s">
        <v>2189</v>
      </c>
      <c r="I7579" t="s">
        <v>1561</v>
      </c>
      <c r="J7579" t="s">
        <v>1561</v>
      </c>
      <c r="L7579">
        <f t="shared" si="457"/>
        <v>1</v>
      </c>
    </row>
    <row r="7580" spans="1:12" x14ac:dyDescent="0.35">
      <c r="A7580" s="9">
        <f t="shared" si="458"/>
        <v>7579</v>
      </c>
      <c r="B7580" t="s">
        <v>749</v>
      </c>
      <c r="C7580" s="109">
        <f>IF(ISBLANK(K7580),IFERROR(VLOOKUP(I7580,FS_input_data!$C$458:$N$648,Export!J7580,FALSE),""),K7580)</f>
        <v>19000</v>
      </c>
      <c r="D7580" s="9" t="b">
        <v>0</v>
      </c>
      <c r="E7580" s="6"/>
      <c r="F7580" s="6"/>
      <c r="G7580" s="120" t="b">
        <f>VLOOKUP(I7572,FS_input_noty,J7572,FALSE)=""</f>
        <v>0</v>
      </c>
      <c r="H7580" s="6" t="s">
        <v>2189</v>
      </c>
      <c r="I7580" t="s">
        <v>2134</v>
      </c>
      <c r="J7580">
        <v>10</v>
      </c>
      <c r="L7580" s="26" t="e">
        <f t="shared" si="457"/>
        <v>#VALUE!</v>
      </c>
    </row>
    <row r="7581" spans="1:12" x14ac:dyDescent="0.35">
      <c r="A7581">
        <f t="shared" si="458"/>
        <v>7580</v>
      </c>
      <c r="B7581" t="s">
        <v>750</v>
      </c>
      <c r="C7581" s="109" t="str">
        <f>IF(ISBLANK(K7581),IFERROR(VLOOKUP(I7581,FS_input_data!$C$458:$N$648,Export!J7581,FALSE),""),K7581)</f>
        <v/>
      </c>
      <c r="D7581" s="9"/>
      <c r="E7581" s="6"/>
      <c r="F7581" s="6"/>
      <c r="G7581" s="120" t="b">
        <f>VLOOKUP(I7572,FS_input_noty,J7572,FALSE)=""</f>
        <v>0</v>
      </c>
      <c r="H7581" s="6" t="s">
        <v>2189</v>
      </c>
      <c r="I7581" t="s">
        <v>1561</v>
      </c>
      <c r="J7581" t="s">
        <v>1561</v>
      </c>
      <c r="L7581">
        <f t="shared" si="457"/>
        <v>1</v>
      </c>
    </row>
    <row r="7582" spans="1:12" x14ac:dyDescent="0.35">
      <c r="A7582">
        <f t="shared" si="458"/>
        <v>7581</v>
      </c>
      <c r="B7582" t="s">
        <v>743</v>
      </c>
      <c r="C7582" s="109" t="str">
        <f>IF(ISBLANK(K7582),IFERROR(VLOOKUP(I7582,FS_input_data!$C$458:$N$648,Export!J7582,FALSE),""),K7582)</f>
        <v/>
      </c>
      <c r="D7582" s="9"/>
      <c r="E7582" s="6"/>
      <c r="F7582" s="6"/>
      <c r="G7582" s="120" t="b">
        <f>VLOOKUP(I7572,FS_input_noty,J7572,FALSE)=""</f>
        <v>0</v>
      </c>
      <c r="H7582" s="6" t="s">
        <v>2189</v>
      </c>
      <c r="I7582" t="s">
        <v>1561</v>
      </c>
      <c r="J7582" t="s">
        <v>1561</v>
      </c>
      <c r="L7582">
        <f t="shared" si="457"/>
        <v>1</v>
      </c>
    </row>
    <row r="7583" spans="1:12" x14ac:dyDescent="0.35">
      <c r="A7583">
        <f t="shared" si="458"/>
        <v>7582</v>
      </c>
      <c r="B7583" t="s">
        <v>744</v>
      </c>
      <c r="C7583" s="109" t="str">
        <f>IF(ISBLANK(K7583),IFERROR(VLOOKUP(I7583,FS_input_data!$C$458:$N$648,Export!J7583,FALSE),""),K7583)</f>
        <v/>
      </c>
      <c r="D7583" s="9"/>
      <c r="E7583" s="6"/>
      <c r="F7583" s="6"/>
      <c r="G7583" s="120" t="b">
        <f t="shared" ref="G7583:G7590" si="460">RP_tax</f>
        <v>1</v>
      </c>
      <c r="H7583" s="6" t="s">
        <v>2189</v>
      </c>
      <c r="I7583" t="s">
        <v>1561</v>
      </c>
      <c r="J7583" t="s">
        <v>1561</v>
      </c>
      <c r="L7583" s="26" t="e">
        <f t="shared" si="457"/>
        <v>#VALUE!</v>
      </c>
    </row>
    <row r="7584" spans="1:12" x14ac:dyDescent="0.35">
      <c r="A7584" s="9">
        <f t="shared" si="458"/>
        <v>7583</v>
      </c>
      <c r="B7584" t="s">
        <v>109</v>
      </c>
      <c r="C7584" s="109">
        <f>IF(ISBLANK(K7584),IFERROR(VLOOKUP(I7584,FS_input_data!$C$458:$N$648,Export!J7584,FALSE),""),K7584)</f>
        <v>9500</v>
      </c>
      <c r="D7584" s="9" t="b">
        <v>1</v>
      </c>
      <c r="E7584" s="6"/>
      <c r="F7584" s="6"/>
      <c r="G7584" s="120" t="b">
        <f t="shared" si="460"/>
        <v>1</v>
      </c>
      <c r="H7584" s="6" t="s">
        <v>2189</v>
      </c>
      <c r="I7584" t="s">
        <v>2134</v>
      </c>
      <c r="J7584">
        <v>11</v>
      </c>
      <c r="L7584" s="26" t="e">
        <f t="shared" si="457"/>
        <v>#VALUE!</v>
      </c>
    </row>
    <row r="7585" spans="1:12" x14ac:dyDescent="0.35">
      <c r="A7585">
        <f t="shared" si="458"/>
        <v>7584</v>
      </c>
      <c r="B7585" t="s">
        <v>110</v>
      </c>
      <c r="C7585" s="109" t="str">
        <f>IF(ISBLANK(K7585),IFERROR(VLOOKUP(I7585,FS_input_data!$C$458:$N$648,Export!J7585,FALSE),""),K7585)</f>
        <v/>
      </c>
      <c r="D7585" s="9"/>
      <c r="E7585" s="6"/>
      <c r="F7585" s="6"/>
      <c r="G7585" s="120" t="b">
        <f t="shared" si="460"/>
        <v>1</v>
      </c>
      <c r="H7585" s="6" t="s">
        <v>2189</v>
      </c>
      <c r="I7585" t="s">
        <v>1561</v>
      </c>
      <c r="J7585" t="s">
        <v>1561</v>
      </c>
      <c r="L7585">
        <f t="shared" si="457"/>
        <v>1</v>
      </c>
    </row>
    <row r="7586" spans="1:12" x14ac:dyDescent="0.35">
      <c r="A7586" s="9">
        <f t="shared" si="458"/>
        <v>7585</v>
      </c>
      <c r="B7586" t="s">
        <v>111</v>
      </c>
      <c r="C7586" s="109">
        <f>IF(ISBLANK(K7586),IFERROR(VLOOKUP(I7586,FS_input_data!$C$458:$N$648,Export!J7586,FALSE),""),K7586)</f>
        <v>9500</v>
      </c>
      <c r="D7586" s="9" t="b">
        <v>0</v>
      </c>
      <c r="E7586" s="6"/>
      <c r="F7586" s="6"/>
      <c r="G7586" s="120" t="b">
        <f t="shared" si="460"/>
        <v>1</v>
      </c>
      <c r="H7586" s="6" t="s">
        <v>2189</v>
      </c>
      <c r="I7586" t="s">
        <v>2134</v>
      </c>
      <c r="J7586">
        <v>12</v>
      </c>
      <c r="L7586" s="26" t="e">
        <f t="shared" si="457"/>
        <v>#VALUE!</v>
      </c>
    </row>
    <row r="7587" spans="1:12" x14ac:dyDescent="0.35">
      <c r="A7587">
        <f t="shared" si="458"/>
        <v>7586</v>
      </c>
      <c r="B7587" t="s">
        <v>112</v>
      </c>
      <c r="C7587" s="109" t="str">
        <f>IF(ISBLANK(K7587),IFERROR(VLOOKUP(I7587,FS_input_data!$C$458:$N$648,Export!J7587,FALSE),""),K7587)</f>
        <v/>
      </c>
      <c r="D7587" s="9"/>
      <c r="E7587" s="6"/>
      <c r="F7587" s="6"/>
      <c r="G7587" s="120" t="b">
        <f t="shared" si="460"/>
        <v>1</v>
      </c>
      <c r="H7587" s="6" t="s">
        <v>2189</v>
      </c>
      <c r="I7587" t="s">
        <v>1561</v>
      </c>
      <c r="J7587" t="s">
        <v>1561</v>
      </c>
      <c r="L7587">
        <f t="shared" si="457"/>
        <v>1</v>
      </c>
    </row>
    <row r="7588" spans="1:12" x14ac:dyDescent="0.35">
      <c r="A7588" s="9">
        <f t="shared" si="458"/>
        <v>7587</v>
      </c>
      <c r="B7588" t="s">
        <v>749</v>
      </c>
      <c r="C7588" s="109" t="str">
        <f>IF(ISBLANK(K7588),IFERROR(VLOOKUP(I7588,FS_input_data!$C$458:$N$648,Export!J7588,FALSE),""),K7588)</f>
        <v>OC140</v>
      </c>
      <c r="D7588" s="9" t="b">
        <v>0</v>
      </c>
      <c r="E7588" s="6"/>
      <c r="F7588" s="6"/>
      <c r="G7588" s="120" t="b">
        <f t="shared" si="460"/>
        <v>1</v>
      </c>
      <c r="H7588" s="6" t="s">
        <v>2189</v>
      </c>
      <c r="I7588" t="s">
        <v>2134</v>
      </c>
      <c r="J7588">
        <v>6</v>
      </c>
      <c r="L7588" s="26" t="e">
        <f t="shared" si="457"/>
        <v>#VALUE!</v>
      </c>
    </row>
    <row r="7589" spans="1:12" x14ac:dyDescent="0.35">
      <c r="A7589">
        <f t="shared" si="458"/>
        <v>7588</v>
      </c>
      <c r="B7589" t="s">
        <v>750</v>
      </c>
      <c r="C7589" s="109" t="str">
        <f>IF(ISBLANK(K7589),IFERROR(VLOOKUP(I7589,FS_input_data!$C$458:$N$648,Export!J7589,FALSE),""),K7589)</f>
        <v/>
      </c>
      <c r="D7589" s="9"/>
      <c r="E7589" s="6"/>
      <c r="F7589" s="6"/>
      <c r="G7589" s="120" t="b">
        <f t="shared" si="460"/>
        <v>1</v>
      </c>
      <c r="H7589" s="6" t="s">
        <v>2189</v>
      </c>
      <c r="I7589" t="s">
        <v>1561</v>
      </c>
      <c r="J7589" t="s">
        <v>1561</v>
      </c>
      <c r="L7589">
        <f t="shared" si="457"/>
        <v>1</v>
      </c>
    </row>
    <row r="7590" spans="1:12" x14ac:dyDescent="0.35">
      <c r="A7590">
        <f t="shared" si="458"/>
        <v>7589</v>
      </c>
      <c r="B7590" t="s">
        <v>745</v>
      </c>
      <c r="C7590" s="109" t="str">
        <f>IF(ISBLANK(K7590),IFERROR(VLOOKUP(I7590,FS_input_data!$C$458:$N$648,Export!J7590,FALSE),""),K7590)</f>
        <v/>
      </c>
      <c r="D7590" s="9"/>
      <c r="E7590" s="6"/>
      <c r="F7590" s="6"/>
      <c r="G7590" s="120" t="b">
        <f t="shared" si="460"/>
        <v>1</v>
      </c>
      <c r="H7590" s="6" t="s">
        <v>2189</v>
      </c>
      <c r="I7590" t="s">
        <v>1561</v>
      </c>
      <c r="J7590" t="s">
        <v>1561</v>
      </c>
      <c r="L7590">
        <f t="shared" si="457"/>
        <v>1</v>
      </c>
    </row>
    <row r="7591" spans="1:12" x14ac:dyDescent="0.35">
      <c r="A7591">
        <f t="shared" si="458"/>
        <v>7590</v>
      </c>
      <c r="B7591" t="s">
        <v>764</v>
      </c>
      <c r="C7591" s="109" t="str">
        <f>IF(ISBLANK(K7591),IFERROR(VLOOKUP(I7591,FS_input_data!$C$458:$N$648,Export!J7591,FALSE),""),K7591)</f>
        <v/>
      </c>
      <c r="D7591" s="6"/>
      <c r="E7591" s="6"/>
      <c r="F7591" s="6"/>
      <c r="G7591" s="120" t="b">
        <f>VLOOKUP(I7572,FS_input_noty,J7572,FALSE)=""</f>
        <v>0</v>
      </c>
      <c r="H7591" s="6" t="s">
        <v>2189</v>
      </c>
      <c r="I7591" t="s">
        <v>1561</v>
      </c>
      <c r="J7591" t="s">
        <v>1561</v>
      </c>
      <c r="L7591">
        <f t="shared" si="457"/>
        <v>1</v>
      </c>
    </row>
    <row r="7592" spans="1:12" x14ac:dyDescent="0.35">
      <c r="A7592">
        <f t="shared" si="458"/>
        <v>7591</v>
      </c>
      <c r="B7592" t="s">
        <v>765</v>
      </c>
      <c r="C7592" s="109" t="str">
        <f>IF(ISBLANK(K7592),IFERROR(VLOOKUP(I7592,FS_input_data!$C$458:$N$648,Export!J7592,FALSE),""),K7592)</f>
        <v/>
      </c>
      <c r="D7592" s="6"/>
      <c r="E7592" s="6"/>
      <c r="F7592" s="6"/>
      <c r="G7592" s="120" t="b">
        <f>VLOOKUP(I7572,FS_input_noty,J7572,FALSE)=""</f>
        <v>0</v>
      </c>
      <c r="H7592" s="6" t="s">
        <v>2189</v>
      </c>
      <c r="I7592" t="s">
        <v>1561</v>
      </c>
      <c r="J7592" t="s">
        <v>1561</v>
      </c>
      <c r="L7592">
        <f t="shared" si="457"/>
        <v>1</v>
      </c>
    </row>
    <row r="7593" spans="1:12" x14ac:dyDescent="0.35">
      <c r="A7593">
        <f t="shared" si="458"/>
        <v>7592</v>
      </c>
      <c r="B7593" t="s">
        <v>752</v>
      </c>
      <c r="C7593" s="109" t="str">
        <f>IF(ISBLANK(K7593),IFERROR(VLOOKUP(I7593,FS_input_data!$C$458:$N$648,Export!J7593,FALSE),""),K7593)</f>
        <v/>
      </c>
      <c r="D7593" s="6"/>
      <c r="E7593" s="6"/>
      <c r="F7593" s="6"/>
      <c r="G7593" s="120" t="b">
        <f>VLOOKUP(I7594,FS_input_noty,J7594,FALSE)=""</f>
        <v>0</v>
      </c>
      <c r="H7593" s="6" t="s">
        <v>2189</v>
      </c>
      <c r="I7593" t="s">
        <v>1561</v>
      </c>
      <c r="J7593" t="s">
        <v>1561</v>
      </c>
      <c r="L7593" s="26" t="e">
        <f t="shared" si="457"/>
        <v>#VALUE!</v>
      </c>
    </row>
    <row r="7594" spans="1:12" x14ac:dyDescent="0.35">
      <c r="A7594" s="9">
        <f t="shared" si="458"/>
        <v>7593</v>
      </c>
      <c r="B7594" t="s">
        <v>101</v>
      </c>
      <c r="C7594" s="109">
        <f>IF(ISBLANK(K7594),IFERROR(VLOOKUP(I7594,FS_input_data!$C$458:$N$648,Export!J7594,FALSE),""),K7594)</f>
        <v>20000</v>
      </c>
      <c r="D7594" s="6" t="b">
        <v>1</v>
      </c>
      <c r="E7594" s="6"/>
      <c r="F7594" s="6"/>
      <c r="G7594" s="120" t="b">
        <f>VLOOKUP(I7594,FS_input_noty,J7594,FALSE)=""</f>
        <v>0</v>
      </c>
      <c r="H7594" s="6" t="s">
        <v>2189</v>
      </c>
      <c r="I7594" t="s">
        <v>2136</v>
      </c>
      <c r="J7594">
        <v>7</v>
      </c>
      <c r="L7594" s="26" t="e">
        <f t="shared" si="457"/>
        <v>#VALUE!</v>
      </c>
    </row>
    <row r="7595" spans="1:12" x14ac:dyDescent="0.35">
      <c r="A7595">
        <f t="shared" si="458"/>
        <v>7594</v>
      </c>
      <c r="B7595" t="s">
        <v>102</v>
      </c>
      <c r="C7595" s="109" t="str">
        <f>IF(ISBLANK(K7595),IFERROR(VLOOKUP(I7595,FS_input_data!$C$458:$N$648,Export!J7595,FALSE),""),K7595)</f>
        <v/>
      </c>
      <c r="D7595" s="6"/>
      <c r="E7595" s="6"/>
      <c r="F7595" s="6"/>
      <c r="G7595" s="120" t="b">
        <f>VLOOKUP(I7594,FS_input_noty,J7594,FALSE)=""</f>
        <v>0</v>
      </c>
      <c r="H7595" s="6" t="s">
        <v>2189</v>
      </c>
      <c r="I7595" t="s">
        <v>1561</v>
      </c>
      <c r="J7595" t="s">
        <v>1561</v>
      </c>
      <c r="L7595">
        <f t="shared" si="457"/>
        <v>1</v>
      </c>
    </row>
    <row r="7596" spans="1:12" x14ac:dyDescent="0.35">
      <c r="A7596">
        <f t="shared" si="458"/>
        <v>7595</v>
      </c>
      <c r="B7596" t="s">
        <v>753</v>
      </c>
      <c r="C7596" s="109" t="str">
        <f>IF(ISBLANK(K7596),IFERROR(VLOOKUP(I7596,FS_input_data!$C$458:$N$648,Export!J7596,FALSE),""),K7596)</f>
        <v/>
      </c>
      <c r="D7596" s="9"/>
      <c r="E7596" s="6"/>
      <c r="F7596" s="6"/>
      <c r="G7596" s="120" t="b">
        <f>VLOOKUP(I7594,FS_input_noty,J7594,FALSE)=""</f>
        <v>0</v>
      </c>
      <c r="H7596" s="6" t="s">
        <v>2189</v>
      </c>
      <c r="I7596" t="s">
        <v>1561</v>
      </c>
      <c r="J7596" t="s">
        <v>1561</v>
      </c>
      <c r="L7596" s="26" t="e">
        <f t="shared" si="457"/>
        <v>#VALUE!</v>
      </c>
    </row>
    <row r="7597" spans="1:12" x14ac:dyDescent="0.35">
      <c r="A7597">
        <f t="shared" si="458"/>
        <v>7596</v>
      </c>
      <c r="B7597" t="s">
        <v>742</v>
      </c>
      <c r="C7597" s="109" t="str">
        <f>IF(ISBLANK(K7597),IFERROR(VLOOKUP(I7597,FS_input_data!$C$458:$N$648,Export!J7597,FALSE),""),K7597)</f>
        <v/>
      </c>
      <c r="D7597" s="9"/>
      <c r="E7597" s="6"/>
      <c r="F7597" s="6"/>
      <c r="G7597" s="120" t="b">
        <f>VLOOKUP(I7594,FS_input_noty,J7594,FALSE)=""</f>
        <v>0</v>
      </c>
      <c r="H7597" s="6" t="s">
        <v>2189</v>
      </c>
      <c r="I7597" t="s">
        <v>1561</v>
      </c>
      <c r="J7597" t="s">
        <v>1561</v>
      </c>
      <c r="L7597" s="26" t="e">
        <f t="shared" si="457"/>
        <v>#VALUE!</v>
      </c>
    </row>
    <row r="7598" spans="1:12" x14ac:dyDescent="0.35">
      <c r="A7598" s="9">
        <f t="shared" si="458"/>
        <v>7597</v>
      </c>
      <c r="B7598" t="s">
        <v>109</v>
      </c>
      <c r="C7598" s="109">
        <f>IF(ISBLANK(K7598),IFERROR(VLOOKUP(I7598,FS_input_data!$C$458:$N$648,Export!J7598,FALSE),""),K7598)</f>
        <v>10000</v>
      </c>
      <c r="D7598" s="9" t="b">
        <v>1</v>
      </c>
      <c r="E7598" s="6"/>
      <c r="F7598" s="6"/>
      <c r="G7598" s="120" t="b">
        <f>VLOOKUP(I7594,FS_input_noty,J7594,FALSE)=""</f>
        <v>0</v>
      </c>
      <c r="H7598" s="6" t="s">
        <v>2189</v>
      </c>
      <c r="I7598" t="s">
        <v>2136</v>
      </c>
      <c r="J7598">
        <v>8</v>
      </c>
      <c r="L7598" s="26" t="e">
        <f t="shared" si="457"/>
        <v>#VALUE!</v>
      </c>
    </row>
    <row r="7599" spans="1:12" x14ac:dyDescent="0.35">
      <c r="A7599">
        <f t="shared" si="458"/>
        <v>7598</v>
      </c>
      <c r="B7599" t="s">
        <v>110</v>
      </c>
      <c r="C7599" s="109" t="str">
        <f>IF(ISBLANK(K7599),IFERROR(VLOOKUP(I7599,FS_input_data!$C$458:$N$648,Export!J7599,FALSE),""),K7599)</f>
        <v/>
      </c>
      <c r="D7599" s="9"/>
      <c r="E7599" s="6"/>
      <c r="F7599" s="6"/>
      <c r="G7599" s="120" t="b">
        <f>VLOOKUP(I7594,FS_input_noty,J7594,FALSE)=""</f>
        <v>0</v>
      </c>
      <c r="H7599" s="6" t="s">
        <v>2189</v>
      </c>
      <c r="I7599" t="s">
        <v>1561</v>
      </c>
      <c r="J7599" t="s">
        <v>1561</v>
      </c>
      <c r="L7599">
        <f t="shared" si="457"/>
        <v>1</v>
      </c>
    </row>
    <row r="7600" spans="1:12" x14ac:dyDescent="0.35">
      <c r="A7600" s="9">
        <f t="shared" si="458"/>
        <v>7599</v>
      </c>
      <c r="B7600" t="s">
        <v>111</v>
      </c>
      <c r="C7600" s="109">
        <f>IF(ISBLANK(K7600),IFERROR(VLOOKUP(I7600,FS_input_data!$C$458:$N$648,Export!J7600,FALSE),""),K7600)</f>
        <v>10000</v>
      </c>
      <c r="D7600" s="9" t="b">
        <v>0</v>
      </c>
      <c r="E7600" s="6"/>
      <c r="F7600" s="6"/>
      <c r="G7600" s="120" t="b">
        <f>VLOOKUP(I7594,FS_input_noty,J7594,FALSE)=""</f>
        <v>0</v>
      </c>
      <c r="H7600" s="6" t="s">
        <v>2189</v>
      </c>
      <c r="I7600" t="s">
        <v>2136</v>
      </c>
      <c r="J7600">
        <v>9</v>
      </c>
      <c r="L7600" s="26" t="e">
        <f t="shared" si="457"/>
        <v>#VALUE!</v>
      </c>
    </row>
    <row r="7601" spans="1:12" x14ac:dyDescent="0.35">
      <c r="A7601">
        <f t="shared" si="458"/>
        <v>7600</v>
      </c>
      <c r="B7601" t="s">
        <v>112</v>
      </c>
      <c r="C7601" s="109" t="str">
        <f>IF(ISBLANK(K7601),IFERROR(VLOOKUP(I7601,FS_input_data!$C$458:$N$648,Export!J7601,FALSE),""),K7601)</f>
        <v/>
      </c>
      <c r="D7601" s="9"/>
      <c r="E7601" s="6"/>
      <c r="F7601" s="6"/>
      <c r="G7601" s="120" t="b">
        <f>VLOOKUP(I7594,FS_input_noty,J7594,FALSE)=""</f>
        <v>0</v>
      </c>
      <c r="H7601" s="6" t="s">
        <v>2189</v>
      </c>
      <c r="I7601" t="s">
        <v>1561</v>
      </c>
      <c r="J7601" t="s">
        <v>1561</v>
      </c>
      <c r="L7601">
        <f t="shared" si="457"/>
        <v>1</v>
      </c>
    </row>
    <row r="7602" spans="1:12" x14ac:dyDescent="0.35">
      <c r="A7602" s="9">
        <f t="shared" si="458"/>
        <v>7601</v>
      </c>
      <c r="B7602" t="s">
        <v>749</v>
      </c>
      <c r="C7602" s="109">
        <f>IF(ISBLANK(K7602),IFERROR(VLOOKUP(I7602,FS_input_data!$C$458:$N$648,Export!J7602,FALSE),""),K7602)</f>
        <v>164</v>
      </c>
      <c r="D7602" s="9" t="b">
        <v>0</v>
      </c>
      <c r="E7602" s="6"/>
      <c r="F7602" s="6"/>
      <c r="G7602" s="120" t="b">
        <f>VLOOKUP(I7594,FS_input_noty,J7594,FALSE)=""</f>
        <v>0</v>
      </c>
      <c r="H7602" s="6" t="s">
        <v>2189</v>
      </c>
      <c r="I7602" t="s">
        <v>2136</v>
      </c>
      <c r="J7602">
        <v>2</v>
      </c>
      <c r="L7602" s="26" t="e">
        <f t="shared" si="457"/>
        <v>#VALUE!</v>
      </c>
    </row>
    <row r="7603" spans="1:12" x14ac:dyDescent="0.35">
      <c r="A7603">
        <f t="shared" si="458"/>
        <v>7602</v>
      </c>
      <c r="B7603" t="s">
        <v>750</v>
      </c>
      <c r="C7603" s="109" t="str">
        <f>IF(ISBLANK(K7603),IFERROR(VLOOKUP(I7603,FS_input_data!$C$458:$N$648,Export!J7603,FALSE),""),K7603)</f>
        <v/>
      </c>
      <c r="D7603" s="9"/>
      <c r="E7603" s="6"/>
      <c r="F7603" s="6"/>
      <c r="G7603" s="120" t="b">
        <f>VLOOKUP(I7594,FS_input_noty,J7594,FALSE)=""</f>
        <v>0</v>
      </c>
      <c r="H7603" s="6" t="s">
        <v>2189</v>
      </c>
      <c r="I7603" t="s">
        <v>1561</v>
      </c>
      <c r="J7603" t="s">
        <v>1561</v>
      </c>
      <c r="L7603">
        <f t="shared" si="457"/>
        <v>1</v>
      </c>
    </row>
    <row r="7604" spans="1:12" x14ac:dyDescent="0.35">
      <c r="A7604">
        <f t="shared" si="458"/>
        <v>7603</v>
      </c>
      <c r="B7604" t="s">
        <v>743</v>
      </c>
      <c r="C7604" s="109" t="str">
        <f>IF(ISBLANK(K7604),IFERROR(VLOOKUP(I7604,FS_input_data!$C$458:$N$648,Export!J7604,FALSE),""),K7604)</f>
        <v/>
      </c>
      <c r="D7604" s="9"/>
      <c r="E7604" s="6"/>
      <c r="F7604" s="6"/>
      <c r="G7604" s="120" t="b">
        <f>VLOOKUP(I7594,FS_input_noty,J7594,FALSE)=""</f>
        <v>0</v>
      </c>
      <c r="H7604" s="6" t="s">
        <v>2189</v>
      </c>
      <c r="I7604" t="s">
        <v>1561</v>
      </c>
      <c r="J7604" t="s">
        <v>1561</v>
      </c>
      <c r="L7604">
        <f t="shared" si="457"/>
        <v>1</v>
      </c>
    </row>
    <row r="7605" spans="1:12" x14ac:dyDescent="0.35">
      <c r="A7605">
        <f t="shared" si="458"/>
        <v>7604</v>
      </c>
      <c r="B7605" t="s">
        <v>744</v>
      </c>
      <c r="C7605" s="109" t="str">
        <f>IF(ISBLANK(K7605),IFERROR(VLOOKUP(I7605,FS_input_data!$C$458:$N$648,Export!J7605,FALSE),""),K7605)</f>
        <v/>
      </c>
      <c r="D7605" s="9"/>
      <c r="E7605" s="6"/>
      <c r="F7605" s="6"/>
      <c r="G7605" s="120" t="b">
        <f t="shared" ref="G7605:G7612" si="461">RP_tax</f>
        <v>1</v>
      </c>
      <c r="H7605" s="6" t="s">
        <v>2189</v>
      </c>
      <c r="I7605" t="s">
        <v>1561</v>
      </c>
      <c r="J7605" t="s">
        <v>1561</v>
      </c>
      <c r="L7605" s="26" t="e">
        <f t="shared" si="457"/>
        <v>#VALUE!</v>
      </c>
    </row>
    <row r="7606" spans="1:12" x14ac:dyDescent="0.35">
      <c r="A7606" s="9">
        <f t="shared" si="458"/>
        <v>7605</v>
      </c>
      <c r="B7606" t="s">
        <v>109</v>
      </c>
      <c r="C7606" s="109">
        <f>IF(ISBLANK(K7606),IFERROR(VLOOKUP(I7606,FS_input_data!$C$458:$N$648,Export!J7606,FALSE),""),K7606)</f>
        <v>264</v>
      </c>
      <c r="D7606" s="9" t="b">
        <v>1</v>
      </c>
      <c r="E7606" s="6"/>
      <c r="F7606" s="6"/>
      <c r="G7606" s="120" t="b">
        <f t="shared" si="461"/>
        <v>1</v>
      </c>
      <c r="H7606" s="6" t="s">
        <v>2189</v>
      </c>
      <c r="I7606" t="s">
        <v>2136</v>
      </c>
      <c r="J7606">
        <v>3</v>
      </c>
      <c r="L7606" s="26" t="e">
        <f t="shared" si="457"/>
        <v>#VALUE!</v>
      </c>
    </row>
    <row r="7607" spans="1:12" x14ac:dyDescent="0.35">
      <c r="A7607">
        <f t="shared" si="458"/>
        <v>7606</v>
      </c>
      <c r="B7607" t="s">
        <v>110</v>
      </c>
      <c r="C7607" s="109" t="str">
        <f>IF(ISBLANK(K7607),IFERROR(VLOOKUP(I7607,FS_input_data!$C$458:$N$648,Export!J7607,FALSE),""),K7607)</f>
        <v/>
      </c>
      <c r="D7607" s="9"/>
      <c r="E7607" s="6"/>
      <c r="F7607" s="6"/>
      <c r="G7607" s="120" t="b">
        <f t="shared" si="461"/>
        <v>1</v>
      </c>
      <c r="H7607" s="6" t="s">
        <v>2189</v>
      </c>
      <c r="I7607" t="s">
        <v>1561</v>
      </c>
      <c r="J7607" t="s">
        <v>1561</v>
      </c>
      <c r="L7607">
        <f t="shared" si="457"/>
        <v>1</v>
      </c>
    </row>
    <row r="7608" spans="1:12" x14ac:dyDescent="0.35">
      <c r="A7608" s="9">
        <f t="shared" si="458"/>
        <v>7607</v>
      </c>
      <c r="B7608" t="s">
        <v>111</v>
      </c>
      <c r="C7608" s="109">
        <f>IF(ISBLANK(K7608),IFERROR(VLOOKUP(I7608,FS_input_data!$C$458:$N$648,Export!J7608,FALSE),""),K7608)</f>
        <v>364</v>
      </c>
      <c r="D7608" s="9" t="b">
        <v>0</v>
      </c>
      <c r="E7608" s="6"/>
      <c r="F7608" s="6"/>
      <c r="G7608" s="120" t="b">
        <f t="shared" si="461"/>
        <v>1</v>
      </c>
      <c r="H7608" s="6" t="s">
        <v>2189</v>
      </c>
      <c r="I7608" t="s">
        <v>2136</v>
      </c>
      <c r="J7608">
        <v>4</v>
      </c>
      <c r="L7608" s="26" t="e">
        <f t="shared" si="457"/>
        <v>#VALUE!</v>
      </c>
    </row>
    <row r="7609" spans="1:12" x14ac:dyDescent="0.35">
      <c r="A7609">
        <f t="shared" si="458"/>
        <v>7608</v>
      </c>
      <c r="B7609" t="s">
        <v>112</v>
      </c>
      <c r="C7609" s="109" t="str">
        <f>IF(ISBLANK(K7609),IFERROR(VLOOKUP(I7609,FS_input_data!$C$458:$N$648,Export!J7609,FALSE),""),K7609)</f>
        <v/>
      </c>
      <c r="D7609" s="9"/>
      <c r="E7609" s="6"/>
      <c r="F7609" s="6"/>
      <c r="G7609" s="120" t="b">
        <f t="shared" si="461"/>
        <v>1</v>
      </c>
      <c r="H7609" s="6" t="s">
        <v>2189</v>
      </c>
      <c r="I7609" t="s">
        <v>1561</v>
      </c>
      <c r="J7609" t="s">
        <v>1561</v>
      </c>
      <c r="L7609">
        <f t="shared" si="457"/>
        <v>1</v>
      </c>
    </row>
    <row r="7610" spans="1:12" x14ac:dyDescent="0.35">
      <c r="A7610" s="9">
        <f t="shared" si="458"/>
        <v>7609</v>
      </c>
      <c r="B7610" t="s">
        <v>749</v>
      </c>
      <c r="C7610" s="109" t="str">
        <f>IF(ISBLANK(K7610),IFERROR(VLOOKUP(I7610,FS_input_data!$C$458:$N$648,Export!J7610,FALSE),""),K7610)</f>
        <v>h</v>
      </c>
      <c r="D7610" s="9" t="b">
        <v>0</v>
      </c>
      <c r="E7610" s="6"/>
      <c r="F7610" s="6"/>
      <c r="G7610" s="120" t="b">
        <f t="shared" si="461"/>
        <v>1</v>
      </c>
      <c r="H7610" s="6" t="s">
        <v>2189</v>
      </c>
      <c r="I7610" t="s">
        <v>2136</v>
      </c>
      <c r="J7610">
        <v>5</v>
      </c>
      <c r="L7610" s="26" t="e">
        <f t="shared" si="457"/>
        <v>#VALUE!</v>
      </c>
    </row>
    <row r="7611" spans="1:12" x14ac:dyDescent="0.35">
      <c r="A7611">
        <f t="shared" si="458"/>
        <v>7610</v>
      </c>
      <c r="B7611" t="s">
        <v>750</v>
      </c>
      <c r="C7611" s="109" t="str">
        <f>IF(ISBLANK(K7611),IFERROR(VLOOKUP(I7611,FS_input_data!$C$458:$N$648,Export!J7611,FALSE),""),K7611)</f>
        <v/>
      </c>
      <c r="D7611" s="6"/>
      <c r="E7611" s="6"/>
      <c r="F7611" s="6"/>
      <c r="G7611" s="120" t="b">
        <f t="shared" si="461"/>
        <v>1</v>
      </c>
      <c r="H7611" s="6" t="s">
        <v>2189</v>
      </c>
      <c r="I7611" t="s">
        <v>1561</v>
      </c>
      <c r="J7611" t="s">
        <v>1561</v>
      </c>
      <c r="L7611">
        <f t="shared" si="457"/>
        <v>1</v>
      </c>
    </row>
    <row r="7612" spans="1:12" x14ac:dyDescent="0.35">
      <c r="A7612">
        <f t="shared" si="458"/>
        <v>7611</v>
      </c>
      <c r="B7612" t="s">
        <v>745</v>
      </c>
      <c r="C7612" s="109" t="str">
        <f>IF(ISBLANK(K7612),IFERROR(VLOOKUP(I7612,FS_input_data!$C$458:$N$648,Export!J7612,FALSE),""),K7612)</f>
        <v/>
      </c>
      <c r="D7612" s="6"/>
      <c r="E7612" s="6"/>
      <c r="F7612" s="6"/>
      <c r="G7612" s="120" t="b">
        <f t="shared" si="461"/>
        <v>1</v>
      </c>
      <c r="H7612" s="6" t="s">
        <v>2189</v>
      </c>
      <c r="I7612" t="s">
        <v>1561</v>
      </c>
      <c r="J7612" t="s">
        <v>1561</v>
      </c>
      <c r="L7612">
        <f t="shared" si="457"/>
        <v>1</v>
      </c>
    </row>
    <row r="7613" spans="1:12" x14ac:dyDescent="0.35">
      <c r="A7613">
        <f t="shared" si="458"/>
        <v>7612</v>
      </c>
      <c r="B7613" t="s">
        <v>764</v>
      </c>
      <c r="C7613" s="109" t="str">
        <f>IF(ISBLANK(K7613),IFERROR(VLOOKUP(I7613,FS_input_data!$C$458:$N$648,Export!J7613,FALSE),""),K7613)</f>
        <v/>
      </c>
      <c r="D7613" s="6"/>
      <c r="E7613" s="6"/>
      <c r="F7613" s="6"/>
      <c r="G7613" s="120" t="b">
        <f>VLOOKUP(I7594,FS_input_noty,J7594,FALSE)=""</f>
        <v>0</v>
      </c>
      <c r="H7613" s="6" t="s">
        <v>2189</v>
      </c>
      <c r="I7613" t="s">
        <v>1561</v>
      </c>
      <c r="J7613" t="s">
        <v>1561</v>
      </c>
      <c r="L7613">
        <f t="shared" si="457"/>
        <v>1</v>
      </c>
    </row>
    <row r="7614" spans="1:12" x14ac:dyDescent="0.35">
      <c r="A7614">
        <f t="shared" si="458"/>
        <v>7613</v>
      </c>
      <c r="B7614" t="s">
        <v>765</v>
      </c>
      <c r="C7614" s="109" t="str">
        <f>IF(ISBLANK(K7614),IFERROR(VLOOKUP(I7614,FS_input_data!$C$458:$N$648,Export!J7614,FALSE),""),K7614)</f>
        <v/>
      </c>
      <c r="D7614" s="6"/>
      <c r="E7614" s="6"/>
      <c r="F7614" s="6"/>
      <c r="G7614" s="120" t="b">
        <f>VLOOKUP(I7594,FS_input_noty,J7594,FALSE)=""</f>
        <v>0</v>
      </c>
      <c r="H7614" s="6" t="s">
        <v>2189</v>
      </c>
      <c r="I7614" t="s">
        <v>1561</v>
      </c>
      <c r="J7614" t="s">
        <v>1561</v>
      </c>
      <c r="L7614">
        <f t="shared" si="457"/>
        <v>1</v>
      </c>
    </row>
    <row r="7615" spans="1:12" x14ac:dyDescent="0.35">
      <c r="A7615">
        <f t="shared" si="458"/>
        <v>7614</v>
      </c>
      <c r="B7615" t="s">
        <v>780</v>
      </c>
      <c r="C7615" s="109" t="str">
        <f>IF(ISBLANK(K7615),IFERROR(VLOOKUP(I7615,FS_input_data!$C$458:$N$648,Export!J7615,FALSE),""),K7615)</f>
        <v/>
      </c>
      <c r="D7615" s="6"/>
      <c r="E7615" s="6"/>
      <c r="F7615" s="6"/>
      <c r="G7615" s="122" t="b">
        <f t="shared" ref="G7615:G7625" si="462">VLOOKUP($I$7619,FS_input_noty,$J$7619,FALSE)=""</f>
        <v>0</v>
      </c>
      <c r="H7615" s="6" t="s">
        <v>2189</v>
      </c>
      <c r="I7615" t="s">
        <v>1561</v>
      </c>
      <c r="J7615" t="s">
        <v>1561</v>
      </c>
      <c r="L7615">
        <f t="shared" si="457"/>
        <v>1</v>
      </c>
    </row>
    <row r="7616" spans="1:12" x14ac:dyDescent="0.35">
      <c r="A7616">
        <f t="shared" si="458"/>
        <v>7615</v>
      </c>
      <c r="B7616" t="s">
        <v>781</v>
      </c>
      <c r="C7616" s="109" t="str">
        <f>IF(ISBLANK(K7616),IFERROR(VLOOKUP(I7616,FS_input_data!$C$458:$N$648,Export!J7616,FALSE),""),K7616)</f>
        <v/>
      </c>
      <c r="D7616" s="6"/>
      <c r="E7616" s="43" t="s">
        <v>2237</v>
      </c>
      <c r="F7616" s="6"/>
      <c r="G7616" s="122" t="b">
        <f t="shared" si="462"/>
        <v>0</v>
      </c>
      <c r="H7616" s="6" t="s">
        <v>2189</v>
      </c>
      <c r="I7616" t="s">
        <v>1561</v>
      </c>
      <c r="J7616" t="s">
        <v>1561</v>
      </c>
      <c r="L7616" s="26" t="e">
        <f t="shared" si="457"/>
        <v>#VALUE!</v>
      </c>
    </row>
    <row r="7617" spans="1:12" x14ac:dyDescent="0.35">
      <c r="A7617">
        <f t="shared" si="458"/>
        <v>7616</v>
      </c>
      <c r="B7617" t="s">
        <v>748</v>
      </c>
      <c r="C7617" s="109" t="str">
        <f>IF(ISBLANK(K7617),IFERROR(VLOOKUP(I7617,FS_input_data!$C$458:$N$648,Export!J7617,FALSE),""),K7617)</f>
        <v/>
      </c>
      <c r="D7617" s="6"/>
      <c r="E7617" s="6"/>
      <c r="F7617" s="6"/>
      <c r="G7617" s="122" t="b">
        <f t="shared" si="462"/>
        <v>0</v>
      </c>
      <c r="H7617" s="6" t="s">
        <v>2189</v>
      </c>
      <c r="I7617" t="s">
        <v>1561</v>
      </c>
      <c r="J7617" t="s">
        <v>1561</v>
      </c>
      <c r="L7617" s="26" t="e">
        <f t="shared" si="457"/>
        <v>#VALUE!</v>
      </c>
    </row>
    <row r="7618" spans="1:12" x14ac:dyDescent="0.35">
      <c r="A7618">
        <f t="shared" si="458"/>
        <v>7617</v>
      </c>
      <c r="B7618" t="s">
        <v>742</v>
      </c>
      <c r="C7618" s="109" t="str">
        <f>IF(ISBLANK(K7618),IFERROR(VLOOKUP(I7618,FS_input_data!$C$458:$N$648,Export!J7618,FALSE),""),K7618)</f>
        <v/>
      </c>
      <c r="D7618" s="6"/>
      <c r="E7618" s="6"/>
      <c r="F7618" s="6"/>
      <c r="G7618" s="122" t="b">
        <f t="shared" si="462"/>
        <v>0</v>
      </c>
      <c r="H7618" s="6" t="s">
        <v>2189</v>
      </c>
      <c r="I7618" t="s">
        <v>1561</v>
      </c>
      <c r="J7618" t="s">
        <v>1561</v>
      </c>
      <c r="L7618" s="26" t="e">
        <f t="shared" ref="L7618:L7681" si="463">FIND("/",B7618)</f>
        <v>#VALUE!</v>
      </c>
    </row>
    <row r="7619" spans="1:12" x14ac:dyDescent="0.35">
      <c r="A7619" s="9">
        <f t="shared" ref="A7619:A7682" si="464">A7618+1</f>
        <v>7618</v>
      </c>
      <c r="B7619" t="s">
        <v>109</v>
      </c>
      <c r="C7619" s="109">
        <f>IF(ISBLANK(K7619),IFERROR(VLOOKUP(I7619,FS_input_data!$C$458:$N$648,Export!J7619,FALSE),""),K7619)</f>
        <v>21000</v>
      </c>
      <c r="D7619" s="6" t="b">
        <v>1</v>
      </c>
      <c r="E7619" s="6"/>
      <c r="F7619" s="6"/>
      <c r="G7619" s="122" t="b">
        <f t="shared" si="462"/>
        <v>0</v>
      </c>
      <c r="H7619" s="6" t="s">
        <v>2189</v>
      </c>
      <c r="I7619" t="s">
        <v>2251</v>
      </c>
      <c r="J7619">
        <v>7</v>
      </c>
      <c r="L7619" s="26" t="e">
        <f t="shared" si="463"/>
        <v>#VALUE!</v>
      </c>
    </row>
    <row r="7620" spans="1:12" x14ac:dyDescent="0.35">
      <c r="A7620">
        <f t="shared" si="464"/>
        <v>7619</v>
      </c>
      <c r="B7620" t="s">
        <v>110</v>
      </c>
      <c r="C7620" s="109" t="str">
        <f>IF(ISBLANK(K7620),IFERROR(VLOOKUP(I7620,FS_input_data!$C$458:$N$648,Export!J7620,FALSE),""),K7620)</f>
        <v/>
      </c>
      <c r="D7620" s="6"/>
      <c r="E7620" s="6"/>
      <c r="F7620" s="6"/>
      <c r="G7620" s="122" t="b">
        <f t="shared" si="462"/>
        <v>0</v>
      </c>
      <c r="H7620" s="6" t="s">
        <v>2189</v>
      </c>
      <c r="I7620" t="s">
        <v>1561</v>
      </c>
      <c r="J7620" t="s">
        <v>1561</v>
      </c>
      <c r="L7620">
        <f t="shared" si="463"/>
        <v>1</v>
      </c>
    </row>
    <row r="7621" spans="1:12" x14ac:dyDescent="0.35">
      <c r="A7621" s="9">
        <f t="shared" si="464"/>
        <v>7620</v>
      </c>
      <c r="B7621" t="s">
        <v>111</v>
      </c>
      <c r="C7621" s="109">
        <f>IF(ISBLANK(K7621),IFERROR(VLOOKUP(I7621,FS_input_data!$C$458:$N$648,Export!J7621,FALSE),""),K7621)</f>
        <v>10500</v>
      </c>
      <c r="D7621" s="6" t="b">
        <v>0</v>
      </c>
      <c r="E7621" s="6"/>
      <c r="F7621" s="6"/>
      <c r="G7621" s="122" t="b">
        <f t="shared" si="462"/>
        <v>0</v>
      </c>
      <c r="H7621" s="6" t="s">
        <v>2189</v>
      </c>
      <c r="I7621" t="s">
        <v>2251</v>
      </c>
      <c r="J7621">
        <v>8</v>
      </c>
      <c r="L7621" s="26" t="e">
        <f t="shared" si="463"/>
        <v>#VALUE!</v>
      </c>
    </row>
    <row r="7622" spans="1:12" x14ac:dyDescent="0.35">
      <c r="A7622">
        <f t="shared" si="464"/>
        <v>7621</v>
      </c>
      <c r="B7622" t="s">
        <v>112</v>
      </c>
      <c r="C7622" s="109" t="str">
        <f>IF(ISBLANK(K7622),IFERROR(VLOOKUP(I7622,FS_input_data!$C$458:$N$648,Export!J7622,FALSE),""),K7622)</f>
        <v/>
      </c>
      <c r="D7622" s="6"/>
      <c r="E7622" s="6"/>
      <c r="F7622" s="6"/>
      <c r="G7622" s="122" t="b">
        <f t="shared" si="462"/>
        <v>0</v>
      </c>
      <c r="H7622" s="6" t="s">
        <v>2189</v>
      </c>
      <c r="I7622" t="s">
        <v>1561</v>
      </c>
      <c r="J7622" t="s">
        <v>1561</v>
      </c>
      <c r="L7622">
        <f t="shared" si="463"/>
        <v>1</v>
      </c>
    </row>
    <row r="7623" spans="1:12" x14ac:dyDescent="0.35">
      <c r="A7623" s="9">
        <f t="shared" si="464"/>
        <v>7622</v>
      </c>
      <c r="B7623" t="s">
        <v>749</v>
      </c>
      <c r="C7623" s="109">
        <f>IF(ISBLANK(K7623),IFERROR(VLOOKUP(I7623,FS_input_data!$C$458:$N$648,Export!J7623,FALSE),""),K7623)</f>
        <v>10500</v>
      </c>
      <c r="D7623" s="6" t="b">
        <v>0</v>
      </c>
      <c r="E7623" s="6"/>
      <c r="F7623" s="6"/>
      <c r="G7623" s="122" t="b">
        <f t="shared" si="462"/>
        <v>0</v>
      </c>
      <c r="H7623" s="6" t="s">
        <v>2189</v>
      </c>
      <c r="I7623" t="s">
        <v>2251</v>
      </c>
      <c r="J7623">
        <v>9</v>
      </c>
      <c r="L7623" s="26" t="e">
        <f t="shared" si="463"/>
        <v>#VALUE!</v>
      </c>
    </row>
    <row r="7624" spans="1:12" x14ac:dyDescent="0.35">
      <c r="A7624">
        <f t="shared" si="464"/>
        <v>7623</v>
      </c>
      <c r="B7624" t="s">
        <v>750</v>
      </c>
      <c r="C7624" s="109" t="str">
        <f>IF(ISBLANK(K7624),IFERROR(VLOOKUP(I7624,FS_input_data!$C$458:$N$648,Export!J7624,FALSE),""),K7624)</f>
        <v/>
      </c>
      <c r="D7624" s="6"/>
      <c r="E7624" s="6"/>
      <c r="F7624" s="6"/>
      <c r="G7624" s="122" t="b">
        <f t="shared" si="462"/>
        <v>0</v>
      </c>
      <c r="H7624" s="6" t="s">
        <v>2189</v>
      </c>
      <c r="I7624" t="s">
        <v>1561</v>
      </c>
      <c r="J7624" t="s">
        <v>1561</v>
      </c>
      <c r="L7624">
        <f t="shared" si="463"/>
        <v>1</v>
      </c>
    </row>
    <row r="7625" spans="1:12" x14ac:dyDescent="0.35">
      <c r="A7625">
        <f t="shared" si="464"/>
        <v>7624</v>
      </c>
      <c r="B7625" t="s">
        <v>743</v>
      </c>
      <c r="C7625" s="109" t="str">
        <f>IF(ISBLANK(K7625),IFERROR(VLOOKUP(I7625,FS_input_data!$C$458:$N$648,Export!J7625,FALSE),""),K7625)</f>
        <v/>
      </c>
      <c r="D7625" s="6"/>
      <c r="E7625" s="6"/>
      <c r="F7625" s="6"/>
      <c r="G7625" s="122" t="b">
        <f t="shared" si="462"/>
        <v>0</v>
      </c>
      <c r="H7625" s="6" t="s">
        <v>2189</v>
      </c>
      <c r="I7625" t="s">
        <v>1561</v>
      </c>
      <c r="J7625" t="s">
        <v>1561</v>
      </c>
      <c r="L7625">
        <f t="shared" si="463"/>
        <v>1</v>
      </c>
    </row>
    <row r="7626" spans="1:12" x14ac:dyDescent="0.35">
      <c r="A7626">
        <f t="shared" si="464"/>
        <v>7625</v>
      </c>
      <c r="B7626" t="s">
        <v>744</v>
      </c>
      <c r="C7626" s="109" t="str">
        <f>IF(ISBLANK(K7626),IFERROR(VLOOKUP(I7626,FS_input_data!$C$458:$N$648,Export!J7626,FALSE),""),K7626)</f>
        <v/>
      </c>
      <c r="D7626" s="6"/>
      <c r="E7626" s="6"/>
      <c r="F7626" s="6"/>
      <c r="G7626" s="122" t="b">
        <f t="shared" ref="G7626:G7633" si="465">RP_tax</f>
        <v>1</v>
      </c>
      <c r="H7626" s="6" t="s">
        <v>2189</v>
      </c>
      <c r="I7626" t="s">
        <v>1561</v>
      </c>
      <c r="J7626" t="s">
        <v>1561</v>
      </c>
      <c r="L7626" s="26" t="e">
        <f t="shared" si="463"/>
        <v>#VALUE!</v>
      </c>
    </row>
    <row r="7627" spans="1:12" x14ac:dyDescent="0.35">
      <c r="A7627" s="9">
        <f t="shared" si="464"/>
        <v>7626</v>
      </c>
      <c r="B7627" t="s">
        <v>109</v>
      </c>
      <c r="C7627" s="109">
        <f>IF(ISBLANK(K7627),IFERROR(VLOOKUP(I7627,FS_input_data!$C$458:$N$648,Export!J7627,FALSE),""),K7627)</f>
        <v>21000</v>
      </c>
      <c r="D7627" s="6" t="b">
        <v>1</v>
      </c>
      <c r="E7627" s="6"/>
      <c r="F7627" s="6"/>
      <c r="G7627" s="122" t="b">
        <f t="shared" si="465"/>
        <v>1</v>
      </c>
      <c r="H7627" s="6" t="s">
        <v>2189</v>
      </c>
      <c r="I7627" t="s">
        <v>2251</v>
      </c>
      <c r="J7627">
        <v>10</v>
      </c>
      <c r="L7627" s="26" t="e">
        <f t="shared" si="463"/>
        <v>#VALUE!</v>
      </c>
    </row>
    <row r="7628" spans="1:12" x14ac:dyDescent="0.35">
      <c r="A7628">
        <f t="shared" si="464"/>
        <v>7627</v>
      </c>
      <c r="B7628" t="s">
        <v>110</v>
      </c>
      <c r="C7628" s="109" t="str">
        <f>IF(ISBLANK(K7628),IFERROR(VLOOKUP(I7628,FS_input_data!$C$458:$N$648,Export!J7628,FALSE),""),K7628)</f>
        <v/>
      </c>
      <c r="D7628" s="6"/>
      <c r="E7628" s="6"/>
      <c r="F7628" s="6"/>
      <c r="G7628" s="122" t="b">
        <f t="shared" si="465"/>
        <v>1</v>
      </c>
      <c r="H7628" s="6" t="s">
        <v>2189</v>
      </c>
      <c r="I7628" t="s">
        <v>1561</v>
      </c>
      <c r="J7628" t="s">
        <v>1561</v>
      </c>
      <c r="L7628">
        <f t="shared" si="463"/>
        <v>1</v>
      </c>
    </row>
    <row r="7629" spans="1:12" x14ac:dyDescent="0.35">
      <c r="A7629" s="9">
        <f t="shared" si="464"/>
        <v>7628</v>
      </c>
      <c r="B7629" t="s">
        <v>111</v>
      </c>
      <c r="C7629" s="109">
        <f>IF(ISBLANK(K7629),IFERROR(VLOOKUP(I7629,FS_input_data!$C$458:$N$648,Export!J7629,FALSE),""),K7629)</f>
        <v>10500</v>
      </c>
      <c r="D7629" s="6" t="b">
        <v>0</v>
      </c>
      <c r="E7629" s="6"/>
      <c r="F7629" s="6"/>
      <c r="G7629" s="122" t="b">
        <f t="shared" si="465"/>
        <v>1</v>
      </c>
      <c r="H7629" s="6" t="s">
        <v>2189</v>
      </c>
      <c r="I7629" t="s">
        <v>2251</v>
      </c>
      <c r="J7629">
        <v>11</v>
      </c>
      <c r="L7629" s="26" t="e">
        <f t="shared" si="463"/>
        <v>#VALUE!</v>
      </c>
    </row>
    <row r="7630" spans="1:12" x14ac:dyDescent="0.35">
      <c r="A7630">
        <f t="shared" si="464"/>
        <v>7629</v>
      </c>
      <c r="B7630" t="s">
        <v>112</v>
      </c>
      <c r="C7630" s="109" t="str">
        <f>IF(ISBLANK(K7630),IFERROR(VLOOKUP(I7630,FS_input_data!$C$458:$N$648,Export!J7630,FALSE),""),K7630)</f>
        <v/>
      </c>
      <c r="D7630" s="6"/>
      <c r="E7630" s="6"/>
      <c r="F7630" s="6"/>
      <c r="G7630" s="122" t="b">
        <f t="shared" si="465"/>
        <v>1</v>
      </c>
      <c r="H7630" s="6" t="s">
        <v>2189</v>
      </c>
      <c r="I7630" t="s">
        <v>1561</v>
      </c>
      <c r="J7630" t="s">
        <v>1561</v>
      </c>
      <c r="L7630">
        <f t="shared" si="463"/>
        <v>1</v>
      </c>
    </row>
    <row r="7631" spans="1:12" x14ac:dyDescent="0.35">
      <c r="A7631" s="9">
        <f t="shared" si="464"/>
        <v>7630</v>
      </c>
      <c r="B7631" t="s">
        <v>749</v>
      </c>
      <c r="C7631" s="109">
        <f>IF(ISBLANK(K7631),IFERROR(VLOOKUP(I7631,FS_input_data!$C$458:$N$648,Export!J7631,FALSE),""),K7631)</f>
        <v>10500</v>
      </c>
      <c r="D7631" s="6" t="b">
        <v>0</v>
      </c>
      <c r="E7631" s="6"/>
      <c r="F7631" s="6"/>
      <c r="G7631" s="122" t="b">
        <f t="shared" si="465"/>
        <v>1</v>
      </c>
      <c r="H7631" s="6" t="s">
        <v>2189</v>
      </c>
      <c r="I7631" t="s">
        <v>2251</v>
      </c>
      <c r="J7631">
        <v>12</v>
      </c>
      <c r="L7631" s="26" t="e">
        <f t="shared" si="463"/>
        <v>#VALUE!</v>
      </c>
    </row>
    <row r="7632" spans="1:12" x14ac:dyDescent="0.35">
      <c r="A7632">
        <f t="shared" si="464"/>
        <v>7631</v>
      </c>
      <c r="B7632" t="s">
        <v>750</v>
      </c>
      <c r="C7632" s="109" t="str">
        <f>IF(ISBLANK(K7632),IFERROR(VLOOKUP(I7632,FS_input_data!$C$458:$N$648,Export!J7632,FALSE),""),K7632)</f>
        <v/>
      </c>
      <c r="D7632" s="6"/>
      <c r="E7632" s="6"/>
      <c r="F7632" s="6"/>
      <c r="G7632" s="122" t="b">
        <f t="shared" si="465"/>
        <v>1</v>
      </c>
      <c r="H7632" s="6" t="s">
        <v>2189</v>
      </c>
      <c r="I7632" t="s">
        <v>1561</v>
      </c>
      <c r="J7632" t="s">
        <v>1561</v>
      </c>
      <c r="L7632">
        <f t="shared" si="463"/>
        <v>1</v>
      </c>
    </row>
    <row r="7633" spans="1:12" x14ac:dyDescent="0.35">
      <c r="A7633">
        <f t="shared" si="464"/>
        <v>7632</v>
      </c>
      <c r="B7633" t="s">
        <v>745</v>
      </c>
      <c r="C7633" s="109" t="str">
        <f>IF(ISBLANK(K7633),IFERROR(VLOOKUP(I7633,FS_input_data!$C$458:$N$648,Export!J7633,FALSE),""),K7633)</f>
        <v/>
      </c>
      <c r="D7633" s="6"/>
      <c r="E7633" s="6"/>
      <c r="F7633" s="6"/>
      <c r="G7633" s="122" t="b">
        <f t="shared" si="465"/>
        <v>1</v>
      </c>
      <c r="H7633" s="6" t="s">
        <v>2189</v>
      </c>
      <c r="I7633" t="s">
        <v>1561</v>
      </c>
      <c r="J7633" t="s">
        <v>1561</v>
      </c>
      <c r="L7633">
        <f t="shared" si="463"/>
        <v>1</v>
      </c>
    </row>
    <row r="7634" spans="1:12" x14ac:dyDescent="0.35">
      <c r="A7634">
        <f t="shared" si="464"/>
        <v>7633</v>
      </c>
      <c r="B7634" t="s">
        <v>751</v>
      </c>
      <c r="C7634" s="109" t="str">
        <f>IF(ISBLANK(K7634),IFERROR(VLOOKUP(I7634,FS_input_data!$C$458:$N$648,Export!J7634,FALSE),""),K7634)</f>
        <v/>
      </c>
      <c r="D7634" s="6"/>
      <c r="E7634" s="6"/>
      <c r="F7634" s="6"/>
      <c r="G7634" s="122" t="b">
        <f t="shared" ref="G7634:G7658" si="466">VLOOKUP($I$7619,FS_input_noty,$J$7619,FALSE)=""</f>
        <v>0</v>
      </c>
      <c r="H7634" s="6" t="s">
        <v>2189</v>
      </c>
      <c r="I7634" t="s">
        <v>1561</v>
      </c>
      <c r="J7634" t="s">
        <v>1561</v>
      </c>
      <c r="L7634">
        <f t="shared" si="463"/>
        <v>1</v>
      </c>
    </row>
    <row r="7635" spans="1:12" x14ac:dyDescent="0.35">
      <c r="A7635">
        <f t="shared" si="464"/>
        <v>7634</v>
      </c>
      <c r="B7635" t="s">
        <v>752</v>
      </c>
      <c r="C7635" s="109" t="str">
        <f>IF(ISBLANK(K7635),IFERROR(VLOOKUP(I7635,FS_input_data!$C$458:$N$648,Export!J7635,FALSE),""),K7635)</f>
        <v/>
      </c>
      <c r="D7635" s="6"/>
      <c r="E7635" s="6"/>
      <c r="F7635" s="6"/>
      <c r="G7635" s="122" t="b">
        <f t="shared" si="466"/>
        <v>0</v>
      </c>
      <c r="H7635" s="6" t="s">
        <v>2189</v>
      </c>
      <c r="I7635" t="s">
        <v>1561</v>
      </c>
      <c r="J7635" t="s">
        <v>1561</v>
      </c>
      <c r="L7635" s="26" t="e">
        <f t="shared" si="463"/>
        <v>#VALUE!</v>
      </c>
    </row>
    <row r="7636" spans="1:12" x14ac:dyDescent="0.35">
      <c r="A7636" s="9">
        <f t="shared" si="464"/>
        <v>7635</v>
      </c>
      <c r="B7636" t="s">
        <v>101</v>
      </c>
      <c r="C7636" s="109" t="str">
        <f>IF(ISBLANK(K7636),IFERROR(VLOOKUP(I7636,FS_input_data!$C$458:$N$648,Export!J7636,FALSE),""),K7636)</f>
        <v>OC144</v>
      </c>
      <c r="D7636" s="6" t="b">
        <v>1</v>
      </c>
      <c r="E7636" s="6"/>
      <c r="F7636" s="6"/>
      <c r="G7636" s="122" t="b">
        <f t="shared" si="466"/>
        <v>0</v>
      </c>
      <c r="H7636" s="6" t="s">
        <v>2189</v>
      </c>
      <c r="I7636" t="s">
        <v>2142</v>
      </c>
      <c r="J7636">
        <v>6</v>
      </c>
      <c r="L7636" s="26" t="e">
        <f t="shared" si="463"/>
        <v>#VALUE!</v>
      </c>
    </row>
    <row r="7637" spans="1:12" x14ac:dyDescent="0.35">
      <c r="A7637">
        <f t="shared" si="464"/>
        <v>7636</v>
      </c>
      <c r="B7637" t="s">
        <v>102</v>
      </c>
      <c r="C7637" s="109" t="str">
        <f>IF(ISBLANK(K7637),IFERROR(VLOOKUP(I7637,FS_input_data!$C$458:$N$648,Export!J7637,FALSE),""),K7637)</f>
        <v/>
      </c>
      <c r="D7637" s="6"/>
      <c r="E7637" s="6"/>
      <c r="F7637" s="6"/>
      <c r="G7637" s="122" t="b">
        <f t="shared" si="466"/>
        <v>0</v>
      </c>
      <c r="H7637" s="6" t="s">
        <v>2189</v>
      </c>
      <c r="I7637" t="s">
        <v>1561</v>
      </c>
      <c r="J7637" t="s">
        <v>1561</v>
      </c>
      <c r="L7637">
        <f t="shared" si="463"/>
        <v>1</v>
      </c>
    </row>
    <row r="7638" spans="1:12" x14ac:dyDescent="0.35">
      <c r="A7638">
        <f t="shared" si="464"/>
        <v>7637</v>
      </c>
      <c r="B7638" t="s">
        <v>753</v>
      </c>
      <c r="C7638" s="109" t="str">
        <f>IF(ISBLANK(K7638),IFERROR(VLOOKUP(I7638,FS_input_data!$C$458:$N$648,Export!J7638,FALSE),""),K7638)</f>
        <v/>
      </c>
      <c r="D7638" s="6"/>
      <c r="E7638" s="6"/>
      <c r="F7638" s="6"/>
      <c r="G7638" s="122" t="b">
        <f t="shared" si="466"/>
        <v>0</v>
      </c>
      <c r="H7638" s="6" t="s">
        <v>2189</v>
      </c>
      <c r="I7638" t="s">
        <v>1561</v>
      </c>
      <c r="J7638" t="s">
        <v>1561</v>
      </c>
      <c r="L7638" s="26" t="e">
        <f t="shared" si="463"/>
        <v>#VALUE!</v>
      </c>
    </row>
    <row r="7639" spans="1:12" x14ac:dyDescent="0.35">
      <c r="A7639">
        <f t="shared" si="464"/>
        <v>7638</v>
      </c>
      <c r="B7639" t="s">
        <v>742</v>
      </c>
      <c r="C7639" s="109" t="str">
        <f>IF(ISBLANK(K7639),IFERROR(VLOOKUP(I7639,FS_input_data!$C$458:$N$648,Export!J7639,FALSE),""),K7639)</f>
        <v/>
      </c>
      <c r="D7639" s="6"/>
      <c r="E7639" s="6"/>
      <c r="F7639" s="6"/>
      <c r="G7639" s="122" t="b">
        <f t="shared" si="466"/>
        <v>0</v>
      </c>
      <c r="H7639" s="6" t="s">
        <v>2189</v>
      </c>
      <c r="I7639" t="s">
        <v>1561</v>
      </c>
      <c r="J7639" t="s">
        <v>1561</v>
      </c>
      <c r="L7639" s="26" t="e">
        <f t="shared" si="463"/>
        <v>#VALUE!</v>
      </c>
    </row>
    <row r="7640" spans="1:12" x14ac:dyDescent="0.35">
      <c r="A7640">
        <f t="shared" si="464"/>
        <v>7639</v>
      </c>
      <c r="B7640" t="s">
        <v>748</v>
      </c>
      <c r="C7640" s="109" t="str">
        <f>IF(ISBLANK(K7640),IFERROR(VLOOKUP(I7640,FS_input_data!$C$458:$N$648,Export!J7640,FALSE),""),K7640)</f>
        <v/>
      </c>
      <c r="D7640" s="6"/>
      <c r="E7640" s="6"/>
      <c r="F7640" s="6"/>
      <c r="G7640" s="122" t="b">
        <f t="shared" si="466"/>
        <v>0</v>
      </c>
      <c r="H7640" s="6" t="s">
        <v>2189</v>
      </c>
      <c r="I7640" t="s">
        <v>1561</v>
      </c>
      <c r="J7640" t="s">
        <v>1561</v>
      </c>
      <c r="L7640" s="26" t="e">
        <f t="shared" si="463"/>
        <v>#VALUE!</v>
      </c>
    </row>
    <row r="7641" spans="1:12" x14ac:dyDescent="0.35">
      <c r="A7641" s="9">
        <f t="shared" si="464"/>
        <v>7640</v>
      </c>
      <c r="B7641" t="s">
        <v>109</v>
      </c>
      <c r="C7641" s="109">
        <f>IF(ISBLANK(K7641),IFERROR(VLOOKUP(I7641,FS_input_data!$C$458:$N$648,Export!J7641,FALSE),""),K7641)</f>
        <v>1</v>
      </c>
      <c r="D7641" s="6" t="b">
        <v>1</v>
      </c>
      <c r="E7641" s="6"/>
      <c r="F7641" s="6"/>
      <c r="G7641" s="122" t="b">
        <f t="shared" si="466"/>
        <v>0</v>
      </c>
      <c r="H7641" s="6" t="s">
        <v>2189</v>
      </c>
      <c r="I7641" t="s">
        <v>2142</v>
      </c>
      <c r="J7641">
        <v>7</v>
      </c>
      <c r="L7641" s="26" t="e">
        <f t="shared" si="463"/>
        <v>#VALUE!</v>
      </c>
    </row>
    <row r="7642" spans="1:12" x14ac:dyDescent="0.35">
      <c r="A7642">
        <f t="shared" si="464"/>
        <v>7641</v>
      </c>
      <c r="B7642" t="s">
        <v>110</v>
      </c>
      <c r="C7642" s="109" t="str">
        <f>IF(ISBLANK(K7642),IFERROR(VLOOKUP(I7642,FS_input_data!$C$458:$N$648,Export!J7642,FALSE),""),K7642)</f>
        <v/>
      </c>
      <c r="D7642" s="6"/>
      <c r="E7642" s="6"/>
      <c r="F7642" s="6"/>
      <c r="G7642" s="122" t="b">
        <f t="shared" si="466"/>
        <v>0</v>
      </c>
      <c r="H7642" s="6" t="s">
        <v>2189</v>
      </c>
      <c r="I7642" t="s">
        <v>1561</v>
      </c>
      <c r="J7642" t="s">
        <v>1561</v>
      </c>
      <c r="L7642">
        <f t="shared" si="463"/>
        <v>1</v>
      </c>
    </row>
    <row r="7643" spans="1:12" x14ac:dyDescent="0.35">
      <c r="A7643" s="9">
        <f t="shared" si="464"/>
        <v>7642</v>
      </c>
      <c r="B7643" t="s">
        <v>111</v>
      </c>
      <c r="C7643" s="109">
        <f>IF(ISBLANK(K7643),IFERROR(VLOOKUP(I7643,FS_input_data!$C$458:$N$648,Export!J7643,FALSE),""),K7643)</f>
        <v>0.5</v>
      </c>
      <c r="D7643" s="6" t="b">
        <v>0</v>
      </c>
      <c r="E7643" s="6"/>
      <c r="F7643" s="6"/>
      <c r="G7643" s="122" t="b">
        <f t="shared" si="466"/>
        <v>0</v>
      </c>
      <c r="H7643" s="6" t="s">
        <v>2189</v>
      </c>
      <c r="I7643" t="s">
        <v>2142</v>
      </c>
      <c r="J7643">
        <v>8</v>
      </c>
      <c r="L7643" s="26" t="e">
        <f t="shared" si="463"/>
        <v>#VALUE!</v>
      </c>
    </row>
    <row r="7644" spans="1:12" x14ac:dyDescent="0.35">
      <c r="A7644">
        <f t="shared" si="464"/>
        <v>7643</v>
      </c>
      <c r="B7644" t="s">
        <v>112</v>
      </c>
      <c r="C7644" s="109" t="str">
        <f>IF(ISBLANK(K7644),IFERROR(VLOOKUP(I7644,FS_input_data!$C$458:$N$648,Export!J7644,FALSE),""),K7644)</f>
        <v/>
      </c>
      <c r="D7644" s="6"/>
      <c r="E7644" s="6"/>
      <c r="F7644" s="6"/>
      <c r="G7644" s="122" t="b">
        <f t="shared" si="466"/>
        <v>0</v>
      </c>
      <c r="H7644" s="6" t="s">
        <v>2189</v>
      </c>
      <c r="I7644" t="s">
        <v>1561</v>
      </c>
      <c r="J7644" t="s">
        <v>1561</v>
      </c>
      <c r="L7644">
        <f t="shared" si="463"/>
        <v>1</v>
      </c>
    </row>
    <row r="7645" spans="1:12" x14ac:dyDescent="0.35">
      <c r="A7645" s="9">
        <f t="shared" si="464"/>
        <v>7644</v>
      </c>
      <c r="B7645" t="s">
        <v>749</v>
      </c>
      <c r="C7645" s="109">
        <f>IF(ISBLANK(K7645),IFERROR(VLOOKUP(I7645,FS_input_data!$C$458:$N$648,Export!J7645,FALSE),""),K7645)</f>
        <v>0.5</v>
      </c>
      <c r="D7645" s="6" t="b">
        <v>0</v>
      </c>
      <c r="E7645" s="6"/>
      <c r="F7645" s="6"/>
      <c r="G7645" s="122" t="b">
        <f t="shared" si="466"/>
        <v>0</v>
      </c>
      <c r="H7645" s="6" t="s">
        <v>2189</v>
      </c>
      <c r="I7645" t="s">
        <v>2142</v>
      </c>
      <c r="J7645">
        <v>9</v>
      </c>
      <c r="L7645" s="26" t="e">
        <f t="shared" si="463"/>
        <v>#VALUE!</v>
      </c>
    </row>
    <row r="7646" spans="1:12" x14ac:dyDescent="0.35">
      <c r="A7646">
        <f t="shared" si="464"/>
        <v>7645</v>
      </c>
      <c r="B7646" t="s">
        <v>750</v>
      </c>
      <c r="C7646" s="109" t="str">
        <f>IF(ISBLANK(K7646),IFERROR(VLOOKUP(I7646,FS_input_data!$C$458:$N$648,Export!J7646,FALSE),""),K7646)</f>
        <v/>
      </c>
      <c r="D7646" s="6"/>
      <c r="E7646" s="6"/>
      <c r="F7646" s="6"/>
      <c r="G7646" s="122" t="b">
        <f t="shared" si="466"/>
        <v>0</v>
      </c>
      <c r="H7646" s="6" t="s">
        <v>2189</v>
      </c>
      <c r="I7646" t="s">
        <v>1561</v>
      </c>
      <c r="J7646" t="s">
        <v>1561</v>
      </c>
      <c r="L7646">
        <f t="shared" si="463"/>
        <v>1</v>
      </c>
    </row>
    <row r="7647" spans="1:12" x14ac:dyDescent="0.35">
      <c r="A7647">
        <f t="shared" si="464"/>
        <v>7646</v>
      </c>
      <c r="B7647" t="s">
        <v>751</v>
      </c>
      <c r="C7647" s="109" t="str">
        <f>IF(ISBLANK(K7647),IFERROR(VLOOKUP(I7647,FS_input_data!$C$458:$N$648,Export!J7647,FALSE),""),K7647)</f>
        <v/>
      </c>
      <c r="D7647" s="6"/>
      <c r="E7647" s="6"/>
      <c r="F7647" s="6"/>
      <c r="G7647" s="122" t="b">
        <f t="shared" si="466"/>
        <v>0</v>
      </c>
      <c r="H7647" s="6" t="s">
        <v>2189</v>
      </c>
      <c r="I7647" t="s">
        <v>1561</v>
      </c>
      <c r="J7647" t="s">
        <v>1561</v>
      </c>
      <c r="L7647">
        <f t="shared" si="463"/>
        <v>1</v>
      </c>
    </row>
    <row r="7648" spans="1:12" x14ac:dyDescent="0.35">
      <c r="A7648">
        <f t="shared" si="464"/>
        <v>7647</v>
      </c>
      <c r="B7648" t="s">
        <v>754</v>
      </c>
      <c r="C7648" s="109" t="str">
        <f>IF(ISBLANK(K7648),IFERROR(VLOOKUP(I7648,FS_input_data!$C$458:$N$648,Export!J7648,FALSE),""),K7648)</f>
        <v/>
      </c>
      <c r="D7648" s="6"/>
      <c r="E7648" s="6"/>
      <c r="F7648" s="6"/>
      <c r="G7648" s="122" t="b">
        <f t="shared" si="466"/>
        <v>0</v>
      </c>
      <c r="H7648" s="6" t="s">
        <v>2189</v>
      </c>
      <c r="I7648" t="s">
        <v>1561</v>
      </c>
      <c r="J7648" t="s">
        <v>1561</v>
      </c>
      <c r="L7648" s="26" t="e">
        <f t="shared" si="463"/>
        <v>#VALUE!</v>
      </c>
    </row>
    <row r="7649" spans="1:12" x14ac:dyDescent="0.35">
      <c r="A7649" s="9">
        <f t="shared" si="464"/>
        <v>7648</v>
      </c>
      <c r="B7649" t="s">
        <v>755</v>
      </c>
      <c r="C7649" s="109">
        <f>IF(ISBLANK(K7649),IFERROR(VLOOKUP(I7649,FS_input_data!$C$458:$N$648,Export!J7649,FALSE),""),K7649)</f>
        <v>167</v>
      </c>
      <c r="D7649" s="6" t="b">
        <v>1</v>
      </c>
      <c r="E7649" s="6"/>
      <c r="F7649" s="6"/>
      <c r="G7649" s="122" t="b">
        <f t="shared" si="466"/>
        <v>0</v>
      </c>
      <c r="H7649" s="6" t="s">
        <v>2189</v>
      </c>
      <c r="I7649" t="s">
        <v>2142</v>
      </c>
      <c r="J7649">
        <v>2</v>
      </c>
      <c r="L7649" s="26" t="e">
        <f t="shared" si="463"/>
        <v>#VALUE!</v>
      </c>
    </row>
    <row r="7650" spans="1:12" x14ac:dyDescent="0.35">
      <c r="A7650">
        <f t="shared" si="464"/>
        <v>7649</v>
      </c>
      <c r="B7650" t="s">
        <v>756</v>
      </c>
      <c r="C7650" s="109" t="str">
        <f>IF(ISBLANK(K7650),IFERROR(VLOOKUP(I7650,FS_input_data!$C$458:$N$648,Export!J7650,FALSE),""),K7650)</f>
        <v/>
      </c>
      <c r="D7650" s="6"/>
      <c r="E7650" s="6"/>
      <c r="F7650" s="6"/>
      <c r="G7650" s="122" t="b">
        <f t="shared" si="466"/>
        <v>0</v>
      </c>
      <c r="H7650" s="6" t="s">
        <v>2189</v>
      </c>
      <c r="I7650" t="s">
        <v>1561</v>
      </c>
      <c r="J7650" t="s">
        <v>1561</v>
      </c>
      <c r="L7650">
        <f t="shared" si="463"/>
        <v>1</v>
      </c>
    </row>
    <row r="7651" spans="1:12" x14ac:dyDescent="0.35">
      <c r="A7651" s="9">
        <f t="shared" si="464"/>
        <v>7650</v>
      </c>
      <c r="B7651" t="s">
        <v>757</v>
      </c>
      <c r="C7651" s="109">
        <f>IF(ISBLANK(K7651),IFERROR(VLOOKUP(I7651,FS_input_data!$C$458:$N$648,Export!J7651,FALSE),""),K7651)</f>
        <v>267</v>
      </c>
      <c r="D7651" s="6" t="b">
        <v>0</v>
      </c>
      <c r="E7651" s="6"/>
      <c r="F7651" s="6"/>
      <c r="G7651" s="122" t="b">
        <f t="shared" si="466"/>
        <v>0</v>
      </c>
      <c r="H7651" s="6" t="s">
        <v>2189</v>
      </c>
      <c r="I7651" t="s">
        <v>2142</v>
      </c>
      <c r="J7651">
        <v>3</v>
      </c>
      <c r="L7651" s="26" t="e">
        <f t="shared" si="463"/>
        <v>#VALUE!</v>
      </c>
    </row>
    <row r="7652" spans="1:12" x14ac:dyDescent="0.35">
      <c r="A7652">
        <f t="shared" si="464"/>
        <v>7651</v>
      </c>
      <c r="B7652" t="s">
        <v>758</v>
      </c>
      <c r="C7652" s="109" t="str">
        <f>IF(ISBLANK(K7652),IFERROR(VLOOKUP(I7652,FS_input_data!$C$458:$N$648,Export!J7652,FALSE),""),K7652)</f>
        <v/>
      </c>
      <c r="D7652" s="6"/>
      <c r="E7652" s="6"/>
      <c r="F7652" s="6"/>
      <c r="G7652" s="122" t="b">
        <f t="shared" si="466"/>
        <v>0</v>
      </c>
      <c r="H7652" s="6" t="s">
        <v>2189</v>
      </c>
      <c r="I7652" t="s">
        <v>1561</v>
      </c>
      <c r="J7652" t="s">
        <v>1561</v>
      </c>
      <c r="L7652">
        <f t="shared" si="463"/>
        <v>1</v>
      </c>
    </row>
    <row r="7653" spans="1:12" x14ac:dyDescent="0.35">
      <c r="A7653" s="9">
        <f t="shared" si="464"/>
        <v>7652</v>
      </c>
      <c r="B7653" t="s">
        <v>759</v>
      </c>
      <c r="C7653" s="109">
        <f>IF(ISBLANK(K7653),IFERROR(VLOOKUP(I7653,FS_input_data!$C$458:$N$648,Export!J7653,FALSE),""),K7653)</f>
        <v>367</v>
      </c>
      <c r="D7653" s="6" t="b">
        <v>0</v>
      </c>
      <c r="E7653" s="6"/>
      <c r="F7653" s="6"/>
      <c r="G7653" s="122" t="b">
        <f t="shared" si="466"/>
        <v>0</v>
      </c>
      <c r="H7653" s="6" t="s">
        <v>2189</v>
      </c>
      <c r="I7653" t="s">
        <v>2142</v>
      </c>
      <c r="J7653">
        <v>4</v>
      </c>
      <c r="L7653" s="26" t="e">
        <f t="shared" si="463"/>
        <v>#VALUE!</v>
      </c>
    </row>
    <row r="7654" spans="1:12" x14ac:dyDescent="0.35">
      <c r="A7654">
        <f t="shared" si="464"/>
        <v>7653</v>
      </c>
      <c r="B7654" t="s">
        <v>760</v>
      </c>
      <c r="C7654" s="109" t="str">
        <f>IF(ISBLANK(K7654),IFERROR(VLOOKUP(I7654,FS_input_data!$C$458:$N$648,Export!J7654,FALSE),""),K7654)</f>
        <v/>
      </c>
      <c r="D7654" s="6"/>
      <c r="E7654" s="6"/>
      <c r="F7654" s="6"/>
      <c r="G7654" s="122" t="b">
        <f t="shared" si="466"/>
        <v>0</v>
      </c>
      <c r="H7654" s="6" t="s">
        <v>2189</v>
      </c>
      <c r="I7654" t="s">
        <v>1561</v>
      </c>
      <c r="J7654" t="s">
        <v>1561</v>
      </c>
      <c r="L7654">
        <f t="shared" si="463"/>
        <v>1</v>
      </c>
    </row>
    <row r="7655" spans="1:12" x14ac:dyDescent="0.35">
      <c r="A7655" s="9">
        <f t="shared" si="464"/>
        <v>7654</v>
      </c>
      <c r="B7655" t="s">
        <v>761</v>
      </c>
      <c r="C7655" s="109" t="str">
        <f>IF(ISBLANK(K7655),IFERROR(VLOOKUP(I7655,FS_input_data!$C$458:$N$648,Export!J7655,FALSE),""),K7655)</f>
        <v>g</v>
      </c>
      <c r="D7655" s="6" t="b">
        <v>0</v>
      </c>
      <c r="E7655" s="6"/>
      <c r="F7655" s="6"/>
      <c r="G7655" s="122" t="b">
        <f t="shared" si="466"/>
        <v>0</v>
      </c>
      <c r="H7655" s="6" t="s">
        <v>2189</v>
      </c>
      <c r="I7655" t="s">
        <v>2142</v>
      </c>
      <c r="J7655">
        <v>5</v>
      </c>
      <c r="L7655" s="26" t="e">
        <f t="shared" si="463"/>
        <v>#VALUE!</v>
      </c>
    </row>
    <row r="7656" spans="1:12" x14ac:dyDescent="0.35">
      <c r="A7656">
        <f t="shared" si="464"/>
        <v>7655</v>
      </c>
      <c r="B7656" t="s">
        <v>762</v>
      </c>
      <c r="C7656" s="109" t="str">
        <f>IF(ISBLANK(K7656),IFERROR(VLOOKUP(I7656,FS_input_data!$C$458:$N$648,Export!J7656,FALSE),""),K7656)</f>
        <v/>
      </c>
      <c r="D7656" s="6"/>
      <c r="E7656" s="6"/>
      <c r="F7656" s="6"/>
      <c r="G7656" s="122" t="b">
        <f t="shared" si="466"/>
        <v>0</v>
      </c>
      <c r="H7656" s="6" t="s">
        <v>2189</v>
      </c>
      <c r="I7656" t="s">
        <v>1561</v>
      </c>
      <c r="J7656" t="s">
        <v>1561</v>
      </c>
      <c r="L7656">
        <f t="shared" si="463"/>
        <v>1</v>
      </c>
    </row>
    <row r="7657" spans="1:12" x14ac:dyDescent="0.35">
      <c r="A7657">
        <f t="shared" si="464"/>
        <v>7656</v>
      </c>
      <c r="B7657" t="s">
        <v>763</v>
      </c>
      <c r="C7657" s="109" t="str">
        <f>IF(ISBLANK(K7657),IFERROR(VLOOKUP(I7657,FS_input_data!$C$458:$N$648,Export!J7657,FALSE),""),K7657)</f>
        <v/>
      </c>
      <c r="D7657" s="6"/>
      <c r="E7657" s="6"/>
      <c r="F7657" s="6"/>
      <c r="G7657" s="122" t="b">
        <f t="shared" si="466"/>
        <v>0</v>
      </c>
      <c r="H7657" s="6" t="s">
        <v>2189</v>
      </c>
      <c r="I7657" t="s">
        <v>1561</v>
      </c>
      <c r="J7657" t="s">
        <v>1561</v>
      </c>
      <c r="L7657">
        <f t="shared" si="463"/>
        <v>1</v>
      </c>
    </row>
    <row r="7658" spans="1:12" x14ac:dyDescent="0.35">
      <c r="A7658">
        <f t="shared" si="464"/>
        <v>7657</v>
      </c>
      <c r="B7658" t="s">
        <v>743</v>
      </c>
      <c r="C7658" s="109" t="str">
        <f>IF(ISBLANK(K7658),IFERROR(VLOOKUP(I7658,FS_input_data!$C$458:$N$648,Export!J7658,FALSE),""),K7658)</f>
        <v/>
      </c>
      <c r="D7658" s="6"/>
      <c r="E7658" s="6"/>
      <c r="F7658" s="6"/>
      <c r="G7658" s="122" t="b">
        <f t="shared" si="466"/>
        <v>0</v>
      </c>
      <c r="H7658" s="6" t="s">
        <v>2189</v>
      </c>
      <c r="I7658" t="s">
        <v>1561</v>
      </c>
      <c r="J7658" t="s">
        <v>1561</v>
      </c>
      <c r="L7658">
        <f t="shared" si="463"/>
        <v>1</v>
      </c>
    </row>
    <row r="7659" spans="1:12" x14ac:dyDescent="0.35">
      <c r="A7659">
        <f t="shared" si="464"/>
        <v>7658</v>
      </c>
      <c r="B7659" t="s">
        <v>744</v>
      </c>
      <c r="C7659" s="109" t="str">
        <f>IF(ISBLANK(K7659),IFERROR(VLOOKUP(I7659,FS_input_data!$C$458:$N$648,Export!J7659,FALSE),""),K7659)</f>
        <v/>
      </c>
      <c r="D7659" s="6"/>
      <c r="E7659" s="6"/>
      <c r="F7659" s="6"/>
      <c r="G7659" s="122" t="b">
        <f t="shared" ref="G7659:G7666" si="467">RP_tax</f>
        <v>1</v>
      </c>
      <c r="H7659" s="6" t="s">
        <v>2189</v>
      </c>
      <c r="I7659" t="s">
        <v>1561</v>
      </c>
      <c r="J7659" t="s">
        <v>1561</v>
      </c>
      <c r="L7659" s="26" t="e">
        <f t="shared" si="463"/>
        <v>#VALUE!</v>
      </c>
    </row>
    <row r="7660" spans="1:12" x14ac:dyDescent="0.35">
      <c r="A7660" s="9">
        <f t="shared" si="464"/>
        <v>7659</v>
      </c>
      <c r="B7660" t="s">
        <v>109</v>
      </c>
      <c r="C7660" s="109">
        <f>IF(ISBLANK(K7660),IFERROR(VLOOKUP(I7660,FS_input_data!$C$458:$N$648,Export!J7660,FALSE),""),K7660)</f>
        <v>1</v>
      </c>
      <c r="D7660" s="6" t="b">
        <v>1</v>
      </c>
      <c r="E7660" s="6"/>
      <c r="F7660" s="6"/>
      <c r="G7660" s="122" t="b">
        <f t="shared" si="467"/>
        <v>1</v>
      </c>
      <c r="H7660" s="6" t="s">
        <v>2189</v>
      </c>
      <c r="I7660" t="s">
        <v>2142</v>
      </c>
      <c r="J7660">
        <v>10</v>
      </c>
      <c r="L7660" s="26" t="e">
        <f t="shared" si="463"/>
        <v>#VALUE!</v>
      </c>
    </row>
    <row r="7661" spans="1:12" x14ac:dyDescent="0.35">
      <c r="A7661">
        <f t="shared" si="464"/>
        <v>7660</v>
      </c>
      <c r="B7661" t="s">
        <v>110</v>
      </c>
      <c r="C7661" s="109" t="str">
        <f>IF(ISBLANK(K7661),IFERROR(VLOOKUP(I7661,FS_input_data!$C$458:$N$648,Export!J7661,FALSE),""),K7661)</f>
        <v/>
      </c>
      <c r="D7661" s="6"/>
      <c r="E7661" s="6"/>
      <c r="F7661" s="6"/>
      <c r="G7661" s="122" t="b">
        <f t="shared" si="467"/>
        <v>1</v>
      </c>
      <c r="H7661" s="6" t="s">
        <v>2189</v>
      </c>
      <c r="I7661" t="s">
        <v>1561</v>
      </c>
      <c r="J7661" t="s">
        <v>1561</v>
      </c>
      <c r="L7661">
        <f t="shared" si="463"/>
        <v>1</v>
      </c>
    </row>
    <row r="7662" spans="1:12" x14ac:dyDescent="0.35">
      <c r="A7662" s="9">
        <f t="shared" si="464"/>
        <v>7661</v>
      </c>
      <c r="B7662" t="s">
        <v>111</v>
      </c>
      <c r="C7662" s="109">
        <f>IF(ISBLANK(K7662),IFERROR(VLOOKUP(I7662,FS_input_data!$C$458:$N$648,Export!J7662,FALSE),""),K7662)</f>
        <v>0.5</v>
      </c>
      <c r="D7662" s="6" t="b">
        <v>0</v>
      </c>
      <c r="E7662" s="6"/>
      <c r="F7662" s="6"/>
      <c r="G7662" s="122" t="b">
        <f t="shared" si="467"/>
        <v>1</v>
      </c>
      <c r="H7662" s="6" t="s">
        <v>2189</v>
      </c>
      <c r="I7662" t="s">
        <v>2142</v>
      </c>
      <c r="J7662">
        <v>11</v>
      </c>
      <c r="L7662" s="26" t="e">
        <f t="shared" si="463"/>
        <v>#VALUE!</v>
      </c>
    </row>
    <row r="7663" spans="1:12" x14ac:dyDescent="0.35">
      <c r="A7663">
        <f t="shared" si="464"/>
        <v>7662</v>
      </c>
      <c r="B7663" t="s">
        <v>112</v>
      </c>
      <c r="C7663" s="109" t="str">
        <f>IF(ISBLANK(K7663),IFERROR(VLOOKUP(I7663,FS_input_data!$C$458:$N$648,Export!J7663,FALSE),""),K7663)</f>
        <v/>
      </c>
      <c r="D7663" s="6"/>
      <c r="E7663" s="6"/>
      <c r="F7663" s="6"/>
      <c r="G7663" s="122" t="b">
        <f t="shared" si="467"/>
        <v>1</v>
      </c>
      <c r="H7663" s="6" t="s">
        <v>2189</v>
      </c>
      <c r="I7663" t="s">
        <v>1561</v>
      </c>
      <c r="J7663" t="s">
        <v>1561</v>
      </c>
      <c r="L7663">
        <f t="shared" si="463"/>
        <v>1</v>
      </c>
    </row>
    <row r="7664" spans="1:12" x14ac:dyDescent="0.35">
      <c r="A7664" s="9">
        <f t="shared" si="464"/>
        <v>7663</v>
      </c>
      <c r="B7664" t="s">
        <v>749</v>
      </c>
      <c r="C7664" s="109">
        <f>IF(ISBLANK(K7664),IFERROR(VLOOKUP(I7664,FS_input_data!$C$458:$N$648,Export!J7664,FALSE),""),K7664)</f>
        <v>0.5</v>
      </c>
      <c r="D7664" s="6" t="b">
        <v>0</v>
      </c>
      <c r="E7664" s="6"/>
      <c r="F7664" s="6"/>
      <c r="G7664" s="122" t="b">
        <f t="shared" si="467"/>
        <v>1</v>
      </c>
      <c r="H7664" s="6" t="s">
        <v>2189</v>
      </c>
      <c r="I7664" t="s">
        <v>2142</v>
      </c>
      <c r="J7664">
        <v>12</v>
      </c>
      <c r="L7664" s="26" t="e">
        <f t="shared" si="463"/>
        <v>#VALUE!</v>
      </c>
    </row>
    <row r="7665" spans="1:12" x14ac:dyDescent="0.35">
      <c r="A7665">
        <f t="shared" si="464"/>
        <v>7664</v>
      </c>
      <c r="B7665" t="s">
        <v>750</v>
      </c>
      <c r="C7665" s="109" t="str">
        <f>IF(ISBLANK(K7665),IFERROR(VLOOKUP(I7665,FS_input_data!$C$458:$N$648,Export!J7665,FALSE),""),K7665)</f>
        <v/>
      </c>
      <c r="D7665" s="6"/>
      <c r="E7665" s="6"/>
      <c r="F7665" s="6"/>
      <c r="G7665" s="122" t="b">
        <f t="shared" si="467"/>
        <v>1</v>
      </c>
      <c r="H7665" s="6" t="s">
        <v>2189</v>
      </c>
      <c r="I7665" t="s">
        <v>1561</v>
      </c>
      <c r="J7665" t="s">
        <v>1561</v>
      </c>
      <c r="L7665">
        <f t="shared" si="463"/>
        <v>1</v>
      </c>
    </row>
    <row r="7666" spans="1:12" x14ac:dyDescent="0.35">
      <c r="A7666">
        <f t="shared" si="464"/>
        <v>7665</v>
      </c>
      <c r="B7666" t="s">
        <v>745</v>
      </c>
      <c r="C7666" s="109" t="str">
        <f>IF(ISBLANK(K7666),IFERROR(VLOOKUP(I7666,FS_input_data!$C$458:$N$648,Export!J7666,FALSE),""),K7666)</f>
        <v/>
      </c>
      <c r="D7666" s="6"/>
      <c r="E7666" s="6"/>
      <c r="F7666" s="6"/>
      <c r="G7666" s="122" t="b">
        <f t="shared" si="467"/>
        <v>1</v>
      </c>
      <c r="H7666" s="6" t="s">
        <v>2189</v>
      </c>
      <c r="I7666" t="s">
        <v>1561</v>
      </c>
      <c r="J7666" t="s">
        <v>1561</v>
      </c>
      <c r="L7666">
        <f t="shared" si="463"/>
        <v>1</v>
      </c>
    </row>
    <row r="7667" spans="1:12" x14ac:dyDescent="0.35">
      <c r="A7667">
        <f t="shared" si="464"/>
        <v>7666</v>
      </c>
      <c r="B7667" t="s">
        <v>764</v>
      </c>
      <c r="C7667" s="109" t="str">
        <f>IF(ISBLANK(K7667),IFERROR(VLOOKUP(I7667,FS_input_data!$C$458:$N$648,Export!J7667,FALSE),""),K7667)</f>
        <v/>
      </c>
      <c r="D7667" s="6"/>
      <c r="E7667" s="6"/>
      <c r="F7667" s="6"/>
      <c r="G7667" s="122" t="b">
        <f>VLOOKUP($I$7619,FS_input_noty,$J$7619,FALSE)=""</f>
        <v>0</v>
      </c>
      <c r="H7667" s="6" t="s">
        <v>2189</v>
      </c>
      <c r="I7667" t="s">
        <v>1561</v>
      </c>
      <c r="J7667" t="s">
        <v>1561</v>
      </c>
      <c r="L7667">
        <f t="shared" si="463"/>
        <v>1</v>
      </c>
    </row>
    <row r="7668" spans="1:12" x14ac:dyDescent="0.35">
      <c r="A7668">
        <f t="shared" si="464"/>
        <v>7667</v>
      </c>
      <c r="B7668" t="s">
        <v>765</v>
      </c>
      <c r="C7668" s="109" t="str">
        <f>IF(ISBLANK(K7668),IFERROR(VLOOKUP(I7668,FS_input_data!$C$458:$N$648,Export!J7668,FALSE),""),K7668)</f>
        <v/>
      </c>
      <c r="D7668" s="6"/>
      <c r="E7668" s="6"/>
      <c r="F7668" s="6"/>
      <c r="G7668" s="122" t="b">
        <f>VLOOKUP($I$7619,FS_input_noty,$J$7619,FALSE)=""</f>
        <v>0</v>
      </c>
      <c r="H7668" s="6" t="s">
        <v>2189</v>
      </c>
      <c r="I7668" t="s">
        <v>1561</v>
      </c>
      <c r="J7668" t="s">
        <v>1561</v>
      </c>
      <c r="L7668">
        <f t="shared" si="463"/>
        <v>1</v>
      </c>
    </row>
    <row r="7669" spans="1:12" x14ac:dyDescent="0.35">
      <c r="A7669">
        <f t="shared" si="464"/>
        <v>7668</v>
      </c>
      <c r="B7669" t="s">
        <v>752</v>
      </c>
      <c r="C7669" s="109" t="str">
        <f>IF(ISBLANK(K7669),IFERROR(VLOOKUP(I7669,FS_input_data!$C$458:$N$648,Export!J7669,FALSE),""),K7669)</f>
        <v/>
      </c>
      <c r="D7669" s="6"/>
      <c r="E7669" s="6"/>
      <c r="F7669" s="6"/>
      <c r="G7669" s="115" t="b">
        <f>VLOOKUP(I7670,FS_input_noty,J7670,FALSE)=""</f>
        <v>0</v>
      </c>
      <c r="H7669" s="6" t="s">
        <v>2189</v>
      </c>
      <c r="I7669" t="s">
        <v>1561</v>
      </c>
      <c r="J7669" t="s">
        <v>1561</v>
      </c>
      <c r="L7669" s="26" t="e">
        <f t="shared" si="463"/>
        <v>#VALUE!</v>
      </c>
    </row>
    <row r="7670" spans="1:12" x14ac:dyDescent="0.35">
      <c r="A7670" s="9">
        <f t="shared" si="464"/>
        <v>7669</v>
      </c>
      <c r="B7670" t="s">
        <v>101</v>
      </c>
      <c r="C7670" s="109" t="str">
        <f>IF(ISBLANK(K7670),IFERROR(VLOOKUP(I7670,FS_input_data!$C$458:$N$648,Export!J7670,FALSE),""),K7670)</f>
        <v>OC145</v>
      </c>
      <c r="D7670" s="6" t="b">
        <v>1</v>
      </c>
      <c r="E7670" s="6"/>
      <c r="F7670" s="6"/>
      <c r="G7670" s="115" t="b">
        <f>VLOOKUP(I7670,FS_input_noty,J7670,FALSE)=""</f>
        <v>0</v>
      </c>
      <c r="H7670" s="6" t="s">
        <v>2189</v>
      </c>
      <c r="I7670" t="s">
        <v>2144</v>
      </c>
      <c r="J7670">
        <v>6</v>
      </c>
      <c r="L7670" s="26" t="e">
        <f t="shared" si="463"/>
        <v>#VALUE!</v>
      </c>
    </row>
    <row r="7671" spans="1:12" x14ac:dyDescent="0.35">
      <c r="A7671">
        <f t="shared" si="464"/>
        <v>7670</v>
      </c>
      <c r="B7671" t="s">
        <v>102</v>
      </c>
      <c r="C7671" s="109" t="str">
        <f>IF(ISBLANK(K7671),IFERROR(VLOOKUP(I7671,FS_input_data!$C$458:$N$648,Export!J7671,FALSE),""),K7671)</f>
        <v/>
      </c>
      <c r="D7671" s="6"/>
      <c r="E7671" s="6"/>
      <c r="F7671" s="6"/>
      <c r="G7671" s="115" t="b">
        <f>VLOOKUP(I7670,FS_input_noty,J7670,FALSE)=""</f>
        <v>0</v>
      </c>
      <c r="H7671" s="6" t="s">
        <v>2189</v>
      </c>
      <c r="I7671" t="s">
        <v>1561</v>
      </c>
      <c r="J7671" t="s">
        <v>1561</v>
      </c>
      <c r="L7671">
        <f t="shared" si="463"/>
        <v>1</v>
      </c>
    </row>
    <row r="7672" spans="1:12" x14ac:dyDescent="0.35">
      <c r="A7672">
        <f t="shared" si="464"/>
        <v>7671</v>
      </c>
      <c r="B7672" t="s">
        <v>753</v>
      </c>
      <c r="C7672" s="109" t="str">
        <f>IF(ISBLANK(K7672),IFERROR(VLOOKUP(I7672,FS_input_data!$C$458:$N$648,Export!J7672,FALSE),""),K7672)</f>
        <v/>
      </c>
      <c r="D7672" s="6"/>
      <c r="E7672" s="6"/>
      <c r="F7672" s="6"/>
      <c r="G7672" s="115" t="b">
        <f>VLOOKUP(I7670,FS_input_noty,J7670,FALSE)=""</f>
        <v>0</v>
      </c>
      <c r="H7672" s="6" t="s">
        <v>2189</v>
      </c>
      <c r="I7672" t="s">
        <v>1561</v>
      </c>
      <c r="J7672" t="s">
        <v>1561</v>
      </c>
      <c r="L7672" s="26" t="e">
        <f t="shared" si="463"/>
        <v>#VALUE!</v>
      </c>
    </row>
    <row r="7673" spans="1:12" x14ac:dyDescent="0.35">
      <c r="A7673">
        <f t="shared" si="464"/>
        <v>7672</v>
      </c>
      <c r="B7673" t="s">
        <v>742</v>
      </c>
      <c r="C7673" s="109" t="str">
        <f>IF(ISBLANK(K7673),IFERROR(VLOOKUP(I7673,FS_input_data!$C$458:$N$648,Export!J7673,FALSE),""),K7673)</f>
        <v/>
      </c>
      <c r="D7673" s="6"/>
      <c r="E7673" s="6"/>
      <c r="F7673" s="6"/>
      <c r="G7673" s="115" t="b">
        <f>VLOOKUP(I7670,FS_input_noty,J7670,FALSE)=""</f>
        <v>0</v>
      </c>
      <c r="H7673" s="6" t="s">
        <v>2189</v>
      </c>
      <c r="I7673" t="s">
        <v>1561</v>
      </c>
      <c r="J7673" t="s">
        <v>1561</v>
      </c>
      <c r="L7673" s="26" t="e">
        <f t="shared" si="463"/>
        <v>#VALUE!</v>
      </c>
    </row>
    <row r="7674" spans="1:12" x14ac:dyDescent="0.35">
      <c r="A7674">
        <f t="shared" si="464"/>
        <v>7673</v>
      </c>
      <c r="B7674" t="s">
        <v>748</v>
      </c>
      <c r="C7674" s="109" t="str">
        <f>IF(ISBLANK(K7674),IFERROR(VLOOKUP(I7674,FS_input_data!$C$458:$N$648,Export!J7674,FALSE),""),K7674)</f>
        <v/>
      </c>
      <c r="D7674" s="6"/>
      <c r="E7674" s="6"/>
      <c r="F7674" s="6"/>
      <c r="G7674" s="115" t="b">
        <f>VLOOKUP(I7670,FS_input_noty,J7670,FALSE)=""</f>
        <v>0</v>
      </c>
      <c r="H7674" s="6" t="s">
        <v>2189</v>
      </c>
      <c r="I7674" t="s">
        <v>1561</v>
      </c>
      <c r="J7674" t="s">
        <v>1561</v>
      </c>
      <c r="L7674" s="26" t="e">
        <f t="shared" si="463"/>
        <v>#VALUE!</v>
      </c>
    </row>
    <row r="7675" spans="1:12" x14ac:dyDescent="0.35">
      <c r="A7675" s="9">
        <f t="shared" si="464"/>
        <v>7674</v>
      </c>
      <c r="B7675" t="s">
        <v>109</v>
      </c>
      <c r="C7675" s="109">
        <f>IF(ISBLANK(K7675),IFERROR(VLOOKUP(I7675,FS_input_data!$C$458:$N$648,Export!J7675,FALSE),""),K7675)</f>
        <v>1999</v>
      </c>
      <c r="D7675" s="6" t="b">
        <v>1</v>
      </c>
      <c r="E7675" s="6"/>
      <c r="F7675" s="6"/>
      <c r="G7675" s="115" t="b">
        <f>VLOOKUP(I7670,FS_input_noty,J7670,FALSE)=""</f>
        <v>0</v>
      </c>
      <c r="H7675" s="6" t="s">
        <v>2189</v>
      </c>
      <c r="I7675" t="s">
        <v>2144</v>
      </c>
      <c r="J7675">
        <v>7</v>
      </c>
      <c r="L7675" s="26" t="e">
        <f t="shared" si="463"/>
        <v>#VALUE!</v>
      </c>
    </row>
    <row r="7676" spans="1:12" x14ac:dyDescent="0.35">
      <c r="A7676">
        <f t="shared" si="464"/>
        <v>7675</v>
      </c>
      <c r="B7676" t="s">
        <v>110</v>
      </c>
      <c r="C7676" s="109" t="str">
        <f>IF(ISBLANK(K7676),IFERROR(VLOOKUP(I7676,FS_input_data!$C$458:$N$648,Export!J7676,FALSE),""),K7676)</f>
        <v/>
      </c>
      <c r="D7676" s="6"/>
      <c r="E7676" s="6"/>
      <c r="F7676" s="6"/>
      <c r="G7676" s="115" t="b">
        <f>VLOOKUP(I7670,FS_input_noty,J7670,FALSE)=""</f>
        <v>0</v>
      </c>
      <c r="H7676" s="6" t="s">
        <v>2189</v>
      </c>
      <c r="I7676" t="s">
        <v>1561</v>
      </c>
      <c r="J7676" t="s">
        <v>1561</v>
      </c>
      <c r="L7676">
        <f t="shared" si="463"/>
        <v>1</v>
      </c>
    </row>
    <row r="7677" spans="1:12" x14ac:dyDescent="0.35">
      <c r="A7677" s="9">
        <f t="shared" si="464"/>
        <v>7676</v>
      </c>
      <c r="B7677" t="s">
        <v>111</v>
      </c>
      <c r="C7677" s="109">
        <f>IF(ISBLANK(K7677),IFERROR(VLOOKUP(I7677,FS_input_data!$C$458:$N$648,Export!J7677,FALSE),""),K7677)</f>
        <v>999.5</v>
      </c>
      <c r="D7677" s="6" t="b">
        <v>0</v>
      </c>
      <c r="E7677" s="6"/>
      <c r="F7677" s="6"/>
      <c r="G7677" s="115" t="b">
        <f>VLOOKUP(I7670,FS_input_noty,J7670,TRUE)=""</f>
        <v>0</v>
      </c>
      <c r="H7677" s="6" t="s">
        <v>2189</v>
      </c>
      <c r="I7677" t="s">
        <v>2144</v>
      </c>
      <c r="J7677">
        <v>8</v>
      </c>
      <c r="L7677" s="26" t="e">
        <f t="shared" si="463"/>
        <v>#VALUE!</v>
      </c>
    </row>
    <row r="7678" spans="1:12" x14ac:dyDescent="0.35">
      <c r="A7678">
        <f t="shared" si="464"/>
        <v>7677</v>
      </c>
      <c r="B7678" t="s">
        <v>112</v>
      </c>
      <c r="C7678" s="109" t="str">
        <f>IF(ISBLANK(K7678),IFERROR(VLOOKUP(I7678,FS_input_data!$C$458:$N$648,Export!J7678,FALSE),""),K7678)</f>
        <v/>
      </c>
      <c r="D7678" s="6"/>
      <c r="E7678" s="6"/>
      <c r="F7678" s="6"/>
      <c r="G7678" s="115" t="b">
        <f>VLOOKUP(I7670,FS_input_noty,J7670,FALSE)=""</f>
        <v>0</v>
      </c>
      <c r="H7678" s="6" t="s">
        <v>2189</v>
      </c>
      <c r="I7678" t="s">
        <v>1561</v>
      </c>
      <c r="J7678" t="s">
        <v>1561</v>
      </c>
      <c r="L7678">
        <f t="shared" si="463"/>
        <v>1</v>
      </c>
    </row>
    <row r="7679" spans="1:12" x14ac:dyDescent="0.35">
      <c r="A7679" s="9">
        <f t="shared" si="464"/>
        <v>7678</v>
      </c>
      <c r="B7679" t="s">
        <v>749</v>
      </c>
      <c r="C7679" s="109">
        <f>IF(ISBLANK(K7679),IFERROR(VLOOKUP(I7679,FS_input_data!$C$458:$N$648,Export!J7679,FALSE),""),K7679)</f>
        <v>999.5</v>
      </c>
      <c r="D7679" s="6" t="b">
        <v>0</v>
      </c>
      <c r="E7679" s="6"/>
      <c r="F7679" s="6"/>
      <c r="G7679" s="115" t="b">
        <f>VLOOKUP(I7670,FS_input_noty,J7670,FALSE)=""</f>
        <v>0</v>
      </c>
      <c r="H7679" s="6" t="s">
        <v>2189</v>
      </c>
      <c r="I7679" t="s">
        <v>2144</v>
      </c>
      <c r="J7679">
        <v>9</v>
      </c>
      <c r="L7679" s="26" t="e">
        <f t="shared" si="463"/>
        <v>#VALUE!</v>
      </c>
    </row>
    <row r="7680" spans="1:12" x14ac:dyDescent="0.35">
      <c r="A7680">
        <f t="shared" si="464"/>
        <v>7679</v>
      </c>
      <c r="B7680" t="s">
        <v>750</v>
      </c>
      <c r="C7680" s="109" t="str">
        <f>IF(ISBLANK(K7680),IFERROR(VLOOKUP(I7680,FS_input_data!$C$458:$N$648,Export!J7680,FALSE),""),K7680)</f>
        <v/>
      </c>
      <c r="D7680" s="6"/>
      <c r="E7680" s="6"/>
      <c r="F7680" s="6"/>
      <c r="G7680" s="115" t="b">
        <f>VLOOKUP(I7670,FS_input_noty,J7670,FALSE)=""</f>
        <v>0</v>
      </c>
      <c r="H7680" s="6" t="s">
        <v>2189</v>
      </c>
      <c r="I7680" t="s">
        <v>1561</v>
      </c>
      <c r="J7680" t="s">
        <v>1561</v>
      </c>
      <c r="L7680">
        <f t="shared" si="463"/>
        <v>1</v>
      </c>
    </row>
    <row r="7681" spans="1:12" x14ac:dyDescent="0.35">
      <c r="A7681">
        <f t="shared" si="464"/>
        <v>7680</v>
      </c>
      <c r="B7681" t="s">
        <v>751</v>
      </c>
      <c r="C7681" s="109" t="str">
        <f>IF(ISBLANK(K7681),IFERROR(VLOOKUP(I7681,FS_input_data!$C$458:$N$648,Export!J7681,FALSE),""),K7681)</f>
        <v/>
      </c>
      <c r="D7681" s="6"/>
      <c r="E7681" s="6"/>
      <c r="F7681" s="6"/>
      <c r="G7681" s="115" t="b">
        <f>VLOOKUP(I7670,FS_input_noty,J7670,FALSE)=""</f>
        <v>0</v>
      </c>
      <c r="H7681" s="6" t="s">
        <v>2189</v>
      </c>
      <c r="I7681" t="s">
        <v>1561</v>
      </c>
      <c r="J7681" t="s">
        <v>1561</v>
      </c>
      <c r="L7681">
        <f t="shared" si="463"/>
        <v>1</v>
      </c>
    </row>
    <row r="7682" spans="1:12" x14ac:dyDescent="0.35">
      <c r="A7682">
        <f t="shared" si="464"/>
        <v>7681</v>
      </c>
      <c r="B7682" t="s">
        <v>754</v>
      </c>
      <c r="C7682" s="109" t="str">
        <f>IF(ISBLANK(K7682),IFERROR(VLOOKUP(I7682,FS_input_data!$C$458:$N$648,Export!J7682,FALSE),""),K7682)</f>
        <v/>
      </c>
      <c r="D7682" s="6"/>
      <c r="E7682" s="6"/>
      <c r="F7682" s="6"/>
      <c r="G7682" s="115" t="b">
        <f>VLOOKUP(I7670,FS_input_noty,J7670,FALSE)=""</f>
        <v>0</v>
      </c>
      <c r="H7682" s="6" t="s">
        <v>2189</v>
      </c>
      <c r="I7682" t="s">
        <v>1561</v>
      </c>
      <c r="J7682" t="s">
        <v>1561</v>
      </c>
      <c r="L7682" s="26" t="e">
        <f t="shared" ref="L7682:L7745" si="468">FIND("/",B7682)</f>
        <v>#VALUE!</v>
      </c>
    </row>
    <row r="7683" spans="1:12" x14ac:dyDescent="0.35">
      <c r="A7683" s="9">
        <f t="shared" ref="A7683:A7746" si="469">A7682+1</f>
        <v>7682</v>
      </c>
      <c r="B7683" t="s">
        <v>755</v>
      </c>
      <c r="C7683" s="109">
        <f>IF(ISBLANK(K7683),IFERROR(VLOOKUP(I7683,FS_input_data!$C$458:$N$648,Export!J7683,FALSE),""),K7683)</f>
        <v>168</v>
      </c>
      <c r="D7683" s="6" t="b">
        <v>1</v>
      </c>
      <c r="E7683" s="6"/>
      <c r="F7683" s="6"/>
      <c r="G7683" s="115" t="b">
        <f>VLOOKUP(I7670,FS_input_noty,J7670,FALSE)=""</f>
        <v>0</v>
      </c>
      <c r="H7683" s="6" t="s">
        <v>2189</v>
      </c>
      <c r="I7683" t="s">
        <v>2144</v>
      </c>
      <c r="J7683">
        <v>2</v>
      </c>
      <c r="L7683" s="26" t="e">
        <f t="shared" si="468"/>
        <v>#VALUE!</v>
      </c>
    </row>
    <row r="7684" spans="1:12" x14ac:dyDescent="0.35">
      <c r="A7684">
        <f t="shared" si="469"/>
        <v>7683</v>
      </c>
      <c r="B7684" t="s">
        <v>756</v>
      </c>
      <c r="C7684" s="109" t="str">
        <f>IF(ISBLANK(K7684),IFERROR(VLOOKUP(I7684,FS_input_data!$C$458:$N$648,Export!J7684,FALSE),""),K7684)</f>
        <v/>
      </c>
      <c r="D7684" s="6"/>
      <c r="E7684" s="6"/>
      <c r="F7684" s="6"/>
      <c r="G7684" s="115" t="b">
        <f>VLOOKUP(I7670,FS_input_noty,J7670,FALSE)=""</f>
        <v>0</v>
      </c>
      <c r="H7684" s="6" t="s">
        <v>2189</v>
      </c>
      <c r="I7684" t="s">
        <v>1561</v>
      </c>
      <c r="J7684" t="s">
        <v>1561</v>
      </c>
      <c r="L7684">
        <f t="shared" si="468"/>
        <v>1</v>
      </c>
    </row>
    <row r="7685" spans="1:12" x14ac:dyDescent="0.35">
      <c r="A7685" s="9">
        <f t="shared" si="469"/>
        <v>7684</v>
      </c>
      <c r="B7685" t="s">
        <v>757</v>
      </c>
      <c r="C7685" s="109">
        <f>IF(ISBLANK(K7685),IFERROR(VLOOKUP(I7685,FS_input_data!$C$458:$N$648,Export!J7685,FALSE),""),K7685)</f>
        <v>268</v>
      </c>
      <c r="D7685" s="6" t="b">
        <v>0</v>
      </c>
      <c r="E7685" s="6"/>
      <c r="F7685" s="6"/>
      <c r="G7685" s="115" t="b">
        <f>VLOOKUP(I7670,FS_input_noty,J7670,FALSE)=""</f>
        <v>0</v>
      </c>
      <c r="H7685" s="6" t="s">
        <v>2189</v>
      </c>
      <c r="I7685" t="s">
        <v>2144</v>
      </c>
      <c r="J7685">
        <v>3</v>
      </c>
      <c r="L7685" s="26" t="e">
        <f t="shared" si="468"/>
        <v>#VALUE!</v>
      </c>
    </row>
    <row r="7686" spans="1:12" x14ac:dyDescent="0.35">
      <c r="A7686">
        <f t="shared" si="469"/>
        <v>7685</v>
      </c>
      <c r="B7686" t="s">
        <v>758</v>
      </c>
      <c r="C7686" s="109" t="str">
        <f>IF(ISBLANK(K7686),IFERROR(VLOOKUP(I7686,FS_input_data!$C$458:$N$648,Export!J7686,FALSE),""),K7686)</f>
        <v/>
      </c>
      <c r="D7686" s="6"/>
      <c r="E7686" s="6"/>
      <c r="F7686" s="6"/>
      <c r="G7686" s="115" t="b">
        <f>VLOOKUP(I7670,FS_input_noty,J7670,FALSE)=""</f>
        <v>0</v>
      </c>
      <c r="H7686" s="6" t="s">
        <v>2189</v>
      </c>
      <c r="I7686" t="s">
        <v>1561</v>
      </c>
      <c r="J7686" t="s">
        <v>1561</v>
      </c>
      <c r="L7686">
        <f t="shared" si="468"/>
        <v>1</v>
      </c>
    </row>
    <row r="7687" spans="1:12" x14ac:dyDescent="0.35">
      <c r="A7687" s="9">
        <f t="shared" si="469"/>
        <v>7686</v>
      </c>
      <c r="B7687" t="s">
        <v>759</v>
      </c>
      <c r="C7687" s="109">
        <f>IF(ISBLANK(K7687),IFERROR(VLOOKUP(I7687,FS_input_data!$C$458:$N$648,Export!J7687,FALSE),""),K7687)</f>
        <v>368</v>
      </c>
      <c r="D7687" s="6" t="b">
        <v>0</v>
      </c>
      <c r="E7687" s="6"/>
      <c r="F7687" s="6"/>
      <c r="G7687" s="115" t="b">
        <f>VLOOKUP(I7670,FS_input_noty,J7670,FALSE)=""</f>
        <v>0</v>
      </c>
      <c r="H7687" s="6" t="s">
        <v>2189</v>
      </c>
      <c r="I7687" t="s">
        <v>2144</v>
      </c>
      <c r="J7687">
        <v>4</v>
      </c>
      <c r="L7687" s="26" t="e">
        <f t="shared" si="468"/>
        <v>#VALUE!</v>
      </c>
    </row>
    <row r="7688" spans="1:12" x14ac:dyDescent="0.35">
      <c r="A7688">
        <f t="shared" si="469"/>
        <v>7687</v>
      </c>
      <c r="B7688" t="s">
        <v>760</v>
      </c>
      <c r="C7688" s="109" t="str">
        <f>IF(ISBLANK(K7688),IFERROR(VLOOKUP(I7688,FS_input_data!$C$458:$N$648,Export!J7688,FALSE),""),K7688)</f>
        <v/>
      </c>
      <c r="D7688" s="6"/>
      <c r="E7688" s="6"/>
      <c r="F7688" s="6"/>
      <c r="G7688" s="115" t="b">
        <f>VLOOKUP(I7670,FS_input_noty,J7670,FALSE)=""</f>
        <v>0</v>
      </c>
      <c r="H7688" s="6" t="s">
        <v>2189</v>
      </c>
      <c r="I7688" t="s">
        <v>1561</v>
      </c>
      <c r="J7688" t="s">
        <v>1561</v>
      </c>
      <c r="L7688">
        <f t="shared" si="468"/>
        <v>1</v>
      </c>
    </row>
    <row r="7689" spans="1:12" x14ac:dyDescent="0.35">
      <c r="A7689" s="9">
        <f t="shared" si="469"/>
        <v>7688</v>
      </c>
      <c r="B7689" t="s">
        <v>761</v>
      </c>
      <c r="C7689" s="109" t="str">
        <f>IF(ISBLANK(K7689),IFERROR(VLOOKUP(I7689,FS_input_data!$C$458:$N$648,Export!J7689,FALSE),""),K7689)</f>
        <v>h</v>
      </c>
      <c r="D7689" s="6" t="b">
        <v>0</v>
      </c>
      <c r="E7689" s="6"/>
      <c r="F7689" s="6"/>
      <c r="G7689" s="115" t="b">
        <f>VLOOKUP(I7670,FS_input_noty,J7670,FALSE)=""</f>
        <v>0</v>
      </c>
      <c r="H7689" s="6" t="s">
        <v>2189</v>
      </c>
      <c r="I7689" t="s">
        <v>2144</v>
      </c>
      <c r="J7689">
        <v>5</v>
      </c>
      <c r="L7689" s="26" t="e">
        <f t="shared" si="468"/>
        <v>#VALUE!</v>
      </c>
    </row>
    <row r="7690" spans="1:12" x14ac:dyDescent="0.35">
      <c r="A7690">
        <f t="shared" si="469"/>
        <v>7689</v>
      </c>
      <c r="B7690" t="s">
        <v>762</v>
      </c>
      <c r="C7690" s="109" t="str">
        <f>IF(ISBLANK(K7690),IFERROR(VLOOKUP(I7690,FS_input_data!$C$458:$N$648,Export!J7690,FALSE),""),K7690)</f>
        <v/>
      </c>
      <c r="D7690" s="6"/>
      <c r="E7690" s="6"/>
      <c r="F7690" s="6"/>
      <c r="G7690" s="115" t="b">
        <f>VLOOKUP(I7670,FS_input_noty,J7670,FALSE)=""</f>
        <v>0</v>
      </c>
      <c r="H7690" s="6" t="s">
        <v>2189</v>
      </c>
      <c r="I7690" t="s">
        <v>1561</v>
      </c>
      <c r="J7690" t="s">
        <v>1561</v>
      </c>
      <c r="L7690">
        <f t="shared" si="468"/>
        <v>1</v>
      </c>
    </row>
    <row r="7691" spans="1:12" x14ac:dyDescent="0.35">
      <c r="A7691">
        <f t="shared" si="469"/>
        <v>7690</v>
      </c>
      <c r="B7691" t="s">
        <v>763</v>
      </c>
      <c r="C7691" s="109" t="str">
        <f>IF(ISBLANK(K7691),IFERROR(VLOOKUP(I7691,FS_input_data!$C$458:$N$648,Export!J7691,FALSE),""),K7691)</f>
        <v/>
      </c>
      <c r="D7691" s="6"/>
      <c r="E7691" s="6"/>
      <c r="F7691" s="6"/>
      <c r="G7691" s="115" t="b">
        <f>VLOOKUP(I7670,FS_input_noty,J7670,FALSE)=""</f>
        <v>0</v>
      </c>
      <c r="H7691" s="6" t="s">
        <v>2189</v>
      </c>
      <c r="I7691" t="s">
        <v>1561</v>
      </c>
      <c r="J7691" t="s">
        <v>1561</v>
      </c>
      <c r="L7691">
        <f t="shared" si="468"/>
        <v>1</v>
      </c>
    </row>
    <row r="7692" spans="1:12" x14ac:dyDescent="0.35">
      <c r="A7692">
        <f t="shared" si="469"/>
        <v>7691</v>
      </c>
      <c r="B7692" t="s">
        <v>743</v>
      </c>
      <c r="C7692" s="109" t="str">
        <f>IF(ISBLANK(K7692),IFERROR(VLOOKUP(I7692,FS_input_data!$C$458:$N$648,Export!J7692,FALSE),""),K7692)</f>
        <v/>
      </c>
      <c r="D7692" s="6"/>
      <c r="E7692" s="6"/>
      <c r="F7692" s="6"/>
      <c r="G7692" s="115" t="b">
        <f>VLOOKUP(I7670,FS_input_noty,J7670,FALSE)=""</f>
        <v>0</v>
      </c>
      <c r="H7692" s="6" t="s">
        <v>2189</v>
      </c>
      <c r="I7692" t="s">
        <v>1561</v>
      </c>
      <c r="J7692" t="s">
        <v>1561</v>
      </c>
      <c r="L7692">
        <f t="shared" si="468"/>
        <v>1</v>
      </c>
    </row>
    <row r="7693" spans="1:12" x14ac:dyDescent="0.35">
      <c r="A7693">
        <f t="shared" si="469"/>
        <v>7692</v>
      </c>
      <c r="B7693" t="s">
        <v>744</v>
      </c>
      <c r="C7693" s="109" t="str">
        <f>IF(ISBLANK(K7693),IFERROR(VLOOKUP(I7693,FS_input_data!$C$458:$N$648,Export!J7693,FALSE),""),K7693)</f>
        <v/>
      </c>
      <c r="D7693" s="6"/>
      <c r="E7693" s="6"/>
      <c r="F7693" s="6"/>
      <c r="G7693" s="115" t="b">
        <f t="shared" ref="G7693:G7700" si="470">RP_tax</f>
        <v>1</v>
      </c>
      <c r="H7693" s="6" t="s">
        <v>2189</v>
      </c>
      <c r="I7693" t="s">
        <v>1561</v>
      </c>
      <c r="J7693" t="s">
        <v>1561</v>
      </c>
      <c r="L7693" s="26" t="e">
        <f t="shared" si="468"/>
        <v>#VALUE!</v>
      </c>
    </row>
    <row r="7694" spans="1:12" x14ac:dyDescent="0.35">
      <c r="A7694" s="9">
        <f t="shared" si="469"/>
        <v>7693</v>
      </c>
      <c r="B7694" t="s">
        <v>109</v>
      </c>
      <c r="C7694" s="109">
        <f>IF(ISBLANK(K7694),IFERROR(VLOOKUP(I7694,FS_input_data!$C$458:$N$648,Export!J7694,FALSE),""),K7694)</f>
        <v>1999</v>
      </c>
      <c r="D7694" s="6" t="b">
        <v>1</v>
      </c>
      <c r="E7694" s="6"/>
      <c r="F7694" s="6"/>
      <c r="G7694" s="115" t="b">
        <f t="shared" si="470"/>
        <v>1</v>
      </c>
      <c r="H7694" s="6" t="s">
        <v>2189</v>
      </c>
      <c r="I7694" t="s">
        <v>2144</v>
      </c>
      <c r="J7694">
        <v>10</v>
      </c>
      <c r="L7694" s="26" t="e">
        <f t="shared" si="468"/>
        <v>#VALUE!</v>
      </c>
    </row>
    <row r="7695" spans="1:12" x14ac:dyDescent="0.35">
      <c r="A7695">
        <f t="shared" si="469"/>
        <v>7694</v>
      </c>
      <c r="B7695" t="s">
        <v>110</v>
      </c>
      <c r="C7695" s="109" t="str">
        <f>IF(ISBLANK(K7695),IFERROR(VLOOKUP(I7695,FS_input_data!$C$458:$N$648,Export!J7695,FALSE),""),K7695)</f>
        <v/>
      </c>
      <c r="D7695" s="6"/>
      <c r="E7695" s="6"/>
      <c r="F7695" s="6"/>
      <c r="G7695" s="115" t="b">
        <f t="shared" si="470"/>
        <v>1</v>
      </c>
      <c r="H7695" s="6" t="s">
        <v>2189</v>
      </c>
      <c r="I7695" t="s">
        <v>1561</v>
      </c>
      <c r="J7695" t="s">
        <v>1561</v>
      </c>
      <c r="L7695">
        <f t="shared" si="468"/>
        <v>1</v>
      </c>
    </row>
    <row r="7696" spans="1:12" x14ac:dyDescent="0.35">
      <c r="A7696" s="9">
        <f t="shared" si="469"/>
        <v>7695</v>
      </c>
      <c r="B7696" t="s">
        <v>111</v>
      </c>
      <c r="C7696" s="109">
        <f>IF(ISBLANK(K7696),IFERROR(VLOOKUP(I7696,FS_input_data!$C$458:$N$648,Export!J7696,FALSE),""),K7696)</f>
        <v>999.5</v>
      </c>
      <c r="D7696" s="6" t="b">
        <v>0</v>
      </c>
      <c r="E7696" s="6"/>
      <c r="F7696" s="6"/>
      <c r="G7696" s="115" t="b">
        <f t="shared" si="470"/>
        <v>1</v>
      </c>
      <c r="H7696" s="6" t="s">
        <v>2189</v>
      </c>
      <c r="I7696" t="s">
        <v>2144</v>
      </c>
      <c r="J7696">
        <v>11</v>
      </c>
      <c r="L7696" s="26" t="e">
        <f t="shared" si="468"/>
        <v>#VALUE!</v>
      </c>
    </row>
    <row r="7697" spans="1:12" x14ac:dyDescent="0.35">
      <c r="A7697">
        <f t="shared" si="469"/>
        <v>7696</v>
      </c>
      <c r="B7697" t="s">
        <v>112</v>
      </c>
      <c r="C7697" s="109" t="str">
        <f>IF(ISBLANK(K7697),IFERROR(VLOOKUP(I7697,FS_input_data!$C$458:$N$648,Export!J7697,FALSE),""),K7697)</f>
        <v/>
      </c>
      <c r="D7697" s="6"/>
      <c r="E7697" s="6"/>
      <c r="F7697" s="6"/>
      <c r="G7697" s="115" t="b">
        <f t="shared" si="470"/>
        <v>1</v>
      </c>
      <c r="H7697" s="6" t="s">
        <v>2189</v>
      </c>
      <c r="I7697" t="s">
        <v>1561</v>
      </c>
      <c r="J7697" t="s">
        <v>1561</v>
      </c>
      <c r="L7697">
        <f t="shared" si="468"/>
        <v>1</v>
      </c>
    </row>
    <row r="7698" spans="1:12" x14ac:dyDescent="0.35">
      <c r="A7698" s="9">
        <f t="shared" si="469"/>
        <v>7697</v>
      </c>
      <c r="B7698" t="s">
        <v>749</v>
      </c>
      <c r="C7698" s="109">
        <f>IF(ISBLANK(K7698),IFERROR(VLOOKUP(I7698,FS_input_data!$C$458:$N$648,Export!J7698,FALSE),""),K7698)</f>
        <v>999.5</v>
      </c>
      <c r="D7698" s="6" t="b">
        <v>0</v>
      </c>
      <c r="E7698" s="6"/>
      <c r="F7698" s="6"/>
      <c r="G7698" s="115" t="b">
        <f t="shared" si="470"/>
        <v>1</v>
      </c>
      <c r="H7698" s="6" t="s">
        <v>2189</v>
      </c>
      <c r="I7698" t="s">
        <v>2144</v>
      </c>
      <c r="J7698">
        <v>12</v>
      </c>
      <c r="L7698" s="26" t="e">
        <f t="shared" si="468"/>
        <v>#VALUE!</v>
      </c>
    </row>
    <row r="7699" spans="1:12" x14ac:dyDescent="0.35">
      <c r="A7699">
        <f t="shared" si="469"/>
        <v>7698</v>
      </c>
      <c r="B7699" t="s">
        <v>750</v>
      </c>
      <c r="C7699" s="109" t="str">
        <f>IF(ISBLANK(K7699),IFERROR(VLOOKUP(I7699,FS_input_data!$C$458:$N$648,Export!J7699,FALSE),""),K7699)</f>
        <v/>
      </c>
      <c r="D7699" s="6"/>
      <c r="E7699" s="6"/>
      <c r="F7699" s="6"/>
      <c r="G7699" s="115" t="b">
        <f t="shared" si="470"/>
        <v>1</v>
      </c>
      <c r="H7699" s="6" t="s">
        <v>2189</v>
      </c>
      <c r="I7699" t="s">
        <v>1561</v>
      </c>
      <c r="J7699" t="s">
        <v>1561</v>
      </c>
      <c r="L7699">
        <f t="shared" si="468"/>
        <v>1</v>
      </c>
    </row>
    <row r="7700" spans="1:12" x14ac:dyDescent="0.35">
      <c r="A7700">
        <f t="shared" si="469"/>
        <v>7699</v>
      </c>
      <c r="B7700" t="s">
        <v>745</v>
      </c>
      <c r="C7700" s="109" t="str">
        <f>IF(ISBLANK(K7700),IFERROR(VLOOKUP(I7700,FS_input_data!$C$458:$N$648,Export!J7700,FALSE),""),K7700)</f>
        <v/>
      </c>
      <c r="D7700" s="6"/>
      <c r="E7700" s="6"/>
      <c r="F7700" s="6"/>
      <c r="G7700" s="115" t="b">
        <f t="shared" si="470"/>
        <v>1</v>
      </c>
      <c r="H7700" s="6" t="s">
        <v>2189</v>
      </c>
      <c r="I7700" t="s">
        <v>1561</v>
      </c>
      <c r="J7700" t="s">
        <v>1561</v>
      </c>
      <c r="L7700">
        <f t="shared" si="468"/>
        <v>1</v>
      </c>
    </row>
    <row r="7701" spans="1:12" x14ac:dyDescent="0.35">
      <c r="A7701">
        <f t="shared" si="469"/>
        <v>7700</v>
      </c>
      <c r="B7701" t="s">
        <v>764</v>
      </c>
      <c r="C7701" s="109" t="str">
        <f>IF(ISBLANK(K7701),IFERROR(VLOOKUP(I7701,FS_input_data!$C$458:$N$648,Export!J7701,FALSE),""),K7701)</f>
        <v/>
      </c>
      <c r="D7701" s="6"/>
      <c r="E7701" s="6"/>
      <c r="F7701" s="6"/>
      <c r="G7701" s="115" t="b">
        <f>VLOOKUP(I7670,FS_input_noty,J7670,FALSE)=""</f>
        <v>0</v>
      </c>
      <c r="H7701" s="6" t="s">
        <v>2189</v>
      </c>
      <c r="I7701" t="s">
        <v>1561</v>
      </c>
      <c r="J7701" t="s">
        <v>1561</v>
      </c>
      <c r="L7701">
        <f t="shared" si="468"/>
        <v>1</v>
      </c>
    </row>
    <row r="7702" spans="1:12" x14ac:dyDescent="0.35">
      <c r="A7702">
        <f t="shared" si="469"/>
        <v>7701</v>
      </c>
      <c r="B7702" t="s">
        <v>765</v>
      </c>
      <c r="C7702" s="109" t="str">
        <f>IF(ISBLANK(K7702),IFERROR(VLOOKUP(I7702,FS_input_data!$C$458:$N$648,Export!J7702,FALSE),""),K7702)</f>
        <v/>
      </c>
      <c r="D7702" s="6"/>
      <c r="E7702" s="6"/>
      <c r="F7702" s="6"/>
      <c r="G7702" s="115" t="b">
        <f>VLOOKUP(I7670,FS_input_noty,J7670,FALSE)=""</f>
        <v>0</v>
      </c>
      <c r="H7702" s="6" t="s">
        <v>2189</v>
      </c>
      <c r="I7702" t="s">
        <v>1561</v>
      </c>
      <c r="J7702" t="s">
        <v>1561</v>
      </c>
      <c r="L7702">
        <f t="shared" si="468"/>
        <v>1</v>
      </c>
    </row>
    <row r="7703" spans="1:12" x14ac:dyDescent="0.35">
      <c r="A7703">
        <f t="shared" si="469"/>
        <v>7702</v>
      </c>
      <c r="B7703" t="s">
        <v>752</v>
      </c>
      <c r="C7703" s="109" t="str">
        <f>IF(ISBLANK(K7703),IFERROR(VLOOKUP(I7703,FS_input_data!$C$458:$N$648,Export!J7703,FALSE),""),K7703)</f>
        <v/>
      </c>
      <c r="D7703" s="6"/>
      <c r="E7703" s="6"/>
      <c r="F7703" s="6"/>
      <c r="G7703" s="115" t="b">
        <f>VLOOKUP(I7704,FS_input_noty,J7704,FALSE)=""</f>
        <v>0</v>
      </c>
      <c r="H7703" s="6" t="s">
        <v>2189</v>
      </c>
      <c r="I7703" t="s">
        <v>1561</v>
      </c>
      <c r="J7703" t="s">
        <v>1561</v>
      </c>
      <c r="L7703" s="26" t="e">
        <f t="shared" si="468"/>
        <v>#VALUE!</v>
      </c>
    </row>
    <row r="7704" spans="1:12" x14ac:dyDescent="0.35">
      <c r="A7704" s="9">
        <f t="shared" si="469"/>
        <v>7703</v>
      </c>
      <c r="B7704" t="s">
        <v>101</v>
      </c>
      <c r="C7704" s="109" t="str">
        <f>IF(ISBLANK(K7704),IFERROR(VLOOKUP(I7704,FS_input_data!$C$458:$N$648,Export!J7704,FALSE),""),K7704)</f>
        <v>OC146</v>
      </c>
      <c r="D7704" s="6" t="b">
        <v>1</v>
      </c>
      <c r="E7704" s="6"/>
      <c r="F7704" s="6"/>
      <c r="G7704" s="115" t="b">
        <f>VLOOKUP(I7704,FS_input_noty,J7704,FALSE)=""</f>
        <v>0</v>
      </c>
      <c r="H7704" s="6" t="s">
        <v>2189</v>
      </c>
      <c r="I7704" t="s">
        <v>2146</v>
      </c>
      <c r="J7704">
        <v>6</v>
      </c>
      <c r="L7704" s="26" t="e">
        <f t="shared" si="468"/>
        <v>#VALUE!</v>
      </c>
    </row>
    <row r="7705" spans="1:12" x14ac:dyDescent="0.35">
      <c r="A7705">
        <f t="shared" si="469"/>
        <v>7704</v>
      </c>
      <c r="B7705" t="s">
        <v>102</v>
      </c>
      <c r="C7705" s="109" t="str">
        <f>IF(ISBLANK(K7705),IFERROR(VLOOKUP(I7705,FS_input_data!$C$458:$N$648,Export!J7705,FALSE),""),K7705)</f>
        <v/>
      </c>
      <c r="D7705" s="6"/>
      <c r="E7705" s="6"/>
      <c r="F7705" s="6"/>
      <c r="G7705" s="115" t="b">
        <f>VLOOKUP(I7704,FS_input_noty,J7704,FALSE)=""</f>
        <v>0</v>
      </c>
      <c r="H7705" s="6" t="s">
        <v>2189</v>
      </c>
      <c r="I7705" t="s">
        <v>1561</v>
      </c>
      <c r="J7705" t="s">
        <v>1561</v>
      </c>
      <c r="L7705">
        <f t="shared" si="468"/>
        <v>1</v>
      </c>
    </row>
    <row r="7706" spans="1:12" x14ac:dyDescent="0.35">
      <c r="A7706">
        <f t="shared" si="469"/>
        <v>7705</v>
      </c>
      <c r="B7706" t="s">
        <v>753</v>
      </c>
      <c r="C7706" s="109" t="str">
        <f>IF(ISBLANK(K7706),IFERROR(VLOOKUP(I7706,FS_input_data!$C$458:$N$648,Export!J7706,FALSE),""),K7706)</f>
        <v/>
      </c>
      <c r="D7706" s="6"/>
      <c r="E7706" s="6"/>
      <c r="F7706" s="6"/>
      <c r="G7706" s="115" t="b">
        <f>VLOOKUP(I7704,FS_input_noty,J7704,FALSE)=""</f>
        <v>0</v>
      </c>
      <c r="H7706" s="6" t="s">
        <v>2189</v>
      </c>
      <c r="I7706" t="s">
        <v>1561</v>
      </c>
      <c r="J7706" t="s">
        <v>1561</v>
      </c>
      <c r="L7706" s="26" t="e">
        <f t="shared" si="468"/>
        <v>#VALUE!</v>
      </c>
    </row>
    <row r="7707" spans="1:12" x14ac:dyDescent="0.35">
      <c r="A7707">
        <f t="shared" si="469"/>
        <v>7706</v>
      </c>
      <c r="B7707" t="s">
        <v>742</v>
      </c>
      <c r="C7707" s="109" t="str">
        <f>IF(ISBLANK(K7707),IFERROR(VLOOKUP(I7707,FS_input_data!$C$458:$N$648,Export!J7707,FALSE),""),K7707)</f>
        <v/>
      </c>
      <c r="D7707" s="6"/>
      <c r="E7707" s="6"/>
      <c r="F7707" s="6"/>
      <c r="G7707" s="115" t="b">
        <f>VLOOKUP(I7704,FS_input_noty,J7704,FALSE)=""</f>
        <v>0</v>
      </c>
      <c r="H7707" s="6" t="s">
        <v>2189</v>
      </c>
      <c r="I7707" t="s">
        <v>1561</v>
      </c>
      <c r="J7707" t="s">
        <v>1561</v>
      </c>
      <c r="L7707" s="26" t="e">
        <f t="shared" si="468"/>
        <v>#VALUE!</v>
      </c>
    </row>
    <row r="7708" spans="1:12" x14ac:dyDescent="0.35">
      <c r="A7708">
        <f t="shared" si="469"/>
        <v>7707</v>
      </c>
      <c r="B7708" t="s">
        <v>748</v>
      </c>
      <c r="C7708" s="109" t="str">
        <f>IF(ISBLANK(K7708),IFERROR(VLOOKUP(I7708,FS_input_data!$C$458:$N$648,Export!J7708,FALSE),""),K7708)</f>
        <v/>
      </c>
      <c r="D7708" s="6"/>
      <c r="E7708" s="6"/>
      <c r="F7708" s="6"/>
      <c r="G7708" s="115" t="b">
        <f>VLOOKUP(I7704,FS_input_noty,J7704,FALSE)=""</f>
        <v>0</v>
      </c>
      <c r="H7708" s="6" t="s">
        <v>2189</v>
      </c>
      <c r="I7708" t="s">
        <v>1561</v>
      </c>
      <c r="J7708" t="s">
        <v>1561</v>
      </c>
      <c r="L7708" s="26" t="e">
        <f t="shared" si="468"/>
        <v>#VALUE!</v>
      </c>
    </row>
    <row r="7709" spans="1:12" x14ac:dyDescent="0.35">
      <c r="A7709" s="9">
        <f t="shared" si="469"/>
        <v>7708</v>
      </c>
      <c r="B7709" t="s">
        <v>109</v>
      </c>
      <c r="C7709" s="109">
        <f>IF(ISBLANK(K7709),IFERROR(VLOOKUP(I7709,FS_input_data!$C$458:$N$648,Export!J7709,FALSE),""),K7709)</f>
        <v>3000</v>
      </c>
      <c r="D7709" s="6" t="b">
        <v>1</v>
      </c>
      <c r="E7709" s="6"/>
      <c r="F7709" s="6"/>
      <c r="G7709" s="115" t="b">
        <f>VLOOKUP(I7704,FS_input_noty,J7704,FALSE)=""</f>
        <v>0</v>
      </c>
      <c r="H7709" s="6" t="s">
        <v>2189</v>
      </c>
      <c r="I7709" t="s">
        <v>2146</v>
      </c>
      <c r="J7709">
        <v>7</v>
      </c>
      <c r="L7709" s="26" t="e">
        <f t="shared" si="468"/>
        <v>#VALUE!</v>
      </c>
    </row>
    <row r="7710" spans="1:12" x14ac:dyDescent="0.35">
      <c r="A7710">
        <f t="shared" si="469"/>
        <v>7709</v>
      </c>
      <c r="B7710" t="s">
        <v>110</v>
      </c>
      <c r="C7710" s="109" t="str">
        <f>IF(ISBLANK(K7710),IFERROR(VLOOKUP(I7710,FS_input_data!$C$458:$N$648,Export!J7710,FALSE),""),K7710)</f>
        <v/>
      </c>
      <c r="D7710" s="6"/>
      <c r="E7710" s="6"/>
      <c r="F7710" s="6"/>
      <c r="G7710" s="115" t="b">
        <f>VLOOKUP(I7704,FS_input_noty,J7704,FALSE)=""</f>
        <v>0</v>
      </c>
      <c r="H7710" s="6" t="s">
        <v>2189</v>
      </c>
      <c r="I7710" t="s">
        <v>1561</v>
      </c>
      <c r="J7710" t="s">
        <v>1561</v>
      </c>
      <c r="L7710">
        <f t="shared" si="468"/>
        <v>1</v>
      </c>
    </row>
    <row r="7711" spans="1:12" x14ac:dyDescent="0.35">
      <c r="A7711" s="9">
        <f t="shared" si="469"/>
        <v>7710</v>
      </c>
      <c r="B7711" t="s">
        <v>111</v>
      </c>
      <c r="C7711" s="109">
        <f>IF(ISBLANK(K7711),IFERROR(VLOOKUP(I7711,FS_input_data!$C$458:$N$648,Export!J7711,FALSE),""),K7711)</f>
        <v>1500</v>
      </c>
      <c r="D7711" s="6" t="b">
        <v>0</v>
      </c>
      <c r="E7711" s="6"/>
      <c r="F7711" s="6"/>
      <c r="G7711" s="115" t="b">
        <f>VLOOKUP(I7704,FS_input_noty,J7704,TRUE)=""</f>
        <v>0</v>
      </c>
      <c r="H7711" s="6" t="s">
        <v>2189</v>
      </c>
      <c r="I7711" t="s">
        <v>2146</v>
      </c>
      <c r="J7711">
        <v>8</v>
      </c>
      <c r="L7711" s="26" t="e">
        <f t="shared" si="468"/>
        <v>#VALUE!</v>
      </c>
    </row>
    <row r="7712" spans="1:12" x14ac:dyDescent="0.35">
      <c r="A7712">
        <f t="shared" si="469"/>
        <v>7711</v>
      </c>
      <c r="B7712" t="s">
        <v>112</v>
      </c>
      <c r="C7712" s="109" t="str">
        <f>IF(ISBLANK(K7712),IFERROR(VLOOKUP(I7712,FS_input_data!$C$458:$N$648,Export!J7712,FALSE),""),K7712)</f>
        <v/>
      </c>
      <c r="D7712" s="6"/>
      <c r="E7712" s="6"/>
      <c r="F7712" s="6"/>
      <c r="G7712" s="115" t="b">
        <f>VLOOKUP(I7704,FS_input_noty,J7704,FALSE)=""</f>
        <v>0</v>
      </c>
      <c r="H7712" s="6" t="s">
        <v>2189</v>
      </c>
      <c r="I7712" t="s">
        <v>1561</v>
      </c>
      <c r="J7712" t="s">
        <v>1561</v>
      </c>
      <c r="L7712">
        <f t="shared" si="468"/>
        <v>1</v>
      </c>
    </row>
    <row r="7713" spans="1:12" x14ac:dyDescent="0.35">
      <c r="A7713" s="9">
        <f t="shared" si="469"/>
        <v>7712</v>
      </c>
      <c r="B7713" t="s">
        <v>749</v>
      </c>
      <c r="C7713" s="109">
        <f>IF(ISBLANK(K7713),IFERROR(VLOOKUP(I7713,FS_input_data!$C$458:$N$648,Export!J7713,FALSE),""),K7713)</f>
        <v>1500</v>
      </c>
      <c r="D7713" s="6" t="b">
        <v>0</v>
      </c>
      <c r="E7713" s="6"/>
      <c r="F7713" s="6"/>
      <c r="G7713" s="115" t="b">
        <f>VLOOKUP(I7704,FS_input_noty,J7704,FALSE)=""</f>
        <v>0</v>
      </c>
      <c r="H7713" s="6" t="s">
        <v>2189</v>
      </c>
      <c r="I7713" t="s">
        <v>2146</v>
      </c>
      <c r="J7713">
        <v>9</v>
      </c>
      <c r="L7713" s="26" t="e">
        <f t="shared" si="468"/>
        <v>#VALUE!</v>
      </c>
    </row>
    <row r="7714" spans="1:12" x14ac:dyDescent="0.35">
      <c r="A7714">
        <f t="shared" si="469"/>
        <v>7713</v>
      </c>
      <c r="B7714" t="s">
        <v>750</v>
      </c>
      <c r="C7714" s="109" t="str">
        <f>IF(ISBLANK(K7714),IFERROR(VLOOKUP(I7714,FS_input_data!$C$458:$N$648,Export!J7714,FALSE),""),K7714)</f>
        <v/>
      </c>
      <c r="D7714" s="6"/>
      <c r="E7714" s="6"/>
      <c r="F7714" s="6"/>
      <c r="G7714" s="115" t="b">
        <f>VLOOKUP(I7704,FS_input_noty,J7704,FALSE)=""</f>
        <v>0</v>
      </c>
      <c r="H7714" s="6" t="s">
        <v>2189</v>
      </c>
      <c r="I7714" t="s">
        <v>1561</v>
      </c>
      <c r="J7714" t="s">
        <v>1561</v>
      </c>
      <c r="L7714">
        <f t="shared" si="468"/>
        <v>1</v>
      </c>
    </row>
    <row r="7715" spans="1:12" x14ac:dyDescent="0.35">
      <c r="A7715">
        <f t="shared" si="469"/>
        <v>7714</v>
      </c>
      <c r="B7715" t="s">
        <v>751</v>
      </c>
      <c r="C7715" s="109" t="str">
        <f>IF(ISBLANK(K7715),IFERROR(VLOOKUP(I7715,FS_input_data!$C$458:$N$648,Export!J7715,FALSE),""),K7715)</f>
        <v/>
      </c>
      <c r="D7715" s="6"/>
      <c r="E7715" s="6"/>
      <c r="F7715" s="6"/>
      <c r="G7715" s="115" t="b">
        <f>VLOOKUP(I7704,FS_input_noty,J7704,FALSE)=""</f>
        <v>0</v>
      </c>
      <c r="H7715" s="6" t="s">
        <v>2189</v>
      </c>
      <c r="I7715" t="s">
        <v>1561</v>
      </c>
      <c r="J7715" t="s">
        <v>1561</v>
      </c>
      <c r="L7715">
        <f t="shared" si="468"/>
        <v>1</v>
      </c>
    </row>
    <row r="7716" spans="1:12" x14ac:dyDescent="0.35">
      <c r="A7716">
        <f t="shared" si="469"/>
        <v>7715</v>
      </c>
      <c r="B7716" t="s">
        <v>754</v>
      </c>
      <c r="C7716" s="109" t="str">
        <f>IF(ISBLANK(K7716),IFERROR(VLOOKUP(I7716,FS_input_data!$C$458:$N$648,Export!J7716,FALSE),""),K7716)</f>
        <v/>
      </c>
      <c r="D7716" s="6"/>
      <c r="E7716" s="6"/>
      <c r="F7716" s="6"/>
      <c r="G7716" s="115" t="b">
        <f>VLOOKUP(I7704,FS_input_noty,J7704,FALSE)=""</f>
        <v>0</v>
      </c>
      <c r="H7716" s="6" t="s">
        <v>2189</v>
      </c>
      <c r="I7716" t="s">
        <v>1561</v>
      </c>
      <c r="J7716" t="s">
        <v>1561</v>
      </c>
      <c r="L7716" s="26" t="e">
        <f t="shared" si="468"/>
        <v>#VALUE!</v>
      </c>
    </row>
    <row r="7717" spans="1:12" x14ac:dyDescent="0.35">
      <c r="A7717" s="9">
        <f t="shared" si="469"/>
        <v>7716</v>
      </c>
      <c r="B7717" t="s">
        <v>755</v>
      </c>
      <c r="C7717" s="109">
        <f>IF(ISBLANK(K7717),IFERROR(VLOOKUP(I7717,FS_input_data!$C$458:$N$648,Export!J7717,FALSE),""),K7717)</f>
        <v>169</v>
      </c>
      <c r="D7717" s="6" t="b">
        <v>1</v>
      </c>
      <c r="E7717" s="6"/>
      <c r="F7717" s="6"/>
      <c r="G7717" s="115" t="b">
        <f>VLOOKUP(I7704,FS_input_noty,J7704,FALSE)=""</f>
        <v>0</v>
      </c>
      <c r="H7717" s="6" t="s">
        <v>2189</v>
      </c>
      <c r="I7717" t="s">
        <v>2146</v>
      </c>
      <c r="J7717">
        <v>2</v>
      </c>
      <c r="L7717" s="26" t="e">
        <f t="shared" si="468"/>
        <v>#VALUE!</v>
      </c>
    </row>
    <row r="7718" spans="1:12" x14ac:dyDescent="0.35">
      <c r="A7718">
        <f t="shared" si="469"/>
        <v>7717</v>
      </c>
      <c r="B7718" t="s">
        <v>756</v>
      </c>
      <c r="C7718" s="109" t="str">
        <f>IF(ISBLANK(K7718),IFERROR(VLOOKUP(I7718,FS_input_data!$C$458:$N$648,Export!J7718,FALSE),""),K7718)</f>
        <v/>
      </c>
      <c r="D7718" s="6"/>
      <c r="E7718" s="6"/>
      <c r="F7718" s="6"/>
      <c r="G7718" s="115" t="b">
        <f>VLOOKUP(I7704,FS_input_noty,J7704,FALSE)=""</f>
        <v>0</v>
      </c>
      <c r="H7718" s="6" t="s">
        <v>2189</v>
      </c>
      <c r="I7718" t="s">
        <v>1561</v>
      </c>
      <c r="J7718" t="s">
        <v>1561</v>
      </c>
      <c r="L7718">
        <f t="shared" si="468"/>
        <v>1</v>
      </c>
    </row>
    <row r="7719" spans="1:12" x14ac:dyDescent="0.35">
      <c r="A7719" s="9">
        <f t="shared" si="469"/>
        <v>7718</v>
      </c>
      <c r="B7719" t="s">
        <v>757</v>
      </c>
      <c r="C7719" s="109">
        <f>IF(ISBLANK(K7719),IFERROR(VLOOKUP(I7719,FS_input_data!$C$458:$N$648,Export!J7719,FALSE),""),K7719)</f>
        <v>269</v>
      </c>
      <c r="D7719" s="6" t="b">
        <v>0</v>
      </c>
      <c r="E7719" s="6"/>
      <c r="F7719" s="6"/>
      <c r="G7719" s="115" t="b">
        <f>VLOOKUP(I7704,FS_input_noty,J7704,FALSE)=""</f>
        <v>0</v>
      </c>
      <c r="H7719" s="6" t="s">
        <v>2189</v>
      </c>
      <c r="I7719" t="s">
        <v>2146</v>
      </c>
      <c r="J7719">
        <v>3</v>
      </c>
      <c r="L7719" s="26" t="e">
        <f t="shared" si="468"/>
        <v>#VALUE!</v>
      </c>
    </row>
    <row r="7720" spans="1:12" x14ac:dyDescent="0.35">
      <c r="A7720">
        <f t="shared" si="469"/>
        <v>7719</v>
      </c>
      <c r="B7720" t="s">
        <v>758</v>
      </c>
      <c r="C7720" s="109" t="str">
        <f>IF(ISBLANK(K7720),IFERROR(VLOOKUP(I7720,FS_input_data!$C$458:$N$648,Export!J7720,FALSE),""),K7720)</f>
        <v/>
      </c>
      <c r="D7720" s="6"/>
      <c r="E7720" s="6"/>
      <c r="F7720" s="6"/>
      <c r="G7720" s="115" t="b">
        <f>VLOOKUP(I7704,FS_input_noty,J7704,FALSE)=""</f>
        <v>0</v>
      </c>
      <c r="H7720" s="6" t="s">
        <v>2189</v>
      </c>
      <c r="I7720" t="s">
        <v>1561</v>
      </c>
      <c r="J7720" t="s">
        <v>1561</v>
      </c>
      <c r="L7720">
        <f t="shared" si="468"/>
        <v>1</v>
      </c>
    </row>
    <row r="7721" spans="1:12" x14ac:dyDescent="0.35">
      <c r="A7721" s="9">
        <f t="shared" si="469"/>
        <v>7720</v>
      </c>
      <c r="B7721" t="s">
        <v>759</v>
      </c>
      <c r="C7721" s="109">
        <f>IF(ISBLANK(K7721),IFERROR(VLOOKUP(I7721,FS_input_data!$C$458:$N$648,Export!J7721,FALSE),""),K7721)</f>
        <v>369</v>
      </c>
      <c r="D7721" s="6" t="b">
        <v>0</v>
      </c>
      <c r="E7721" s="6"/>
      <c r="F7721" s="6"/>
      <c r="G7721" s="115" t="b">
        <f>VLOOKUP(I7704,FS_input_noty,J7704,FALSE)=""</f>
        <v>0</v>
      </c>
      <c r="H7721" s="6" t="s">
        <v>2189</v>
      </c>
      <c r="I7721" t="s">
        <v>2146</v>
      </c>
      <c r="J7721">
        <v>4</v>
      </c>
      <c r="L7721" s="26" t="e">
        <f t="shared" si="468"/>
        <v>#VALUE!</v>
      </c>
    </row>
    <row r="7722" spans="1:12" x14ac:dyDescent="0.35">
      <c r="A7722">
        <f t="shared" si="469"/>
        <v>7721</v>
      </c>
      <c r="B7722" t="s">
        <v>760</v>
      </c>
      <c r="C7722" s="109" t="str">
        <f>IF(ISBLANK(K7722),IFERROR(VLOOKUP(I7722,FS_input_data!$C$458:$N$648,Export!J7722,FALSE),""),K7722)</f>
        <v/>
      </c>
      <c r="D7722" s="6"/>
      <c r="E7722" s="6"/>
      <c r="F7722" s="6"/>
      <c r="G7722" s="115" t="b">
        <f>VLOOKUP(I7704,FS_input_noty,J7704,FALSE)=""</f>
        <v>0</v>
      </c>
      <c r="H7722" s="6" t="s">
        <v>2189</v>
      </c>
      <c r="I7722" t="s">
        <v>1561</v>
      </c>
      <c r="J7722" t="s">
        <v>1561</v>
      </c>
      <c r="L7722">
        <f t="shared" si="468"/>
        <v>1</v>
      </c>
    </row>
    <row r="7723" spans="1:12" x14ac:dyDescent="0.35">
      <c r="A7723" s="9">
        <f t="shared" si="469"/>
        <v>7722</v>
      </c>
      <c r="B7723" t="s">
        <v>761</v>
      </c>
      <c r="C7723" s="109" t="str">
        <f>IF(ISBLANK(K7723),IFERROR(VLOOKUP(I7723,FS_input_data!$C$458:$N$648,Export!J7723,FALSE),""),K7723)</f>
        <v>e</v>
      </c>
      <c r="D7723" s="6" t="b">
        <v>0</v>
      </c>
      <c r="E7723" s="6"/>
      <c r="F7723" s="6"/>
      <c r="G7723" s="115" t="b">
        <f>VLOOKUP(I7704,FS_input_noty,J7704,FALSE)=""</f>
        <v>0</v>
      </c>
      <c r="H7723" s="6" t="s">
        <v>2189</v>
      </c>
      <c r="I7723" t="s">
        <v>2146</v>
      </c>
      <c r="J7723">
        <v>5</v>
      </c>
      <c r="L7723" s="26" t="e">
        <f t="shared" si="468"/>
        <v>#VALUE!</v>
      </c>
    </row>
    <row r="7724" spans="1:12" x14ac:dyDescent="0.35">
      <c r="A7724">
        <f t="shared" si="469"/>
        <v>7723</v>
      </c>
      <c r="B7724" t="s">
        <v>762</v>
      </c>
      <c r="C7724" s="109" t="str">
        <f>IF(ISBLANK(K7724),IFERROR(VLOOKUP(I7724,FS_input_data!$C$458:$N$648,Export!J7724,FALSE),""),K7724)</f>
        <v/>
      </c>
      <c r="D7724" s="6"/>
      <c r="E7724" s="6"/>
      <c r="F7724" s="6"/>
      <c r="G7724" s="115" t="b">
        <f>VLOOKUP(I7704,FS_input_noty,J7704,FALSE)=""</f>
        <v>0</v>
      </c>
      <c r="H7724" s="6" t="s">
        <v>2189</v>
      </c>
      <c r="I7724" t="s">
        <v>1561</v>
      </c>
      <c r="J7724" t="s">
        <v>1561</v>
      </c>
      <c r="L7724">
        <f t="shared" si="468"/>
        <v>1</v>
      </c>
    </row>
    <row r="7725" spans="1:12" x14ac:dyDescent="0.35">
      <c r="A7725">
        <f t="shared" si="469"/>
        <v>7724</v>
      </c>
      <c r="B7725" t="s">
        <v>763</v>
      </c>
      <c r="C7725" s="109" t="str">
        <f>IF(ISBLANK(K7725),IFERROR(VLOOKUP(I7725,FS_input_data!$C$458:$N$648,Export!J7725,FALSE),""),K7725)</f>
        <v/>
      </c>
      <c r="D7725" s="6"/>
      <c r="E7725" s="6"/>
      <c r="F7725" s="6"/>
      <c r="G7725" s="115" t="b">
        <f>VLOOKUP(I7704,FS_input_noty,J7704,FALSE)=""</f>
        <v>0</v>
      </c>
      <c r="H7725" s="6" t="s">
        <v>2189</v>
      </c>
      <c r="I7725" t="s">
        <v>1561</v>
      </c>
      <c r="J7725" t="s">
        <v>1561</v>
      </c>
      <c r="L7725">
        <f t="shared" si="468"/>
        <v>1</v>
      </c>
    </row>
    <row r="7726" spans="1:12" x14ac:dyDescent="0.35">
      <c r="A7726">
        <f t="shared" si="469"/>
        <v>7725</v>
      </c>
      <c r="B7726" t="s">
        <v>743</v>
      </c>
      <c r="C7726" s="109" t="str">
        <f>IF(ISBLANK(K7726),IFERROR(VLOOKUP(I7726,FS_input_data!$C$458:$N$648,Export!J7726,FALSE),""),K7726)</f>
        <v/>
      </c>
      <c r="D7726" s="6"/>
      <c r="E7726" s="6"/>
      <c r="F7726" s="6"/>
      <c r="G7726" s="115" t="b">
        <f>VLOOKUP(I7704,FS_input_noty,J7704,FALSE)=""</f>
        <v>0</v>
      </c>
      <c r="H7726" s="6" t="s">
        <v>2189</v>
      </c>
      <c r="I7726" t="s">
        <v>1561</v>
      </c>
      <c r="J7726" t="s">
        <v>1561</v>
      </c>
      <c r="L7726">
        <f t="shared" si="468"/>
        <v>1</v>
      </c>
    </row>
    <row r="7727" spans="1:12" x14ac:dyDescent="0.35">
      <c r="A7727">
        <f t="shared" si="469"/>
        <v>7726</v>
      </c>
      <c r="B7727" t="s">
        <v>744</v>
      </c>
      <c r="C7727" s="109" t="str">
        <f>IF(ISBLANK(K7727),IFERROR(VLOOKUP(I7727,FS_input_data!$C$458:$N$648,Export!J7727,FALSE),""),K7727)</f>
        <v/>
      </c>
      <c r="D7727" s="6"/>
      <c r="E7727" s="6"/>
      <c r="F7727" s="6"/>
      <c r="G7727" s="115" t="b">
        <f t="shared" ref="G7727:G7734" si="471">RP_tax</f>
        <v>1</v>
      </c>
      <c r="H7727" s="6" t="s">
        <v>2189</v>
      </c>
      <c r="I7727" t="s">
        <v>1561</v>
      </c>
      <c r="J7727" t="s">
        <v>1561</v>
      </c>
      <c r="L7727" s="26" t="e">
        <f t="shared" si="468"/>
        <v>#VALUE!</v>
      </c>
    </row>
    <row r="7728" spans="1:12" x14ac:dyDescent="0.35">
      <c r="A7728" s="9">
        <f t="shared" si="469"/>
        <v>7727</v>
      </c>
      <c r="B7728" t="s">
        <v>109</v>
      </c>
      <c r="C7728" s="109">
        <f>IF(ISBLANK(K7728),IFERROR(VLOOKUP(I7728,FS_input_data!$C$458:$N$648,Export!J7728,FALSE),""),K7728)</f>
        <v>3000</v>
      </c>
      <c r="D7728" s="6" t="b">
        <v>1</v>
      </c>
      <c r="E7728" s="6"/>
      <c r="F7728" s="6"/>
      <c r="G7728" s="115" t="b">
        <f t="shared" si="471"/>
        <v>1</v>
      </c>
      <c r="H7728" s="6" t="s">
        <v>2189</v>
      </c>
      <c r="I7728" t="s">
        <v>2146</v>
      </c>
      <c r="J7728">
        <v>10</v>
      </c>
      <c r="L7728" s="26" t="e">
        <f t="shared" si="468"/>
        <v>#VALUE!</v>
      </c>
    </row>
    <row r="7729" spans="1:12" x14ac:dyDescent="0.35">
      <c r="A7729">
        <f t="shared" si="469"/>
        <v>7728</v>
      </c>
      <c r="B7729" t="s">
        <v>110</v>
      </c>
      <c r="C7729" s="109" t="str">
        <f>IF(ISBLANK(K7729),IFERROR(VLOOKUP(I7729,FS_input_data!$C$458:$N$648,Export!J7729,FALSE),""),K7729)</f>
        <v/>
      </c>
      <c r="D7729" s="6"/>
      <c r="E7729" s="6"/>
      <c r="F7729" s="6"/>
      <c r="G7729" s="115" t="b">
        <f t="shared" si="471"/>
        <v>1</v>
      </c>
      <c r="H7729" s="6" t="s">
        <v>2189</v>
      </c>
      <c r="I7729" t="s">
        <v>1561</v>
      </c>
      <c r="J7729" t="s">
        <v>1561</v>
      </c>
      <c r="L7729">
        <f t="shared" si="468"/>
        <v>1</v>
      </c>
    </row>
    <row r="7730" spans="1:12" x14ac:dyDescent="0.35">
      <c r="A7730" s="9">
        <f t="shared" si="469"/>
        <v>7729</v>
      </c>
      <c r="B7730" t="s">
        <v>111</v>
      </c>
      <c r="C7730" s="109">
        <f>IF(ISBLANK(K7730),IFERROR(VLOOKUP(I7730,FS_input_data!$C$458:$N$648,Export!J7730,FALSE),""),K7730)</f>
        <v>1500</v>
      </c>
      <c r="D7730" s="6" t="b">
        <v>0</v>
      </c>
      <c r="E7730" s="6"/>
      <c r="F7730" s="6"/>
      <c r="G7730" s="115" t="b">
        <f t="shared" si="471"/>
        <v>1</v>
      </c>
      <c r="H7730" s="6" t="s">
        <v>2189</v>
      </c>
      <c r="I7730" t="s">
        <v>2146</v>
      </c>
      <c r="J7730">
        <v>11</v>
      </c>
      <c r="L7730" s="26" t="e">
        <f t="shared" si="468"/>
        <v>#VALUE!</v>
      </c>
    </row>
    <row r="7731" spans="1:12" x14ac:dyDescent="0.35">
      <c r="A7731">
        <f t="shared" si="469"/>
        <v>7730</v>
      </c>
      <c r="B7731" t="s">
        <v>112</v>
      </c>
      <c r="C7731" s="109" t="str">
        <f>IF(ISBLANK(K7731),IFERROR(VLOOKUP(I7731,FS_input_data!$C$458:$N$648,Export!J7731,FALSE),""),K7731)</f>
        <v/>
      </c>
      <c r="D7731" s="6"/>
      <c r="E7731" s="6"/>
      <c r="F7731" s="6"/>
      <c r="G7731" s="115" t="b">
        <f t="shared" si="471"/>
        <v>1</v>
      </c>
      <c r="H7731" s="6" t="s">
        <v>2189</v>
      </c>
      <c r="I7731" t="s">
        <v>1561</v>
      </c>
      <c r="J7731" t="s">
        <v>1561</v>
      </c>
      <c r="L7731">
        <f t="shared" si="468"/>
        <v>1</v>
      </c>
    </row>
    <row r="7732" spans="1:12" x14ac:dyDescent="0.35">
      <c r="A7732" s="9">
        <f t="shared" si="469"/>
        <v>7731</v>
      </c>
      <c r="B7732" t="s">
        <v>749</v>
      </c>
      <c r="C7732" s="109">
        <f>IF(ISBLANK(K7732),IFERROR(VLOOKUP(I7732,FS_input_data!$C$458:$N$648,Export!J7732,FALSE),""),K7732)</f>
        <v>1500</v>
      </c>
      <c r="D7732" s="6" t="b">
        <v>0</v>
      </c>
      <c r="E7732" s="6"/>
      <c r="F7732" s="6"/>
      <c r="G7732" s="115" t="b">
        <f t="shared" si="471"/>
        <v>1</v>
      </c>
      <c r="H7732" s="6" t="s">
        <v>2189</v>
      </c>
      <c r="I7732" t="s">
        <v>2146</v>
      </c>
      <c r="J7732">
        <v>12</v>
      </c>
      <c r="L7732" s="26" t="e">
        <f t="shared" si="468"/>
        <v>#VALUE!</v>
      </c>
    </row>
    <row r="7733" spans="1:12" x14ac:dyDescent="0.35">
      <c r="A7733">
        <f t="shared" si="469"/>
        <v>7732</v>
      </c>
      <c r="B7733" t="s">
        <v>750</v>
      </c>
      <c r="C7733" s="109" t="str">
        <f>IF(ISBLANK(K7733),IFERROR(VLOOKUP(I7733,FS_input_data!$C$458:$N$648,Export!J7733,FALSE),""),K7733)</f>
        <v/>
      </c>
      <c r="D7733" s="6"/>
      <c r="E7733" s="6"/>
      <c r="F7733" s="6"/>
      <c r="G7733" s="115" t="b">
        <f t="shared" si="471"/>
        <v>1</v>
      </c>
      <c r="H7733" s="6" t="s">
        <v>2189</v>
      </c>
      <c r="I7733" t="s">
        <v>1561</v>
      </c>
      <c r="J7733" t="s">
        <v>1561</v>
      </c>
      <c r="L7733">
        <f t="shared" si="468"/>
        <v>1</v>
      </c>
    </row>
    <row r="7734" spans="1:12" x14ac:dyDescent="0.35">
      <c r="A7734">
        <f t="shared" si="469"/>
        <v>7733</v>
      </c>
      <c r="B7734" t="s">
        <v>745</v>
      </c>
      <c r="C7734" s="109" t="str">
        <f>IF(ISBLANK(K7734),IFERROR(VLOOKUP(I7734,FS_input_data!$C$458:$N$648,Export!J7734,FALSE),""),K7734)</f>
        <v/>
      </c>
      <c r="D7734" s="6"/>
      <c r="E7734" s="6"/>
      <c r="F7734" s="6"/>
      <c r="G7734" s="115" t="b">
        <f t="shared" si="471"/>
        <v>1</v>
      </c>
      <c r="H7734" s="6" t="s">
        <v>2189</v>
      </c>
      <c r="I7734" t="s">
        <v>1561</v>
      </c>
      <c r="J7734" t="s">
        <v>1561</v>
      </c>
      <c r="L7734">
        <f t="shared" si="468"/>
        <v>1</v>
      </c>
    </row>
    <row r="7735" spans="1:12" x14ac:dyDescent="0.35">
      <c r="A7735">
        <f t="shared" si="469"/>
        <v>7734</v>
      </c>
      <c r="B7735" t="s">
        <v>764</v>
      </c>
      <c r="C7735" s="109" t="str">
        <f>IF(ISBLANK(K7735),IFERROR(VLOOKUP(I7735,FS_input_data!$C$458:$N$648,Export!J7735,FALSE),""),K7735)</f>
        <v/>
      </c>
      <c r="D7735" s="6"/>
      <c r="E7735" s="6"/>
      <c r="F7735" s="6"/>
      <c r="G7735" s="115" t="b">
        <f>VLOOKUP(I7704,FS_input_noty,J7704,FALSE)=""</f>
        <v>0</v>
      </c>
      <c r="H7735" s="6" t="s">
        <v>2189</v>
      </c>
      <c r="I7735" t="s">
        <v>1561</v>
      </c>
      <c r="J7735" t="s">
        <v>1561</v>
      </c>
      <c r="L7735">
        <f t="shared" si="468"/>
        <v>1</v>
      </c>
    </row>
    <row r="7736" spans="1:12" x14ac:dyDescent="0.35">
      <c r="A7736">
        <f t="shared" si="469"/>
        <v>7735</v>
      </c>
      <c r="B7736" t="s">
        <v>765</v>
      </c>
      <c r="C7736" s="109" t="str">
        <f>IF(ISBLANK(K7736),IFERROR(VLOOKUP(I7736,FS_input_data!$C$458:$N$648,Export!J7736,FALSE),""),K7736)</f>
        <v/>
      </c>
      <c r="D7736" s="6"/>
      <c r="E7736" s="6"/>
      <c r="F7736" s="6"/>
      <c r="G7736" s="115" t="b">
        <f>VLOOKUP(I7704,FS_input_noty,J7704,FALSE)=""</f>
        <v>0</v>
      </c>
      <c r="H7736" s="6" t="s">
        <v>2189</v>
      </c>
      <c r="I7736" t="s">
        <v>1561</v>
      </c>
      <c r="J7736" t="s">
        <v>1561</v>
      </c>
      <c r="L7736">
        <f t="shared" si="468"/>
        <v>1</v>
      </c>
    </row>
    <row r="7737" spans="1:12" x14ac:dyDescent="0.35">
      <c r="A7737">
        <f t="shared" si="469"/>
        <v>7736</v>
      </c>
      <c r="B7737" t="s">
        <v>752</v>
      </c>
      <c r="C7737" s="109" t="str">
        <f>IF(ISBLANK(K7737),IFERROR(VLOOKUP(I7737,FS_input_data!$C$458:$N$648,Export!J7737,FALSE),""),K7737)</f>
        <v/>
      </c>
      <c r="D7737" s="6"/>
      <c r="E7737" s="6"/>
      <c r="F7737" s="6"/>
      <c r="G7737" s="115" t="b">
        <f>VLOOKUP(I7738,FS_input_noty,J7738,FALSE)=""</f>
        <v>0</v>
      </c>
      <c r="H7737" s="6" t="s">
        <v>2189</v>
      </c>
      <c r="I7737" t="s">
        <v>1561</v>
      </c>
      <c r="J7737" t="s">
        <v>1561</v>
      </c>
      <c r="L7737" s="26" t="e">
        <f t="shared" si="468"/>
        <v>#VALUE!</v>
      </c>
    </row>
    <row r="7738" spans="1:12" x14ac:dyDescent="0.35">
      <c r="A7738" s="9">
        <f t="shared" si="469"/>
        <v>7737</v>
      </c>
      <c r="B7738" t="s">
        <v>101</v>
      </c>
      <c r="C7738" s="109" t="str">
        <f>IF(ISBLANK(K7738),IFERROR(VLOOKUP(I7738,FS_input_data!$C$458:$N$648,Export!J7738,FALSE),""),K7738)</f>
        <v>OC147</v>
      </c>
      <c r="D7738" s="6" t="b">
        <v>1</v>
      </c>
      <c r="E7738" s="6"/>
      <c r="F7738" s="6"/>
      <c r="G7738" s="115" t="b">
        <f>VLOOKUP(I7738,FS_input_noty,J7738,FALSE)=""</f>
        <v>0</v>
      </c>
      <c r="H7738" s="6" t="s">
        <v>2189</v>
      </c>
      <c r="I7738" t="s">
        <v>2148</v>
      </c>
      <c r="J7738">
        <v>6</v>
      </c>
      <c r="L7738" s="26" t="e">
        <f t="shared" si="468"/>
        <v>#VALUE!</v>
      </c>
    </row>
    <row r="7739" spans="1:12" x14ac:dyDescent="0.35">
      <c r="A7739">
        <f t="shared" si="469"/>
        <v>7738</v>
      </c>
      <c r="B7739" t="s">
        <v>102</v>
      </c>
      <c r="C7739" s="109" t="str">
        <f>IF(ISBLANK(K7739),IFERROR(VLOOKUP(I7739,FS_input_data!$C$458:$N$648,Export!J7739,FALSE),""),K7739)</f>
        <v/>
      </c>
      <c r="D7739" s="6"/>
      <c r="E7739" s="6"/>
      <c r="F7739" s="6"/>
      <c r="G7739" s="115" t="b">
        <f>VLOOKUP(I7738,FS_input_noty,J7738,FALSE)=""</f>
        <v>0</v>
      </c>
      <c r="H7739" s="6" t="s">
        <v>2189</v>
      </c>
      <c r="I7739" t="s">
        <v>1561</v>
      </c>
      <c r="J7739" t="s">
        <v>1561</v>
      </c>
      <c r="L7739">
        <f t="shared" si="468"/>
        <v>1</v>
      </c>
    </row>
    <row r="7740" spans="1:12" x14ac:dyDescent="0.35">
      <c r="A7740">
        <f t="shared" si="469"/>
        <v>7739</v>
      </c>
      <c r="B7740" t="s">
        <v>753</v>
      </c>
      <c r="C7740" s="109" t="str">
        <f>IF(ISBLANK(K7740),IFERROR(VLOOKUP(I7740,FS_input_data!$C$458:$N$648,Export!J7740,FALSE),""),K7740)</f>
        <v/>
      </c>
      <c r="D7740" s="6"/>
      <c r="E7740" s="6"/>
      <c r="F7740" s="6"/>
      <c r="G7740" s="115" t="b">
        <f>VLOOKUP(I7738,FS_input_noty,J7738,FALSE)=""</f>
        <v>0</v>
      </c>
      <c r="H7740" s="6" t="s">
        <v>2189</v>
      </c>
      <c r="I7740" t="s">
        <v>1561</v>
      </c>
      <c r="J7740" t="s">
        <v>1561</v>
      </c>
      <c r="L7740" s="26" t="e">
        <f t="shared" si="468"/>
        <v>#VALUE!</v>
      </c>
    </row>
    <row r="7741" spans="1:12" x14ac:dyDescent="0.35">
      <c r="A7741">
        <f t="shared" si="469"/>
        <v>7740</v>
      </c>
      <c r="B7741" t="s">
        <v>742</v>
      </c>
      <c r="C7741" s="109" t="str">
        <f>IF(ISBLANK(K7741),IFERROR(VLOOKUP(I7741,FS_input_data!$C$458:$N$648,Export!J7741,FALSE),""),K7741)</f>
        <v/>
      </c>
      <c r="D7741" s="6"/>
      <c r="E7741" s="6"/>
      <c r="F7741" s="6"/>
      <c r="G7741" s="115" t="b">
        <f>VLOOKUP(I7738,FS_input_noty,J7738,FALSE)=""</f>
        <v>0</v>
      </c>
      <c r="H7741" s="6" t="s">
        <v>2189</v>
      </c>
      <c r="I7741" t="s">
        <v>1561</v>
      </c>
      <c r="J7741" t="s">
        <v>1561</v>
      </c>
      <c r="L7741" s="26" t="e">
        <f t="shared" si="468"/>
        <v>#VALUE!</v>
      </c>
    </row>
    <row r="7742" spans="1:12" x14ac:dyDescent="0.35">
      <c r="A7742">
        <f t="shared" si="469"/>
        <v>7741</v>
      </c>
      <c r="B7742" t="s">
        <v>748</v>
      </c>
      <c r="C7742" s="109" t="str">
        <f>IF(ISBLANK(K7742),IFERROR(VLOOKUP(I7742,FS_input_data!$C$458:$N$648,Export!J7742,FALSE),""),K7742)</f>
        <v/>
      </c>
      <c r="D7742" s="6"/>
      <c r="E7742" s="6"/>
      <c r="F7742" s="6"/>
      <c r="G7742" s="115" t="b">
        <f>VLOOKUP(I7738,FS_input_noty,J7738,FALSE)=""</f>
        <v>0</v>
      </c>
      <c r="H7742" s="6" t="s">
        <v>2189</v>
      </c>
      <c r="I7742" t="s">
        <v>1561</v>
      </c>
      <c r="J7742" t="s">
        <v>1561</v>
      </c>
      <c r="L7742" s="26" t="e">
        <f t="shared" si="468"/>
        <v>#VALUE!</v>
      </c>
    </row>
    <row r="7743" spans="1:12" x14ac:dyDescent="0.35">
      <c r="A7743" s="9">
        <f t="shared" si="469"/>
        <v>7742</v>
      </c>
      <c r="B7743" t="s">
        <v>109</v>
      </c>
      <c r="C7743" s="109">
        <f>IF(ISBLANK(K7743),IFERROR(VLOOKUP(I7743,FS_input_data!$C$458:$N$648,Export!J7743,FALSE),""),K7743)</f>
        <v>4000</v>
      </c>
      <c r="D7743" s="6" t="b">
        <v>1</v>
      </c>
      <c r="E7743" s="6"/>
      <c r="F7743" s="6"/>
      <c r="G7743" s="115" t="b">
        <f>VLOOKUP(I7738,FS_input_noty,J7738,FALSE)=""</f>
        <v>0</v>
      </c>
      <c r="H7743" s="6" t="s">
        <v>2189</v>
      </c>
      <c r="I7743" t="s">
        <v>2148</v>
      </c>
      <c r="J7743">
        <v>7</v>
      </c>
      <c r="L7743" s="26" t="e">
        <f t="shared" si="468"/>
        <v>#VALUE!</v>
      </c>
    </row>
    <row r="7744" spans="1:12" x14ac:dyDescent="0.35">
      <c r="A7744">
        <f t="shared" si="469"/>
        <v>7743</v>
      </c>
      <c r="B7744" t="s">
        <v>110</v>
      </c>
      <c r="C7744" s="109" t="str">
        <f>IF(ISBLANK(K7744),IFERROR(VLOOKUP(I7744,FS_input_data!$C$458:$N$648,Export!J7744,FALSE),""),K7744)</f>
        <v/>
      </c>
      <c r="D7744" s="6"/>
      <c r="E7744" s="6"/>
      <c r="F7744" s="6"/>
      <c r="G7744" s="115" t="b">
        <f>VLOOKUP(I7738,FS_input_noty,J7738,FALSE)=""</f>
        <v>0</v>
      </c>
      <c r="H7744" s="6" t="s">
        <v>2189</v>
      </c>
      <c r="I7744" t="s">
        <v>1561</v>
      </c>
      <c r="J7744" t="s">
        <v>1561</v>
      </c>
      <c r="L7744">
        <f t="shared" si="468"/>
        <v>1</v>
      </c>
    </row>
    <row r="7745" spans="1:12" x14ac:dyDescent="0.35">
      <c r="A7745" s="9">
        <f t="shared" si="469"/>
        <v>7744</v>
      </c>
      <c r="B7745" t="s">
        <v>111</v>
      </c>
      <c r="C7745" s="109">
        <f>IF(ISBLANK(K7745),IFERROR(VLOOKUP(I7745,FS_input_data!$C$458:$N$648,Export!J7745,FALSE),""),K7745)</f>
        <v>2000</v>
      </c>
      <c r="D7745" s="6" t="b">
        <v>0</v>
      </c>
      <c r="E7745" s="6"/>
      <c r="F7745" s="6"/>
      <c r="G7745" s="115" t="b">
        <f>VLOOKUP(I7738,FS_input_noty,J7738,TRUE)=""</f>
        <v>0</v>
      </c>
      <c r="H7745" s="6" t="s">
        <v>2189</v>
      </c>
      <c r="I7745" t="s">
        <v>2148</v>
      </c>
      <c r="J7745">
        <v>8</v>
      </c>
      <c r="L7745" s="26" t="e">
        <f t="shared" si="468"/>
        <v>#VALUE!</v>
      </c>
    </row>
    <row r="7746" spans="1:12" x14ac:dyDescent="0.35">
      <c r="A7746">
        <f t="shared" si="469"/>
        <v>7745</v>
      </c>
      <c r="B7746" t="s">
        <v>112</v>
      </c>
      <c r="C7746" s="109" t="str">
        <f>IF(ISBLANK(K7746),IFERROR(VLOOKUP(I7746,FS_input_data!$C$458:$N$648,Export!J7746,FALSE),""),K7746)</f>
        <v/>
      </c>
      <c r="D7746" s="6"/>
      <c r="E7746" s="6"/>
      <c r="F7746" s="6"/>
      <c r="G7746" s="115" t="b">
        <f>VLOOKUP(I7738,FS_input_noty,J7738,FALSE)=""</f>
        <v>0</v>
      </c>
      <c r="H7746" s="6" t="s">
        <v>2189</v>
      </c>
      <c r="I7746" t="s">
        <v>1561</v>
      </c>
      <c r="J7746" t="s">
        <v>1561</v>
      </c>
      <c r="L7746">
        <f t="shared" ref="L7746:L7809" si="472">FIND("/",B7746)</f>
        <v>1</v>
      </c>
    </row>
    <row r="7747" spans="1:12" x14ac:dyDescent="0.35">
      <c r="A7747" s="9">
        <f t="shared" ref="A7747:A7810" si="473">A7746+1</f>
        <v>7746</v>
      </c>
      <c r="B7747" t="s">
        <v>749</v>
      </c>
      <c r="C7747" s="109">
        <f>IF(ISBLANK(K7747),IFERROR(VLOOKUP(I7747,FS_input_data!$C$458:$N$648,Export!J7747,FALSE),""),K7747)</f>
        <v>2000</v>
      </c>
      <c r="D7747" s="6" t="b">
        <v>0</v>
      </c>
      <c r="E7747" s="6"/>
      <c r="F7747" s="6"/>
      <c r="G7747" s="115" t="b">
        <f>VLOOKUP(I7738,FS_input_noty,J7738,FALSE)=""</f>
        <v>0</v>
      </c>
      <c r="H7747" s="6" t="s">
        <v>2189</v>
      </c>
      <c r="I7747" t="s">
        <v>2148</v>
      </c>
      <c r="J7747">
        <v>9</v>
      </c>
      <c r="L7747" s="26" t="e">
        <f t="shared" si="472"/>
        <v>#VALUE!</v>
      </c>
    </row>
    <row r="7748" spans="1:12" x14ac:dyDescent="0.35">
      <c r="A7748">
        <f t="shared" si="473"/>
        <v>7747</v>
      </c>
      <c r="B7748" t="s">
        <v>750</v>
      </c>
      <c r="C7748" s="109" t="str">
        <f>IF(ISBLANK(K7748),IFERROR(VLOOKUP(I7748,FS_input_data!$C$458:$N$648,Export!J7748,FALSE),""),K7748)</f>
        <v/>
      </c>
      <c r="D7748" s="6"/>
      <c r="E7748" s="6"/>
      <c r="F7748" s="6"/>
      <c r="G7748" s="115" t="b">
        <f>VLOOKUP(I7738,FS_input_noty,J7738,FALSE)=""</f>
        <v>0</v>
      </c>
      <c r="H7748" s="6" t="s">
        <v>2189</v>
      </c>
      <c r="I7748" t="s">
        <v>1561</v>
      </c>
      <c r="J7748" t="s">
        <v>1561</v>
      </c>
      <c r="L7748">
        <f t="shared" si="472"/>
        <v>1</v>
      </c>
    </row>
    <row r="7749" spans="1:12" x14ac:dyDescent="0.35">
      <c r="A7749">
        <f t="shared" si="473"/>
        <v>7748</v>
      </c>
      <c r="B7749" t="s">
        <v>751</v>
      </c>
      <c r="C7749" s="109" t="str">
        <f>IF(ISBLANK(K7749),IFERROR(VLOOKUP(I7749,FS_input_data!$C$458:$N$648,Export!J7749,FALSE),""),K7749)</f>
        <v/>
      </c>
      <c r="D7749" s="6"/>
      <c r="E7749" s="6"/>
      <c r="F7749" s="6"/>
      <c r="G7749" s="115" t="b">
        <f>VLOOKUP(I7738,FS_input_noty,J7738,FALSE)=""</f>
        <v>0</v>
      </c>
      <c r="H7749" s="6" t="s">
        <v>2189</v>
      </c>
      <c r="I7749" t="s">
        <v>1561</v>
      </c>
      <c r="J7749" t="s">
        <v>1561</v>
      </c>
      <c r="L7749">
        <f t="shared" si="472"/>
        <v>1</v>
      </c>
    </row>
    <row r="7750" spans="1:12" x14ac:dyDescent="0.35">
      <c r="A7750">
        <f t="shared" si="473"/>
        <v>7749</v>
      </c>
      <c r="B7750" t="s">
        <v>754</v>
      </c>
      <c r="C7750" s="109" t="str">
        <f>IF(ISBLANK(K7750),IFERROR(VLOOKUP(I7750,FS_input_data!$C$458:$N$648,Export!J7750,FALSE),""),K7750)</f>
        <v/>
      </c>
      <c r="D7750" s="6"/>
      <c r="E7750" s="6"/>
      <c r="F7750" s="6"/>
      <c r="G7750" s="115" t="b">
        <f>VLOOKUP(I7738,FS_input_noty,J7738,FALSE)=""</f>
        <v>0</v>
      </c>
      <c r="H7750" s="6" t="s">
        <v>2189</v>
      </c>
      <c r="I7750" t="s">
        <v>1561</v>
      </c>
      <c r="J7750" t="s">
        <v>1561</v>
      </c>
      <c r="L7750" s="26" t="e">
        <f t="shared" si="472"/>
        <v>#VALUE!</v>
      </c>
    </row>
    <row r="7751" spans="1:12" x14ac:dyDescent="0.35">
      <c r="A7751" s="9">
        <f t="shared" si="473"/>
        <v>7750</v>
      </c>
      <c r="B7751" t="s">
        <v>755</v>
      </c>
      <c r="C7751" s="109">
        <f>IF(ISBLANK(K7751),IFERROR(VLOOKUP(I7751,FS_input_data!$C$458:$N$648,Export!J7751,FALSE),""),K7751)</f>
        <v>170</v>
      </c>
      <c r="D7751" s="6" t="b">
        <v>1</v>
      </c>
      <c r="E7751" s="6"/>
      <c r="F7751" s="6"/>
      <c r="G7751" s="115" t="b">
        <f>VLOOKUP(I7738,FS_input_noty,J7738,FALSE)=""</f>
        <v>0</v>
      </c>
      <c r="H7751" s="6" t="s">
        <v>2189</v>
      </c>
      <c r="I7751" t="s">
        <v>2148</v>
      </c>
      <c r="J7751">
        <v>2</v>
      </c>
      <c r="L7751" s="26" t="e">
        <f t="shared" si="472"/>
        <v>#VALUE!</v>
      </c>
    </row>
    <row r="7752" spans="1:12" x14ac:dyDescent="0.35">
      <c r="A7752">
        <f t="shared" si="473"/>
        <v>7751</v>
      </c>
      <c r="B7752" t="s">
        <v>756</v>
      </c>
      <c r="C7752" s="109" t="str">
        <f>IF(ISBLANK(K7752),IFERROR(VLOOKUP(I7752,FS_input_data!$C$458:$N$648,Export!J7752,FALSE),""),K7752)</f>
        <v/>
      </c>
      <c r="D7752" s="6"/>
      <c r="E7752" s="6"/>
      <c r="F7752" s="6"/>
      <c r="G7752" s="115" t="b">
        <f>VLOOKUP(I7738,FS_input_noty,J7738,FALSE)=""</f>
        <v>0</v>
      </c>
      <c r="H7752" s="6" t="s">
        <v>2189</v>
      </c>
      <c r="I7752" t="s">
        <v>1561</v>
      </c>
      <c r="J7752" t="s">
        <v>1561</v>
      </c>
      <c r="L7752">
        <f t="shared" si="472"/>
        <v>1</v>
      </c>
    </row>
    <row r="7753" spans="1:12" x14ac:dyDescent="0.35">
      <c r="A7753" s="9">
        <f t="shared" si="473"/>
        <v>7752</v>
      </c>
      <c r="B7753" t="s">
        <v>757</v>
      </c>
      <c r="C7753" s="109">
        <f>IF(ISBLANK(K7753),IFERROR(VLOOKUP(I7753,FS_input_data!$C$458:$N$648,Export!J7753,FALSE),""),K7753)</f>
        <v>270</v>
      </c>
      <c r="D7753" s="6" t="b">
        <v>0</v>
      </c>
      <c r="E7753" s="6"/>
      <c r="F7753" s="6"/>
      <c r="G7753" s="115" t="b">
        <f>VLOOKUP(I7738,FS_input_noty,J7738,FALSE)=""</f>
        <v>0</v>
      </c>
      <c r="H7753" s="6" t="s">
        <v>2189</v>
      </c>
      <c r="I7753" t="s">
        <v>2148</v>
      </c>
      <c r="J7753">
        <v>3</v>
      </c>
      <c r="L7753" s="26" t="e">
        <f t="shared" si="472"/>
        <v>#VALUE!</v>
      </c>
    </row>
    <row r="7754" spans="1:12" x14ac:dyDescent="0.35">
      <c r="A7754">
        <f t="shared" si="473"/>
        <v>7753</v>
      </c>
      <c r="B7754" t="s">
        <v>758</v>
      </c>
      <c r="C7754" s="109" t="str">
        <f>IF(ISBLANK(K7754),IFERROR(VLOOKUP(I7754,FS_input_data!$C$458:$N$648,Export!J7754,FALSE),""),K7754)</f>
        <v/>
      </c>
      <c r="D7754" s="6"/>
      <c r="E7754" s="6"/>
      <c r="F7754" s="6"/>
      <c r="G7754" s="115" t="b">
        <f>VLOOKUP(I7738,FS_input_noty,J7738,FALSE)=""</f>
        <v>0</v>
      </c>
      <c r="H7754" s="6" t="s">
        <v>2189</v>
      </c>
      <c r="I7754" t="s">
        <v>1561</v>
      </c>
      <c r="J7754" t="s">
        <v>1561</v>
      </c>
      <c r="L7754">
        <f t="shared" si="472"/>
        <v>1</v>
      </c>
    </row>
    <row r="7755" spans="1:12" x14ac:dyDescent="0.35">
      <c r="A7755" s="9">
        <f t="shared" si="473"/>
        <v>7754</v>
      </c>
      <c r="B7755" t="s">
        <v>759</v>
      </c>
      <c r="C7755" s="109">
        <f>IF(ISBLANK(K7755),IFERROR(VLOOKUP(I7755,FS_input_data!$C$458:$N$648,Export!J7755,FALSE),""),K7755)</f>
        <v>370</v>
      </c>
      <c r="D7755" s="6" t="b">
        <v>0</v>
      </c>
      <c r="E7755" s="6"/>
      <c r="F7755" s="6"/>
      <c r="G7755" s="115" t="b">
        <f>VLOOKUP(I7738,FS_input_noty,J7738,FALSE)=""</f>
        <v>0</v>
      </c>
      <c r="H7755" s="6" t="s">
        <v>2189</v>
      </c>
      <c r="I7755" t="s">
        <v>2148</v>
      </c>
      <c r="J7755">
        <v>4</v>
      </c>
      <c r="L7755" s="26" t="e">
        <f t="shared" si="472"/>
        <v>#VALUE!</v>
      </c>
    </row>
    <row r="7756" spans="1:12" x14ac:dyDescent="0.35">
      <c r="A7756">
        <f t="shared" si="473"/>
        <v>7755</v>
      </c>
      <c r="B7756" t="s">
        <v>760</v>
      </c>
      <c r="C7756" s="109" t="str">
        <f>IF(ISBLANK(K7756),IFERROR(VLOOKUP(I7756,FS_input_data!$C$458:$N$648,Export!J7756,FALSE),""),K7756)</f>
        <v/>
      </c>
      <c r="D7756" s="6"/>
      <c r="E7756" s="6"/>
      <c r="F7756" s="6"/>
      <c r="G7756" s="115" t="b">
        <f>VLOOKUP(I7738,FS_input_noty,J7738,FALSE)=""</f>
        <v>0</v>
      </c>
      <c r="H7756" s="6" t="s">
        <v>2189</v>
      </c>
      <c r="I7756" t="s">
        <v>1561</v>
      </c>
      <c r="J7756" t="s">
        <v>1561</v>
      </c>
      <c r="L7756">
        <f t="shared" si="472"/>
        <v>1</v>
      </c>
    </row>
    <row r="7757" spans="1:12" x14ac:dyDescent="0.35">
      <c r="A7757" s="9">
        <f t="shared" si="473"/>
        <v>7756</v>
      </c>
      <c r="B7757" t="s">
        <v>761</v>
      </c>
      <c r="C7757" s="109" t="str">
        <f>IF(ISBLANK(K7757),IFERROR(VLOOKUP(I7757,FS_input_data!$C$458:$N$648,Export!J7757,FALSE),""),K7757)</f>
        <v>f</v>
      </c>
      <c r="D7757" s="6" t="b">
        <v>0</v>
      </c>
      <c r="E7757" s="6"/>
      <c r="F7757" s="6"/>
      <c r="G7757" s="115" t="b">
        <f>VLOOKUP(I7738,FS_input_noty,J7738,FALSE)=""</f>
        <v>0</v>
      </c>
      <c r="H7757" s="6" t="s">
        <v>2189</v>
      </c>
      <c r="I7757" t="s">
        <v>2148</v>
      </c>
      <c r="J7757">
        <v>5</v>
      </c>
      <c r="L7757" s="26" t="e">
        <f t="shared" si="472"/>
        <v>#VALUE!</v>
      </c>
    </row>
    <row r="7758" spans="1:12" x14ac:dyDescent="0.35">
      <c r="A7758">
        <f t="shared" si="473"/>
        <v>7757</v>
      </c>
      <c r="B7758" t="s">
        <v>762</v>
      </c>
      <c r="C7758" s="109" t="str">
        <f>IF(ISBLANK(K7758),IFERROR(VLOOKUP(I7758,FS_input_data!$C$458:$N$648,Export!J7758,FALSE),""),K7758)</f>
        <v/>
      </c>
      <c r="D7758" s="6"/>
      <c r="E7758" s="6"/>
      <c r="F7758" s="6"/>
      <c r="G7758" s="115" t="b">
        <f>VLOOKUP(I7738,FS_input_noty,J7738,FALSE)=""</f>
        <v>0</v>
      </c>
      <c r="H7758" s="6" t="s">
        <v>2189</v>
      </c>
      <c r="I7758" t="s">
        <v>1561</v>
      </c>
      <c r="J7758" t="s">
        <v>1561</v>
      </c>
      <c r="L7758">
        <f t="shared" si="472"/>
        <v>1</v>
      </c>
    </row>
    <row r="7759" spans="1:12" x14ac:dyDescent="0.35">
      <c r="A7759">
        <f t="shared" si="473"/>
        <v>7758</v>
      </c>
      <c r="B7759" t="s">
        <v>763</v>
      </c>
      <c r="C7759" s="109" t="str">
        <f>IF(ISBLANK(K7759),IFERROR(VLOOKUP(I7759,FS_input_data!$C$458:$N$648,Export!J7759,FALSE),""),K7759)</f>
        <v/>
      </c>
      <c r="D7759" s="6"/>
      <c r="E7759" s="6"/>
      <c r="F7759" s="6"/>
      <c r="G7759" s="115" t="b">
        <f>VLOOKUP(I7738,FS_input_noty,J7738,FALSE)=""</f>
        <v>0</v>
      </c>
      <c r="H7759" s="6" t="s">
        <v>2189</v>
      </c>
      <c r="I7759" t="s">
        <v>1561</v>
      </c>
      <c r="J7759" t="s">
        <v>1561</v>
      </c>
      <c r="L7759">
        <f t="shared" si="472"/>
        <v>1</v>
      </c>
    </row>
    <row r="7760" spans="1:12" x14ac:dyDescent="0.35">
      <c r="A7760">
        <f t="shared" si="473"/>
        <v>7759</v>
      </c>
      <c r="B7760" t="s">
        <v>743</v>
      </c>
      <c r="C7760" s="109" t="str">
        <f>IF(ISBLANK(K7760),IFERROR(VLOOKUP(I7760,FS_input_data!$C$458:$N$648,Export!J7760,FALSE),""),K7760)</f>
        <v/>
      </c>
      <c r="D7760" s="6"/>
      <c r="E7760" s="6"/>
      <c r="F7760" s="6"/>
      <c r="G7760" s="115" t="b">
        <f>VLOOKUP(I7738,FS_input_noty,J7738,FALSE)=""</f>
        <v>0</v>
      </c>
      <c r="H7760" s="6" t="s">
        <v>2189</v>
      </c>
      <c r="I7760" t="s">
        <v>1561</v>
      </c>
      <c r="J7760" t="s">
        <v>1561</v>
      </c>
      <c r="L7760">
        <f t="shared" si="472"/>
        <v>1</v>
      </c>
    </row>
    <row r="7761" spans="1:12" x14ac:dyDescent="0.35">
      <c r="A7761">
        <f t="shared" si="473"/>
        <v>7760</v>
      </c>
      <c r="B7761" t="s">
        <v>744</v>
      </c>
      <c r="C7761" s="109" t="str">
        <f>IF(ISBLANK(K7761),IFERROR(VLOOKUP(I7761,FS_input_data!$C$458:$N$648,Export!J7761,FALSE),""),K7761)</f>
        <v/>
      </c>
      <c r="D7761" s="6"/>
      <c r="E7761" s="6"/>
      <c r="F7761" s="6"/>
      <c r="G7761" s="115" t="b">
        <f t="shared" ref="G7761:G7768" si="474">RP_tax</f>
        <v>1</v>
      </c>
      <c r="H7761" s="6" t="s">
        <v>2189</v>
      </c>
      <c r="I7761" t="s">
        <v>1561</v>
      </c>
      <c r="J7761" t="s">
        <v>1561</v>
      </c>
      <c r="L7761" s="26" t="e">
        <f t="shared" si="472"/>
        <v>#VALUE!</v>
      </c>
    </row>
    <row r="7762" spans="1:12" x14ac:dyDescent="0.35">
      <c r="A7762" s="9">
        <f t="shared" si="473"/>
        <v>7761</v>
      </c>
      <c r="B7762" t="s">
        <v>109</v>
      </c>
      <c r="C7762" s="109">
        <f>IF(ISBLANK(K7762),IFERROR(VLOOKUP(I7762,FS_input_data!$C$458:$N$648,Export!J7762,FALSE),""),K7762)</f>
        <v>4000</v>
      </c>
      <c r="D7762" s="6" t="b">
        <v>1</v>
      </c>
      <c r="E7762" s="6"/>
      <c r="F7762" s="6"/>
      <c r="G7762" s="115" t="b">
        <f t="shared" si="474"/>
        <v>1</v>
      </c>
      <c r="H7762" s="6" t="s">
        <v>2189</v>
      </c>
      <c r="I7762" t="s">
        <v>2148</v>
      </c>
      <c r="J7762">
        <v>10</v>
      </c>
      <c r="L7762" s="26" t="e">
        <f t="shared" si="472"/>
        <v>#VALUE!</v>
      </c>
    </row>
    <row r="7763" spans="1:12" x14ac:dyDescent="0.35">
      <c r="A7763">
        <f t="shared" si="473"/>
        <v>7762</v>
      </c>
      <c r="B7763" t="s">
        <v>110</v>
      </c>
      <c r="C7763" s="109" t="str">
        <f>IF(ISBLANK(K7763),IFERROR(VLOOKUP(I7763,FS_input_data!$C$458:$N$648,Export!J7763,FALSE),""),K7763)</f>
        <v/>
      </c>
      <c r="D7763" s="6"/>
      <c r="E7763" s="6"/>
      <c r="F7763" s="6"/>
      <c r="G7763" s="115" t="b">
        <f t="shared" si="474"/>
        <v>1</v>
      </c>
      <c r="H7763" s="6" t="s">
        <v>2189</v>
      </c>
      <c r="I7763" t="s">
        <v>1561</v>
      </c>
      <c r="J7763" t="s">
        <v>1561</v>
      </c>
      <c r="L7763">
        <f t="shared" si="472"/>
        <v>1</v>
      </c>
    </row>
    <row r="7764" spans="1:12" x14ac:dyDescent="0.35">
      <c r="A7764" s="9">
        <f t="shared" si="473"/>
        <v>7763</v>
      </c>
      <c r="B7764" t="s">
        <v>111</v>
      </c>
      <c r="C7764" s="109">
        <f>IF(ISBLANK(K7764),IFERROR(VLOOKUP(I7764,FS_input_data!$C$458:$N$648,Export!J7764,FALSE),""),K7764)</f>
        <v>2000</v>
      </c>
      <c r="D7764" s="6" t="b">
        <v>0</v>
      </c>
      <c r="E7764" s="6"/>
      <c r="F7764" s="6"/>
      <c r="G7764" s="115" t="b">
        <f t="shared" si="474"/>
        <v>1</v>
      </c>
      <c r="H7764" s="6" t="s">
        <v>2189</v>
      </c>
      <c r="I7764" t="s">
        <v>2148</v>
      </c>
      <c r="J7764">
        <v>11</v>
      </c>
      <c r="L7764" s="26" t="e">
        <f t="shared" si="472"/>
        <v>#VALUE!</v>
      </c>
    </row>
    <row r="7765" spans="1:12" x14ac:dyDescent="0.35">
      <c r="A7765">
        <f t="shared" si="473"/>
        <v>7764</v>
      </c>
      <c r="B7765" t="s">
        <v>112</v>
      </c>
      <c r="C7765" s="109" t="str">
        <f>IF(ISBLANK(K7765),IFERROR(VLOOKUP(I7765,FS_input_data!$C$458:$N$648,Export!J7765,FALSE),""),K7765)</f>
        <v/>
      </c>
      <c r="D7765" s="6"/>
      <c r="E7765" s="6"/>
      <c r="F7765" s="6"/>
      <c r="G7765" s="115" t="b">
        <f t="shared" si="474"/>
        <v>1</v>
      </c>
      <c r="H7765" s="6" t="s">
        <v>2189</v>
      </c>
      <c r="I7765" t="s">
        <v>1561</v>
      </c>
      <c r="J7765" t="s">
        <v>1561</v>
      </c>
      <c r="L7765">
        <f t="shared" si="472"/>
        <v>1</v>
      </c>
    </row>
    <row r="7766" spans="1:12" x14ac:dyDescent="0.35">
      <c r="A7766" s="9">
        <f t="shared" si="473"/>
        <v>7765</v>
      </c>
      <c r="B7766" t="s">
        <v>749</v>
      </c>
      <c r="C7766" s="109">
        <f>IF(ISBLANK(K7766),IFERROR(VLOOKUP(I7766,FS_input_data!$C$458:$N$648,Export!J7766,FALSE),""),K7766)</f>
        <v>2000</v>
      </c>
      <c r="D7766" s="6" t="b">
        <v>0</v>
      </c>
      <c r="E7766" s="6"/>
      <c r="F7766" s="6"/>
      <c r="G7766" s="115" t="b">
        <f t="shared" si="474"/>
        <v>1</v>
      </c>
      <c r="H7766" s="6" t="s">
        <v>2189</v>
      </c>
      <c r="I7766" t="s">
        <v>2148</v>
      </c>
      <c r="J7766">
        <v>12</v>
      </c>
      <c r="L7766" s="26" t="e">
        <f t="shared" si="472"/>
        <v>#VALUE!</v>
      </c>
    </row>
    <row r="7767" spans="1:12" x14ac:dyDescent="0.35">
      <c r="A7767">
        <f t="shared" si="473"/>
        <v>7766</v>
      </c>
      <c r="B7767" t="s">
        <v>750</v>
      </c>
      <c r="C7767" s="109" t="str">
        <f>IF(ISBLANK(K7767),IFERROR(VLOOKUP(I7767,FS_input_data!$C$458:$N$648,Export!J7767,FALSE),""),K7767)</f>
        <v/>
      </c>
      <c r="D7767" s="6"/>
      <c r="E7767" s="6"/>
      <c r="F7767" s="6"/>
      <c r="G7767" s="115" t="b">
        <f t="shared" si="474"/>
        <v>1</v>
      </c>
      <c r="H7767" s="6" t="s">
        <v>2189</v>
      </c>
      <c r="I7767" t="s">
        <v>1561</v>
      </c>
      <c r="J7767" t="s">
        <v>1561</v>
      </c>
      <c r="L7767">
        <f t="shared" si="472"/>
        <v>1</v>
      </c>
    </row>
    <row r="7768" spans="1:12" x14ac:dyDescent="0.35">
      <c r="A7768">
        <f t="shared" si="473"/>
        <v>7767</v>
      </c>
      <c r="B7768" t="s">
        <v>745</v>
      </c>
      <c r="C7768" s="109" t="str">
        <f>IF(ISBLANK(K7768),IFERROR(VLOOKUP(I7768,FS_input_data!$C$458:$N$648,Export!J7768,FALSE),""),K7768)</f>
        <v/>
      </c>
      <c r="D7768" s="6"/>
      <c r="E7768" s="6"/>
      <c r="F7768" s="6"/>
      <c r="G7768" s="115" t="b">
        <f t="shared" si="474"/>
        <v>1</v>
      </c>
      <c r="H7768" s="6" t="s">
        <v>2189</v>
      </c>
      <c r="I7768" t="s">
        <v>1561</v>
      </c>
      <c r="J7768" t="s">
        <v>1561</v>
      </c>
      <c r="L7768">
        <f t="shared" si="472"/>
        <v>1</v>
      </c>
    </row>
    <row r="7769" spans="1:12" x14ac:dyDescent="0.35">
      <c r="A7769">
        <f t="shared" si="473"/>
        <v>7768</v>
      </c>
      <c r="B7769" t="s">
        <v>764</v>
      </c>
      <c r="C7769" s="109" t="str">
        <f>IF(ISBLANK(K7769),IFERROR(VLOOKUP(I7769,FS_input_data!$C$458:$N$648,Export!J7769,FALSE),""),K7769)</f>
        <v/>
      </c>
      <c r="D7769" s="6"/>
      <c r="E7769" s="6"/>
      <c r="F7769" s="6"/>
      <c r="G7769" s="115" t="b">
        <f>VLOOKUP(I7738,FS_input_noty,J7738,FALSE)=""</f>
        <v>0</v>
      </c>
      <c r="H7769" s="6" t="s">
        <v>2189</v>
      </c>
      <c r="I7769" t="s">
        <v>1561</v>
      </c>
      <c r="J7769" t="s">
        <v>1561</v>
      </c>
      <c r="L7769">
        <f t="shared" si="472"/>
        <v>1</v>
      </c>
    </row>
    <row r="7770" spans="1:12" x14ac:dyDescent="0.35">
      <c r="A7770">
        <f t="shared" si="473"/>
        <v>7769</v>
      </c>
      <c r="B7770" t="s">
        <v>765</v>
      </c>
      <c r="C7770" s="109" t="str">
        <f>IF(ISBLANK(K7770),IFERROR(VLOOKUP(I7770,FS_input_data!$C$458:$N$648,Export!J7770,FALSE),""),K7770)</f>
        <v/>
      </c>
      <c r="D7770" s="6"/>
      <c r="E7770" s="6"/>
      <c r="F7770" s="6"/>
      <c r="G7770" s="115" t="b">
        <f>VLOOKUP(I7738,FS_input_noty,J7738,FALSE)=""</f>
        <v>0</v>
      </c>
      <c r="H7770" s="6" t="s">
        <v>2189</v>
      </c>
      <c r="I7770" t="s">
        <v>1561</v>
      </c>
      <c r="J7770" t="s">
        <v>1561</v>
      </c>
      <c r="L7770">
        <f t="shared" si="472"/>
        <v>1</v>
      </c>
    </row>
    <row r="7771" spans="1:12" x14ac:dyDescent="0.35">
      <c r="A7771">
        <f t="shared" si="473"/>
        <v>7770</v>
      </c>
      <c r="B7771" t="s">
        <v>752</v>
      </c>
      <c r="C7771" s="109" t="str">
        <f>IF(ISBLANK(K7771),IFERROR(VLOOKUP(I7771,FS_input_data!$C$458:$N$648,Export!J7771,FALSE),""),K7771)</f>
        <v/>
      </c>
      <c r="D7771" s="6"/>
      <c r="E7771" s="6"/>
      <c r="F7771" s="6"/>
      <c r="G7771" s="115" t="b">
        <f>VLOOKUP(I7772,FS_input_noty,J7772,FALSE)=""</f>
        <v>0</v>
      </c>
      <c r="H7771" s="6" t="s">
        <v>2189</v>
      </c>
      <c r="I7771" t="s">
        <v>1561</v>
      </c>
      <c r="J7771" t="s">
        <v>1561</v>
      </c>
      <c r="L7771" s="26" t="e">
        <f t="shared" si="472"/>
        <v>#VALUE!</v>
      </c>
    </row>
    <row r="7772" spans="1:12" x14ac:dyDescent="0.35">
      <c r="A7772" s="9">
        <f t="shared" si="473"/>
        <v>7771</v>
      </c>
      <c r="B7772" t="s">
        <v>101</v>
      </c>
      <c r="C7772" s="109" t="str">
        <f>IF(ISBLANK(K7772),IFERROR(VLOOKUP(I7772,FS_input_data!$C$458:$N$648,Export!J7772,FALSE),""),K7772)</f>
        <v>OC148</v>
      </c>
      <c r="D7772" s="6" t="b">
        <v>1</v>
      </c>
      <c r="E7772" s="6"/>
      <c r="F7772" s="6"/>
      <c r="G7772" s="115" t="b">
        <f>VLOOKUP(I7772,FS_input_noty,J7772,FALSE)=""</f>
        <v>0</v>
      </c>
      <c r="H7772" s="6" t="s">
        <v>2189</v>
      </c>
      <c r="I7772" t="s">
        <v>2150</v>
      </c>
      <c r="J7772">
        <v>6</v>
      </c>
      <c r="L7772" s="26" t="e">
        <f t="shared" si="472"/>
        <v>#VALUE!</v>
      </c>
    </row>
    <row r="7773" spans="1:12" x14ac:dyDescent="0.35">
      <c r="A7773">
        <f t="shared" si="473"/>
        <v>7772</v>
      </c>
      <c r="B7773" t="s">
        <v>102</v>
      </c>
      <c r="C7773" s="109" t="str">
        <f>IF(ISBLANK(K7773),IFERROR(VLOOKUP(I7773,FS_input_data!$C$458:$N$648,Export!J7773,FALSE),""),K7773)</f>
        <v/>
      </c>
      <c r="D7773" s="6"/>
      <c r="E7773" s="6"/>
      <c r="F7773" s="6"/>
      <c r="G7773" s="115" t="b">
        <f>VLOOKUP(I7772,FS_input_noty,J7772,FALSE)=""</f>
        <v>0</v>
      </c>
      <c r="H7773" s="6" t="s">
        <v>2189</v>
      </c>
      <c r="I7773" t="s">
        <v>1561</v>
      </c>
      <c r="J7773" t="s">
        <v>1561</v>
      </c>
      <c r="L7773">
        <f t="shared" si="472"/>
        <v>1</v>
      </c>
    </row>
    <row r="7774" spans="1:12" x14ac:dyDescent="0.35">
      <c r="A7774">
        <f t="shared" si="473"/>
        <v>7773</v>
      </c>
      <c r="B7774" t="s">
        <v>753</v>
      </c>
      <c r="C7774" s="109" t="str">
        <f>IF(ISBLANK(K7774),IFERROR(VLOOKUP(I7774,FS_input_data!$C$458:$N$648,Export!J7774,FALSE),""),K7774)</f>
        <v/>
      </c>
      <c r="D7774" s="6"/>
      <c r="E7774" s="6"/>
      <c r="F7774" s="6"/>
      <c r="G7774" s="115" t="b">
        <f>VLOOKUP(I7772,FS_input_noty,J7772,FALSE)=""</f>
        <v>0</v>
      </c>
      <c r="H7774" s="6" t="s">
        <v>2189</v>
      </c>
      <c r="I7774" t="s">
        <v>1561</v>
      </c>
      <c r="J7774" t="s">
        <v>1561</v>
      </c>
      <c r="L7774" s="26" t="e">
        <f t="shared" si="472"/>
        <v>#VALUE!</v>
      </c>
    </row>
    <row r="7775" spans="1:12" x14ac:dyDescent="0.35">
      <c r="A7775">
        <f t="shared" si="473"/>
        <v>7774</v>
      </c>
      <c r="B7775" t="s">
        <v>742</v>
      </c>
      <c r="C7775" s="109" t="str">
        <f>IF(ISBLANK(K7775),IFERROR(VLOOKUP(I7775,FS_input_data!$C$458:$N$648,Export!J7775,FALSE),""),K7775)</f>
        <v/>
      </c>
      <c r="D7775" s="6"/>
      <c r="E7775" s="6"/>
      <c r="F7775" s="6"/>
      <c r="G7775" s="115" t="b">
        <f>VLOOKUP(I7772,FS_input_noty,J7772,FALSE)=""</f>
        <v>0</v>
      </c>
      <c r="H7775" s="6" t="s">
        <v>2189</v>
      </c>
      <c r="I7775" t="s">
        <v>1561</v>
      </c>
      <c r="J7775" t="s">
        <v>1561</v>
      </c>
      <c r="L7775" s="26" t="e">
        <f t="shared" si="472"/>
        <v>#VALUE!</v>
      </c>
    </row>
    <row r="7776" spans="1:12" x14ac:dyDescent="0.35">
      <c r="A7776">
        <f t="shared" si="473"/>
        <v>7775</v>
      </c>
      <c r="B7776" t="s">
        <v>748</v>
      </c>
      <c r="C7776" s="109" t="str">
        <f>IF(ISBLANK(K7776),IFERROR(VLOOKUP(I7776,FS_input_data!$C$458:$N$648,Export!J7776,FALSE),""),K7776)</f>
        <v/>
      </c>
      <c r="D7776" s="6"/>
      <c r="E7776" s="6"/>
      <c r="F7776" s="6"/>
      <c r="G7776" s="115" t="b">
        <f>VLOOKUP(I7772,FS_input_noty,J7772,FALSE)=""</f>
        <v>0</v>
      </c>
      <c r="H7776" s="6" t="s">
        <v>2189</v>
      </c>
      <c r="I7776" t="s">
        <v>1561</v>
      </c>
      <c r="J7776" t="s">
        <v>1561</v>
      </c>
      <c r="L7776" s="26" t="e">
        <f t="shared" si="472"/>
        <v>#VALUE!</v>
      </c>
    </row>
    <row r="7777" spans="1:12" x14ac:dyDescent="0.35">
      <c r="A7777" s="9">
        <f t="shared" si="473"/>
        <v>7776</v>
      </c>
      <c r="B7777" t="s">
        <v>109</v>
      </c>
      <c r="C7777" s="109">
        <f>IF(ISBLANK(K7777),IFERROR(VLOOKUP(I7777,FS_input_data!$C$458:$N$648,Export!J7777,FALSE),""),K7777)</f>
        <v>5000</v>
      </c>
      <c r="D7777" s="6" t="b">
        <v>1</v>
      </c>
      <c r="E7777" s="6"/>
      <c r="F7777" s="6"/>
      <c r="G7777" s="115" t="b">
        <f>VLOOKUP(I7772,FS_input_noty,J7772,FALSE)=""</f>
        <v>0</v>
      </c>
      <c r="H7777" s="6" t="s">
        <v>2189</v>
      </c>
      <c r="I7777" t="s">
        <v>2150</v>
      </c>
      <c r="J7777">
        <v>7</v>
      </c>
      <c r="L7777" s="26" t="e">
        <f t="shared" si="472"/>
        <v>#VALUE!</v>
      </c>
    </row>
    <row r="7778" spans="1:12" x14ac:dyDescent="0.35">
      <c r="A7778">
        <f t="shared" si="473"/>
        <v>7777</v>
      </c>
      <c r="B7778" t="s">
        <v>110</v>
      </c>
      <c r="C7778" s="109" t="str">
        <f>IF(ISBLANK(K7778),IFERROR(VLOOKUP(I7778,FS_input_data!$C$458:$N$648,Export!J7778,FALSE),""),K7778)</f>
        <v/>
      </c>
      <c r="D7778" s="6"/>
      <c r="E7778" s="6"/>
      <c r="F7778" s="6"/>
      <c r="G7778" s="115" t="b">
        <f>VLOOKUP(I7772,FS_input_noty,J7772,FALSE)=""</f>
        <v>0</v>
      </c>
      <c r="H7778" s="6" t="s">
        <v>2189</v>
      </c>
      <c r="I7778" t="s">
        <v>1561</v>
      </c>
      <c r="J7778" t="s">
        <v>1561</v>
      </c>
      <c r="L7778">
        <f t="shared" si="472"/>
        <v>1</v>
      </c>
    </row>
    <row r="7779" spans="1:12" x14ac:dyDescent="0.35">
      <c r="A7779" s="9">
        <f t="shared" si="473"/>
        <v>7778</v>
      </c>
      <c r="B7779" t="s">
        <v>111</v>
      </c>
      <c r="C7779" s="109">
        <f>IF(ISBLANK(K7779),IFERROR(VLOOKUP(I7779,FS_input_data!$C$458:$N$648,Export!J7779,FALSE),""),K7779)</f>
        <v>2500</v>
      </c>
      <c r="D7779" s="6" t="b">
        <v>0</v>
      </c>
      <c r="E7779" s="6"/>
      <c r="F7779" s="6"/>
      <c r="G7779" s="115" t="b">
        <f>VLOOKUP(I7772,FS_input_noty,J7772,TRUE)=""</f>
        <v>0</v>
      </c>
      <c r="H7779" s="6" t="s">
        <v>2189</v>
      </c>
      <c r="I7779" t="s">
        <v>2150</v>
      </c>
      <c r="J7779">
        <v>8</v>
      </c>
      <c r="L7779" s="26" t="e">
        <f t="shared" si="472"/>
        <v>#VALUE!</v>
      </c>
    </row>
    <row r="7780" spans="1:12" x14ac:dyDescent="0.35">
      <c r="A7780">
        <f t="shared" si="473"/>
        <v>7779</v>
      </c>
      <c r="B7780" t="s">
        <v>112</v>
      </c>
      <c r="C7780" s="109" t="str">
        <f>IF(ISBLANK(K7780),IFERROR(VLOOKUP(I7780,FS_input_data!$C$458:$N$648,Export!J7780,FALSE),""),K7780)</f>
        <v/>
      </c>
      <c r="D7780" s="6"/>
      <c r="E7780" s="6"/>
      <c r="F7780" s="6"/>
      <c r="G7780" s="115" t="b">
        <f>VLOOKUP(I7772,FS_input_noty,J7772,FALSE)=""</f>
        <v>0</v>
      </c>
      <c r="H7780" s="6" t="s">
        <v>2189</v>
      </c>
      <c r="I7780" t="s">
        <v>1561</v>
      </c>
      <c r="J7780" t="s">
        <v>1561</v>
      </c>
      <c r="L7780">
        <f t="shared" si="472"/>
        <v>1</v>
      </c>
    </row>
    <row r="7781" spans="1:12" x14ac:dyDescent="0.35">
      <c r="A7781" s="9">
        <f t="shared" si="473"/>
        <v>7780</v>
      </c>
      <c r="B7781" t="s">
        <v>749</v>
      </c>
      <c r="C7781" s="109">
        <f>IF(ISBLANK(K7781),IFERROR(VLOOKUP(I7781,FS_input_data!$C$458:$N$648,Export!J7781,FALSE),""),K7781)</f>
        <v>2500</v>
      </c>
      <c r="D7781" s="6" t="b">
        <v>0</v>
      </c>
      <c r="E7781" s="6"/>
      <c r="F7781" s="6"/>
      <c r="G7781" s="115" t="b">
        <f>VLOOKUP(I7772,FS_input_noty,J7772,FALSE)=""</f>
        <v>0</v>
      </c>
      <c r="H7781" s="6" t="s">
        <v>2189</v>
      </c>
      <c r="I7781" t="s">
        <v>2150</v>
      </c>
      <c r="J7781">
        <v>9</v>
      </c>
      <c r="L7781" s="26" t="e">
        <f t="shared" si="472"/>
        <v>#VALUE!</v>
      </c>
    </row>
    <row r="7782" spans="1:12" x14ac:dyDescent="0.35">
      <c r="A7782">
        <f t="shared" si="473"/>
        <v>7781</v>
      </c>
      <c r="B7782" t="s">
        <v>750</v>
      </c>
      <c r="C7782" s="109" t="str">
        <f>IF(ISBLANK(K7782),IFERROR(VLOOKUP(I7782,FS_input_data!$C$458:$N$648,Export!J7782,FALSE),""),K7782)</f>
        <v/>
      </c>
      <c r="D7782" s="6"/>
      <c r="E7782" s="6"/>
      <c r="F7782" s="6"/>
      <c r="G7782" s="115" t="b">
        <f>VLOOKUP(I7772,FS_input_noty,J7772,FALSE)=""</f>
        <v>0</v>
      </c>
      <c r="H7782" s="6" t="s">
        <v>2189</v>
      </c>
      <c r="I7782" t="s">
        <v>1561</v>
      </c>
      <c r="J7782" t="s">
        <v>1561</v>
      </c>
      <c r="L7782">
        <f t="shared" si="472"/>
        <v>1</v>
      </c>
    </row>
    <row r="7783" spans="1:12" x14ac:dyDescent="0.35">
      <c r="A7783">
        <f t="shared" si="473"/>
        <v>7782</v>
      </c>
      <c r="B7783" t="s">
        <v>751</v>
      </c>
      <c r="C7783" s="109" t="str">
        <f>IF(ISBLANK(K7783),IFERROR(VLOOKUP(I7783,FS_input_data!$C$458:$N$648,Export!J7783,FALSE),""),K7783)</f>
        <v/>
      </c>
      <c r="D7783" s="6"/>
      <c r="E7783" s="6"/>
      <c r="F7783" s="6"/>
      <c r="G7783" s="115" t="b">
        <f>VLOOKUP(I7772,FS_input_noty,J7772,FALSE)=""</f>
        <v>0</v>
      </c>
      <c r="H7783" s="6" t="s">
        <v>2189</v>
      </c>
      <c r="I7783" t="s">
        <v>1561</v>
      </c>
      <c r="J7783" t="s">
        <v>1561</v>
      </c>
      <c r="L7783">
        <f t="shared" si="472"/>
        <v>1</v>
      </c>
    </row>
    <row r="7784" spans="1:12" x14ac:dyDescent="0.35">
      <c r="A7784">
        <f t="shared" si="473"/>
        <v>7783</v>
      </c>
      <c r="B7784" t="s">
        <v>754</v>
      </c>
      <c r="C7784" s="109" t="str">
        <f>IF(ISBLANK(K7784),IFERROR(VLOOKUP(I7784,FS_input_data!$C$458:$N$648,Export!J7784,FALSE),""),K7784)</f>
        <v/>
      </c>
      <c r="D7784" s="6"/>
      <c r="E7784" s="6"/>
      <c r="F7784" s="6"/>
      <c r="G7784" s="115" t="b">
        <f>VLOOKUP(I7772,FS_input_noty,J7772,FALSE)=""</f>
        <v>0</v>
      </c>
      <c r="H7784" s="6" t="s">
        <v>2189</v>
      </c>
      <c r="I7784" t="s">
        <v>1561</v>
      </c>
      <c r="J7784" t="s">
        <v>1561</v>
      </c>
      <c r="L7784" s="26" t="e">
        <f t="shared" si="472"/>
        <v>#VALUE!</v>
      </c>
    </row>
    <row r="7785" spans="1:12" x14ac:dyDescent="0.35">
      <c r="A7785" s="9">
        <f t="shared" si="473"/>
        <v>7784</v>
      </c>
      <c r="B7785" t="s">
        <v>755</v>
      </c>
      <c r="C7785" s="109">
        <f>IF(ISBLANK(K7785),IFERROR(VLOOKUP(I7785,FS_input_data!$C$458:$N$648,Export!J7785,FALSE),""),K7785)</f>
        <v>171</v>
      </c>
      <c r="D7785" s="6" t="b">
        <v>1</v>
      </c>
      <c r="E7785" s="6"/>
      <c r="F7785" s="6"/>
      <c r="G7785" s="115" t="b">
        <f>VLOOKUP(I7772,FS_input_noty,J7772,FALSE)=""</f>
        <v>0</v>
      </c>
      <c r="H7785" s="6" t="s">
        <v>2189</v>
      </c>
      <c r="I7785" t="s">
        <v>2150</v>
      </c>
      <c r="J7785">
        <v>2</v>
      </c>
      <c r="L7785" s="26" t="e">
        <f t="shared" si="472"/>
        <v>#VALUE!</v>
      </c>
    </row>
    <row r="7786" spans="1:12" x14ac:dyDescent="0.35">
      <c r="A7786">
        <f t="shared" si="473"/>
        <v>7785</v>
      </c>
      <c r="B7786" t="s">
        <v>756</v>
      </c>
      <c r="C7786" s="109" t="str">
        <f>IF(ISBLANK(K7786),IFERROR(VLOOKUP(I7786,FS_input_data!$C$458:$N$648,Export!J7786,FALSE),""),K7786)</f>
        <v/>
      </c>
      <c r="D7786" s="6"/>
      <c r="E7786" s="6"/>
      <c r="F7786" s="6"/>
      <c r="G7786" s="115" t="b">
        <f>VLOOKUP(I7772,FS_input_noty,J7772,FALSE)=""</f>
        <v>0</v>
      </c>
      <c r="H7786" s="6" t="s">
        <v>2189</v>
      </c>
      <c r="I7786" t="s">
        <v>1561</v>
      </c>
      <c r="J7786" t="s">
        <v>1561</v>
      </c>
      <c r="L7786">
        <f t="shared" si="472"/>
        <v>1</v>
      </c>
    </row>
    <row r="7787" spans="1:12" x14ac:dyDescent="0.35">
      <c r="A7787" s="9">
        <f t="shared" si="473"/>
        <v>7786</v>
      </c>
      <c r="B7787" t="s">
        <v>757</v>
      </c>
      <c r="C7787" s="109">
        <f>IF(ISBLANK(K7787),IFERROR(VLOOKUP(I7787,FS_input_data!$C$458:$N$648,Export!J7787,FALSE),""),K7787)</f>
        <v>271</v>
      </c>
      <c r="D7787" s="6" t="b">
        <v>0</v>
      </c>
      <c r="E7787" s="6"/>
      <c r="F7787" s="6"/>
      <c r="G7787" s="115" t="b">
        <f>VLOOKUP(I7772,FS_input_noty,J7772,FALSE)=""</f>
        <v>0</v>
      </c>
      <c r="H7787" s="6" t="s">
        <v>2189</v>
      </c>
      <c r="I7787" t="s">
        <v>2150</v>
      </c>
      <c r="J7787">
        <v>3</v>
      </c>
      <c r="L7787" s="26" t="e">
        <f t="shared" si="472"/>
        <v>#VALUE!</v>
      </c>
    </row>
    <row r="7788" spans="1:12" x14ac:dyDescent="0.35">
      <c r="A7788">
        <f t="shared" si="473"/>
        <v>7787</v>
      </c>
      <c r="B7788" t="s">
        <v>758</v>
      </c>
      <c r="C7788" s="109" t="str">
        <f>IF(ISBLANK(K7788),IFERROR(VLOOKUP(I7788,FS_input_data!$C$458:$N$648,Export!J7788,FALSE),""),K7788)</f>
        <v/>
      </c>
      <c r="D7788" s="6"/>
      <c r="E7788" s="6"/>
      <c r="F7788" s="6"/>
      <c r="G7788" s="115" t="b">
        <f>VLOOKUP(I7772,FS_input_noty,J7772,FALSE)=""</f>
        <v>0</v>
      </c>
      <c r="H7788" s="6" t="s">
        <v>2189</v>
      </c>
      <c r="I7788" t="s">
        <v>1561</v>
      </c>
      <c r="J7788" t="s">
        <v>1561</v>
      </c>
      <c r="L7788">
        <f t="shared" si="472"/>
        <v>1</v>
      </c>
    </row>
    <row r="7789" spans="1:12" x14ac:dyDescent="0.35">
      <c r="A7789" s="9">
        <f t="shared" si="473"/>
        <v>7788</v>
      </c>
      <c r="B7789" t="s">
        <v>759</v>
      </c>
      <c r="C7789" s="109">
        <f>IF(ISBLANK(K7789),IFERROR(VLOOKUP(I7789,FS_input_data!$C$458:$N$648,Export!J7789,FALSE),""),K7789)</f>
        <v>371</v>
      </c>
      <c r="D7789" s="6" t="b">
        <v>0</v>
      </c>
      <c r="E7789" s="6"/>
      <c r="F7789" s="6"/>
      <c r="G7789" s="115" t="b">
        <f>VLOOKUP(I7772,FS_input_noty,J7772,FALSE)=""</f>
        <v>0</v>
      </c>
      <c r="H7789" s="6" t="s">
        <v>2189</v>
      </c>
      <c r="I7789" t="s">
        <v>2150</v>
      </c>
      <c r="J7789">
        <v>4</v>
      </c>
      <c r="L7789" s="26" t="e">
        <f t="shared" si="472"/>
        <v>#VALUE!</v>
      </c>
    </row>
    <row r="7790" spans="1:12" x14ac:dyDescent="0.35">
      <c r="A7790">
        <f t="shared" si="473"/>
        <v>7789</v>
      </c>
      <c r="B7790" t="s">
        <v>760</v>
      </c>
      <c r="C7790" s="109" t="str">
        <f>IF(ISBLANK(K7790),IFERROR(VLOOKUP(I7790,FS_input_data!$C$458:$N$648,Export!J7790,FALSE),""),K7790)</f>
        <v/>
      </c>
      <c r="D7790" s="6"/>
      <c r="E7790" s="6"/>
      <c r="F7790" s="6"/>
      <c r="G7790" s="115" t="b">
        <f>VLOOKUP(I7772,FS_input_noty,J7772,FALSE)=""</f>
        <v>0</v>
      </c>
      <c r="H7790" s="6" t="s">
        <v>2189</v>
      </c>
      <c r="I7790" t="s">
        <v>1561</v>
      </c>
      <c r="J7790" t="s">
        <v>1561</v>
      </c>
      <c r="L7790">
        <f t="shared" si="472"/>
        <v>1</v>
      </c>
    </row>
    <row r="7791" spans="1:12" x14ac:dyDescent="0.35">
      <c r="A7791" s="9">
        <f t="shared" si="473"/>
        <v>7790</v>
      </c>
      <c r="B7791" t="s">
        <v>761</v>
      </c>
      <c r="C7791" s="109" t="str">
        <f>IF(ISBLANK(K7791),IFERROR(VLOOKUP(I7791,FS_input_data!$C$458:$N$648,Export!J7791,FALSE),""),K7791)</f>
        <v>g</v>
      </c>
      <c r="D7791" s="6" t="b">
        <v>0</v>
      </c>
      <c r="E7791" s="6"/>
      <c r="F7791" s="6"/>
      <c r="G7791" s="115" t="b">
        <f>VLOOKUP(I7772,FS_input_noty,J7772,FALSE)=""</f>
        <v>0</v>
      </c>
      <c r="H7791" s="6" t="s">
        <v>2189</v>
      </c>
      <c r="I7791" t="s">
        <v>2150</v>
      </c>
      <c r="J7791">
        <v>5</v>
      </c>
      <c r="L7791" s="26" t="e">
        <f t="shared" si="472"/>
        <v>#VALUE!</v>
      </c>
    </row>
    <row r="7792" spans="1:12" x14ac:dyDescent="0.35">
      <c r="A7792">
        <f t="shared" si="473"/>
        <v>7791</v>
      </c>
      <c r="B7792" t="s">
        <v>762</v>
      </c>
      <c r="C7792" s="109" t="str">
        <f>IF(ISBLANK(K7792),IFERROR(VLOOKUP(I7792,FS_input_data!$C$458:$N$648,Export!J7792,FALSE),""),K7792)</f>
        <v/>
      </c>
      <c r="D7792" s="6"/>
      <c r="E7792" s="6"/>
      <c r="F7792" s="6"/>
      <c r="G7792" s="115" t="b">
        <f>VLOOKUP(I7772,FS_input_noty,J7772,FALSE)=""</f>
        <v>0</v>
      </c>
      <c r="H7792" s="6" t="s">
        <v>2189</v>
      </c>
      <c r="I7792" t="s">
        <v>1561</v>
      </c>
      <c r="J7792" t="s">
        <v>1561</v>
      </c>
      <c r="L7792">
        <f t="shared" si="472"/>
        <v>1</v>
      </c>
    </row>
    <row r="7793" spans="1:12" x14ac:dyDescent="0.35">
      <c r="A7793">
        <f t="shared" si="473"/>
        <v>7792</v>
      </c>
      <c r="B7793" t="s">
        <v>763</v>
      </c>
      <c r="C7793" s="109" t="str">
        <f>IF(ISBLANK(K7793),IFERROR(VLOOKUP(I7793,FS_input_data!$C$458:$N$648,Export!J7793,FALSE),""),K7793)</f>
        <v/>
      </c>
      <c r="D7793" s="6"/>
      <c r="E7793" s="6"/>
      <c r="F7793" s="6"/>
      <c r="G7793" s="115" t="b">
        <f>VLOOKUP(I7772,FS_input_noty,J7772,FALSE)=""</f>
        <v>0</v>
      </c>
      <c r="H7793" s="6" t="s">
        <v>2189</v>
      </c>
      <c r="I7793" t="s">
        <v>1561</v>
      </c>
      <c r="J7793" t="s">
        <v>1561</v>
      </c>
      <c r="L7793">
        <f t="shared" si="472"/>
        <v>1</v>
      </c>
    </row>
    <row r="7794" spans="1:12" x14ac:dyDescent="0.35">
      <c r="A7794">
        <f t="shared" si="473"/>
        <v>7793</v>
      </c>
      <c r="B7794" t="s">
        <v>743</v>
      </c>
      <c r="C7794" s="109" t="str">
        <f>IF(ISBLANK(K7794),IFERROR(VLOOKUP(I7794,FS_input_data!$C$458:$N$648,Export!J7794,FALSE),""),K7794)</f>
        <v/>
      </c>
      <c r="D7794" s="6"/>
      <c r="E7794" s="6"/>
      <c r="F7794" s="6"/>
      <c r="G7794" s="115" t="b">
        <f>VLOOKUP(I7772,FS_input_noty,J7772,FALSE)=""</f>
        <v>0</v>
      </c>
      <c r="H7794" s="6" t="s">
        <v>2189</v>
      </c>
      <c r="I7794" t="s">
        <v>1561</v>
      </c>
      <c r="J7794" t="s">
        <v>1561</v>
      </c>
      <c r="L7794">
        <f t="shared" si="472"/>
        <v>1</v>
      </c>
    </row>
    <row r="7795" spans="1:12" x14ac:dyDescent="0.35">
      <c r="A7795">
        <f t="shared" si="473"/>
        <v>7794</v>
      </c>
      <c r="B7795" t="s">
        <v>744</v>
      </c>
      <c r="C7795" s="109" t="str">
        <f>IF(ISBLANK(K7795),IFERROR(VLOOKUP(I7795,FS_input_data!$C$458:$N$648,Export!J7795,FALSE),""),K7795)</f>
        <v/>
      </c>
      <c r="D7795" s="6"/>
      <c r="E7795" s="6"/>
      <c r="F7795" s="6"/>
      <c r="G7795" s="115" t="b">
        <f t="shared" ref="G7795:G7802" si="475">RP_tax</f>
        <v>1</v>
      </c>
      <c r="H7795" s="6" t="s">
        <v>2189</v>
      </c>
      <c r="I7795" t="s">
        <v>1561</v>
      </c>
      <c r="J7795" t="s">
        <v>1561</v>
      </c>
      <c r="L7795" s="26" t="e">
        <f t="shared" si="472"/>
        <v>#VALUE!</v>
      </c>
    </row>
    <row r="7796" spans="1:12" x14ac:dyDescent="0.35">
      <c r="A7796" s="9">
        <f t="shared" si="473"/>
        <v>7795</v>
      </c>
      <c r="B7796" t="s">
        <v>109</v>
      </c>
      <c r="C7796" s="109">
        <f>IF(ISBLANK(K7796),IFERROR(VLOOKUP(I7796,FS_input_data!$C$458:$N$648,Export!J7796,FALSE),""),K7796)</f>
        <v>5000</v>
      </c>
      <c r="D7796" s="6" t="b">
        <v>1</v>
      </c>
      <c r="E7796" s="6"/>
      <c r="F7796" s="6"/>
      <c r="G7796" s="115" t="b">
        <f t="shared" si="475"/>
        <v>1</v>
      </c>
      <c r="H7796" s="6" t="s">
        <v>2189</v>
      </c>
      <c r="I7796" t="s">
        <v>2150</v>
      </c>
      <c r="J7796">
        <v>10</v>
      </c>
      <c r="L7796" s="26" t="e">
        <f t="shared" si="472"/>
        <v>#VALUE!</v>
      </c>
    </row>
    <row r="7797" spans="1:12" x14ac:dyDescent="0.35">
      <c r="A7797">
        <f t="shared" si="473"/>
        <v>7796</v>
      </c>
      <c r="B7797" t="s">
        <v>110</v>
      </c>
      <c r="C7797" s="109" t="str">
        <f>IF(ISBLANK(K7797),IFERROR(VLOOKUP(I7797,FS_input_data!$C$458:$N$648,Export!J7797,FALSE),""),K7797)</f>
        <v/>
      </c>
      <c r="D7797" s="6"/>
      <c r="E7797" s="6"/>
      <c r="F7797" s="6"/>
      <c r="G7797" s="115" t="b">
        <f t="shared" si="475"/>
        <v>1</v>
      </c>
      <c r="H7797" s="6" t="s">
        <v>2189</v>
      </c>
      <c r="I7797" t="s">
        <v>1561</v>
      </c>
      <c r="J7797" t="s">
        <v>1561</v>
      </c>
      <c r="L7797">
        <f t="shared" si="472"/>
        <v>1</v>
      </c>
    </row>
    <row r="7798" spans="1:12" x14ac:dyDescent="0.35">
      <c r="A7798" s="9">
        <f t="shared" si="473"/>
        <v>7797</v>
      </c>
      <c r="B7798" t="s">
        <v>111</v>
      </c>
      <c r="C7798" s="109">
        <f>IF(ISBLANK(K7798),IFERROR(VLOOKUP(I7798,FS_input_data!$C$458:$N$648,Export!J7798,FALSE),""),K7798)</f>
        <v>2500</v>
      </c>
      <c r="D7798" s="6" t="b">
        <v>0</v>
      </c>
      <c r="E7798" s="6"/>
      <c r="F7798" s="6"/>
      <c r="G7798" s="115" t="b">
        <f t="shared" si="475"/>
        <v>1</v>
      </c>
      <c r="H7798" s="6" t="s">
        <v>2189</v>
      </c>
      <c r="I7798" t="s">
        <v>2150</v>
      </c>
      <c r="J7798">
        <v>11</v>
      </c>
      <c r="L7798" s="26" t="e">
        <f t="shared" si="472"/>
        <v>#VALUE!</v>
      </c>
    </row>
    <row r="7799" spans="1:12" x14ac:dyDescent="0.35">
      <c r="A7799">
        <f t="shared" si="473"/>
        <v>7798</v>
      </c>
      <c r="B7799" t="s">
        <v>112</v>
      </c>
      <c r="C7799" s="109" t="str">
        <f>IF(ISBLANK(K7799),IFERROR(VLOOKUP(I7799,FS_input_data!$C$458:$N$648,Export!J7799,FALSE),""),K7799)</f>
        <v/>
      </c>
      <c r="D7799" s="6"/>
      <c r="E7799" s="6"/>
      <c r="F7799" s="6"/>
      <c r="G7799" s="115" t="b">
        <f t="shared" si="475"/>
        <v>1</v>
      </c>
      <c r="H7799" s="6" t="s">
        <v>2189</v>
      </c>
      <c r="I7799" t="s">
        <v>1561</v>
      </c>
      <c r="J7799" t="s">
        <v>1561</v>
      </c>
      <c r="L7799">
        <f t="shared" si="472"/>
        <v>1</v>
      </c>
    </row>
    <row r="7800" spans="1:12" x14ac:dyDescent="0.35">
      <c r="A7800" s="9">
        <f t="shared" si="473"/>
        <v>7799</v>
      </c>
      <c r="B7800" t="s">
        <v>749</v>
      </c>
      <c r="C7800" s="109">
        <f>IF(ISBLANK(K7800),IFERROR(VLOOKUP(I7800,FS_input_data!$C$458:$N$648,Export!J7800,FALSE),""),K7800)</f>
        <v>2500</v>
      </c>
      <c r="D7800" s="6" t="b">
        <v>0</v>
      </c>
      <c r="E7800" s="6"/>
      <c r="F7800" s="6"/>
      <c r="G7800" s="115" t="b">
        <f t="shared" si="475"/>
        <v>1</v>
      </c>
      <c r="H7800" s="6" t="s">
        <v>2189</v>
      </c>
      <c r="I7800" t="s">
        <v>2150</v>
      </c>
      <c r="J7800">
        <v>12</v>
      </c>
      <c r="L7800" s="26" t="e">
        <f t="shared" si="472"/>
        <v>#VALUE!</v>
      </c>
    </row>
    <row r="7801" spans="1:12" x14ac:dyDescent="0.35">
      <c r="A7801">
        <f t="shared" si="473"/>
        <v>7800</v>
      </c>
      <c r="B7801" t="s">
        <v>750</v>
      </c>
      <c r="C7801" s="109" t="str">
        <f>IF(ISBLANK(K7801),IFERROR(VLOOKUP(I7801,FS_input_data!$C$458:$N$648,Export!J7801,FALSE),""),K7801)</f>
        <v/>
      </c>
      <c r="D7801" s="6"/>
      <c r="E7801" s="6"/>
      <c r="F7801" s="6"/>
      <c r="G7801" s="115" t="b">
        <f t="shared" si="475"/>
        <v>1</v>
      </c>
      <c r="H7801" s="6" t="s">
        <v>2189</v>
      </c>
      <c r="I7801" t="s">
        <v>1561</v>
      </c>
      <c r="J7801" t="s">
        <v>1561</v>
      </c>
      <c r="L7801">
        <f t="shared" si="472"/>
        <v>1</v>
      </c>
    </row>
    <row r="7802" spans="1:12" x14ac:dyDescent="0.35">
      <c r="A7802">
        <f t="shared" si="473"/>
        <v>7801</v>
      </c>
      <c r="B7802" t="s">
        <v>745</v>
      </c>
      <c r="C7802" s="109" t="str">
        <f>IF(ISBLANK(K7802),IFERROR(VLOOKUP(I7802,FS_input_data!$C$458:$N$648,Export!J7802,FALSE),""),K7802)</f>
        <v/>
      </c>
      <c r="D7802" s="6"/>
      <c r="E7802" s="6"/>
      <c r="F7802" s="6"/>
      <c r="G7802" s="115" t="b">
        <f t="shared" si="475"/>
        <v>1</v>
      </c>
      <c r="H7802" s="6" t="s">
        <v>2189</v>
      </c>
      <c r="I7802" t="s">
        <v>1561</v>
      </c>
      <c r="J7802" t="s">
        <v>1561</v>
      </c>
      <c r="L7802">
        <f t="shared" si="472"/>
        <v>1</v>
      </c>
    </row>
    <row r="7803" spans="1:12" x14ac:dyDescent="0.35">
      <c r="A7803">
        <f t="shared" si="473"/>
        <v>7802</v>
      </c>
      <c r="B7803" t="s">
        <v>764</v>
      </c>
      <c r="C7803" s="109" t="str">
        <f>IF(ISBLANK(K7803),IFERROR(VLOOKUP(I7803,FS_input_data!$C$458:$N$648,Export!J7803,FALSE),""),K7803)</f>
        <v/>
      </c>
      <c r="D7803" s="6"/>
      <c r="E7803" s="6"/>
      <c r="F7803" s="6"/>
      <c r="G7803" s="115" t="b">
        <f>VLOOKUP(I7772,FS_input_noty,J7772,FALSE)=""</f>
        <v>0</v>
      </c>
      <c r="H7803" s="6" t="s">
        <v>2189</v>
      </c>
      <c r="I7803" t="s">
        <v>1561</v>
      </c>
      <c r="J7803" t="s">
        <v>1561</v>
      </c>
      <c r="L7803">
        <f t="shared" si="472"/>
        <v>1</v>
      </c>
    </row>
    <row r="7804" spans="1:12" x14ac:dyDescent="0.35">
      <c r="A7804">
        <f t="shared" si="473"/>
        <v>7803</v>
      </c>
      <c r="B7804" t="s">
        <v>765</v>
      </c>
      <c r="C7804" s="109" t="str">
        <f>IF(ISBLANK(K7804),IFERROR(VLOOKUP(I7804,FS_input_data!$C$458:$N$648,Export!J7804,FALSE),""),K7804)</f>
        <v/>
      </c>
      <c r="D7804" s="6"/>
      <c r="E7804" s="6"/>
      <c r="F7804" s="6"/>
      <c r="G7804" s="115" t="b">
        <f>VLOOKUP(I7772,FS_input_noty,J7772,FALSE)=""</f>
        <v>0</v>
      </c>
      <c r="H7804" s="6" t="s">
        <v>2189</v>
      </c>
      <c r="I7804" t="s">
        <v>1561</v>
      </c>
      <c r="J7804" t="s">
        <v>1561</v>
      </c>
      <c r="L7804">
        <f t="shared" si="472"/>
        <v>1</v>
      </c>
    </row>
    <row r="7805" spans="1:12" x14ac:dyDescent="0.35">
      <c r="A7805">
        <f t="shared" si="473"/>
        <v>7804</v>
      </c>
      <c r="B7805" t="s">
        <v>752</v>
      </c>
      <c r="C7805" s="109" t="str">
        <f>IF(ISBLANK(K7805),IFERROR(VLOOKUP(I7805,FS_input_data!$C$458:$N$648,Export!J7805,FALSE),""),K7805)</f>
        <v/>
      </c>
      <c r="D7805" s="6"/>
      <c r="E7805" s="6"/>
      <c r="F7805" s="6"/>
      <c r="G7805" s="115" t="b">
        <f>VLOOKUP(I7806,FS_input_noty,J7806,FALSE)=""</f>
        <v>0</v>
      </c>
      <c r="H7805" s="6" t="s">
        <v>2189</v>
      </c>
      <c r="I7805" t="s">
        <v>1561</v>
      </c>
      <c r="J7805" t="s">
        <v>1561</v>
      </c>
      <c r="L7805" s="26" t="e">
        <f t="shared" si="472"/>
        <v>#VALUE!</v>
      </c>
    </row>
    <row r="7806" spans="1:12" x14ac:dyDescent="0.35">
      <c r="A7806" s="9">
        <f t="shared" si="473"/>
        <v>7805</v>
      </c>
      <c r="B7806" t="s">
        <v>101</v>
      </c>
      <c r="C7806" s="109" t="str">
        <f>IF(ISBLANK(K7806),IFERROR(VLOOKUP(I7806,FS_input_data!$C$458:$N$648,Export!J7806,FALSE),""),K7806)</f>
        <v>OC149</v>
      </c>
      <c r="D7806" s="6" t="b">
        <v>1</v>
      </c>
      <c r="E7806" s="6"/>
      <c r="F7806" s="6"/>
      <c r="G7806" s="115" t="b">
        <f>VLOOKUP(I7806,FS_input_noty,J7806,FALSE)=""</f>
        <v>0</v>
      </c>
      <c r="H7806" s="6" t="s">
        <v>2189</v>
      </c>
      <c r="I7806" t="s">
        <v>2152</v>
      </c>
      <c r="J7806">
        <v>6</v>
      </c>
      <c r="L7806" s="26" t="e">
        <f t="shared" si="472"/>
        <v>#VALUE!</v>
      </c>
    </row>
    <row r="7807" spans="1:12" x14ac:dyDescent="0.35">
      <c r="A7807">
        <f t="shared" si="473"/>
        <v>7806</v>
      </c>
      <c r="B7807" t="s">
        <v>102</v>
      </c>
      <c r="C7807" s="109" t="str">
        <f>IF(ISBLANK(K7807),IFERROR(VLOOKUP(I7807,FS_input_data!$C$458:$N$648,Export!J7807,FALSE),""),K7807)</f>
        <v/>
      </c>
      <c r="D7807" s="6"/>
      <c r="E7807" s="6"/>
      <c r="F7807" s="6"/>
      <c r="G7807" s="115" t="b">
        <f>VLOOKUP(I7806,FS_input_noty,J7806,FALSE)=""</f>
        <v>0</v>
      </c>
      <c r="H7807" s="6" t="s">
        <v>2189</v>
      </c>
      <c r="I7807" t="s">
        <v>1561</v>
      </c>
      <c r="J7807" t="s">
        <v>1561</v>
      </c>
      <c r="L7807">
        <f t="shared" si="472"/>
        <v>1</v>
      </c>
    </row>
    <row r="7808" spans="1:12" x14ac:dyDescent="0.35">
      <c r="A7808">
        <f t="shared" si="473"/>
        <v>7807</v>
      </c>
      <c r="B7808" t="s">
        <v>753</v>
      </c>
      <c r="C7808" s="109" t="str">
        <f>IF(ISBLANK(K7808),IFERROR(VLOOKUP(I7808,FS_input_data!$C$458:$N$648,Export!J7808,FALSE),""),K7808)</f>
        <v/>
      </c>
      <c r="D7808" s="6"/>
      <c r="E7808" s="6"/>
      <c r="F7808" s="6"/>
      <c r="G7808" s="115" t="b">
        <f>VLOOKUP(I7806,FS_input_noty,J7806,FALSE)=""</f>
        <v>0</v>
      </c>
      <c r="H7808" s="6" t="s">
        <v>2189</v>
      </c>
      <c r="I7808" t="s">
        <v>1561</v>
      </c>
      <c r="J7808" t="s">
        <v>1561</v>
      </c>
      <c r="L7808" s="26" t="e">
        <f t="shared" si="472"/>
        <v>#VALUE!</v>
      </c>
    </row>
    <row r="7809" spans="1:12" x14ac:dyDescent="0.35">
      <c r="A7809">
        <f t="shared" si="473"/>
        <v>7808</v>
      </c>
      <c r="B7809" t="s">
        <v>742</v>
      </c>
      <c r="C7809" s="109" t="str">
        <f>IF(ISBLANK(K7809),IFERROR(VLOOKUP(I7809,FS_input_data!$C$458:$N$648,Export!J7809,FALSE),""),K7809)</f>
        <v/>
      </c>
      <c r="D7809" s="6"/>
      <c r="E7809" s="6"/>
      <c r="F7809" s="6"/>
      <c r="G7809" s="115" t="b">
        <f>VLOOKUP(I7806,FS_input_noty,J7806,FALSE)=""</f>
        <v>0</v>
      </c>
      <c r="H7809" s="6" t="s">
        <v>2189</v>
      </c>
      <c r="I7809" t="s">
        <v>1561</v>
      </c>
      <c r="J7809" t="s">
        <v>1561</v>
      </c>
      <c r="L7809" s="26" t="e">
        <f t="shared" si="472"/>
        <v>#VALUE!</v>
      </c>
    </row>
    <row r="7810" spans="1:12" x14ac:dyDescent="0.35">
      <c r="A7810">
        <f t="shared" si="473"/>
        <v>7809</v>
      </c>
      <c r="B7810" t="s">
        <v>748</v>
      </c>
      <c r="C7810" s="109" t="str">
        <f>IF(ISBLANK(K7810),IFERROR(VLOOKUP(I7810,FS_input_data!$C$458:$N$648,Export!J7810,FALSE),""),K7810)</f>
        <v/>
      </c>
      <c r="D7810" s="6"/>
      <c r="E7810" s="6"/>
      <c r="F7810" s="6"/>
      <c r="G7810" s="115" t="b">
        <f>VLOOKUP(I7806,FS_input_noty,J7806,FALSE)=""</f>
        <v>0</v>
      </c>
      <c r="H7810" s="6" t="s">
        <v>2189</v>
      </c>
      <c r="I7810" t="s">
        <v>1561</v>
      </c>
      <c r="J7810" t="s">
        <v>1561</v>
      </c>
      <c r="L7810" s="26" t="e">
        <f t="shared" ref="L7810:L7873" si="476">FIND("/",B7810)</f>
        <v>#VALUE!</v>
      </c>
    </row>
    <row r="7811" spans="1:12" x14ac:dyDescent="0.35">
      <c r="A7811" s="9">
        <f t="shared" ref="A7811:A7874" si="477">A7810+1</f>
        <v>7810</v>
      </c>
      <c r="B7811" t="s">
        <v>109</v>
      </c>
      <c r="C7811" s="109">
        <f>IF(ISBLANK(K7811),IFERROR(VLOOKUP(I7811,FS_input_data!$C$458:$N$648,Export!J7811,FALSE),""),K7811)</f>
        <v>6000</v>
      </c>
      <c r="D7811" s="6" t="b">
        <v>1</v>
      </c>
      <c r="E7811" s="6"/>
      <c r="F7811" s="6"/>
      <c r="G7811" s="115" t="b">
        <f>VLOOKUP(I7806,FS_input_noty,J7806,FALSE)=""</f>
        <v>0</v>
      </c>
      <c r="H7811" s="6" t="s">
        <v>2189</v>
      </c>
      <c r="I7811" t="s">
        <v>2152</v>
      </c>
      <c r="J7811">
        <v>7</v>
      </c>
      <c r="L7811" s="26" t="e">
        <f t="shared" si="476"/>
        <v>#VALUE!</v>
      </c>
    </row>
    <row r="7812" spans="1:12" x14ac:dyDescent="0.35">
      <c r="A7812">
        <f t="shared" si="477"/>
        <v>7811</v>
      </c>
      <c r="B7812" t="s">
        <v>110</v>
      </c>
      <c r="C7812" s="109" t="str">
        <f>IF(ISBLANK(K7812),IFERROR(VLOOKUP(I7812,FS_input_data!$C$458:$N$648,Export!J7812,FALSE),""),K7812)</f>
        <v/>
      </c>
      <c r="D7812" s="6"/>
      <c r="E7812" s="6"/>
      <c r="F7812" s="6"/>
      <c r="G7812" s="115" t="b">
        <f>VLOOKUP(I7806,FS_input_noty,J7806,FALSE)=""</f>
        <v>0</v>
      </c>
      <c r="H7812" s="6" t="s">
        <v>2189</v>
      </c>
      <c r="I7812" t="s">
        <v>1561</v>
      </c>
      <c r="J7812" t="s">
        <v>1561</v>
      </c>
      <c r="L7812">
        <f t="shared" si="476"/>
        <v>1</v>
      </c>
    </row>
    <row r="7813" spans="1:12" x14ac:dyDescent="0.35">
      <c r="A7813" s="9">
        <f t="shared" si="477"/>
        <v>7812</v>
      </c>
      <c r="B7813" t="s">
        <v>111</v>
      </c>
      <c r="C7813" s="109">
        <f>IF(ISBLANK(K7813),IFERROR(VLOOKUP(I7813,FS_input_data!$C$458:$N$648,Export!J7813,FALSE),""),K7813)</f>
        <v>3000</v>
      </c>
      <c r="D7813" s="6" t="b">
        <v>0</v>
      </c>
      <c r="E7813" s="6"/>
      <c r="F7813" s="6"/>
      <c r="G7813" s="115" t="b">
        <f>VLOOKUP(I7806,FS_input_noty,J7806,TRUE)=""</f>
        <v>0</v>
      </c>
      <c r="H7813" s="6" t="s">
        <v>2189</v>
      </c>
      <c r="I7813" t="s">
        <v>2152</v>
      </c>
      <c r="J7813">
        <v>8</v>
      </c>
      <c r="L7813" s="26" t="e">
        <f t="shared" si="476"/>
        <v>#VALUE!</v>
      </c>
    </row>
    <row r="7814" spans="1:12" x14ac:dyDescent="0.35">
      <c r="A7814">
        <f t="shared" si="477"/>
        <v>7813</v>
      </c>
      <c r="B7814" t="s">
        <v>112</v>
      </c>
      <c r="C7814" s="109" t="str">
        <f>IF(ISBLANK(K7814),IFERROR(VLOOKUP(I7814,FS_input_data!$C$458:$N$648,Export!J7814,FALSE),""),K7814)</f>
        <v/>
      </c>
      <c r="D7814" s="6"/>
      <c r="E7814" s="6"/>
      <c r="F7814" s="6"/>
      <c r="G7814" s="115" t="b">
        <f>VLOOKUP(I7806,FS_input_noty,J7806,FALSE)=""</f>
        <v>0</v>
      </c>
      <c r="H7814" s="6" t="s">
        <v>2189</v>
      </c>
      <c r="I7814" t="s">
        <v>1561</v>
      </c>
      <c r="J7814" t="s">
        <v>1561</v>
      </c>
      <c r="L7814">
        <f t="shared" si="476"/>
        <v>1</v>
      </c>
    </row>
    <row r="7815" spans="1:12" x14ac:dyDescent="0.35">
      <c r="A7815" s="9">
        <f t="shared" si="477"/>
        <v>7814</v>
      </c>
      <c r="B7815" t="s">
        <v>749</v>
      </c>
      <c r="C7815" s="109">
        <f>IF(ISBLANK(K7815),IFERROR(VLOOKUP(I7815,FS_input_data!$C$458:$N$648,Export!J7815,FALSE),""),K7815)</f>
        <v>3000</v>
      </c>
      <c r="D7815" s="6" t="b">
        <v>0</v>
      </c>
      <c r="E7815" s="6"/>
      <c r="F7815" s="6"/>
      <c r="G7815" s="115" t="b">
        <f>VLOOKUP(I7806,FS_input_noty,J7806,FALSE)=""</f>
        <v>0</v>
      </c>
      <c r="H7815" s="6" t="s">
        <v>2189</v>
      </c>
      <c r="I7815" t="s">
        <v>2152</v>
      </c>
      <c r="J7815">
        <v>9</v>
      </c>
      <c r="L7815" s="26" t="e">
        <f t="shared" si="476"/>
        <v>#VALUE!</v>
      </c>
    </row>
    <row r="7816" spans="1:12" x14ac:dyDescent="0.35">
      <c r="A7816">
        <f t="shared" si="477"/>
        <v>7815</v>
      </c>
      <c r="B7816" t="s">
        <v>750</v>
      </c>
      <c r="C7816" s="109" t="str">
        <f>IF(ISBLANK(K7816),IFERROR(VLOOKUP(I7816,FS_input_data!$C$458:$N$648,Export!J7816,FALSE),""),K7816)</f>
        <v/>
      </c>
      <c r="D7816" s="6"/>
      <c r="E7816" s="6"/>
      <c r="F7816" s="6"/>
      <c r="G7816" s="115" t="b">
        <f>VLOOKUP(I7806,FS_input_noty,J7806,FALSE)=""</f>
        <v>0</v>
      </c>
      <c r="H7816" s="6" t="s">
        <v>2189</v>
      </c>
      <c r="I7816" t="s">
        <v>1561</v>
      </c>
      <c r="J7816" t="s">
        <v>1561</v>
      </c>
      <c r="L7816">
        <f t="shared" si="476"/>
        <v>1</v>
      </c>
    </row>
    <row r="7817" spans="1:12" x14ac:dyDescent="0.35">
      <c r="A7817">
        <f t="shared" si="477"/>
        <v>7816</v>
      </c>
      <c r="B7817" t="s">
        <v>751</v>
      </c>
      <c r="C7817" s="109" t="str">
        <f>IF(ISBLANK(K7817),IFERROR(VLOOKUP(I7817,FS_input_data!$C$458:$N$648,Export!J7817,FALSE),""),K7817)</f>
        <v/>
      </c>
      <c r="D7817" s="6"/>
      <c r="E7817" s="6"/>
      <c r="F7817" s="6"/>
      <c r="G7817" s="115" t="b">
        <f>VLOOKUP(I7806,FS_input_noty,J7806,FALSE)=""</f>
        <v>0</v>
      </c>
      <c r="H7817" s="6" t="s">
        <v>2189</v>
      </c>
      <c r="I7817" t="s">
        <v>1561</v>
      </c>
      <c r="J7817" t="s">
        <v>1561</v>
      </c>
      <c r="L7817">
        <f t="shared" si="476"/>
        <v>1</v>
      </c>
    </row>
    <row r="7818" spans="1:12" x14ac:dyDescent="0.35">
      <c r="A7818">
        <f t="shared" si="477"/>
        <v>7817</v>
      </c>
      <c r="B7818" t="s">
        <v>754</v>
      </c>
      <c r="C7818" s="109" t="str">
        <f>IF(ISBLANK(K7818),IFERROR(VLOOKUP(I7818,FS_input_data!$C$458:$N$648,Export!J7818,FALSE),""),K7818)</f>
        <v/>
      </c>
      <c r="D7818" s="6"/>
      <c r="E7818" s="6"/>
      <c r="F7818" s="6"/>
      <c r="G7818" s="115" t="b">
        <f>VLOOKUP(I7806,FS_input_noty,J7806,FALSE)=""</f>
        <v>0</v>
      </c>
      <c r="H7818" s="6" t="s">
        <v>2189</v>
      </c>
      <c r="I7818" t="s">
        <v>1561</v>
      </c>
      <c r="J7818" t="s">
        <v>1561</v>
      </c>
      <c r="L7818" s="26" t="e">
        <f t="shared" si="476"/>
        <v>#VALUE!</v>
      </c>
    </row>
    <row r="7819" spans="1:12" x14ac:dyDescent="0.35">
      <c r="A7819" s="9">
        <f t="shared" si="477"/>
        <v>7818</v>
      </c>
      <c r="B7819" t="s">
        <v>755</v>
      </c>
      <c r="C7819" s="109">
        <f>IF(ISBLANK(K7819),IFERROR(VLOOKUP(I7819,FS_input_data!$C$458:$N$648,Export!J7819,FALSE),""),K7819)</f>
        <v>172</v>
      </c>
      <c r="D7819" s="6" t="b">
        <v>1</v>
      </c>
      <c r="E7819" s="6"/>
      <c r="F7819" s="6"/>
      <c r="G7819" s="115" t="b">
        <f>VLOOKUP(I7806,FS_input_noty,J7806,FALSE)=""</f>
        <v>0</v>
      </c>
      <c r="H7819" s="6" t="s">
        <v>2189</v>
      </c>
      <c r="I7819" t="s">
        <v>2152</v>
      </c>
      <c r="J7819">
        <v>2</v>
      </c>
      <c r="L7819" s="26" t="e">
        <f t="shared" si="476"/>
        <v>#VALUE!</v>
      </c>
    </row>
    <row r="7820" spans="1:12" x14ac:dyDescent="0.35">
      <c r="A7820">
        <f t="shared" si="477"/>
        <v>7819</v>
      </c>
      <c r="B7820" t="s">
        <v>756</v>
      </c>
      <c r="C7820" s="109" t="str">
        <f>IF(ISBLANK(K7820),IFERROR(VLOOKUP(I7820,FS_input_data!$C$458:$N$648,Export!J7820,FALSE),""),K7820)</f>
        <v/>
      </c>
      <c r="D7820" s="6"/>
      <c r="E7820" s="6"/>
      <c r="F7820" s="6"/>
      <c r="G7820" s="115" t="b">
        <f>VLOOKUP(I7806,FS_input_noty,J7806,FALSE)=""</f>
        <v>0</v>
      </c>
      <c r="H7820" s="6" t="s">
        <v>2189</v>
      </c>
      <c r="I7820" t="s">
        <v>1561</v>
      </c>
      <c r="J7820" t="s">
        <v>1561</v>
      </c>
      <c r="L7820">
        <f t="shared" si="476"/>
        <v>1</v>
      </c>
    </row>
    <row r="7821" spans="1:12" x14ac:dyDescent="0.35">
      <c r="A7821" s="9">
        <f t="shared" si="477"/>
        <v>7820</v>
      </c>
      <c r="B7821" t="s">
        <v>757</v>
      </c>
      <c r="C7821" s="109">
        <f>IF(ISBLANK(K7821),IFERROR(VLOOKUP(I7821,FS_input_data!$C$458:$N$648,Export!J7821,FALSE),""),K7821)</f>
        <v>272</v>
      </c>
      <c r="D7821" s="6" t="b">
        <v>0</v>
      </c>
      <c r="E7821" s="6"/>
      <c r="F7821" s="6"/>
      <c r="G7821" s="115" t="b">
        <f>VLOOKUP(I7806,FS_input_noty,J7806,FALSE)=""</f>
        <v>0</v>
      </c>
      <c r="H7821" s="6" t="s">
        <v>2189</v>
      </c>
      <c r="I7821" t="s">
        <v>2152</v>
      </c>
      <c r="J7821">
        <v>3</v>
      </c>
      <c r="L7821" s="26" t="e">
        <f t="shared" si="476"/>
        <v>#VALUE!</v>
      </c>
    </row>
    <row r="7822" spans="1:12" x14ac:dyDescent="0.35">
      <c r="A7822">
        <f t="shared" si="477"/>
        <v>7821</v>
      </c>
      <c r="B7822" t="s">
        <v>758</v>
      </c>
      <c r="C7822" s="109" t="str">
        <f>IF(ISBLANK(K7822),IFERROR(VLOOKUP(I7822,FS_input_data!$C$458:$N$648,Export!J7822,FALSE),""),K7822)</f>
        <v/>
      </c>
      <c r="D7822" s="6"/>
      <c r="E7822" s="6"/>
      <c r="F7822" s="6"/>
      <c r="G7822" s="115" t="b">
        <f>VLOOKUP(I7806,FS_input_noty,J7806,FALSE)=""</f>
        <v>0</v>
      </c>
      <c r="H7822" s="6" t="s">
        <v>2189</v>
      </c>
      <c r="I7822" t="s">
        <v>1561</v>
      </c>
      <c r="J7822" t="s">
        <v>1561</v>
      </c>
      <c r="L7822">
        <f t="shared" si="476"/>
        <v>1</v>
      </c>
    </row>
    <row r="7823" spans="1:12" x14ac:dyDescent="0.35">
      <c r="A7823" s="9">
        <f t="shared" si="477"/>
        <v>7822</v>
      </c>
      <c r="B7823" t="s">
        <v>759</v>
      </c>
      <c r="C7823" s="109">
        <f>IF(ISBLANK(K7823),IFERROR(VLOOKUP(I7823,FS_input_data!$C$458:$N$648,Export!J7823,FALSE),""),K7823)</f>
        <v>372</v>
      </c>
      <c r="D7823" s="6" t="b">
        <v>0</v>
      </c>
      <c r="E7823" s="6"/>
      <c r="F7823" s="6"/>
      <c r="G7823" s="115" t="b">
        <f>VLOOKUP(I7806,FS_input_noty,J7806,FALSE)=""</f>
        <v>0</v>
      </c>
      <c r="H7823" s="6" t="s">
        <v>2189</v>
      </c>
      <c r="I7823" t="s">
        <v>2152</v>
      </c>
      <c r="J7823">
        <v>4</v>
      </c>
      <c r="L7823" s="26" t="e">
        <f t="shared" si="476"/>
        <v>#VALUE!</v>
      </c>
    </row>
    <row r="7824" spans="1:12" x14ac:dyDescent="0.35">
      <c r="A7824">
        <f t="shared" si="477"/>
        <v>7823</v>
      </c>
      <c r="B7824" t="s">
        <v>760</v>
      </c>
      <c r="C7824" s="109" t="str">
        <f>IF(ISBLANK(K7824),IFERROR(VLOOKUP(I7824,FS_input_data!$C$458:$N$648,Export!J7824,FALSE),""),K7824)</f>
        <v/>
      </c>
      <c r="D7824" s="6"/>
      <c r="E7824" s="6"/>
      <c r="F7824" s="6"/>
      <c r="G7824" s="115" t="b">
        <f>VLOOKUP(I7806,FS_input_noty,J7806,FALSE)=""</f>
        <v>0</v>
      </c>
      <c r="H7824" s="6" t="s">
        <v>2189</v>
      </c>
      <c r="I7824" t="s">
        <v>1561</v>
      </c>
      <c r="J7824" t="s">
        <v>1561</v>
      </c>
      <c r="L7824">
        <f t="shared" si="476"/>
        <v>1</v>
      </c>
    </row>
    <row r="7825" spans="1:12" x14ac:dyDescent="0.35">
      <c r="A7825" s="9">
        <f t="shared" si="477"/>
        <v>7824</v>
      </c>
      <c r="B7825" t="s">
        <v>761</v>
      </c>
      <c r="C7825" s="109" t="str">
        <f>IF(ISBLANK(K7825),IFERROR(VLOOKUP(I7825,FS_input_data!$C$458:$N$648,Export!J7825,FALSE),""),K7825)</f>
        <v>h</v>
      </c>
      <c r="D7825" s="6" t="b">
        <v>0</v>
      </c>
      <c r="E7825" s="6"/>
      <c r="F7825" s="6"/>
      <c r="G7825" s="115" t="b">
        <f>VLOOKUP(I7806,FS_input_noty,J7806,FALSE)=""</f>
        <v>0</v>
      </c>
      <c r="H7825" s="6" t="s">
        <v>2189</v>
      </c>
      <c r="I7825" t="s">
        <v>2152</v>
      </c>
      <c r="J7825">
        <v>5</v>
      </c>
      <c r="L7825" s="26" t="e">
        <f t="shared" si="476"/>
        <v>#VALUE!</v>
      </c>
    </row>
    <row r="7826" spans="1:12" x14ac:dyDescent="0.35">
      <c r="A7826">
        <f t="shared" si="477"/>
        <v>7825</v>
      </c>
      <c r="B7826" t="s">
        <v>762</v>
      </c>
      <c r="C7826" s="109" t="str">
        <f>IF(ISBLANK(K7826),IFERROR(VLOOKUP(I7826,FS_input_data!$C$458:$N$648,Export!J7826,FALSE),""),K7826)</f>
        <v/>
      </c>
      <c r="D7826" s="6"/>
      <c r="E7826" s="6"/>
      <c r="F7826" s="6"/>
      <c r="G7826" s="115" t="b">
        <f>VLOOKUP(I7806,FS_input_noty,J7806,FALSE)=""</f>
        <v>0</v>
      </c>
      <c r="H7826" s="6" t="s">
        <v>2189</v>
      </c>
      <c r="I7826" t="s">
        <v>1561</v>
      </c>
      <c r="J7826" t="s">
        <v>1561</v>
      </c>
      <c r="L7826">
        <f t="shared" si="476"/>
        <v>1</v>
      </c>
    </row>
    <row r="7827" spans="1:12" x14ac:dyDescent="0.35">
      <c r="A7827">
        <f t="shared" si="477"/>
        <v>7826</v>
      </c>
      <c r="B7827" t="s">
        <v>763</v>
      </c>
      <c r="C7827" s="109" t="str">
        <f>IF(ISBLANK(K7827),IFERROR(VLOOKUP(I7827,FS_input_data!$C$458:$N$648,Export!J7827,FALSE),""),K7827)</f>
        <v/>
      </c>
      <c r="D7827" s="6"/>
      <c r="E7827" s="6"/>
      <c r="F7827" s="6"/>
      <c r="G7827" s="115" t="b">
        <f>VLOOKUP(I7806,FS_input_noty,J7806,FALSE)=""</f>
        <v>0</v>
      </c>
      <c r="H7827" s="6" t="s">
        <v>2189</v>
      </c>
      <c r="I7827" t="s">
        <v>1561</v>
      </c>
      <c r="J7827" t="s">
        <v>1561</v>
      </c>
      <c r="L7827">
        <f t="shared" si="476"/>
        <v>1</v>
      </c>
    </row>
    <row r="7828" spans="1:12" x14ac:dyDescent="0.35">
      <c r="A7828">
        <f t="shared" si="477"/>
        <v>7827</v>
      </c>
      <c r="B7828" t="s">
        <v>743</v>
      </c>
      <c r="C7828" s="109" t="str">
        <f>IF(ISBLANK(K7828),IFERROR(VLOOKUP(I7828,FS_input_data!$C$458:$N$648,Export!J7828,FALSE),""),K7828)</f>
        <v/>
      </c>
      <c r="D7828" s="6"/>
      <c r="E7828" s="6"/>
      <c r="F7828" s="6"/>
      <c r="G7828" s="115" t="b">
        <f>VLOOKUP(I7806,FS_input_noty,J7806,FALSE)=""</f>
        <v>0</v>
      </c>
      <c r="H7828" s="6" t="s">
        <v>2189</v>
      </c>
      <c r="I7828" t="s">
        <v>1561</v>
      </c>
      <c r="J7828" t="s">
        <v>1561</v>
      </c>
      <c r="L7828">
        <f t="shared" si="476"/>
        <v>1</v>
      </c>
    </row>
    <row r="7829" spans="1:12" x14ac:dyDescent="0.35">
      <c r="A7829">
        <f t="shared" si="477"/>
        <v>7828</v>
      </c>
      <c r="B7829" t="s">
        <v>744</v>
      </c>
      <c r="C7829" s="109" t="str">
        <f>IF(ISBLANK(K7829),IFERROR(VLOOKUP(I7829,FS_input_data!$C$458:$N$648,Export!J7829,FALSE),""),K7829)</f>
        <v/>
      </c>
      <c r="D7829" s="6"/>
      <c r="E7829" s="6"/>
      <c r="F7829" s="6"/>
      <c r="G7829" s="115" t="b">
        <f t="shared" ref="G7829:G7836" si="478">RP_tax</f>
        <v>1</v>
      </c>
      <c r="H7829" s="6" t="s">
        <v>2189</v>
      </c>
      <c r="I7829" t="s">
        <v>1561</v>
      </c>
      <c r="J7829" t="s">
        <v>1561</v>
      </c>
      <c r="L7829" s="26" t="e">
        <f t="shared" si="476"/>
        <v>#VALUE!</v>
      </c>
    </row>
    <row r="7830" spans="1:12" x14ac:dyDescent="0.35">
      <c r="A7830" s="9">
        <f t="shared" si="477"/>
        <v>7829</v>
      </c>
      <c r="B7830" t="s">
        <v>109</v>
      </c>
      <c r="C7830" s="109">
        <f>IF(ISBLANK(K7830),IFERROR(VLOOKUP(I7830,FS_input_data!$C$458:$N$648,Export!J7830,FALSE),""),K7830)</f>
        <v>6000</v>
      </c>
      <c r="D7830" s="6" t="b">
        <v>1</v>
      </c>
      <c r="E7830" s="6"/>
      <c r="F7830" s="6"/>
      <c r="G7830" s="115" t="b">
        <f t="shared" si="478"/>
        <v>1</v>
      </c>
      <c r="H7830" s="6" t="s">
        <v>2189</v>
      </c>
      <c r="I7830" t="s">
        <v>2152</v>
      </c>
      <c r="J7830">
        <v>10</v>
      </c>
      <c r="L7830" s="26" t="e">
        <f t="shared" si="476"/>
        <v>#VALUE!</v>
      </c>
    </row>
    <row r="7831" spans="1:12" x14ac:dyDescent="0.35">
      <c r="A7831">
        <f t="shared" si="477"/>
        <v>7830</v>
      </c>
      <c r="B7831" t="s">
        <v>110</v>
      </c>
      <c r="C7831" s="109" t="str">
        <f>IF(ISBLANK(K7831),IFERROR(VLOOKUP(I7831,FS_input_data!$C$458:$N$648,Export!J7831,FALSE),""),K7831)</f>
        <v/>
      </c>
      <c r="D7831" s="6"/>
      <c r="E7831" s="6"/>
      <c r="F7831" s="6"/>
      <c r="G7831" s="115" t="b">
        <f t="shared" si="478"/>
        <v>1</v>
      </c>
      <c r="H7831" s="6" t="s">
        <v>2189</v>
      </c>
      <c r="I7831" t="s">
        <v>1561</v>
      </c>
      <c r="J7831" t="s">
        <v>1561</v>
      </c>
      <c r="L7831">
        <f t="shared" si="476"/>
        <v>1</v>
      </c>
    </row>
    <row r="7832" spans="1:12" x14ac:dyDescent="0.35">
      <c r="A7832" s="9">
        <f t="shared" si="477"/>
        <v>7831</v>
      </c>
      <c r="B7832" t="s">
        <v>111</v>
      </c>
      <c r="C7832" s="109">
        <f>IF(ISBLANK(K7832),IFERROR(VLOOKUP(I7832,FS_input_data!$C$458:$N$648,Export!J7832,FALSE),""),K7832)</f>
        <v>3000</v>
      </c>
      <c r="D7832" s="6" t="b">
        <v>0</v>
      </c>
      <c r="E7832" s="6"/>
      <c r="F7832" s="6"/>
      <c r="G7832" s="115" t="b">
        <f t="shared" si="478"/>
        <v>1</v>
      </c>
      <c r="H7832" s="6" t="s">
        <v>2189</v>
      </c>
      <c r="I7832" t="s">
        <v>2152</v>
      </c>
      <c r="J7832">
        <v>11</v>
      </c>
      <c r="L7832" s="26" t="e">
        <f t="shared" si="476"/>
        <v>#VALUE!</v>
      </c>
    </row>
    <row r="7833" spans="1:12" x14ac:dyDescent="0.35">
      <c r="A7833">
        <f t="shared" si="477"/>
        <v>7832</v>
      </c>
      <c r="B7833" t="s">
        <v>112</v>
      </c>
      <c r="C7833" s="109" t="str">
        <f>IF(ISBLANK(K7833),IFERROR(VLOOKUP(I7833,FS_input_data!$C$458:$N$648,Export!J7833,FALSE),""),K7833)</f>
        <v/>
      </c>
      <c r="D7833" s="6"/>
      <c r="E7833" s="6"/>
      <c r="F7833" s="6"/>
      <c r="G7833" s="115" t="b">
        <f t="shared" si="478"/>
        <v>1</v>
      </c>
      <c r="H7833" s="6" t="s">
        <v>2189</v>
      </c>
      <c r="I7833" t="s">
        <v>1561</v>
      </c>
      <c r="J7833" t="s">
        <v>1561</v>
      </c>
      <c r="L7833">
        <f t="shared" si="476"/>
        <v>1</v>
      </c>
    </row>
    <row r="7834" spans="1:12" x14ac:dyDescent="0.35">
      <c r="A7834" s="9">
        <f t="shared" si="477"/>
        <v>7833</v>
      </c>
      <c r="B7834" t="s">
        <v>749</v>
      </c>
      <c r="C7834" s="109">
        <f>IF(ISBLANK(K7834),IFERROR(VLOOKUP(I7834,FS_input_data!$C$458:$N$648,Export!J7834,FALSE),""),K7834)</f>
        <v>3000</v>
      </c>
      <c r="D7834" s="6" t="b">
        <v>0</v>
      </c>
      <c r="E7834" s="6"/>
      <c r="F7834" s="6"/>
      <c r="G7834" s="115" t="b">
        <f t="shared" si="478"/>
        <v>1</v>
      </c>
      <c r="H7834" s="6" t="s">
        <v>2189</v>
      </c>
      <c r="I7834" t="s">
        <v>2152</v>
      </c>
      <c r="J7834">
        <v>12</v>
      </c>
      <c r="L7834" s="26" t="e">
        <f t="shared" si="476"/>
        <v>#VALUE!</v>
      </c>
    </row>
    <row r="7835" spans="1:12" x14ac:dyDescent="0.35">
      <c r="A7835">
        <f t="shared" si="477"/>
        <v>7834</v>
      </c>
      <c r="B7835" t="s">
        <v>750</v>
      </c>
      <c r="C7835" s="109" t="str">
        <f>IF(ISBLANK(K7835),IFERROR(VLOOKUP(I7835,FS_input_data!$C$458:$N$648,Export!J7835,FALSE),""),K7835)</f>
        <v/>
      </c>
      <c r="D7835" s="6"/>
      <c r="E7835" s="6"/>
      <c r="F7835" s="6"/>
      <c r="G7835" s="115" t="b">
        <f t="shared" si="478"/>
        <v>1</v>
      </c>
      <c r="H7835" s="6" t="s">
        <v>2189</v>
      </c>
      <c r="I7835" t="s">
        <v>1561</v>
      </c>
      <c r="J7835" t="s">
        <v>1561</v>
      </c>
      <c r="L7835">
        <f t="shared" si="476"/>
        <v>1</v>
      </c>
    </row>
    <row r="7836" spans="1:12" x14ac:dyDescent="0.35">
      <c r="A7836">
        <f t="shared" si="477"/>
        <v>7835</v>
      </c>
      <c r="B7836" t="s">
        <v>745</v>
      </c>
      <c r="C7836" s="109" t="str">
        <f>IF(ISBLANK(K7836),IFERROR(VLOOKUP(I7836,FS_input_data!$C$458:$N$648,Export!J7836,FALSE),""),K7836)</f>
        <v/>
      </c>
      <c r="D7836" s="6"/>
      <c r="E7836" s="6"/>
      <c r="F7836" s="6"/>
      <c r="G7836" s="115" t="b">
        <f t="shared" si="478"/>
        <v>1</v>
      </c>
      <c r="H7836" s="6" t="s">
        <v>2189</v>
      </c>
      <c r="I7836" t="s">
        <v>1561</v>
      </c>
      <c r="J7836" t="s">
        <v>1561</v>
      </c>
      <c r="L7836">
        <f t="shared" si="476"/>
        <v>1</v>
      </c>
    </row>
    <row r="7837" spans="1:12" x14ac:dyDescent="0.35">
      <c r="A7837">
        <f t="shared" si="477"/>
        <v>7836</v>
      </c>
      <c r="B7837" t="s">
        <v>764</v>
      </c>
      <c r="C7837" s="109" t="str">
        <f>IF(ISBLANK(K7837),IFERROR(VLOOKUP(I7837,FS_input_data!$C$458:$N$648,Export!J7837,FALSE),""),K7837)</f>
        <v/>
      </c>
      <c r="D7837" s="6"/>
      <c r="E7837" s="6"/>
      <c r="F7837" s="6"/>
      <c r="G7837" s="115" t="b">
        <f>VLOOKUP(I7806,FS_input_noty,J7806,FALSE)=""</f>
        <v>0</v>
      </c>
      <c r="H7837" s="6" t="s">
        <v>2189</v>
      </c>
      <c r="I7837" t="s">
        <v>1561</v>
      </c>
      <c r="J7837" t="s">
        <v>1561</v>
      </c>
      <c r="L7837">
        <f t="shared" si="476"/>
        <v>1</v>
      </c>
    </row>
    <row r="7838" spans="1:12" x14ac:dyDescent="0.35">
      <c r="A7838">
        <f t="shared" si="477"/>
        <v>7837</v>
      </c>
      <c r="B7838" t="s">
        <v>765</v>
      </c>
      <c r="C7838" s="109" t="str">
        <f>IF(ISBLANK(K7838),IFERROR(VLOOKUP(I7838,FS_input_data!$C$458:$N$648,Export!J7838,FALSE),""),K7838)</f>
        <v/>
      </c>
      <c r="D7838" s="6"/>
      <c r="E7838" s="6"/>
      <c r="F7838" s="6"/>
      <c r="G7838" s="115" t="b">
        <f>VLOOKUP(I7806,FS_input_noty,J7806,FALSE)=""</f>
        <v>0</v>
      </c>
      <c r="H7838" s="6" t="s">
        <v>2189</v>
      </c>
      <c r="I7838" t="s">
        <v>1561</v>
      </c>
      <c r="J7838" t="s">
        <v>1561</v>
      </c>
      <c r="L7838">
        <f t="shared" si="476"/>
        <v>1</v>
      </c>
    </row>
    <row r="7839" spans="1:12" x14ac:dyDescent="0.35">
      <c r="A7839">
        <f t="shared" si="477"/>
        <v>7838</v>
      </c>
      <c r="B7839" t="s">
        <v>752</v>
      </c>
      <c r="C7839" s="109" t="str">
        <f>IF(ISBLANK(K7839),IFERROR(VLOOKUP(I7839,FS_input_data!$C$458:$N$648,Export!J7839,FALSE),""),K7839)</f>
        <v/>
      </c>
      <c r="D7839" s="6"/>
      <c r="E7839" s="6"/>
      <c r="F7839" s="6"/>
      <c r="G7839" s="115" t="b">
        <f>VLOOKUP(I7840,FS_input_noty,J7840,FALSE)=""</f>
        <v>0</v>
      </c>
      <c r="H7839" s="6" t="s">
        <v>2189</v>
      </c>
      <c r="I7839" t="s">
        <v>1561</v>
      </c>
      <c r="J7839" t="s">
        <v>1561</v>
      </c>
      <c r="L7839" s="26" t="e">
        <f t="shared" si="476"/>
        <v>#VALUE!</v>
      </c>
    </row>
    <row r="7840" spans="1:12" x14ac:dyDescent="0.35">
      <c r="A7840" s="9">
        <f t="shared" si="477"/>
        <v>7839</v>
      </c>
      <c r="B7840" t="s">
        <v>101</v>
      </c>
      <c r="C7840" s="109" t="str">
        <f>IF(ISBLANK(K7840),IFERROR(VLOOKUP(I7840,FS_input_data!$C$458:$N$648,Export!J7840,FALSE),""),K7840)</f>
        <v>OC150</v>
      </c>
      <c r="D7840" s="6" t="b">
        <v>1</v>
      </c>
      <c r="E7840" s="6"/>
      <c r="F7840" s="6"/>
      <c r="G7840" s="115" t="b">
        <f>VLOOKUP(I7840,FS_input_noty,J7840,FALSE)=""</f>
        <v>0</v>
      </c>
      <c r="H7840" s="6" t="s">
        <v>2189</v>
      </c>
      <c r="I7840" t="s">
        <v>2154</v>
      </c>
      <c r="J7840">
        <v>6</v>
      </c>
      <c r="L7840" s="26" t="e">
        <f t="shared" si="476"/>
        <v>#VALUE!</v>
      </c>
    </row>
    <row r="7841" spans="1:12" x14ac:dyDescent="0.35">
      <c r="A7841">
        <f t="shared" si="477"/>
        <v>7840</v>
      </c>
      <c r="B7841" t="s">
        <v>102</v>
      </c>
      <c r="C7841" s="109" t="str">
        <f>IF(ISBLANK(K7841),IFERROR(VLOOKUP(I7841,FS_input_data!$C$458:$N$648,Export!J7841,FALSE),""),K7841)</f>
        <v/>
      </c>
      <c r="D7841" s="6"/>
      <c r="E7841" s="6"/>
      <c r="F7841" s="6"/>
      <c r="G7841" s="115" t="b">
        <f>VLOOKUP(I7840,FS_input_noty,J7840,FALSE)=""</f>
        <v>0</v>
      </c>
      <c r="H7841" s="6" t="s">
        <v>2189</v>
      </c>
      <c r="I7841" t="s">
        <v>1561</v>
      </c>
      <c r="J7841" t="s">
        <v>1561</v>
      </c>
      <c r="L7841">
        <f t="shared" si="476"/>
        <v>1</v>
      </c>
    </row>
    <row r="7842" spans="1:12" x14ac:dyDescent="0.35">
      <c r="A7842">
        <f t="shared" si="477"/>
        <v>7841</v>
      </c>
      <c r="B7842" t="s">
        <v>753</v>
      </c>
      <c r="C7842" s="109" t="str">
        <f>IF(ISBLANK(K7842),IFERROR(VLOOKUP(I7842,FS_input_data!$C$458:$N$648,Export!J7842,FALSE),""),K7842)</f>
        <v/>
      </c>
      <c r="D7842" s="6"/>
      <c r="E7842" s="6"/>
      <c r="F7842" s="6"/>
      <c r="G7842" s="115" t="b">
        <f>VLOOKUP(I7840,FS_input_noty,J7840,FALSE)=""</f>
        <v>0</v>
      </c>
      <c r="H7842" s="6" t="s">
        <v>2189</v>
      </c>
      <c r="I7842" t="s">
        <v>1561</v>
      </c>
      <c r="J7842" t="s">
        <v>1561</v>
      </c>
      <c r="L7842" s="26" t="e">
        <f t="shared" si="476"/>
        <v>#VALUE!</v>
      </c>
    </row>
    <row r="7843" spans="1:12" x14ac:dyDescent="0.35">
      <c r="A7843">
        <f t="shared" si="477"/>
        <v>7842</v>
      </c>
      <c r="B7843" t="s">
        <v>742</v>
      </c>
      <c r="C7843" s="109" t="str">
        <f>IF(ISBLANK(K7843),IFERROR(VLOOKUP(I7843,FS_input_data!$C$458:$N$648,Export!J7843,FALSE),""),K7843)</f>
        <v/>
      </c>
      <c r="D7843" s="6"/>
      <c r="E7843" s="6"/>
      <c r="F7843" s="6"/>
      <c r="G7843" s="115" t="b">
        <f>VLOOKUP(I7840,FS_input_noty,J7840,FALSE)=""</f>
        <v>0</v>
      </c>
      <c r="H7843" s="6" t="s">
        <v>2189</v>
      </c>
      <c r="I7843" t="s">
        <v>1561</v>
      </c>
      <c r="J7843" t="s">
        <v>1561</v>
      </c>
      <c r="L7843" s="26" t="e">
        <f t="shared" si="476"/>
        <v>#VALUE!</v>
      </c>
    </row>
    <row r="7844" spans="1:12" x14ac:dyDescent="0.35">
      <c r="A7844">
        <f t="shared" si="477"/>
        <v>7843</v>
      </c>
      <c r="B7844" t="s">
        <v>748</v>
      </c>
      <c r="C7844" s="109" t="str">
        <f>IF(ISBLANK(K7844),IFERROR(VLOOKUP(I7844,FS_input_data!$C$458:$N$648,Export!J7844,FALSE),""),K7844)</f>
        <v/>
      </c>
      <c r="D7844" s="6"/>
      <c r="E7844" s="6"/>
      <c r="F7844" s="6"/>
      <c r="G7844" s="115" t="b">
        <f>VLOOKUP(I7840,FS_input_noty,J7840,FALSE)=""</f>
        <v>0</v>
      </c>
      <c r="H7844" s="6" t="s">
        <v>2189</v>
      </c>
      <c r="I7844" t="s">
        <v>1561</v>
      </c>
      <c r="J7844" t="s">
        <v>1561</v>
      </c>
      <c r="L7844" s="26" t="e">
        <f t="shared" si="476"/>
        <v>#VALUE!</v>
      </c>
    </row>
    <row r="7845" spans="1:12" x14ac:dyDescent="0.35">
      <c r="A7845" s="9">
        <f t="shared" si="477"/>
        <v>7844</v>
      </c>
      <c r="B7845" t="s">
        <v>109</v>
      </c>
      <c r="C7845" s="109">
        <f>IF(ISBLANK(K7845),IFERROR(VLOOKUP(I7845,FS_input_data!$C$458:$N$648,Export!J7845,FALSE),""),K7845)</f>
        <v>7000</v>
      </c>
      <c r="D7845" s="6" t="b">
        <v>1</v>
      </c>
      <c r="E7845" s="6"/>
      <c r="F7845" s="6"/>
      <c r="G7845" s="115" t="b">
        <f>VLOOKUP(I7840,FS_input_noty,J7840,FALSE)=""</f>
        <v>0</v>
      </c>
      <c r="H7845" s="6" t="s">
        <v>2189</v>
      </c>
      <c r="I7845" t="s">
        <v>2154</v>
      </c>
      <c r="J7845">
        <v>7</v>
      </c>
      <c r="L7845" s="26" t="e">
        <f t="shared" si="476"/>
        <v>#VALUE!</v>
      </c>
    </row>
    <row r="7846" spans="1:12" x14ac:dyDescent="0.35">
      <c r="A7846">
        <f t="shared" si="477"/>
        <v>7845</v>
      </c>
      <c r="B7846" t="s">
        <v>110</v>
      </c>
      <c r="C7846" s="109" t="str">
        <f>IF(ISBLANK(K7846),IFERROR(VLOOKUP(I7846,FS_input_data!$C$458:$N$648,Export!J7846,FALSE),""),K7846)</f>
        <v/>
      </c>
      <c r="D7846" s="6"/>
      <c r="E7846" s="6"/>
      <c r="F7846" s="6"/>
      <c r="G7846" s="115" t="b">
        <f>VLOOKUP(I7840,FS_input_noty,J7840,FALSE)=""</f>
        <v>0</v>
      </c>
      <c r="H7846" s="6" t="s">
        <v>2189</v>
      </c>
      <c r="I7846" t="s">
        <v>1561</v>
      </c>
      <c r="J7846" t="s">
        <v>1561</v>
      </c>
      <c r="L7846">
        <f t="shared" si="476"/>
        <v>1</v>
      </c>
    </row>
    <row r="7847" spans="1:12" x14ac:dyDescent="0.35">
      <c r="A7847" s="9">
        <f t="shared" si="477"/>
        <v>7846</v>
      </c>
      <c r="B7847" t="s">
        <v>111</v>
      </c>
      <c r="C7847" s="109">
        <f>IF(ISBLANK(K7847),IFERROR(VLOOKUP(I7847,FS_input_data!$C$458:$N$648,Export!J7847,FALSE),""),K7847)</f>
        <v>3500</v>
      </c>
      <c r="D7847" s="6" t="b">
        <v>0</v>
      </c>
      <c r="E7847" s="6"/>
      <c r="F7847" s="6"/>
      <c r="G7847" s="115" t="b">
        <f>VLOOKUP(I7840,FS_input_noty,J7840,TRUE)=""</f>
        <v>0</v>
      </c>
      <c r="H7847" s="6" t="s">
        <v>2189</v>
      </c>
      <c r="I7847" t="s">
        <v>2154</v>
      </c>
      <c r="J7847">
        <v>8</v>
      </c>
      <c r="L7847" s="26" t="e">
        <f t="shared" si="476"/>
        <v>#VALUE!</v>
      </c>
    </row>
    <row r="7848" spans="1:12" x14ac:dyDescent="0.35">
      <c r="A7848">
        <f t="shared" si="477"/>
        <v>7847</v>
      </c>
      <c r="B7848" t="s">
        <v>112</v>
      </c>
      <c r="C7848" s="109" t="str">
        <f>IF(ISBLANK(K7848),IFERROR(VLOOKUP(I7848,FS_input_data!$C$458:$N$648,Export!J7848,FALSE),""),K7848)</f>
        <v/>
      </c>
      <c r="D7848" s="6"/>
      <c r="E7848" s="6"/>
      <c r="F7848" s="6"/>
      <c r="G7848" s="115" t="b">
        <f>VLOOKUP(I7840,FS_input_noty,J7840,FALSE)=""</f>
        <v>0</v>
      </c>
      <c r="H7848" s="6" t="s">
        <v>2189</v>
      </c>
      <c r="I7848" t="s">
        <v>1561</v>
      </c>
      <c r="J7848" t="s">
        <v>1561</v>
      </c>
      <c r="L7848">
        <f t="shared" si="476"/>
        <v>1</v>
      </c>
    </row>
    <row r="7849" spans="1:12" x14ac:dyDescent="0.35">
      <c r="A7849" s="9">
        <f t="shared" si="477"/>
        <v>7848</v>
      </c>
      <c r="B7849" t="s">
        <v>749</v>
      </c>
      <c r="C7849" s="109">
        <f>IF(ISBLANK(K7849),IFERROR(VLOOKUP(I7849,FS_input_data!$C$458:$N$648,Export!J7849,FALSE),""),K7849)</f>
        <v>3500</v>
      </c>
      <c r="D7849" s="6" t="b">
        <v>0</v>
      </c>
      <c r="E7849" s="6"/>
      <c r="F7849" s="6"/>
      <c r="G7849" s="115" t="b">
        <f>VLOOKUP(I7840,FS_input_noty,J7840,FALSE)=""</f>
        <v>0</v>
      </c>
      <c r="H7849" s="6" t="s">
        <v>2189</v>
      </c>
      <c r="I7849" t="s">
        <v>2154</v>
      </c>
      <c r="J7849">
        <v>9</v>
      </c>
      <c r="L7849" s="26" t="e">
        <f t="shared" si="476"/>
        <v>#VALUE!</v>
      </c>
    </row>
    <row r="7850" spans="1:12" x14ac:dyDescent="0.35">
      <c r="A7850">
        <f t="shared" si="477"/>
        <v>7849</v>
      </c>
      <c r="B7850" t="s">
        <v>750</v>
      </c>
      <c r="C7850" s="109" t="str">
        <f>IF(ISBLANK(K7850),IFERROR(VLOOKUP(I7850,FS_input_data!$C$458:$N$648,Export!J7850,FALSE),""),K7850)</f>
        <v/>
      </c>
      <c r="D7850" s="6"/>
      <c r="E7850" s="6"/>
      <c r="F7850" s="6"/>
      <c r="G7850" s="115" t="b">
        <f>VLOOKUP(I7840,FS_input_noty,J7840,FALSE)=""</f>
        <v>0</v>
      </c>
      <c r="H7850" s="6" t="s">
        <v>2189</v>
      </c>
      <c r="I7850" t="s">
        <v>1561</v>
      </c>
      <c r="J7850" t="s">
        <v>1561</v>
      </c>
      <c r="L7850">
        <f t="shared" si="476"/>
        <v>1</v>
      </c>
    </row>
    <row r="7851" spans="1:12" x14ac:dyDescent="0.35">
      <c r="A7851">
        <f t="shared" si="477"/>
        <v>7850</v>
      </c>
      <c r="B7851" t="s">
        <v>751</v>
      </c>
      <c r="C7851" s="109" t="str">
        <f>IF(ISBLANK(K7851),IFERROR(VLOOKUP(I7851,FS_input_data!$C$458:$N$648,Export!J7851,FALSE),""),K7851)</f>
        <v/>
      </c>
      <c r="D7851" s="6"/>
      <c r="E7851" s="6"/>
      <c r="F7851" s="6"/>
      <c r="G7851" s="115" t="b">
        <f>VLOOKUP(I7840,FS_input_noty,J7840,FALSE)=""</f>
        <v>0</v>
      </c>
      <c r="H7851" s="6" t="s">
        <v>2189</v>
      </c>
      <c r="I7851" t="s">
        <v>1561</v>
      </c>
      <c r="J7851" t="s">
        <v>1561</v>
      </c>
      <c r="L7851">
        <f t="shared" si="476"/>
        <v>1</v>
      </c>
    </row>
    <row r="7852" spans="1:12" x14ac:dyDescent="0.35">
      <c r="A7852">
        <f t="shared" si="477"/>
        <v>7851</v>
      </c>
      <c r="B7852" t="s">
        <v>754</v>
      </c>
      <c r="C7852" s="109" t="str">
        <f>IF(ISBLANK(K7852),IFERROR(VLOOKUP(I7852,FS_input_data!$C$458:$N$648,Export!J7852,FALSE),""),K7852)</f>
        <v/>
      </c>
      <c r="D7852" s="6"/>
      <c r="E7852" s="6"/>
      <c r="F7852" s="6"/>
      <c r="G7852" s="115" t="b">
        <f>VLOOKUP(I7840,FS_input_noty,J7840,FALSE)=""</f>
        <v>0</v>
      </c>
      <c r="H7852" s="6" t="s">
        <v>2189</v>
      </c>
      <c r="I7852" t="s">
        <v>1561</v>
      </c>
      <c r="J7852" t="s">
        <v>1561</v>
      </c>
      <c r="L7852" s="26" t="e">
        <f t="shared" si="476"/>
        <v>#VALUE!</v>
      </c>
    </row>
    <row r="7853" spans="1:12" x14ac:dyDescent="0.35">
      <c r="A7853" s="9">
        <f t="shared" si="477"/>
        <v>7852</v>
      </c>
      <c r="B7853" t="s">
        <v>755</v>
      </c>
      <c r="C7853" s="109">
        <f>IF(ISBLANK(K7853),IFERROR(VLOOKUP(I7853,FS_input_data!$C$458:$N$648,Export!J7853,FALSE),""),K7853)</f>
        <v>173</v>
      </c>
      <c r="D7853" s="6" t="b">
        <v>1</v>
      </c>
      <c r="E7853" s="6"/>
      <c r="F7853" s="6"/>
      <c r="G7853" s="115" t="b">
        <f>VLOOKUP(I7840,FS_input_noty,J7840,FALSE)=""</f>
        <v>0</v>
      </c>
      <c r="H7853" s="6" t="s">
        <v>2189</v>
      </c>
      <c r="I7853" t="s">
        <v>2154</v>
      </c>
      <c r="J7853">
        <v>2</v>
      </c>
      <c r="L7853" s="26" t="e">
        <f t="shared" si="476"/>
        <v>#VALUE!</v>
      </c>
    </row>
    <row r="7854" spans="1:12" x14ac:dyDescent="0.35">
      <c r="A7854">
        <f t="shared" si="477"/>
        <v>7853</v>
      </c>
      <c r="B7854" t="s">
        <v>756</v>
      </c>
      <c r="C7854" s="109" t="str">
        <f>IF(ISBLANK(K7854),IFERROR(VLOOKUP(I7854,FS_input_data!$C$458:$N$648,Export!J7854,FALSE),""),K7854)</f>
        <v/>
      </c>
      <c r="D7854" s="6"/>
      <c r="E7854" s="6"/>
      <c r="F7854" s="6"/>
      <c r="G7854" s="115" t="b">
        <f>VLOOKUP(I7840,FS_input_noty,J7840,FALSE)=""</f>
        <v>0</v>
      </c>
      <c r="H7854" s="6" t="s">
        <v>2189</v>
      </c>
      <c r="I7854" t="s">
        <v>1561</v>
      </c>
      <c r="J7854" t="s">
        <v>1561</v>
      </c>
      <c r="L7854">
        <f t="shared" si="476"/>
        <v>1</v>
      </c>
    </row>
    <row r="7855" spans="1:12" x14ac:dyDescent="0.35">
      <c r="A7855" s="9">
        <f t="shared" si="477"/>
        <v>7854</v>
      </c>
      <c r="B7855" t="s">
        <v>757</v>
      </c>
      <c r="C7855" s="109">
        <f>IF(ISBLANK(K7855),IFERROR(VLOOKUP(I7855,FS_input_data!$C$458:$N$648,Export!J7855,FALSE),""),K7855)</f>
        <v>273</v>
      </c>
      <c r="D7855" s="6" t="b">
        <v>0</v>
      </c>
      <c r="E7855" s="6"/>
      <c r="F7855" s="6"/>
      <c r="G7855" s="115" t="b">
        <f>VLOOKUP(I7840,FS_input_noty,J7840,FALSE)=""</f>
        <v>0</v>
      </c>
      <c r="H7855" s="6" t="s">
        <v>2189</v>
      </c>
      <c r="I7855" t="s">
        <v>2154</v>
      </c>
      <c r="J7855">
        <v>3</v>
      </c>
      <c r="L7855" s="26" t="e">
        <f t="shared" si="476"/>
        <v>#VALUE!</v>
      </c>
    </row>
    <row r="7856" spans="1:12" x14ac:dyDescent="0.35">
      <c r="A7856">
        <f t="shared" si="477"/>
        <v>7855</v>
      </c>
      <c r="B7856" t="s">
        <v>758</v>
      </c>
      <c r="C7856" s="109" t="str">
        <f>IF(ISBLANK(K7856),IFERROR(VLOOKUP(I7856,FS_input_data!$C$458:$N$648,Export!J7856,FALSE),""),K7856)</f>
        <v/>
      </c>
      <c r="D7856" s="6"/>
      <c r="E7856" s="6"/>
      <c r="F7856" s="6"/>
      <c r="G7856" s="115" t="b">
        <f>VLOOKUP(I7840,FS_input_noty,J7840,FALSE)=""</f>
        <v>0</v>
      </c>
      <c r="H7856" s="6" t="s">
        <v>2189</v>
      </c>
      <c r="I7856" t="s">
        <v>1561</v>
      </c>
      <c r="J7856" t="s">
        <v>1561</v>
      </c>
      <c r="L7856">
        <f t="shared" si="476"/>
        <v>1</v>
      </c>
    </row>
    <row r="7857" spans="1:12" x14ac:dyDescent="0.35">
      <c r="A7857" s="9">
        <f t="shared" si="477"/>
        <v>7856</v>
      </c>
      <c r="B7857" t="s">
        <v>759</v>
      </c>
      <c r="C7857" s="109">
        <f>IF(ISBLANK(K7857),IFERROR(VLOOKUP(I7857,FS_input_data!$C$458:$N$648,Export!J7857,FALSE),""),K7857)</f>
        <v>373</v>
      </c>
      <c r="D7857" s="6" t="b">
        <v>0</v>
      </c>
      <c r="E7857" s="6"/>
      <c r="F7857" s="6"/>
      <c r="G7857" s="115" t="b">
        <f>VLOOKUP(I7840,FS_input_noty,J7840,FALSE)=""</f>
        <v>0</v>
      </c>
      <c r="H7857" s="6" t="s">
        <v>2189</v>
      </c>
      <c r="I7857" t="s">
        <v>2154</v>
      </c>
      <c r="J7857">
        <v>4</v>
      </c>
      <c r="L7857" s="26" t="e">
        <f t="shared" si="476"/>
        <v>#VALUE!</v>
      </c>
    </row>
    <row r="7858" spans="1:12" x14ac:dyDescent="0.35">
      <c r="A7858">
        <f t="shared" si="477"/>
        <v>7857</v>
      </c>
      <c r="B7858" t="s">
        <v>760</v>
      </c>
      <c r="C7858" s="109" t="str">
        <f>IF(ISBLANK(K7858),IFERROR(VLOOKUP(I7858,FS_input_data!$C$458:$N$648,Export!J7858,FALSE),""),K7858)</f>
        <v/>
      </c>
      <c r="D7858" s="6"/>
      <c r="E7858" s="6"/>
      <c r="F7858" s="6"/>
      <c r="G7858" s="115" t="b">
        <f>VLOOKUP(I7840,FS_input_noty,J7840,FALSE)=""</f>
        <v>0</v>
      </c>
      <c r="H7858" s="6" t="s">
        <v>2189</v>
      </c>
      <c r="I7858" t="s">
        <v>1561</v>
      </c>
      <c r="J7858" t="s">
        <v>1561</v>
      </c>
      <c r="L7858">
        <f t="shared" si="476"/>
        <v>1</v>
      </c>
    </row>
    <row r="7859" spans="1:12" x14ac:dyDescent="0.35">
      <c r="A7859" s="9">
        <f t="shared" si="477"/>
        <v>7858</v>
      </c>
      <c r="B7859" t="s">
        <v>761</v>
      </c>
      <c r="C7859" s="109" t="str">
        <f>IF(ISBLANK(K7859),IFERROR(VLOOKUP(I7859,FS_input_data!$C$458:$N$648,Export!J7859,FALSE),""),K7859)</f>
        <v>e</v>
      </c>
      <c r="D7859" s="6" t="b">
        <v>0</v>
      </c>
      <c r="E7859" s="6"/>
      <c r="F7859" s="6"/>
      <c r="G7859" s="115" t="b">
        <f>VLOOKUP(I7840,FS_input_noty,J7840,FALSE)=""</f>
        <v>0</v>
      </c>
      <c r="H7859" s="6" t="s">
        <v>2189</v>
      </c>
      <c r="I7859" t="s">
        <v>2154</v>
      </c>
      <c r="J7859">
        <v>5</v>
      </c>
      <c r="L7859" s="26" t="e">
        <f t="shared" si="476"/>
        <v>#VALUE!</v>
      </c>
    </row>
    <row r="7860" spans="1:12" x14ac:dyDescent="0.35">
      <c r="A7860">
        <f t="shared" si="477"/>
        <v>7859</v>
      </c>
      <c r="B7860" t="s">
        <v>762</v>
      </c>
      <c r="C7860" s="109" t="str">
        <f>IF(ISBLANK(K7860),IFERROR(VLOOKUP(I7860,FS_input_data!$C$458:$N$648,Export!J7860,FALSE),""),K7860)</f>
        <v/>
      </c>
      <c r="D7860" s="6"/>
      <c r="E7860" s="6"/>
      <c r="F7860" s="6"/>
      <c r="G7860" s="115" t="b">
        <f>VLOOKUP(I7840,FS_input_noty,J7840,FALSE)=""</f>
        <v>0</v>
      </c>
      <c r="H7860" s="6" t="s">
        <v>2189</v>
      </c>
      <c r="I7860" t="s">
        <v>1561</v>
      </c>
      <c r="J7860" t="s">
        <v>1561</v>
      </c>
      <c r="L7860">
        <f t="shared" si="476"/>
        <v>1</v>
      </c>
    </row>
    <row r="7861" spans="1:12" x14ac:dyDescent="0.35">
      <c r="A7861">
        <f t="shared" si="477"/>
        <v>7860</v>
      </c>
      <c r="B7861" t="s">
        <v>763</v>
      </c>
      <c r="C7861" s="109" t="str">
        <f>IF(ISBLANK(K7861),IFERROR(VLOOKUP(I7861,FS_input_data!$C$458:$N$648,Export!J7861,FALSE),""),K7861)</f>
        <v/>
      </c>
      <c r="D7861" s="6"/>
      <c r="E7861" s="6"/>
      <c r="F7861" s="6"/>
      <c r="G7861" s="115" t="b">
        <f>VLOOKUP(I7840,FS_input_noty,J7840,FALSE)=""</f>
        <v>0</v>
      </c>
      <c r="H7861" s="6" t="s">
        <v>2189</v>
      </c>
      <c r="I7861" t="s">
        <v>1561</v>
      </c>
      <c r="J7861" t="s">
        <v>1561</v>
      </c>
      <c r="L7861">
        <f t="shared" si="476"/>
        <v>1</v>
      </c>
    </row>
    <row r="7862" spans="1:12" x14ac:dyDescent="0.35">
      <c r="A7862">
        <f t="shared" si="477"/>
        <v>7861</v>
      </c>
      <c r="B7862" t="s">
        <v>743</v>
      </c>
      <c r="C7862" s="109" t="str">
        <f>IF(ISBLANK(K7862),IFERROR(VLOOKUP(I7862,FS_input_data!$C$458:$N$648,Export!J7862,FALSE),""),K7862)</f>
        <v/>
      </c>
      <c r="D7862" s="6"/>
      <c r="E7862" s="6"/>
      <c r="F7862" s="6"/>
      <c r="G7862" s="115" t="b">
        <f>VLOOKUP(I7840,FS_input_noty,J7840,FALSE)=""</f>
        <v>0</v>
      </c>
      <c r="H7862" s="6" t="s">
        <v>2189</v>
      </c>
      <c r="I7862" t="s">
        <v>1561</v>
      </c>
      <c r="J7862" t="s">
        <v>1561</v>
      </c>
      <c r="L7862">
        <f t="shared" si="476"/>
        <v>1</v>
      </c>
    </row>
    <row r="7863" spans="1:12" x14ac:dyDescent="0.35">
      <c r="A7863">
        <f t="shared" si="477"/>
        <v>7862</v>
      </c>
      <c r="B7863" t="s">
        <v>744</v>
      </c>
      <c r="C7863" s="109" t="str">
        <f>IF(ISBLANK(K7863),IFERROR(VLOOKUP(I7863,FS_input_data!$C$458:$N$648,Export!J7863,FALSE),""),K7863)</f>
        <v/>
      </c>
      <c r="D7863" s="6"/>
      <c r="E7863" s="6"/>
      <c r="F7863" s="6"/>
      <c r="G7863" s="115" t="b">
        <f t="shared" ref="G7863:G7870" si="479">RP_tax</f>
        <v>1</v>
      </c>
      <c r="H7863" s="6" t="s">
        <v>2189</v>
      </c>
      <c r="I7863" t="s">
        <v>1561</v>
      </c>
      <c r="J7863" t="s">
        <v>1561</v>
      </c>
      <c r="L7863" s="26" t="e">
        <f t="shared" si="476"/>
        <v>#VALUE!</v>
      </c>
    </row>
    <row r="7864" spans="1:12" x14ac:dyDescent="0.35">
      <c r="A7864" s="9">
        <f t="shared" si="477"/>
        <v>7863</v>
      </c>
      <c r="B7864" t="s">
        <v>109</v>
      </c>
      <c r="C7864" s="109">
        <f>IF(ISBLANK(K7864),IFERROR(VLOOKUP(I7864,FS_input_data!$C$458:$N$648,Export!J7864,FALSE),""),K7864)</f>
        <v>7000</v>
      </c>
      <c r="D7864" s="6" t="b">
        <v>1</v>
      </c>
      <c r="E7864" s="6"/>
      <c r="F7864" s="6"/>
      <c r="G7864" s="115" t="b">
        <f t="shared" si="479"/>
        <v>1</v>
      </c>
      <c r="H7864" s="6" t="s">
        <v>2189</v>
      </c>
      <c r="I7864" t="s">
        <v>2154</v>
      </c>
      <c r="J7864">
        <v>10</v>
      </c>
      <c r="L7864" s="26" t="e">
        <f t="shared" si="476"/>
        <v>#VALUE!</v>
      </c>
    </row>
    <row r="7865" spans="1:12" x14ac:dyDescent="0.35">
      <c r="A7865">
        <f t="shared" si="477"/>
        <v>7864</v>
      </c>
      <c r="B7865" t="s">
        <v>110</v>
      </c>
      <c r="C7865" s="109" t="str">
        <f>IF(ISBLANK(K7865),IFERROR(VLOOKUP(I7865,FS_input_data!$C$458:$N$648,Export!J7865,FALSE),""),K7865)</f>
        <v/>
      </c>
      <c r="D7865" s="6"/>
      <c r="E7865" s="6"/>
      <c r="F7865" s="6"/>
      <c r="G7865" s="115" t="b">
        <f t="shared" si="479"/>
        <v>1</v>
      </c>
      <c r="H7865" s="6" t="s">
        <v>2189</v>
      </c>
      <c r="I7865" t="s">
        <v>1561</v>
      </c>
      <c r="J7865" t="s">
        <v>1561</v>
      </c>
      <c r="L7865">
        <f t="shared" si="476"/>
        <v>1</v>
      </c>
    </row>
    <row r="7866" spans="1:12" x14ac:dyDescent="0.35">
      <c r="A7866" s="9">
        <f t="shared" si="477"/>
        <v>7865</v>
      </c>
      <c r="B7866" t="s">
        <v>111</v>
      </c>
      <c r="C7866" s="109">
        <f>IF(ISBLANK(K7866),IFERROR(VLOOKUP(I7866,FS_input_data!$C$458:$N$648,Export!J7866,FALSE),""),K7866)</f>
        <v>3500</v>
      </c>
      <c r="D7866" s="6" t="b">
        <v>0</v>
      </c>
      <c r="E7866" s="6"/>
      <c r="F7866" s="6"/>
      <c r="G7866" s="115" t="b">
        <f t="shared" si="479"/>
        <v>1</v>
      </c>
      <c r="H7866" s="6" t="s">
        <v>2189</v>
      </c>
      <c r="I7866" t="s">
        <v>2154</v>
      </c>
      <c r="J7866">
        <v>11</v>
      </c>
      <c r="L7866" s="26" t="e">
        <f t="shared" si="476"/>
        <v>#VALUE!</v>
      </c>
    </row>
    <row r="7867" spans="1:12" x14ac:dyDescent="0.35">
      <c r="A7867">
        <f t="shared" si="477"/>
        <v>7866</v>
      </c>
      <c r="B7867" t="s">
        <v>112</v>
      </c>
      <c r="C7867" s="109" t="str">
        <f>IF(ISBLANK(K7867),IFERROR(VLOOKUP(I7867,FS_input_data!$C$458:$N$648,Export!J7867,FALSE),""),K7867)</f>
        <v/>
      </c>
      <c r="D7867" s="6"/>
      <c r="E7867" s="6"/>
      <c r="F7867" s="6"/>
      <c r="G7867" s="115" t="b">
        <f t="shared" si="479"/>
        <v>1</v>
      </c>
      <c r="H7867" s="6" t="s">
        <v>2189</v>
      </c>
      <c r="I7867" t="s">
        <v>1561</v>
      </c>
      <c r="J7867" t="s">
        <v>1561</v>
      </c>
      <c r="L7867">
        <f t="shared" si="476"/>
        <v>1</v>
      </c>
    </row>
    <row r="7868" spans="1:12" x14ac:dyDescent="0.35">
      <c r="A7868" s="9">
        <f t="shared" si="477"/>
        <v>7867</v>
      </c>
      <c r="B7868" t="s">
        <v>749</v>
      </c>
      <c r="C7868" s="109">
        <f>IF(ISBLANK(K7868),IFERROR(VLOOKUP(I7868,FS_input_data!$C$458:$N$648,Export!J7868,FALSE),""),K7868)</f>
        <v>3500</v>
      </c>
      <c r="D7868" s="6" t="b">
        <v>0</v>
      </c>
      <c r="E7868" s="6"/>
      <c r="F7868" s="6"/>
      <c r="G7868" s="115" t="b">
        <f t="shared" si="479"/>
        <v>1</v>
      </c>
      <c r="H7868" s="6" t="s">
        <v>2189</v>
      </c>
      <c r="I7868" t="s">
        <v>2154</v>
      </c>
      <c r="J7868">
        <v>12</v>
      </c>
      <c r="L7868" s="26" t="e">
        <f t="shared" si="476"/>
        <v>#VALUE!</v>
      </c>
    </row>
    <row r="7869" spans="1:12" x14ac:dyDescent="0.35">
      <c r="A7869">
        <f t="shared" si="477"/>
        <v>7868</v>
      </c>
      <c r="B7869" t="s">
        <v>750</v>
      </c>
      <c r="C7869" s="109" t="str">
        <f>IF(ISBLANK(K7869),IFERROR(VLOOKUP(I7869,FS_input_data!$C$458:$N$648,Export!J7869,FALSE),""),K7869)</f>
        <v/>
      </c>
      <c r="D7869" s="6"/>
      <c r="E7869" s="6"/>
      <c r="F7869" s="6"/>
      <c r="G7869" s="115" t="b">
        <f t="shared" si="479"/>
        <v>1</v>
      </c>
      <c r="H7869" s="6" t="s">
        <v>2189</v>
      </c>
      <c r="I7869" t="s">
        <v>1561</v>
      </c>
      <c r="J7869" t="s">
        <v>1561</v>
      </c>
      <c r="L7869">
        <f t="shared" si="476"/>
        <v>1</v>
      </c>
    </row>
    <row r="7870" spans="1:12" x14ac:dyDescent="0.35">
      <c r="A7870">
        <f t="shared" si="477"/>
        <v>7869</v>
      </c>
      <c r="B7870" t="s">
        <v>745</v>
      </c>
      <c r="C7870" s="109" t="str">
        <f>IF(ISBLANK(K7870),IFERROR(VLOOKUP(I7870,FS_input_data!$C$458:$N$648,Export!J7870,FALSE),""),K7870)</f>
        <v/>
      </c>
      <c r="D7870" s="6"/>
      <c r="E7870" s="6"/>
      <c r="F7870" s="6"/>
      <c r="G7870" s="115" t="b">
        <f t="shared" si="479"/>
        <v>1</v>
      </c>
      <c r="H7870" s="6" t="s">
        <v>2189</v>
      </c>
      <c r="I7870" t="s">
        <v>1561</v>
      </c>
      <c r="J7870" t="s">
        <v>1561</v>
      </c>
      <c r="L7870">
        <f t="shared" si="476"/>
        <v>1</v>
      </c>
    </row>
    <row r="7871" spans="1:12" x14ac:dyDescent="0.35">
      <c r="A7871">
        <f t="shared" si="477"/>
        <v>7870</v>
      </c>
      <c r="B7871" t="s">
        <v>764</v>
      </c>
      <c r="C7871" s="109" t="str">
        <f>IF(ISBLANK(K7871),IFERROR(VLOOKUP(I7871,FS_input_data!$C$458:$N$648,Export!J7871,FALSE),""),K7871)</f>
        <v/>
      </c>
      <c r="D7871" s="6"/>
      <c r="E7871" s="6"/>
      <c r="F7871" s="6"/>
      <c r="G7871" s="115" t="b">
        <f>VLOOKUP(I7840,FS_input_noty,J7840,FALSE)=""</f>
        <v>0</v>
      </c>
      <c r="H7871" s="6" t="s">
        <v>2189</v>
      </c>
      <c r="I7871" t="s">
        <v>1561</v>
      </c>
      <c r="J7871" t="s">
        <v>1561</v>
      </c>
      <c r="L7871">
        <f t="shared" si="476"/>
        <v>1</v>
      </c>
    </row>
    <row r="7872" spans="1:12" x14ac:dyDescent="0.35">
      <c r="A7872">
        <f t="shared" si="477"/>
        <v>7871</v>
      </c>
      <c r="B7872" t="s">
        <v>765</v>
      </c>
      <c r="C7872" s="109" t="str">
        <f>IF(ISBLANK(K7872),IFERROR(VLOOKUP(I7872,FS_input_data!$C$458:$N$648,Export!J7872,FALSE),""),K7872)</f>
        <v/>
      </c>
      <c r="D7872" s="6"/>
      <c r="E7872" s="6"/>
      <c r="F7872" s="6"/>
      <c r="G7872" s="115" t="b">
        <f>VLOOKUP(I7840,FS_input_noty,J7840,FALSE)=""</f>
        <v>0</v>
      </c>
      <c r="H7872" s="6" t="s">
        <v>2189</v>
      </c>
      <c r="I7872" t="s">
        <v>1561</v>
      </c>
      <c r="J7872" t="s">
        <v>1561</v>
      </c>
      <c r="L7872">
        <f t="shared" si="476"/>
        <v>1</v>
      </c>
    </row>
    <row r="7873" spans="1:12" x14ac:dyDescent="0.35">
      <c r="A7873">
        <f t="shared" si="477"/>
        <v>7872</v>
      </c>
      <c r="B7873" t="s">
        <v>752</v>
      </c>
      <c r="C7873" s="109" t="str">
        <f>IF(ISBLANK(K7873),IFERROR(VLOOKUP(I7873,FS_input_data!$C$458:$N$648,Export!J7873,FALSE),""),K7873)</f>
        <v/>
      </c>
      <c r="D7873" s="6"/>
      <c r="E7873" s="6"/>
      <c r="F7873" s="6"/>
      <c r="G7873" s="115" t="b">
        <f>VLOOKUP(I7874,FS_input_noty,J7874,FALSE)=""</f>
        <v>0</v>
      </c>
      <c r="H7873" s="6" t="s">
        <v>2189</v>
      </c>
      <c r="I7873" t="s">
        <v>1561</v>
      </c>
      <c r="J7873" t="s">
        <v>1561</v>
      </c>
      <c r="L7873" s="26" t="e">
        <f t="shared" si="476"/>
        <v>#VALUE!</v>
      </c>
    </row>
    <row r="7874" spans="1:12" x14ac:dyDescent="0.35">
      <c r="A7874" s="9">
        <f t="shared" si="477"/>
        <v>7873</v>
      </c>
      <c r="B7874" t="s">
        <v>101</v>
      </c>
      <c r="C7874" s="109" t="str">
        <f>IF(ISBLANK(K7874),IFERROR(VLOOKUP(I7874,FS_input_data!$C$458:$N$648,Export!J7874,FALSE),""),K7874)</f>
        <v>OC151</v>
      </c>
      <c r="D7874" s="6" t="b">
        <v>1</v>
      </c>
      <c r="E7874" s="6"/>
      <c r="F7874" s="6"/>
      <c r="G7874" s="115" t="b">
        <f>VLOOKUP(I7874,FS_input_noty,J7874,FALSE)=""</f>
        <v>0</v>
      </c>
      <c r="H7874" s="6" t="s">
        <v>2189</v>
      </c>
      <c r="I7874" t="s">
        <v>2156</v>
      </c>
      <c r="J7874">
        <v>6</v>
      </c>
      <c r="L7874" s="26" t="e">
        <f t="shared" ref="L7874:L7937" si="480">FIND("/",B7874)</f>
        <v>#VALUE!</v>
      </c>
    </row>
    <row r="7875" spans="1:12" x14ac:dyDescent="0.35">
      <c r="A7875">
        <f t="shared" ref="A7875:A7938" si="481">A7874+1</f>
        <v>7874</v>
      </c>
      <c r="B7875" t="s">
        <v>102</v>
      </c>
      <c r="C7875" s="109" t="str">
        <f>IF(ISBLANK(K7875),IFERROR(VLOOKUP(I7875,FS_input_data!$C$458:$N$648,Export!J7875,FALSE),""),K7875)</f>
        <v/>
      </c>
      <c r="D7875" s="6"/>
      <c r="E7875" s="6"/>
      <c r="F7875" s="6"/>
      <c r="G7875" s="115" t="b">
        <f>VLOOKUP(I7874,FS_input_noty,J7874,FALSE)=""</f>
        <v>0</v>
      </c>
      <c r="H7875" s="6" t="s">
        <v>2189</v>
      </c>
      <c r="I7875" t="s">
        <v>1561</v>
      </c>
      <c r="J7875" t="s">
        <v>1561</v>
      </c>
      <c r="L7875">
        <f t="shared" si="480"/>
        <v>1</v>
      </c>
    </row>
    <row r="7876" spans="1:12" x14ac:dyDescent="0.35">
      <c r="A7876">
        <f t="shared" si="481"/>
        <v>7875</v>
      </c>
      <c r="B7876" t="s">
        <v>753</v>
      </c>
      <c r="C7876" s="109" t="str">
        <f>IF(ISBLANK(K7876),IFERROR(VLOOKUP(I7876,FS_input_data!$C$458:$N$648,Export!J7876,FALSE),""),K7876)</f>
        <v/>
      </c>
      <c r="D7876" s="6"/>
      <c r="E7876" s="6"/>
      <c r="F7876" s="6"/>
      <c r="G7876" s="115" t="b">
        <f>VLOOKUP(I7874,FS_input_noty,J7874,FALSE)=""</f>
        <v>0</v>
      </c>
      <c r="H7876" s="6" t="s">
        <v>2189</v>
      </c>
      <c r="I7876" t="s">
        <v>1561</v>
      </c>
      <c r="J7876" t="s">
        <v>1561</v>
      </c>
      <c r="L7876" s="26" t="e">
        <f t="shared" si="480"/>
        <v>#VALUE!</v>
      </c>
    </row>
    <row r="7877" spans="1:12" x14ac:dyDescent="0.35">
      <c r="A7877">
        <f t="shared" si="481"/>
        <v>7876</v>
      </c>
      <c r="B7877" t="s">
        <v>742</v>
      </c>
      <c r="C7877" s="109" t="str">
        <f>IF(ISBLANK(K7877),IFERROR(VLOOKUP(I7877,FS_input_data!$C$458:$N$648,Export!J7877,FALSE),""),K7877)</f>
        <v/>
      </c>
      <c r="D7877" s="6"/>
      <c r="E7877" s="6"/>
      <c r="F7877" s="6"/>
      <c r="G7877" s="115" t="b">
        <f>VLOOKUP(I7874,FS_input_noty,J7874,FALSE)=""</f>
        <v>0</v>
      </c>
      <c r="H7877" s="6" t="s">
        <v>2189</v>
      </c>
      <c r="I7877" t="s">
        <v>1561</v>
      </c>
      <c r="J7877" t="s">
        <v>1561</v>
      </c>
      <c r="L7877" s="26" t="e">
        <f t="shared" si="480"/>
        <v>#VALUE!</v>
      </c>
    </row>
    <row r="7878" spans="1:12" x14ac:dyDescent="0.35">
      <c r="A7878">
        <f t="shared" si="481"/>
        <v>7877</v>
      </c>
      <c r="B7878" t="s">
        <v>748</v>
      </c>
      <c r="C7878" s="109" t="str">
        <f>IF(ISBLANK(K7878),IFERROR(VLOOKUP(I7878,FS_input_data!$C$458:$N$648,Export!J7878,FALSE),""),K7878)</f>
        <v/>
      </c>
      <c r="D7878" s="6"/>
      <c r="E7878" s="6"/>
      <c r="F7878" s="6"/>
      <c r="G7878" s="115" t="b">
        <f>VLOOKUP(I7874,FS_input_noty,J7874,FALSE)=""</f>
        <v>0</v>
      </c>
      <c r="H7878" s="6" t="s">
        <v>2189</v>
      </c>
      <c r="I7878" t="s">
        <v>1561</v>
      </c>
      <c r="J7878" t="s">
        <v>1561</v>
      </c>
      <c r="L7878" s="26" t="e">
        <f t="shared" si="480"/>
        <v>#VALUE!</v>
      </c>
    </row>
    <row r="7879" spans="1:12" x14ac:dyDescent="0.35">
      <c r="A7879" s="9">
        <f t="shared" si="481"/>
        <v>7878</v>
      </c>
      <c r="B7879" t="s">
        <v>109</v>
      </c>
      <c r="C7879" s="109">
        <f>IF(ISBLANK(K7879),IFERROR(VLOOKUP(I7879,FS_input_data!$C$458:$N$648,Export!J7879,FALSE),""),K7879)</f>
        <v>8000</v>
      </c>
      <c r="D7879" s="6" t="b">
        <v>1</v>
      </c>
      <c r="E7879" s="6"/>
      <c r="F7879" s="6"/>
      <c r="G7879" s="115" t="b">
        <f>VLOOKUP(I7874,FS_input_noty,J7874,FALSE)=""</f>
        <v>0</v>
      </c>
      <c r="H7879" s="6" t="s">
        <v>2189</v>
      </c>
      <c r="I7879" t="s">
        <v>2156</v>
      </c>
      <c r="J7879">
        <v>7</v>
      </c>
      <c r="L7879" s="26" t="e">
        <f t="shared" si="480"/>
        <v>#VALUE!</v>
      </c>
    </row>
    <row r="7880" spans="1:12" x14ac:dyDescent="0.35">
      <c r="A7880">
        <f t="shared" si="481"/>
        <v>7879</v>
      </c>
      <c r="B7880" t="s">
        <v>110</v>
      </c>
      <c r="C7880" s="109" t="str">
        <f>IF(ISBLANK(K7880),IFERROR(VLOOKUP(I7880,FS_input_data!$C$458:$N$648,Export!J7880,FALSE),""),K7880)</f>
        <v/>
      </c>
      <c r="D7880" s="6"/>
      <c r="E7880" s="6"/>
      <c r="F7880" s="6"/>
      <c r="G7880" s="115" t="b">
        <f>VLOOKUP(I7874,FS_input_noty,J7874,FALSE)=""</f>
        <v>0</v>
      </c>
      <c r="H7880" s="6" t="s">
        <v>2189</v>
      </c>
      <c r="I7880" t="s">
        <v>1561</v>
      </c>
      <c r="J7880" t="s">
        <v>1561</v>
      </c>
      <c r="L7880">
        <f t="shared" si="480"/>
        <v>1</v>
      </c>
    </row>
    <row r="7881" spans="1:12" x14ac:dyDescent="0.35">
      <c r="A7881" s="9">
        <f t="shared" si="481"/>
        <v>7880</v>
      </c>
      <c r="B7881" t="s">
        <v>111</v>
      </c>
      <c r="C7881" s="109">
        <f>IF(ISBLANK(K7881),IFERROR(VLOOKUP(I7881,FS_input_data!$C$458:$N$648,Export!J7881,FALSE),""),K7881)</f>
        <v>4000</v>
      </c>
      <c r="D7881" s="6" t="b">
        <v>0</v>
      </c>
      <c r="E7881" s="6"/>
      <c r="F7881" s="6"/>
      <c r="G7881" s="115" t="b">
        <f>VLOOKUP(I7874,FS_input_noty,J7874,TRUE)=""</f>
        <v>0</v>
      </c>
      <c r="H7881" s="6" t="s">
        <v>2189</v>
      </c>
      <c r="I7881" t="s">
        <v>2156</v>
      </c>
      <c r="J7881">
        <v>8</v>
      </c>
      <c r="L7881" s="26" t="e">
        <f t="shared" si="480"/>
        <v>#VALUE!</v>
      </c>
    </row>
    <row r="7882" spans="1:12" x14ac:dyDescent="0.35">
      <c r="A7882">
        <f t="shared" si="481"/>
        <v>7881</v>
      </c>
      <c r="B7882" t="s">
        <v>112</v>
      </c>
      <c r="C7882" s="109" t="str">
        <f>IF(ISBLANK(K7882),IFERROR(VLOOKUP(I7882,FS_input_data!$C$458:$N$648,Export!J7882,FALSE),""),K7882)</f>
        <v/>
      </c>
      <c r="D7882" s="6"/>
      <c r="E7882" s="6"/>
      <c r="F7882" s="6"/>
      <c r="G7882" s="115" t="b">
        <f>VLOOKUP(I7874,FS_input_noty,J7874,FALSE)=""</f>
        <v>0</v>
      </c>
      <c r="H7882" s="6" t="s">
        <v>2189</v>
      </c>
      <c r="I7882" t="s">
        <v>1561</v>
      </c>
      <c r="J7882" t="s">
        <v>1561</v>
      </c>
      <c r="L7882">
        <f t="shared" si="480"/>
        <v>1</v>
      </c>
    </row>
    <row r="7883" spans="1:12" x14ac:dyDescent="0.35">
      <c r="A7883" s="9">
        <f t="shared" si="481"/>
        <v>7882</v>
      </c>
      <c r="B7883" t="s">
        <v>749</v>
      </c>
      <c r="C7883" s="109">
        <f>IF(ISBLANK(K7883),IFERROR(VLOOKUP(I7883,FS_input_data!$C$458:$N$648,Export!J7883,FALSE),""),K7883)</f>
        <v>4000</v>
      </c>
      <c r="D7883" s="6" t="b">
        <v>0</v>
      </c>
      <c r="E7883" s="6"/>
      <c r="F7883" s="6"/>
      <c r="G7883" s="115" t="b">
        <f>VLOOKUP(I7874,FS_input_noty,J7874,FALSE)=""</f>
        <v>0</v>
      </c>
      <c r="H7883" s="6" t="s">
        <v>2189</v>
      </c>
      <c r="I7883" t="s">
        <v>2156</v>
      </c>
      <c r="J7883">
        <v>9</v>
      </c>
      <c r="L7883" s="26" t="e">
        <f t="shared" si="480"/>
        <v>#VALUE!</v>
      </c>
    </row>
    <row r="7884" spans="1:12" x14ac:dyDescent="0.35">
      <c r="A7884">
        <f t="shared" si="481"/>
        <v>7883</v>
      </c>
      <c r="B7884" t="s">
        <v>750</v>
      </c>
      <c r="C7884" s="109" t="str">
        <f>IF(ISBLANK(K7884),IFERROR(VLOOKUP(I7884,FS_input_data!$C$458:$N$648,Export!J7884,FALSE),""),K7884)</f>
        <v/>
      </c>
      <c r="D7884" s="6"/>
      <c r="E7884" s="6"/>
      <c r="F7884" s="6"/>
      <c r="G7884" s="115" t="b">
        <f>VLOOKUP(I7874,FS_input_noty,J7874,FALSE)=""</f>
        <v>0</v>
      </c>
      <c r="H7884" s="6" t="s">
        <v>2189</v>
      </c>
      <c r="I7884" t="s">
        <v>1561</v>
      </c>
      <c r="J7884" t="s">
        <v>1561</v>
      </c>
      <c r="L7884">
        <f t="shared" si="480"/>
        <v>1</v>
      </c>
    </row>
    <row r="7885" spans="1:12" x14ac:dyDescent="0.35">
      <c r="A7885">
        <f t="shared" si="481"/>
        <v>7884</v>
      </c>
      <c r="B7885" t="s">
        <v>751</v>
      </c>
      <c r="C7885" s="109" t="str">
        <f>IF(ISBLANK(K7885),IFERROR(VLOOKUP(I7885,FS_input_data!$C$458:$N$648,Export!J7885,FALSE),""),K7885)</f>
        <v/>
      </c>
      <c r="D7885" s="6"/>
      <c r="E7885" s="6"/>
      <c r="F7885" s="6"/>
      <c r="G7885" s="115" t="b">
        <f>VLOOKUP(I7874,FS_input_noty,J7874,FALSE)=""</f>
        <v>0</v>
      </c>
      <c r="H7885" s="6" t="s">
        <v>2189</v>
      </c>
      <c r="I7885" t="s">
        <v>1561</v>
      </c>
      <c r="J7885" t="s">
        <v>1561</v>
      </c>
      <c r="L7885">
        <f t="shared" si="480"/>
        <v>1</v>
      </c>
    </row>
    <row r="7886" spans="1:12" x14ac:dyDescent="0.35">
      <c r="A7886">
        <f t="shared" si="481"/>
        <v>7885</v>
      </c>
      <c r="B7886" t="s">
        <v>754</v>
      </c>
      <c r="C7886" s="109" t="str">
        <f>IF(ISBLANK(K7886),IFERROR(VLOOKUP(I7886,FS_input_data!$C$458:$N$648,Export!J7886,FALSE),""),K7886)</f>
        <v/>
      </c>
      <c r="D7886" s="6"/>
      <c r="E7886" s="6"/>
      <c r="F7886" s="6"/>
      <c r="G7886" s="115" t="b">
        <f>VLOOKUP(I7874,FS_input_noty,J7874,FALSE)=""</f>
        <v>0</v>
      </c>
      <c r="H7886" s="6" t="s">
        <v>2189</v>
      </c>
      <c r="I7886" t="s">
        <v>1561</v>
      </c>
      <c r="J7886" t="s">
        <v>1561</v>
      </c>
      <c r="L7886" s="26" t="e">
        <f t="shared" si="480"/>
        <v>#VALUE!</v>
      </c>
    </row>
    <row r="7887" spans="1:12" x14ac:dyDescent="0.35">
      <c r="A7887" s="9">
        <f t="shared" si="481"/>
        <v>7886</v>
      </c>
      <c r="B7887" t="s">
        <v>755</v>
      </c>
      <c r="C7887" s="109">
        <f>IF(ISBLANK(K7887),IFERROR(VLOOKUP(I7887,FS_input_data!$C$458:$N$648,Export!J7887,FALSE),""),K7887)</f>
        <v>174</v>
      </c>
      <c r="D7887" s="6" t="b">
        <v>1</v>
      </c>
      <c r="E7887" s="6"/>
      <c r="F7887" s="6"/>
      <c r="G7887" s="115" t="b">
        <f>VLOOKUP(I7874,FS_input_noty,J7874,FALSE)=""</f>
        <v>0</v>
      </c>
      <c r="H7887" s="6" t="s">
        <v>2189</v>
      </c>
      <c r="I7887" t="s">
        <v>2156</v>
      </c>
      <c r="J7887">
        <v>2</v>
      </c>
      <c r="L7887" s="26" t="e">
        <f t="shared" si="480"/>
        <v>#VALUE!</v>
      </c>
    </row>
    <row r="7888" spans="1:12" x14ac:dyDescent="0.35">
      <c r="A7888">
        <f t="shared" si="481"/>
        <v>7887</v>
      </c>
      <c r="B7888" t="s">
        <v>756</v>
      </c>
      <c r="C7888" s="109" t="str">
        <f>IF(ISBLANK(K7888),IFERROR(VLOOKUP(I7888,FS_input_data!$C$458:$N$648,Export!J7888,FALSE),""),K7888)</f>
        <v/>
      </c>
      <c r="D7888" s="6"/>
      <c r="E7888" s="6"/>
      <c r="F7888" s="6"/>
      <c r="G7888" s="115" t="b">
        <f>VLOOKUP(I7874,FS_input_noty,J7874,FALSE)=""</f>
        <v>0</v>
      </c>
      <c r="H7888" s="6" t="s">
        <v>2189</v>
      </c>
      <c r="I7888" t="s">
        <v>1561</v>
      </c>
      <c r="J7888" t="s">
        <v>1561</v>
      </c>
      <c r="L7888">
        <f t="shared" si="480"/>
        <v>1</v>
      </c>
    </row>
    <row r="7889" spans="1:12" x14ac:dyDescent="0.35">
      <c r="A7889" s="9">
        <f t="shared" si="481"/>
        <v>7888</v>
      </c>
      <c r="B7889" t="s">
        <v>757</v>
      </c>
      <c r="C7889" s="109">
        <f>IF(ISBLANK(K7889),IFERROR(VLOOKUP(I7889,FS_input_data!$C$458:$N$648,Export!J7889,FALSE),""),K7889)</f>
        <v>274</v>
      </c>
      <c r="D7889" s="6" t="b">
        <v>0</v>
      </c>
      <c r="E7889" s="6"/>
      <c r="F7889" s="6"/>
      <c r="G7889" s="115" t="b">
        <f>VLOOKUP(I7874,FS_input_noty,J7874,FALSE)=""</f>
        <v>0</v>
      </c>
      <c r="H7889" s="6" t="s">
        <v>2189</v>
      </c>
      <c r="I7889" t="s">
        <v>2156</v>
      </c>
      <c r="J7889">
        <v>3</v>
      </c>
      <c r="L7889" s="26" t="e">
        <f t="shared" si="480"/>
        <v>#VALUE!</v>
      </c>
    </row>
    <row r="7890" spans="1:12" x14ac:dyDescent="0.35">
      <c r="A7890">
        <f t="shared" si="481"/>
        <v>7889</v>
      </c>
      <c r="B7890" t="s">
        <v>758</v>
      </c>
      <c r="C7890" s="109" t="str">
        <f>IF(ISBLANK(K7890),IFERROR(VLOOKUP(I7890,FS_input_data!$C$458:$N$648,Export!J7890,FALSE),""),K7890)</f>
        <v/>
      </c>
      <c r="D7890" s="6"/>
      <c r="E7890" s="6"/>
      <c r="F7890" s="6"/>
      <c r="G7890" s="115" t="b">
        <f>VLOOKUP(I7874,FS_input_noty,J7874,FALSE)=""</f>
        <v>0</v>
      </c>
      <c r="H7890" s="6" t="s">
        <v>2189</v>
      </c>
      <c r="I7890" t="s">
        <v>1561</v>
      </c>
      <c r="J7890" t="s">
        <v>1561</v>
      </c>
      <c r="L7890">
        <f t="shared" si="480"/>
        <v>1</v>
      </c>
    </row>
    <row r="7891" spans="1:12" x14ac:dyDescent="0.35">
      <c r="A7891" s="9">
        <f t="shared" si="481"/>
        <v>7890</v>
      </c>
      <c r="B7891" t="s">
        <v>759</v>
      </c>
      <c r="C7891" s="109">
        <f>IF(ISBLANK(K7891),IFERROR(VLOOKUP(I7891,FS_input_data!$C$458:$N$648,Export!J7891,FALSE),""),K7891)</f>
        <v>374</v>
      </c>
      <c r="D7891" s="6" t="b">
        <v>0</v>
      </c>
      <c r="E7891" s="6"/>
      <c r="F7891" s="6"/>
      <c r="G7891" s="115" t="b">
        <f>VLOOKUP(I7874,FS_input_noty,J7874,FALSE)=""</f>
        <v>0</v>
      </c>
      <c r="H7891" s="6" t="s">
        <v>2189</v>
      </c>
      <c r="I7891" t="s">
        <v>2156</v>
      </c>
      <c r="J7891">
        <v>4</v>
      </c>
      <c r="L7891" s="26" t="e">
        <f t="shared" si="480"/>
        <v>#VALUE!</v>
      </c>
    </row>
    <row r="7892" spans="1:12" x14ac:dyDescent="0.35">
      <c r="A7892">
        <f t="shared" si="481"/>
        <v>7891</v>
      </c>
      <c r="B7892" t="s">
        <v>760</v>
      </c>
      <c r="C7892" s="109" t="str">
        <f>IF(ISBLANK(K7892),IFERROR(VLOOKUP(I7892,FS_input_data!$C$458:$N$648,Export!J7892,FALSE),""),K7892)</f>
        <v/>
      </c>
      <c r="D7892" s="6"/>
      <c r="E7892" s="6"/>
      <c r="F7892" s="6"/>
      <c r="G7892" s="115" t="b">
        <f>VLOOKUP(I7874,FS_input_noty,J7874,FALSE)=""</f>
        <v>0</v>
      </c>
      <c r="H7892" s="6" t="s">
        <v>2189</v>
      </c>
      <c r="I7892" t="s">
        <v>1561</v>
      </c>
      <c r="J7892" t="s">
        <v>1561</v>
      </c>
      <c r="L7892">
        <f t="shared" si="480"/>
        <v>1</v>
      </c>
    </row>
    <row r="7893" spans="1:12" x14ac:dyDescent="0.35">
      <c r="A7893" s="9">
        <f t="shared" si="481"/>
        <v>7892</v>
      </c>
      <c r="B7893" t="s">
        <v>761</v>
      </c>
      <c r="C7893" s="109" t="str">
        <f>IF(ISBLANK(K7893),IFERROR(VLOOKUP(I7893,FS_input_data!$C$458:$N$648,Export!J7893,FALSE),""),K7893)</f>
        <v>f</v>
      </c>
      <c r="D7893" s="6" t="b">
        <v>0</v>
      </c>
      <c r="E7893" s="6"/>
      <c r="F7893" s="6"/>
      <c r="G7893" s="115" t="b">
        <f>VLOOKUP(I7874,FS_input_noty,J7874,FALSE)=""</f>
        <v>0</v>
      </c>
      <c r="H7893" s="6" t="s">
        <v>2189</v>
      </c>
      <c r="I7893" t="s">
        <v>2156</v>
      </c>
      <c r="J7893">
        <v>5</v>
      </c>
      <c r="L7893" s="26" t="e">
        <f t="shared" si="480"/>
        <v>#VALUE!</v>
      </c>
    </row>
    <row r="7894" spans="1:12" x14ac:dyDescent="0.35">
      <c r="A7894">
        <f t="shared" si="481"/>
        <v>7893</v>
      </c>
      <c r="B7894" t="s">
        <v>762</v>
      </c>
      <c r="C7894" s="109" t="str">
        <f>IF(ISBLANK(K7894),IFERROR(VLOOKUP(I7894,FS_input_data!$C$458:$N$648,Export!J7894,FALSE),""),K7894)</f>
        <v/>
      </c>
      <c r="D7894" s="6"/>
      <c r="E7894" s="6"/>
      <c r="F7894" s="6"/>
      <c r="G7894" s="115" t="b">
        <f>VLOOKUP(I7874,FS_input_noty,J7874,FALSE)=""</f>
        <v>0</v>
      </c>
      <c r="H7894" s="6" t="s">
        <v>2189</v>
      </c>
      <c r="I7894" t="s">
        <v>1561</v>
      </c>
      <c r="J7894" t="s">
        <v>1561</v>
      </c>
      <c r="L7894">
        <f t="shared" si="480"/>
        <v>1</v>
      </c>
    </row>
    <row r="7895" spans="1:12" x14ac:dyDescent="0.35">
      <c r="A7895">
        <f t="shared" si="481"/>
        <v>7894</v>
      </c>
      <c r="B7895" t="s">
        <v>763</v>
      </c>
      <c r="C7895" s="109" t="str">
        <f>IF(ISBLANK(K7895),IFERROR(VLOOKUP(I7895,FS_input_data!$C$458:$N$648,Export!J7895,FALSE),""),K7895)</f>
        <v/>
      </c>
      <c r="D7895" s="6"/>
      <c r="E7895" s="6"/>
      <c r="F7895" s="6"/>
      <c r="G7895" s="115" t="b">
        <f>VLOOKUP(I7874,FS_input_noty,J7874,FALSE)=""</f>
        <v>0</v>
      </c>
      <c r="H7895" s="6" t="s">
        <v>2189</v>
      </c>
      <c r="I7895" t="s">
        <v>1561</v>
      </c>
      <c r="J7895" t="s">
        <v>1561</v>
      </c>
      <c r="L7895">
        <f t="shared" si="480"/>
        <v>1</v>
      </c>
    </row>
    <row r="7896" spans="1:12" x14ac:dyDescent="0.35">
      <c r="A7896">
        <f t="shared" si="481"/>
        <v>7895</v>
      </c>
      <c r="B7896" t="s">
        <v>743</v>
      </c>
      <c r="C7896" s="109" t="str">
        <f>IF(ISBLANK(K7896),IFERROR(VLOOKUP(I7896,FS_input_data!$C$458:$N$648,Export!J7896,FALSE),""),K7896)</f>
        <v/>
      </c>
      <c r="D7896" s="6"/>
      <c r="E7896" s="6"/>
      <c r="F7896" s="6"/>
      <c r="G7896" s="115" t="b">
        <f>VLOOKUP(I7874,FS_input_noty,J7874,FALSE)=""</f>
        <v>0</v>
      </c>
      <c r="H7896" s="6" t="s">
        <v>2189</v>
      </c>
      <c r="I7896" t="s">
        <v>1561</v>
      </c>
      <c r="J7896" t="s">
        <v>1561</v>
      </c>
      <c r="L7896">
        <f t="shared" si="480"/>
        <v>1</v>
      </c>
    </row>
    <row r="7897" spans="1:12" x14ac:dyDescent="0.35">
      <c r="A7897">
        <f t="shared" si="481"/>
        <v>7896</v>
      </c>
      <c r="B7897" t="s">
        <v>744</v>
      </c>
      <c r="C7897" s="109" t="str">
        <f>IF(ISBLANK(K7897),IFERROR(VLOOKUP(I7897,FS_input_data!$C$458:$N$648,Export!J7897,FALSE),""),K7897)</f>
        <v/>
      </c>
      <c r="D7897" s="6"/>
      <c r="E7897" s="6"/>
      <c r="F7897" s="6"/>
      <c r="G7897" s="115" t="b">
        <f t="shared" ref="G7897:G7904" si="482">RP_tax</f>
        <v>1</v>
      </c>
      <c r="H7897" s="6" t="s">
        <v>2189</v>
      </c>
      <c r="I7897" t="s">
        <v>1561</v>
      </c>
      <c r="J7897" t="s">
        <v>1561</v>
      </c>
      <c r="L7897" s="26" t="e">
        <f t="shared" si="480"/>
        <v>#VALUE!</v>
      </c>
    </row>
    <row r="7898" spans="1:12" x14ac:dyDescent="0.35">
      <c r="A7898" s="9">
        <f t="shared" si="481"/>
        <v>7897</v>
      </c>
      <c r="B7898" t="s">
        <v>109</v>
      </c>
      <c r="C7898" s="109">
        <f>IF(ISBLANK(K7898),IFERROR(VLOOKUP(I7898,FS_input_data!$C$458:$N$648,Export!J7898,FALSE),""),K7898)</f>
        <v>8000</v>
      </c>
      <c r="D7898" s="6" t="b">
        <v>1</v>
      </c>
      <c r="E7898" s="6"/>
      <c r="F7898" s="6"/>
      <c r="G7898" s="115" t="b">
        <f t="shared" si="482"/>
        <v>1</v>
      </c>
      <c r="H7898" s="6" t="s">
        <v>2189</v>
      </c>
      <c r="I7898" t="s">
        <v>2156</v>
      </c>
      <c r="J7898">
        <v>10</v>
      </c>
      <c r="L7898" s="26" t="e">
        <f t="shared" si="480"/>
        <v>#VALUE!</v>
      </c>
    </row>
    <row r="7899" spans="1:12" x14ac:dyDescent="0.35">
      <c r="A7899">
        <f t="shared" si="481"/>
        <v>7898</v>
      </c>
      <c r="B7899" t="s">
        <v>110</v>
      </c>
      <c r="C7899" s="109" t="str">
        <f>IF(ISBLANK(K7899),IFERROR(VLOOKUP(I7899,FS_input_data!$C$458:$N$648,Export!J7899,FALSE),""),K7899)</f>
        <v/>
      </c>
      <c r="D7899" s="6"/>
      <c r="E7899" s="6"/>
      <c r="F7899" s="6"/>
      <c r="G7899" s="115" t="b">
        <f t="shared" si="482"/>
        <v>1</v>
      </c>
      <c r="H7899" s="6" t="s">
        <v>2189</v>
      </c>
      <c r="I7899" t="s">
        <v>1561</v>
      </c>
      <c r="J7899" t="s">
        <v>1561</v>
      </c>
      <c r="L7899">
        <f t="shared" si="480"/>
        <v>1</v>
      </c>
    </row>
    <row r="7900" spans="1:12" x14ac:dyDescent="0.35">
      <c r="A7900" s="9">
        <f t="shared" si="481"/>
        <v>7899</v>
      </c>
      <c r="B7900" t="s">
        <v>111</v>
      </c>
      <c r="C7900" s="109">
        <f>IF(ISBLANK(K7900),IFERROR(VLOOKUP(I7900,FS_input_data!$C$458:$N$648,Export!J7900,FALSE),""),K7900)</f>
        <v>4000</v>
      </c>
      <c r="D7900" s="6" t="b">
        <v>0</v>
      </c>
      <c r="E7900" s="6"/>
      <c r="F7900" s="6"/>
      <c r="G7900" s="115" t="b">
        <f t="shared" si="482"/>
        <v>1</v>
      </c>
      <c r="H7900" s="6" t="s">
        <v>2189</v>
      </c>
      <c r="I7900" t="s">
        <v>2156</v>
      </c>
      <c r="J7900">
        <v>11</v>
      </c>
      <c r="L7900" s="26" t="e">
        <f t="shared" si="480"/>
        <v>#VALUE!</v>
      </c>
    </row>
    <row r="7901" spans="1:12" x14ac:dyDescent="0.35">
      <c r="A7901">
        <f t="shared" si="481"/>
        <v>7900</v>
      </c>
      <c r="B7901" t="s">
        <v>112</v>
      </c>
      <c r="C7901" s="109" t="str">
        <f>IF(ISBLANK(K7901),IFERROR(VLOOKUP(I7901,FS_input_data!$C$458:$N$648,Export!J7901,FALSE),""),K7901)</f>
        <v/>
      </c>
      <c r="D7901" s="6"/>
      <c r="E7901" s="6"/>
      <c r="F7901" s="6"/>
      <c r="G7901" s="115" t="b">
        <f t="shared" si="482"/>
        <v>1</v>
      </c>
      <c r="H7901" s="6" t="s">
        <v>2189</v>
      </c>
      <c r="I7901" t="s">
        <v>1561</v>
      </c>
      <c r="J7901" t="s">
        <v>1561</v>
      </c>
      <c r="L7901">
        <f t="shared" si="480"/>
        <v>1</v>
      </c>
    </row>
    <row r="7902" spans="1:12" x14ac:dyDescent="0.35">
      <c r="A7902" s="9">
        <f t="shared" si="481"/>
        <v>7901</v>
      </c>
      <c r="B7902" t="s">
        <v>749</v>
      </c>
      <c r="C7902" s="109">
        <f>IF(ISBLANK(K7902),IFERROR(VLOOKUP(I7902,FS_input_data!$C$458:$N$648,Export!J7902,FALSE),""),K7902)</f>
        <v>4000</v>
      </c>
      <c r="D7902" s="6" t="b">
        <v>0</v>
      </c>
      <c r="E7902" s="6"/>
      <c r="F7902" s="6"/>
      <c r="G7902" s="115" t="b">
        <f t="shared" si="482"/>
        <v>1</v>
      </c>
      <c r="H7902" s="6" t="s">
        <v>2189</v>
      </c>
      <c r="I7902" t="s">
        <v>2156</v>
      </c>
      <c r="J7902">
        <v>12</v>
      </c>
      <c r="L7902" s="26" t="e">
        <f t="shared" si="480"/>
        <v>#VALUE!</v>
      </c>
    </row>
    <row r="7903" spans="1:12" x14ac:dyDescent="0.35">
      <c r="A7903">
        <f t="shared" si="481"/>
        <v>7902</v>
      </c>
      <c r="B7903" t="s">
        <v>750</v>
      </c>
      <c r="C7903" s="109" t="str">
        <f>IF(ISBLANK(K7903),IFERROR(VLOOKUP(I7903,FS_input_data!$C$458:$N$648,Export!J7903,FALSE),""),K7903)</f>
        <v/>
      </c>
      <c r="D7903" s="6"/>
      <c r="E7903" s="6"/>
      <c r="F7903" s="6"/>
      <c r="G7903" s="115" t="b">
        <f t="shared" si="482"/>
        <v>1</v>
      </c>
      <c r="H7903" s="6" t="s">
        <v>2189</v>
      </c>
      <c r="I7903" t="s">
        <v>1561</v>
      </c>
      <c r="J7903" t="s">
        <v>1561</v>
      </c>
      <c r="L7903">
        <f t="shared" si="480"/>
        <v>1</v>
      </c>
    </row>
    <row r="7904" spans="1:12" x14ac:dyDescent="0.35">
      <c r="A7904">
        <f t="shared" si="481"/>
        <v>7903</v>
      </c>
      <c r="B7904" t="s">
        <v>745</v>
      </c>
      <c r="C7904" s="109" t="str">
        <f>IF(ISBLANK(K7904),IFERROR(VLOOKUP(I7904,FS_input_data!$C$458:$N$648,Export!J7904,FALSE),""),K7904)</f>
        <v/>
      </c>
      <c r="D7904" s="6"/>
      <c r="E7904" s="6"/>
      <c r="F7904" s="6"/>
      <c r="G7904" s="115" t="b">
        <f t="shared" si="482"/>
        <v>1</v>
      </c>
      <c r="H7904" s="6" t="s">
        <v>2189</v>
      </c>
      <c r="I7904" t="s">
        <v>1561</v>
      </c>
      <c r="J7904" t="s">
        <v>1561</v>
      </c>
      <c r="L7904">
        <f t="shared" si="480"/>
        <v>1</v>
      </c>
    </row>
    <row r="7905" spans="1:12" x14ac:dyDescent="0.35">
      <c r="A7905">
        <f t="shared" si="481"/>
        <v>7904</v>
      </c>
      <c r="B7905" t="s">
        <v>764</v>
      </c>
      <c r="C7905" s="109" t="str">
        <f>IF(ISBLANK(K7905),IFERROR(VLOOKUP(I7905,FS_input_data!$C$458:$N$648,Export!J7905,FALSE),""),K7905)</f>
        <v/>
      </c>
      <c r="D7905" s="6"/>
      <c r="E7905" s="6"/>
      <c r="F7905" s="6"/>
      <c r="G7905" s="115" t="b">
        <f>VLOOKUP(I7874,FS_input_noty,J7874,FALSE)=""</f>
        <v>0</v>
      </c>
      <c r="H7905" s="6" t="s">
        <v>2189</v>
      </c>
      <c r="I7905" t="s">
        <v>1561</v>
      </c>
      <c r="J7905" t="s">
        <v>1561</v>
      </c>
      <c r="L7905">
        <f t="shared" si="480"/>
        <v>1</v>
      </c>
    </row>
    <row r="7906" spans="1:12" x14ac:dyDescent="0.35">
      <c r="A7906">
        <f t="shared" si="481"/>
        <v>7905</v>
      </c>
      <c r="B7906" t="s">
        <v>765</v>
      </c>
      <c r="C7906" s="109" t="str">
        <f>IF(ISBLANK(K7906),IFERROR(VLOOKUP(I7906,FS_input_data!$C$458:$N$648,Export!J7906,FALSE),""),K7906)</f>
        <v/>
      </c>
      <c r="D7906" s="6"/>
      <c r="E7906" s="6"/>
      <c r="F7906" s="6"/>
      <c r="G7906" s="115" t="b">
        <f>VLOOKUP(I7874,FS_input_noty,J7874,FALSE)=""</f>
        <v>0</v>
      </c>
      <c r="H7906" s="6" t="s">
        <v>2189</v>
      </c>
      <c r="I7906" t="s">
        <v>1561</v>
      </c>
      <c r="J7906" t="s">
        <v>1561</v>
      </c>
      <c r="L7906">
        <f t="shared" si="480"/>
        <v>1</v>
      </c>
    </row>
    <row r="7907" spans="1:12" x14ac:dyDescent="0.35">
      <c r="A7907">
        <f t="shared" si="481"/>
        <v>7906</v>
      </c>
      <c r="B7907" t="s">
        <v>752</v>
      </c>
      <c r="C7907" s="109" t="str">
        <f>IF(ISBLANK(K7907),IFERROR(VLOOKUP(I7907,FS_input_data!$C$458:$N$648,Export!J7907,FALSE),""),K7907)</f>
        <v/>
      </c>
      <c r="D7907" s="6"/>
      <c r="E7907" s="6"/>
      <c r="F7907" s="6"/>
      <c r="G7907" s="115" t="b">
        <f>VLOOKUP(I7908,FS_input_noty,J7908,FALSE)=""</f>
        <v>0</v>
      </c>
      <c r="H7907" s="6" t="s">
        <v>2189</v>
      </c>
      <c r="I7907" t="s">
        <v>1561</v>
      </c>
      <c r="J7907" t="s">
        <v>1561</v>
      </c>
      <c r="L7907" s="26" t="e">
        <f t="shared" si="480"/>
        <v>#VALUE!</v>
      </c>
    </row>
    <row r="7908" spans="1:12" x14ac:dyDescent="0.35">
      <c r="A7908" s="9">
        <f t="shared" si="481"/>
        <v>7907</v>
      </c>
      <c r="B7908" t="s">
        <v>101</v>
      </c>
      <c r="C7908" s="109" t="str">
        <f>IF(ISBLANK(K7908),IFERROR(VLOOKUP(I7908,FS_input_data!$C$458:$N$648,Export!J7908,FALSE),""),K7908)</f>
        <v>OC152</v>
      </c>
      <c r="D7908" s="6" t="b">
        <v>1</v>
      </c>
      <c r="E7908" s="6"/>
      <c r="F7908" s="6"/>
      <c r="G7908" s="115" t="b">
        <f>VLOOKUP(I7908,FS_input_noty,J7908,FALSE)=""</f>
        <v>0</v>
      </c>
      <c r="H7908" s="6" t="s">
        <v>2189</v>
      </c>
      <c r="I7908" t="s">
        <v>2158</v>
      </c>
      <c r="J7908">
        <v>6</v>
      </c>
      <c r="L7908" s="26" t="e">
        <f t="shared" si="480"/>
        <v>#VALUE!</v>
      </c>
    </row>
    <row r="7909" spans="1:12" x14ac:dyDescent="0.35">
      <c r="A7909">
        <f t="shared" si="481"/>
        <v>7908</v>
      </c>
      <c r="B7909" t="s">
        <v>102</v>
      </c>
      <c r="C7909" s="109" t="str">
        <f>IF(ISBLANK(K7909),IFERROR(VLOOKUP(I7909,FS_input_data!$C$458:$N$648,Export!J7909,FALSE),""),K7909)</f>
        <v/>
      </c>
      <c r="D7909" s="6"/>
      <c r="E7909" s="6"/>
      <c r="F7909" s="6"/>
      <c r="G7909" s="115" t="b">
        <f>VLOOKUP(I7908,FS_input_noty,J7908,FALSE)=""</f>
        <v>0</v>
      </c>
      <c r="H7909" s="6" t="s">
        <v>2189</v>
      </c>
      <c r="I7909" t="s">
        <v>1561</v>
      </c>
      <c r="J7909" t="s">
        <v>1561</v>
      </c>
      <c r="L7909">
        <f t="shared" si="480"/>
        <v>1</v>
      </c>
    </row>
    <row r="7910" spans="1:12" x14ac:dyDescent="0.35">
      <c r="A7910">
        <f t="shared" si="481"/>
        <v>7909</v>
      </c>
      <c r="B7910" t="s">
        <v>753</v>
      </c>
      <c r="C7910" s="109" t="str">
        <f>IF(ISBLANK(K7910),IFERROR(VLOOKUP(I7910,FS_input_data!$C$458:$N$648,Export!J7910,FALSE),""),K7910)</f>
        <v/>
      </c>
      <c r="D7910" s="6"/>
      <c r="E7910" s="6"/>
      <c r="F7910" s="6"/>
      <c r="G7910" s="115" t="b">
        <f>VLOOKUP(I7908,FS_input_noty,J7908,FALSE)=""</f>
        <v>0</v>
      </c>
      <c r="H7910" s="6" t="s">
        <v>2189</v>
      </c>
      <c r="I7910" t="s">
        <v>1561</v>
      </c>
      <c r="J7910" t="s">
        <v>1561</v>
      </c>
      <c r="L7910" s="26" t="e">
        <f t="shared" si="480"/>
        <v>#VALUE!</v>
      </c>
    </row>
    <row r="7911" spans="1:12" x14ac:dyDescent="0.35">
      <c r="A7911">
        <f t="shared" si="481"/>
        <v>7910</v>
      </c>
      <c r="B7911" t="s">
        <v>742</v>
      </c>
      <c r="C7911" s="109" t="str">
        <f>IF(ISBLANK(K7911),IFERROR(VLOOKUP(I7911,FS_input_data!$C$458:$N$648,Export!J7911,FALSE),""),K7911)</f>
        <v/>
      </c>
      <c r="D7911" s="6"/>
      <c r="E7911" s="6"/>
      <c r="F7911" s="6"/>
      <c r="G7911" s="115" t="b">
        <f>VLOOKUP(I7908,FS_input_noty,J7908,FALSE)=""</f>
        <v>0</v>
      </c>
      <c r="H7911" s="6" t="s">
        <v>2189</v>
      </c>
      <c r="I7911" t="s">
        <v>1561</v>
      </c>
      <c r="J7911" t="s">
        <v>1561</v>
      </c>
      <c r="L7911" s="26" t="e">
        <f t="shared" si="480"/>
        <v>#VALUE!</v>
      </c>
    </row>
    <row r="7912" spans="1:12" x14ac:dyDescent="0.35">
      <c r="A7912">
        <f t="shared" si="481"/>
        <v>7911</v>
      </c>
      <c r="B7912" t="s">
        <v>748</v>
      </c>
      <c r="C7912" s="109" t="str">
        <f>IF(ISBLANK(K7912),IFERROR(VLOOKUP(I7912,FS_input_data!$C$458:$N$648,Export!J7912,FALSE),""),K7912)</f>
        <v/>
      </c>
      <c r="D7912" s="6"/>
      <c r="E7912" s="6"/>
      <c r="F7912" s="6"/>
      <c r="G7912" s="115" t="b">
        <f>VLOOKUP(I7908,FS_input_noty,J7908,FALSE)=""</f>
        <v>0</v>
      </c>
      <c r="H7912" s="6" t="s">
        <v>2189</v>
      </c>
      <c r="I7912" t="s">
        <v>1561</v>
      </c>
      <c r="J7912" t="s">
        <v>1561</v>
      </c>
      <c r="L7912" s="26" t="e">
        <f t="shared" si="480"/>
        <v>#VALUE!</v>
      </c>
    </row>
    <row r="7913" spans="1:12" x14ac:dyDescent="0.35">
      <c r="A7913" s="9">
        <f t="shared" si="481"/>
        <v>7912</v>
      </c>
      <c r="B7913" t="s">
        <v>109</v>
      </c>
      <c r="C7913" s="109">
        <f>IF(ISBLANK(K7913),IFERROR(VLOOKUP(I7913,FS_input_data!$C$458:$N$648,Export!J7913,FALSE),""),K7913)</f>
        <v>9000</v>
      </c>
      <c r="D7913" s="6" t="b">
        <v>1</v>
      </c>
      <c r="E7913" s="6"/>
      <c r="F7913" s="6"/>
      <c r="G7913" s="115" t="b">
        <f>VLOOKUP(I7908,FS_input_noty,J7908,FALSE)=""</f>
        <v>0</v>
      </c>
      <c r="H7913" s="6" t="s">
        <v>2189</v>
      </c>
      <c r="I7913" t="s">
        <v>2158</v>
      </c>
      <c r="J7913">
        <v>7</v>
      </c>
      <c r="L7913" s="26" t="e">
        <f t="shared" si="480"/>
        <v>#VALUE!</v>
      </c>
    </row>
    <row r="7914" spans="1:12" x14ac:dyDescent="0.35">
      <c r="A7914">
        <f t="shared" si="481"/>
        <v>7913</v>
      </c>
      <c r="B7914" t="s">
        <v>110</v>
      </c>
      <c r="C7914" s="109" t="str">
        <f>IF(ISBLANK(K7914),IFERROR(VLOOKUP(I7914,FS_input_data!$C$458:$N$648,Export!J7914,FALSE),""),K7914)</f>
        <v/>
      </c>
      <c r="D7914" s="6"/>
      <c r="E7914" s="6"/>
      <c r="F7914" s="6"/>
      <c r="G7914" s="115" t="b">
        <f>VLOOKUP(I7908,FS_input_noty,J7908,FALSE)=""</f>
        <v>0</v>
      </c>
      <c r="H7914" s="6" t="s">
        <v>2189</v>
      </c>
      <c r="I7914" t="s">
        <v>1561</v>
      </c>
      <c r="J7914" t="s">
        <v>1561</v>
      </c>
      <c r="L7914">
        <f t="shared" si="480"/>
        <v>1</v>
      </c>
    </row>
    <row r="7915" spans="1:12" x14ac:dyDescent="0.35">
      <c r="A7915" s="9">
        <f t="shared" si="481"/>
        <v>7914</v>
      </c>
      <c r="B7915" t="s">
        <v>111</v>
      </c>
      <c r="C7915" s="109">
        <f>IF(ISBLANK(K7915),IFERROR(VLOOKUP(I7915,FS_input_data!$C$458:$N$648,Export!J7915,FALSE),""),K7915)</f>
        <v>4500</v>
      </c>
      <c r="D7915" s="6" t="b">
        <v>0</v>
      </c>
      <c r="E7915" s="6"/>
      <c r="F7915" s="6"/>
      <c r="G7915" s="115" t="b">
        <f>VLOOKUP(I7908,FS_input_noty,J7908,TRUE)=""</f>
        <v>0</v>
      </c>
      <c r="H7915" s="6" t="s">
        <v>2189</v>
      </c>
      <c r="I7915" t="s">
        <v>2158</v>
      </c>
      <c r="J7915">
        <v>8</v>
      </c>
      <c r="L7915" s="26" t="e">
        <f t="shared" si="480"/>
        <v>#VALUE!</v>
      </c>
    </row>
    <row r="7916" spans="1:12" x14ac:dyDescent="0.35">
      <c r="A7916">
        <f t="shared" si="481"/>
        <v>7915</v>
      </c>
      <c r="B7916" t="s">
        <v>112</v>
      </c>
      <c r="C7916" s="109" t="str">
        <f>IF(ISBLANK(K7916),IFERROR(VLOOKUP(I7916,FS_input_data!$C$458:$N$648,Export!J7916,FALSE),""),K7916)</f>
        <v/>
      </c>
      <c r="D7916" s="6"/>
      <c r="E7916" s="6"/>
      <c r="F7916" s="6"/>
      <c r="G7916" s="115" t="b">
        <f>VLOOKUP(I7908,FS_input_noty,J7908,FALSE)=""</f>
        <v>0</v>
      </c>
      <c r="H7916" s="6" t="s">
        <v>2189</v>
      </c>
      <c r="I7916" t="s">
        <v>1561</v>
      </c>
      <c r="J7916" t="s">
        <v>1561</v>
      </c>
      <c r="L7916">
        <f t="shared" si="480"/>
        <v>1</v>
      </c>
    </row>
    <row r="7917" spans="1:12" x14ac:dyDescent="0.35">
      <c r="A7917" s="9">
        <f t="shared" si="481"/>
        <v>7916</v>
      </c>
      <c r="B7917" t="s">
        <v>749</v>
      </c>
      <c r="C7917" s="109">
        <f>IF(ISBLANK(K7917),IFERROR(VLOOKUP(I7917,FS_input_data!$C$458:$N$648,Export!J7917,FALSE),""),K7917)</f>
        <v>4500</v>
      </c>
      <c r="D7917" s="6" t="b">
        <v>0</v>
      </c>
      <c r="E7917" s="6"/>
      <c r="F7917" s="6"/>
      <c r="G7917" s="115" t="b">
        <f>VLOOKUP(I7908,FS_input_noty,J7908,FALSE)=""</f>
        <v>0</v>
      </c>
      <c r="H7917" s="6" t="s">
        <v>2189</v>
      </c>
      <c r="I7917" t="s">
        <v>2158</v>
      </c>
      <c r="J7917">
        <v>9</v>
      </c>
      <c r="L7917" s="26" t="e">
        <f t="shared" si="480"/>
        <v>#VALUE!</v>
      </c>
    </row>
    <row r="7918" spans="1:12" x14ac:dyDescent="0.35">
      <c r="A7918">
        <f t="shared" si="481"/>
        <v>7917</v>
      </c>
      <c r="B7918" t="s">
        <v>750</v>
      </c>
      <c r="C7918" s="109" t="str">
        <f>IF(ISBLANK(K7918),IFERROR(VLOOKUP(I7918,FS_input_data!$C$458:$N$648,Export!J7918,FALSE),""),K7918)</f>
        <v/>
      </c>
      <c r="D7918" s="6"/>
      <c r="E7918" s="6"/>
      <c r="F7918" s="6"/>
      <c r="G7918" s="115" t="b">
        <f>VLOOKUP(I7908,FS_input_noty,J7908,FALSE)=""</f>
        <v>0</v>
      </c>
      <c r="H7918" s="6" t="s">
        <v>2189</v>
      </c>
      <c r="I7918" t="s">
        <v>1561</v>
      </c>
      <c r="J7918" t="s">
        <v>1561</v>
      </c>
      <c r="L7918">
        <f t="shared" si="480"/>
        <v>1</v>
      </c>
    </row>
    <row r="7919" spans="1:12" x14ac:dyDescent="0.35">
      <c r="A7919">
        <f t="shared" si="481"/>
        <v>7918</v>
      </c>
      <c r="B7919" t="s">
        <v>751</v>
      </c>
      <c r="C7919" s="109" t="str">
        <f>IF(ISBLANK(K7919),IFERROR(VLOOKUP(I7919,FS_input_data!$C$458:$N$648,Export!J7919,FALSE),""),K7919)</f>
        <v/>
      </c>
      <c r="D7919" s="6"/>
      <c r="E7919" s="6"/>
      <c r="F7919" s="6"/>
      <c r="G7919" s="115" t="b">
        <f>VLOOKUP(I7908,FS_input_noty,J7908,FALSE)=""</f>
        <v>0</v>
      </c>
      <c r="H7919" s="6" t="s">
        <v>2189</v>
      </c>
      <c r="I7919" t="s">
        <v>1561</v>
      </c>
      <c r="J7919" t="s">
        <v>1561</v>
      </c>
      <c r="L7919">
        <f t="shared" si="480"/>
        <v>1</v>
      </c>
    </row>
    <row r="7920" spans="1:12" x14ac:dyDescent="0.35">
      <c r="A7920">
        <f t="shared" si="481"/>
        <v>7919</v>
      </c>
      <c r="B7920" t="s">
        <v>754</v>
      </c>
      <c r="C7920" s="109" t="str">
        <f>IF(ISBLANK(K7920),IFERROR(VLOOKUP(I7920,FS_input_data!$C$458:$N$648,Export!J7920,FALSE),""),K7920)</f>
        <v/>
      </c>
      <c r="D7920" s="6"/>
      <c r="E7920" s="6"/>
      <c r="F7920" s="6"/>
      <c r="G7920" s="115" t="b">
        <f>VLOOKUP(I7908,FS_input_noty,J7908,FALSE)=""</f>
        <v>0</v>
      </c>
      <c r="H7920" s="6" t="s">
        <v>2189</v>
      </c>
      <c r="I7920" t="s">
        <v>1561</v>
      </c>
      <c r="J7920" t="s">
        <v>1561</v>
      </c>
      <c r="L7920" s="26" t="e">
        <f t="shared" si="480"/>
        <v>#VALUE!</v>
      </c>
    </row>
    <row r="7921" spans="1:12" x14ac:dyDescent="0.35">
      <c r="A7921" s="9">
        <f t="shared" si="481"/>
        <v>7920</v>
      </c>
      <c r="B7921" t="s">
        <v>755</v>
      </c>
      <c r="C7921" s="109">
        <f>IF(ISBLANK(K7921),IFERROR(VLOOKUP(I7921,FS_input_data!$C$458:$N$648,Export!J7921,FALSE),""),K7921)</f>
        <v>175</v>
      </c>
      <c r="D7921" s="6" t="b">
        <v>1</v>
      </c>
      <c r="E7921" s="6"/>
      <c r="F7921" s="6"/>
      <c r="G7921" s="115" t="b">
        <f>VLOOKUP(I7908,FS_input_noty,J7908,FALSE)=""</f>
        <v>0</v>
      </c>
      <c r="H7921" s="6" t="s">
        <v>2189</v>
      </c>
      <c r="I7921" t="s">
        <v>2158</v>
      </c>
      <c r="J7921">
        <v>2</v>
      </c>
      <c r="L7921" s="26" t="e">
        <f t="shared" si="480"/>
        <v>#VALUE!</v>
      </c>
    </row>
    <row r="7922" spans="1:12" x14ac:dyDescent="0.35">
      <c r="A7922">
        <f t="shared" si="481"/>
        <v>7921</v>
      </c>
      <c r="B7922" t="s">
        <v>756</v>
      </c>
      <c r="C7922" s="109" t="str">
        <f>IF(ISBLANK(K7922),IFERROR(VLOOKUP(I7922,FS_input_data!$C$458:$N$648,Export!J7922,FALSE),""),K7922)</f>
        <v/>
      </c>
      <c r="D7922" s="6"/>
      <c r="E7922" s="6"/>
      <c r="F7922" s="6"/>
      <c r="G7922" s="115" t="b">
        <f>VLOOKUP(I7908,FS_input_noty,J7908,FALSE)=""</f>
        <v>0</v>
      </c>
      <c r="H7922" s="6" t="s">
        <v>2189</v>
      </c>
      <c r="I7922" t="s">
        <v>1561</v>
      </c>
      <c r="J7922" t="s">
        <v>1561</v>
      </c>
      <c r="L7922">
        <f t="shared" si="480"/>
        <v>1</v>
      </c>
    </row>
    <row r="7923" spans="1:12" x14ac:dyDescent="0.35">
      <c r="A7923" s="9">
        <f t="shared" si="481"/>
        <v>7922</v>
      </c>
      <c r="B7923" t="s">
        <v>757</v>
      </c>
      <c r="C7923" s="109">
        <f>IF(ISBLANK(K7923),IFERROR(VLOOKUP(I7923,FS_input_data!$C$458:$N$648,Export!J7923,FALSE),""),K7923)</f>
        <v>275</v>
      </c>
      <c r="D7923" s="6" t="b">
        <v>0</v>
      </c>
      <c r="E7923" s="6"/>
      <c r="F7923" s="6"/>
      <c r="G7923" s="115" t="b">
        <f>VLOOKUP(I7908,FS_input_noty,J7908,FALSE)=""</f>
        <v>0</v>
      </c>
      <c r="H7923" s="6" t="s">
        <v>2189</v>
      </c>
      <c r="I7923" t="s">
        <v>2158</v>
      </c>
      <c r="J7923">
        <v>3</v>
      </c>
      <c r="L7923" s="26" t="e">
        <f t="shared" si="480"/>
        <v>#VALUE!</v>
      </c>
    </row>
    <row r="7924" spans="1:12" x14ac:dyDescent="0.35">
      <c r="A7924">
        <f t="shared" si="481"/>
        <v>7923</v>
      </c>
      <c r="B7924" t="s">
        <v>758</v>
      </c>
      <c r="C7924" s="109" t="str">
        <f>IF(ISBLANK(K7924),IFERROR(VLOOKUP(I7924,FS_input_data!$C$458:$N$648,Export!J7924,FALSE),""),K7924)</f>
        <v/>
      </c>
      <c r="D7924" s="6"/>
      <c r="E7924" s="6"/>
      <c r="F7924" s="6"/>
      <c r="G7924" s="115" t="b">
        <f>VLOOKUP(I7908,FS_input_noty,J7908,FALSE)=""</f>
        <v>0</v>
      </c>
      <c r="H7924" s="6" t="s">
        <v>2189</v>
      </c>
      <c r="I7924" t="s">
        <v>1561</v>
      </c>
      <c r="J7924" t="s">
        <v>1561</v>
      </c>
      <c r="L7924">
        <f t="shared" si="480"/>
        <v>1</v>
      </c>
    </row>
    <row r="7925" spans="1:12" x14ac:dyDescent="0.35">
      <c r="A7925" s="9">
        <f t="shared" si="481"/>
        <v>7924</v>
      </c>
      <c r="B7925" t="s">
        <v>759</v>
      </c>
      <c r="C7925" s="109">
        <f>IF(ISBLANK(K7925),IFERROR(VLOOKUP(I7925,FS_input_data!$C$458:$N$648,Export!J7925,FALSE),""),K7925)</f>
        <v>375</v>
      </c>
      <c r="D7925" s="6" t="b">
        <v>0</v>
      </c>
      <c r="E7925" s="6"/>
      <c r="F7925" s="6"/>
      <c r="G7925" s="115" t="b">
        <f>VLOOKUP(I7908,FS_input_noty,J7908,FALSE)=""</f>
        <v>0</v>
      </c>
      <c r="H7925" s="6" t="s">
        <v>2189</v>
      </c>
      <c r="I7925" t="s">
        <v>2158</v>
      </c>
      <c r="J7925">
        <v>4</v>
      </c>
      <c r="L7925" s="26" t="e">
        <f t="shared" si="480"/>
        <v>#VALUE!</v>
      </c>
    </row>
    <row r="7926" spans="1:12" x14ac:dyDescent="0.35">
      <c r="A7926">
        <f t="shared" si="481"/>
        <v>7925</v>
      </c>
      <c r="B7926" t="s">
        <v>760</v>
      </c>
      <c r="C7926" s="109" t="str">
        <f>IF(ISBLANK(K7926),IFERROR(VLOOKUP(I7926,FS_input_data!$C$458:$N$648,Export!J7926,FALSE),""),K7926)</f>
        <v/>
      </c>
      <c r="D7926" s="6"/>
      <c r="E7926" s="6"/>
      <c r="F7926" s="6"/>
      <c r="G7926" s="115" t="b">
        <f>VLOOKUP(I7908,FS_input_noty,J7908,FALSE)=""</f>
        <v>0</v>
      </c>
      <c r="H7926" s="6" t="s">
        <v>2189</v>
      </c>
      <c r="I7926" t="s">
        <v>1561</v>
      </c>
      <c r="J7926" t="s">
        <v>1561</v>
      </c>
      <c r="L7926">
        <f t="shared" si="480"/>
        <v>1</v>
      </c>
    </row>
    <row r="7927" spans="1:12" x14ac:dyDescent="0.35">
      <c r="A7927" s="9">
        <f t="shared" si="481"/>
        <v>7926</v>
      </c>
      <c r="B7927" t="s">
        <v>761</v>
      </c>
      <c r="C7927" s="109" t="str">
        <f>IF(ISBLANK(K7927),IFERROR(VLOOKUP(I7927,FS_input_data!$C$458:$N$648,Export!J7927,FALSE),""),K7927)</f>
        <v>g</v>
      </c>
      <c r="D7927" s="6" t="b">
        <v>0</v>
      </c>
      <c r="E7927" s="6"/>
      <c r="F7927" s="6"/>
      <c r="G7927" s="115" t="b">
        <f>VLOOKUP(I7908,FS_input_noty,J7908,FALSE)=""</f>
        <v>0</v>
      </c>
      <c r="H7927" s="6" t="s">
        <v>2189</v>
      </c>
      <c r="I7927" t="s">
        <v>2158</v>
      </c>
      <c r="J7927">
        <v>5</v>
      </c>
      <c r="L7927" s="26" t="e">
        <f t="shared" si="480"/>
        <v>#VALUE!</v>
      </c>
    </row>
    <row r="7928" spans="1:12" x14ac:dyDescent="0.35">
      <c r="A7928">
        <f t="shared" si="481"/>
        <v>7927</v>
      </c>
      <c r="B7928" t="s">
        <v>762</v>
      </c>
      <c r="C7928" s="109" t="str">
        <f>IF(ISBLANK(K7928),IFERROR(VLOOKUP(I7928,FS_input_data!$C$458:$N$648,Export!J7928,FALSE),""),K7928)</f>
        <v/>
      </c>
      <c r="D7928" s="6"/>
      <c r="E7928" s="6"/>
      <c r="F7928" s="6"/>
      <c r="G7928" s="115" t="b">
        <f>VLOOKUP(I7908,FS_input_noty,J7908,FALSE)=""</f>
        <v>0</v>
      </c>
      <c r="H7928" s="6" t="s">
        <v>2189</v>
      </c>
      <c r="I7928" t="s">
        <v>1561</v>
      </c>
      <c r="J7928" t="s">
        <v>1561</v>
      </c>
      <c r="L7928">
        <f t="shared" si="480"/>
        <v>1</v>
      </c>
    </row>
    <row r="7929" spans="1:12" x14ac:dyDescent="0.35">
      <c r="A7929">
        <f t="shared" si="481"/>
        <v>7928</v>
      </c>
      <c r="B7929" t="s">
        <v>763</v>
      </c>
      <c r="C7929" s="109" t="str">
        <f>IF(ISBLANK(K7929),IFERROR(VLOOKUP(I7929,FS_input_data!$C$458:$N$648,Export!J7929,FALSE),""),K7929)</f>
        <v/>
      </c>
      <c r="D7929" s="6"/>
      <c r="E7929" s="6"/>
      <c r="F7929" s="6"/>
      <c r="G7929" s="115" t="b">
        <f>VLOOKUP(I7908,FS_input_noty,J7908,FALSE)=""</f>
        <v>0</v>
      </c>
      <c r="H7929" s="6" t="s">
        <v>2189</v>
      </c>
      <c r="I7929" t="s">
        <v>1561</v>
      </c>
      <c r="J7929" t="s">
        <v>1561</v>
      </c>
      <c r="L7929">
        <f t="shared" si="480"/>
        <v>1</v>
      </c>
    </row>
    <row r="7930" spans="1:12" x14ac:dyDescent="0.35">
      <c r="A7930">
        <f t="shared" si="481"/>
        <v>7929</v>
      </c>
      <c r="B7930" t="s">
        <v>743</v>
      </c>
      <c r="C7930" s="109" t="str">
        <f>IF(ISBLANK(K7930),IFERROR(VLOOKUP(I7930,FS_input_data!$C$458:$N$648,Export!J7930,FALSE),""),K7930)</f>
        <v/>
      </c>
      <c r="D7930" s="6"/>
      <c r="E7930" s="6"/>
      <c r="F7930" s="6"/>
      <c r="G7930" s="115" t="b">
        <f>VLOOKUP(I7908,FS_input_noty,J7908,FALSE)=""</f>
        <v>0</v>
      </c>
      <c r="H7930" s="6" t="s">
        <v>2189</v>
      </c>
      <c r="I7930" t="s">
        <v>1561</v>
      </c>
      <c r="J7930" t="s">
        <v>1561</v>
      </c>
      <c r="L7930">
        <f t="shared" si="480"/>
        <v>1</v>
      </c>
    </row>
    <row r="7931" spans="1:12" x14ac:dyDescent="0.35">
      <c r="A7931">
        <f t="shared" si="481"/>
        <v>7930</v>
      </c>
      <c r="B7931" t="s">
        <v>744</v>
      </c>
      <c r="C7931" s="109" t="str">
        <f>IF(ISBLANK(K7931),IFERROR(VLOOKUP(I7931,FS_input_data!$C$458:$N$648,Export!J7931,FALSE),""),K7931)</f>
        <v/>
      </c>
      <c r="D7931" s="6"/>
      <c r="E7931" s="6"/>
      <c r="F7931" s="6"/>
      <c r="G7931" s="115" t="b">
        <f t="shared" ref="G7931:G7938" si="483">RP_tax</f>
        <v>1</v>
      </c>
      <c r="H7931" s="6" t="s">
        <v>2189</v>
      </c>
      <c r="I7931" t="s">
        <v>1561</v>
      </c>
      <c r="J7931" t="s">
        <v>1561</v>
      </c>
      <c r="L7931" s="26" t="e">
        <f t="shared" si="480"/>
        <v>#VALUE!</v>
      </c>
    </row>
    <row r="7932" spans="1:12" x14ac:dyDescent="0.35">
      <c r="A7932" s="9">
        <f t="shared" si="481"/>
        <v>7931</v>
      </c>
      <c r="B7932" t="s">
        <v>109</v>
      </c>
      <c r="C7932" s="109">
        <f>IF(ISBLANK(K7932),IFERROR(VLOOKUP(I7932,FS_input_data!$C$458:$N$648,Export!J7932,FALSE),""),K7932)</f>
        <v>9000</v>
      </c>
      <c r="D7932" s="6" t="b">
        <v>1</v>
      </c>
      <c r="E7932" s="6"/>
      <c r="F7932" s="6"/>
      <c r="G7932" s="115" t="b">
        <f t="shared" si="483"/>
        <v>1</v>
      </c>
      <c r="H7932" s="6" t="s">
        <v>2189</v>
      </c>
      <c r="I7932" t="s">
        <v>2158</v>
      </c>
      <c r="J7932">
        <v>10</v>
      </c>
      <c r="L7932" s="26" t="e">
        <f t="shared" si="480"/>
        <v>#VALUE!</v>
      </c>
    </row>
    <row r="7933" spans="1:12" x14ac:dyDescent="0.35">
      <c r="A7933">
        <f t="shared" si="481"/>
        <v>7932</v>
      </c>
      <c r="B7933" t="s">
        <v>110</v>
      </c>
      <c r="C7933" s="109" t="str">
        <f>IF(ISBLANK(K7933),IFERROR(VLOOKUP(I7933,FS_input_data!$C$458:$N$648,Export!J7933,FALSE),""),K7933)</f>
        <v/>
      </c>
      <c r="D7933" s="6"/>
      <c r="E7933" s="6"/>
      <c r="F7933" s="6"/>
      <c r="G7933" s="115" t="b">
        <f t="shared" si="483"/>
        <v>1</v>
      </c>
      <c r="H7933" s="6" t="s">
        <v>2189</v>
      </c>
      <c r="I7933" t="s">
        <v>1561</v>
      </c>
      <c r="J7933" t="s">
        <v>1561</v>
      </c>
      <c r="L7933">
        <f t="shared" si="480"/>
        <v>1</v>
      </c>
    </row>
    <row r="7934" spans="1:12" x14ac:dyDescent="0.35">
      <c r="A7934" s="9">
        <f t="shared" si="481"/>
        <v>7933</v>
      </c>
      <c r="B7934" t="s">
        <v>111</v>
      </c>
      <c r="C7934" s="109">
        <f>IF(ISBLANK(K7934),IFERROR(VLOOKUP(I7934,FS_input_data!$C$458:$N$648,Export!J7934,FALSE),""),K7934)</f>
        <v>4500</v>
      </c>
      <c r="D7934" s="6" t="b">
        <v>0</v>
      </c>
      <c r="E7934" s="6"/>
      <c r="F7934" s="6"/>
      <c r="G7934" s="115" t="b">
        <f t="shared" si="483"/>
        <v>1</v>
      </c>
      <c r="H7934" s="6" t="s">
        <v>2189</v>
      </c>
      <c r="I7934" t="s">
        <v>2158</v>
      </c>
      <c r="J7934">
        <v>11</v>
      </c>
      <c r="L7934" s="26" t="e">
        <f t="shared" si="480"/>
        <v>#VALUE!</v>
      </c>
    </row>
    <row r="7935" spans="1:12" x14ac:dyDescent="0.35">
      <c r="A7935">
        <f t="shared" si="481"/>
        <v>7934</v>
      </c>
      <c r="B7935" t="s">
        <v>112</v>
      </c>
      <c r="C7935" s="109" t="str">
        <f>IF(ISBLANK(K7935),IFERROR(VLOOKUP(I7935,FS_input_data!$C$458:$N$648,Export!J7935,FALSE),""),K7935)</f>
        <v/>
      </c>
      <c r="D7935" s="6"/>
      <c r="E7935" s="6"/>
      <c r="F7935" s="6"/>
      <c r="G7935" s="115" t="b">
        <f t="shared" si="483"/>
        <v>1</v>
      </c>
      <c r="H7935" s="6" t="s">
        <v>2189</v>
      </c>
      <c r="I7935" t="s">
        <v>1561</v>
      </c>
      <c r="J7935" t="s">
        <v>1561</v>
      </c>
      <c r="L7935">
        <f t="shared" si="480"/>
        <v>1</v>
      </c>
    </row>
    <row r="7936" spans="1:12" x14ac:dyDescent="0.35">
      <c r="A7936" s="9">
        <f t="shared" si="481"/>
        <v>7935</v>
      </c>
      <c r="B7936" t="s">
        <v>749</v>
      </c>
      <c r="C7936" s="109">
        <f>IF(ISBLANK(K7936),IFERROR(VLOOKUP(I7936,FS_input_data!$C$458:$N$648,Export!J7936,FALSE),""),K7936)</f>
        <v>4500</v>
      </c>
      <c r="D7936" s="6" t="b">
        <v>0</v>
      </c>
      <c r="E7936" s="6"/>
      <c r="F7936" s="6"/>
      <c r="G7936" s="115" t="b">
        <f t="shared" si="483"/>
        <v>1</v>
      </c>
      <c r="H7936" s="6" t="s">
        <v>2189</v>
      </c>
      <c r="I7936" t="s">
        <v>2158</v>
      </c>
      <c r="J7936">
        <v>12</v>
      </c>
      <c r="L7936" s="26" t="e">
        <f t="shared" si="480"/>
        <v>#VALUE!</v>
      </c>
    </row>
    <row r="7937" spans="1:12" x14ac:dyDescent="0.35">
      <c r="A7937">
        <f t="shared" si="481"/>
        <v>7936</v>
      </c>
      <c r="B7937" t="s">
        <v>750</v>
      </c>
      <c r="C7937" s="109" t="str">
        <f>IF(ISBLANK(K7937),IFERROR(VLOOKUP(I7937,FS_input_data!$C$458:$N$648,Export!J7937,FALSE),""),K7937)</f>
        <v/>
      </c>
      <c r="D7937" s="6"/>
      <c r="E7937" s="6"/>
      <c r="F7937" s="6"/>
      <c r="G7937" s="115" t="b">
        <f t="shared" si="483"/>
        <v>1</v>
      </c>
      <c r="H7937" s="6" t="s">
        <v>2189</v>
      </c>
      <c r="I7937" t="s">
        <v>1561</v>
      </c>
      <c r="J7937" t="s">
        <v>1561</v>
      </c>
      <c r="L7937">
        <f t="shared" si="480"/>
        <v>1</v>
      </c>
    </row>
    <row r="7938" spans="1:12" x14ac:dyDescent="0.35">
      <c r="A7938">
        <f t="shared" si="481"/>
        <v>7937</v>
      </c>
      <c r="B7938" t="s">
        <v>745</v>
      </c>
      <c r="C7938" s="109" t="str">
        <f>IF(ISBLANK(K7938),IFERROR(VLOOKUP(I7938,FS_input_data!$C$458:$N$648,Export!J7938,FALSE),""),K7938)</f>
        <v/>
      </c>
      <c r="D7938" s="6"/>
      <c r="E7938" s="6"/>
      <c r="F7938" s="6"/>
      <c r="G7938" s="115" t="b">
        <f t="shared" si="483"/>
        <v>1</v>
      </c>
      <c r="H7938" s="6" t="s">
        <v>2189</v>
      </c>
      <c r="I7938" t="s">
        <v>1561</v>
      </c>
      <c r="J7938" t="s">
        <v>1561</v>
      </c>
      <c r="L7938">
        <f t="shared" ref="L7938:L8001" si="484">FIND("/",B7938)</f>
        <v>1</v>
      </c>
    </row>
    <row r="7939" spans="1:12" x14ac:dyDescent="0.35">
      <c r="A7939">
        <f t="shared" ref="A7939:A8002" si="485">A7938+1</f>
        <v>7938</v>
      </c>
      <c r="B7939" t="s">
        <v>764</v>
      </c>
      <c r="C7939" s="109" t="str">
        <f>IF(ISBLANK(K7939),IFERROR(VLOOKUP(I7939,FS_input_data!$C$458:$N$648,Export!J7939,FALSE),""),K7939)</f>
        <v/>
      </c>
      <c r="D7939" s="6"/>
      <c r="E7939" s="6"/>
      <c r="F7939" s="6"/>
      <c r="G7939" s="115" t="b">
        <f>VLOOKUP(I7908,FS_input_noty,J7908,FALSE)=""</f>
        <v>0</v>
      </c>
      <c r="H7939" s="6" t="s">
        <v>2189</v>
      </c>
      <c r="I7939" t="s">
        <v>1561</v>
      </c>
      <c r="J7939" t="s">
        <v>1561</v>
      </c>
      <c r="L7939">
        <f t="shared" si="484"/>
        <v>1</v>
      </c>
    </row>
    <row r="7940" spans="1:12" x14ac:dyDescent="0.35">
      <c r="A7940">
        <f t="shared" si="485"/>
        <v>7939</v>
      </c>
      <c r="B7940" t="s">
        <v>765</v>
      </c>
      <c r="C7940" s="109" t="str">
        <f>IF(ISBLANK(K7940),IFERROR(VLOOKUP(I7940,FS_input_data!$C$458:$N$648,Export!J7940,FALSE),""),K7940)</f>
        <v/>
      </c>
      <c r="D7940" s="6"/>
      <c r="E7940" s="6"/>
      <c r="F7940" s="6"/>
      <c r="G7940" s="115" t="b">
        <f>VLOOKUP(I7908,FS_input_noty,J7908,FALSE)=""</f>
        <v>0</v>
      </c>
      <c r="H7940" s="6" t="s">
        <v>2189</v>
      </c>
      <c r="I7940" t="s">
        <v>1561</v>
      </c>
      <c r="J7940" t="s">
        <v>1561</v>
      </c>
      <c r="L7940">
        <f t="shared" si="484"/>
        <v>1</v>
      </c>
    </row>
    <row r="7941" spans="1:12" x14ac:dyDescent="0.35">
      <c r="A7941">
        <f t="shared" si="485"/>
        <v>7940</v>
      </c>
      <c r="B7941" t="s">
        <v>752</v>
      </c>
      <c r="C7941" s="109" t="str">
        <f>IF(ISBLANK(K7941),IFERROR(VLOOKUP(I7941,FS_input_data!$C$458:$N$648,Export!J7941,FALSE),""),K7941)</f>
        <v/>
      </c>
      <c r="D7941" s="6"/>
      <c r="E7941" s="6"/>
      <c r="F7941" s="6"/>
      <c r="G7941" s="115" t="b">
        <f>VLOOKUP(I7942,FS_input_noty,J7942,FALSE)=""</f>
        <v>0</v>
      </c>
      <c r="H7941" s="6" t="s">
        <v>2189</v>
      </c>
      <c r="I7941" t="s">
        <v>1561</v>
      </c>
      <c r="J7941" t="s">
        <v>1561</v>
      </c>
      <c r="L7941" s="26" t="e">
        <f t="shared" si="484"/>
        <v>#VALUE!</v>
      </c>
    </row>
    <row r="7942" spans="1:12" x14ac:dyDescent="0.35">
      <c r="A7942" s="9">
        <f t="shared" si="485"/>
        <v>7941</v>
      </c>
      <c r="B7942" t="s">
        <v>101</v>
      </c>
      <c r="C7942" s="109" t="str">
        <f>IF(ISBLANK(K7942),IFERROR(VLOOKUP(I7942,FS_input_data!$C$458:$N$648,Export!J7942,FALSE),""),K7942)</f>
        <v>OC153</v>
      </c>
      <c r="D7942" s="6" t="b">
        <v>1</v>
      </c>
      <c r="E7942" s="6"/>
      <c r="F7942" s="6"/>
      <c r="G7942" s="115" t="b">
        <f>VLOOKUP(I7942,FS_input_noty,J7942,FALSE)=""</f>
        <v>0</v>
      </c>
      <c r="H7942" s="6" t="s">
        <v>2189</v>
      </c>
      <c r="I7942" t="s">
        <v>2160</v>
      </c>
      <c r="J7942">
        <v>6</v>
      </c>
      <c r="L7942" s="26" t="e">
        <f t="shared" si="484"/>
        <v>#VALUE!</v>
      </c>
    </row>
    <row r="7943" spans="1:12" x14ac:dyDescent="0.35">
      <c r="A7943">
        <f t="shared" si="485"/>
        <v>7942</v>
      </c>
      <c r="B7943" t="s">
        <v>102</v>
      </c>
      <c r="C7943" s="109" t="str">
        <f>IF(ISBLANK(K7943),IFERROR(VLOOKUP(I7943,FS_input_data!$C$458:$N$648,Export!J7943,FALSE),""),K7943)</f>
        <v/>
      </c>
      <c r="D7943" s="6"/>
      <c r="E7943" s="6"/>
      <c r="F7943" s="6"/>
      <c r="G7943" s="115" t="b">
        <f>VLOOKUP(I7942,FS_input_noty,J7942,FALSE)=""</f>
        <v>0</v>
      </c>
      <c r="H7943" s="6" t="s">
        <v>2189</v>
      </c>
      <c r="I7943" t="s">
        <v>1561</v>
      </c>
      <c r="J7943" t="s">
        <v>1561</v>
      </c>
      <c r="L7943">
        <f t="shared" si="484"/>
        <v>1</v>
      </c>
    </row>
    <row r="7944" spans="1:12" x14ac:dyDescent="0.35">
      <c r="A7944">
        <f t="shared" si="485"/>
        <v>7943</v>
      </c>
      <c r="B7944" t="s">
        <v>753</v>
      </c>
      <c r="C7944" s="109" t="str">
        <f>IF(ISBLANK(K7944),IFERROR(VLOOKUP(I7944,FS_input_data!$C$458:$N$648,Export!J7944,FALSE),""),K7944)</f>
        <v/>
      </c>
      <c r="D7944" s="6"/>
      <c r="E7944" s="6"/>
      <c r="F7944" s="6"/>
      <c r="G7944" s="115" t="b">
        <f>VLOOKUP(I7942,FS_input_noty,J7942,FALSE)=""</f>
        <v>0</v>
      </c>
      <c r="H7944" s="6" t="s">
        <v>2189</v>
      </c>
      <c r="I7944" t="s">
        <v>1561</v>
      </c>
      <c r="J7944" t="s">
        <v>1561</v>
      </c>
      <c r="L7944" s="26" t="e">
        <f t="shared" si="484"/>
        <v>#VALUE!</v>
      </c>
    </row>
    <row r="7945" spans="1:12" x14ac:dyDescent="0.35">
      <c r="A7945">
        <f t="shared" si="485"/>
        <v>7944</v>
      </c>
      <c r="B7945" t="s">
        <v>742</v>
      </c>
      <c r="C7945" s="109" t="str">
        <f>IF(ISBLANK(K7945),IFERROR(VLOOKUP(I7945,FS_input_data!$C$458:$N$648,Export!J7945,FALSE),""),K7945)</f>
        <v/>
      </c>
      <c r="D7945" s="6"/>
      <c r="E7945" s="6"/>
      <c r="F7945" s="6"/>
      <c r="G7945" s="115" t="b">
        <f>VLOOKUP(I7942,FS_input_noty,J7942,FALSE)=""</f>
        <v>0</v>
      </c>
      <c r="H7945" s="6" t="s">
        <v>2189</v>
      </c>
      <c r="I7945" t="s">
        <v>1561</v>
      </c>
      <c r="J7945" t="s">
        <v>1561</v>
      </c>
      <c r="L7945" s="26" t="e">
        <f t="shared" si="484"/>
        <v>#VALUE!</v>
      </c>
    </row>
    <row r="7946" spans="1:12" x14ac:dyDescent="0.35">
      <c r="A7946">
        <f t="shared" si="485"/>
        <v>7945</v>
      </c>
      <c r="B7946" t="s">
        <v>748</v>
      </c>
      <c r="C7946" s="109" t="str">
        <f>IF(ISBLANK(K7946),IFERROR(VLOOKUP(I7946,FS_input_data!$C$458:$N$648,Export!J7946,FALSE),""),K7946)</f>
        <v/>
      </c>
      <c r="D7946" s="6"/>
      <c r="E7946" s="6"/>
      <c r="F7946" s="6"/>
      <c r="G7946" s="115" t="b">
        <f>VLOOKUP(I7942,FS_input_noty,J7942,FALSE)=""</f>
        <v>0</v>
      </c>
      <c r="H7946" s="6" t="s">
        <v>2189</v>
      </c>
      <c r="I7946" t="s">
        <v>1561</v>
      </c>
      <c r="J7946" t="s">
        <v>1561</v>
      </c>
      <c r="L7946" s="26" t="e">
        <f t="shared" si="484"/>
        <v>#VALUE!</v>
      </c>
    </row>
    <row r="7947" spans="1:12" x14ac:dyDescent="0.35">
      <c r="A7947" s="9">
        <f t="shared" si="485"/>
        <v>7946</v>
      </c>
      <c r="B7947" t="s">
        <v>109</v>
      </c>
      <c r="C7947" s="109">
        <f>IF(ISBLANK(K7947),IFERROR(VLOOKUP(I7947,FS_input_data!$C$458:$N$648,Export!J7947,FALSE),""),K7947)</f>
        <v>10000</v>
      </c>
      <c r="D7947" s="6" t="b">
        <v>1</v>
      </c>
      <c r="E7947" s="6"/>
      <c r="F7947" s="6"/>
      <c r="G7947" s="115" t="b">
        <f>VLOOKUP(I7942,FS_input_noty,J7942,FALSE)=""</f>
        <v>0</v>
      </c>
      <c r="H7947" s="6" t="s">
        <v>2189</v>
      </c>
      <c r="I7947" t="s">
        <v>2160</v>
      </c>
      <c r="J7947">
        <v>7</v>
      </c>
      <c r="L7947" s="26" t="e">
        <f t="shared" si="484"/>
        <v>#VALUE!</v>
      </c>
    </row>
    <row r="7948" spans="1:12" x14ac:dyDescent="0.35">
      <c r="A7948">
        <f t="shared" si="485"/>
        <v>7947</v>
      </c>
      <c r="B7948" t="s">
        <v>110</v>
      </c>
      <c r="C7948" s="109" t="str">
        <f>IF(ISBLANK(K7948),IFERROR(VLOOKUP(I7948,FS_input_data!$C$458:$N$648,Export!J7948,FALSE),""),K7948)</f>
        <v/>
      </c>
      <c r="D7948" s="6"/>
      <c r="E7948" s="6"/>
      <c r="F7948" s="6"/>
      <c r="G7948" s="115" t="b">
        <f>VLOOKUP(I7942,FS_input_noty,J7942,FALSE)=""</f>
        <v>0</v>
      </c>
      <c r="H7948" s="6" t="s">
        <v>2189</v>
      </c>
      <c r="I7948" t="s">
        <v>1561</v>
      </c>
      <c r="J7948" t="s">
        <v>1561</v>
      </c>
      <c r="L7948">
        <f t="shared" si="484"/>
        <v>1</v>
      </c>
    </row>
    <row r="7949" spans="1:12" x14ac:dyDescent="0.35">
      <c r="A7949" s="9">
        <f t="shared" si="485"/>
        <v>7948</v>
      </c>
      <c r="B7949" t="s">
        <v>111</v>
      </c>
      <c r="C7949" s="109">
        <f>IF(ISBLANK(K7949),IFERROR(VLOOKUP(I7949,FS_input_data!$C$458:$N$648,Export!J7949,FALSE),""),K7949)</f>
        <v>5000</v>
      </c>
      <c r="D7949" s="6" t="b">
        <v>0</v>
      </c>
      <c r="E7949" s="6"/>
      <c r="F7949" s="6"/>
      <c r="G7949" s="115" t="b">
        <f>VLOOKUP(I7942,FS_input_noty,J7942,TRUE)=""</f>
        <v>0</v>
      </c>
      <c r="H7949" s="6" t="s">
        <v>2189</v>
      </c>
      <c r="I7949" t="s">
        <v>2160</v>
      </c>
      <c r="J7949">
        <v>8</v>
      </c>
      <c r="L7949" s="26" t="e">
        <f t="shared" si="484"/>
        <v>#VALUE!</v>
      </c>
    </row>
    <row r="7950" spans="1:12" x14ac:dyDescent="0.35">
      <c r="A7950">
        <f t="shared" si="485"/>
        <v>7949</v>
      </c>
      <c r="B7950" t="s">
        <v>112</v>
      </c>
      <c r="C7950" s="109" t="str">
        <f>IF(ISBLANK(K7950),IFERROR(VLOOKUP(I7950,FS_input_data!$C$458:$N$648,Export!J7950,FALSE),""),K7950)</f>
        <v/>
      </c>
      <c r="D7950" s="6"/>
      <c r="E7950" s="6"/>
      <c r="F7950" s="6"/>
      <c r="G7950" s="115" t="b">
        <f>VLOOKUP(I7942,FS_input_noty,J7942,FALSE)=""</f>
        <v>0</v>
      </c>
      <c r="H7950" s="6" t="s">
        <v>2189</v>
      </c>
      <c r="I7950" t="s">
        <v>1561</v>
      </c>
      <c r="J7950" t="s">
        <v>1561</v>
      </c>
      <c r="L7950">
        <f t="shared" si="484"/>
        <v>1</v>
      </c>
    </row>
    <row r="7951" spans="1:12" x14ac:dyDescent="0.35">
      <c r="A7951" s="9">
        <f t="shared" si="485"/>
        <v>7950</v>
      </c>
      <c r="B7951" t="s">
        <v>749</v>
      </c>
      <c r="C7951" s="109">
        <f>IF(ISBLANK(K7951),IFERROR(VLOOKUP(I7951,FS_input_data!$C$458:$N$648,Export!J7951,FALSE),""),K7951)</f>
        <v>5000</v>
      </c>
      <c r="D7951" s="6" t="b">
        <v>0</v>
      </c>
      <c r="E7951" s="6"/>
      <c r="F7951" s="6"/>
      <c r="G7951" s="115" t="b">
        <f>VLOOKUP(I7942,FS_input_noty,J7942,FALSE)=""</f>
        <v>0</v>
      </c>
      <c r="H7951" s="6" t="s">
        <v>2189</v>
      </c>
      <c r="I7951" t="s">
        <v>2160</v>
      </c>
      <c r="J7951">
        <v>9</v>
      </c>
      <c r="L7951" s="26" t="e">
        <f t="shared" si="484"/>
        <v>#VALUE!</v>
      </c>
    </row>
    <row r="7952" spans="1:12" x14ac:dyDescent="0.35">
      <c r="A7952">
        <f t="shared" si="485"/>
        <v>7951</v>
      </c>
      <c r="B7952" t="s">
        <v>750</v>
      </c>
      <c r="C7952" s="109" t="str">
        <f>IF(ISBLANK(K7952),IFERROR(VLOOKUP(I7952,FS_input_data!$C$458:$N$648,Export!J7952,FALSE),""),K7952)</f>
        <v/>
      </c>
      <c r="D7952" s="6"/>
      <c r="E7952" s="6"/>
      <c r="F7952" s="6"/>
      <c r="G7952" s="115" t="b">
        <f>VLOOKUP(I7942,FS_input_noty,J7942,FALSE)=""</f>
        <v>0</v>
      </c>
      <c r="H7952" s="6" t="s">
        <v>2189</v>
      </c>
      <c r="I7952" t="s">
        <v>1561</v>
      </c>
      <c r="J7952" t="s">
        <v>1561</v>
      </c>
      <c r="L7952">
        <f t="shared" si="484"/>
        <v>1</v>
      </c>
    </row>
    <row r="7953" spans="1:12" x14ac:dyDescent="0.35">
      <c r="A7953">
        <f t="shared" si="485"/>
        <v>7952</v>
      </c>
      <c r="B7953" t="s">
        <v>751</v>
      </c>
      <c r="C7953" s="109" t="str">
        <f>IF(ISBLANK(K7953),IFERROR(VLOOKUP(I7953,FS_input_data!$C$458:$N$648,Export!J7953,FALSE),""),K7953)</f>
        <v/>
      </c>
      <c r="D7953" s="6"/>
      <c r="E7953" s="6"/>
      <c r="F7953" s="6"/>
      <c r="G7953" s="115" t="b">
        <f>VLOOKUP(I7942,FS_input_noty,J7942,FALSE)=""</f>
        <v>0</v>
      </c>
      <c r="H7953" s="6" t="s">
        <v>2189</v>
      </c>
      <c r="I7953" t="s">
        <v>1561</v>
      </c>
      <c r="J7953" t="s">
        <v>1561</v>
      </c>
      <c r="L7953">
        <f t="shared" si="484"/>
        <v>1</v>
      </c>
    </row>
    <row r="7954" spans="1:12" x14ac:dyDescent="0.35">
      <c r="A7954">
        <f t="shared" si="485"/>
        <v>7953</v>
      </c>
      <c r="B7954" t="s">
        <v>754</v>
      </c>
      <c r="C7954" s="109" t="str">
        <f>IF(ISBLANK(K7954),IFERROR(VLOOKUP(I7954,FS_input_data!$C$458:$N$648,Export!J7954,FALSE),""),K7954)</f>
        <v/>
      </c>
      <c r="D7954" s="6"/>
      <c r="E7954" s="6"/>
      <c r="F7954" s="6"/>
      <c r="G7954" s="115" t="b">
        <f>VLOOKUP(I7942,FS_input_noty,J7942,FALSE)=""</f>
        <v>0</v>
      </c>
      <c r="H7954" s="6" t="s">
        <v>2189</v>
      </c>
      <c r="I7954" t="s">
        <v>1561</v>
      </c>
      <c r="J7954" t="s">
        <v>1561</v>
      </c>
      <c r="L7954" s="26" t="e">
        <f t="shared" si="484"/>
        <v>#VALUE!</v>
      </c>
    </row>
    <row r="7955" spans="1:12" x14ac:dyDescent="0.35">
      <c r="A7955" s="9">
        <f t="shared" si="485"/>
        <v>7954</v>
      </c>
      <c r="B7955" t="s">
        <v>755</v>
      </c>
      <c r="C7955" s="109">
        <f>IF(ISBLANK(K7955),IFERROR(VLOOKUP(I7955,FS_input_data!$C$458:$N$648,Export!J7955,FALSE),""),K7955)</f>
        <v>176</v>
      </c>
      <c r="D7955" s="6" t="b">
        <v>1</v>
      </c>
      <c r="E7955" s="6"/>
      <c r="F7955" s="6"/>
      <c r="G7955" s="115" t="b">
        <f>VLOOKUP(I7942,FS_input_noty,J7942,FALSE)=""</f>
        <v>0</v>
      </c>
      <c r="H7955" s="6" t="s">
        <v>2189</v>
      </c>
      <c r="I7955" t="s">
        <v>2160</v>
      </c>
      <c r="J7955">
        <v>2</v>
      </c>
      <c r="L7955" s="26" t="e">
        <f t="shared" si="484"/>
        <v>#VALUE!</v>
      </c>
    </row>
    <row r="7956" spans="1:12" x14ac:dyDescent="0.35">
      <c r="A7956">
        <f t="shared" si="485"/>
        <v>7955</v>
      </c>
      <c r="B7956" t="s">
        <v>756</v>
      </c>
      <c r="C7956" s="109" t="str">
        <f>IF(ISBLANK(K7956),IFERROR(VLOOKUP(I7956,FS_input_data!$C$458:$N$648,Export!J7956,FALSE),""),K7956)</f>
        <v/>
      </c>
      <c r="D7956" s="6"/>
      <c r="E7956" s="6"/>
      <c r="F7956" s="6"/>
      <c r="G7956" s="115" t="b">
        <f>VLOOKUP(I7942,FS_input_noty,J7942,FALSE)=""</f>
        <v>0</v>
      </c>
      <c r="H7956" s="6" t="s">
        <v>2189</v>
      </c>
      <c r="I7956" t="s">
        <v>1561</v>
      </c>
      <c r="J7956" t="s">
        <v>1561</v>
      </c>
      <c r="L7956">
        <f t="shared" si="484"/>
        <v>1</v>
      </c>
    </row>
    <row r="7957" spans="1:12" x14ac:dyDescent="0.35">
      <c r="A7957" s="9">
        <f t="shared" si="485"/>
        <v>7956</v>
      </c>
      <c r="B7957" t="s">
        <v>757</v>
      </c>
      <c r="C7957" s="109">
        <f>IF(ISBLANK(K7957),IFERROR(VLOOKUP(I7957,FS_input_data!$C$458:$N$648,Export!J7957,FALSE),""),K7957)</f>
        <v>276</v>
      </c>
      <c r="D7957" s="6" t="b">
        <v>0</v>
      </c>
      <c r="E7957" s="6"/>
      <c r="F7957" s="6"/>
      <c r="G7957" s="115" t="b">
        <f>VLOOKUP(I7942,FS_input_noty,J7942,FALSE)=""</f>
        <v>0</v>
      </c>
      <c r="H7957" s="6" t="s">
        <v>2189</v>
      </c>
      <c r="I7957" t="s">
        <v>2160</v>
      </c>
      <c r="J7957">
        <v>3</v>
      </c>
      <c r="L7957" s="26" t="e">
        <f t="shared" si="484"/>
        <v>#VALUE!</v>
      </c>
    </row>
    <row r="7958" spans="1:12" x14ac:dyDescent="0.35">
      <c r="A7958">
        <f t="shared" si="485"/>
        <v>7957</v>
      </c>
      <c r="B7958" t="s">
        <v>758</v>
      </c>
      <c r="C7958" s="109" t="str">
        <f>IF(ISBLANK(K7958),IFERROR(VLOOKUP(I7958,FS_input_data!$C$458:$N$648,Export!J7958,FALSE),""),K7958)</f>
        <v/>
      </c>
      <c r="D7958" s="6"/>
      <c r="E7958" s="6"/>
      <c r="F7958" s="6"/>
      <c r="G7958" s="115" t="b">
        <f>VLOOKUP(I7942,FS_input_noty,J7942,FALSE)=""</f>
        <v>0</v>
      </c>
      <c r="H7958" s="6" t="s">
        <v>2189</v>
      </c>
      <c r="I7958" t="s">
        <v>1561</v>
      </c>
      <c r="J7958" t="s">
        <v>1561</v>
      </c>
      <c r="L7958">
        <f t="shared" si="484"/>
        <v>1</v>
      </c>
    </row>
    <row r="7959" spans="1:12" x14ac:dyDescent="0.35">
      <c r="A7959" s="9">
        <f t="shared" si="485"/>
        <v>7958</v>
      </c>
      <c r="B7959" t="s">
        <v>759</v>
      </c>
      <c r="C7959" s="109">
        <f>IF(ISBLANK(K7959),IFERROR(VLOOKUP(I7959,FS_input_data!$C$458:$N$648,Export!J7959,FALSE),""),K7959)</f>
        <v>376</v>
      </c>
      <c r="D7959" s="6" t="b">
        <v>0</v>
      </c>
      <c r="E7959" s="6"/>
      <c r="F7959" s="6"/>
      <c r="G7959" s="115" t="b">
        <f>VLOOKUP(I7942,FS_input_noty,J7942,FALSE)=""</f>
        <v>0</v>
      </c>
      <c r="H7959" s="6" t="s">
        <v>2189</v>
      </c>
      <c r="I7959" t="s">
        <v>2160</v>
      </c>
      <c r="J7959">
        <v>4</v>
      </c>
      <c r="L7959" s="26" t="e">
        <f t="shared" si="484"/>
        <v>#VALUE!</v>
      </c>
    </row>
    <row r="7960" spans="1:12" x14ac:dyDescent="0.35">
      <c r="A7960">
        <f t="shared" si="485"/>
        <v>7959</v>
      </c>
      <c r="B7960" t="s">
        <v>760</v>
      </c>
      <c r="C7960" s="109" t="str">
        <f>IF(ISBLANK(K7960),IFERROR(VLOOKUP(I7960,FS_input_data!$C$458:$N$648,Export!J7960,FALSE),""),K7960)</f>
        <v/>
      </c>
      <c r="D7960" s="6"/>
      <c r="E7960" s="6"/>
      <c r="F7960" s="6"/>
      <c r="G7960" s="115" t="b">
        <f>VLOOKUP(I7942,FS_input_noty,J7942,FALSE)=""</f>
        <v>0</v>
      </c>
      <c r="H7960" s="6" t="s">
        <v>2189</v>
      </c>
      <c r="I7960" t="s">
        <v>1561</v>
      </c>
      <c r="J7960" t="s">
        <v>1561</v>
      </c>
      <c r="L7960">
        <f t="shared" si="484"/>
        <v>1</v>
      </c>
    </row>
    <row r="7961" spans="1:12" x14ac:dyDescent="0.35">
      <c r="A7961" s="9">
        <f t="shared" si="485"/>
        <v>7960</v>
      </c>
      <c r="B7961" t="s">
        <v>761</v>
      </c>
      <c r="C7961" s="109" t="str">
        <f>IF(ISBLANK(K7961),IFERROR(VLOOKUP(I7961,FS_input_data!$C$458:$N$648,Export!J7961,FALSE),""),K7961)</f>
        <v>h</v>
      </c>
      <c r="D7961" s="6" t="b">
        <v>0</v>
      </c>
      <c r="E7961" s="6"/>
      <c r="F7961" s="6"/>
      <c r="G7961" s="115" t="b">
        <f>VLOOKUP(I7942,FS_input_noty,J7942,FALSE)=""</f>
        <v>0</v>
      </c>
      <c r="H7961" s="6" t="s">
        <v>2189</v>
      </c>
      <c r="I7961" t="s">
        <v>2160</v>
      </c>
      <c r="J7961">
        <v>5</v>
      </c>
      <c r="L7961" s="26" t="e">
        <f t="shared" si="484"/>
        <v>#VALUE!</v>
      </c>
    </row>
    <row r="7962" spans="1:12" x14ac:dyDescent="0.35">
      <c r="A7962">
        <f t="shared" si="485"/>
        <v>7961</v>
      </c>
      <c r="B7962" t="s">
        <v>762</v>
      </c>
      <c r="C7962" s="109" t="str">
        <f>IF(ISBLANK(K7962),IFERROR(VLOOKUP(I7962,FS_input_data!$C$458:$N$648,Export!J7962,FALSE),""),K7962)</f>
        <v/>
      </c>
      <c r="D7962" s="6"/>
      <c r="E7962" s="6"/>
      <c r="F7962" s="6"/>
      <c r="G7962" s="115" t="b">
        <f>VLOOKUP(I7942,FS_input_noty,J7942,FALSE)=""</f>
        <v>0</v>
      </c>
      <c r="H7962" s="6" t="s">
        <v>2189</v>
      </c>
      <c r="I7962" t="s">
        <v>1561</v>
      </c>
      <c r="J7962" t="s">
        <v>1561</v>
      </c>
      <c r="L7962">
        <f t="shared" si="484"/>
        <v>1</v>
      </c>
    </row>
    <row r="7963" spans="1:12" x14ac:dyDescent="0.35">
      <c r="A7963">
        <f t="shared" si="485"/>
        <v>7962</v>
      </c>
      <c r="B7963" t="s">
        <v>763</v>
      </c>
      <c r="C7963" s="109" t="str">
        <f>IF(ISBLANK(K7963),IFERROR(VLOOKUP(I7963,FS_input_data!$C$458:$N$648,Export!J7963,FALSE),""),K7963)</f>
        <v/>
      </c>
      <c r="D7963" s="6"/>
      <c r="E7963" s="6"/>
      <c r="F7963" s="6"/>
      <c r="G7963" s="115" t="b">
        <f>VLOOKUP(I7942,FS_input_noty,J7942,FALSE)=""</f>
        <v>0</v>
      </c>
      <c r="H7963" s="6" t="s">
        <v>2189</v>
      </c>
      <c r="I7963" t="s">
        <v>1561</v>
      </c>
      <c r="J7963" t="s">
        <v>1561</v>
      </c>
      <c r="L7963">
        <f t="shared" si="484"/>
        <v>1</v>
      </c>
    </row>
    <row r="7964" spans="1:12" x14ac:dyDescent="0.35">
      <c r="A7964">
        <f t="shared" si="485"/>
        <v>7963</v>
      </c>
      <c r="B7964" t="s">
        <v>743</v>
      </c>
      <c r="C7964" s="109" t="str">
        <f>IF(ISBLANK(K7964),IFERROR(VLOOKUP(I7964,FS_input_data!$C$458:$N$648,Export!J7964,FALSE),""),K7964)</f>
        <v/>
      </c>
      <c r="D7964" s="6"/>
      <c r="E7964" s="6"/>
      <c r="F7964" s="6"/>
      <c r="G7964" s="115" t="b">
        <f>VLOOKUP(I7942,FS_input_noty,J7942,FALSE)=""</f>
        <v>0</v>
      </c>
      <c r="H7964" s="6" t="s">
        <v>2189</v>
      </c>
      <c r="I7964" t="s">
        <v>1561</v>
      </c>
      <c r="J7964" t="s">
        <v>1561</v>
      </c>
      <c r="L7964">
        <f t="shared" si="484"/>
        <v>1</v>
      </c>
    </row>
    <row r="7965" spans="1:12" x14ac:dyDescent="0.35">
      <c r="A7965">
        <f t="shared" si="485"/>
        <v>7964</v>
      </c>
      <c r="B7965" t="s">
        <v>744</v>
      </c>
      <c r="C7965" s="109" t="str">
        <f>IF(ISBLANK(K7965),IFERROR(VLOOKUP(I7965,FS_input_data!$C$458:$N$648,Export!J7965,FALSE),""),K7965)</f>
        <v/>
      </c>
      <c r="D7965" s="6"/>
      <c r="E7965" s="6"/>
      <c r="F7965" s="6"/>
      <c r="G7965" s="115" t="b">
        <f t="shared" ref="G7965:G7972" si="486">RP_tax</f>
        <v>1</v>
      </c>
      <c r="H7965" s="6" t="s">
        <v>2189</v>
      </c>
      <c r="I7965" t="s">
        <v>1561</v>
      </c>
      <c r="J7965" t="s">
        <v>1561</v>
      </c>
      <c r="L7965" s="26" t="e">
        <f t="shared" si="484"/>
        <v>#VALUE!</v>
      </c>
    </row>
    <row r="7966" spans="1:12" x14ac:dyDescent="0.35">
      <c r="A7966" s="9">
        <f t="shared" si="485"/>
        <v>7965</v>
      </c>
      <c r="B7966" t="s">
        <v>109</v>
      </c>
      <c r="C7966" s="109">
        <f>IF(ISBLANK(K7966),IFERROR(VLOOKUP(I7966,FS_input_data!$C$458:$N$648,Export!J7966,FALSE),""),K7966)</f>
        <v>10000</v>
      </c>
      <c r="D7966" s="6" t="b">
        <v>1</v>
      </c>
      <c r="E7966" s="6"/>
      <c r="F7966" s="6"/>
      <c r="G7966" s="115" t="b">
        <f t="shared" si="486"/>
        <v>1</v>
      </c>
      <c r="H7966" s="6" t="s">
        <v>2189</v>
      </c>
      <c r="I7966" t="s">
        <v>2160</v>
      </c>
      <c r="J7966">
        <v>10</v>
      </c>
      <c r="L7966" s="26" t="e">
        <f t="shared" si="484"/>
        <v>#VALUE!</v>
      </c>
    </row>
    <row r="7967" spans="1:12" x14ac:dyDescent="0.35">
      <c r="A7967">
        <f t="shared" si="485"/>
        <v>7966</v>
      </c>
      <c r="B7967" t="s">
        <v>110</v>
      </c>
      <c r="C7967" s="109" t="str">
        <f>IF(ISBLANK(K7967),IFERROR(VLOOKUP(I7967,FS_input_data!$C$458:$N$648,Export!J7967,FALSE),""),K7967)</f>
        <v/>
      </c>
      <c r="D7967" s="6"/>
      <c r="E7967" s="6"/>
      <c r="F7967" s="6"/>
      <c r="G7967" s="115" t="b">
        <f t="shared" si="486"/>
        <v>1</v>
      </c>
      <c r="H7967" s="6" t="s">
        <v>2189</v>
      </c>
      <c r="I7967" t="s">
        <v>1561</v>
      </c>
      <c r="J7967" t="s">
        <v>1561</v>
      </c>
      <c r="L7967">
        <f t="shared" si="484"/>
        <v>1</v>
      </c>
    </row>
    <row r="7968" spans="1:12" x14ac:dyDescent="0.35">
      <c r="A7968" s="9">
        <f t="shared" si="485"/>
        <v>7967</v>
      </c>
      <c r="B7968" t="s">
        <v>111</v>
      </c>
      <c r="C7968" s="109">
        <f>IF(ISBLANK(K7968),IFERROR(VLOOKUP(I7968,FS_input_data!$C$458:$N$648,Export!J7968,FALSE),""),K7968)</f>
        <v>5000</v>
      </c>
      <c r="D7968" s="6" t="b">
        <v>0</v>
      </c>
      <c r="E7968" s="6"/>
      <c r="F7968" s="6"/>
      <c r="G7968" s="115" t="b">
        <f t="shared" si="486"/>
        <v>1</v>
      </c>
      <c r="H7968" s="6" t="s">
        <v>2189</v>
      </c>
      <c r="I7968" t="s">
        <v>2160</v>
      </c>
      <c r="J7968">
        <v>11</v>
      </c>
      <c r="L7968" s="26" t="e">
        <f t="shared" si="484"/>
        <v>#VALUE!</v>
      </c>
    </row>
    <row r="7969" spans="1:12" x14ac:dyDescent="0.35">
      <c r="A7969">
        <f t="shared" si="485"/>
        <v>7968</v>
      </c>
      <c r="B7969" t="s">
        <v>112</v>
      </c>
      <c r="C7969" s="109" t="str">
        <f>IF(ISBLANK(K7969),IFERROR(VLOOKUP(I7969,FS_input_data!$C$458:$N$648,Export!J7969,FALSE),""),K7969)</f>
        <v/>
      </c>
      <c r="D7969" s="6"/>
      <c r="E7969" s="6"/>
      <c r="F7969" s="6"/>
      <c r="G7969" s="115" t="b">
        <f t="shared" si="486"/>
        <v>1</v>
      </c>
      <c r="H7969" s="6" t="s">
        <v>2189</v>
      </c>
      <c r="I7969" t="s">
        <v>1561</v>
      </c>
      <c r="J7969" t="s">
        <v>1561</v>
      </c>
      <c r="L7969">
        <f t="shared" si="484"/>
        <v>1</v>
      </c>
    </row>
    <row r="7970" spans="1:12" x14ac:dyDescent="0.35">
      <c r="A7970" s="9">
        <f t="shared" si="485"/>
        <v>7969</v>
      </c>
      <c r="B7970" t="s">
        <v>749</v>
      </c>
      <c r="C7970" s="109">
        <f>IF(ISBLANK(K7970),IFERROR(VLOOKUP(I7970,FS_input_data!$C$458:$N$648,Export!J7970,FALSE),""),K7970)</f>
        <v>5000</v>
      </c>
      <c r="D7970" s="6" t="b">
        <v>0</v>
      </c>
      <c r="E7970" s="6"/>
      <c r="F7970" s="6"/>
      <c r="G7970" s="115" t="b">
        <f t="shared" si="486"/>
        <v>1</v>
      </c>
      <c r="H7970" s="6" t="s">
        <v>2189</v>
      </c>
      <c r="I7970" t="s">
        <v>2160</v>
      </c>
      <c r="J7970">
        <v>12</v>
      </c>
      <c r="L7970" s="26" t="e">
        <f t="shared" si="484"/>
        <v>#VALUE!</v>
      </c>
    </row>
    <row r="7971" spans="1:12" x14ac:dyDescent="0.35">
      <c r="A7971">
        <f t="shared" si="485"/>
        <v>7970</v>
      </c>
      <c r="B7971" t="s">
        <v>750</v>
      </c>
      <c r="C7971" s="109" t="str">
        <f>IF(ISBLANK(K7971),IFERROR(VLOOKUP(I7971,FS_input_data!$C$458:$N$648,Export!J7971,FALSE),""),K7971)</f>
        <v/>
      </c>
      <c r="D7971" s="6"/>
      <c r="E7971" s="6"/>
      <c r="F7971" s="6"/>
      <c r="G7971" s="115" t="b">
        <f t="shared" si="486"/>
        <v>1</v>
      </c>
      <c r="H7971" s="6" t="s">
        <v>2189</v>
      </c>
      <c r="I7971" t="s">
        <v>1561</v>
      </c>
      <c r="J7971" t="s">
        <v>1561</v>
      </c>
      <c r="L7971">
        <f t="shared" si="484"/>
        <v>1</v>
      </c>
    </row>
    <row r="7972" spans="1:12" x14ac:dyDescent="0.35">
      <c r="A7972">
        <f t="shared" si="485"/>
        <v>7971</v>
      </c>
      <c r="B7972" t="s">
        <v>745</v>
      </c>
      <c r="C7972" s="109" t="str">
        <f>IF(ISBLANK(K7972),IFERROR(VLOOKUP(I7972,FS_input_data!$C$458:$N$648,Export!J7972,FALSE),""),K7972)</f>
        <v/>
      </c>
      <c r="D7972" s="6"/>
      <c r="E7972" s="6"/>
      <c r="F7972" s="6"/>
      <c r="G7972" s="115" t="b">
        <f t="shared" si="486"/>
        <v>1</v>
      </c>
      <c r="H7972" s="6" t="s">
        <v>2189</v>
      </c>
      <c r="I7972" t="s">
        <v>1561</v>
      </c>
      <c r="J7972" t="s">
        <v>1561</v>
      </c>
      <c r="L7972">
        <f t="shared" si="484"/>
        <v>1</v>
      </c>
    </row>
    <row r="7973" spans="1:12" x14ac:dyDescent="0.35">
      <c r="A7973">
        <f t="shared" si="485"/>
        <v>7972</v>
      </c>
      <c r="B7973" t="s">
        <v>764</v>
      </c>
      <c r="C7973" s="109" t="str">
        <f>IF(ISBLANK(K7973),IFERROR(VLOOKUP(I7973,FS_input_data!$C$458:$N$648,Export!J7973,FALSE),""),K7973)</f>
        <v/>
      </c>
      <c r="D7973" s="6"/>
      <c r="E7973" s="6"/>
      <c r="F7973" s="6"/>
      <c r="G7973" s="115" t="b">
        <f>VLOOKUP(I7942,FS_input_noty,J7942,FALSE)=""</f>
        <v>0</v>
      </c>
      <c r="H7973" s="6" t="s">
        <v>2189</v>
      </c>
      <c r="I7973" t="s">
        <v>1561</v>
      </c>
      <c r="J7973" t="s">
        <v>1561</v>
      </c>
      <c r="L7973">
        <f t="shared" si="484"/>
        <v>1</v>
      </c>
    </row>
    <row r="7974" spans="1:12" x14ac:dyDescent="0.35">
      <c r="A7974">
        <f t="shared" si="485"/>
        <v>7973</v>
      </c>
      <c r="B7974" t="s">
        <v>765</v>
      </c>
      <c r="C7974" s="109" t="str">
        <f>IF(ISBLANK(K7974),IFERROR(VLOOKUP(I7974,FS_input_data!$C$458:$N$648,Export!J7974,FALSE),""),K7974)</f>
        <v/>
      </c>
      <c r="D7974" s="6"/>
      <c r="E7974" s="6"/>
      <c r="F7974" s="6"/>
      <c r="G7974" s="115" t="b">
        <f>VLOOKUP(I7942,FS_input_noty,J7942,FALSE)=""</f>
        <v>0</v>
      </c>
      <c r="H7974" s="6" t="s">
        <v>2189</v>
      </c>
      <c r="I7974" t="s">
        <v>1561</v>
      </c>
      <c r="J7974" t="s">
        <v>1561</v>
      </c>
      <c r="L7974">
        <f t="shared" si="484"/>
        <v>1</v>
      </c>
    </row>
    <row r="7975" spans="1:12" x14ac:dyDescent="0.35">
      <c r="A7975">
        <f t="shared" si="485"/>
        <v>7974</v>
      </c>
      <c r="B7975" t="s">
        <v>752</v>
      </c>
      <c r="C7975" s="109" t="str">
        <f>IF(ISBLANK(K7975),IFERROR(VLOOKUP(I7975,FS_input_data!$C$458:$N$648,Export!J7975,FALSE),""),K7975)</f>
        <v/>
      </c>
      <c r="D7975" s="6"/>
      <c r="E7975" s="6"/>
      <c r="F7975" s="6"/>
      <c r="G7975" s="115" t="b">
        <f>VLOOKUP(I7976,FS_input_noty,J7976,FALSE)=""</f>
        <v>0</v>
      </c>
      <c r="H7975" s="6" t="s">
        <v>2189</v>
      </c>
      <c r="I7975" t="s">
        <v>1561</v>
      </c>
      <c r="J7975" t="s">
        <v>1561</v>
      </c>
      <c r="L7975" s="26" t="e">
        <f t="shared" si="484"/>
        <v>#VALUE!</v>
      </c>
    </row>
    <row r="7976" spans="1:12" x14ac:dyDescent="0.35">
      <c r="A7976" s="9">
        <f t="shared" si="485"/>
        <v>7975</v>
      </c>
      <c r="B7976" t="s">
        <v>101</v>
      </c>
      <c r="C7976" s="109" t="str">
        <f>IF(ISBLANK(K7976),IFERROR(VLOOKUP(I7976,FS_input_data!$C$458:$N$648,Export!J7976,FALSE),""),K7976)</f>
        <v>OC154</v>
      </c>
      <c r="D7976" s="6" t="b">
        <v>1</v>
      </c>
      <c r="E7976" s="6"/>
      <c r="F7976" s="6"/>
      <c r="G7976" s="115" t="b">
        <f>VLOOKUP(I7976,FS_input_noty,J7976,FALSE)=""</f>
        <v>0</v>
      </c>
      <c r="H7976" s="6" t="s">
        <v>2189</v>
      </c>
      <c r="I7976" t="s">
        <v>2162</v>
      </c>
      <c r="J7976">
        <v>6</v>
      </c>
      <c r="L7976" s="26" t="e">
        <f t="shared" si="484"/>
        <v>#VALUE!</v>
      </c>
    </row>
    <row r="7977" spans="1:12" x14ac:dyDescent="0.35">
      <c r="A7977">
        <f t="shared" si="485"/>
        <v>7976</v>
      </c>
      <c r="B7977" t="s">
        <v>102</v>
      </c>
      <c r="C7977" s="109" t="str">
        <f>IF(ISBLANK(K7977),IFERROR(VLOOKUP(I7977,FS_input_data!$C$458:$N$648,Export!J7977,FALSE),""),K7977)</f>
        <v/>
      </c>
      <c r="D7977" s="6"/>
      <c r="E7977" s="6"/>
      <c r="F7977" s="6"/>
      <c r="G7977" s="115" t="b">
        <f>VLOOKUP(I7976,FS_input_noty,J7976,FALSE)=""</f>
        <v>0</v>
      </c>
      <c r="H7977" s="6" t="s">
        <v>2189</v>
      </c>
      <c r="I7977" t="s">
        <v>1561</v>
      </c>
      <c r="J7977" t="s">
        <v>1561</v>
      </c>
      <c r="L7977">
        <f t="shared" si="484"/>
        <v>1</v>
      </c>
    </row>
    <row r="7978" spans="1:12" x14ac:dyDescent="0.35">
      <c r="A7978">
        <f t="shared" si="485"/>
        <v>7977</v>
      </c>
      <c r="B7978" t="s">
        <v>753</v>
      </c>
      <c r="C7978" s="109" t="str">
        <f>IF(ISBLANK(K7978),IFERROR(VLOOKUP(I7978,FS_input_data!$C$458:$N$648,Export!J7978,FALSE),""),K7978)</f>
        <v/>
      </c>
      <c r="D7978" s="6"/>
      <c r="E7978" s="6"/>
      <c r="F7978" s="6"/>
      <c r="G7978" s="115" t="b">
        <f>VLOOKUP(I7976,FS_input_noty,J7976,FALSE)=""</f>
        <v>0</v>
      </c>
      <c r="H7978" s="6" t="s">
        <v>2189</v>
      </c>
      <c r="I7978" t="s">
        <v>1561</v>
      </c>
      <c r="J7978" t="s">
        <v>1561</v>
      </c>
      <c r="L7978" s="26" t="e">
        <f t="shared" si="484"/>
        <v>#VALUE!</v>
      </c>
    </row>
    <row r="7979" spans="1:12" x14ac:dyDescent="0.35">
      <c r="A7979">
        <f t="shared" si="485"/>
        <v>7978</v>
      </c>
      <c r="B7979" t="s">
        <v>742</v>
      </c>
      <c r="C7979" s="109" t="str">
        <f>IF(ISBLANK(K7979),IFERROR(VLOOKUP(I7979,FS_input_data!$C$458:$N$648,Export!J7979,FALSE),""),K7979)</f>
        <v/>
      </c>
      <c r="D7979" s="6"/>
      <c r="E7979" s="6"/>
      <c r="F7979" s="6"/>
      <c r="G7979" s="115" t="b">
        <f>VLOOKUP(I7976,FS_input_noty,J7976,FALSE)=""</f>
        <v>0</v>
      </c>
      <c r="H7979" s="6" t="s">
        <v>2189</v>
      </c>
      <c r="I7979" t="s">
        <v>1561</v>
      </c>
      <c r="J7979" t="s">
        <v>1561</v>
      </c>
      <c r="L7979" s="26" t="e">
        <f t="shared" si="484"/>
        <v>#VALUE!</v>
      </c>
    </row>
    <row r="7980" spans="1:12" x14ac:dyDescent="0.35">
      <c r="A7980">
        <f t="shared" si="485"/>
        <v>7979</v>
      </c>
      <c r="B7980" t="s">
        <v>748</v>
      </c>
      <c r="C7980" s="109" t="str">
        <f>IF(ISBLANK(K7980),IFERROR(VLOOKUP(I7980,FS_input_data!$C$458:$N$648,Export!J7980,FALSE),""),K7980)</f>
        <v/>
      </c>
      <c r="D7980" s="6"/>
      <c r="E7980" s="6"/>
      <c r="F7980" s="6"/>
      <c r="G7980" s="115" t="b">
        <f>VLOOKUP(I7976,FS_input_noty,J7976,FALSE)=""</f>
        <v>0</v>
      </c>
      <c r="H7980" s="6" t="s">
        <v>2189</v>
      </c>
      <c r="I7980" t="s">
        <v>1561</v>
      </c>
      <c r="J7980" t="s">
        <v>1561</v>
      </c>
      <c r="L7980" s="26" t="e">
        <f t="shared" si="484"/>
        <v>#VALUE!</v>
      </c>
    </row>
    <row r="7981" spans="1:12" x14ac:dyDescent="0.35">
      <c r="A7981" s="9">
        <f t="shared" si="485"/>
        <v>7980</v>
      </c>
      <c r="B7981" t="s">
        <v>109</v>
      </c>
      <c r="C7981" s="109">
        <f>IF(ISBLANK(K7981),IFERROR(VLOOKUP(I7981,FS_input_data!$C$458:$N$648,Export!J7981,FALSE),""),K7981)</f>
        <v>11000</v>
      </c>
      <c r="D7981" s="6" t="b">
        <v>1</v>
      </c>
      <c r="E7981" s="6"/>
      <c r="F7981" s="6"/>
      <c r="G7981" s="115" t="b">
        <f>VLOOKUP(I7976,FS_input_noty,J7976,FALSE)=""</f>
        <v>0</v>
      </c>
      <c r="H7981" s="6" t="s">
        <v>2189</v>
      </c>
      <c r="I7981" t="s">
        <v>2162</v>
      </c>
      <c r="J7981">
        <v>7</v>
      </c>
      <c r="L7981" s="26" t="e">
        <f t="shared" si="484"/>
        <v>#VALUE!</v>
      </c>
    </row>
    <row r="7982" spans="1:12" x14ac:dyDescent="0.35">
      <c r="A7982">
        <f t="shared" si="485"/>
        <v>7981</v>
      </c>
      <c r="B7982" t="s">
        <v>110</v>
      </c>
      <c r="C7982" s="109" t="str">
        <f>IF(ISBLANK(K7982),IFERROR(VLOOKUP(I7982,FS_input_data!$C$458:$N$648,Export!J7982,FALSE),""),K7982)</f>
        <v/>
      </c>
      <c r="D7982" s="6"/>
      <c r="E7982" s="6"/>
      <c r="F7982" s="6"/>
      <c r="G7982" s="115" t="b">
        <f>VLOOKUP(I7976,FS_input_noty,J7976,FALSE)=""</f>
        <v>0</v>
      </c>
      <c r="H7982" s="6" t="s">
        <v>2189</v>
      </c>
      <c r="I7982" t="s">
        <v>1561</v>
      </c>
      <c r="J7982" t="s">
        <v>1561</v>
      </c>
      <c r="L7982">
        <f t="shared" si="484"/>
        <v>1</v>
      </c>
    </row>
    <row r="7983" spans="1:12" x14ac:dyDescent="0.35">
      <c r="A7983" s="9">
        <f t="shared" si="485"/>
        <v>7982</v>
      </c>
      <c r="B7983" t="s">
        <v>111</v>
      </c>
      <c r="C7983" s="109">
        <f>IF(ISBLANK(K7983),IFERROR(VLOOKUP(I7983,FS_input_data!$C$458:$N$648,Export!J7983,FALSE),""),K7983)</f>
        <v>5500</v>
      </c>
      <c r="D7983" s="6" t="b">
        <v>0</v>
      </c>
      <c r="E7983" s="6"/>
      <c r="F7983" s="6"/>
      <c r="G7983" s="115" t="b">
        <f>VLOOKUP(I7976,FS_input_noty,J7976,TRUE)=""</f>
        <v>0</v>
      </c>
      <c r="H7983" s="6" t="s">
        <v>2189</v>
      </c>
      <c r="I7983" t="s">
        <v>2162</v>
      </c>
      <c r="J7983">
        <v>8</v>
      </c>
      <c r="L7983" s="26" t="e">
        <f t="shared" si="484"/>
        <v>#VALUE!</v>
      </c>
    </row>
    <row r="7984" spans="1:12" x14ac:dyDescent="0.35">
      <c r="A7984">
        <f t="shared" si="485"/>
        <v>7983</v>
      </c>
      <c r="B7984" t="s">
        <v>112</v>
      </c>
      <c r="C7984" s="109" t="str">
        <f>IF(ISBLANK(K7984),IFERROR(VLOOKUP(I7984,FS_input_data!$C$458:$N$648,Export!J7984,FALSE),""),K7984)</f>
        <v/>
      </c>
      <c r="D7984" s="6"/>
      <c r="E7984" s="6"/>
      <c r="F7984" s="6"/>
      <c r="G7984" s="115" t="b">
        <f>VLOOKUP(I7976,FS_input_noty,J7976,FALSE)=""</f>
        <v>0</v>
      </c>
      <c r="H7984" s="6" t="s">
        <v>2189</v>
      </c>
      <c r="I7984" t="s">
        <v>1561</v>
      </c>
      <c r="J7984" t="s">
        <v>1561</v>
      </c>
      <c r="L7984">
        <f t="shared" si="484"/>
        <v>1</v>
      </c>
    </row>
    <row r="7985" spans="1:12" x14ac:dyDescent="0.35">
      <c r="A7985" s="9">
        <f t="shared" si="485"/>
        <v>7984</v>
      </c>
      <c r="B7985" t="s">
        <v>749</v>
      </c>
      <c r="C7985" s="109">
        <f>IF(ISBLANK(K7985),IFERROR(VLOOKUP(I7985,FS_input_data!$C$458:$N$648,Export!J7985,FALSE),""),K7985)</f>
        <v>5500</v>
      </c>
      <c r="D7985" s="6" t="b">
        <v>0</v>
      </c>
      <c r="E7985" s="6"/>
      <c r="F7985" s="6"/>
      <c r="G7985" s="115" t="b">
        <f>VLOOKUP(I7976,FS_input_noty,J7976,FALSE)=""</f>
        <v>0</v>
      </c>
      <c r="H7985" s="6" t="s">
        <v>2189</v>
      </c>
      <c r="I7985" t="s">
        <v>2162</v>
      </c>
      <c r="J7985">
        <v>9</v>
      </c>
      <c r="L7985" s="26" t="e">
        <f t="shared" si="484"/>
        <v>#VALUE!</v>
      </c>
    </row>
    <row r="7986" spans="1:12" x14ac:dyDescent="0.35">
      <c r="A7986">
        <f t="shared" si="485"/>
        <v>7985</v>
      </c>
      <c r="B7986" t="s">
        <v>750</v>
      </c>
      <c r="C7986" s="109" t="str">
        <f>IF(ISBLANK(K7986),IFERROR(VLOOKUP(I7986,FS_input_data!$C$458:$N$648,Export!J7986,FALSE),""),K7986)</f>
        <v/>
      </c>
      <c r="D7986" s="6"/>
      <c r="E7986" s="6"/>
      <c r="F7986" s="6"/>
      <c r="G7986" s="115" t="b">
        <f>VLOOKUP(I7976,FS_input_noty,J7976,FALSE)=""</f>
        <v>0</v>
      </c>
      <c r="H7986" s="6" t="s">
        <v>2189</v>
      </c>
      <c r="I7986" t="s">
        <v>1561</v>
      </c>
      <c r="J7986" t="s">
        <v>1561</v>
      </c>
      <c r="L7986">
        <f t="shared" si="484"/>
        <v>1</v>
      </c>
    </row>
    <row r="7987" spans="1:12" x14ac:dyDescent="0.35">
      <c r="A7987">
        <f t="shared" si="485"/>
        <v>7986</v>
      </c>
      <c r="B7987" t="s">
        <v>751</v>
      </c>
      <c r="C7987" s="109" t="str">
        <f>IF(ISBLANK(K7987),IFERROR(VLOOKUP(I7987,FS_input_data!$C$458:$N$648,Export!J7987,FALSE),""),K7987)</f>
        <v/>
      </c>
      <c r="D7987" s="6"/>
      <c r="E7987" s="6"/>
      <c r="F7987" s="6"/>
      <c r="G7987" s="115" t="b">
        <f>VLOOKUP(I7976,FS_input_noty,J7976,FALSE)=""</f>
        <v>0</v>
      </c>
      <c r="H7987" s="6" t="s">
        <v>2189</v>
      </c>
      <c r="I7987" t="s">
        <v>1561</v>
      </c>
      <c r="J7987" t="s">
        <v>1561</v>
      </c>
      <c r="L7987">
        <f t="shared" si="484"/>
        <v>1</v>
      </c>
    </row>
    <row r="7988" spans="1:12" x14ac:dyDescent="0.35">
      <c r="A7988">
        <f t="shared" si="485"/>
        <v>7987</v>
      </c>
      <c r="B7988" t="s">
        <v>754</v>
      </c>
      <c r="C7988" s="109" t="str">
        <f>IF(ISBLANK(K7988),IFERROR(VLOOKUP(I7988,FS_input_data!$C$458:$N$648,Export!J7988,FALSE),""),K7988)</f>
        <v/>
      </c>
      <c r="D7988" s="6"/>
      <c r="E7988" s="6"/>
      <c r="F7988" s="6"/>
      <c r="G7988" s="115" t="b">
        <f>VLOOKUP(I7976,FS_input_noty,J7976,FALSE)=""</f>
        <v>0</v>
      </c>
      <c r="H7988" s="6" t="s">
        <v>2189</v>
      </c>
      <c r="I7988" t="s">
        <v>1561</v>
      </c>
      <c r="J7988" t="s">
        <v>1561</v>
      </c>
      <c r="L7988" s="26" t="e">
        <f t="shared" si="484"/>
        <v>#VALUE!</v>
      </c>
    </row>
    <row r="7989" spans="1:12" x14ac:dyDescent="0.35">
      <c r="A7989" s="9">
        <f t="shared" si="485"/>
        <v>7988</v>
      </c>
      <c r="B7989" t="s">
        <v>755</v>
      </c>
      <c r="C7989" s="109">
        <f>IF(ISBLANK(K7989),IFERROR(VLOOKUP(I7989,FS_input_data!$C$458:$N$648,Export!J7989,FALSE),""),K7989)</f>
        <v>177</v>
      </c>
      <c r="D7989" s="6" t="b">
        <v>1</v>
      </c>
      <c r="E7989" s="6"/>
      <c r="F7989" s="6"/>
      <c r="G7989" s="115" t="b">
        <f>VLOOKUP(I7976,FS_input_noty,J7976,FALSE)=""</f>
        <v>0</v>
      </c>
      <c r="H7989" s="6" t="s">
        <v>2189</v>
      </c>
      <c r="I7989" t="s">
        <v>2162</v>
      </c>
      <c r="J7989">
        <v>2</v>
      </c>
      <c r="L7989" s="26" t="e">
        <f t="shared" si="484"/>
        <v>#VALUE!</v>
      </c>
    </row>
    <row r="7990" spans="1:12" x14ac:dyDescent="0.35">
      <c r="A7990">
        <f t="shared" si="485"/>
        <v>7989</v>
      </c>
      <c r="B7990" t="s">
        <v>756</v>
      </c>
      <c r="C7990" s="109" t="str">
        <f>IF(ISBLANK(K7990),IFERROR(VLOOKUP(I7990,FS_input_data!$C$458:$N$648,Export!J7990,FALSE),""),K7990)</f>
        <v/>
      </c>
      <c r="D7990" s="6"/>
      <c r="E7990" s="6"/>
      <c r="F7990" s="6"/>
      <c r="G7990" s="115" t="b">
        <f>VLOOKUP(I7976,FS_input_noty,J7976,FALSE)=""</f>
        <v>0</v>
      </c>
      <c r="H7990" s="6" t="s">
        <v>2189</v>
      </c>
      <c r="I7990" t="s">
        <v>1561</v>
      </c>
      <c r="J7990" t="s">
        <v>1561</v>
      </c>
      <c r="L7990">
        <f t="shared" si="484"/>
        <v>1</v>
      </c>
    </row>
    <row r="7991" spans="1:12" x14ac:dyDescent="0.35">
      <c r="A7991" s="9">
        <f t="shared" si="485"/>
        <v>7990</v>
      </c>
      <c r="B7991" t="s">
        <v>757</v>
      </c>
      <c r="C7991" s="109">
        <f>IF(ISBLANK(K7991),IFERROR(VLOOKUP(I7991,FS_input_data!$C$458:$N$648,Export!J7991,FALSE),""),K7991)</f>
        <v>277</v>
      </c>
      <c r="D7991" s="6" t="b">
        <v>0</v>
      </c>
      <c r="E7991" s="6"/>
      <c r="F7991" s="6"/>
      <c r="G7991" s="115" t="b">
        <f>VLOOKUP(I7976,FS_input_noty,J7976,FALSE)=""</f>
        <v>0</v>
      </c>
      <c r="H7991" s="6" t="s">
        <v>2189</v>
      </c>
      <c r="I7991" t="s">
        <v>2162</v>
      </c>
      <c r="J7991">
        <v>3</v>
      </c>
      <c r="L7991" s="26" t="e">
        <f t="shared" si="484"/>
        <v>#VALUE!</v>
      </c>
    </row>
    <row r="7992" spans="1:12" x14ac:dyDescent="0.35">
      <c r="A7992">
        <f t="shared" si="485"/>
        <v>7991</v>
      </c>
      <c r="B7992" t="s">
        <v>758</v>
      </c>
      <c r="C7992" s="109" t="str">
        <f>IF(ISBLANK(K7992),IFERROR(VLOOKUP(I7992,FS_input_data!$C$458:$N$648,Export!J7992,FALSE),""),K7992)</f>
        <v/>
      </c>
      <c r="D7992" s="6"/>
      <c r="E7992" s="6"/>
      <c r="F7992" s="6"/>
      <c r="G7992" s="115" t="b">
        <f>VLOOKUP(I7976,FS_input_noty,J7976,FALSE)=""</f>
        <v>0</v>
      </c>
      <c r="H7992" s="6" t="s">
        <v>2189</v>
      </c>
      <c r="I7992" t="s">
        <v>1561</v>
      </c>
      <c r="J7992" t="s">
        <v>1561</v>
      </c>
      <c r="L7992">
        <f t="shared" si="484"/>
        <v>1</v>
      </c>
    </row>
    <row r="7993" spans="1:12" x14ac:dyDescent="0.35">
      <c r="A7993" s="9">
        <f t="shared" si="485"/>
        <v>7992</v>
      </c>
      <c r="B7993" t="s">
        <v>759</v>
      </c>
      <c r="C7993" s="109">
        <f>IF(ISBLANK(K7993),IFERROR(VLOOKUP(I7993,FS_input_data!$C$458:$N$648,Export!J7993,FALSE),""),K7993)</f>
        <v>377</v>
      </c>
      <c r="D7993" s="6" t="b">
        <v>0</v>
      </c>
      <c r="E7993" s="6"/>
      <c r="F7993" s="6"/>
      <c r="G7993" s="115" t="b">
        <f>VLOOKUP(I7976,FS_input_noty,J7976,FALSE)=""</f>
        <v>0</v>
      </c>
      <c r="H7993" s="6" t="s">
        <v>2189</v>
      </c>
      <c r="I7993" t="s">
        <v>2162</v>
      </c>
      <c r="J7993">
        <v>4</v>
      </c>
      <c r="L7993" s="26" t="e">
        <f t="shared" si="484"/>
        <v>#VALUE!</v>
      </c>
    </row>
    <row r="7994" spans="1:12" x14ac:dyDescent="0.35">
      <c r="A7994">
        <f t="shared" si="485"/>
        <v>7993</v>
      </c>
      <c r="B7994" t="s">
        <v>760</v>
      </c>
      <c r="C7994" s="109" t="str">
        <f>IF(ISBLANK(K7994),IFERROR(VLOOKUP(I7994,FS_input_data!$C$458:$N$648,Export!J7994,FALSE),""),K7994)</f>
        <v/>
      </c>
      <c r="D7994" s="6"/>
      <c r="E7994" s="6"/>
      <c r="F7994" s="6"/>
      <c r="G7994" s="115" t="b">
        <f>VLOOKUP(I7976,FS_input_noty,J7976,FALSE)=""</f>
        <v>0</v>
      </c>
      <c r="H7994" s="6" t="s">
        <v>2189</v>
      </c>
      <c r="I7994" t="s">
        <v>1561</v>
      </c>
      <c r="J7994" t="s">
        <v>1561</v>
      </c>
      <c r="L7994">
        <f t="shared" si="484"/>
        <v>1</v>
      </c>
    </row>
    <row r="7995" spans="1:12" x14ac:dyDescent="0.35">
      <c r="A7995" s="9">
        <f t="shared" si="485"/>
        <v>7994</v>
      </c>
      <c r="B7995" t="s">
        <v>761</v>
      </c>
      <c r="C7995" s="109" t="str">
        <f>IF(ISBLANK(K7995),IFERROR(VLOOKUP(I7995,FS_input_data!$C$458:$N$648,Export!J7995,FALSE),""),K7995)</f>
        <v>e</v>
      </c>
      <c r="D7995" s="6" t="b">
        <v>0</v>
      </c>
      <c r="E7995" s="6"/>
      <c r="F7995" s="6"/>
      <c r="G7995" s="115" t="b">
        <f>VLOOKUP(I7976,FS_input_noty,J7976,FALSE)=""</f>
        <v>0</v>
      </c>
      <c r="H7995" s="6" t="s">
        <v>2189</v>
      </c>
      <c r="I7995" t="s">
        <v>2162</v>
      </c>
      <c r="J7995">
        <v>5</v>
      </c>
      <c r="L7995" s="26" t="e">
        <f t="shared" si="484"/>
        <v>#VALUE!</v>
      </c>
    </row>
    <row r="7996" spans="1:12" x14ac:dyDescent="0.35">
      <c r="A7996">
        <f t="shared" si="485"/>
        <v>7995</v>
      </c>
      <c r="B7996" t="s">
        <v>762</v>
      </c>
      <c r="C7996" s="109" t="str">
        <f>IF(ISBLANK(K7996),IFERROR(VLOOKUP(I7996,FS_input_data!$C$458:$N$648,Export!J7996,FALSE),""),K7996)</f>
        <v/>
      </c>
      <c r="D7996" s="6"/>
      <c r="E7996" s="6"/>
      <c r="F7996" s="6"/>
      <c r="G7996" s="115" t="b">
        <f>VLOOKUP(I7976,FS_input_noty,J7976,FALSE)=""</f>
        <v>0</v>
      </c>
      <c r="H7996" s="6" t="s">
        <v>2189</v>
      </c>
      <c r="I7996" t="s">
        <v>1561</v>
      </c>
      <c r="J7996" t="s">
        <v>1561</v>
      </c>
      <c r="L7996">
        <f t="shared" si="484"/>
        <v>1</v>
      </c>
    </row>
    <row r="7997" spans="1:12" x14ac:dyDescent="0.35">
      <c r="A7997">
        <f t="shared" si="485"/>
        <v>7996</v>
      </c>
      <c r="B7997" t="s">
        <v>763</v>
      </c>
      <c r="C7997" s="109" t="str">
        <f>IF(ISBLANK(K7997),IFERROR(VLOOKUP(I7997,FS_input_data!$C$458:$N$648,Export!J7997,FALSE),""),K7997)</f>
        <v/>
      </c>
      <c r="D7997" s="6"/>
      <c r="E7997" s="6"/>
      <c r="F7997" s="6"/>
      <c r="G7997" s="115" t="b">
        <f>VLOOKUP(I7976,FS_input_noty,J7976,FALSE)=""</f>
        <v>0</v>
      </c>
      <c r="H7997" s="6" t="s">
        <v>2189</v>
      </c>
      <c r="I7997" t="s">
        <v>1561</v>
      </c>
      <c r="J7997" t="s">
        <v>1561</v>
      </c>
      <c r="L7997">
        <f t="shared" si="484"/>
        <v>1</v>
      </c>
    </row>
    <row r="7998" spans="1:12" x14ac:dyDescent="0.35">
      <c r="A7998">
        <f t="shared" si="485"/>
        <v>7997</v>
      </c>
      <c r="B7998" t="s">
        <v>743</v>
      </c>
      <c r="C7998" s="109" t="str">
        <f>IF(ISBLANK(K7998),IFERROR(VLOOKUP(I7998,FS_input_data!$C$458:$N$648,Export!J7998,FALSE),""),K7998)</f>
        <v/>
      </c>
      <c r="D7998" s="6"/>
      <c r="E7998" s="6"/>
      <c r="F7998" s="6"/>
      <c r="G7998" s="115" t="b">
        <f>VLOOKUP(I7976,FS_input_noty,J7976,FALSE)=""</f>
        <v>0</v>
      </c>
      <c r="H7998" s="6" t="s">
        <v>2189</v>
      </c>
      <c r="I7998" t="s">
        <v>1561</v>
      </c>
      <c r="J7998" t="s">
        <v>1561</v>
      </c>
      <c r="L7998">
        <f t="shared" si="484"/>
        <v>1</v>
      </c>
    </row>
    <row r="7999" spans="1:12" x14ac:dyDescent="0.35">
      <c r="A7999">
        <f t="shared" si="485"/>
        <v>7998</v>
      </c>
      <c r="B7999" t="s">
        <v>744</v>
      </c>
      <c r="C7999" s="109" t="str">
        <f>IF(ISBLANK(K7999),IFERROR(VLOOKUP(I7999,FS_input_data!$C$458:$N$648,Export!J7999,FALSE),""),K7999)</f>
        <v/>
      </c>
      <c r="D7999" s="6"/>
      <c r="E7999" s="6"/>
      <c r="F7999" s="6"/>
      <c r="G7999" s="115" t="b">
        <f t="shared" ref="G7999:G8006" si="487">RP_tax</f>
        <v>1</v>
      </c>
      <c r="H7999" s="6" t="s">
        <v>2189</v>
      </c>
      <c r="I7999" t="s">
        <v>1561</v>
      </c>
      <c r="J7999" t="s">
        <v>1561</v>
      </c>
      <c r="L7999" s="26" t="e">
        <f t="shared" si="484"/>
        <v>#VALUE!</v>
      </c>
    </row>
    <row r="8000" spans="1:12" x14ac:dyDescent="0.35">
      <c r="A8000" s="9">
        <f t="shared" si="485"/>
        <v>7999</v>
      </c>
      <c r="B8000" t="s">
        <v>109</v>
      </c>
      <c r="C8000" s="109">
        <f>IF(ISBLANK(K8000),IFERROR(VLOOKUP(I8000,FS_input_data!$C$458:$N$648,Export!J8000,FALSE),""),K8000)</f>
        <v>11000</v>
      </c>
      <c r="D8000" s="6" t="b">
        <v>1</v>
      </c>
      <c r="E8000" s="6"/>
      <c r="F8000" s="6"/>
      <c r="G8000" s="115" t="b">
        <f t="shared" si="487"/>
        <v>1</v>
      </c>
      <c r="H8000" s="6" t="s">
        <v>2189</v>
      </c>
      <c r="I8000" t="s">
        <v>2162</v>
      </c>
      <c r="J8000">
        <v>10</v>
      </c>
      <c r="L8000" s="26" t="e">
        <f t="shared" si="484"/>
        <v>#VALUE!</v>
      </c>
    </row>
    <row r="8001" spans="1:12" x14ac:dyDescent="0.35">
      <c r="A8001">
        <f t="shared" si="485"/>
        <v>8000</v>
      </c>
      <c r="B8001" t="s">
        <v>110</v>
      </c>
      <c r="C8001" s="109" t="str">
        <f>IF(ISBLANK(K8001),IFERROR(VLOOKUP(I8001,FS_input_data!$C$458:$N$648,Export!J8001,FALSE),""),K8001)</f>
        <v/>
      </c>
      <c r="D8001" s="6"/>
      <c r="E8001" s="6"/>
      <c r="F8001" s="6"/>
      <c r="G8001" s="115" t="b">
        <f t="shared" si="487"/>
        <v>1</v>
      </c>
      <c r="H8001" s="6" t="s">
        <v>2189</v>
      </c>
      <c r="I8001" t="s">
        <v>1561</v>
      </c>
      <c r="J8001" t="s">
        <v>1561</v>
      </c>
      <c r="L8001">
        <f t="shared" si="484"/>
        <v>1</v>
      </c>
    </row>
    <row r="8002" spans="1:12" x14ac:dyDescent="0.35">
      <c r="A8002" s="9">
        <f t="shared" si="485"/>
        <v>8001</v>
      </c>
      <c r="B8002" t="s">
        <v>111</v>
      </c>
      <c r="C8002" s="109">
        <f>IF(ISBLANK(K8002),IFERROR(VLOOKUP(I8002,FS_input_data!$C$458:$N$648,Export!J8002,FALSE),""),K8002)</f>
        <v>5500</v>
      </c>
      <c r="D8002" s="6" t="b">
        <v>0</v>
      </c>
      <c r="E8002" s="6"/>
      <c r="F8002" s="6"/>
      <c r="G8002" s="115" t="b">
        <f t="shared" si="487"/>
        <v>1</v>
      </c>
      <c r="H8002" s="6" t="s">
        <v>2189</v>
      </c>
      <c r="I8002" t="s">
        <v>2162</v>
      </c>
      <c r="J8002">
        <v>11</v>
      </c>
      <c r="L8002" s="26" t="e">
        <f t="shared" ref="L8002:L8065" si="488">FIND("/",B8002)</f>
        <v>#VALUE!</v>
      </c>
    </row>
    <row r="8003" spans="1:12" x14ac:dyDescent="0.35">
      <c r="A8003">
        <f t="shared" ref="A8003:A8066" si="489">A8002+1</f>
        <v>8002</v>
      </c>
      <c r="B8003" t="s">
        <v>112</v>
      </c>
      <c r="C8003" s="109" t="str">
        <f>IF(ISBLANK(K8003),IFERROR(VLOOKUP(I8003,FS_input_data!$C$458:$N$648,Export!J8003,FALSE),""),K8003)</f>
        <v/>
      </c>
      <c r="D8003" s="6"/>
      <c r="E8003" s="6"/>
      <c r="F8003" s="6"/>
      <c r="G8003" s="115" t="b">
        <f t="shared" si="487"/>
        <v>1</v>
      </c>
      <c r="H8003" s="6" t="s">
        <v>2189</v>
      </c>
      <c r="I8003" t="s">
        <v>1561</v>
      </c>
      <c r="J8003" t="s">
        <v>1561</v>
      </c>
      <c r="L8003">
        <f t="shared" si="488"/>
        <v>1</v>
      </c>
    </row>
    <row r="8004" spans="1:12" x14ac:dyDescent="0.35">
      <c r="A8004" s="9">
        <f t="shared" si="489"/>
        <v>8003</v>
      </c>
      <c r="B8004" t="s">
        <v>749</v>
      </c>
      <c r="C8004" s="109">
        <f>IF(ISBLANK(K8004),IFERROR(VLOOKUP(I8004,FS_input_data!$C$458:$N$648,Export!J8004,FALSE),""),K8004)</f>
        <v>5500</v>
      </c>
      <c r="D8004" s="6" t="b">
        <v>0</v>
      </c>
      <c r="E8004" s="6"/>
      <c r="F8004" s="6"/>
      <c r="G8004" s="115" t="b">
        <f t="shared" si="487"/>
        <v>1</v>
      </c>
      <c r="H8004" s="6" t="s">
        <v>2189</v>
      </c>
      <c r="I8004" t="s">
        <v>2162</v>
      </c>
      <c r="J8004">
        <v>12</v>
      </c>
      <c r="L8004" s="26" t="e">
        <f t="shared" si="488"/>
        <v>#VALUE!</v>
      </c>
    </row>
    <row r="8005" spans="1:12" x14ac:dyDescent="0.35">
      <c r="A8005">
        <f t="shared" si="489"/>
        <v>8004</v>
      </c>
      <c r="B8005" t="s">
        <v>750</v>
      </c>
      <c r="C8005" s="109" t="str">
        <f>IF(ISBLANK(K8005),IFERROR(VLOOKUP(I8005,FS_input_data!$C$458:$N$648,Export!J8005,FALSE),""),K8005)</f>
        <v/>
      </c>
      <c r="D8005" s="6"/>
      <c r="E8005" s="6"/>
      <c r="F8005" s="6"/>
      <c r="G8005" s="115" t="b">
        <f t="shared" si="487"/>
        <v>1</v>
      </c>
      <c r="H8005" s="6" t="s">
        <v>2189</v>
      </c>
      <c r="I8005" t="s">
        <v>1561</v>
      </c>
      <c r="J8005" t="s">
        <v>1561</v>
      </c>
      <c r="L8005">
        <f t="shared" si="488"/>
        <v>1</v>
      </c>
    </row>
    <row r="8006" spans="1:12" x14ac:dyDescent="0.35">
      <c r="A8006">
        <f t="shared" si="489"/>
        <v>8005</v>
      </c>
      <c r="B8006" t="s">
        <v>745</v>
      </c>
      <c r="C8006" s="109" t="str">
        <f>IF(ISBLANK(K8006),IFERROR(VLOOKUP(I8006,FS_input_data!$C$458:$N$648,Export!J8006,FALSE),""),K8006)</f>
        <v/>
      </c>
      <c r="D8006" s="6"/>
      <c r="E8006" s="6"/>
      <c r="F8006" s="6"/>
      <c r="G8006" s="115" t="b">
        <f t="shared" si="487"/>
        <v>1</v>
      </c>
      <c r="H8006" s="6" t="s">
        <v>2189</v>
      </c>
      <c r="I8006" t="s">
        <v>1561</v>
      </c>
      <c r="J8006" t="s">
        <v>1561</v>
      </c>
      <c r="L8006">
        <f t="shared" si="488"/>
        <v>1</v>
      </c>
    </row>
    <row r="8007" spans="1:12" x14ac:dyDescent="0.35">
      <c r="A8007">
        <f t="shared" si="489"/>
        <v>8006</v>
      </c>
      <c r="B8007" t="s">
        <v>764</v>
      </c>
      <c r="C8007" s="109" t="str">
        <f>IF(ISBLANK(K8007),IFERROR(VLOOKUP(I8007,FS_input_data!$C$458:$N$648,Export!J8007,FALSE),""),K8007)</f>
        <v/>
      </c>
      <c r="D8007" s="6"/>
      <c r="E8007" s="6"/>
      <c r="F8007" s="6"/>
      <c r="G8007" s="115" t="b">
        <f>VLOOKUP(I7976,FS_input_noty,J7976,FALSE)=""</f>
        <v>0</v>
      </c>
      <c r="H8007" s="6" t="s">
        <v>2189</v>
      </c>
      <c r="I8007" t="s">
        <v>1561</v>
      </c>
      <c r="J8007" t="s">
        <v>1561</v>
      </c>
      <c r="L8007">
        <f t="shared" si="488"/>
        <v>1</v>
      </c>
    </row>
    <row r="8008" spans="1:12" x14ac:dyDescent="0.35">
      <c r="A8008">
        <f t="shared" si="489"/>
        <v>8007</v>
      </c>
      <c r="B8008" t="s">
        <v>765</v>
      </c>
      <c r="C8008" s="109" t="str">
        <f>IF(ISBLANK(K8008),IFERROR(VLOOKUP(I8008,FS_input_data!$C$458:$N$648,Export!J8008,FALSE),""),K8008)</f>
        <v/>
      </c>
      <c r="D8008" s="6"/>
      <c r="E8008" s="6"/>
      <c r="F8008" s="6"/>
      <c r="G8008" s="115" t="b">
        <f>VLOOKUP(I7976,FS_input_noty,J7976,FALSE)=""</f>
        <v>0</v>
      </c>
      <c r="H8008" s="6" t="s">
        <v>2189</v>
      </c>
      <c r="I8008" t="s">
        <v>1561</v>
      </c>
      <c r="J8008" t="s">
        <v>1561</v>
      </c>
      <c r="L8008">
        <f t="shared" si="488"/>
        <v>1</v>
      </c>
    </row>
    <row r="8009" spans="1:12" x14ac:dyDescent="0.35">
      <c r="A8009">
        <f t="shared" si="489"/>
        <v>8008</v>
      </c>
      <c r="B8009" t="s">
        <v>752</v>
      </c>
      <c r="C8009" s="109" t="str">
        <f>IF(ISBLANK(K8009),IFERROR(VLOOKUP(I8009,FS_input_data!$C$458:$N$648,Export!J8009,FALSE),""),K8009)</f>
        <v/>
      </c>
      <c r="D8009" s="6"/>
      <c r="E8009" s="6"/>
      <c r="F8009" s="6"/>
      <c r="G8009" s="115" t="b">
        <f>VLOOKUP(I8010,FS_input_noty,J8010,FALSE)=""</f>
        <v>0</v>
      </c>
      <c r="H8009" s="6" t="s">
        <v>2189</v>
      </c>
      <c r="I8009" t="s">
        <v>1561</v>
      </c>
      <c r="J8009" t="s">
        <v>1561</v>
      </c>
      <c r="L8009" s="26" t="e">
        <f t="shared" si="488"/>
        <v>#VALUE!</v>
      </c>
    </row>
    <row r="8010" spans="1:12" x14ac:dyDescent="0.35">
      <c r="A8010" s="9">
        <f t="shared" si="489"/>
        <v>8009</v>
      </c>
      <c r="B8010" t="s">
        <v>101</v>
      </c>
      <c r="C8010" s="109" t="str">
        <f>IF(ISBLANK(K8010),IFERROR(VLOOKUP(I8010,FS_input_data!$C$458:$N$648,Export!J8010,FALSE),""),K8010)</f>
        <v>OC155</v>
      </c>
      <c r="D8010" s="6" t="b">
        <v>1</v>
      </c>
      <c r="E8010" s="6"/>
      <c r="F8010" s="6"/>
      <c r="G8010" s="115" t="b">
        <f>VLOOKUP(I8010,FS_input_noty,J8010,FALSE)=""</f>
        <v>0</v>
      </c>
      <c r="H8010" s="6" t="s">
        <v>2189</v>
      </c>
      <c r="I8010" t="s">
        <v>2164</v>
      </c>
      <c r="J8010">
        <v>6</v>
      </c>
      <c r="L8010" s="26" t="e">
        <f t="shared" si="488"/>
        <v>#VALUE!</v>
      </c>
    </row>
    <row r="8011" spans="1:12" x14ac:dyDescent="0.35">
      <c r="A8011">
        <f t="shared" si="489"/>
        <v>8010</v>
      </c>
      <c r="B8011" t="s">
        <v>102</v>
      </c>
      <c r="C8011" s="109" t="str">
        <f>IF(ISBLANK(K8011),IFERROR(VLOOKUP(I8011,FS_input_data!$C$458:$N$648,Export!J8011,FALSE),""),K8011)</f>
        <v/>
      </c>
      <c r="D8011" s="6"/>
      <c r="E8011" s="6"/>
      <c r="F8011" s="6"/>
      <c r="G8011" s="115" t="b">
        <f>VLOOKUP(I8010,FS_input_noty,J8010,FALSE)=""</f>
        <v>0</v>
      </c>
      <c r="H8011" s="6" t="s">
        <v>2189</v>
      </c>
      <c r="I8011" t="s">
        <v>1561</v>
      </c>
      <c r="J8011" t="s">
        <v>1561</v>
      </c>
      <c r="L8011">
        <f t="shared" si="488"/>
        <v>1</v>
      </c>
    </row>
    <row r="8012" spans="1:12" x14ac:dyDescent="0.35">
      <c r="A8012">
        <f t="shared" si="489"/>
        <v>8011</v>
      </c>
      <c r="B8012" t="s">
        <v>753</v>
      </c>
      <c r="C8012" s="109" t="str">
        <f>IF(ISBLANK(K8012),IFERROR(VLOOKUP(I8012,FS_input_data!$C$458:$N$648,Export!J8012,FALSE),""),K8012)</f>
        <v/>
      </c>
      <c r="D8012" s="6"/>
      <c r="E8012" s="6"/>
      <c r="F8012" s="6"/>
      <c r="G8012" s="115" t="b">
        <f>VLOOKUP(I8010,FS_input_noty,J8010,FALSE)=""</f>
        <v>0</v>
      </c>
      <c r="H8012" s="6" t="s">
        <v>2189</v>
      </c>
      <c r="I8012" t="s">
        <v>1561</v>
      </c>
      <c r="J8012" t="s">
        <v>1561</v>
      </c>
      <c r="L8012" s="26" t="e">
        <f t="shared" si="488"/>
        <v>#VALUE!</v>
      </c>
    </row>
    <row r="8013" spans="1:12" x14ac:dyDescent="0.35">
      <c r="A8013">
        <f t="shared" si="489"/>
        <v>8012</v>
      </c>
      <c r="B8013" t="s">
        <v>742</v>
      </c>
      <c r="C8013" s="109" t="str">
        <f>IF(ISBLANK(K8013),IFERROR(VLOOKUP(I8013,FS_input_data!$C$458:$N$648,Export!J8013,FALSE),""),K8013)</f>
        <v/>
      </c>
      <c r="D8013" s="6"/>
      <c r="E8013" s="6"/>
      <c r="F8013" s="6"/>
      <c r="G8013" s="115" t="b">
        <f>VLOOKUP(I8010,FS_input_noty,J8010,FALSE)=""</f>
        <v>0</v>
      </c>
      <c r="H8013" s="6" t="s">
        <v>2189</v>
      </c>
      <c r="I8013" t="s">
        <v>1561</v>
      </c>
      <c r="J8013" t="s">
        <v>1561</v>
      </c>
      <c r="L8013" s="26" t="e">
        <f t="shared" si="488"/>
        <v>#VALUE!</v>
      </c>
    </row>
    <row r="8014" spans="1:12" x14ac:dyDescent="0.35">
      <c r="A8014">
        <f t="shared" si="489"/>
        <v>8013</v>
      </c>
      <c r="B8014" t="s">
        <v>748</v>
      </c>
      <c r="C8014" s="109" t="str">
        <f>IF(ISBLANK(K8014),IFERROR(VLOOKUP(I8014,FS_input_data!$C$458:$N$648,Export!J8014,FALSE),""),K8014)</f>
        <v/>
      </c>
      <c r="D8014" s="6"/>
      <c r="E8014" s="6"/>
      <c r="F8014" s="6"/>
      <c r="G8014" s="115" t="b">
        <f>VLOOKUP(I8010,FS_input_noty,J8010,FALSE)=""</f>
        <v>0</v>
      </c>
      <c r="H8014" s="6" t="s">
        <v>2189</v>
      </c>
      <c r="I8014" t="s">
        <v>1561</v>
      </c>
      <c r="J8014" t="s">
        <v>1561</v>
      </c>
      <c r="L8014" s="26" t="e">
        <f t="shared" si="488"/>
        <v>#VALUE!</v>
      </c>
    </row>
    <row r="8015" spans="1:12" x14ac:dyDescent="0.35">
      <c r="A8015" s="9">
        <f t="shared" si="489"/>
        <v>8014</v>
      </c>
      <c r="B8015" t="s">
        <v>109</v>
      </c>
      <c r="C8015" s="109">
        <f>IF(ISBLANK(K8015),IFERROR(VLOOKUP(I8015,FS_input_data!$C$458:$N$648,Export!J8015,FALSE),""),K8015)</f>
        <v>12000</v>
      </c>
      <c r="D8015" s="6" t="b">
        <v>1</v>
      </c>
      <c r="E8015" s="6"/>
      <c r="F8015" s="6"/>
      <c r="G8015" s="115" t="b">
        <f>VLOOKUP(I8010,FS_input_noty,J8010,FALSE)=""</f>
        <v>0</v>
      </c>
      <c r="H8015" s="6" t="s">
        <v>2189</v>
      </c>
      <c r="I8015" t="s">
        <v>2164</v>
      </c>
      <c r="J8015">
        <v>7</v>
      </c>
      <c r="L8015" s="26" t="e">
        <f t="shared" si="488"/>
        <v>#VALUE!</v>
      </c>
    </row>
    <row r="8016" spans="1:12" x14ac:dyDescent="0.35">
      <c r="A8016">
        <f t="shared" si="489"/>
        <v>8015</v>
      </c>
      <c r="B8016" t="s">
        <v>110</v>
      </c>
      <c r="C8016" s="109" t="str">
        <f>IF(ISBLANK(K8016),IFERROR(VLOOKUP(I8016,FS_input_data!$C$458:$N$648,Export!J8016,FALSE),""),K8016)</f>
        <v/>
      </c>
      <c r="D8016" s="6"/>
      <c r="E8016" s="6"/>
      <c r="F8016" s="6"/>
      <c r="G8016" s="115" t="b">
        <f>VLOOKUP(I8010,FS_input_noty,J8010,FALSE)=""</f>
        <v>0</v>
      </c>
      <c r="H8016" s="6" t="s">
        <v>2189</v>
      </c>
      <c r="I8016" t="s">
        <v>1561</v>
      </c>
      <c r="J8016" t="s">
        <v>1561</v>
      </c>
      <c r="L8016">
        <f t="shared" si="488"/>
        <v>1</v>
      </c>
    </row>
    <row r="8017" spans="1:12" x14ac:dyDescent="0.35">
      <c r="A8017" s="9">
        <f t="shared" si="489"/>
        <v>8016</v>
      </c>
      <c r="B8017" t="s">
        <v>111</v>
      </c>
      <c r="C8017" s="109">
        <f>IF(ISBLANK(K8017),IFERROR(VLOOKUP(I8017,FS_input_data!$C$458:$N$648,Export!J8017,FALSE),""),K8017)</f>
        <v>6000</v>
      </c>
      <c r="D8017" s="6" t="b">
        <v>0</v>
      </c>
      <c r="E8017" s="6"/>
      <c r="F8017" s="6"/>
      <c r="G8017" s="115" t="b">
        <f>VLOOKUP(I8010,FS_input_noty,J8010,TRUE)=""</f>
        <v>0</v>
      </c>
      <c r="H8017" s="6" t="s">
        <v>2189</v>
      </c>
      <c r="I8017" t="s">
        <v>2164</v>
      </c>
      <c r="J8017">
        <v>8</v>
      </c>
      <c r="L8017" s="26" t="e">
        <f t="shared" si="488"/>
        <v>#VALUE!</v>
      </c>
    </row>
    <row r="8018" spans="1:12" x14ac:dyDescent="0.35">
      <c r="A8018">
        <f t="shared" si="489"/>
        <v>8017</v>
      </c>
      <c r="B8018" t="s">
        <v>112</v>
      </c>
      <c r="C8018" s="109" t="str">
        <f>IF(ISBLANK(K8018),IFERROR(VLOOKUP(I8018,FS_input_data!$C$458:$N$648,Export!J8018,FALSE),""),K8018)</f>
        <v/>
      </c>
      <c r="D8018" s="6"/>
      <c r="E8018" s="6"/>
      <c r="F8018" s="6"/>
      <c r="G8018" s="115" t="b">
        <f>VLOOKUP(I8010,FS_input_noty,J8010,FALSE)=""</f>
        <v>0</v>
      </c>
      <c r="H8018" s="6" t="s">
        <v>2189</v>
      </c>
      <c r="I8018" t="s">
        <v>1561</v>
      </c>
      <c r="J8018" t="s">
        <v>1561</v>
      </c>
      <c r="L8018">
        <f t="shared" si="488"/>
        <v>1</v>
      </c>
    </row>
    <row r="8019" spans="1:12" x14ac:dyDescent="0.35">
      <c r="A8019" s="9">
        <f t="shared" si="489"/>
        <v>8018</v>
      </c>
      <c r="B8019" t="s">
        <v>749</v>
      </c>
      <c r="C8019" s="109">
        <f>IF(ISBLANK(K8019),IFERROR(VLOOKUP(I8019,FS_input_data!$C$458:$N$648,Export!J8019,FALSE),""),K8019)</f>
        <v>6000</v>
      </c>
      <c r="D8019" s="6" t="b">
        <v>0</v>
      </c>
      <c r="E8019" s="6"/>
      <c r="F8019" s="6"/>
      <c r="G8019" s="115" t="b">
        <f>VLOOKUP(I8010,FS_input_noty,J8010,FALSE)=""</f>
        <v>0</v>
      </c>
      <c r="H8019" s="6" t="s">
        <v>2189</v>
      </c>
      <c r="I8019" t="s">
        <v>2164</v>
      </c>
      <c r="J8019">
        <v>9</v>
      </c>
      <c r="L8019" s="26" t="e">
        <f t="shared" si="488"/>
        <v>#VALUE!</v>
      </c>
    </row>
    <row r="8020" spans="1:12" x14ac:dyDescent="0.35">
      <c r="A8020">
        <f t="shared" si="489"/>
        <v>8019</v>
      </c>
      <c r="B8020" t="s">
        <v>750</v>
      </c>
      <c r="C8020" s="109" t="str">
        <f>IF(ISBLANK(K8020),IFERROR(VLOOKUP(I8020,FS_input_data!$C$458:$N$648,Export!J8020,FALSE),""),K8020)</f>
        <v/>
      </c>
      <c r="D8020" s="6"/>
      <c r="E8020" s="6"/>
      <c r="F8020" s="6"/>
      <c r="G8020" s="115" t="b">
        <f>VLOOKUP(I8010,FS_input_noty,J8010,FALSE)=""</f>
        <v>0</v>
      </c>
      <c r="H8020" s="6" t="s">
        <v>2189</v>
      </c>
      <c r="I8020" t="s">
        <v>1561</v>
      </c>
      <c r="J8020" t="s">
        <v>1561</v>
      </c>
      <c r="L8020">
        <f t="shared" si="488"/>
        <v>1</v>
      </c>
    </row>
    <row r="8021" spans="1:12" x14ac:dyDescent="0.35">
      <c r="A8021">
        <f t="shared" si="489"/>
        <v>8020</v>
      </c>
      <c r="B8021" t="s">
        <v>751</v>
      </c>
      <c r="C8021" s="109" t="str">
        <f>IF(ISBLANK(K8021),IFERROR(VLOOKUP(I8021,FS_input_data!$C$458:$N$648,Export!J8021,FALSE),""),K8021)</f>
        <v/>
      </c>
      <c r="D8021" s="6"/>
      <c r="E8021" s="6"/>
      <c r="F8021" s="6"/>
      <c r="G8021" s="115" t="b">
        <f>VLOOKUP(I8010,FS_input_noty,J8010,FALSE)=""</f>
        <v>0</v>
      </c>
      <c r="H8021" s="6" t="s">
        <v>2189</v>
      </c>
      <c r="I8021" t="s">
        <v>1561</v>
      </c>
      <c r="J8021" t="s">
        <v>1561</v>
      </c>
      <c r="L8021">
        <f t="shared" si="488"/>
        <v>1</v>
      </c>
    </row>
    <row r="8022" spans="1:12" x14ac:dyDescent="0.35">
      <c r="A8022">
        <f t="shared" si="489"/>
        <v>8021</v>
      </c>
      <c r="B8022" t="s">
        <v>754</v>
      </c>
      <c r="C8022" s="109" t="str">
        <f>IF(ISBLANK(K8022),IFERROR(VLOOKUP(I8022,FS_input_data!$C$458:$N$648,Export!J8022,FALSE),""),K8022)</f>
        <v/>
      </c>
      <c r="D8022" s="6"/>
      <c r="E8022" s="6"/>
      <c r="F8022" s="6"/>
      <c r="G8022" s="115" t="b">
        <f>VLOOKUP(I8010,FS_input_noty,J8010,FALSE)=""</f>
        <v>0</v>
      </c>
      <c r="H8022" s="6" t="s">
        <v>2189</v>
      </c>
      <c r="I8022" t="s">
        <v>1561</v>
      </c>
      <c r="J8022" t="s">
        <v>1561</v>
      </c>
      <c r="L8022" s="26" t="e">
        <f t="shared" si="488"/>
        <v>#VALUE!</v>
      </c>
    </row>
    <row r="8023" spans="1:12" x14ac:dyDescent="0.35">
      <c r="A8023" s="9">
        <f t="shared" si="489"/>
        <v>8022</v>
      </c>
      <c r="B8023" t="s">
        <v>755</v>
      </c>
      <c r="C8023" s="109">
        <f>IF(ISBLANK(K8023),IFERROR(VLOOKUP(I8023,FS_input_data!$C$458:$N$648,Export!J8023,FALSE),""),K8023)</f>
        <v>178</v>
      </c>
      <c r="D8023" s="6" t="b">
        <v>1</v>
      </c>
      <c r="E8023" s="6"/>
      <c r="F8023" s="6"/>
      <c r="G8023" s="115" t="b">
        <f>VLOOKUP(I8010,FS_input_noty,J8010,FALSE)=""</f>
        <v>0</v>
      </c>
      <c r="H8023" s="6" t="s">
        <v>2189</v>
      </c>
      <c r="I8023" t="s">
        <v>2164</v>
      </c>
      <c r="J8023">
        <v>2</v>
      </c>
      <c r="L8023" s="26" t="e">
        <f t="shared" si="488"/>
        <v>#VALUE!</v>
      </c>
    </row>
    <row r="8024" spans="1:12" x14ac:dyDescent="0.35">
      <c r="A8024">
        <f t="shared" si="489"/>
        <v>8023</v>
      </c>
      <c r="B8024" t="s">
        <v>756</v>
      </c>
      <c r="C8024" s="109" t="str">
        <f>IF(ISBLANK(K8024),IFERROR(VLOOKUP(I8024,FS_input_data!$C$458:$N$648,Export!J8024,FALSE),""),K8024)</f>
        <v/>
      </c>
      <c r="D8024" s="6"/>
      <c r="E8024" s="6"/>
      <c r="F8024" s="6"/>
      <c r="G8024" s="115" t="b">
        <f>VLOOKUP(I8010,FS_input_noty,J8010,FALSE)=""</f>
        <v>0</v>
      </c>
      <c r="H8024" s="6" t="s">
        <v>2189</v>
      </c>
      <c r="I8024" t="s">
        <v>1561</v>
      </c>
      <c r="J8024" t="s">
        <v>1561</v>
      </c>
      <c r="L8024">
        <f t="shared" si="488"/>
        <v>1</v>
      </c>
    </row>
    <row r="8025" spans="1:12" x14ac:dyDescent="0.35">
      <c r="A8025" s="9">
        <f t="shared" si="489"/>
        <v>8024</v>
      </c>
      <c r="B8025" t="s">
        <v>757</v>
      </c>
      <c r="C8025" s="109">
        <f>IF(ISBLANK(K8025),IFERROR(VLOOKUP(I8025,FS_input_data!$C$458:$N$648,Export!J8025,FALSE),""),K8025)</f>
        <v>278</v>
      </c>
      <c r="D8025" s="6" t="b">
        <v>0</v>
      </c>
      <c r="E8025" s="6"/>
      <c r="F8025" s="6"/>
      <c r="G8025" s="115" t="b">
        <f>VLOOKUP(I8010,FS_input_noty,J8010,FALSE)=""</f>
        <v>0</v>
      </c>
      <c r="H8025" s="6" t="s">
        <v>2189</v>
      </c>
      <c r="I8025" t="s">
        <v>2164</v>
      </c>
      <c r="J8025">
        <v>3</v>
      </c>
      <c r="L8025" s="26" t="e">
        <f t="shared" si="488"/>
        <v>#VALUE!</v>
      </c>
    </row>
    <row r="8026" spans="1:12" x14ac:dyDescent="0.35">
      <c r="A8026">
        <f t="shared" si="489"/>
        <v>8025</v>
      </c>
      <c r="B8026" t="s">
        <v>758</v>
      </c>
      <c r="C8026" s="109" t="str">
        <f>IF(ISBLANK(K8026),IFERROR(VLOOKUP(I8026,FS_input_data!$C$458:$N$648,Export!J8026,FALSE),""),K8026)</f>
        <v/>
      </c>
      <c r="D8026" s="6"/>
      <c r="E8026" s="6"/>
      <c r="F8026" s="6"/>
      <c r="G8026" s="115" t="b">
        <f>VLOOKUP(I8010,FS_input_noty,J8010,FALSE)=""</f>
        <v>0</v>
      </c>
      <c r="H8026" s="6" t="s">
        <v>2189</v>
      </c>
      <c r="I8026" t="s">
        <v>1561</v>
      </c>
      <c r="J8026" t="s">
        <v>1561</v>
      </c>
      <c r="L8026">
        <f t="shared" si="488"/>
        <v>1</v>
      </c>
    </row>
    <row r="8027" spans="1:12" x14ac:dyDescent="0.35">
      <c r="A8027" s="9">
        <f t="shared" si="489"/>
        <v>8026</v>
      </c>
      <c r="B8027" t="s">
        <v>759</v>
      </c>
      <c r="C8027" s="109">
        <f>IF(ISBLANK(K8027),IFERROR(VLOOKUP(I8027,FS_input_data!$C$458:$N$648,Export!J8027,FALSE),""),K8027)</f>
        <v>378</v>
      </c>
      <c r="D8027" s="6" t="b">
        <v>0</v>
      </c>
      <c r="E8027" s="6"/>
      <c r="F8027" s="6"/>
      <c r="G8027" s="115" t="b">
        <f>VLOOKUP(I8010,FS_input_noty,J8010,FALSE)=""</f>
        <v>0</v>
      </c>
      <c r="H8027" s="6" t="s">
        <v>2189</v>
      </c>
      <c r="I8027" t="s">
        <v>2164</v>
      </c>
      <c r="J8027">
        <v>4</v>
      </c>
      <c r="L8027" s="26" t="e">
        <f t="shared" si="488"/>
        <v>#VALUE!</v>
      </c>
    </row>
    <row r="8028" spans="1:12" x14ac:dyDescent="0.35">
      <c r="A8028">
        <f t="shared" si="489"/>
        <v>8027</v>
      </c>
      <c r="B8028" t="s">
        <v>760</v>
      </c>
      <c r="C8028" s="109" t="str">
        <f>IF(ISBLANK(K8028),IFERROR(VLOOKUP(I8028,FS_input_data!$C$458:$N$648,Export!J8028,FALSE),""),K8028)</f>
        <v/>
      </c>
      <c r="D8028" s="6"/>
      <c r="E8028" s="6"/>
      <c r="F8028" s="6"/>
      <c r="G8028" s="115" t="b">
        <f>VLOOKUP(I8010,FS_input_noty,J8010,FALSE)=""</f>
        <v>0</v>
      </c>
      <c r="H8028" s="6" t="s">
        <v>2189</v>
      </c>
      <c r="I8028" t="s">
        <v>1561</v>
      </c>
      <c r="J8028" t="s">
        <v>1561</v>
      </c>
      <c r="L8028">
        <f t="shared" si="488"/>
        <v>1</v>
      </c>
    </row>
    <row r="8029" spans="1:12" x14ac:dyDescent="0.35">
      <c r="A8029" s="9">
        <f t="shared" si="489"/>
        <v>8028</v>
      </c>
      <c r="B8029" t="s">
        <v>761</v>
      </c>
      <c r="C8029" s="109" t="str">
        <f>IF(ISBLANK(K8029),IFERROR(VLOOKUP(I8029,FS_input_data!$C$458:$N$648,Export!J8029,FALSE),""),K8029)</f>
        <v>f</v>
      </c>
      <c r="D8029" s="6" t="b">
        <v>0</v>
      </c>
      <c r="E8029" s="6"/>
      <c r="F8029" s="6"/>
      <c r="G8029" s="115" t="b">
        <f>VLOOKUP(I8010,FS_input_noty,J8010,FALSE)=""</f>
        <v>0</v>
      </c>
      <c r="H8029" s="6" t="s">
        <v>2189</v>
      </c>
      <c r="I8029" t="s">
        <v>2164</v>
      </c>
      <c r="J8029">
        <v>5</v>
      </c>
      <c r="L8029" s="26" t="e">
        <f t="shared" si="488"/>
        <v>#VALUE!</v>
      </c>
    </row>
    <row r="8030" spans="1:12" x14ac:dyDescent="0.35">
      <c r="A8030">
        <f t="shared" si="489"/>
        <v>8029</v>
      </c>
      <c r="B8030" t="s">
        <v>762</v>
      </c>
      <c r="C8030" s="109" t="str">
        <f>IF(ISBLANK(K8030),IFERROR(VLOOKUP(I8030,FS_input_data!$C$458:$N$648,Export!J8030,FALSE),""),K8030)</f>
        <v/>
      </c>
      <c r="D8030" s="6"/>
      <c r="E8030" s="6"/>
      <c r="F8030" s="6"/>
      <c r="G8030" s="115" t="b">
        <f>VLOOKUP(I8010,FS_input_noty,J8010,FALSE)=""</f>
        <v>0</v>
      </c>
      <c r="H8030" s="6" t="s">
        <v>2189</v>
      </c>
      <c r="I8030" t="s">
        <v>1561</v>
      </c>
      <c r="J8030" t="s">
        <v>1561</v>
      </c>
      <c r="L8030">
        <f t="shared" si="488"/>
        <v>1</v>
      </c>
    </row>
    <row r="8031" spans="1:12" x14ac:dyDescent="0.35">
      <c r="A8031">
        <f t="shared" si="489"/>
        <v>8030</v>
      </c>
      <c r="B8031" t="s">
        <v>763</v>
      </c>
      <c r="C8031" s="109" t="str">
        <f>IF(ISBLANK(K8031),IFERROR(VLOOKUP(I8031,FS_input_data!$C$458:$N$648,Export!J8031,FALSE),""),K8031)</f>
        <v/>
      </c>
      <c r="D8031" s="6"/>
      <c r="E8031" s="6"/>
      <c r="F8031" s="6"/>
      <c r="G8031" s="115" t="b">
        <f>VLOOKUP(I8010,FS_input_noty,J8010,FALSE)=""</f>
        <v>0</v>
      </c>
      <c r="H8031" s="6" t="s">
        <v>2189</v>
      </c>
      <c r="I8031" t="s">
        <v>1561</v>
      </c>
      <c r="J8031" t="s">
        <v>1561</v>
      </c>
      <c r="L8031">
        <f t="shared" si="488"/>
        <v>1</v>
      </c>
    </row>
    <row r="8032" spans="1:12" x14ac:dyDescent="0.35">
      <c r="A8032">
        <f t="shared" si="489"/>
        <v>8031</v>
      </c>
      <c r="B8032" t="s">
        <v>743</v>
      </c>
      <c r="C8032" s="109" t="str">
        <f>IF(ISBLANK(K8032),IFERROR(VLOOKUP(I8032,FS_input_data!$C$458:$N$648,Export!J8032,FALSE),""),K8032)</f>
        <v/>
      </c>
      <c r="D8032" s="6"/>
      <c r="E8032" s="6"/>
      <c r="F8032" s="6"/>
      <c r="G8032" s="115" t="b">
        <f>VLOOKUP(I8010,FS_input_noty,J8010,FALSE)=""</f>
        <v>0</v>
      </c>
      <c r="H8032" s="6" t="s">
        <v>2189</v>
      </c>
      <c r="I8032" t="s">
        <v>1561</v>
      </c>
      <c r="J8032" t="s">
        <v>1561</v>
      </c>
      <c r="L8032">
        <f t="shared" si="488"/>
        <v>1</v>
      </c>
    </row>
    <row r="8033" spans="1:12" x14ac:dyDescent="0.35">
      <c r="A8033">
        <f t="shared" si="489"/>
        <v>8032</v>
      </c>
      <c r="B8033" t="s">
        <v>744</v>
      </c>
      <c r="C8033" s="109" t="str">
        <f>IF(ISBLANK(K8033),IFERROR(VLOOKUP(I8033,FS_input_data!$C$458:$N$648,Export!J8033,FALSE),""),K8033)</f>
        <v/>
      </c>
      <c r="D8033" s="6"/>
      <c r="E8033" s="6"/>
      <c r="F8033" s="6"/>
      <c r="G8033" s="115" t="b">
        <f t="shared" ref="G8033:G8040" si="490">RP_tax</f>
        <v>1</v>
      </c>
      <c r="H8033" s="6" t="s">
        <v>2189</v>
      </c>
      <c r="I8033" t="s">
        <v>1561</v>
      </c>
      <c r="J8033" t="s">
        <v>1561</v>
      </c>
      <c r="L8033" s="26" t="e">
        <f t="shared" si="488"/>
        <v>#VALUE!</v>
      </c>
    </row>
    <row r="8034" spans="1:12" x14ac:dyDescent="0.35">
      <c r="A8034" s="9">
        <f t="shared" si="489"/>
        <v>8033</v>
      </c>
      <c r="B8034" t="s">
        <v>109</v>
      </c>
      <c r="C8034" s="109">
        <f>IF(ISBLANK(K8034),IFERROR(VLOOKUP(I8034,FS_input_data!$C$458:$N$648,Export!J8034,FALSE),""),K8034)</f>
        <v>12000</v>
      </c>
      <c r="D8034" s="6" t="b">
        <v>1</v>
      </c>
      <c r="E8034" s="6"/>
      <c r="F8034" s="6"/>
      <c r="G8034" s="115" t="b">
        <f t="shared" si="490"/>
        <v>1</v>
      </c>
      <c r="H8034" s="6" t="s">
        <v>2189</v>
      </c>
      <c r="I8034" t="s">
        <v>2164</v>
      </c>
      <c r="J8034">
        <v>10</v>
      </c>
      <c r="L8034" s="26" t="e">
        <f t="shared" si="488"/>
        <v>#VALUE!</v>
      </c>
    </row>
    <row r="8035" spans="1:12" x14ac:dyDescent="0.35">
      <c r="A8035">
        <f t="shared" si="489"/>
        <v>8034</v>
      </c>
      <c r="B8035" t="s">
        <v>110</v>
      </c>
      <c r="C8035" s="109" t="str">
        <f>IF(ISBLANK(K8035),IFERROR(VLOOKUP(I8035,FS_input_data!$C$458:$N$648,Export!J8035,FALSE),""),K8035)</f>
        <v/>
      </c>
      <c r="D8035" s="6"/>
      <c r="E8035" s="6"/>
      <c r="F8035" s="6"/>
      <c r="G8035" s="115" t="b">
        <f t="shared" si="490"/>
        <v>1</v>
      </c>
      <c r="H8035" s="6" t="s">
        <v>2189</v>
      </c>
      <c r="I8035" t="s">
        <v>1561</v>
      </c>
      <c r="J8035" t="s">
        <v>1561</v>
      </c>
      <c r="L8035">
        <f t="shared" si="488"/>
        <v>1</v>
      </c>
    </row>
    <row r="8036" spans="1:12" x14ac:dyDescent="0.35">
      <c r="A8036" s="9">
        <f t="shared" si="489"/>
        <v>8035</v>
      </c>
      <c r="B8036" t="s">
        <v>111</v>
      </c>
      <c r="C8036" s="109">
        <f>IF(ISBLANK(K8036),IFERROR(VLOOKUP(I8036,FS_input_data!$C$458:$N$648,Export!J8036,FALSE),""),K8036)</f>
        <v>6000</v>
      </c>
      <c r="D8036" s="6" t="b">
        <v>0</v>
      </c>
      <c r="E8036" s="6"/>
      <c r="F8036" s="6"/>
      <c r="G8036" s="115" t="b">
        <f t="shared" si="490"/>
        <v>1</v>
      </c>
      <c r="H8036" s="6" t="s">
        <v>2189</v>
      </c>
      <c r="I8036" t="s">
        <v>2164</v>
      </c>
      <c r="J8036">
        <v>11</v>
      </c>
      <c r="L8036" s="26" t="e">
        <f t="shared" si="488"/>
        <v>#VALUE!</v>
      </c>
    </row>
    <row r="8037" spans="1:12" x14ac:dyDescent="0.35">
      <c r="A8037">
        <f t="shared" si="489"/>
        <v>8036</v>
      </c>
      <c r="B8037" t="s">
        <v>112</v>
      </c>
      <c r="C8037" s="109" t="str">
        <f>IF(ISBLANK(K8037),IFERROR(VLOOKUP(I8037,FS_input_data!$C$458:$N$648,Export!J8037,FALSE),""),K8037)</f>
        <v/>
      </c>
      <c r="D8037" s="6"/>
      <c r="E8037" s="6"/>
      <c r="F8037" s="6"/>
      <c r="G8037" s="115" t="b">
        <f t="shared" si="490"/>
        <v>1</v>
      </c>
      <c r="H8037" s="6" t="s">
        <v>2189</v>
      </c>
      <c r="I8037" t="s">
        <v>1561</v>
      </c>
      <c r="J8037" t="s">
        <v>1561</v>
      </c>
      <c r="L8037">
        <f t="shared" si="488"/>
        <v>1</v>
      </c>
    </row>
    <row r="8038" spans="1:12" x14ac:dyDescent="0.35">
      <c r="A8038" s="9">
        <f t="shared" si="489"/>
        <v>8037</v>
      </c>
      <c r="B8038" t="s">
        <v>749</v>
      </c>
      <c r="C8038" s="109">
        <f>IF(ISBLANK(K8038),IFERROR(VLOOKUP(I8038,FS_input_data!$C$458:$N$648,Export!J8038,FALSE),""),K8038)</f>
        <v>6000</v>
      </c>
      <c r="D8038" s="6" t="b">
        <v>0</v>
      </c>
      <c r="E8038" s="6"/>
      <c r="F8038" s="6"/>
      <c r="G8038" s="115" t="b">
        <f t="shared" si="490"/>
        <v>1</v>
      </c>
      <c r="H8038" s="6" t="s">
        <v>2189</v>
      </c>
      <c r="I8038" t="s">
        <v>2164</v>
      </c>
      <c r="J8038">
        <v>12</v>
      </c>
      <c r="L8038" s="26" t="e">
        <f t="shared" si="488"/>
        <v>#VALUE!</v>
      </c>
    </row>
    <row r="8039" spans="1:12" x14ac:dyDescent="0.35">
      <c r="A8039">
        <f t="shared" si="489"/>
        <v>8038</v>
      </c>
      <c r="B8039" t="s">
        <v>750</v>
      </c>
      <c r="C8039" s="109" t="str">
        <f>IF(ISBLANK(K8039),IFERROR(VLOOKUP(I8039,FS_input_data!$C$458:$N$648,Export!J8039,FALSE),""),K8039)</f>
        <v/>
      </c>
      <c r="D8039" s="6"/>
      <c r="E8039" s="6"/>
      <c r="F8039" s="6"/>
      <c r="G8039" s="115" t="b">
        <f t="shared" si="490"/>
        <v>1</v>
      </c>
      <c r="H8039" s="6" t="s">
        <v>2189</v>
      </c>
      <c r="I8039" t="s">
        <v>1561</v>
      </c>
      <c r="J8039" t="s">
        <v>1561</v>
      </c>
      <c r="L8039">
        <f t="shared" si="488"/>
        <v>1</v>
      </c>
    </row>
    <row r="8040" spans="1:12" x14ac:dyDescent="0.35">
      <c r="A8040">
        <f t="shared" si="489"/>
        <v>8039</v>
      </c>
      <c r="B8040" t="s">
        <v>745</v>
      </c>
      <c r="C8040" s="109" t="str">
        <f>IF(ISBLANK(K8040),IFERROR(VLOOKUP(I8040,FS_input_data!$C$458:$N$648,Export!J8040,FALSE),""),K8040)</f>
        <v/>
      </c>
      <c r="D8040" s="6"/>
      <c r="E8040" s="6"/>
      <c r="F8040" s="6"/>
      <c r="G8040" s="115" t="b">
        <f t="shared" si="490"/>
        <v>1</v>
      </c>
      <c r="H8040" s="6" t="s">
        <v>2189</v>
      </c>
      <c r="I8040" t="s">
        <v>1561</v>
      </c>
      <c r="J8040" t="s">
        <v>1561</v>
      </c>
      <c r="L8040">
        <f t="shared" si="488"/>
        <v>1</v>
      </c>
    </row>
    <row r="8041" spans="1:12" x14ac:dyDescent="0.35">
      <c r="A8041">
        <f t="shared" si="489"/>
        <v>8040</v>
      </c>
      <c r="B8041" t="s">
        <v>764</v>
      </c>
      <c r="C8041" s="109" t="str">
        <f>IF(ISBLANK(K8041),IFERROR(VLOOKUP(I8041,FS_input_data!$C$458:$N$648,Export!J8041,FALSE),""),K8041)</f>
        <v/>
      </c>
      <c r="D8041" s="6"/>
      <c r="E8041" s="6"/>
      <c r="F8041" s="6"/>
      <c r="G8041" s="115" t="b">
        <f>VLOOKUP(I8010,FS_input_noty,J8010,FALSE)=""</f>
        <v>0</v>
      </c>
      <c r="H8041" s="6" t="s">
        <v>2189</v>
      </c>
      <c r="I8041" t="s">
        <v>1561</v>
      </c>
      <c r="J8041" t="s">
        <v>1561</v>
      </c>
      <c r="L8041">
        <f t="shared" si="488"/>
        <v>1</v>
      </c>
    </row>
    <row r="8042" spans="1:12" x14ac:dyDescent="0.35">
      <c r="A8042">
        <f t="shared" si="489"/>
        <v>8041</v>
      </c>
      <c r="B8042" t="s">
        <v>765</v>
      </c>
      <c r="C8042" s="109" t="str">
        <f>IF(ISBLANK(K8042),IFERROR(VLOOKUP(I8042,FS_input_data!$C$458:$N$648,Export!J8042,FALSE),""),K8042)</f>
        <v/>
      </c>
      <c r="D8042" s="6"/>
      <c r="E8042" s="6"/>
      <c r="F8042" s="6"/>
      <c r="G8042" s="115" t="b">
        <f>VLOOKUP(I8010,FS_input_noty,J8010,FALSE)=""</f>
        <v>0</v>
      </c>
      <c r="H8042" s="6" t="s">
        <v>2189</v>
      </c>
      <c r="I8042" t="s">
        <v>1561</v>
      </c>
      <c r="J8042" t="s">
        <v>1561</v>
      </c>
      <c r="L8042">
        <f t="shared" si="488"/>
        <v>1</v>
      </c>
    </row>
    <row r="8043" spans="1:12" x14ac:dyDescent="0.35">
      <c r="A8043">
        <f t="shared" si="489"/>
        <v>8042</v>
      </c>
      <c r="B8043" t="s">
        <v>752</v>
      </c>
      <c r="C8043" s="109" t="str">
        <f>IF(ISBLANK(K8043),IFERROR(VLOOKUP(I8043,FS_input_data!$C$458:$N$648,Export!J8043,FALSE),""),K8043)</f>
        <v/>
      </c>
      <c r="D8043" s="6"/>
      <c r="E8043" s="6"/>
      <c r="F8043" s="6"/>
      <c r="G8043" s="115" t="b">
        <f>VLOOKUP(I8044,FS_input_noty,J8044,FALSE)=""</f>
        <v>0</v>
      </c>
      <c r="H8043" s="6" t="s">
        <v>2189</v>
      </c>
      <c r="I8043" t="s">
        <v>1561</v>
      </c>
      <c r="J8043" t="s">
        <v>1561</v>
      </c>
      <c r="L8043" s="26" t="e">
        <f t="shared" si="488"/>
        <v>#VALUE!</v>
      </c>
    </row>
    <row r="8044" spans="1:12" x14ac:dyDescent="0.35">
      <c r="A8044" s="9">
        <f t="shared" si="489"/>
        <v>8043</v>
      </c>
      <c r="B8044" t="s">
        <v>101</v>
      </c>
      <c r="C8044" s="109" t="str">
        <f>IF(ISBLANK(K8044),IFERROR(VLOOKUP(I8044,FS_input_data!$C$458:$N$648,Export!J8044,FALSE),""),K8044)</f>
        <v>OC156</v>
      </c>
      <c r="D8044" s="6" t="b">
        <v>1</v>
      </c>
      <c r="E8044" s="6"/>
      <c r="F8044" s="6"/>
      <c r="G8044" s="115" t="b">
        <f>VLOOKUP(I8044,FS_input_noty,J8044,FALSE)=""</f>
        <v>0</v>
      </c>
      <c r="H8044" s="6" t="s">
        <v>2189</v>
      </c>
      <c r="I8044" t="s">
        <v>2166</v>
      </c>
      <c r="J8044">
        <v>6</v>
      </c>
      <c r="L8044" s="26" t="e">
        <f t="shared" si="488"/>
        <v>#VALUE!</v>
      </c>
    </row>
    <row r="8045" spans="1:12" x14ac:dyDescent="0.35">
      <c r="A8045">
        <f t="shared" si="489"/>
        <v>8044</v>
      </c>
      <c r="B8045" t="s">
        <v>102</v>
      </c>
      <c r="C8045" s="109" t="str">
        <f>IF(ISBLANK(K8045),IFERROR(VLOOKUP(I8045,FS_input_data!$C$458:$N$648,Export!J8045,FALSE),""),K8045)</f>
        <v/>
      </c>
      <c r="D8045" s="6"/>
      <c r="E8045" s="6"/>
      <c r="F8045" s="6"/>
      <c r="G8045" s="115" t="b">
        <f>VLOOKUP(I8044,FS_input_noty,J8044,FALSE)=""</f>
        <v>0</v>
      </c>
      <c r="H8045" s="6" t="s">
        <v>2189</v>
      </c>
      <c r="I8045" t="s">
        <v>1561</v>
      </c>
      <c r="J8045" t="s">
        <v>1561</v>
      </c>
      <c r="L8045">
        <f t="shared" si="488"/>
        <v>1</v>
      </c>
    </row>
    <row r="8046" spans="1:12" x14ac:dyDescent="0.35">
      <c r="A8046">
        <f t="shared" si="489"/>
        <v>8045</v>
      </c>
      <c r="B8046" t="s">
        <v>753</v>
      </c>
      <c r="C8046" s="109" t="str">
        <f>IF(ISBLANK(K8046),IFERROR(VLOOKUP(I8046,FS_input_data!$C$458:$N$648,Export!J8046,FALSE),""),K8046)</f>
        <v/>
      </c>
      <c r="D8046" s="6"/>
      <c r="E8046" s="6"/>
      <c r="F8046" s="6"/>
      <c r="G8046" s="115" t="b">
        <f>VLOOKUP(I8044,FS_input_noty,J8044,FALSE)=""</f>
        <v>0</v>
      </c>
      <c r="H8046" s="6" t="s">
        <v>2189</v>
      </c>
      <c r="I8046" t="s">
        <v>1561</v>
      </c>
      <c r="J8046" t="s">
        <v>1561</v>
      </c>
      <c r="L8046" s="26" t="e">
        <f t="shared" si="488"/>
        <v>#VALUE!</v>
      </c>
    </row>
    <row r="8047" spans="1:12" x14ac:dyDescent="0.35">
      <c r="A8047">
        <f t="shared" si="489"/>
        <v>8046</v>
      </c>
      <c r="B8047" t="s">
        <v>742</v>
      </c>
      <c r="C8047" s="109" t="str">
        <f>IF(ISBLANK(K8047),IFERROR(VLOOKUP(I8047,FS_input_data!$C$458:$N$648,Export!J8047,FALSE),""),K8047)</f>
        <v/>
      </c>
      <c r="D8047" s="6"/>
      <c r="E8047" s="6"/>
      <c r="F8047" s="6"/>
      <c r="G8047" s="115" t="b">
        <f>VLOOKUP(I8044,FS_input_noty,J8044,FALSE)=""</f>
        <v>0</v>
      </c>
      <c r="H8047" s="6" t="s">
        <v>2189</v>
      </c>
      <c r="I8047" t="s">
        <v>1561</v>
      </c>
      <c r="J8047" t="s">
        <v>1561</v>
      </c>
      <c r="L8047" s="26" t="e">
        <f t="shared" si="488"/>
        <v>#VALUE!</v>
      </c>
    </row>
    <row r="8048" spans="1:12" x14ac:dyDescent="0.35">
      <c r="A8048">
        <f t="shared" si="489"/>
        <v>8047</v>
      </c>
      <c r="B8048" t="s">
        <v>748</v>
      </c>
      <c r="C8048" s="109" t="str">
        <f>IF(ISBLANK(K8048),IFERROR(VLOOKUP(I8048,FS_input_data!$C$458:$N$648,Export!J8048,FALSE),""),K8048)</f>
        <v/>
      </c>
      <c r="D8048" s="6"/>
      <c r="E8048" s="6"/>
      <c r="F8048" s="6"/>
      <c r="G8048" s="115" t="b">
        <f>VLOOKUP(I8044,FS_input_noty,J8044,FALSE)=""</f>
        <v>0</v>
      </c>
      <c r="H8048" s="6" t="s">
        <v>2189</v>
      </c>
      <c r="I8048" t="s">
        <v>1561</v>
      </c>
      <c r="J8048" t="s">
        <v>1561</v>
      </c>
      <c r="L8048" s="26" t="e">
        <f t="shared" si="488"/>
        <v>#VALUE!</v>
      </c>
    </row>
    <row r="8049" spans="1:12" x14ac:dyDescent="0.35">
      <c r="A8049" s="9">
        <f t="shared" si="489"/>
        <v>8048</v>
      </c>
      <c r="B8049" t="s">
        <v>109</v>
      </c>
      <c r="C8049" s="109">
        <f>IF(ISBLANK(K8049),IFERROR(VLOOKUP(I8049,FS_input_data!$C$458:$N$648,Export!J8049,FALSE),""),K8049)</f>
        <v>13000</v>
      </c>
      <c r="D8049" s="6" t="b">
        <v>1</v>
      </c>
      <c r="E8049" s="6"/>
      <c r="F8049" s="6"/>
      <c r="G8049" s="115" t="b">
        <f>VLOOKUP(I8044,FS_input_noty,J8044,FALSE)=""</f>
        <v>0</v>
      </c>
      <c r="H8049" s="6" t="s">
        <v>2189</v>
      </c>
      <c r="I8049" t="s">
        <v>2166</v>
      </c>
      <c r="J8049">
        <v>7</v>
      </c>
      <c r="L8049" s="26" t="e">
        <f t="shared" si="488"/>
        <v>#VALUE!</v>
      </c>
    </row>
    <row r="8050" spans="1:12" x14ac:dyDescent="0.35">
      <c r="A8050">
        <f t="shared" si="489"/>
        <v>8049</v>
      </c>
      <c r="B8050" t="s">
        <v>110</v>
      </c>
      <c r="C8050" s="109" t="str">
        <f>IF(ISBLANK(K8050),IFERROR(VLOOKUP(I8050,FS_input_data!$C$458:$N$648,Export!J8050,FALSE),""),K8050)</f>
        <v/>
      </c>
      <c r="D8050" s="6"/>
      <c r="E8050" s="6"/>
      <c r="F8050" s="6"/>
      <c r="G8050" s="115" t="b">
        <f>VLOOKUP(I8044,FS_input_noty,J8044,FALSE)=""</f>
        <v>0</v>
      </c>
      <c r="H8050" s="6" t="s">
        <v>2189</v>
      </c>
      <c r="I8050" t="s">
        <v>1561</v>
      </c>
      <c r="J8050" t="s">
        <v>1561</v>
      </c>
      <c r="L8050">
        <f t="shared" si="488"/>
        <v>1</v>
      </c>
    </row>
    <row r="8051" spans="1:12" x14ac:dyDescent="0.35">
      <c r="A8051" s="9">
        <f t="shared" si="489"/>
        <v>8050</v>
      </c>
      <c r="B8051" t="s">
        <v>111</v>
      </c>
      <c r="C8051" s="109">
        <f>IF(ISBLANK(K8051),IFERROR(VLOOKUP(I8051,FS_input_data!$C$458:$N$648,Export!J8051,FALSE),""),K8051)</f>
        <v>6500</v>
      </c>
      <c r="D8051" s="6" t="b">
        <v>0</v>
      </c>
      <c r="E8051" s="6"/>
      <c r="F8051" s="6"/>
      <c r="G8051" s="115" t="b">
        <f>VLOOKUP(I8044,FS_input_noty,J8044,TRUE)=""</f>
        <v>0</v>
      </c>
      <c r="H8051" s="6" t="s">
        <v>2189</v>
      </c>
      <c r="I8051" t="s">
        <v>2166</v>
      </c>
      <c r="J8051">
        <v>8</v>
      </c>
      <c r="L8051" s="26" t="e">
        <f t="shared" si="488"/>
        <v>#VALUE!</v>
      </c>
    </row>
    <row r="8052" spans="1:12" x14ac:dyDescent="0.35">
      <c r="A8052">
        <f t="shared" si="489"/>
        <v>8051</v>
      </c>
      <c r="B8052" t="s">
        <v>112</v>
      </c>
      <c r="C8052" s="109" t="str">
        <f>IF(ISBLANK(K8052),IFERROR(VLOOKUP(I8052,FS_input_data!$C$458:$N$648,Export!J8052,FALSE),""),K8052)</f>
        <v/>
      </c>
      <c r="D8052" s="6"/>
      <c r="E8052" s="6"/>
      <c r="F8052" s="6"/>
      <c r="G8052" s="115" t="b">
        <f>VLOOKUP(I8044,FS_input_noty,J8044,FALSE)=""</f>
        <v>0</v>
      </c>
      <c r="H8052" s="6" t="s">
        <v>2189</v>
      </c>
      <c r="I8052" t="s">
        <v>1561</v>
      </c>
      <c r="J8052" t="s">
        <v>1561</v>
      </c>
      <c r="L8052">
        <f t="shared" si="488"/>
        <v>1</v>
      </c>
    </row>
    <row r="8053" spans="1:12" x14ac:dyDescent="0.35">
      <c r="A8053" s="9">
        <f t="shared" si="489"/>
        <v>8052</v>
      </c>
      <c r="B8053" t="s">
        <v>749</v>
      </c>
      <c r="C8053" s="109">
        <f>IF(ISBLANK(K8053),IFERROR(VLOOKUP(I8053,FS_input_data!$C$458:$N$648,Export!J8053,FALSE),""),K8053)</f>
        <v>6500</v>
      </c>
      <c r="D8053" s="6" t="b">
        <v>0</v>
      </c>
      <c r="E8053" s="6"/>
      <c r="F8053" s="6"/>
      <c r="G8053" s="115" t="b">
        <f>VLOOKUP(I8044,FS_input_noty,J8044,FALSE)=""</f>
        <v>0</v>
      </c>
      <c r="H8053" s="6" t="s">
        <v>2189</v>
      </c>
      <c r="I8053" t="s">
        <v>2166</v>
      </c>
      <c r="J8053">
        <v>9</v>
      </c>
      <c r="L8053" s="26" t="e">
        <f t="shared" si="488"/>
        <v>#VALUE!</v>
      </c>
    </row>
    <row r="8054" spans="1:12" x14ac:dyDescent="0.35">
      <c r="A8054">
        <f t="shared" si="489"/>
        <v>8053</v>
      </c>
      <c r="B8054" t="s">
        <v>750</v>
      </c>
      <c r="C8054" s="109" t="str">
        <f>IF(ISBLANK(K8054),IFERROR(VLOOKUP(I8054,FS_input_data!$C$458:$N$648,Export!J8054,FALSE),""),K8054)</f>
        <v/>
      </c>
      <c r="D8054" s="6"/>
      <c r="E8054" s="6"/>
      <c r="F8054" s="6"/>
      <c r="G8054" s="115" t="b">
        <f>VLOOKUP(I8044,FS_input_noty,J8044,FALSE)=""</f>
        <v>0</v>
      </c>
      <c r="H8054" s="6" t="s">
        <v>2189</v>
      </c>
      <c r="I8054" t="s">
        <v>1561</v>
      </c>
      <c r="J8054" t="s">
        <v>1561</v>
      </c>
      <c r="L8054">
        <f t="shared" si="488"/>
        <v>1</v>
      </c>
    </row>
    <row r="8055" spans="1:12" x14ac:dyDescent="0.35">
      <c r="A8055">
        <f t="shared" si="489"/>
        <v>8054</v>
      </c>
      <c r="B8055" t="s">
        <v>751</v>
      </c>
      <c r="C8055" s="109" t="str">
        <f>IF(ISBLANK(K8055),IFERROR(VLOOKUP(I8055,FS_input_data!$C$458:$N$648,Export!J8055,FALSE),""),K8055)</f>
        <v/>
      </c>
      <c r="D8055" s="6"/>
      <c r="E8055" s="6"/>
      <c r="F8055" s="6"/>
      <c r="G8055" s="115" t="b">
        <f>VLOOKUP(I8044,FS_input_noty,J8044,FALSE)=""</f>
        <v>0</v>
      </c>
      <c r="H8055" s="6" t="s">
        <v>2189</v>
      </c>
      <c r="I8055" t="s">
        <v>1561</v>
      </c>
      <c r="J8055" t="s">
        <v>1561</v>
      </c>
      <c r="L8055">
        <f t="shared" si="488"/>
        <v>1</v>
      </c>
    </row>
    <row r="8056" spans="1:12" x14ac:dyDescent="0.35">
      <c r="A8056">
        <f t="shared" si="489"/>
        <v>8055</v>
      </c>
      <c r="B8056" t="s">
        <v>754</v>
      </c>
      <c r="C8056" s="109" t="str">
        <f>IF(ISBLANK(K8056),IFERROR(VLOOKUP(I8056,FS_input_data!$C$458:$N$648,Export!J8056,FALSE),""),K8056)</f>
        <v/>
      </c>
      <c r="D8056" s="6"/>
      <c r="E8056" s="6"/>
      <c r="F8056" s="6"/>
      <c r="G8056" s="115" t="b">
        <f>VLOOKUP(I8044,FS_input_noty,J8044,FALSE)=""</f>
        <v>0</v>
      </c>
      <c r="H8056" s="6" t="s">
        <v>2189</v>
      </c>
      <c r="I8056" t="s">
        <v>1561</v>
      </c>
      <c r="J8056" t="s">
        <v>1561</v>
      </c>
      <c r="L8056" s="26" t="e">
        <f t="shared" si="488"/>
        <v>#VALUE!</v>
      </c>
    </row>
    <row r="8057" spans="1:12" x14ac:dyDescent="0.35">
      <c r="A8057" s="9">
        <f t="shared" si="489"/>
        <v>8056</v>
      </c>
      <c r="B8057" t="s">
        <v>755</v>
      </c>
      <c r="C8057" s="109">
        <f>IF(ISBLANK(K8057),IFERROR(VLOOKUP(I8057,FS_input_data!$C$458:$N$648,Export!J8057,FALSE),""),K8057)</f>
        <v>179</v>
      </c>
      <c r="D8057" s="6" t="b">
        <v>1</v>
      </c>
      <c r="E8057" s="6"/>
      <c r="F8057" s="6"/>
      <c r="G8057" s="115" t="b">
        <f>VLOOKUP(I8044,FS_input_noty,J8044,FALSE)=""</f>
        <v>0</v>
      </c>
      <c r="H8057" s="6" t="s">
        <v>2189</v>
      </c>
      <c r="I8057" t="s">
        <v>2166</v>
      </c>
      <c r="J8057">
        <v>2</v>
      </c>
      <c r="L8057" s="26" t="e">
        <f t="shared" si="488"/>
        <v>#VALUE!</v>
      </c>
    </row>
    <row r="8058" spans="1:12" x14ac:dyDescent="0.35">
      <c r="A8058">
        <f t="shared" si="489"/>
        <v>8057</v>
      </c>
      <c r="B8058" t="s">
        <v>756</v>
      </c>
      <c r="C8058" s="109" t="str">
        <f>IF(ISBLANK(K8058),IFERROR(VLOOKUP(I8058,FS_input_data!$C$458:$N$648,Export!J8058,FALSE),""),K8058)</f>
        <v/>
      </c>
      <c r="D8058" s="6"/>
      <c r="E8058" s="6"/>
      <c r="F8058" s="6"/>
      <c r="G8058" s="115" t="b">
        <f>VLOOKUP(I8044,FS_input_noty,J8044,FALSE)=""</f>
        <v>0</v>
      </c>
      <c r="H8058" s="6" t="s">
        <v>2189</v>
      </c>
      <c r="I8058" t="s">
        <v>1561</v>
      </c>
      <c r="J8058" t="s">
        <v>1561</v>
      </c>
      <c r="L8058">
        <f t="shared" si="488"/>
        <v>1</v>
      </c>
    </row>
    <row r="8059" spans="1:12" x14ac:dyDescent="0.35">
      <c r="A8059" s="9">
        <f t="shared" si="489"/>
        <v>8058</v>
      </c>
      <c r="B8059" t="s">
        <v>757</v>
      </c>
      <c r="C8059" s="109">
        <f>IF(ISBLANK(K8059),IFERROR(VLOOKUP(I8059,FS_input_data!$C$458:$N$648,Export!J8059,FALSE),""),K8059)</f>
        <v>279</v>
      </c>
      <c r="D8059" s="6" t="b">
        <v>0</v>
      </c>
      <c r="E8059" s="6"/>
      <c r="F8059" s="6"/>
      <c r="G8059" s="115" t="b">
        <f>VLOOKUP(I8044,FS_input_noty,J8044,FALSE)=""</f>
        <v>0</v>
      </c>
      <c r="H8059" s="6" t="s">
        <v>2189</v>
      </c>
      <c r="I8059" t="s">
        <v>2166</v>
      </c>
      <c r="J8059">
        <v>3</v>
      </c>
      <c r="L8059" s="26" t="e">
        <f t="shared" si="488"/>
        <v>#VALUE!</v>
      </c>
    </row>
    <row r="8060" spans="1:12" x14ac:dyDescent="0.35">
      <c r="A8060">
        <f t="shared" si="489"/>
        <v>8059</v>
      </c>
      <c r="B8060" t="s">
        <v>758</v>
      </c>
      <c r="C8060" s="109" t="str">
        <f>IF(ISBLANK(K8060),IFERROR(VLOOKUP(I8060,FS_input_data!$C$458:$N$648,Export!J8060,FALSE),""),K8060)</f>
        <v/>
      </c>
      <c r="D8060" s="6"/>
      <c r="E8060" s="6"/>
      <c r="F8060" s="6"/>
      <c r="G8060" s="115" t="b">
        <f>VLOOKUP(I8044,FS_input_noty,J8044,FALSE)=""</f>
        <v>0</v>
      </c>
      <c r="H8060" s="6" t="s">
        <v>2189</v>
      </c>
      <c r="I8060" t="s">
        <v>1561</v>
      </c>
      <c r="J8060" t="s">
        <v>1561</v>
      </c>
      <c r="L8060">
        <f t="shared" si="488"/>
        <v>1</v>
      </c>
    </row>
    <row r="8061" spans="1:12" x14ac:dyDescent="0.35">
      <c r="A8061" s="9">
        <f t="shared" si="489"/>
        <v>8060</v>
      </c>
      <c r="B8061" t="s">
        <v>759</v>
      </c>
      <c r="C8061" s="109">
        <f>IF(ISBLANK(K8061),IFERROR(VLOOKUP(I8061,FS_input_data!$C$458:$N$648,Export!J8061,FALSE),""),K8061)</f>
        <v>379</v>
      </c>
      <c r="D8061" s="6" t="b">
        <v>0</v>
      </c>
      <c r="E8061" s="6"/>
      <c r="F8061" s="6"/>
      <c r="G8061" s="115" t="b">
        <f>VLOOKUP(I8044,FS_input_noty,J8044,FALSE)=""</f>
        <v>0</v>
      </c>
      <c r="H8061" s="6" t="s">
        <v>2189</v>
      </c>
      <c r="I8061" t="s">
        <v>2166</v>
      </c>
      <c r="J8061">
        <v>4</v>
      </c>
      <c r="L8061" s="26" t="e">
        <f t="shared" si="488"/>
        <v>#VALUE!</v>
      </c>
    </row>
    <row r="8062" spans="1:12" x14ac:dyDescent="0.35">
      <c r="A8062">
        <f t="shared" si="489"/>
        <v>8061</v>
      </c>
      <c r="B8062" t="s">
        <v>760</v>
      </c>
      <c r="C8062" s="109" t="str">
        <f>IF(ISBLANK(K8062),IFERROR(VLOOKUP(I8062,FS_input_data!$C$458:$N$648,Export!J8062,FALSE),""),K8062)</f>
        <v/>
      </c>
      <c r="D8062" s="6"/>
      <c r="E8062" s="6"/>
      <c r="F8062" s="6"/>
      <c r="G8062" s="115" t="b">
        <f>VLOOKUP(I8044,FS_input_noty,J8044,FALSE)=""</f>
        <v>0</v>
      </c>
      <c r="H8062" s="6" t="s">
        <v>2189</v>
      </c>
      <c r="I8062" t="s">
        <v>1561</v>
      </c>
      <c r="J8062" t="s">
        <v>1561</v>
      </c>
      <c r="L8062">
        <f t="shared" si="488"/>
        <v>1</v>
      </c>
    </row>
    <row r="8063" spans="1:12" x14ac:dyDescent="0.35">
      <c r="A8063" s="9">
        <f t="shared" si="489"/>
        <v>8062</v>
      </c>
      <c r="B8063" t="s">
        <v>761</v>
      </c>
      <c r="C8063" s="109" t="str">
        <f>IF(ISBLANK(K8063),IFERROR(VLOOKUP(I8063,FS_input_data!$C$458:$N$648,Export!J8063,FALSE),""),K8063)</f>
        <v>g</v>
      </c>
      <c r="D8063" s="6" t="b">
        <v>0</v>
      </c>
      <c r="E8063" s="6"/>
      <c r="F8063" s="6"/>
      <c r="G8063" s="115" t="b">
        <f>VLOOKUP(I8044,FS_input_noty,J8044,FALSE)=""</f>
        <v>0</v>
      </c>
      <c r="H8063" s="6" t="s">
        <v>2189</v>
      </c>
      <c r="I8063" t="s">
        <v>2166</v>
      </c>
      <c r="J8063">
        <v>5</v>
      </c>
      <c r="L8063" s="26" t="e">
        <f t="shared" si="488"/>
        <v>#VALUE!</v>
      </c>
    </row>
    <row r="8064" spans="1:12" x14ac:dyDescent="0.35">
      <c r="A8064">
        <f t="shared" si="489"/>
        <v>8063</v>
      </c>
      <c r="B8064" t="s">
        <v>762</v>
      </c>
      <c r="C8064" s="109" t="str">
        <f>IF(ISBLANK(K8064),IFERROR(VLOOKUP(I8064,FS_input_data!$C$458:$N$648,Export!J8064,FALSE),""),K8064)</f>
        <v/>
      </c>
      <c r="D8064" s="6"/>
      <c r="E8064" s="6"/>
      <c r="F8064" s="6"/>
      <c r="G8064" s="115" t="b">
        <f>VLOOKUP(I8044,FS_input_noty,J8044,FALSE)=""</f>
        <v>0</v>
      </c>
      <c r="H8064" s="6" t="s">
        <v>2189</v>
      </c>
      <c r="I8064" t="s">
        <v>1561</v>
      </c>
      <c r="J8064" t="s">
        <v>1561</v>
      </c>
      <c r="L8064">
        <f t="shared" si="488"/>
        <v>1</v>
      </c>
    </row>
    <row r="8065" spans="1:12" x14ac:dyDescent="0.35">
      <c r="A8065">
        <f t="shared" si="489"/>
        <v>8064</v>
      </c>
      <c r="B8065" t="s">
        <v>763</v>
      </c>
      <c r="C8065" s="109" t="str">
        <f>IF(ISBLANK(K8065),IFERROR(VLOOKUP(I8065,FS_input_data!$C$458:$N$648,Export!J8065,FALSE),""),K8065)</f>
        <v/>
      </c>
      <c r="D8065" s="6"/>
      <c r="E8065" s="6"/>
      <c r="F8065" s="6"/>
      <c r="G8065" s="115" t="b">
        <f>VLOOKUP(I8044,FS_input_noty,J8044,FALSE)=""</f>
        <v>0</v>
      </c>
      <c r="H8065" s="6" t="s">
        <v>2189</v>
      </c>
      <c r="I8065" t="s">
        <v>1561</v>
      </c>
      <c r="J8065" t="s">
        <v>1561</v>
      </c>
      <c r="L8065">
        <f t="shared" si="488"/>
        <v>1</v>
      </c>
    </row>
    <row r="8066" spans="1:12" x14ac:dyDescent="0.35">
      <c r="A8066">
        <f t="shared" si="489"/>
        <v>8065</v>
      </c>
      <c r="B8066" t="s">
        <v>743</v>
      </c>
      <c r="C8066" s="109" t="str">
        <f>IF(ISBLANK(K8066),IFERROR(VLOOKUP(I8066,FS_input_data!$C$458:$N$648,Export!J8066,FALSE),""),K8066)</f>
        <v/>
      </c>
      <c r="D8066" s="6"/>
      <c r="E8066" s="6"/>
      <c r="F8066" s="6"/>
      <c r="G8066" s="115" t="b">
        <f>VLOOKUP(I8044,FS_input_noty,J8044,FALSE)=""</f>
        <v>0</v>
      </c>
      <c r="H8066" s="6" t="s">
        <v>2189</v>
      </c>
      <c r="I8066" t="s">
        <v>1561</v>
      </c>
      <c r="J8066" t="s">
        <v>1561</v>
      </c>
      <c r="L8066">
        <f t="shared" ref="L8066:L8129" si="491">FIND("/",B8066)</f>
        <v>1</v>
      </c>
    </row>
    <row r="8067" spans="1:12" x14ac:dyDescent="0.35">
      <c r="A8067">
        <f t="shared" ref="A8067:A8130" si="492">A8066+1</f>
        <v>8066</v>
      </c>
      <c r="B8067" t="s">
        <v>744</v>
      </c>
      <c r="C8067" s="109" t="str">
        <f>IF(ISBLANK(K8067),IFERROR(VLOOKUP(I8067,FS_input_data!$C$458:$N$648,Export!J8067,FALSE),""),K8067)</f>
        <v/>
      </c>
      <c r="D8067" s="6"/>
      <c r="E8067" s="6"/>
      <c r="F8067" s="6"/>
      <c r="G8067" s="115" t="b">
        <f t="shared" ref="G8067:G8074" si="493">RP_tax</f>
        <v>1</v>
      </c>
      <c r="H8067" s="6" t="s">
        <v>2189</v>
      </c>
      <c r="I8067" t="s">
        <v>1561</v>
      </c>
      <c r="J8067" t="s">
        <v>1561</v>
      </c>
      <c r="L8067" s="26" t="e">
        <f t="shared" si="491"/>
        <v>#VALUE!</v>
      </c>
    </row>
    <row r="8068" spans="1:12" x14ac:dyDescent="0.35">
      <c r="A8068" s="9">
        <f t="shared" si="492"/>
        <v>8067</v>
      </c>
      <c r="B8068" t="s">
        <v>109</v>
      </c>
      <c r="C8068" s="109">
        <f>IF(ISBLANK(K8068),IFERROR(VLOOKUP(I8068,FS_input_data!$C$458:$N$648,Export!J8068,FALSE),""),K8068)</f>
        <v>13000</v>
      </c>
      <c r="D8068" s="6" t="b">
        <v>1</v>
      </c>
      <c r="E8068" s="6"/>
      <c r="F8068" s="6"/>
      <c r="G8068" s="115" t="b">
        <f t="shared" si="493"/>
        <v>1</v>
      </c>
      <c r="H8068" s="6" t="s">
        <v>2189</v>
      </c>
      <c r="I8068" t="s">
        <v>2166</v>
      </c>
      <c r="J8068">
        <v>10</v>
      </c>
      <c r="L8068" s="26" t="e">
        <f t="shared" si="491"/>
        <v>#VALUE!</v>
      </c>
    </row>
    <row r="8069" spans="1:12" x14ac:dyDescent="0.35">
      <c r="A8069">
        <f t="shared" si="492"/>
        <v>8068</v>
      </c>
      <c r="B8069" t="s">
        <v>110</v>
      </c>
      <c r="C8069" s="109" t="str">
        <f>IF(ISBLANK(K8069),IFERROR(VLOOKUP(I8069,FS_input_data!$C$458:$N$648,Export!J8069,FALSE),""),K8069)</f>
        <v/>
      </c>
      <c r="D8069" s="6"/>
      <c r="E8069" s="6"/>
      <c r="F8069" s="6"/>
      <c r="G8069" s="115" t="b">
        <f t="shared" si="493"/>
        <v>1</v>
      </c>
      <c r="H8069" s="6" t="s">
        <v>2189</v>
      </c>
      <c r="I8069" t="s">
        <v>1561</v>
      </c>
      <c r="J8069" t="s">
        <v>1561</v>
      </c>
      <c r="L8069">
        <f t="shared" si="491"/>
        <v>1</v>
      </c>
    </row>
    <row r="8070" spans="1:12" x14ac:dyDescent="0.35">
      <c r="A8070" s="9">
        <f t="shared" si="492"/>
        <v>8069</v>
      </c>
      <c r="B8070" t="s">
        <v>111</v>
      </c>
      <c r="C8070" s="109">
        <f>IF(ISBLANK(K8070),IFERROR(VLOOKUP(I8070,FS_input_data!$C$458:$N$648,Export!J8070,FALSE),""),K8070)</f>
        <v>6500</v>
      </c>
      <c r="D8070" s="6" t="b">
        <v>0</v>
      </c>
      <c r="E8070" s="6"/>
      <c r="F8070" s="6"/>
      <c r="G8070" s="115" t="b">
        <f t="shared" si="493"/>
        <v>1</v>
      </c>
      <c r="H8070" s="6" t="s">
        <v>2189</v>
      </c>
      <c r="I8070" t="s">
        <v>2166</v>
      </c>
      <c r="J8070">
        <v>11</v>
      </c>
      <c r="L8070" s="26" t="e">
        <f t="shared" si="491"/>
        <v>#VALUE!</v>
      </c>
    </row>
    <row r="8071" spans="1:12" x14ac:dyDescent="0.35">
      <c r="A8071">
        <f t="shared" si="492"/>
        <v>8070</v>
      </c>
      <c r="B8071" t="s">
        <v>112</v>
      </c>
      <c r="C8071" s="109" t="str">
        <f>IF(ISBLANK(K8071),IFERROR(VLOOKUP(I8071,FS_input_data!$C$458:$N$648,Export!J8071,FALSE),""),K8071)</f>
        <v/>
      </c>
      <c r="D8071" s="6"/>
      <c r="E8071" s="6"/>
      <c r="F8071" s="6"/>
      <c r="G8071" s="115" t="b">
        <f t="shared" si="493"/>
        <v>1</v>
      </c>
      <c r="H8071" s="6" t="s">
        <v>2189</v>
      </c>
      <c r="I8071" t="s">
        <v>1561</v>
      </c>
      <c r="J8071" t="s">
        <v>1561</v>
      </c>
      <c r="L8071">
        <f t="shared" si="491"/>
        <v>1</v>
      </c>
    </row>
    <row r="8072" spans="1:12" x14ac:dyDescent="0.35">
      <c r="A8072" s="9">
        <f t="shared" si="492"/>
        <v>8071</v>
      </c>
      <c r="B8072" t="s">
        <v>749</v>
      </c>
      <c r="C8072" s="109">
        <f>IF(ISBLANK(K8072),IFERROR(VLOOKUP(I8072,FS_input_data!$C$458:$N$648,Export!J8072,FALSE),""),K8072)</f>
        <v>6500</v>
      </c>
      <c r="D8072" s="6" t="b">
        <v>0</v>
      </c>
      <c r="E8072" s="6"/>
      <c r="F8072" s="6"/>
      <c r="G8072" s="115" t="b">
        <f t="shared" si="493"/>
        <v>1</v>
      </c>
      <c r="H8072" s="6" t="s">
        <v>2189</v>
      </c>
      <c r="I8072" t="s">
        <v>2166</v>
      </c>
      <c r="J8072">
        <v>12</v>
      </c>
      <c r="L8072" s="26" t="e">
        <f t="shared" si="491"/>
        <v>#VALUE!</v>
      </c>
    </row>
    <row r="8073" spans="1:12" x14ac:dyDescent="0.35">
      <c r="A8073">
        <f t="shared" si="492"/>
        <v>8072</v>
      </c>
      <c r="B8073" t="s">
        <v>750</v>
      </c>
      <c r="C8073" s="109" t="str">
        <f>IF(ISBLANK(K8073),IFERROR(VLOOKUP(I8073,FS_input_data!$C$458:$N$648,Export!J8073,FALSE),""),K8073)</f>
        <v/>
      </c>
      <c r="D8073" s="6"/>
      <c r="E8073" s="6"/>
      <c r="F8073" s="6"/>
      <c r="G8073" s="115" t="b">
        <f t="shared" si="493"/>
        <v>1</v>
      </c>
      <c r="H8073" s="6" t="s">
        <v>2189</v>
      </c>
      <c r="I8073" t="s">
        <v>1561</v>
      </c>
      <c r="J8073" t="s">
        <v>1561</v>
      </c>
      <c r="L8073">
        <f t="shared" si="491"/>
        <v>1</v>
      </c>
    </row>
    <row r="8074" spans="1:12" x14ac:dyDescent="0.35">
      <c r="A8074">
        <f t="shared" si="492"/>
        <v>8073</v>
      </c>
      <c r="B8074" t="s">
        <v>745</v>
      </c>
      <c r="C8074" s="109" t="str">
        <f>IF(ISBLANK(K8074),IFERROR(VLOOKUP(I8074,FS_input_data!$C$458:$N$648,Export!J8074,FALSE),""),K8074)</f>
        <v/>
      </c>
      <c r="D8074" s="6"/>
      <c r="E8074" s="6"/>
      <c r="F8074" s="6"/>
      <c r="G8074" s="115" t="b">
        <f t="shared" si="493"/>
        <v>1</v>
      </c>
      <c r="H8074" s="6" t="s">
        <v>2189</v>
      </c>
      <c r="I8074" t="s">
        <v>1561</v>
      </c>
      <c r="J8074" t="s">
        <v>1561</v>
      </c>
      <c r="L8074">
        <f t="shared" si="491"/>
        <v>1</v>
      </c>
    </row>
    <row r="8075" spans="1:12" x14ac:dyDescent="0.35">
      <c r="A8075">
        <f t="shared" si="492"/>
        <v>8074</v>
      </c>
      <c r="B8075" t="s">
        <v>764</v>
      </c>
      <c r="C8075" s="109" t="str">
        <f>IF(ISBLANK(K8075),IFERROR(VLOOKUP(I8075,FS_input_data!$C$458:$N$648,Export!J8075,FALSE),""),K8075)</f>
        <v/>
      </c>
      <c r="D8075" s="6"/>
      <c r="E8075" s="6"/>
      <c r="F8075" s="6"/>
      <c r="G8075" s="115" t="b">
        <f>VLOOKUP(I8044,FS_input_noty,J8044,FALSE)=""</f>
        <v>0</v>
      </c>
      <c r="H8075" s="6" t="s">
        <v>2189</v>
      </c>
      <c r="I8075" t="s">
        <v>1561</v>
      </c>
      <c r="J8075" t="s">
        <v>1561</v>
      </c>
      <c r="L8075">
        <f t="shared" si="491"/>
        <v>1</v>
      </c>
    </row>
    <row r="8076" spans="1:12" x14ac:dyDescent="0.35">
      <c r="A8076">
        <f t="shared" si="492"/>
        <v>8075</v>
      </c>
      <c r="B8076" t="s">
        <v>765</v>
      </c>
      <c r="C8076" s="109" t="str">
        <f>IF(ISBLANK(K8076),IFERROR(VLOOKUP(I8076,FS_input_data!$C$458:$N$648,Export!J8076,FALSE),""),K8076)</f>
        <v/>
      </c>
      <c r="D8076" s="6"/>
      <c r="E8076" s="6"/>
      <c r="F8076" s="6"/>
      <c r="G8076" s="115" t="b">
        <f>VLOOKUP(I8044,FS_input_noty,J8044,FALSE)=""</f>
        <v>0</v>
      </c>
      <c r="H8076" s="6" t="s">
        <v>2189</v>
      </c>
      <c r="I8076" t="s">
        <v>1561</v>
      </c>
      <c r="J8076" t="s">
        <v>1561</v>
      </c>
      <c r="L8076">
        <f t="shared" si="491"/>
        <v>1</v>
      </c>
    </row>
    <row r="8077" spans="1:12" x14ac:dyDescent="0.35">
      <c r="A8077">
        <f t="shared" si="492"/>
        <v>8076</v>
      </c>
      <c r="B8077" t="s">
        <v>752</v>
      </c>
      <c r="C8077" s="109" t="str">
        <f>IF(ISBLANK(K8077),IFERROR(VLOOKUP(I8077,FS_input_data!$C$458:$N$648,Export!J8077,FALSE),""),K8077)</f>
        <v/>
      </c>
      <c r="D8077" s="6"/>
      <c r="E8077" s="6"/>
      <c r="F8077" s="6"/>
      <c r="G8077" s="115" t="b">
        <f>VLOOKUP(I8078,FS_input_noty,J8078,FALSE)=""</f>
        <v>0</v>
      </c>
      <c r="H8077" s="6" t="s">
        <v>2189</v>
      </c>
      <c r="I8077" t="s">
        <v>1561</v>
      </c>
      <c r="J8077" t="s">
        <v>1561</v>
      </c>
      <c r="L8077" s="26" t="e">
        <f t="shared" si="491"/>
        <v>#VALUE!</v>
      </c>
    </row>
    <row r="8078" spans="1:12" x14ac:dyDescent="0.35">
      <c r="A8078" s="9">
        <f t="shared" si="492"/>
        <v>8077</v>
      </c>
      <c r="B8078" t="s">
        <v>101</v>
      </c>
      <c r="C8078" s="109" t="str">
        <f>IF(ISBLANK(K8078),IFERROR(VLOOKUP(I8078,FS_input_data!$C$458:$N$648,Export!J8078,FALSE),""),K8078)</f>
        <v>OC157</v>
      </c>
      <c r="D8078" s="6" t="b">
        <v>1</v>
      </c>
      <c r="E8078" s="6"/>
      <c r="F8078" s="6"/>
      <c r="G8078" s="115" t="b">
        <f>VLOOKUP(I8078,FS_input_noty,J8078,FALSE)=""</f>
        <v>0</v>
      </c>
      <c r="H8078" s="6" t="s">
        <v>2189</v>
      </c>
      <c r="I8078" t="s">
        <v>2168</v>
      </c>
      <c r="J8078">
        <v>6</v>
      </c>
      <c r="L8078" s="26" t="e">
        <f t="shared" si="491"/>
        <v>#VALUE!</v>
      </c>
    </row>
    <row r="8079" spans="1:12" x14ac:dyDescent="0.35">
      <c r="A8079">
        <f t="shared" si="492"/>
        <v>8078</v>
      </c>
      <c r="B8079" t="s">
        <v>102</v>
      </c>
      <c r="C8079" s="109" t="str">
        <f>IF(ISBLANK(K8079),IFERROR(VLOOKUP(I8079,FS_input_data!$C$458:$N$648,Export!J8079,FALSE),""),K8079)</f>
        <v/>
      </c>
      <c r="D8079" s="6"/>
      <c r="E8079" s="6"/>
      <c r="F8079" s="6"/>
      <c r="G8079" s="115" t="b">
        <f>VLOOKUP(I8078,FS_input_noty,J8078,FALSE)=""</f>
        <v>0</v>
      </c>
      <c r="H8079" s="6" t="s">
        <v>2189</v>
      </c>
      <c r="I8079" t="s">
        <v>1561</v>
      </c>
      <c r="J8079" t="s">
        <v>1561</v>
      </c>
      <c r="L8079">
        <f t="shared" si="491"/>
        <v>1</v>
      </c>
    </row>
    <row r="8080" spans="1:12" x14ac:dyDescent="0.35">
      <c r="A8080">
        <f t="shared" si="492"/>
        <v>8079</v>
      </c>
      <c r="B8080" t="s">
        <v>753</v>
      </c>
      <c r="C8080" s="109" t="str">
        <f>IF(ISBLANK(K8080),IFERROR(VLOOKUP(I8080,FS_input_data!$C$458:$N$648,Export!J8080,FALSE),""),K8080)</f>
        <v/>
      </c>
      <c r="D8080" s="6"/>
      <c r="E8080" s="6"/>
      <c r="F8080" s="6"/>
      <c r="G8080" s="115" t="b">
        <f>VLOOKUP(I8078,FS_input_noty,J8078,FALSE)=""</f>
        <v>0</v>
      </c>
      <c r="H8080" s="6" t="s">
        <v>2189</v>
      </c>
      <c r="I8080" t="s">
        <v>1561</v>
      </c>
      <c r="J8080" t="s">
        <v>1561</v>
      </c>
      <c r="L8080" s="26" t="e">
        <f t="shared" si="491"/>
        <v>#VALUE!</v>
      </c>
    </row>
    <row r="8081" spans="1:12" x14ac:dyDescent="0.35">
      <c r="A8081">
        <f t="shared" si="492"/>
        <v>8080</v>
      </c>
      <c r="B8081" t="s">
        <v>742</v>
      </c>
      <c r="C8081" s="109" t="str">
        <f>IF(ISBLANK(K8081),IFERROR(VLOOKUP(I8081,FS_input_data!$C$458:$N$648,Export!J8081,FALSE),""),K8081)</f>
        <v/>
      </c>
      <c r="D8081" s="6"/>
      <c r="E8081" s="6"/>
      <c r="F8081" s="6"/>
      <c r="G8081" s="115" t="b">
        <f>VLOOKUP(I8078,FS_input_noty,J8078,FALSE)=""</f>
        <v>0</v>
      </c>
      <c r="H8081" s="6" t="s">
        <v>2189</v>
      </c>
      <c r="I8081" t="s">
        <v>1561</v>
      </c>
      <c r="J8081" t="s">
        <v>1561</v>
      </c>
      <c r="L8081" s="26" t="e">
        <f t="shared" si="491"/>
        <v>#VALUE!</v>
      </c>
    </row>
    <row r="8082" spans="1:12" x14ac:dyDescent="0.35">
      <c r="A8082">
        <f t="shared" si="492"/>
        <v>8081</v>
      </c>
      <c r="B8082" t="s">
        <v>748</v>
      </c>
      <c r="C8082" s="109" t="str">
        <f>IF(ISBLANK(K8082),IFERROR(VLOOKUP(I8082,FS_input_data!$C$458:$N$648,Export!J8082,FALSE),""),K8082)</f>
        <v/>
      </c>
      <c r="D8082" s="6"/>
      <c r="E8082" s="6"/>
      <c r="F8082" s="6"/>
      <c r="G8082" s="115" t="b">
        <f>VLOOKUP(I8078,FS_input_noty,J8078,FALSE)=""</f>
        <v>0</v>
      </c>
      <c r="H8082" s="6" t="s">
        <v>2189</v>
      </c>
      <c r="I8082" t="s">
        <v>1561</v>
      </c>
      <c r="J8082" t="s">
        <v>1561</v>
      </c>
      <c r="L8082" s="26" t="e">
        <f t="shared" si="491"/>
        <v>#VALUE!</v>
      </c>
    </row>
    <row r="8083" spans="1:12" x14ac:dyDescent="0.35">
      <c r="A8083" s="9">
        <f t="shared" si="492"/>
        <v>8082</v>
      </c>
      <c r="B8083" t="s">
        <v>109</v>
      </c>
      <c r="C8083" s="109">
        <f>IF(ISBLANK(K8083),IFERROR(VLOOKUP(I8083,FS_input_data!$C$458:$N$648,Export!J8083,FALSE),""),K8083)</f>
        <v>14000</v>
      </c>
      <c r="D8083" s="6" t="b">
        <v>1</v>
      </c>
      <c r="E8083" s="6"/>
      <c r="F8083" s="6"/>
      <c r="G8083" s="115" t="b">
        <f>VLOOKUP(I8078,FS_input_noty,J8078,FALSE)=""</f>
        <v>0</v>
      </c>
      <c r="H8083" s="6" t="s">
        <v>2189</v>
      </c>
      <c r="I8083" t="s">
        <v>2168</v>
      </c>
      <c r="J8083">
        <v>7</v>
      </c>
      <c r="L8083" s="26" t="e">
        <f t="shared" si="491"/>
        <v>#VALUE!</v>
      </c>
    </row>
    <row r="8084" spans="1:12" x14ac:dyDescent="0.35">
      <c r="A8084">
        <f t="shared" si="492"/>
        <v>8083</v>
      </c>
      <c r="B8084" t="s">
        <v>110</v>
      </c>
      <c r="C8084" s="109" t="str">
        <f>IF(ISBLANK(K8084),IFERROR(VLOOKUP(I8084,FS_input_data!$C$458:$N$648,Export!J8084,FALSE),""),K8084)</f>
        <v/>
      </c>
      <c r="D8084" s="6"/>
      <c r="E8084" s="6"/>
      <c r="F8084" s="6"/>
      <c r="G8084" s="115" t="b">
        <f>VLOOKUP(I8078,FS_input_noty,J8078,FALSE)=""</f>
        <v>0</v>
      </c>
      <c r="H8084" s="6" t="s">
        <v>2189</v>
      </c>
      <c r="I8084" t="s">
        <v>1561</v>
      </c>
      <c r="J8084" t="s">
        <v>1561</v>
      </c>
      <c r="L8084">
        <f t="shared" si="491"/>
        <v>1</v>
      </c>
    </row>
    <row r="8085" spans="1:12" x14ac:dyDescent="0.35">
      <c r="A8085" s="9">
        <f t="shared" si="492"/>
        <v>8084</v>
      </c>
      <c r="B8085" t="s">
        <v>111</v>
      </c>
      <c r="C8085" s="109">
        <f>IF(ISBLANK(K8085),IFERROR(VLOOKUP(I8085,FS_input_data!$C$458:$N$648,Export!J8085,FALSE),""),K8085)</f>
        <v>7000</v>
      </c>
      <c r="D8085" s="6" t="b">
        <v>0</v>
      </c>
      <c r="E8085" s="6"/>
      <c r="F8085" s="6"/>
      <c r="G8085" s="115" t="b">
        <f>VLOOKUP(I8078,FS_input_noty,J8078,TRUE)=""</f>
        <v>0</v>
      </c>
      <c r="H8085" s="6" t="s">
        <v>2189</v>
      </c>
      <c r="I8085" t="s">
        <v>2168</v>
      </c>
      <c r="J8085">
        <v>8</v>
      </c>
      <c r="L8085" s="26" t="e">
        <f t="shared" si="491"/>
        <v>#VALUE!</v>
      </c>
    </row>
    <row r="8086" spans="1:12" x14ac:dyDescent="0.35">
      <c r="A8086">
        <f t="shared" si="492"/>
        <v>8085</v>
      </c>
      <c r="B8086" t="s">
        <v>112</v>
      </c>
      <c r="C8086" s="109" t="str">
        <f>IF(ISBLANK(K8086),IFERROR(VLOOKUP(I8086,FS_input_data!$C$458:$N$648,Export!J8086,FALSE),""),K8086)</f>
        <v/>
      </c>
      <c r="D8086" s="6"/>
      <c r="E8086" s="6"/>
      <c r="F8086" s="6"/>
      <c r="G8086" s="115" t="b">
        <f>VLOOKUP(I8078,FS_input_noty,J8078,FALSE)=""</f>
        <v>0</v>
      </c>
      <c r="H8086" s="6" t="s">
        <v>2189</v>
      </c>
      <c r="I8086" t="s">
        <v>1561</v>
      </c>
      <c r="J8086" t="s">
        <v>1561</v>
      </c>
      <c r="L8086">
        <f t="shared" si="491"/>
        <v>1</v>
      </c>
    </row>
    <row r="8087" spans="1:12" x14ac:dyDescent="0.35">
      <c r="A8087" s="9">
        <f t="shared" si="492"/>
        <v>8086</v>
      </c>
      <c r="B8087" t="s">
        <v>749</v>
      </c>
      <c r="C8087" s="109">
        <f>IF(ISBLANK(K8087),IFERROR(VLOOKUP(I8087,FS_input_data!$C$458:$N$648,Export!J8087,FALSE),""),K8087)</f>
        <v>7000</v>
      </c>
      <c r="D8087" s="6" t="b">
        <v>0</v>
      </c>
      <c r="E8087" s="6"/>
      <c r="F8087" s="6"/>
      <c r="G8087" s="115" t="b">
        <f>VLOOKUP(I8078,FS_input_noty,J8078,FALSE)=""</f>
        <v>0</v>
      </c>
      <c r="H8087" s="6" t="s">
        <v>2189</v>
      </c>
      <c r="I8087" t="s">
        <v>2168</v>
      </c>
      <c r="J8087">
        <v>9</v>
      </c>
      <c r="L8087" s="26" t="e">
        <f t="shared" si="491"/>
        <v>#VALUE!</v>
      </c>
    </row>
    <row r="8088" spans="1:12" x14ac:dyDescent="0.35">
      <c r="A8088">
        <f t="shared" si="492"/>
        <v>8087</v>
      </c>
      <c r="B8088" t="s">
        <v>750</v>
      </c>
      <c r="C8088" s="109" t="str">
        <f>IF(ISBLANK(K8088),IFERROR(VLOOKUP(I8088,FS_input_data!$C$458:$N$648,Export!J8088,FALSE),""),K8088)</f>
        <v/>
      </c>
      <c r="D8088" s="6"/>
      <c r="E8088" s="6"/>
      <c r="F8088" s="6"/>
      <c r="G8088" s="115" t="b">
        <f>VLOOKUP(I8078,FS_input_noty,J8078,FALSE)=""</f>
        <v>0</v>
      </c>
      <c r="H8088" s="6" t="s">
        <v>2189</v>
      </c>
      <c r="I8088" t="s">
        <v>1561</v>
      </c>
      <c r="J8088" t="s">
        <v>1561</v>
      </c>
      <c r="L8088">
        <f t="shared" si="491"/>
        <v>1</v>
      </c>
    </row>
    <row r="8089" spans="1:12" x14ac:dyDescent="0.35">
      <c r="A8089">
        <f t="shared" si="492"/>
        <v>8088</v>
      </c>
      <c r="B8089" t="s">
        <v>751</v>
      </c>
      <c r="C8089" s="109" t="str">
        <f>IF(ISBLANK(K8089),IFERROR(VLOOKUP(I8089,FS_input_data!$C$458:$N$648,Export!J8089,FALSE),""),K8089)</f>
        <v/>
      </c>
      <c r="D8089" s="6"/>
      <c r="E8089" s="6"/>
      <c r="F8089" s="6"/>
      <c r="G8089" s="115" t="b">
        <f>VLOOKUP(I8078,FS_input_noty,J8078,FALSE)=""</f>
        <v>0</v>
      </c>
      <c r="H8089" s="6" t="s">
        <v>2189</v>
      </c>
      <c r="I8089" t="s">
        <v>1561</v>
      </c>
      <c r="J8089" t="s">
        <v>1561</v>
      </c>
      <c r="L8089">
        <f t="shared" si="491"/>
        <v>1</v>
      </c>
    </row>
    <row r="8090" spans="1:12" x14ac:dyDescent="0.35">
      <c r="A8090">
        <f t="shared" si="492"/>
        <v>8089</v>
      </c>
      <c r="B8090" t="s">
        <v>754</v>
      </c>
      <c r="C8090" s="109" t="str">
        <f>IF(ISBLANK(K8090),IFERROR(VLOOKUP(I8090,FS_input_data!$C$458:$N$648,Export!J8090,FALSE),""),K8090)</f>
        <v/>
      </c>
      <c r="D8090" s="6"/>
      <c r="E8090" s="6"/>
      <c r="F8090" s="6"/>
      <c r="G8090" s="115" t="b">
        <f>VLOOKUP(I8078,FS_input_noty,J8078,FALSE)=""</f>
        <v>0</v>
      </c>
      <c r="H8090" s="6" t="s">
        <v>2189</v>
      </c>
      <c r="I8090" t="s">
        <v>1561</v>
      </c>
      <c r="J8090" t="s">
        <v>1561</v>
      </c>
      <c r="L8090" s="26" t="e">
        <f t="shared" si="491"/>
        <v>#VALUE!</v>
      </c>
    </row>
    <row r="8091" spans="1:12" x14ac:dyDescent="0.35">
      <c r="A8091" s="9">
        <f t="shared" si="492"/>
        <v>8090</v>
      </c>
      <c r="B8091" t="s">
        <v>755</v>
      </c>
      <c r="C8091" s="109">
        <f>IF(ISBLANK(K8091),IFERROR(VLOOKUP(I8091,FS_input_data!$C$458:$N$648,Export!J8091,FALSE),""),K8091)</f>
        <v>180</v>
      </c>
      <c r="D8091" s="6" t="b">
        <v>1</v>
      </c>
      <c r="E8091" s="6"/>
      <c r="F8091" s="6"/>
      <c r="G8091" s="115" t="b">
        <f>VLOOKUP(I8078,FS_input_noty,J8078,FALSE)=""</f>
        <v>0</v>
      </c>
      <c r="H8091" s="6" t="s">
        <v>2189</v>
      </c>
      <c r="I8091" t="s">
        <v>2168</v>
      </c>
      <c r="J8091">
        <v>2</v>
      </c>
      <c r="L8091" s="26" t="e">
        <f t="shared" si="491"/>
        <v>#VALUE!</v>
      </c>
    </row>
    <row r="8092" spans="1:12" x14ac:dyDescent="0.35">
      <c r="A8092">
        <f t="shared" si="492"/>
        <v>8091</v>
      </c>
      <c r="B8092" t="s">
        <v>756</v>
      </c>
      <c r="C8092" s="109" t="str">
        <f>IF(ISBLANK(K8092),IFERROR(VLOOKUP(I8092,FS_input_data!$C$458:$N$648,Export!J8092,FALSE),""),K8092)</f>
        <v/>
      </c>
      <c r="D8092" s="6"/>
      <c r="E8092" s="6"/>
      <c r="F8092" s="6"/>
      <c r="G8092" s="115" t="b">
        <f>VLOOKUP(I8078,FS_input_noty,J8078,FALSE)=""</f>
        <v>0</v>
      </c>
      <c r="H8092" s="6" t="s">
        <v>2189</v>
      </c>
      <c r="I8092" t="s">
        <v>1561</v>
      </c>
      <c r="J8092" t="s">
        <v>1561</v>
      </c>
      <c r="L8092">
        <f t="shared" si="491"/>
        <v>1</v>
      </c>
    </row>
    <row r="8093" spans="1:12" x14ac:dyDescent="0.35">
      <c r="A8093" s="9">
        <f t="shared" si="492"/>
        <v>8092</v>
      </c>
      <c r="B8093" t="s">
        <v>757</v>
      </c>
      <c r="C8093" s="109">
        <f>IF(ISBLANK(K8093),IFERROR(VLOOKUP(I8093,FS_input_data!$C$458:$N$648,Export!J8093,FALSE),""),K8093)</f>
        <v>280</v>
      </c>
      <c r="D8093" s="6" t="b">
        <v>0</v>
      </c>
      <c r="E8093" s="6"/>
      <c r="F8093" s="6"/>
      <c r="G8093" s="115" t="b">
        <f>VLOOKUP(I8078,FS_input_noty,J8078,FALSE)=""</f>
        <v>0</v>
      </c>
      <c r="H8093" s="6" t="s">
        <v>2189</v>
      </c>
      <c r="I8093" t="s">
        <v>2168</v>
      </c>
      <c r="J8093">
        <v>3</v>
      </c>
      <c r="L8093" s="26" t="e">
        <f t="shared" si="491"/>
        <v>#VALUE!</v>
      </c>
    </row>
    <row r="8094" spans="1:12" x14ac:dyDescent="0.35">
      <c r="A8094">
        <f t="shared" si="492"/>
        <v>8093</v>
      </c>
      <c r="B8094" t="s">
        <v>758</v>
      </c>
      <c r="C8094" s="109" t="str">
        <f>IF(ISBLANK(K8094),IFERROR(VLOOKUP(I8094,FS_input_data!$C$458:$N$648,Export!J8094,FALSE),""),K8094)</f>
        <v/>
      </c>
      <c r="D8094" s="6"/>
      <c r="E8094" s="6"/>
      <c r="F8094" s="6"/>
      <c r="G8094" s="115" t="b">
        <f>VLOOKUP(I8078,FS_input_noty,J8078,FALSE)=""</f>
        <v>0</v>
      </c>
      <c r="H8094" s="6" t="s">
        <v>2189</v>
      </c>
      <c r="I8094" t="s">
        <v>1561</v>
      </c>
      <c r="J8094" t="s">
        <v>1561</v>
      </c>
      <c r="L8094">
        <f t="shared" si="491"/>
        <v>1</v>
      </c>
    </row>
    <row r="8095" spans="1:12" x14ac:dyDescent="0.35">
      <c r="A8095" s="9">
        <f t="shared" si="492"/>
        <v>8094</v>
      </c>
      <c r="B8095" t="s">
        <v>759</v>
      </c>
      <c r="C8095" s="109">
        <f>IF(ISBLANK(K8095),IFERROR(VLOOKUP(I8095,FS_input_data!$C$458:$N$648,Export!J8095,FALSE),""),K8095)</f>
        <v>380</v>
      </c>
      <c r="D8095" s="6" t="b">
        <v>0</v>
      </c>
      <c r="E8095" s="6"/>
      <c r="F8095" s="6"/>
      <c r="G8095" s="115" t="b">
        <f>VLOOKUP(I8078,FS_input_noty,J8078,FALSE)=""</f>
        <v>0</v>
      </c>
      <c r="H8095" s="6" t="s">
        <v>2189</v>
      </c>
      <c r="I8095" t="s">
        <v>2168</v>
      </c>
      <c r="J8095">
        <v>4</v>
      </c>
      <c r="L8095" s="26" t="e">
        <f t="shared" si="491"/>
        <v>#VALUE!</v>
      </c>
    </row>
    <row r="8096" spans="1:12" x14ac:dyDescent="0.35">
      <c r="A8096">
        <f t="shared" si="492"/>
        <v>8095</v>
      </c>
      <c r="B8096" t="s">
        <v>760</v>
      </c>
      <c r="C8096" s="109" t="str">
        <f>IF(ISBLANK(K8096),IFERROR(VLOOKUP(I8096,FS_input_data!$C$458:$N$648,Export!J8096,FALSE),""),K8096)</f>
        <v/>
      </c>
      <c r="D8096" s="6"/>
      <c r="E8096" s="6"/>
      <c r="F8096" s="6"/>
      <c r="G8096" s="115" t="b">
        <f>VLOOKUP(I8078,FS_input_noty,J8078,FALSE)=""</f>
        <v>0</v>
      </c>
      <c r="H8096" s="6" t="s">
        <v>2189</v>
      </c>
      <c r="I8096" t="s">
        <v>1561</v>
      </c>
      <c r="J8096" t="s">
        <v>1561</v>
      </c>
      <c r="L8096">
        <f t="shared" si="491"/>
        <v>1</v>
      </c>
    </row>
    <row r="8097" spans="1:12" x14ac:dyDescent="0.35">
      <c r="A8097" s="9">
        <f t="shared" si="492"/>
        <v>8096</v>
      </c>
      <c r="B8097" t="s">
        <v>761</v>
      </c>
      <c r="C8097" s="109" t="str">
        <f>IF(ISBLANK(K8097),IFERROR(VLOOKUP(I8097,FS_input_data!$C$458:$N$648,Export!J8097,FALSE),""),K8097)</f>
        <v>h</v>
      </c>
      <c r="D8097" s="6" t="b">
        <v>0</v>
      </c>
      <c r="E8097" s="6"/>
      <c r="F8097" s="6"/>
      <c r="G8097" s="115" t="b">
        <f>VLOOKUP(I8078,FS_input_noty,J8078,FALSE)=""</f>
        <v>0</v>
      </c>
      <c r="H8097" s="6" t="s">
        <v>2189</v>
      </c>
      <c r="I8097" t="s">
        <v>2168</v>
      </c>
      <c r="J8097">
        <v>5</v>
      </c>
      <c r="L8097" s="26" t="e">
        <f t="shared" si="491"/>
        <v>#VALUE!</v>
      </c>
    </row>
    <row r="8098" spans="1:12" x14ac:dyDescent="0.35">
      <c r="A8098">
        <f t="shared" si="492"/>
        <v>8097</v>
      </c>
      <c r="B8098" t="s">
        <v>762</v>
      </c>
      <c r="C8098" s="109" t="str">
        <f>IF(ISBLANK(K8098),IFERROR(VLOOKUP(I8098,FS_input_data!$C$458:$N$648,Export!J8098,FALSE),""),K8098)</f>
        <v/>
      </c>
      <c r="D8098" s="6"/>
      <c r="E8098" s="6"/>
      <c r="F8098" s="6"/>
      <c r="G8098" s="115" t="b">
        <f>VLOOKUP(I8078,FS_input_noty,J8078,FALSE)=""</f>
        <v>0</v>
      </c>
      <c r="H8098" s="6" t="s">
        <v>2189</v>
      </c>
      <c r="I8098" t="s">
        <v>1561</v>
      </c>
      <c r="J8098" t="s">
        <v>1561</v>
      </c>
      <c r="L8098">
        <f t="shared" si="491"/>
        <v>1</v>
      </c>
    </row>
    <row r="8099" spans="1:12" x14ac:dyDescent="0.35">
      <c r="A8099">
        <f t="shared" si="492"/>
        <v>8098</v>
      </c>
      <c r="B8099" t="s">
        <v>763</v>
      </c>
      <c r="C8099" s="109" t="str">
        <f>IF(ISBLANK(K8099),IFERROR(VLOOKUP(I8099,FS_input_data!$C$458:$N$648,Export!J8099,FALSE),""),K8099)</f>
        <v/>
      </c>
      <c r="D8099" s="6"/>
      <c r="E8099" s="6"/>
      <c r="F8099" s="6"/>
      <c r="G8099" s="115" t="b">
        <f>VLOOKUP(I8078,FS_input_noty,J8078,FALSE)=""</f>
        <v>0</v>
      </c>
      <c r="H8099" s="6" t="s">
        <v>2189</v>
      </c>
      <c r="I8099" t="s">
        <v>1561</v>
      </c>
      <c r="J8099" t="s">
        <v>1561</v>
      </c>
      <c r="L8099">
        <f t="shared" si="491"/>
        <v>1</v>
      </c>
    </row>
    <row r="8100" spans="1:12" x14ac:dyDescent="0.35">
      <c r="A8100">
        <f t="shared" si="492"/>
        <v>8099</v>
      </c>
      <c r="B8100" t="s">
        <v>743</v>
      </c>
      <c r="C8100" s="109" t="str">
        <f>IF(ISBLANK(K8100),IFERROR(VLOOKUP(I8100,FS_input_data!$C$458:$N$648,Export!J8100,FALSE),""),K8100)</f>
        <v/>
      </c>
      <c r="D8100" s="6"/>
      <c r="E8100" s="6"/>
      <c r="F8100" s="6"/>
      <c r="G8100" s="115" t="b">
        <f>VLOOKUP(I8078,FS_input_noty,J8078,FALSE)=""</f>
        <v>0</v>
      </c>
      <c r="H8100" s="6" t="s">
        <v>2189</v>
      </c>
      <c r="I8100" t="s">
        <v>1561</v>
      </c>
      <c r="J8100" t="s">
        <v>1561</v>
      </c>
      <c r="L8100">
        <f t="shared" si="491"/>
        <v>1</v>
      </c>
    </row>
    <row r="8101" spans="1:12" x14ac:dyDescent="0.35">
      <c r="A8101">
        <f t="shared" si="492"/>
        <v>8100</v>
      </c>
      <c r="B8101" t="s">
        <v>744</v>
      </c>
      <c r="C8101" s="109" t="str">
        <f>IF(ISBLANK(K8101),IFERROR(VLOOKUP(I8101,FS_input_data!$C$458:$N$648,Export!J8101,FALSE),""),K8101)</f>
        <v/>
      </c>
      <c r="D8101" s="6"/>
      <c r="E8101" s="6"/>
      <c r="F8101" s="6"/>
      <c r="G8101" s="115" t="b">
        <f t="shared" ref="G8101:G8108" si="494">RP_tax</f>
        <v>1</v>
      </c>
      <c r="H8101" s="6" t="s">
        <v>2189</v>
      </c>
      <c r="I8101" t="s">
        <v>1561</v>
      </c>
      <c r="J8101" t="s">
        <v>1561</v>
      </c>
      <c r="L8101" s="26" t="e">
        <f t="shared" si="491"/>
        <v>#VALUE!</v>
      </c>
    </row>
    <row r="8102" spans="1:12" x14ac:dyDescent="0.35">
      <c r="A8102" s="9">
        <f t="shared" si="492"/>
        <v>8101</v>
      </c>
      <c r="B8102" t="s">
        <v>109</v>
      </c>
      <c r="C8102" s="109">
        <f>IF(ISBLANK(K8102),IFERROR(VLOOKUP(I8102,FS_input_data!$C$458:$N$648,Export!J8102,FALSE),""),K8102)</f>
        <v>14000</v>
      </c>
      <c r="D8102" s="6" t="b">
        <v>1</v>
      </c>
      <c r="E8102" s="6"/>
      <c r="F8102" s="6"/>
      <c r="G8102" s="115" t="b">
        <f t="shared" si="494"/>
        <v>1</v>
      </c>
      <c r="H8102" s="6" t="s">
        <v>2189</v>
      </c>
      <c r="I8102" t="s">
        <v>2168</v>
      </c>
      <c r="J8102">
        <v>10</v>
      </c>
      <c r="L8102" s="26" t="e">
        <f t="shared" si="491"/>
        <v>#VALUE!</v>
      </c>
    </row>
    <row r="8103" spans="1:12" x14ac:dyDescent="0.35">
      <c r="A8103">
        <f t="shared" si="492"/>
        <v>8102</v>
      </c>
      <c r="B8103" t="s">
        <v>110</v>
      </c>
      <c r="C8103" s="109" t="str">
        <f>IF(ISBLANK(K8103),IFERROR(VLOOKUP(I8103,FS_input_data!$C$458:$N$648,Export!J8103,FALSE),""),K8103)</f>
        <v/>
      </c>
      <c r="D8103" s="6"/>
      <c r="E8103" s="6"/>
      <c r="F8103" s="6"/>
      <c r="G8103" s="115" t="b">
        <f t="shared" si="494"/>
        <v>1</v>
      </c>
      <c r="H8103" s="6" t="s">
        <v>2189</v>
      </c>
      <c r="I8103" t="s">
        <v>1561</v>
      </c>
      <c r="J8103" t="s">
        <v>1561</v>
      </c>
      <c r="L8103">
        <f t="shared" si="491"/>
        <v>1</v>
      </c>
    </row>
    <row r="8104" spans="1:12" x14ac:dyDescent="0.35">
      <c r="A8104" s="9">
        <f t="shared" si="492"/>
        <v>8103</v>
      </c>
      <c r="B8104" t="s">
        <v>111</v>
      </c>
      <c r="C8104" s="109">
        <f>IF(ISBLANK(K8104),IFERROR(VLOOKUP(I8104,FS_input_data!$C$458:$N$648,Export!J8104,FALSE),""),K8104)</f>
        <v>7000</v>
      </c>
      <c r="D8104" s="6" t="b">
        <v>0</v>
      </c>
      <c r="E8104" s="6"/>
      <c r="F8104" s="6"/>
      <c r="G8104" s="115" t="b">
        <f t="shared" si="494"/>
        <v>1</v>
      </c>
      <c r="H8104" s="6" t="s">
        <v>2189</v>
      </c>
      <c r="I8104" t="s">
        <v>2168</v>
      </c>
      <c r="J8104">
        <v>11</v>
      </c>
      <c r="L8104" s="26" t="e">
        <f t="shared" si="491"/>
        <v>#VALUE!</v>
      </c>
    </row>
    <row r="8105" spans="1:12" x14ac:dyDescent="0.35">
      <c r="A8105">
        <f t="shared" si="492"/>
        <v>8104</v>
      </c>
      <c r="B8105" t="s">
        <v>112</v>
      </c>
      <c r="C8105" s="109" t="str">
        <f>IF(ISBLANK(K8105),IFERROR(VLOOKUP(I8105,FS_input_data!$C$458:$N$648,Export!J8105,FALSE),""),K8105)</f>
        <v/>
      </c>
      <c r="D8105" s="6"/>
      <c r="E8105" s="6"/>
      <c r="F8105" s="6"/>
      <c r="G8105" s="115" t="b">
        <f t="shared" si="494"/>
        <v>1</v>
      </c>
      <c r="H8105" s="6" t="s">
        <v>2189</v>
      </c>
      <c r="I8105" t="s">
        <v>1561</v>
      </c>
      <c r="J8105" t="s">
        <v>1561</v>
      </c>
      <c r="L8105">
        <f t="shared" si="491"/>
        <v>1</v>
      </c>
    </row>
    <row r="8106" spans="1:12" x14ac:dyDescent="0.35">
      <c r="A8106" s="9">
        <f t="shared" si="492"/>
        <v>8105</v>
      </c>
      <c r="B8106" t="s">
        <v>749</v>
      </c>
      <c r="C8106" s="109">
        <f>IF(ISBLANK(K8106),IFERROR(VLOOKUP(I8106,FS_input_data!$C$458:$N$648,Export!J8106,FALSE),""),K8106)</f>
        <v>7000</v>
      </c>
      <c r="D8106" s="6" t="b">
        <v>0</v>
      </c>
      <c r="E8106" s="6"/>
      <c r="F8106" s="6"/>
      <c r="G8106" s="115" t="b">
        <f t="shared" si="494"/>
        <v>1</v>
      </c>
      <c r="H8106" s="6" t="s">
        <v>2189</v>
      </c>
      <c r="I8106" t="s">
        <v>2168</v>
      </c>
      <c r="J8106">
        <v>12</v>
      </c>
      <c r="L8106" s="26" t="e">
        <f t="shared" si="491"/>
        <v>#VALUE!</v>
      </c>
    </row>
    <row r="8107" spans="1:12" x14ac:dyDescent="0.35">
      <c r="A8107">
        <f t="shared" si="492"/>
        <v>8106</v>
      </c>
      <c r="B8107" t="s">
        <v>750</v>
      </c>
      <c r="C8107" s="109" t="str">
        <f>IF(ISBLANK(K8107),IFERROR(VLOOKUP(I8107,FS_input_data!$C$458:$N$648,Export!J8107,FALSE),""),K8107)</f>
        <v/>
      </c>
      <c r="D8107" s="6"/>
      <c r="E8107" s="6"/>
      <c r="F8107" s="6"/>
      <c r="G8107" s="115" t="b">
        <f t="shared" si="494"/>
        <v>1</v>
      </c>
      <c r="H8107" s="6" t="s">
        <v>2189</v>
      </c>
      <c r="I8107" t="s">
        <v>1561</v>
      </c>
      <c r="J8107" t="s">
        <v>1561</v>
      </c>
      <c r="L8107">
        <f t="shared" si="491"/>
        <v>1</v>
      </c>
    </row>
    <row r="8108" spans="1:12" x14ac:dyDescent="0.35">
      <c r="A8108">
        <f t="shared" si="492"/>
        <v>8107</v>
      </c>
      <c r="B8108" t="s">
        <v>745</v>
      </c>
      <c r="C8108" s="109" t="str">
        <f>IF(ISBLANK(K8108),IFERROR(VLOOKUP(I8108,FS_input_data!$C$458:$N$648,Export!J8108,FALSE),""),K8108)</f>
        <v/>
      </c>
      <c r="D8108" s="6"/>
      <c r="E8108" s="6"/>
      <c r="F8108" s="6"/>
      <c r="G8108" s="115" t="b">
        <f t="shared" si="494"/>
        <v>1</v>
      </c>
      <c r="H8108" s="6" t="s">
        <v>2189</v>
      </c>
      <c r="I8108" t="s">
        <v>1561</v>
      </c>
      <c r="J8108" t="s">
        <v>1561</v>
      </c>
      <c r="L8108">
        <f t="shared" si="491"/>
        <v>1</v>
      </c>
    </row>
    <row r="8109" spans="1:12" x14ac:dyDescent="0.35">
      <c r="A8109">
        <f t="shared" si="492"/>
        <v>8108</v>
      </c>
      <c r="B8109" t="s">
        <v>764</v>
      </c>
      <c r="C8109" s="109" t="str">
        <f>IF(ISBLANK(K8109),IFERROR(VLOOKUP(I8109,FS_input_data!$C$458:$N$648,Export!J8109,FALSE),""),K8109)</f>
        <v/>
      </c>
      <c r="D8109" s="6"/>
      <c r="E8109" s="6"/>
      <c r="F8109" s="6"/>
      <c r="G8109" s="115" t="b">
        <f>VLOOKUP(I8078,FS_input_noty,J8078,FALSE)=""</f>
        <v>0</v>
      </c>
      <c r="H8109" s="6" t="s">
        <v>2189</v>
      </c>
      <c r="I8109" t="s">
        <v>1561</v>
      </c>
      <c r="J8109" t="s">
        <v>1561</v>
      </c>
      <c r="L8109">
        <f t="shared" si="491"/>
        <v>1</v>
      </c>
    </row>
    <row r="8110" spans="1:12" x14ac:dyDescent="0.35">
      <c r="A8110">
        <f t="shared" si="492"/>
        <v>8109</v>
      </c>
      <c r="B8110" t="s">
        <v>765</v>
      </c>
      <c r="C8110" s="109" t="str">
        <f>IF(ISBLANK(K8110),IFERROR(VLOOKUP(I8110,FS_input_data!$C$458:$N$648,Export!J8110,FALSE),""),K8110)</f>
        <v/>
      </c>
      <c r="D8110" s="6"/>
      <c r="E8110" s="6"/>
      <c r="F8110" s="6"/>
      <c r="G8110" s="115" t="b">
        <f>VLOOKUP(I8078,FS_input_noty,J8078,FALSE)=""</f>
        <v>0</v>
      </c>
      <c r="H8110" s="6" t="s">
        <v>2189</v>
      </c>
      <c r="I8110" t="s">
        <v>1561</v>
      </c>
      <c r="J8110" t="s">
        <v>1561</v>
      </c>
      <c r="L8110">
        <f t="shared" si="491"/>
        <v>1</v>
      </c>
    </row>
    <row r="8111" spans="1:12" x14ac:dyDescent="0.35">
      <c r="A8111">
        <f t="shared" si="492"/>
        <v>8110</v>
      </c>
      <c r="B8111" t="s">
        <v>752</v>
      </c>
      <c r="C8111" s="109" t="str">
        <f>IF(ISBLANK(K8111),IFERROR(VLOOKUP(I8111,FS_input_data!$C$458:$N$648,Export!J8111,FALSE),""),K8111)</f>
        <v/>
      </c>
      <c r="D8111" s="6"/>
      <c r="E8111" s="6"/>
      <c r="F8111" s="6"/>
      <c r="G8111" s="115" t="b">
        <f>VLOOKUP(I8112,FS_input_noty,J8112,FALSE)=""</f>
        <v>0</v>
      </c>
      <c r="H8111" s="6" t="s">
        <v>2189</v>
      </c>
      <c r="I8111" t="s">
        <v>1561</v>
      </c>
      <c r="J8111" t="s">
        <v>1561</v>
      </c>
      <c r="L8111" s="26" t="e">
        <f t="shared" si="491"/>
        <v>#VALUE!</v>
      </c>
    </row>
    <row r="8112" spans="1:12" x14ac:dyDescent="0.35">
      <c r="A8112" s="9">
        <f t="shared" si="492"/>
        <v>8111</v>
      </c>
      <c r="B8112" t="s">
        <v>101</v>
      </c>
      <c r="C8112" s="109" t="str">
        <f>IF(ISBLANK(K8112),IFERROR(VLOOKUP(I8112,FS_input_data!$C$458:$N$648,Export!J8112,FALSE),""),K8112)</f>
        <v>OC158</v>
      </c>
      <c r="D8112" s="6" t="b">
        <v>1</v>
      </c>
      <c r="E8112" s="6"/>
      <c r="F8112" s="6"/>
      <c r="G8112" s="115" t="b">
        <f>VLOOKUP(I8112,FS_input_noty,J8112,FALSE)=""</f>
        <v>0</v>
      </c>
      <c r="H8112" s="6" t="s">
        <v>2189</v>
      </c>
      <c r="I8112" t="s">
        <v>2170</v>
      </c>
      <c r="J8112">
        <v>6</v>
      </c>
      <c r="L8112" s="26" t="e">
        <f t="shared" si="491"/>
        <v>#VALUE!</v>
      </c>
    </row>
    <row r="8113" spans="1:12" x14ac:dyDescent="0.35">
      <c r="A8113">
        <f t="shared" si="492"/>
        <v>8112</v>
      </c>
      <c r="B8113" t="s">
        <v>102</v>
      </c>
      <c r="C8113" s="109" t="str">
        <f>IF(ISBLANK(K8113),IFERROR(VLOOKUP(I8113,FS_input_data!$C$458:$N$648,Export!J8113,FALSE),""),K8113)</f>
        <v/>
      </c>
      <c r="D8113" s="6"/>
      <c r="E8113" s="6"/>
      <c r="F8113" s="6"/>
      <c r="G8113" s="115" t="b">
        <f>VLOOKUP(I8112,FS_input_noty,J8112,FALSE)=""</f>
        <v>0</v>
      </c>
      <c r="H8113" s="6" t="s">
        <v>2189</v>
      </c>
      <c r="I8113" t="s">
        <v>1561</v>
      </c>
      <c r="J8113" t="s">
        <v>1561</v>
      </c>
      <c r="L8113">
        <f t="shared" si="491"/>
        <v>1</v>
      </c>
    </row>
    <row r="8114" spans="1:12" x14ac:dyDescent="0.35">
      <c r="A8114">
        <f t="shared" si="492"/>
        <v>8113</v>
      </c>
      <c r="B8114" t="s">
        <v>753</v>
      </c>
      <c r="C8114" s="109" t="str">
        <f>IF(ISBLANK(K8114),IFERROR(VLOOKUP(I8114,FS_input_data!$C$458:$N$648,Export!J8114,FALSE),""),K8114)</f>
        <v/>
      </c>
      <c r="D8114" s="6"/>
      <c r="E8114" s="6"/>
      <c r="F8114" s="6"/>
      <c r="G8114" s="115" t="b">
        <f>VLOOKUP(I8112,FS_input_noty,J8112,FALSE)=""</f>
        <v>0</v>
      </c>
      <c r="H8114" s="6" t="s">
        <v>2189</v>
      </c>
      <c r="I8114" t="s">
        <v>1561</v>
      </c>
      <c r="J8114" t="s">
        <v>1561</v>
      </c>
      <c r="L8114" s="26" t="e">
        <f t="shared" si="491"/>
        <v>#VALUE!</v>
      </c>
    </row>
    <row r="8115" spans="1:12" x14ac:dyDescent="0.35">
      <c r="A8115">
        <f t="shared" si="492"/>
        <v>8114</v>
      </c>
      <c r="B8115" t="s">
        <v>742</v>
      </c>
      <c r="C8115" s="109" t="str">
        <f>IF(ISBLANK(K8115),IFERROR(VLOOKUP(I8115,FS_input_data!$C$458:$N$648,Export!J8115,FALSE),""),K8115)</f>
        <v/>
      </c>
      <c r="D8115" s="6"/>
      <c r="E8115" s="6"/>
      <c r="F8115" s="6"/>
      <c r="G8115" s="115" t="b">
        <f>VLOOKUP(I8112,FS_input_noty,J8112,FALSE)=""</f>
        <v>0</v>
      </c>
      <c r="H8115" s="6" t="s">
        <v>2189</v>
      </c>
      <c r="I8115" t="s">
        <v>1561</v>
      </c>
      <c r="J8115" t="s">
        <v>1561</v>
      </c>
      <c r="L8115" s="26" t="e">
        <f t="shared" si="491"/>
        <v>#VALUE!</v>
      </c>
    </row>
    <row r="8116" spans="1:12" x14ac:dyDescent="0.35">
      <c r="A8116">
        <f t="shared" si="492"/>
        <v>8115</v>
      </c>
      <c r="B8116" t="s">
        <v>748</v>
      </c>
      <c r="C8116" s="109" t="str">
        <f>IF(ISBLANK(K8116),IFERROR(VLOOKUP(I8116,FS_input_data!$C$458:$N$648,Export!J8116,FALSE),""),K8116)</f>
        <v/>
      </c>
      <c r="D8116" s="6"/>
      <c r="E8116" s="6"/>
      <c r="F8116" s="6"/>
      <c r="G8116" s="115" t="b">
        <f>VLOOKUP(I8112,FS_input_noty,J8112,FALSE)=""</f>
        <v>0</v>
      </c>
      <c r="H8116" s="6" t="s">
        <v>2189</v>
      </c>
      <c r="I8116" t="s">
        <v>1561</v>
      </c>
      <c r="J8116" t="s">
        <v>1561</v>
      </c>
      <c r="L8116" s="26" t="e">
        <f t="shared" si="491"/>
        <v>#VALUE!</v>
      </c>
    </row>
    <row r="8117" spans="1:12" x14ac:dyDescent="0.35">
      <c r="A8117" s="9">
        <f t="shared" si="492"/>
        <v>8116</v>
      </c>
      <c r="B8117" t="s">
        <v>109</v>
      </c>
      <c r="C8117" s="109">
        <f>IF(ISBLANK(K8117),IFERROR(VLOOKUP(I8117,FS_input_data!$C$458:$N$648,Export!J8117,FALSE),""),K8117)</f>
        <v>15000</v>
      </c>
      <c r="D8117" s="6" t="b">
        <v>1</v>
      </c>
      <c r="E8117" s="6"/>
      <c r="F8117" s="6"/>
      <c r="G8117" s="115" t="b">
        <f>VLOOKUP(I8112,FS_input_noty,J8112,FALSE)=""</f>
        <v>0</v>
      </c>
      <c r="H8117" s="6" t="s">
        <v>2189</v>
      </c>
      <c r="I8117" t="s">
        <v>2170</v>
      </c>
      <c r="J8117">
        <v>7</v>
      </c>
      <c r="L8117" s="26" t="e">
        <f t="shared" si="491"/>
        <v>#VALUE!</v>
      </c>
    </row>
    <row r="8118" spans="1:12" x14ac:dyDescent="0.35">
      <c r="A8118">
        <f t="shared" si="492"/>
        <v>8117</v>
      </c>
      <c r="B8118" t="s">
        <v>110</v>
      </c>
      <c r="C8118" s="109" t="str">
        <f>IF(ISBLANK(K8118),IFERROR(VLOOKUP(I8118,FS_input_data!$C$458:$N$648,Export!J8118,FALSE),""),K8118)</f>
        <v/>
      </c>
      <c r="D8118" s="6"/>
      <c r="E8118" s="6"/>
      <c r="F8118" s="6"/>
      <c r="G8118" s="115" t="b">
        <f>VLOOKUP(I8112,FS_input_noty,J8112,FALSE)=""</f>
        <v>0</v>
      </c>
      <c r="H8118" s="6" t="s">
        <v>2189</v>
      </c>
      <c r="I8118" t="s">
        <v>1561</v>
      </c>
      <c r="J8118" t="s">
        <v>1561</v>
      </c>
      <c r="L8118">
        <f t="shared" si="491"/>
        <v>1</v>
      </c>
    </row>
    <row r="8119" spans="1:12" x14ac:dyDescent="0.35">
      <c r="A8119" s="9">
        <f t="shared" si="492"/>
        <v>8118</v>
      </c>
      <c r="B8119" t="s">
        <v>111</v>
      </c>
      <c r="C8119" s="109">
        <f>IF(ISBLANK(K8119),IFERROR(VLOOKUP(I8119,FS_input_data!$C$458:$N$648,Export!J8119,FALSE),""),K8119)</f>
        <v>7500</v>
      </c>
      <c r="D8119" s="6" t="b">
        <v>0</v>
      </c>
      <c r="E8119" s="6"/>
      <c r="F8119" s="6"/>
      <c r="G8119" s="115" t="b">
        <f>VLOOKUP(I8112,FS_input_noty,J8112,TRUE)=""</f>
        <v>0</v>
      </c>
      <c r="H8119" s="6" t="s">
        <v>2189</v>
      </c>
      <c r="I8119" t="s">
        <v>2170</v>
      </c>
      <c r="J8119">
        <v>8</v>
      </c>
      <c r="L8119" s="26" t="e">
        <f t="shared" si="491"/>
        <v>#VALUE!</v>
      </c>
    </row>
    <row r="8120" spans="1:12" x14ac:dyDescent="0.35">
      <c r="A8120">
        <f t="shared" si="492"/>
        <v>8119</v>
      </c>
      <c r="B8120" t="s">
        <v>112</v>
      </c>
      <c r="C8120" s="109" t="str">
        <f>IF(ISBLANK(K8120),IFERROR(VLOOKUP(I8120,FS_input_data!$C$458:$N$648,Export!J8120,FALSE),""),K8120)</f>
        <v/>
      </c>
      <c r="D8120" s="6"/>
      <c r="E8120" s="6"/>
      <c r="F8120" s="6"/>
      <c r="G8120" s="115" t="b">
        <f>VLOOKUP(I8112,FS_input_noty,J8112,FALSE)=""</f>
        <v>0</v>
      </c>
      <c r="H8120" s="6" t="s">
        <v>2189</v>
      </c>
      <c r="I8120" t="s">
        <v>1561</v>
      </c>
      <c r="J8120" t="s">
        <v>1561</v>
      </c>
      <c r="L8120">
        <f t="shared" si="491"/>
        <v>1</v>
      </c>
    </row>
    <row r="8121" spans="1:12" x14ac:dyDescent="0.35">
      <c r="A8121" s="9">
        <f t="shared" si="492"/>
        <v>8120</v>
      </c>
      <c r="B8121" t="s">
        <v>749</v>
      </c>
      <c r="C8121" s="109">
        <f>IF(ISBLANK(K8121),IFERROR(VLOOKUP(I8121,FS_input_data!$C$458:$N$648,Export!J8121,FALSE),""),K8121)</f>
        <v>7500</v>
      </c>
      <c r="D8121" s="6" t="b">
        <v>0</v>
      </c>
      <c r="E8121" s="6"/>
      <c r="F8121" s="6"/>
      <c r="G8121" s="115" t="b">
        <f>VLOOKUP(I8112,FS_input_noty,J8112,FALSE)=""</f>
        <v>0</v>
      </c>
      <c r="H8121" s="6" t="s">
        <v>2189</v>
      </c>
      <c r="I8121" t="s">
        <v>2170</v>
      </c>
      <c r="J8121">
        <v>9</v>
      </c>
      <c r="L8121" s="26" t="e">
        <f t="shared" si="491"/>
        <v>#VALUE!</v>
      </c>
    </row>
    <row r="8122" spans="1:12" x14ac:dyDescent="0.35">
      <c r="A8122">
        <f t="shared" si="492"/>
        <v>8121</v>
      </c>
      <c r="B8122" t="s">
        <v>750</v>
      </c>
      <c r="C8122" s="109" t="str">
        <f>IF(ISBLANK(K8122),IFERROR(VLOOKUP(I8122,FS_input_data!$C$458:$N$648,Export!J8122,FALSE),""),K8122)</f>
        <v/>
      </c>
      <c r="D8122" s="6"/>
      <c r="E8122" s="6"/>
      <c r="F8122" s="6"/>
      <c r="G8122" s="115" t="b">
        <f>VLOOKUP(I8112,FS_input_noty,J8112,FALSE)=""</f>
        <v>0</v>
      </c>
      <c r="H8122" s="6" t="s">
        <v>2189</v>
      </c>
      <c r="I8122" t="s">
        <v>1561</v>
      </c>
      <c r="J8122" t="s">
        <v>1561</v>
      </c>
      <c r="L8122">
        <f t="shared" si="491"/>
        <v>1</v>
      </c>
    </row>
    <row r="8123" spans="1:12" x14ac:dyDescent="0.35">
      <c r="A8123">
        <f t="shared" si="492"/>
        <v>8122</v>
      </c>
      <c r="B8123" t="s">
        <v>751</v>
      </c>
      <c r="C8123" s="109" t="str">
        <f>IF(ISBLANK(K8123),IFERROR(VLOOKUP(I8123,FS_input_data!$C$458:$N$648,Export!J8123,FALSE),""),K8123)</f>
        <v/>
      </c>
      <c r="D8123" s="6"/>
      <c r="E8123" s="6"/>
      <c r="F8123" s="6"/>
      <c r="G8123" s="115" t="b">
        <f>VLOOKUP(I8112,FS_input_noty,J8112,FALSE)=""</f>
        <v>0</v>
      </c>
      <c r="H8123" s="6" t="s">
        <v>2189</v>
      </c>
      <c r="I8123" t="s">
        <v>1561</v>
      </c>
      <c r="J8123" t="s">
        <v>1561</v>
      </c>
      <c r="L8123">
        <f t="shared" si="491"/>
        <v>1</v>
      </c>
    </row>
    <row r="8124" spans="1:12" x14ac:dyDescent="0.35">
      <c r="A8124">
        <f t="shared" si="492"/>
        <v>8123</v>
      </c>
      <c r="B8124" t="s">
        <v>754</v>
      </c>
      <c r="C8124" s="109" t="str">
        <f>IF(ISBLANK(K8124),IFERROR(VLOOKUP(I8124,FS_input_data!$C$458:$N$648,Export!J8124,FALSE),""),K8124)</f>
        <v/>
      </c>
      <c r="D8124" s="6"/>
      <c r="E8124" s="6"/>
      <c r="F8124" s="6"/>
      <c r="G8124" s="115" t="b">
        <f>VLOOKUP(I8112,FS_input_noty,J8112,FALSE)=""</f>
        <v>0</v>
      </c>
      <c r="H8124" s="6" t="s">
        <v>2189</v>
      </c>
      <c r="I8124" t="s">
        <v>1561</v>
      </c>
      <c r="J8124" t="s">
        <v>1561</v>
      </c>
      <c r="L8124" s="26" t="e">
        <f t="shared" si="491"/>
        <v>#VALUE!</v>
      </c>
    </row>
    <row r="8125" spans="1:12" x14ac:dyDescent="0.35">
      <c r="A8125" s="9">
        <f t="shared" si="492"/>
        <v>8124</v>
      </c>
      <c r="B8125" t="s">
        <v>755</v>
      </c>
      <c r="C8125" s="109">
        <f>IF(ISBLANK(K8125),IFERROR(VLOOKUP(I8125,FS_input_data!$C$458:$N$648,Export!J8125,FALSE),""),K8125)</f>
        <v>181</v>
      </c>
      <c r="D8125" s="6" t="b">
        <v>1</v>
      </c>
      <c r="E8125" s="6"/>
      <c r="F8125" s="6"/>
      <c r="G8125" s="115" t="b">
        <f>VLOOKUP(I8112,FS_input_noty,J8112,FALSE)=""</f>
        <v>0</v>
      </c>
      <c r="H8125" s="6" t="s">
        <v>2189</v>
      </c>
      <c r="I8125" t="s">
        <v>2170</v>
      </c>
      <c r="J8125">
        <v>2</v>
      </c>
      <c r="L8125" s="26" t="e">
        <f t="shared" si="491"/>
        <v>#VALUE!</v>
      </c>
    </row>
    <row r="8126" spans="1:12" x14ac:dyDescent="0.35">
      <c r="A8126">
        <f t="shared" si="492"/>
        <v>8125</v>
      </c>
      <c r="B8126" t="s">
        <v>756</v>
      </c>
      <c r="C8126" s="109" t="str">
        <f>IF(ISBLANK(K8126),IFERROR(VLOOKUP(I8126,FS_input_data!$C$458:$N$648,Export!J8126,FALSE),""),K8126)</f>
        <v/>
      </c>
      <c r="D8126" s="6"/>
      <c r="E8126" s="6"/>
      <c r="F8126" s="6"/>
      <c r="G8126" s="115" t="b">
        <f>VLOOKUP(I8112,FS_input_noty,J8112,FALSE)=""</f>
        <v>0</v>
      </c>
      <c r="H8126" s="6" t="s">
        <v>2189</v>
      </c>
      <c r="I8126" t="s">
        <v>1561</v>
      </c>
      <c r="J8126" t="s">
        <v>1561</v>
      </c>
      <c r="L8126">
        <f t="shared" si="491"/>
        <v>1</v>
      </c>
    </row>
    <row r="8127" spans="1:12" x14ac:dyDescent="0.35">
      <c r="A8127" s="9">
        <f t="shared" si="492"/>
        <v>8126</v>
      </c>
      <c r="B8127" t="s">
        <v>757</v>
      </c>
      <c r="C8127" s="109">
        <f>IF(ISBLANK(K8127),IFERROR(VLOOKUP(I8127,FS_input_data!$C$458:$N$648,Export!J8127,FALSE),""),K8127)</f>
        <v>281</v>
      </c>
      <c r="D8127" s="6" t="b">
        <v>0</v>
      </c>
      <c r="E8127" s="6"/>
      <c r="F8127" s="6"/>
      <c r="G8127" s="115" t="b">
        <f>VLOOKUP(I8112,FS_input_noty,J8112,FALSE)=""</f>
        <v>0</v>
      </c>
      <c r="H8127" s="6" t="s">
        <v>2189</v>
      </c>
      <c r="I8127" t="s">
        <v>2170</v>
      </c>
      <c r="J8127">
        <v>3</v>
      </c>
      <c r="L8127" s="26" t="e">
        <f t="shared" si="491"/>
        <v>#VALUE!</v>
      </c>
    </row>
    <row r="8128" spans="1:12" x14ac:dyDescent="0.35">
      <c r="A8128">
        <f t="shared" si="492"/>
        <v>8127</v>
      </c>
      <c r="B8128" t="s">
        <v>758</v>
      </c>
      <c r="C8128" s="109" t="str">
        <f>IF(ISBLANK(K8128),IFERROR(VLOOKUP(I8128,FS_input_data!$C$458:$N$648,Export!J8128,FALSE),""),K8128)</f>
        <v/>
      </c>
      <c r="D8128" s="6"/>
      <c r="E8128" s="6"/>
      <c r="F8128" s="6"/>
      <c r="G8128" s="115" t="b">
        <f>VLOOKUP(I8112,FS_input_noty,J8112,FALSE)=""</f>
        <v>0</v>
      </c>
      <c r="H8128" s="6" t="s">
        <v>2189</v>
      </c>
      <c r="I8128" t="s">
        <v>1561</v>
      </c>
      <c r="J8128" t="s">
        <v>1561</v>
      </c>
      <c r="L8128">
        <f t="shared" si="491"/>
        <v>1</v>
      </c>
    </row>
    <row r="8129" spans="1:12" x14ac:dyDescent="0.35">
      <c r="A8129" s="9">
        <f t="shared" si="492"/>
        <v>8128</v>
      </c>
      <c r="B8129" t="s">
        <v>759</v>
      </c>
      <c r="C8129" s="109">
        <f>IF(ISBLANK(K8129),IFERROR(VLOOKUP(I8129,FS_input_data!$C$458:$N$648,Export!J8129,FALSE),""),K8129)</f>
        <v>381</v>
      </c>
      <c r="D8129" s="6" t="b">
        <v>0</v>
      </c>
      <c r="E8129" s="6"/>
      <c r="F8129" s="6"/>
      <c r="G8129" s="115" t="b">
        <f>VLOOKUP(I8112,FS_input_noty,J8112,FALSE)=""</f>
        <v>0</v>
      </c>
      <c r="H8129" s="6" t="s">
        <v>2189</v>
      </c>
      <c r="I8129" t="s">
        <v>2170</v>
      </c>
      <c r="J8129">
        <v>4</v>
      </c>
      <c r="L8129" s="26" t="e">
        <f t="shared" si="491"/>
        <v>#VALUE!</v>
      </c>
    </row>
    <row r="8130" spans="1:12" x14ac:dyDescent="0.35">
      <c r="A8130">
        <f t="shared" si="492"/>
        <v>8129</v>
      </c>
      <c r="B8130" t="s">
        <v>760</v>
      </c>
      <c r="C8130" s="109" t="str">
        <f>IF(ISBLANK(K8130),IFERROR(VLOOKUP(I8130,FS_input_data!$C$458:$N$648,Export!J8130,FALSE),""),K8130)</f>
        <v/>
      </c>
      <c r="D8130" s="6"/>
      <c r="E8130" s="6"/>
      <c r="F8130" s="6"/>
      <c r="G8130" s="115" t="b">
        <f>VLOOKUP(I8112,FS_input_noty,J8112,FALSE)=""</f>
        <v>0</v>
      </c>
      <c r="H8130" s="6" t="s">
        <v>2189</v>
      </c>
      <c r="I8130" t="s">
        <v>1561</v>
      </c>
      <c r="J8130" t="s">
        <v>1561</v>
      </c>
      <c r="L8130">
        <f t="shared" ref="L8130:L8193" si="495">FIND("/",B8130)</f>
        <v>1</v>
      </c>
    </row>
    <row r="8131" spans="1:12" x14ac:dyDescent="0.35">
      <c r="A8131" s="9">
        <f t="shared" ref="A8131:A8194" si="496">A8130+1</f>
        <v>8130</v>
      </c>
      <c r="B8131" t="s">
        <v>761</v>
      </c>
      <c r="C8131" s="109" t="str">
        <f>IF(ISBLANK(K8131),IFERROR(VLOOKUP(I8131,FS_input_data!$C$458:$N$648,Export!J8131,FALSE),""),K8131)</f>
        <v>e</v>
      </c>
      <c r="D8131" s="6" t="b">
        <v>0</v>
      </c>
      <c r="E8131" s="6"/>
      <c r="F8131" s="6"/>
      <c r="G8131" s="115" t="b">
        <f>VLOOKUP(I8112,FS_input_noty,J8112,FALSE)=""</f>
        <v>0</v>
      </c>
      <c r="H8131" s="6" t="s">
        <v>2189</v>
      </c>
      <c r="I8131" t="s">
        <v>2170</v>
      </c>
      <c r="J8131">
        <v>5</v>
      </c>
      <c r="L8131" s="26" t="e">
        <f t="shared" si="495"/>
        <v>#VALUE!</v>
      </c>
    </row>
    <row r="8132" spans="1:12" x14ac:dyDescent="0.35">
      <c r="A8132">
        <f t="shared" si="496"/>
        <v>8131</v>
      </c>
      <c r="B8132" t="s">
        <v>762</v>
      </c>
      <c r="C8132" s="109" t="str">
        <f>IF(ISBLANK(K8132),IFERROR(VLOOKUP(I8132,FS_input_data!$C$458:$N$648,Export!J8132,FALSE),""),K8132)</f>
        <v/>
      </c>
      <c r="D8132" s="6"/>
      <c r="E8132" s="6"/>
      <c r="F8132" s="6"/>
      <c r="G8132" s="115" t="b">
        <f>VLOOKUP(I8112,FS_input_noty,J8112,FALSE)=""</f>
        <v>0</v>
      </c>
      <c r="H8132" s="6" t="s">
        <v>2189</v>
      </c>
      <c r="I8132" t="s">
        <v>1561</v>
      </c>
      <c r="J8132" t="s">
        <v>1561</v>
      </c>
      <c r="L8132">
        <f t="shared" si="495"/>
        <v>1</v>
      </c>
    </row>
    <row r="8133" spans="1:12" x14ac:dyDescent="0.35">
      <c r="A8133">
        <f t="shared" si="496"/>
        <v>8132</v>
      </c>
      <c r="B8133" t="s">
        <v>763</v>
      </c>
      <c r="C8133" s="109" t="str">
        <f>IF(ISBLANK(K8133),IFERROR(VLOOKUP(I8133,FS_input_data!$C$458:$N$648,Export!J8133,FALSE),""),K8133)</f>
        <v/>
      </c>
      <c r="D8133" s="6"/>
      <c r="E8133" s="6"/>
      <c r="F8133" s="6"/>
      <c r="G8133" s="115" t="b">
        <f>VLOOKUP(I8112,FS_input_noty,J8112,FALSE)=""</f>
        <v>0</v>
      </c>
      <c r="H8133" s="6" t="s">
        <v>2189</v>
      </c>
      <c r="I8133" t="s">
        <v>1561</v>
      </c>
      <c r="J8133" t="s">
        <v>1561</v>
      </c>
      <c r="L8133">
        <f t="shared" si="495"/>
        <v>1</v>
      </c>
    </row>
    <row r="8134" spans="1:12" x14ac:dyDescent="0.35">
      <c r="A8134">
        <f t="shared" si="496"/>
        <v>8133</v>
      </c>
      <c r="B8134" t="s">
        <v>743</v>
      </c>
      <c r="C8134" s="109" t="str">
        <f>IF(ISBLANK(K8134),IFERROR(VLOOKUP(I8134,FS_input_data!$C$458:$N$648,Export!J8134,FALSE),""),K8134)</f>
        <v/>
      </c>
      <c r="D8134" s="6"/>
      <c r="E8134" s="6"/>
      <c r="F8134" s="6"/>
      <c r="G8134" s="115" t="b">
        <f>VLOOKUP(I8112,FS_input_noty,J8112,FALSE)=""</f>
        <v>0</v>
      </c>
      <c r="H8134" s="6" t="s">
        <v>2189</v>
      </c>
      <c r="I8134" t="s">
        <v>1561</v>
      </c>
      <c r="J8134" t="s">
        <v>1561</v>
      </c>
      <c r="L8134">
        <f t="shared" si="495"/>
        <v>1</v>
      </c>
    </row>
    <row r="8135" spans="1:12" x14ac:dyDescent="0.35">
      <c r="A8135">
        <f t="shared" si="496"/>
        <v>8134</v>
      </c>
      <c r="B8135" t="s">
        <v>744</v>
      </c>
      <c r="C8135" s="109" t="str">
        <f>IF(ISBLANK(K8135),IFERROR(VLOOKUP(I8135,FS_input_data!$C$458:$N$648,Export!J8135,FALSE),""),K8135)</f>
        <v/>
      </c>
      <c r="D8135" s="6"/>
      <c r="E8135" s="6"/>
      <c r="F8135" s="6"/>
      <c r="G8135" s="115" t="b">
        <f t="shared" ref="G8135:G8142" si="497">RP_tax</f>
        <v>1</v>
      </c>
      <c r="H8135" s="6" t="s">
        <v>2189</v>
      </c>
      <c r="I8135" t="s">
        <v>1561</v>
      </c>
      <c r="J8135" t="s">
        <v>1561</v>
      </c>
      <c r="L8135" s="26" t="e">
        <f t="shared" si="495"/>
        <v>#VALUE!</v>
      </c>
    </row>
    <row r="8136" spans="1:12" x14ac:dyDescent="0.35">
      <c r="A8136" s="9">
        <f t="shared" si="496"/>
        <v>8135</v>
      </c>
      <c r="B8136" t="s">
        <v>109</v>
      </c>
      <c r="C8136" s="109">
        <f>IF(ISBLANK(K8136),IFERROR(VLOOKUP(I8136,FS_input_data!$C$458:$N$648,Export!J8136,FALSE),""),K8136)</f>
        <v>15000</v>
      </c>
      <c r="D8136" s="6" t="b">
        <v>1</v>
      </c>
      <c r="E8136" s="6"/>
      <c r="F8136" s="6"/>
      <c r="G8136" s="115" t="b">
        <f t="shared" si="497"/>
        <v>1</v>
      </c>
      <c r="H8136" s="6" t="s">
        <v>2189</v>
      </c>
      <c r="I8136" t="s">
        <v>2170</v>
      </c>
      <c r="J8136">
        <v>10</v>
      </c>
      <c r="L8136" s="26" t="e">
        <f t="shared" si="495"/>
        <v>#VALUE!</v>
      </c>
    </row>
    <row r="8137" spans="1:12" x14ac:dyDescent="0.35">
      <c r="A8137">
        <f t="shared" si="496"/>
        <v>8136</v>
      </c>
      <c r="B8137" t="s">
        <v>110</v>
      </c>
      <c r="C8137" s="109" t="str">
        <f>IF(ISBLANK(K8137),IFERROR(VLOOKUP(I8137,FS_input_data!$C$458:$N$648,Export!J8137,FALSE),""),K8137)</f>
        <v/>
      </c>
      <c r="D8137" s="6"/>
      <c r="E8137" s="6"/>
      <c r="F8137" s="6"/>
      <c r="G8137" s="115" t="b">
        <f t="shared" si="497"/>
        <v>1</v>
      </c>
      <c r="H8137" s="6" t="s">
        <v>2189</v>
      </c>
      <c r="I8137" t="s">
        <v>1561</v>
      </c>
      <c r="J8137" t="s">
        <v>1561</v>
      </c>
      <c r="L8137">
        <f t="shared" si="495"/>
        <v>1</v>
      </c>
    </row>
    <row r="8138" spans="1:12" x14ac:dyDescent="0.35">
      <c r="A8138" s="9">
        <f t="shared" si="496"/>
        <v>8137</v>
      </c>
      <c r="B8138" t="s">
        <v>111</v>
      </c>
      <c r="C8138" s="109">
        <f>IF(ISBLANK(K8138),IFERROR(VLOOKUP(I8138,FS_input_data!$C$458:$N$648,Export!J8138,FALSE),""),K8138)</f>
        <v>7500</v>
      </c>
      <c r="D8138" s="6" t="b">
        <v>0</v>
      </c>
      <c r="E8138" s="6"/>
      <c r="F8138" s="6"/>
      <c r="G8138" s="115" t="b">
        <f t="shared" si="497"/>
        <v>1</v>
      </c>
      <c r="H8138" s="6" t="s">
        <v>2189</v>
      </c>
      <c r="I8138" t="s">
        <v>2170</v>
      </c>
      <c r="J8138">
        <v>11</v>
      </c>
      <c r="L8138" s="26" t="e">
        <f t="shared" si="495"/>
        <v>#VALUE!</v>
      </c>
    </row>
    <row r="8139" spans="1:12" x14ac:dyDescent="0.35">
      <c r="A8139">
        <f t="shared" si="496"/>
        <v>8138</v>
      </c>
      <c r="B8139" t="s">
        <v>112</v>
      </c>
      <c r="C8139" s="109" t="str">
        <f>IF(ISBLANK(K8139),IFERROR(VLOOKUP(I8139,FS_input_data!$C$458:$N$648,Export!J8139,FALSE),""),K8139)</f>
        <v/>
      </c>
      <c r="D8139" s="6"/>
      <c r="E8139" s="6"/>
      <c r="F8139" s="6"/>
      <c r="G8139" s="115" t="b">
        <f t="shared" si="497"/>
        <v>1</v>
      </c>
      <c r="H8139" s="6" t="s">
        <v>2189</v>
      </c>
      <c r="I8139" t="s">
        <v>1561</v>
      </c>
      <c r="J8139" t="s">
        <v>1561</v>
      </c>
      <c r="L8139">
        <f t="shared" si="495"/>
        <v>1</v>
      </c>
    </row>
    <row r="8140" spans="1:12" x14ac:dyDescent="0.35">
      <c r="A8140" s="9">
        <f t="shared" si="496"/>
        <v>8139</v>
      </c>
      <c r="B8140" t="s">
        <v>749</v>
      </c>
      <c r="C8140" s="109">
        <f>IF(ISBLANK(K8140),IFERROR(VLOOKUP(I8140,FS_input_data!$C$458:$N$648,Export!J8140,FALSE),""),K8140)</f>
        <v>7500</v>
      </c>
      <c r="D8140" s="6" t="b">
        <v>0</v>
      </c>
      <c r="E8140" s="6"/>
      <c r="F8140" s="6"/>
      <c r="G8140" s="115" t="b">
        <f t="shared" si="497"/>
        <v>1</v>
      </c>
      <c r="H8140" s="6" t="s">
        <v>2189</v>
      </c>
      <c r="I8140" t="s">
        <v>2170</v>
      </c>
      <c r="J8140">
        <v>12</v>
      </c>
      <c r="L8140" s="26" t="e">
        <f t="shared" si="495"/>
        <v>#VALUE!</v>
      </c>
    </row>
    <row r="8141" spans="1:12" x14ac:dyDescent="0.35">
      <c r="A8141">
        <f t="shared" si="496"/>
        <v>8140</v>
      </c>
      <c r="B8141" t="s">
        <v>750</v>
      </c>
      <c r="C8141" s="109" t="str">
        <f>IF(ISBLANK(K8141),IFERROR(VLOOKUP(I8141,FS_input_data!$C$458:$N$648,Export!J8141,FALSE),""),K8141)</f>
        <v/>
      </c>
      <c r="D8141" s="6"/>
      <c r="E8141" s="6"/>
      <c r="F8141" s="6"/>
      <c r="G8141" s="115" t="b">
        <f t="shared" si="497"/>
        <v>1</v>
      </c>
      <c r="H8141" s="6" t="s">
        <v>2189</v>
      </c>
      <c r="I8141" t="s">
        <v>1561</v>
      </c>
      <c r="J8141" t="s">
        <v>1561</v>
      </c>
      <c r="L8141">
        <f t="shared" si="495"/>
        <v>1</v>
      </c>
    </row>
    <row r="8142" spans="1:12" x14ac:dyDescent="0.35">
      <c r="A8142">
        <f t="shared" si="496"/>
        <v>8141</v>
      </c>
      <c r="B8142" t="s">
        <v>745</v>
      </c>
      <c r="C8142" s="109" t="str">
        <f>IF(ISBLANK(K8142),IFERROR(VLOOKUP(I8142,FS_input_data!$C$458:$N$648,Export!J8142,FALSE),""),K8142)</f>
        <v/>
      </c>
      <c r="D8142" s="6"/>
      <c r="E8142" s="6"/>
      <c r="F8142" s="6"/>
      <c r="G8142" s="115" t="b">
        <f t="shared" si="497"/>
        <v>1</v>
      </c>
      <c r="H8142" s="6" t="s">
        <v>2189</v>
      </c>
      <c r="I8142" t="s">
        <v>1561</v>
      </c>
      <c r="J8142" t="s">
        <v>1561</v>
      </c>
      <c r="L8142">
        <f t="shared" si="495"/>
        <v>1</v>
      </c>
    </row>
    <row r="8143" spans="1:12" x14ac:dyDescent="0.35">
      <c r="A8143">
        <f t="shared" si="496"/>
        <v>8142</v>
      </c>
      <c r="B8143" t="s">
        <v>764</v>
      </c>
      <c r="C8143" s="109" t="str">
        <f>IF(ISBLANK(K8143),IFERROR(VLOOKUP(I8143,FS_input_data!$C$458:$N$648,Export!J8143,FALSE),""),K8143)</f>
        <v/>
      </c>
      <c r="D8143" s="6"/>
      <c r="E8143" s="6"/>
      <c r="F8143" s="6"/>
      <c r="G8143" s="115" t="b">
        <f>VLOOKUP(I8112,FS_input_noty,J8112,FALSE)=""</f>
        <v>0</v>
      </c>
      <c r="H8143" s="6" t="s">
        <v>2189</v>
      </c>
      <c r="I8143" t="s">
        <v>1561</v>
      </c>
      <c r="J8143" t="s">
        <v>1561</v>
      </c>
      <c r="L8143">
        <f t="shared" si="495"/>
        <v>1</v>
      </c>
    </row>
    <row r="8144" spans="1:12" x14ac:dyDescent="0.35">
      <c r="A8144">
        <f t="shared" si="496"/>
        <v>8143</v>
      </c>
      <c r="B8144" t="s">
        <v>765</v>
      </c>
      <c r="C8144" s="109" t="str">
        <f>IF(ISBLANK(K8144),IFERROR(VLOOKUP(I8144,FS_input_data!$C$458:$N$648,Export!J8144,FALSE),""),K8144)</f>
        <v/>
      </c>
      <c r="D8144" s="6"/>
      <c r="E8144" s="6"/>
      <c r="F8144" s="6"/>
      <c r="G8144" s="115" t="b">
        <f>VLOOKUP(I8112,FS_input_noty,J8112,FALSE)=""</f>
        <v>0</v>
      </c>
      <c r="H8144" s="6" t="s">
        <v>2189</v>
      </c>
      <c r="I8144" t="s">
        <v>1561</v>
      </c>
      <c r="J8144" t="s">
        <v>1561</v>
      </c>
      <c r="L8144">
        <f t="shared" si="495"/>
        <v>1</v>
      </c>
    </row>
    <row r="8145" spans="1:12" x14ac:dyDescent="0.35">
      <c r="A8145">
        <f t="shared" si="496"/>
        <v>8144</v>
      </c>
      <c r="B8145" t="s">
        <v>752</v>
      </c>
      <c r="C8145" s="109" t="str">
        <f>IF(ISBLANK(K8145),IFERROR(VLOOKUP(I8145,FS_input_data!$C$458:$N$648,Export!J8145,FALSE),""),K8145)</f>
        <v/>
      </c>
      <c r="D8145" s="6"/>
      <c r="E8145" s="6"/>
      <c r="F8145" s="6"/>
      <c r="G8145" s="115" t="b">
        <f>VLOOKUP(I8146,FS_input_noty,J8146,FALSE)=""</f>
        <v>0</v>
      </c>
      <c r="H8145" s="6" t="s">
        <v>2189</v>
      </c>
      <c r="I8145" t="s">
        <v>1561</v>
      </c>
      <c r="J8145" t="s">
        <v>1561</v>
      </c>
      <c r="L8145" s="26" t="e">
        <f t="shared" si="495"/>
        <v>#VALUE!</v>
      </c>
    </row>
    <row r="8146" spans="1:12" x14ac:dyDescent="0.35">
      <c r="A8146" s="9">
        <f t="shared" si="496"/>
        <v>8145</v>
      </c>
      <c r="B8146" t="s">
        <v>101</v>
      </c>
      <c r="C8146" s="109" t="str">
        <f>IF(ISBLANK(K8146),IFERROR(VLOOKUP(I8146,FS_input_data!$C$458:$N$648,Export!J8146,FALSE),""),K8146)</f>
        <v>OC159</v>
      </c>
      <c r="D8146" s="6" t="b">
        <v>1</v>
      </c>
      <c r="E8146" s="6"/>
      <c r="F8146" s="6"/>
      <c r="G8146" s="115" t="b">
        <f>VLOOKUP(I8146,FS_input_noty,J8146,FALSE)=""</f>
        <v>0</v>
      </c>
      <c r="H8146" s="6" t="s">
        <v>2189</v>
      </c>
      <c r="I8146" t="s">
        <v>2172</v>
      </c>
      <c r="J8146">
        <v>6</v>
      </c>
      <c r="L8146" s="26" t="e">
        <f t="shared" si="495"/>
        <v>#VALUE!</v>
      </c>
    </row>
    <row r="8147" spans="1:12" x14ac:dyDescent="0.35">
      <c r="A8147">
        <f t="shared" si="496"/>
        <v>8146</v>
      </c>
      <c r="B8147" t="s">
        <v>102</v>
      </c>
      <c r="C8147" s="109" t="str">
        <f>IF(ISBLANK(K8147),IFERROR(VLOOKUP(I8147,FS_input_data!$C$458:$N$648,Export!J8147,FALSE),""),K8147)</f>
        <v/>
      </c>
      <c r="D8147" s="6"/>
      <c r="E8147" s="6"/>
      <c r="F8147" s="6"/>
      <c r="G8147" s="115" t="b">
        <f>VLOOKUP(I8146,FS_input_noty,J8146,FALSE)=""</f>
        <v>0</v>
      </c>
      <c r="H8147" s="6" t="s">
        <v>2189</v>
      </c>
      <c r="I8147" t="s">
        <v>1561</v>
      </c>
      <c r="J8147" t="s">
        <v>1561</v>
      </c>
      <c r="L8147">
        <f t="shared" si="495"/>
        <v>1</v>
      </c>
    </row>
    <row r="8148" spans="1:12" x14ac:dyDescent="0.35">
      <c r="A8148">
        <f t="shared" si="496"/>
        <v>8147</v>
      </c>
      <c r="B8148" t="s">
        <v>753</v>
      </c>
      <c r="C8148" s="109" t="str">
        <f>IF(ISBLANK(K8148),IFERROR(VLOOKUP(I8148,FS_input_data!$C$458:$N$648,Export!J8148,FALSE),""),K8148)</f>
        <v/>
      </c>
      <c r="D8148" s="6"/>
      <c r="E8148" s="6"/>
      <c r="F8148" s="6"/>
      <c r="G8148" s="115" t="b">
        <f>VLOOKUP(I8146,FS_input_noty,J8146,FALSE)=""</f>
        <v>0</v>
      </c>
      <c r="H8148" s="6" t="s">
        <v>2189</v>
      </c>
      <c r="I8148" t="s">
        <v>1561</v>
      </c>
      <c r="J8148" t="s">
        <v>1561</v>
      </c>
      <c r="L8148" s="26" t="e">
        <f t="shared" si="495"/>
        <v>#VALUE!</v>
      </c>
    </row>
    <row r="8149" spans="1:12" x14ac:dyDescent="0.35">
      <c r="A8149">
        <f t="shared" si="496"/>
        <v>8148</v>
      </c>
      <c r="B8149" t="s">
        <v>742</v>
      </c>
      <c r="C8149" s="109" t="str">
        <f>IF(ISBLANK(K8149),IFERROR(VLOOKUP(I8149,FS_input_data!$C$458:$N$648,Export!J8149,FALSE),""),K8149)</f>
        <v/>
      </c>
      <c r="D8149" s="6"/>
      <c r="E8149" s="6"/>
      <c r="F8149" s="6"/>
      <c r="G8149" s="115" t="b">
        <f>VLOOKUP(I8146,FS_input_noty,J8146,FALSE)=""</f>
        <v>0</v>
      </c>
      <c r="H8149" s="6" t="s">
        <v>2189</v>
      </c>
      <c r="I8149" t="s">
        <v>1561</v>
      </c>
      <c r="J8149" t="s">
        <v>1561</v>
      </c>
      <c r="L8149" s="26" t="e">
        <f t="shared" si="495"/>
        <v>#VALUE!</v>
      </c>
    </row>
    <row r="8150" spans="1:12" x14ac:dyDescent="0.35">
      <c r="A8150">
        <f t="shared" si="496"/>
        <v>8149</v>
      </c>
      <c r="B8150" t="s">
        <v>748</v>
      </c>
      <c r="C8150" s="109" t="str">
        <f>IF(ISBLANK(K8150),IFERROR(VLOOKUP(I8150,FS_input_data!$C$458:$N$648,Export!J8150,FALSE),""),K8150)</f>
        <v/>
      </c>
      <c r="D8150" s="6"/>
      <c r="E8150" s="6"/>
      <c r="F8150" s="6"/>
      <c r="G8150" s="115" t="b">
        <f>VLOOKUP(I8146,FS_input_noty,J8146,FALSE)=""</f>
        <v>0</v>
      </c>
      <c r="H8150" s="6" t="s">
        <v>2189</v>
      </c>
      <c r="I8150" t="s">
        <v>1561</v>
      </c>
      <c r="J8150" t="s">
        <v>1561</v>
      </c>
      <c r="L8150" s="26" t="e">
        <f t="shared" si="495"/>
        <v>#VALUE!</v>
      </c>
    </row>
    <row r="8151" spans="1:12" x14ac:dyDescent="0.35">
      <c r="A8151" s="9">
        <f t="shared" si="496"/>
        <v>8150</v>
      </c>
      <c r="B8151" t="s">
        <v>109</v>
      </c>
      <c r="C8151" s="109">
        <f>IF(ISBLANK(K8151),IFERROR(VLOOKUP(I8151,FS_input_data!$C$458:$N$648,Export!J8151,FALSE),""),K8151)</f>
        <v>16000</v>
      </c>
      <c r="D8151" s="6" t="b">
        <v>1</v>
      </c>
      <c r="E8151" s="6"/>
      <c r="F8151" s="6"/>
      <c r="G8151" s="115" t="b">
        <f>VLOOKUP(I8146,FS_input_noty,J8146,FALSE)=""</f>
        <v>0</v>
      </c>
      <c r="H8151" s="6" t="s">
        <v>2189</v>
      </c>
      <c r="I8151" t="s">
        <v>2172</v>
      </c>
      <c r="J8151">
        <v>7</v>
      </c>
      <c r="L8151" s="26" t="e">
        <f t="shared" si="495"/>
        <v>#VALUE!</v>
      </c>
    </row>
    <row r="8152" spans="1:12" x14ac:dyDescent="0.35">
      <c r="A8152">
        <f t="shared" si="496"/>
        <v>8151</v>
      </c>
      <c r="B8152" t="s">
        <v>110</v>
      </c>
      <c r="C8152" s="109" t="str">
        <f>IF(ISBLANK(K8152),IFERROR(VLOOKUP(I8152,FS_input_data!$C$458:$N$648,Export!J8152,FALSE),""),K8152)</f>
        <v/>
      </c>
      <c r="D8152" s="6"/>
      <c r="E8152" s="6"/>
      <c r="F8152" s="6"/>
      <c r="G8152" s="115" t="b">
        <f>VLOOKUP(I8146,FS_input_noty,J8146,FALSE)=""</f>
        <v>0</v>
      </c>
      <c r="H8152" s="6" t="s">
        <v>2189</v>
      </c>
      <c r="I8152" t="s">
        <v>1561</v>
      </c>
      <c r="J8152" t="s">
        <v>1561</v>
      </c>
      <c r="L8152">
        <f t="shared" si="495"/>
        <v>1</v>
      </c>
    </row>
    <row r="8153" spans="1:12" x14ac:dyDescent="0.35">
      <c r="A8153" s="9">
        <f t="shared" si="496"/>
        <v>8152</v>
      </c>
      <c r="B8153" t="s">
        <v>111</v>
      </c>
      <c r="C8153" s="109">
        <f>IF(ISBLANK(K8153),IFERROR(VLOOKUP(I8153,FS_input_data!$C$458:$N$648,Export!J8153,FALSE),""),K8153)</f>
        <v>8000</v>
      </c>
      <c r="D8153" s="6" t="b">
        <v>0</v>
      </c>
      <c r="E8153" s="6"/>
      <c r="F8153" s="6"/>
      <c r="G8153" s="115" t="b">
        <f>VLOOKUP(I8146,FS_input_noty,J8146,TRUE)=""</f>
        <v>0</v>
      </c>
      <c r="H8153" s="6" t="s">
        <v>2189</v>
      </c>
      <c r="I8153" t="s">
        <v>2172</v>
      </c>
      <c r="J8153">
        <v>8</v>
      </c>
      <c r="L8153" s="26" t="e">
        <f t="shared" si="495"/>
        <v>#VALUE!</v>
      </c>
    </row>
    <row r="8154" spans="1:12" x14ac:dyDescent="0.35">
      <c r="A8154">
        <f t="shared" si="496"/>
        <v>8153</v>
      </c>
      <c r="B8154" t="s">
        <v>112</v>
      </c>
      <c r="C8154" s="109" t="str">
        <f>IF(ISBLANK(K8154),IFERROR(VLOOKUP(I8154,FS_input_data!$C$458:$N$648,Export!J8154,FALSE),""),K8154)</f>
        <v/>
      </c>
      <c r="D8154" s="6"/>
      <c r="E8154" s="6"/>
      <c r="F8154" s="6"/>
      <c r="G8154" s="115" t="b">
        <f>VLOOKUP(I8146,FS_input_noty,J8146,FALSE)=""</f>
        <v>0</v>
      </c>
      <c r="H8154" s="6" t="s">
        <v>2189</v>
      </c>
      <c r="I8154" t="s">
        <v>1561</v>
      </c>
      <c r="J8154" t="s">
        <v>1561</v>
      </c>
      <c r="L8154">
        <f t="shared" si="495"/>
        <v>1</v>
      </c>
    </row>
    <row r="8155" spans="1:12" x14ac:dyDescent="0.35">
      <c r="A8155" s="9">
        <f t="shared" si="496"/>
        <v>8154</v>
      </c>
      <c r="B8155" t="s">
        <v>749</v>
      </c>
      <c r="C8155" s="109">
        <f>IF(ISBLANK(K8155),IFERROR(VLOOKUP(I8155,FS_input_data!$C$458:$N$648,Export!J8155,FALSE),""),K8155)</f>
        <v>8000</v>
      </c>
      <c r="D8155" s="6" t="b">
        <v>0</v>
      </c>
      <c r="E8155" s="6"/>
      <c r="F8155" s="6"/>
      <c r="G8155" s="115" t="b">
        <f>VLOOKUP(I8146,FS_input_noty,J8146,FALSE)=""</f>
        <v>0</v>
      </c>
      <c r="H8155" s="6" t="s">
        <v>2189</v>
      </c>
      <c r="I8155" t="s">
        <v>2172</v>
      </c>
      <c r="J8155">
        <v>9</v>
      </c>
      <c r="L8155" s="26" t="e">
        <f t="shared" si="495"/>
        <v>#VALUE!</v>
      </c>
    </row>
    <row r="8156" spans="1:12" x14ac:dyDescent="0.35">
      <c r="A8156">
        <f t="shared" si="496"/>
        <v>8155</v>
      </c>
      <c r="B8156" t="s">
        <v>750</v>
      </c>
      <c r="C8156" s="109" t="str">
        <f>IF(ISBLANK(K8156),IFERROR(VLOOKUP(I8156,FS_input_data!$C$458:$N$648,Export!J8156,FALSE),""),K8156)</f>
        <v/>
      </c>
      <c r="D8156" s="6"/>
      <c r="E8156" s="6"/>
      <c r="F8156" s="6"/>
      <c r="G8156" s="115" t="b">
        <f>VLOOKUP(I8146,FS_input_noty,J8146,FALSE)=""</f>
        <v>0</v>
      </c>
      <c r="H8156" s="6" t="s">
        <v>2189</v>
      </c>
      <c r="I8156" t="s">
        <v>1561</v>
      </c>
      <c r="J8156" t="s">
        <v>1561</v>
      </c>
      <c r="L8156">
        <f t="shared" si="495"/>
        <v>1</v>
      </c>
    </row>
    <row r="8157" spans="1:12" x14ac:dyDescent="0.35">
      <c r="A8157">
        <f t="shared" si="496"/>
        <v>8156</v>
      </c>
      <c r="B8157" t="s">
        <v>751</v>
      </c>
      <c r="C8157" s="109" t="str">
        <f>IF(ISBLANK(K8157),IFERROR(VLOOKUP(I8157,FS_input_data!$C$458:$N$648,Export!J8157,FALSE),""),K8157)</f>
        <v/>
      </c>
      <c r="D8157" s="6"/>
      <c r="E8157" s="6"/>
      <c r="F8157" s="6"/>
      <c r="G8157" s="115" t="b">
        <f>VLOOKUP(I8146,FS_input_noty,J8146,FALSE)=""</f>
        <v>0</v>
      </c>
      <c r="H8157" s="6" t="s">
        <v>2189</v>
      </c>
      <c r="I8157" t="s">
        <v>1561</v>
      </c>
      <c r="J8157" t="s">
        <v>1561</v>
      </c>
      <c r="L8157">
        <f t="shared" si="495"/>
        <v>1</v>
      </c>
    </row>
    <row r="8158" spans="1:12" x14ac:dyDescent="0.35">
      <c r="A8158">
        <f t="shared" si="496"/>
        <v>8157</v>
      </c>
      <c r="B8158" t="s">
        <v>754</v>
      </c>
      <c r="C8158" s="109" t="str">
        <f>IF(ISBLANK(K8158),IFERROR(VLOOKUP(I8158,FS_input_data!$C$458:$N$648,Export!J8158,FALSE),""),K8158)</f>
        <v/>
      </c>
      <c r="D8158" s="6"/>
      <c r="E8158" s="6"/>
      <c r="F8158" s="6"/>
      <c r="G8158" s="115" t="b">
        <f>VLOOKUP(I8146,FS_input_noty,J8146,FALSE)=""</f>
        <v>0</v>
      </c>
      <c r="H8158" s="6" t="s">
        <v>2189</v>
      </c>
      <c r="I8158" t="s">
        <v>1561</v>
      </c>
      <c r="J8158" t="s">
        <v>1561</v>
      </c>
      <c r="L8158" s="26" t="e">
        <f t="shared" si="495"/>
        <v>#VALUE!</v>
      </c>
    </row>
    <row r="8159" spans="1:12" x14ac:dyDescent="0.35">
      <c r="A8159" s="9">
        <f t="shared" si="496"/>
        <v>8158</v>
      </c>
      <c r="B8159" t="s">
        <v>755</v>
      </c>
      <c r="C8159" s="109">
        <f>IF(ISBLANK(K8159),IFERROR(VLOOKUP(I8159,FS_input_data!$C$458:$N$648,Export!J8159,FALSE),""),K8159)</f>
        <v>182</v>
      </c>
      <c r="D8159" s="6" t="b">
        <v>1</v>
      </c>
      <c r="E8159" s="6"/>
      <c r="F8159" s="6"/>
      <c r="G8159" s="115" t="b">
        <f>VLOOKUP(I8146,FS_input_noty,J8146,FALSE)=""</f>
        <v>0</v>
      </c>
      <c r="H8159" s="6" t="s">
        <v>2189</v>
      </c>
      <c r="I8159" t="s">
        <v>2172</v>
      </c>
      <c r="J8159">
        <v>2</v>
      </c>
      <c r="L8159" s="26" t="e">
        <f t="shared" si="495"/>
        <v>#VALUE!</v>
      </c>
    </row>
    <row r="8160" spans="1:12" x14ac:dyDescent="0.35">
      <c r="A8160">
        <f t="shared" si="496"/>
        <v>8159</v>
      </c>
      <c r="B8160" t="s">
        <v>756</v>
      </c>
      <c r="C8160" s="109" t="str">
        <f>IF(ISBLANK(K8160),IFERROR(VLOOKUP(I8160,FS_input_data!$C$458:$N$648,Export!J8160,FALSE),""),K8160)</f>
        <v/>
      </c>
      <c r="D8160" s="6"/>
      <c r="E8160" s="6"/>
      <c r="F8160" s="6"/>
      <c r="G8160" s="115" t="b">
        <f>VLOOKUP(I8146,FS_input_noty,J8146,FALSE)=""</f>
        <v>0</v>
      </c>
      <c r="H8160" s="6" t="s">
        <v>2189</v>
      </c>
      <c r="I8160" t="s">
        <v>1561</v>
      </c>
      <c r="J8160" t="s">
        <v>1561</v>
      </c>
      <c r="L8160">
        <f t="shared" si="495"/>
        <v>1</v>
      </c>
    </row>
    <row r="8161" spans="1:12" x14ac:dyDescent="0.35">
      <c r="A8161" s="9">
        <f t="shared" si="496"/>
        <v>8160</v>
      </c>
      <c r="B8161" t="s">
        <v>757</v>
      </c>
      <c r="C8161" s="109">
        <f>IF(ISBLANK(K8161),IFERROR(VLOOKUP(I8161,FS_input_data!$C$458:$N$648,Export!J8161,FALSE),""),K8161)</f>
        <v>282</v>
      </c>
      <c r="D8161" s="6" t="b">
        <v>0</v>
      </c>
      <c r="E8161" s="6"/>
      <c r="F8161" s="6"/>
      <c r="G8161" s="115" t="b">
        <f>VLOOKUP(I8146,FS_input_noty,J8146,FALSE)=""</f>
        <v>0</v>
      </c>
      <c r="H8161" s="6" t="s">
        <v>2189</v>
      </c>
      <c r="I8161" t="s">
        <v>2172</v>
      </c>
      <c r="J8161">
        <v>3</v>
      </c>
      <c r="L8161" s="26" t="e">
        <f t="shared" si="495"/>
        <v>#VALUE!</v>
      </c>
    </row>
    <row r="8162" spans="1:12" x14ac:dyDescent="0.35">
      <c r="A8162">
        <f t="shared" si="496"/>
        <v>8161</v>
      </c>
      <c r="B8162" t="s">
        <v>758</v>
      </c>
      <c r="C8162" s="109" t="str">
        <f>IF(ISBLANK(K8162),IFERROR(VLOOKUP(I8162,FS_input_data!$C$458:$N$648,Export!J8162,FALSE),""),K8162)</f>
        <v/>
      </c>
      <c r="D8162" s="6"/>
      <c r="E8162" s="6"/>
      <c r="F8162" s="6"/>
      <c r="G8162" s="115" t="b">
        <f>VLOOKUP(I8146,FS_input_noty,J8146,FALSE)=""</f>
        <v>0</v>
      </c>
      <c r="H8162" s="6" t="s">
        <v>2189</v>
      </c>
      <c r="I8162" t="s">
        <v>1561</v>
      </c>
      <c r="J8162" t="s">
        <v>1561</v>
      </c>
      <c r="L8162">
        <f t="shared" si="495"/>
        <v>1</v>
      </c>
    </row>
    <row r="8163" spans="1:12" x14ac:dyDescent="0.35">
      <c r="A8163" s="9">
        <f t="shared" si="496"/>
        <v>8162</v>
      </c>
      <c r="B8163" t="s">
        <v>759</v>
      </c>
      <c r="C8163" s="109">
        <f>IF(ISBLANK(K8163),IFERROR(VLOOKUP(I8163,FS_input_data!$C$458:$N$648,Export!J8163,FALSE),""),K8163)</f>
        <v>382</v>
      </c>
      <c r="D8163" s="6" t="b">
        <v>0</v>
      </c>
      <c r="E8163" s="6"/>
      <c r="F8163" s="6"/>
      <c r="G8163" s="115" t="b">
        <f>VLOOKUP(I8146,FS_input_noty,J8146,FALSE)=""</f>
        <v>0</v>
      </c>
      <c r="H8163" s="6" t="s">
        <v>2189</v>
      </c>
      <c r="I8163" t="s">
        <v>2172</v>
      </c>
      <c r="J8163">
        <v>4</v>
      </c>
      <c r="L8163" s="26" t="e">
        <f t="shared" si="495"/>
        <v>#VALUE!</v>
      </c>
    </row>
    <row r="8164" spans="1:12" x14ac:dyDescent="0.35">
      <c r="A8164">
        <f t="shared" si="496"/>
        <v>8163</v>
      </c>
      <c r="B8164" t="s">
        <v>760</v>
      </c>
      <c r="C8164" s="109" t="str">
        <f>IF(ISBLANK(K8164),IFERROR(VLOOKUP(I8164,FS_input_data!$C$458:$N$648,Export!J8164,FALSE),""),K8164)</f>
        <v/>
      </c>
      <c r="D8164" s="6"/>
      <c r="E8164" s="6"/>
      <c r="F8164" s="6"/>
      <c r="G8164" s="115" t="b">
        <f>VLOOKUP(I8146,FS_input_noty,J8146,FALSE)=""</f>
        <v>0</v>
      </c>
      <c r="H8164" s="6" t="s">
        <v>2189</v>
      </c>
      <c r="I8164" t="s">
        <v>1561</v>
      </c>
      <c r="J8164" t="s">
        <v>1561</v>
      </c>
      <c r="L8164">
        <f t="shared" si="495"/>
        <v>1</v>
      </c>
    </row>
    <row r="8165" spans="1:12" x14ac:dyDescent="0.35">
      <c r="A8165" s="9">
        <f t="shared" si="496"/>
        <v>8164</v>
      </c>
      <c r="B8165" t="s">
        <v>761</v>
      </c>
      <c r="C8165" s="109" t="str">
        <f>IF(ISBLANK(K8165),IFERROR(VLOOKUP(I8165,FS_input_data!$C$458:$N$648,Export!J8165,FALSE),""),K8165)</f>
        <v>f</v>
      </c>
      <c r="D8165" s="6" t="b">
        <v>0</v>
      </c>
      <c r="E8165" s="6"/>
      <c r="F8165" s="6"/>
      <c r="G8165" s="115" t="b">
        <f>VLOOKUP(I8146,FS_input_noty,J8146,FALSE)=""</f>
        <v>0</v>
      </c>
      <c r="H8165" s="6" t="s">
        <v>2189</v>
      </c>
      <c r="I8165" t="s">
        <v>2172</v>
      </c>
      <c r="J8165">
        <v>5</v>
      </c>
      <c r="L8165" s="26" t="e">
        <f t="shared" si="495"/>
        <v>#VALUE!</v>
      </c>
    </row>
    <row r="8166" spans="1:12" x14ac:dyDescent="0.35">
      <c r="A8166">
        <f t="shared" si="496"/>
        <v>8165</v>
      </c>
      <c r="B8166" t="s">
        <v>762</v>
      </c>
      <c r="C8166" s="109" t="str">
        <f>IF(ISBLANK(K8166),IFERROR(VLOOKUP(I8166,FS_input_data!$C$458:$N$648,Export!J8166,FALSE),""),K8166)</f>
        <v/>
      </c>
      <c r="D8166" s="6"/>
      <c r="E8166" s="6"/>
      <c r="F8166" s="6"/>
      <c r="G8166" s="115" t="b">
        <f>VLOOKUP(I8146,FS_input_noty,J8146,FALSE)=""</f>
        <v>0</v>
      </c>
      <c r="H8166" s="6" t="s">
        <v>2189</v>
      </c>
      <c r="I8166" t="s">
        <v>1561</v>
      </c>
      <c r="J8166" t="s">
        <v>1561</v>
      </c>
      <c r="L8166">
        <f t="shared" si="495"/>
        <v>1</v>
      </c>
    </row>
    <row r="8167" spans="1:12" x14ac:dyDescent="0.35">
      <c r="A8167">
        <f t="shared" si="496"/>
        <v>8166</v>
      </c>
      <c r="B8167" t="s">
        <v>763</v>
      </c>
      <c r="C8167" s="109" t="str">
        <f>IF(ISBLANK(K8167),IFERROR(VLOOKUP(I8167,FS_input_data!$C$458:$N$648,Export!J8167,FALSE),""),K8167)</f>
        <v/>
      </c>
      <c r="D8167" s="6"/>
      <c r="E8167" s="6"/>
      <c r="F8167" s="6"/>
      <c r="G8167" s="115" t="b">
        <f>VLOOKUP(I8146,FS_input_noty,J8146,FALSE)=""</f>
        <v>0</v>
      </c>
      <c r="H8167" s="6" t="s">
        <v>2189</v>
      </c>
      <c r="I8167" t="s">
        <v>1561</v>
      </c>
      <c r="J8167" t="s">
        <v>1561</v>
      </c>
      <c r="L8167">
        <f t="shared" si="495"/>
        <v>1</v>
      </c>
    </row>
    <row r="8168" spans="1:12" x14ac:dyDescent="0.35">
      <c r="A8168">
        <f t="shared" si="496"/>
        <v>8167</v>
      </c>
      <c r="B8168" t="s">
        <v>743</v>
      </c>
      <c r="C8168" s="109" t="str">
        <f>IF(ISBLANK(K8168),IFERROR(VLOOKUP(I8168,FS_input_data!$C$458:$N$648,Export!J8168,FALSE),""),K8168)</f>
        <v/>
      </c>
      <c r="D8168" s="6"/>
      <c r="E8168" s="6"/>
      <c r="F8168" s="6"/>
      <c r="G8168" s="115" t="b">
        <f>VLOOKUP(I8146,FS_input_noty,J8146,FALSE)=""</f>
        <v>0</v>
      </c>
      <c r="H8168" s="6" t="s">
        <v>2189</v>
      </c>
      <c r="I8168" t="s">
        <v>1561</v>
      </c>
      <c r="J8168" t="s">
        <v>1561</v>
      </c>
      <c r="L8168">
        <f t="shared" si="495"/>
        <v>1</v>
      </c>
    </row>
    <row r="8169" spans="1:12" x14ac:dyDescent="0.35">
      <c r="A8169">
        <f t="shared" si="496"/>
        <v>8168</v>
      </c>
      <c r="B8169" t="s">
        <v>744</v>
      </c>
      <c r="C8169" s="109" t="str">
        <f>IF(ISBLANK(K8169),IFERROR(VLOOKUP(I8169,FS_input_data!$C$458:$N$648,Export!J8169,FALSE),""),K8169)</f>
        <v/>
      </c>
      <c r="D8169" s="6"/>
      <c r="E8169" s="6"/>
      <c r="F8169" s="6"/>
      <c r="G8169" s="115" t="b">
        <f t="shared" ref="G8169:G8176" si="498">RP_tax</f>
        <v>1</v>
      </c>
      <c r="H8169" s="6" t="s">
        <v>2189</v>
      </c>
      <c r="I8169" t="s">
        <v>1561</v>
      </c>
      <c r="J8169" t="s">
        <v>1561</v>
      </c>
      <c r="L8169" s="26" t="e">
        <f t="shared" si="495"/>
        <v>#VALUE!</v>
      </c>
    </row>
    <row r="8170" spans="1:12" x14ac:dyDescent="0.35">
      <c r="A8170" s="9">
        <f t="shared" si="496"/>
        <v>8169</v>
      </c>
      <c r="B8170" t="s">
        <v>109</v>
      </c>
      <c r="C8170" s="109">
        <f>IF(ISBLANK(K8170),IFERROR(VLOOKUP(I8170,FS_input_data!$C$458:$N$648,Export!J8170,FALSE),""),K8170)</f>
        <v>16000</v>
      </c>
      <c r="D8170" s="6" t="b">
        <v>1</v>
      </c>
      <c r="E8170" s="6"/>
      <c r="F8170" s="6"/>
      <c r="G8170" s="115" t="b">
        <f t="shared" si="498"/>
        <v>1</v>
      </c>
      <c r="H8170" s="6" t="s">
        <v>2189</v>
      </c>
      <c r="I8170" t="s">
        <v>2172</v>
      </c>
      <c r="J8170">
        <v>10</v>
      </c>
      <c r="L8170" s="26" t="e">
        <f t="shared" si="495"/>
        <v>#VALUE!</v>
      </c>
    </row>
    <row r="8171" spans="1:12" x14ac:dyDescent="0.35">
      <c r="A8171">
        <f t="shared" si="496"/>
        <v>8170</v>
      </c>
      <c r="B8171" t="s">
        <v>110</v>
      </c>
      <c r="C8171" s="109" t="str">
        <f>IF(ISBLANK(K8171),IFERROR(VLOOKUP(I8171,FS_input_data!$C$458:$N$648,Export!J8171,FALSE),""),K8171)</f>
        <v/>
      </c>
      <c r="D8171" s="6"/>
      <c r="E8171" s="6"/>
      <c r="F8171" s="6"/>
      <c r="G8171" s="115" t="b">
        <f t="shared" si="498"/>
        <v>1</v>
      </c>
      <c r="H8171" s="6" t="s">
        <v>2189</v>
      </c>
      <c r="I8171" t="s">
        <v>1561</v>
      </c>
      <c r="J8171" t="s">
        <v>1561</v>
      </c>
      <c r="L8171">
        <f t="shared" si="495"/>
        <v>1</v>
      </c>
    </row>
    <row r="8172" spans="1:12" x14ac:dyDescent="0.35">
      <c r="A8172" s="9">
        <f t="shared" si="496"/>
        <v>8171</v>
      </c>
      <c r="B8172" t="s">
        <v>111</v>
      </c>
      <c r="C8172" s="109">
        <f>IF(ISBLANK(K8172),IFERROR(VLOOKUP(I8172,FS_input_data!$C$458:$N$648,Export!J8172,FALSE),""),K8172)</f>
        <v>8000</v>
      </c>
      <c r="D8172" s="6" t="b">
        <v>0</v>
      </c>
      <c r="E8172" s="6"/>
      <c r="F8172" s="6"/>
      <c r="G8172" s="115" t="b">
        <f t="shared" si="498"/>
        <v>1</v>
      </c>
      <c r="H8172" s="6" t="s">
        <v>2189</v>
      </c>
      <c r="I8172" t="s">
        <v>2172</v>
      </c>
      <c r="J8172">
        <v>11</v>
      </c>
      <c r="L8172" s="26" t="e">
        <f t="shared" si="495"/>
        <v>#VALUE!</v>
      </c>
    </row>
    <row r="8173" spans="1:12" x14ac:dyDescent="0.35">
      <c r="A8173">
        <f t="shared" si="496"/>
        <v>8172</v>
      </c>
      <c r="B8173" t="s">
        <v>112</v>
      </c>
      <c r="C8173" s="109" t="str">
        <f>IF(ISBLANK(K8173),IFERROR(VLOOKUP(I8173,FS_input_data!$C$458:$N$648,Export!J8173,FALSE),""),K8173)</f>
        <v/>
      </c>
      <c r="D8173" s="6"/>
      <c r="E8173" s="6"/>
      <c r="F8173" s="6"/>
      <c r="G8173" s="115" t="b">
        <f t="shared" si="498"/>
        <v>1</v>
      </c>
      <c r="H8173" s="6" t="s">
        <v>2189</v>
      </c>
      <c r="I8173" t="s">
        <v>1561</v>
      </c>
      <c r="J8173" t="s">
        <v>1561</v>
      </c>
      <c r="L8173">
        <f t="shared" si="495"/>
        <v>1</v>
      </c>
    </row>
    <row r="8174" spans="1:12" x14ac:dyDescent="0.35">
      <c r="A8174" s="9">
        <f t="shared" si="496"/>
        <v>8173</v>
      </c>
      <c r="B8174" t="s">
        <v>749</v>
      </c>
      <c r="C8174" s="109">
        <f>IF(ISBLANK(K8174),IFERROR(VLOOKUP(I8174,FS_input_data!$C$458:$N$648,Export!J8174,FALSE),""),K8174)</f>
        <v>8000</v>
      </c>
      <c r="D8174" s="6" t="b">
        <v>0</v>
      </c>
      <c r="E8174" s="6"/>
      <c r="F8174" s="6"/>
      <c r="G8174" s="115" t="b">
        <f t="shared" si="498"/>
        <v>1</v>
      </c>
      <c r="H8174" s="6" t="s">
        <v>2189</v>
      </c>
      <c r="I8174" t="s">
        <v>2172</v>
      </c>
      <c r="J8174">
        <v>12</v>
      </c>
      <c r="L8174" s="26" t="e">
        <f t="shared" si="495"/>
        <v>#VALUE!</v>
      </c>
    </row>
    <row r="8175" spans="1:12" x14ac:dyDescent="0.35">
      <c r="A8175">
        <f t="shared" si="496"/>
        <v>8174</v>
      </c>
      <c r="B8175" t="s">
        <v>750</v>
      </c>
      <c r="C8175" s="109" t="str">
        <f>IF(ISBLANK(K8175),IFERROR(VLOOKUP(I8175,FS_input_data!$C$458:$N$648,Export!J8175,FALSE),""),K8175)</f>
        <v/>
      </c>
      <c r="D8175" s="6"/>
      <c r="E8175" s="6"/>
      <c r="F8175" s="6"/>
      <c r="G8175" s="115" t="b">
        <f t="shared" si="498"/>
        <v>1</v>
      </c>
      <c r="H8175" s="6" t="s">
        <v>2189</v>
      </c>
      <c r="I8175" t="s">
        <v>1561</v>
      </c>
      <c r="J8175" t="s">
        <v>1561</v>
      </c>
      <c r="L8175">
        <f t="shared" si="495"/>
        <v>1</v>
      </c>
    </row>
    <row r="8176" spans="1:12" x14ac:dyDescent="0.35">
      <c r="A8176">
        <f t="shared" si="496"/>
        <v>8175</v>
      </c>
      <c r="B8176" t="s">
        <v>745</v>
      </c>
      <c r="C8176" s="109" t="str">
        <f>IF(ISBLANK(K8176),IFERROR(VLOOKUP(I8176,FS_input_data!$C$458:$N$648,Export!J8176,FALSE),""),K8176)</f>
        <v/>
      </c>
      <c r="D8176" s="6"/>
      <c r="E8176" s="6"/>
      <c r="F8176" s="6"/>
      <c r="G8176" s="115" t="b">
        <f t="shared" si="498"/>
        <v>1</v>
      </c>
      <c r="H8176" s="6" t="s">
        <v>2189</v>
      </c>
      <c r="I8176" t="s">
        <v>1561</v>
      </c>
      <c r="J8176" t="s">
        <v>1561</v>
      </c>
      <c r="L8176">
        <f t="shared" si="495"/>
        <v>1</v>
      </c>
    </row>
    <row r="8177" spans="1:12" x14ac:dyDescent="0.35">
      <c r="A8177">
        <f t="shared" si="496"/>
        <v>8176</v>
      </c>
      <c r="B8177" t="s">
        <v>764</v>
      </c>
      <c r="C8177" s="109" t="str">
        <f>IF(ISBLANK(K8177),IFERROR(VLOOKUP(I8177,FS_input_data!$C$458:$N$648,Export!J8177,FALSE),""),K8177)</f>
        <v/>
      </c>
      <c r="D8177" s="6"/>
      <c r="E8177" s="6"/>
      <c r="F8177" s="6"/>
      <c r="G8177" s="115" t="b">
        <f>VLOOKUP(I8146,FS_input_noty,J8146,FALSE)=""</f>
        <v>0</v>
      </c>
      <c r="H8177" s="6" t="s">
        <v>2189</v>
      </c>
      <c r="I8177" t="s">
        <v>1561</v>
      </c>
      <c r="J8177" t="s">
        <v>1561</v>
      </c>
      <c r="L8177">
        <f t="shared" si="495"/>
        <v>1</v>
      </c>
    </row>
    <row r="8178" spans="1:12" x14ac:dyDescent="0.35">
      <c r="A8178">
        <f t="shared" si="496"/>
        <v>8177</v>
      </c>
      <c r="B8178" t="s">
        <v>765</v>
      </c>
      <c r="C8178" s="109" t="str">
        <f>IF(ISBLANK(K8178),IFERROR(VLOOKUP(I8178,FS_input_data!$C$458:$N$648,Export!J8178,FALSE),""),K8178)</f>
        <v/>
      </c>
      <c r="D8178" s="6"/>
      <c r="E8178" s="6"/>
      <c r="F8178" s="6"/>
      <c r="G8178" s="115" t="b">
        <f>VLOOKUP(I8146,FS_input_noty,J8146,FALSE)=""</f>
        <v>0</v>
      </c>
      <c r="H8178" s="6" t="s">
        <v>2189</v>
      </c>
      <c r="I8178" t="s">
        <v>1561</v>
      </c>
      <c r="J8178" t="s">
        <v>1561</v>
      </c>
      <c r="L8178">
        <f t="shared" si="495"/>
        <v>1</v>
      </c>
    </row>
    <row r="8179" spans="1:12" x14ac:dyDescent="0.35">
      <c r="A8179">
        <f t="shared" si="496"/>
        <v>8178</v>
      </c>
      <c r="B8179" t="s">
        <v>752</v>
      </c>
      <c r="C8179" s="109" t="str">
        <f>IF(ISBLANK(K8179),IFERROR(VLOOKUP(I8179,FS_input_data!$C$458:$N$648,Export!J8179,FALSE),""),K8179)</f>
        <v/>
      </c>
      <c r="D8179" s="6"/>
      <c r="E8179" s="6"/>
      <c r="F8179" s="6"/>
      <c r="G8179" s="115" t="b">
        <f>VLOOKUP(I8180,FS_input_noty,J8180,FALSE)=""</f>
        <v>0</v>
      </c>
      <c r="H8179" s="6" t="s">
        <v>2189</v>
      </c>
      <c r="I8179" t="s">
        <v>1561</v>
      </c>
      <c r="J8179" t="s">
        <v>1561</v>
      </c>
      <c r="L8179" s="26" t="e">
        <f t="shared" si="495"/>
        <v>#VALUE!</v>
      </c>
    </row>
    <row r="8180" spans="1:12" x14ac:dyDescent="0.35">
      <c r="A8180" s="9">
        <f t="shared" si="496"/>
        <v>8179</v>
      </c>
      <c r="B8180" t="s">
        <v>101</v>
      </c>
      <c r="C8180" s="109" t="str">
        <f>IF(ISBLANK(K8180),IFERROR(VLOOKUP(I8180,FS_input_data!$C$458:$N$648,Export!J8180,FALSE),""),K8180)</f>
        <v>OC160</v>
      </c>
      <c r="D8180" s="6" t="b">
        <v>1</v>
      </c>
      <c r="E8180" s="6"/>
      <c r="F8180" s="6"/>
      <c r="G8180" s="115" t="b">
        <f>VLOOKUP(I8180,FS_input_noty,J8180,FALSE)=""</f>
        <v>0</v>
      </c>
      <c r="H8180" s="6" t="s">
        <v>2189</v>
      </c>
      <c r="I8180" t="s">
        <v>2174</v>
      </c>
      <c r="J8180">
        <v>6</v>
      </c>
      <c r="L8180" s="26" t="e">
        <f t="shared" si="495"/>
        <v>#VALUE!</v>
      </c>
    </row>
    <row r="8181" spans="1:12" x14ac:dyDescent="0.35">
      <c r="A8181">
        <f t="shared" si="496"/>
        <v>8180</v>
      </c>
      <c r="B8181" t="s">
        <v>102</v>
      </c>
      <c r="C8181" s="109" t="str">
        <f>IF(ISBLANK(K8181),IFERROR(VLOOKUP(I8181,FS_input_data!$C$458:$N$648,Export!J8181,FALSE),""),K8181)</f>
        <v/>
      </c>
      <c r="D8181" s="6"/>
      <c r="E8181" s="6"/>
      <c r="F8181" s="6"/>
      <c r="G8181" s="115" t="b">
        <f>VLOOKUP(I8180,FS_input_noty,J8180,FALSE)=""</f>
        <v>0</v>
      </c>
      <c r="H8181" s="6" t="s">
        <v>2189</v>
      </c>
      <c r="I8181" t="s">
        <v>1561</v>
      </c>
      <c r="J8181" t="s">
        <v>1561</v>
      </c>
      <c r="L8181">
        <f t="shared" si="495"/>
        <v>1</v>
      </c>
    </row>
    <row r="8182" spans="1:12" x14ac:dyDescent="0.35">
      <c r="A8182">
        <f t="shared" si="496"/>
        <v>8181</v>
      </c>
      <c r="B8182" t="s">
        <v>753</v>
      </c>
      <c r="C8182" s="109" t="str">
        <f>IF(ISBLANK(K8182),IFERROR(VLOOKUP(I8182,FS_input_data!$C$458:$N$648,Export!J8182,FALSE),""),K8182)</f>
        <v/>
      </c>
      <c r="D8182" s="6"/>
      <c r="E8182" s="6"/>
      <c r="F8182" s="6"/>
      <c r="G8182" s="115" t="b">
        <f>VLOOKUP(I8180,FS_input_noty,J8180,FALSE)=""</f>
        <v>0</v>
      </c>
      <c r="H8182" s="6" t="s">
        <v>2189</v>
      </c>
      <c r="I8182" t="s">
        <v>1561</v>
      </c>
      <c r="J8182" t="s">
        <v>1561</v>
      </c>
      <c r="L8182" s="26" t="e">
        <f t="shared" si="495"/>
        <v>#VALUE!</v>
      </c>
    </row>
    <row r="8183" spans="1:12" x14ac:dyDescent="0.35">
      <c r="A8183">
        <f t="shared" si="496"/>
        <v>8182</v>
      </c>
      <c r="B8183" t="s">
        <v>742</v>
      </c>
      <c r="C8183" s="109" t="str">
        <f>IF(ISBLANK(K8183),IFERROR(VLOOKUP(I8183,FS_input_data!$C$458:$N$648,Export!J8183,FALSE),""),K8183)</f>
        <v/>
      </c>
      <c r="D8183" s="6"/>
      <c r="E8183" s="6"/>
      <c r="F8183" s="6"/>
      <c r="G8183" s="115" t="b">
        <f>VLOOKUP(I8180,FS_input_noty,J8180,FALSE)=""</f>
        <v>0</v>
      </c>
      <c r="H8183" s="6" t="s">
        <v>2189</v>
      </c>
      <c r="I8183" t="s">
        <v>1561</v>
      </c>
      <c r="J8183" t="s">
        <v>1561</v>
      </c>
      <c r="L8183" s="26" t="e">
        <f t="shared" si="495"/>
        <v>#VALUE!</v>
      </c>
    </row>
    <row r="8184" spans="1:12" x14ac:dyDescent="0.35">
      <c r="A8184">
        <f t="shared" si="496"/>
        <v>8183</v>
      </c>
      <c r="B8184" t="s">
        <v>748</v>
      </c>
      <c r="C8184" s="109" t="str">
        <f>IF(ISBLANK(K8184),IFERROR(VLOOKUP(I8184,FS_input_data!$C$458:$N$648,Export!J8184,FALSE),""),K8184)</f>
        <v/>
      </c>
      <c r="D8184" s="6"/>
      <c r="E8184" s="6"/>
      <c r="F8184" s="6"/>
      <c r="G8184" s="115" t="b">
        <f>VLOOKUP(I8180,FS_input_noty,J8180,FALSE)=""</f>
        <v>0</v>
      </c>
      <c r="H8184" s="6" t="s">
        <v>2189</v>
      </c>
      <c r="I8184" t="s">
        <v>1561</v>
      </c>
      <c r="J8184" t="s">
        <v>1561</v>
      </c>
      <c r="L8184" s="26" t="e">
        <f t="shared" si="495"/>
        <v>#VALUE!</v>
      </c>
    </row>
    <row r="8185" spans="1:12" x14ac:dyDescent="0.35">
      <c r="A8185" s="9">
        <f t="shared" si="496"/>
        <v>8184</v>
      </c>
      <c r="B8185" t="s">
        <v>109</v>
      </c>
      <c r="C8185" s="109">
        <f>IF(ISBLANK(K8185),IFERROR(VLOOKUP(I8185,FS_input_data!$C$458:$N$648,Export!J8185,FALSE),""),K8185)</f>
        <v>17000</v>
      </c>
      <c r="D8185" s="6" t="b">
        <v>1</v>
      </c>
      <c r="E8185" s="6"/>
      <c r="F8185" s="6"/>
      <c r="G8185" s="115" t="b">
        <f>VLOOKUP(I8180,FS_input_noty,J8180,FALSE)=""</f>
        <v>0</v>
      </c>
      <c r="H8185" s="6" t="s">
        <v>2189</v>
      </c>
      <c r="I8185" t="s">
        <v>2174</v>
      </c>
      <c r="J8185">
        <v>7</v>
      </c>
      <c r="L8185" s="26" t="e">
        <f t="shared" si="495"/>
        <v>#VALUE!</v>
      </c>
    </row>
    <row r="8186" spans="1:12" x14ac:dyDescent="0.35">
      <c r="A8186">
        <f t="shared" si="496"/>
        <v>8185</v>
      </c>
      <c r="B8186" t="s">
        <v>110</v>
      </c>
      <c r="C8186" s="109" t="str">
        <f>IF(ISBLANK(K8186),IFERROR(VLOOKUP(I8186,FS_input_data!$C$458:$N$648,Export!J8186,FALSE),""),K8186)</f>
        <v/>
      </c>
      <c r="D8186" s="6"/>
      <c r="E8186" s="6"/>
      <c r="F8186" s="6"/>
      <c r="G8186" s="115" t="b">
        <f>VLOOKUP(I8180,FS_input_noty,J8180,FALSE)=""</f>
        <v>0</v>
      </c>
      <c r="H8186" s="6" t="s">
        <v>2189</v>
      </c>
      <c r="I8186" t="s">
        <v>1561</v>
      </c>
      <c r="J8186" t="s">
        <v>1561</v>
      </c>
      <c r="L8186">
        <f t="shared" si="495"/>
        <v>1</v>
      </c>
    </row>
    <row r="8187" spans="1:12" x14ac:dyDescent="0.35">
      <c r="A8187" s="9">
        <f t="shared" si="496"/>
        <v>8186</v>
      </c>
      <c r="B8187" t="s">
        <v>111</v>
      </c>
      <c r="C8187" s="109">
        <f>IF(ISBLANK(K8187),IFERROR(VLOOKUP(I8187,FS_input_data!$C$458:$N$648,Export!J8187,FALSE),""),K8187)</f>
        <v>8500</v>
      </c>
      <c r="D8187" s="6" t="b">
        <v>0</v>
      </c>
      <c r="E8187" s="6"/>
      <c r="F8187" s="6"/>
      <c r="G8187" s="115" t="b">
        <f>VLOOKUP(I8180,FS_input_noty,J8180,TRUE)=""</f>
        <v>0</v>
      </c>
      <c r="H8187" s="6" t="s">
        <v>2189</v>
      </c>
      <c r="I8187" t="s">
        <v>2174</v>
      </c>
      <c r="J8187">
        <v>8</v>
      </c>
      <c r="L8187" s="26" t="e">
        <f t="shared" si="495"/>
        <v>#VALUE!</v>
      </c>
    </row>
    <row r="8188" spans="1:12" x14ac:dyDescent="0.35">
      <c r="A8188">
        <f t="shared" si="496"/>
        <v>8187</v>
      </c>
      <c r="B8188" t="s">
        <v>112</v>
      </c>
      <c r="C8188" s="109" t="str">
        <f>IF(ISBLANK(K8188),IFERROR(VLOOKUP(I8188,FS_input_data!$C$458:$N$648,Export!J8188,FALSE),""),K8188)</f>
        <v/>
      </c>
      <c r="D8188" s="6"/>
      <c r="E8188" s="6"/>
      <c r="F8188" s="6"/>
      <c r="G8188" s="115" t="b">
        <f>VLOOKUP(I8180,FS_input_noty,J8180,FALSE)=""</f>
        <v>0</v>
      </c>
      <c r="H8188" s="6" t="s">
        <v>2189</v>
      </c>
      <c r="I8188" t="s">
        <v>1561</v>
      </c>
      <c r="J8188" t="s">
        <v>1561</v>
      </c>
      <c r="L8188">
        <f t="shared" si="495"/>
        <v>1</v>
      </c>
    </row>
    <row r="8189" spans="1:12" x14ac:dyDescent="0.35">
      <c r="A8189" s="9">
        <f t="shared" si="496"/>
        <v>8188</v>
      </c>
      <c r="B8189" t="s">
        <v>749</v>
      </c>
      <c r="C8189" s="109">
        <f>IF(ISBLANK(K8189),IFERROR(VLOOKUP(I8189,FS_input_data!$C$458:$N$648,Export!J8189,FALSE),""),K8189)</f>
        <v>8500</v>
      </c>
      <c r="D8189" s="6" t="b">
        <v>0</v>
      </c>
      <c r="E8189" s="6"/>
      <c r="F8189" s="6"/>
      <c r="G8189" s="115" t="b">
        <f>VLOOKUP(I8180,FS_input_noty,J8180,FALSE)=""</f>
        <v>0</v>
      </c>
      <c r="H8189" s="6" t="s">
        <v>2189</v>
      </c>
      <c r="I8189" t="s">
        <v>2174</v>
      </c>
      <c r="J8189">
        <v>9</v>
      </c>
      <c r="L8189" s="26" t="e">
        <f t="shared" si="495"/>
        <v>#VALUE!</v>
      </c>
    </row>
    <row r="8190" spans="1:12" x14ac:dyDescent="0.35">
      <c r="A8190">
        <f t="shared" si="496"/>
        <v>8189</v>
      </c>
      <c r="B8190" t="s">
        <v>750</v>
      </c>
      <c r="C8190" s="109" t="str">
        <f>IF(ISBLANK(K8190),IFERROR(VLOOKUP(I8190,FS_input_data!$C$458:$N$648,Export!J8190,FALSE),""),K8190)</f>
        <v/>
      </c>
      <c r="D8190" s="6"/>
      <c r="E8190" s="6"/>
      <c r="F8190" s="6"/>
      <c r="G8190" s="115" t="b">
        <f>VLOOKUP(I8180,FS_input_noty,J8180,FALSE)=""</f>
        <v>0</v>
      </c>
      <c r="H8190" s="6" t="s">
        <v>2189</v>
      </c>
      <c r="I8190" t="s">
        <v>1561</v>
      </c>
      <c r="J8190" t="s">
        <v>1561</v>
      </c>
      <c r="L8190">
        <f t="shared" si="495"/>
        <v>1</v>
      </c>
    </row>
    <row r="8191" spans="1:12" x14ac:dyDescent="0.35">
      <c r="A8191">
        <f t="shared" si="496"/>
        <v>8190</v>
      </c>
      <c r="B8191" t="s">
        <v>751</v>
      </c>
      <c r="C8191" s="109" t="str">
        <f>IF(ISBLANK(K8191),IFERROR(VLOOKUP(I8191,FS_input_data!$C$458:$N$648,Export!J8191,FALSE),""),K8191)</f>
        <v/>
      </c>
      <c r="D8191" s="6"/>
      <c r="E8191" s="6"/>
      <c r="F8191" s="6"/>
      <c r="G8191" s="115" t="b">
        <f>VLOOKUP(I8180,FS_input_noty,J8180,FALSE)=""</f>
        <v>0</v>
      </c>
      <c r="H8191" s="6" t="s">
        <v>2189</v>
      </c>
      <c r="I8191" t="s">
        <v>1561</v>
      </c>
      <c r="J8191" t="s">
        <v>1561</v>
      </c>
      <c r="L8191">
        <f t="shared" si="495"/>
        <v>1</v>
      </c>
    </row>
    <row r="8192" spans="1:12" x14ac:dyDescent="0.35">
      <c r="A8192">
        <f t="shared" si="496"/>
        <v>8191</v>
      </c>
      <c r="B8192" t="s">
        <v>754</v>
      </c>
      <c r="C8192" s="109" t="str">
        <f>IF(ISBLANK(K8192),IFERROR(VLOOKUP(I8192,FS_input_data!$C$458:$N$648,Export!J8192,FALSE),""),K8192)</f>
        <v/>
      </c>
      <c r="D8192" s="6"/>
      <c r="E8192" s="6"/>
      <c r="F8192" s="6"/>
      <c r="G8192" s="115" t="b">
        <f>VLOOKUP(I8180,FS_input_noty,J8180,FALSE)=""</f>
        <v>0</v>
      </c>
      <c r="H8192" s="6" t="s">
        <v>2189</v>
      </c>
      <c r="I8192" t="s">
        <v>1561</v>
      </c>
      <c r="J8192" t="s">
        <v>1561</v>
      </c>
      <c r="L8192" s="26" t="e">
        <f t="shared" si="495"/>
        <v>#VALUE!</v>
      </c>
    </row>
    <row r="8193" spans="1:12" x14ac:dyDescent="0.35">
      <c r="A8193" s="9">
        <f t="shared" si="496"/>
        <v>8192</v>
      </c>
      <c r="B8193" t="s">
        <v>755</v>
      </c>
      <c r="C8193" s="109">
        <f>IF(ISBLANK(K8193),IFERROR(VLOOKUP(I8193,FS_input_data!$C$458:$N$648,Export!J8193,FALSE),""),K8193)</f>
        <v>183</v>
      </c>
      <c r="D8193" s="6" t="b">
        <v>1</v>
      </c>
      <c r="E8193" s="6"/>
      <c r="F8193" s="6"/>
      <c r="G8193" s="115" t="b">
        <f>VLOOKUP(I8180,FS_input_noty,J8180,FALSE)=""</f>
        <v>0</v>
      </c>
      <c r="H8193" s="6" t="s">
        <v>2189</v>
      </c>
      <c r="I8193" t="s">
        <v>2174</v>
      </c>
      <c r="J8193">
        <v>2</v>
      </c>
      <c r="L8193" s="26" t="e">
        <f t="shared" si="495"/>
        <v>#VALUE!</v>
      </c>
    </row>
    <row r="8194" spans="1:12" x14ac:dyDescent="0.35">
      <c r="A8194">
        <f t="shared" si="496"/>
        <v>8193</v>
      </c>
      <c r="B8194" t="s">
        <v>756</v>
      </c>
      <c r="C8194" s="109" t="str">
        <f>IF(ISBLANK(K8194),IFERROR(VLOOKUP(I8194,FS_input_data!$C$458:$N$648,Export!J8194,FALSE),""),K8194)</f>
        <v/>
      </c>
      <c r="D8194" s="6"/>
      <c r="E8194" s="6"/>
      <c r="F8194" s="6"/>
      <c r="G8194" s="115" t="b">
        <f>VLOOKUP(I8180,FS_input_noty,J8180,FALSE)=""</f>
        <v>0</v>
      </c>
      <c r="H8194" s="6" t="s">
        <v>2189</v>
      </c>
      <c r="I8194" t="s">
        <v>1561</v>
      </c>
      <c r="J8194" t="s">
        <v>1561</v>
      </c>
      <c r="L8194">
        <f t="shared" ref="L8194:L8257" si="499">FIND("/",B8194)</f>
        <v>1</v>
      </c>
    </row>
    <row r="8195" spans="1:12" x14ac:dyDescent="0.35">
      <c r="A8195" s="9">
        <f t="shared" ref="A8195:A8258" si="500">A8194+1</f>
        <v>8194</v>
      </c>
      <c r="B8195" t="s">
        <v>757</v>
      </c>
      <c r="C8195" s="109">
        <f>IF(ISBLANK(K8195),IFERROR(VLOOKUP(I8195,FS_input_data!$C$458:$N$648,Export!J8195,FALSE),""),K8195)</f>
        <v>283</v>
      </c>
      <c r="D8195" s="6" t="b">
        <v>0</v>
      </c>
      <c r="E8195" s="6"/>
      <c r="F8195" s="6"/>
      <c r="G8195" s="115" t="b">
        <f>VLOOKUP(I8180,FS_input_noty,J8180,FALSE)=""</f>
        <v>0</v>
      </c>
      <c r="H8195" s="6" t="s">
        <v>2189</v>
      </c>
      <c r="I8195" t="s">
        <v>2174</v>
      </c>
      <c r="J8195">
        <v>3</v>
      </c>
      <c r="L8195" s="26" t="e">
        <f t="shared" si="499"/>
        <v>#VALUE!</v>
      </c>
    </row>
    <row r="8196" spans="1:12" x14ac:dyDescent="0.35">
      <c r="A8196">
        <f t="shared" si="500"/>
        <v>8195</v>
      </c>
      <c r="B8196" t="s">
        <v>758</v>
      </c>
      <c r="C8196" s="109" t="str">
        <f>IF(ISBLANK(K8196),IFERROR(VLOOKUP(I8196,FS_input_data!$C$458:$N$648,Export!J8196,FALSE),""),K8196)</f>
        <v/>
      </c>
      <c r="D8196" s="6"/>
      <c r="E8196" s="6"/>
      <c r="F8196" s="6"/>
      <c r="G8196" s="115" t="b">
        <f>VLOOKUP(I8180,FS_input_noty,J8180,FALSE)=""</f>
        <v>0</v>
      </c>
      <c r="H8196" s="6" t="s">
        <v>2189</v>
      </c>
      <c r="I8196" t="s">
        <v>1561</v>
      </c>
      <c r="J8196" t="s">
        <v>1561</v>
      </c>
      <c r="L8196">
        <f t="shared" si="499"/>
        <v>1</v>
      </c>
    </row>
    <row r="8197" spans="1:12" x14ac:dyDescent="0.35">
      <c r="A8197" s="9">
        <f t="shared" si="500"/>
        <v>8196</v>
      </c>
      <c r="B8197" t="s">
        <v>759</v>
      </c>
      <c r="C8197" s="109">
        <f>IF(ISBLANK(K8197),IFERROR(VLOOKUP(I8197,FS_input_data!$C$458:$N$648,Export!J8197,FALSE),""),K8197)</f>
        <v>383</v>
      </c>
      <c r="D8197" s="6" t="b">
        <v>0</v>
      </c>
      <c r="E8197" s="6"/>
      <c r="F8197" s="6"/>
      <c r="G8197" s="115" t="b">
        <f>VLOOKUP(I8180,FS_input_noty,J8180,FALSE)=""</f>
        <v>0</v>
      </c>
      <c r="H8197" s="6" t="s">
        <v>2189</v>
      </c>
      <c r="I8197" t="s">
        <v>2174</v>
      </c>
      <c r="J8197">
        <v>4</v>
      </c>
      <c r="L8197" s="26" t="e">
        <f t="shared" si="499"/>
        <v>#VALUE!</v>
      </c>
    </row>
    <row r="8198" spans="1:12" x14ac:dyDescent="0.35">
      <c r="A8198">
        <f t="shared" si="500"/>
        <v>8197</v>
      </c>
      <c r="B8198" t="s">
        <v>760</v>
      </c>
      <c r="C8198" s="109" t="str">
        <f>IF(ISBLANK(K8198),IFERROR(VLOOKUP(I8198,FS_input_data!$C$458:$N$648,Export!J8198,FALSE),""),K8198)</f>
        <v/>
      </c>
      <c r="D8198" s="6"/>
      <c r="E8198" s="6"/>
      <c r="F8198" s="6"/>
      <c r="G8198" s="115" t="b">
        <f>VLOOKUP(I8180,FS_input_noty,J8180,FALSE)=""</f>
        <v>0</v>
      </c>
      <c r="H8198" s="6" t="s">
        <v>2189</v>
      </c>
      <c r="I8198" t="s">
        <v>1561</v>
      </c>
      <c r="J8198" t="s">
        <v>1561</v>
      </c>
      <c r="L8198">
        <f t="shared" si="499"/>
        <v>1</v>
      </c>
    </row>
    <row r="8199" spans="1:12" x14ac:dyDescent="0.35">
      <c r="A8199" s="9">
        <f t="shared" si="500"/>
        <v>8198</v>
      </c>
      <c r="B8199" t="s">
        <v>761</v>
      </c>
      <c r="C8199" s="109" t="str">
        <f>IF(ISBLANK(K8199),IFERROR(VLOOKUP(I8199,FS_input_data!$C$458:$N$648,Export!J8199,FALSE),""),K8199)</f>
        <v>g</v>
      </c>
      <c r="D8199" s="6" t="b">
        <v>0</v>
      </c>
      <c r="E8199" s="6"/>
      <c r="F8199" s="6"/>
      <c r="G8199" s="115" t="b">
        <f>VLOOKUP(I8180,FS_input_noty,J8180,FALSE)=""</f>
        <v>0</v>
      </c>
      <c r="H8199" s="6" t="s">
        <v>2189</v>
      </c>
      <c r="I8199" t="s">
        <v>2174</v>
      </c>
      <c r="J8199">
        <v>5</v>
      </c>
      <c r="L8199" s="26" t="e">
        <f t="shared" si="499"/>
        <v>#VALUE!</v>
      </c>
    </row>
    <row r="8200" spans="1:12" x14ac:dyDescent="0.35">
      <c r="A8200">
        <f t="shared" si="500"/>
        <v>8199</v>
      </c>
      <c r="B8200" t="s">
        <v>762</v>
      </c>
      <c r="C8200" s="109" t="str">
        <f>IF(ISBLANK(K8200),IFERROR(VLOOKUP(I8200,FS_input_data!$C$458:$N$648,Export!J8200,FALSE),""),K8200)</f>
        <v/>
      </c>
      <c r="D8200" s="6"/>
      <c r="E8200" s="6"/>
      <c r="F8200" s="6"/>
      <c r="G8200" s="115" t="b">
        <f>VLOOKUP(I8180,FS_input_noty,J8180,FALSE)=""</f>
        <v>0</v>
      </c>
      <c r="H8200" s="6" t="s">
        <v>2189</v>
      </c>
      <c r="I8200" t="s">
        <v>1561</v>
      </c>
      <c r="J8200" t="s">
        <v>1561</v>
      </c>
      <c r="L8200">
        <f t="shared" si="499"/>
        <v>1</v>
      </c>
    </row>
    <row r="8201" spans="1:12" x14ac:dyDescent="0.35">
      <c r="A8201">
        <f t="shared" si="500"/>
        <v>8200</v>
      </c>
      <c r="B8201" t="s">
        <v>763</v>
      </c>
      <c r="C8201" s="109" t="str">
        <f>IF(ISBLANK(K8201),IFERROR(VLOOKUP(I8201,FS_input_data!$C$458:$N$648,Export!J8201,FALSE),""),K8201)</f>
        <v/>
      </c>
      <c r="D8201" s="6"/>
      <c r="E8201" s="6"/>
      <c r="F8201" s="6"/>
      <c r="G8201" s="115" t="b">
        <f>VLOOKUP(I8180,FS_input_noty,J8180,FALSE)=""</f>
        <v>0</v>
      </c>
      <c r="H8201" s="6" t="s">
        <v>2189</v>
      </c>
      <c r="I8201" t="s">
        <v>1561</v>
      </c>
      <c r="J8201" t="s">
        <v>1561</v>
      </c>
      <c r="L8201">
        <f t="shared" si="499"/>
        <v>1</v>
      </c>
    </row>
    <row r="8202" spans="1:12" x14ac:dyDescent="0.35">
      <c r="A8202">
        <f t="shared" si="500"/>
        <v>8201</v>
      </c>
      <c r="B8202" t="s">
        <v>743</v>
      </c>
      <c r="C8202" s="109" t="str">
        <f>IF(ISBLANK(K8202),IFERROR(VLOOKUP(I8202,FS_input_data!$C$458:$N$648,Export!J8202,FALSE),""),K8202)</f>
        <v/>
      </c>
      <c r="D8202" s="6"/>
      <c r="E8202" s="6"/>
      <c r="F8202" s="6"/>
      <c r="G8202" s="115" t="b">
        <f>VLOOKUP(I8180,FS_input_noty,J8180,FALSE)=""</f>
        <v>0</v>
      </c>
      <c r="H8202" s="6" t="s">
        <v>2189</v>
      </c>
      <c r="I8202" t="s">
        <v>1561</v>
      </c>
      <c r="J8202" t="s">
        <v>1561</v>
      </c>
      <c r="L8202">
        <f t="shared" si="499"/>
        <v>1</v>
      </c>
    </row>
    <row r="8203" spans="1:12" x14ac:dyDescent="0.35">
      <c r="A8203">
        <f t="shared" si="500"/>
        <v>8202</v>
      </c>
      <c r="B8203" t="s">
        <v>744</v>
      </c>
      <c r="C8203" s="109" t="str">
        <f>IF(ISBLANK(K8203),IFERROR(VLOOKUP(I8203,FS_input_data!$C$458:$N$648,Export!J8203,FALSE),""),K8203)</f>
        <v/>
      </c>
      <c r="D8203" s="6"/>
      <c r="E8203" s="6"/>
      <c r="F8203" s="6"/>
      <c r="G8203" s="115" t="b">
        <f t="shared" ref="G8203:G8210" si="501">RP_tax</f>
        <v>1</v>
      </c>
      <c r="H8203" s="6" t="s">
        <v>2189</v>
      </c>
      <c r="I8203" t="s">
        <v>1561</v>
      </c>
      <c r="J8203" t="s">
        <v>1561</v>
      </c>
      <c r="L8203" s="26" t="e">
        <f t="shared" si="499"/>
        <v>#VALUE!</v>
      </c>
    </row>
    <row r="8204" spans="1:12" x14ac:dyDescent="0.35">
      <c r="A8204" s="9">
        <f t="shared" si="500"/>
        <v>8203</v>
      </c>
      <c r="B8204" t="s">
        <v>109</v>
      </c>
      <c r="C8204" s="109">
        <f>IF(ISBLANK(K8204),IFERROR(VLOOKUP(I8204,FS_input_data!$C$458:$N$648,Export!J8204,FALSE),""),K8204)</f>
        <v>17000</v>
      </c>
      <c r="D8204" s="6" t="b">
        <v>1</v>
      </c>
      <c r="E8204" s="6"/>
      <c r="F8204" s="6"/>
      <c r="G8204" s="115" t="b">
        <f t="shared" si="501"/>
        <v>1</v>
      </c>
      <c r="H8204" s="6" t="s">
        <v>2189</v>
      </c>
      <c r="I8204" t="s">
        <v>2174</v>
      </c>
      <c r="J8204">
        <v>10</v>
      </c>
      <c r="L8204" s="26" t="e">
        <f t="shared" si="499"/>
        <v>#VALUE!</v>
      </c>
    </row>
    <row r="8205" spans="1:12" x14ac:dyDescent="0.35">
      <c r="A8205">
        <f t="shared" si="500"/>
        <v>8204</v>
      </c>
      <c r="B8205" t="s">
        <v>110</v>
      </c>
      <c r="C8205" s="109" t="str">
        <f>IF(ISBLANK(K8205),IFERROR(VLOOKUP(I8205,FS_input_data!$C$458:$N$648,Export!J8205,FALSE),""),K8205)</f>
        <v/>
      </c>
      <c r="D8205" s="6"/>
      <c r="E8205" s="6"/>
      <c r="F8205" s="6"/>
      <c r="G8205" s="115" t="b">
        <f t="shared" si="501"/>
        <v>1</v>
      </c>
      <c r="H8205" s="6" t="s">
        <v>2189</v>
      </c>
      <c r="I8205" t="s">
        <v>1561</v>
      </c>
      <c r="J8205" t="s">
        <v>1561</v>
      </c>
      <c r="L8205">
        <f t="shared" si="499"/>
        <v>1</v>
      </c>
    </row>
    <row r="8206" spans="1:12" x14ac:dyDescent="0.35">
      <c r="A8206" s="9">
        <f t="shared" si="500"/>
        <v>8205</v>
      </c>
      <c r="B8206" t="s">
        <v>111</v>
      </c>
      <c r="C8206" s="109">
        <f>IF(ISBLANK(K8206),IFERROR(VLOOKUP(I8206,FS_input_data!$C$458:$N$648,Export!J8206,FALSE),""),K8206)</f>
        <v>8500</v>
      </c>
      <c r="D8206" s="6" t="b">
        <v>0</v>
      </c>
      <c r="E8206" s="6"/>
      <c r="F8206" s="6"/>
      <c r="G8206" s="115" t="b">
        <f t="shared" si="501"/>
        <v>1</v>
      </c>
      <c r="H8206" s="6" t="s">
        <v>2189</v>
      </c>
      <c r="I8206" t="s">
        <v>2174</v>
      </c>
      <c r="J8206">
        <v>11</v>
      </c>
      <c r="L8206" s="26" t="e">
        <f t="shared" si="499"/>
        <v>#VALUE!</v>
      </c>
    </row>
    <row r="8207" spans="1:12" x14ac:dyDescent="0.35">
      <c r="A8207">
        <f t="shared" si="500"/>
        <v>8206</v>
      </c>
      <c r="B8207" t="s">
        <v>112</v>
      </c>
      <c r="C8207" s="109" t="str">
        <f>IF(ISBLANK(K8207),IFERROR(VLOOKUP(I8207,FS_input_data!$C$458:$N$648,Export!J8207,FALSE),""),K8207)</f>
        <v/>
      </c>
      <c r="D8207" s="6"/>
      <c r="E8207" s="6"/>
      <c r="F8207" s="6"/>
      <c r="G8207" s="115" t="b">
        <f t="shared" si="501"/>
        <v>1</v>
      </c>
      <c r="H8207" s="6" t="s">
        <v>2189</v>
      </c>
      <c r="I8207" t="s">
        <v>1561</v>
      </c>
      <c r="J8207" t="s">
        <v>1561</v>
      </c>
      <c r="L8207">
        <f t="shared" si="499"/>
        <v>1</v>
      </c>
    </row>
    <row r="8208" spans="1:12" x14ac:dyDescent="0.35">
      <c r="A8208" s="9">
        <f t="shared" si="500"/>
        <v>8207</v>
      </c>
      <c r="B8208" t="s">
        <v>749</v>
      </c>
      <c r="C8208" s="109">
        <f>IF(ISBLANK(K8208),IFERROR(VLOOKUP(I8208,FS_input_data!$C$458:$N$648,Export!J8208,FALSE),""),K8208)</f>
        <v>8500</v>
      </c>
      <c r="D8208" s="6" t="b">
        <v>0</v>
      </c>
      <c r="E8208" s="6"/>
      <c r="F8208" s="6"/>
      <c r="G8208" s="115" t="b">
        <f t="shared" si="501"/>
        <v>1</v>
      </c>
      <c r="H8208" s="6" t="s">
        <v>2189</v>
      </c>
      <c r="I8208" t="s">
        <v>2174</v>
      </c>
      <c r="J8208">
        <v>12</v>
      </c>
      <c r="L8208" s="26" t="e">
        <f t="shared" si="499"/>
        <v>#VALUE!</v>
      </c>
    </row>
    <row r="8209" spans="1:12" x14ac:dyDescent="0.35">
      <c r="A8209">
        <f t="shared" si="500"/>
        <v>8208</v>
      </c>
      <c r="B8209" t="s">
        <v>750</v>
      </c>
      <c r="C8209" s="109" t="str">
        <f>IF(ISBLANK(K8209),IFERROR(VLOOKUP(I8209,FS_input_data!$C$458:$N$648,Export!J8209,FALSE),""),K8209)</f>
        <v/>
      </c>
      <c r="D8209" s="6"/>
      <c r="E8209" s="6"/>
      <c r="F8209" s="6"/>
      <c r="G8209" s="115" t="b">
        <f t="shared" si="501"/>
        <v>1</v>
      </c>
      <c r="H8209" s="6" t="s">
        <v>2189</v>
      </c>
      <c r="I8209" t="s">
        <v>1561</v>
      </c>
      <c r="J8209" t="s">
        <v>1561</v>
      </c>
      <c r="L8209">
        <f t="shared" si="499"/>
        <v>1</v>
      </c>
    </row>
    <row r="8210" spans="1:12" x14ac:dyDescent="0.35">
      <c r="A8210">
        <f t="shared" si="500"/>
        <v>8209</v>
      </c>
      <c r="B8210" t="s">
        <v>745</v>
      </c>
      <c r="C8210" s="109" t="str">
        <f>IF(ISBLANK(K8210),IFERROR(VLOOKUP(I8210,FS_input_data!$C$458:$N$648,Export!J8210,FALSE),""),K8210)</f>
        <v/>
      </c>
      <c r="D8210" s="6"/>
      <c r="E8210" s="6"/>
      <c r="F8210" s="6"/>
      <c r="G8210" s="115" t="b">
        <f t="shared" si="501"/>
        <v>1</v>
      </c>
      <c r="H8210" s="6" t="s">
        <v>2189</v>
      </c>
      <c r="I8210" t="s">
        <v>1561</v>
      </c>
      <c r="J8210" t="s">
        <v>1561</v>
      </c>
      <c r="L8210">
        <f t="shared" si="499"/>
        <v>1</v>
      </c>
    </row>
    <row r="8211" spans="1:12" x14ac:dyDescent="0.35">
      <c r="A8211">
        <f t="shared" si="500"/>
        <v>8210</v>
      </c>
      <c r="B8211" t="s">
        <v>764</v>
      </c>
      <c r="C8211" s="109" t="str">
        <f>IF(ISBLANK(K8211),IFERROR(VLOOKUP(I8211,FS_input_data!$C$458:$N$648,Export!J8211,FALSE),""),K8211)</f>
        <v/>
      </c>
      <c r="D8211" s="6"/>
      <c r="E8211" s="6"/>
      <c r="F8211" s="6"/>
      <c r="G8211" s="115" t="b">
        <f>VLOOKUP(I8180,FS_input_noty,J8180,FALSE)=""</f>
        <v>0</v>
      </c>
      <c r="H8211" s="6" t="s">
        <v>2189</v>
      </c>
      <c r="I8211" t="s">
        <v>1561</v>
      </c>
      <c r="J8211" t="s">
        <v>1561</v>
      </c>
      <c r="L8211">
        <f t="shared" si="499"/>
        <v>1</v>
      </c>
    </row>
    <row r="8212" spans="1:12" x14ac:dyDescent="0.35">
      <c r="A8212">
        <f t="shared" si="500"/>
        <v>8211</v>
      </c>
      <c r="B8212" t="s">
        <v>765</v>
      </c>
      <c r="C8212" s="109" t="str">
        <f>IF(ISBLANK(K8212),IFERROR(VLOOKUP(I8212,FS_input_data!$C$458:$N$648,Export!J8212,FALSE),""),K8212)</f>
        <v/>
      </c>
      <c r="D8212" s="6"/>
      <c r="E8212" s="6"/>
      <c r="F8212" s="6"/>
      <c r="G8212" s="115" t="b">
        <f>VLOOKUP(I8180,FS_input_noty,J8180,FALSE)=""</f>
        <v>0</v>
      </c>
      <c r="H8212" s="6" t="s">
        <v>2189</v>
      </c>
      <c r="I8212" t="s">
        <v>1561</v>
      </c>
      <c r="J8212" t="s">
        <v>1561</v>
      </c>
      <c r="L8212">
        <f t="shared" si="499"/>
        <v>1</v>
      </c>
    </row>
    <row r="8213" spans="1:12" x14ac:dyDescent="0.35">
      <c r="A8213">
        <f t="shared" si="500"/>
        <v>8212</v>
      </c>
      <c r="B8213" t="s">
        <v>752</v>
      </c>
      <c r="C8213" s="109" t="str">
        <f>IF(ISBLANK(K8213),IFERROR(VLOOKUP(I8213,FS_input_data!$C$458:$N$648,Export!J8213,FALSE),""),K8213)</f>
        <v/>
      </c>
      <c r="D8213" s="6"/>
      <c r="E8213" s="6"/>
      <c r="F8213" s="6"/>
      <c r="G8213" s="115" t="b">
        <f>VLOOKUP(I8214,FS_input_noty,J8214,FALSE)=""</f>
        <v>0</v>
      </c>
      <c r="H8213" s="6" t="s">
        <v>2189</v>
      </c>
      <c r="I8213" t="s">
        <v>1561</v>
      </c>
      <c r="J8213" t="s">
        <v>1561</v>
      </c>
      <c r="L8213" s="26" t="e">
        <f t="shared" si="499"/>
        <v>#VALUE!</v>
      </c>
    </row>
    <row r="8214" spans="1:12" x14ac:dyDescent="0.35">
      <c r="A8214" s="9">
        <f t="shared" si="500"/>
        <v>8213</v>
      </c>
      <c r="B8214" t="s">
        <v>101</v>
      </c>
      <c r="C8214" s="109" t="str">
        <f>IF(ISBLANK(K8214),IFERROR(VLOOKUP(I8214,FS_input_data!$C$458:$N$648,Export!J8214,FALSE),""),K8214)</f>
        <v>OC161</v>
      </c>
      <c r="D8214" s="6" t="b">
        <v>1</v>
      </c>
      <c r="E8214" s="6"/>
      <c r="F8214" s="6"/>
      <c r="G8214" s="115" t="b">
        <f>VLOOKUP(I8214,FS_input_noty,J8214,FALSE)=""</f>
        <v>0</v>
      </c>
      <c r="H8214" s="6" t="s">
        <v>2189</v>
      </c>
      <c r="I8214" t="s">
        <v>2176</v>
      </c>
      <c r="J8214">
        <v>6</v>
      </c>
      <c r="L8214" s="26" t="e">
        <f t="shared" si="499"/>
        <v>#VALUE!</v>
      </c>
    </row>
    <row r="8215" spans="1:12" x14ac:dyDescent="0.35">
      <c r="A8215">
        <f t="shared" si="500"/>
        <v>8214</v>
      </c>
      <c r="B8215" t="s">
        <v>102</v>
      </c>
      <c r="C8215" s="109" t="str">
        <f>IF(ISBLANK(K8215),IFERROR(VLOOKUP(I8215,FS_input_data!$C$458:$N$648,Export!J8215,FALSE),""),K8215)</f>
        <v/>
      </c>
      <c r="D8215" s="6"/>
      <c r="E8215" s="6"/>
      <c r="F8215" s="6"/>
      <c r="G8215" s="115" t="b">
        <f>VLOOKUP(I8214,FS_input_noty,J8214,FALSE)=""</f>
        <v>0</v>
      </c>
      <c r="H8215" s="6" t="s">
        <v>2189</v>
      </c>
      <c r="I8215" t="s">
        <v>1561</v>
      </c>
      <c r="J8215" t="s">
        <v>1561</v>
      </c>
      <c r="L8215">
        <f t="shared" si="499"/>
        <v>1</v>
      </c>
    </row>
    <row r="8216" spans="1:12" x14ac:dyDescent="0.35">
      <c r="A8216">
        <f t="shared" si="500"/>
        <v>8215</v>
      </c>
      <c r="B8216" t="s">
        <v>753</v>
      </c>
      <c r="C8216" s="109" t="str">
        <f>IF(ISBLANK(K8216),IFERROR(VLOOKUP(I8216,FS_input_data!$C$458:$N$648,Export!J8216,FALSE),""),K8216)</f>
        <v/>
      </c>
      <c r="D8216" s="6"/>
      <c r="E8216" s="6"/>
      <c r="F8216" s="6"/>
      <c r="G8216" s="115" t="b">
        <f>VLOOKUP(I8214,FS_input_noty,J8214,FALSE)=""</f>
        <v>0</v>
      </c>
      <c r="H8216" s="6" t="s">
        <v>2189</v>
      </c>
      <c r="I8216" t="s">
        <v>1561</v>
      </c>
      <c r="J8216" t="s">
        <v>1561</v>
      </c>
      <c r="L8216" s="26" t="e">
        <f t="shared" si="499"/>
        <v>#VALUE!</v>
      </c>
    </row>
    <row r="8217" spans="1:12" x14ac:dyDescent="0.35">
      <c r="A8217">
        <f t="shared" si="500"/>
        <v>8216</v>
      </c>
      <c r="B8217" t="s">
        <v>742</v>
      </c>
      <c r="C8217" s="109" t="str">
        <f>IF(ISBLANK(K8217),IFERROR(VLOOKUP(I8217,FS_input_data!$C$458:$N$648,Export!J8217,FALSE),""),K8217)</f>
        <v/>
      </c>
      <c r="D8217" s="6"/>
      <c r="E8217" s="6"/>
      <c r="F8217" s="6"/>
      <c r="G8217" s="115" t="b">
        <f>VLOOKUP(I8214,FS_input_noty,J8214,FALSE)=""</f>
        <v>0</v>
      </c>
      <c r="H8217" s="6" t="s">
        <v>2189</v>
      </c>
      <c r="I8217" t="s">
        <v>1561</v>
      </c>
      <c r="J8217" t="s">
        <v>1561</v>
      </c>
      <c r="L8217" s="26" t="e">
        <f t="shared" si="499"/>
        <v>#VALUE!</v>
      </c>
    </row>
    <row r="8218" spans="1:12" x14ac:dyDescent="0.35">
      <c r="A8218">
        <f t="shared" si="500"/>
        <v>8217</v>
      </c>
      <c r="B8218" t="s">
        <v>748</v>
      </c>
      <c r="C8218" s="109" t="str">
        <f>IF(ISBLANK(K8218),IFERROR(VLOOKUP(I8218,FS_input_data!$C$458:$N$648,Export!J8218,FALSE),""),K8218)</f>
        <v/>
      </c>
      <c r="D8218" s="6"/>
      <c r="E8218" s="6"/>
      <c r="F8218" s="6"/>
      <c r="G8218" s="115" t="b">
        <f>VLOOKUP(I8214,FS_input_noty,J8214,FALSE)=""</f>
        <v>0</v>
      </c>
      <c r="H8218" s="6" t="s">
        <v>2189</v>
      </c>
      <c r="I8218" t="s">
        <v>1561</v>
      </c>
      <c r="J8218" t="s">
        <v>1561</v>
      </c>
      <c r="L8218" s="26" t="e">
        <f t="shared" si="499"/>
        <v>#VALUE!</v>
      </c>
    </row>
    <row r="8219" spans="1:12" x14ac:dyDescent="0.35">
      <c r="A8219" s="9">
        <f t="shared" si="500"/>
        <v>8218</v>
      </c>
      <c r="B8219" t="s">
        <v>109</v>
      </c>
      <c r="C8219" s="109">
        <f>IF(ISBLANK(K8219),IFERROR(VLOOKUP(I8219,FS_input_data!$C$458:$N$648,Export!J8219,FALSE),""),K8219)</f>
        <v>18000</v>
      </c>
      <c r="D8219" s="6" t="b">
        <v>1</v>
      </c>
      <c r="E8219" s="6"/>
      <c r="F8219" s="6"/>
      <c r="G8219" s="115" t="b">
        <f>VLOOKUP(I8214,FS_input_noty,J8214,FALSE)=""</f>
        <v>0</v>
      </c>
      <c r="H8219" s="6" t="s">
        <v>2189</v>
      </c>
      <c r="I8219" t="s">
        <v>2176</v>
      </c>
      <c r="J8219">
        <v>7</v>
      </c>
      <c r="L8219" s="26" t="e">
        <f t="shared" si="499"/>
        <v>#VALUE!</v>
      </c>
    </row>
    <row r="8220" spans="1:12" x14ac:dyDescent="0.35">
      <c r="A8220">
        <f t="shared" si="500"/>
        <v>8219</v>
      </c>
      <c r="B8220" t="s">
        <v>110</v>
      </c>
      <c r="C8220" s="109" t="str">
        <f>IF(ISBLANK(K8220),IFERROR(VLOOKUP(I8220,FS_input_data!$C$458:$N$648,Export!J8220,FALSE),""),K8220)</f>
        <v/>
      </c>
      <c r="D8220" s="6"/>
      <c r="E8220" s="6"/>
      <c r="F8220" s="6"/>
      <c r="G8220" s="115" t="b">
        <f>VLOOKUP(I8214,FS_input_noty,J8214,FALSE)=""</f>
        <v>0</v>
      </c>
      <c r="H8220" s="6" t="s">
        <v>2189</v>
      </c>
      <c r="I8220" t="s">
        <v>1561</v>
      </c>
      <c r="J8220" t="s">
        <v>1561</v>
      </c>
      <c r="L8220">
        <f t="shared" si="499"/>
        <v>1</v>
      </c>
    </row>
    <row r="8221" spans="1:12" x14ac:dyDescent="0.35">
      <c r="A8221" s="9">
        <f t="shared" si="500"/>
        <v>8220</v>
      </c>
      <c r="B8221" t="s">
        <v>111</v>
      </c>
      <c r="C8221" s="109">
        <f>IF(ISBLANK(K8221),IFERROR(VLOOKUP(I8221,FS_input_data!$C$458:$N$648,Export!J8221,FALSE),""),K8221)</f>
        <v>9000</v>
      </c>
      <c r="D8221" s="6" t="b">
        <v>0</v>
      </c>
      <c r="E8221" s="6"/>
      <c r="F8221" s="6"/>
      <c r="G8221" s="115" t="b">
        <f>VLOOKUP(I8214,FS_input_noty,J8214,TRUE)=""</f>
        <v>0</v>
      </c>
      <c r="H8221" s="6" t="s">
        <v>2189</v>
      </c>
      <c r="I8221" t="s">
        <v>2176</v>
      </c>
      <c r="J8221">
        <v>8</v>
      </c>
      <c r="L8221" s="26" t="e">
        <f t="shared" si="499"/>
        <v>#VALUE!</v>
      </c>
    </row>
    <row r="8222" spans="1:12" x14ac:dyDescent="0.35">
      <c r="A8222">
        <f t="shared" si="500"/>
        <v>8221</v>
      </c>
      <c r="B8222" t="s">
        <v>112</v>
      </c>
      <c r="C8222" s="109" t="str">
        <f>IF(ISBLANK(K8222),IFERROR(VLOOKUP(I8222,FS_input_data!$C$458:$N$648,Export!J8222,FALSE),""),K8222)</f>
        <v/>
      </c>
      <c r="D8222" s="6"/>
      <c r="E8222" s="6"/>
      <c r="F8222" s="6"/>
      <c r="G8222" s="115" t="b">
        <f>VLOOKUP(I8214,FS_input_noty,J8214,FALSE)=""</f>
        <v>0</v>
      </c>
      <c r="H8222" s="6" t="s">
        <v>2189</v>
      </c>
      <c r="I8222" t="s">
        <v>1561</v>
      </c>
      <c r="J8222" t="s">
        <v>1561</v>
      </c>
      <c r="L8222">
        <f t="shared" si="499"/>
        <v>1</v>
      </c>
    </row>
    <row r="8223" spans="1:12" x14ac:dyDescent="0.35">
      <c r="A8223" s="9">
        <f t="shared" si="500"/>
        <v>8222</v>
      </c>
      <c r="B8223" t="s">
        <v>749</v>
      </c>
      <c r="C8223" s="109">
        <f>IF(ISBLANK(K8223),IFERROR(VLOOKUP(I8223,FS_input_data!$C$458:$N$648,Export!J8223,FALSE),""),K8223)</f>
        <v>9000</v>
      </c>
      <c r="D8223" s="6" t="b">
        <v>0</v>
      </c>
      <c r="E8223" s="6"/>
      <c r="F8223" s="6"/>
      <c r="G8223" s="115" t="b">
        <f>VLOOKUP(I8214,FS_input_noty,J8214,FALSE)=""</f>
        <v>0</v>
      </c>
      <c r="H8223" s="6" t="s">
        <v>2189</v>
      </c>
      <c r="I8223" t="s">
        <v>2176</v>
      </c>
      <c r="J8223">
        <v>9</v>
      </c>
      <c r="L8223" s="26" t="e">
        <f t="shared" si="499"/>
        <v>#VALUE!</v>
      </c>
    </row>
    <row r="8224" spans="1:12" x14ac:dyDescent="0.35">
      <c r="A8224">
        <f t="shared" si="500"/>
        <v>8223</v>
      </c>
      <c r="B8224" t="s">
        <v>750</v>
      </c>
      <c r="C8224" s="109" t="str">
        <f>IF(ISBLANK(K8224),IFERROR(VLOOKUP(I8224,FS_input_data!$C$458:$N$648,Export!J8224,FALSE),""),K8224)</f>
        <v/>
      </c>
      <c r="D8224" s="6"/>
      <c r="E8224" s="6"/>
      <c r="F8224" s="6"/>
      <c r="G8224" s="115" t="b">
        <f>VLOOKUP(I8214,FS_input_noty,J8214,FALSE)=""</f>
        <v>0</v>
      </c>
      <c r="H8224" s="6" t="s">
        <v>2189</v>
      </c>
      <c r="I8224" t="s">
        <v>1561</v>
      </c>
      <c r="J8224" t="s">
        <v>1561</v>
      </c>
      <c r="L8224">
        <f t="shared" si="499"/>
        <v>1</v>
      </c>
    </row>
    <row r="8225" spans="1:12" x14ac:dyDescent="0.35">
      <c r="A8225">
        <f t="shared" si="500"/>
        <v>8224</v>
      </c>
      <c r="B8225" t="s">
        <v>751</v>
      </c>
      <c r="C8225" s="109" t="str">
        <f>IF(ISBLANK(K8225),IFERROR(VLOOKUP(I8225,FS_input_data!$C$458:$N$648,Export!J8225,FALSE),""),K8225)</f>
        <v/>
      </c>
      <c r="D8225" s="6"/>
      <c r="E8225" s="6"/>
      <c r="F8225" s="6"/>
      <c r="G8225" s="115" t="b">
        <f>VLOOKUP(I8214,FS_input_noty,J8214,FALSE)=""</f>
        <v>0</v>
      </c>
      <c r="H8225" s="6" t="s">
        <v>2189</v>
      </c>
      <c r="I8225" t="s">
        <v>1561</v>
      </c>
      <c r="J8225" t="s">
        <v>1561</v>
      </c>
      <c r="L8225">
        <f t="shared" si="499"/>
        <v>1</v>
      </c>
    </row>
    <row r="8226" spans="1:12" x14ac:dyDescent="0.35">
      <c r="A8226">
        <f t="shared" si="500"/>
        <v>8225</v>
      </c>
      <c r="B8226" t="s">
        <v>754</v>
      </c>
      <c r="C8226" s="109" t="str">
        <f>IF(ISBLANK(K8226),IFERROR(VLOOKUP(I8226,FS_input_data!$C$458:$N$648,Export!J8226,FALSE),""),K8226)</f>
        <v/>
      </c>
      <c r="D8226" s="6"/>
      <c r="E8226" s="6"/>
      <c r="F8226" s="6"/>
      <c r="G8226" s="115" t="b">
        <f>VLOOKUP(I8214,FS_input_noty,J8214,FALSE)=""</f>
        <v>0</v>
      </c>
      <c r="H8226" s="6" t="s">
        <v>2189</v>
      </c>
      <c r="I8226" t="s">
        <v>1561</v>
      </c>
      <c r="J8226" t="s">
        <v>1561</v>
      </c>
      <c r="L8226" s="26" t="e">
        <f t="shared" si="499"/>
        <v>#VALUE!</v>
      </c>
    </row>
    <row r="8227" spans="1:12" x14ac:dyDescent="0.35">
      <c r="A8227" s="9">
        <f t="shared" si="500"/>
        <v>8226</v>
      </c>
      <c r="B8227" t="s">
        <v>755</v>
      </c>
      <c r="C8227" s="109">
        <f>IF(ISBLANK(K8227),IFERROR(VLOOKUP(I8227,FS_input_data!$C$458:$N$648,Export!J8227,FALSE),""),K8227)</f>
        <v>184</v>
      </c>
      <c r="D8227" s="6" t="b">
        <v>1</v>
      </c>
      <c r="E8227" s="6"/>
      <c r="F8227" s="6"/>
      <c r="G8227" s="115" t="b">
        <f>VLOOKUP(I8214,FS_input_noty,J8214,FALSE)=""</f>
        <v>0</v>
      </c>
      <c r="H8227" s="6" t="s">
        <v>2189</v>
      </c>
      <c r="I8227" t="s">
        <v>2176</v>
      </c>
      <c r="J8227">
        <v>2</v>
      </c>
      <c r="L8227" s="26" t="e">
        <f t="shared" si="499"/>
        <v>#VALUE!</v>
      </c>
    </row>
    <row r="8228" spans="1:12" x14ac:dyDescent="0.35">
      <c r="A8228">
        <f t="shared" si="500"/>
        <v>8227</v>
      </c>
      <c r="B8228" t="s">
        <v>756</v>
      </c>
      <c r="C8228" s="109" t="str">
        <f>IF(ISBLANK(K8228),IFERROR(VLOOKUP(I8228,FS_input_data!$C$458:$N$648,Export!J8228,FALSE),""),K8228)</f>
        <v/>
      </c>
      <c r="D8228" s="6"/>
      <c r="E8228" s="6"/>
      <c r="F8228" s="6"/>
      <c r="G8228" s="115" t="b">
        <f>VLOOKUP(I8214,FS_input_noty,J8214,FALSE)=""</f>
        <v>0</v>
      </c>
      <c r="H8228" s="6" t="s">
        <v>2189</v>
      </c>
      <c r="I8228" t="s">
        <v>1561</v>
      </c>
      <c r="J8228" t="s">
        <v>1561</v>
      </c>
      <c r="L8228">
        <f t="shared" si="499"/>
        <v>1</v>
      </c>
    </row>
    <row r="8229" spans="1:12" x14ac:dyDescent="0.35">
      <c r="A8229" s="9">
        <f t="shared" si="500"/>
        <v>8228</v>
      </c>
      <c r="B8229" t="s">
        <v>757</v>
      </c>
      <c r="C8229" s="109">
        <f>IF(ISBLANK(K8229),IFERROR(VLOOKUP(I8229,FS_input_data!$C$458:$N$648,Export!J8229,FALSE),""),K8229)</f>
        <v>284</v>
      </c>
      <c r="D8229" s="6" t="b">
        <v>0</v>
      </c>
      <c r="E8229" s="6"/>
      <c r="F8229" s="6"/>
      <c r="G8229" s="115" t="b">
        <f>VLOOKUP(I8214,FS_input_noty,J8214,FALSE)=""</f>
        <v>0</v>
      </c>
      <c r="H8229" s="6" t="s">
        <v>2189</v>
      </c>
      <c r="I8229" t="s">
        <v>2176</v>
      </c>
      <c r="J8229">
        <v>3</v>
      </c>
      <c r="L8229" s="26" t="e">
        <f t="shared" si="499"/>
        <v>#VALUE!</v>
      </c>
    </row>
    <row r="8230" spans="1:12" x14ac:dyDescent="0.35">
      <c r="A8230">
        <f t="shared" si="500"/>
        <v>8229</v>
      </c>
      <c r="B8230" t="s">
        <v>758</v>
      </c>
      <c r="C8230" s="109" t="str">
        <f>IF(ISBLANK(K8230),IFERROR(VLOOKUP(I8230,FS_input_data!$C$458:$N$648,Export!J8230,FALSE),""),K8230)</f>
        <v/>
      </c>
      <c r="D8230" s="6"/>
      <c r="E8230" s="6"/>
      <c r="F8230" s="6"/>
      <c r="G8230" s="115" t="b">
        <f>VLOOKUP(I8214,FS_input_noty,J8214,FALSE)=""</f>
        <v>0</v>
      </c>
      <c r="H8230" s="6" t="s">
        <v>2189</v>
      </c>
      <c r="I8230" t="s">
        <v>1561</v>
      </c>
      <c r="J8230" t="s">
        <v>1561</v>
      </c>
      <c r="L8230">
        <f t="shared" si="499"/>
        <v>1</v>
      </c>
    </row>
    <row r="8231" spans="1:12" x14ac:dyDescent="0.35">
      <c r="A8231" s="9">
        <f t="shared" si="500"/>
        <v>8230</v>
      </c>
      <c r="B8231" t="s">
        <v>759</v>
      </c>
      <c r="C8231" s="109">
        <f>IF(ISBLANK(K8231),IFERROR(VLOOKUP(I8231,FS_input_data!$C$458:$N$648,Export!J8231,FALSE),""),K8231)</f>
        <v>384</v>
      </c>
      <c r="D8231" s="6" t="b">
        <v>0</v>
      </c>
      <c r="E8231" s="6"/>
      <c r="F8231" s="6"/>
      <c r="G8231" s="115" t="b">
        <f>VLOOKUP(I8214,FS_input_noty,J8214,FALSE)=""</f>
        <v>0</v>
      </c>
      <c r="H8231" s="6" t="s">
        <v>2189</v>
      </c>
      <c r="I8231" t="s">
        <v>2176</v>
      </c>
      <c r="J8231">
        <v>4</v>
      </c>
      <c r="L8231" s="26" t="e">
        <f t="shared" si="499"/>
        <v>#VALUE!</v>
      </c>
    </row>
    <row r="8232" spans="1:12" x14ac:dyDescent="0.35">
      <c r="A8232">
        <f t="shared" si="500"/>
        <v>8231</v>
      </c>
      <c r="B8232" t="s">
        <v>760</v>
      </c>
      <c r="C8232" s="109" t="str">
        <f>IF(ISBLANK(K8232),IFERROR(VLOOKUP(I8232,FS_input_data!$C$458:$N$648,Export!J8232,FALSE),""),K8232)</f>
        <v/>
      </c>
      <c r="D8232" s="6"/>
      <c r="E8232" s="6"/>
      <c r="F8232" s="6"/>
      <c r="G8232" s="115" t="b">
        <f>VLOOKUP(I8214,FS_input_noty,J8214,FALSE)=""</f>
        <v>0</v>
      </c>
      <c r="H8232" s="6" t="s">
        <v>2189</v>
      </c>
      <c r="I8232" t="s">
        <v>1561</v>
      </c>
      <c r="J8232" t="s">
        <v>1561</v>
      </c>
      <c r="L8232">
        <f t="shared" si="499"/>
        <v>1</v>
      </c>
    </row>
    <row r="8233" spans="1:12" x14ac:dyDescent="0.35">
      <c r="A8233" s="9">
        <f t="shared" si="500"/>
        <v>8232</v>
      </c>
      <c r="B8233" t="s">
        <v>761</v>
      </c>
      <c r="C8233" s="109" t="str">
        <f>IF(ISBLANK(K8233),IFERROR(VLOOKUP(I8233,FS_input_data!$C$458:$N$648,Export!J8233,FALSE),""),K8233)</f>
        <v>h</v>
      </c>
      <c r="D8233" s="6" t="b">
        <v>0</v>
      </c>
      <c r="E8233" s="6"/>
      <c r="F8233" s="6"/>
      <c r="G8233" s="115" t="b">
        <f>VLOOKUP(I8214,FS_input_noty,J8214,FALSE)=""</f>
        <v>0</v>
      </c>
      <c r="H8233" s="6" t="s">
        <v>2189</v>
      </c>
      <c r="I8233" t="s">
        <v>2176</v>
      </c>
      <c r="J8233">
        <v>5</v>
      </c>
      <c r="L8233" s="26" t="e">
        <f t="shared" si="499"/>
        <v>#VALUE!</v>
      </c>
    </row>
    <row r="8234" spans="1:12" x14ac:dyDescent="0.35">
      <c r="A8234">
        <f t="shared" si="500"/>
        <v>8233</v>
      </c>
      <c r="B8234" t="s">
        <v>762</v>
      </c>
      <c r="C8234" s="109" t="str">
        <f>IF(ISBLANK(K8234),IFERROR(VLOOKUP(I8234,FS_input_data!$C$458:$N$648,Export!J8234,FALSE),""),K8234)</f>
        <v/>
      </c>
      <c r="D8234" s="6"/>
      <c r="E8234" s="6"/>
      <c r="F8234" s="6"/>
      <c r="G8234" s="115" t="b">
        <f>VLOOKUP(I8214,FS_input_noty,J8214,FALSE)=""</f>
        <v>0</v>
      </c>
      <c r="H8234" s="6" t="s">
        <v>2189</v>
      </c>
      <c r="I8234" t="s">
        <v>1561</v>
      </c>
      <c r="J8234" t="s">
        <v>1561</v>
      </c>
      <c r="L8234">
        <f t="shared" si="499"/>
        <v>1</v>
      </c>
    </row>
    <row r="8235" spans="1:12" x14ac:dyDescent="0.35">
      <c r="A8235">
        <f t="shared" si="500"/>
        <v>8234</v>
      </c>
      <c r="B8235" t="s">
        <v>763</v>
      </c>
      <c r="C8235" s="109" t="str">
        <f>IF(ISBLANK(K8235),IFERROR(VLOOKUP(I8235,FS_input_data!$C$458:$N$648,Export!J8235,FALSE),""),K8235)</f>
        <v/>
      </c>
      <c r="D8235" s="6"/>
      <c r="E8235" s="6"/>
      <c r="F8235" s="6"/>
      <c r="G8235" s="115" t="b">
        <f>VLOOKUP(I8214,FS_input_noty,J8214,FALSE)=""</f>
        <v>0</v>
      </c>
      <c r="H8235" s="6" t="s">
        <v>2189</v>
      </c>
      <c r="I8235" t="s">
        <v>1561</v>
      </c>
      <c r="J8235" t="s">
        <v>1561</v>
      </c>
      <c r="L8235">
        <f t="shared" si="499"/>
        <v>1</v>
      </c>
    </row>
    <row r="8236" spans="1:12" x14ac:dyDescent="0.35">
      <c r="A8236">
        <f t="shared" si="500"/>
        <v>8235</v>
      </c>
      <c r="B8236" t="s">
        <v>743</v>
      </c>
      <c r="C8236" s="109" t="str">
        <f>IF(ISBLANK(K8236),IFERROR(VLOOKUP(I8236,FS_input_data!$C$458:$N$648,Export!J8236,FALSE),""),K8236)</f>
        <v/>
      </c>
      <c r="D8236" s="6"/>
      <c r="E8236" s="6"/>
      <c r="F8236" s="6"/>
      <c r="G8236" s="115" t="b">
        <f>VLOOKUP(I8214,FS_input_noty,J8214,FALSE)=""</f>
        <v>0</v>
      </c>
      <c r="H8236" s="6" t="s">
        <v>2189</v>
      </c>
      <c r="I8236" t="s">
        <v>1561</v>
      </c>
      <c r="J8236" t="s">
        <v>1561</v>
      </c>
      <c r="L8236">
        <f t="shared" si="499"/>
        <v>1</v>
      </c>
    </row>
    <row r="8237" spans="1:12" x14ac:dyDescent="0.35">
      <c r="A8237">
        <f t="shared" si="500"/>
        <v>8236</v>
      </c>
      <c r="B8237" t="s">
        <v>744</v>
      </c>
      <c r="C8237" s="109" t="str">
        <f>IF(ISBLANK(K8237),IFERROR(VLOOKUP(I8237,FS_input_data!$C$458:$N$648,Export!J8237,FALSE),""),K8237)</f>
        <v/>
      </c>
      <c r="D8237" s="6"/>
      <c r="E8237" s="6"/>
      <c r="F8237" s="6"/>
      <c r="G8237" s="115" t="b">
        <f t="shared" ref="G8237:G8244" si="502">RP_tax</f>
        <v>1</v>
      </c>
      <c r="H8237" s="6" t="s">
        <v>2189</v>
      </c>
      <c r="I8237" t="s">
        <v>1561</v>
      </c>
      <c r="J8237" t="s">
        <v>1561</v>
      </c>
      <c r="L8237" s="26" t="e">
        <f t="shared" si="499"/>
        <v>#VALUE!</v>
      </c>
    </row>
    <row r="8238" spans="1:12" x14ac:dyDescent="0.35">
      <c r="A8238" s="9">
        <f t="shared" si="500"/>
        <v>8237</v>
      </c>
      <c r="B8238" t="s">
        <v>109</v>
      </c>
      <c r="C8238" s="109">
        <f>IF(ISBLANK(K8238),IFERROR(VLOOKUP(I8238,FS_input_data!$C$458:$N$648,Export!J8238,FALSE),""),K8238)</f>
        <v>18000</v>
      </c>
      <c r="D8238" s="6" t="b">
        <v>1</v>
      </c>
      <c r="E8238" s="6"/>
      <c r="F8238" s="6"/>
      <c r="G8238" s="115" t="b">
        <f t="shared" si="502"/>
        <v>1</v>
      </c>
      <c r="H8238" s="6" t="s">
        <v>2189</v>
      </c>
      <c r="I8238" t="s">
        <v>2176</v>
      </c>
      <c r="J8238">
        <v>10</v>
      </c>
      <c r="L8238" s="26" t="e">
        <f t="shared" si="499"/>
        <v>#VALUE!</v>
      </c>
    </row>
    <row r="8239" spans="1:12" x14ac:dyDescent="0.35">
      <c r="A8239">
        <f t="shared" si="500"/>
        <v>8238</v>
      </c>
      <c r="B8239" t="s">
        <v>110</v>
      </c>
      <c r="C8239" s="109" t="str">
        <f>IF(ISBLANK(K8239),IFERROR(VLOOKUP(I8239,FS_input_data!$C$458:$N$648,Export!J8239,FALSE),""),K8239)</f>
        <v/>
      </c>
      <c r="D8239" s="6"/>
      <c r="E8239" s="6"/>
      <c r="F8239" s="6"/>
      <c r="G8239" s="115" t="b">
        <f t="shared" si="502"/>
        <v>1</v>
      </c>
      <c r="H8239" s="6" t="s">
        <v>2189</v>
      </c>
      <c r="I8239" t="s">
        <v>1561</v>
      </c>
      <c r="J8239" t="s">
        <v>1561</v>
      </c>
      <c r="L8239">
        <f t="shared" si="499"/>
        <v>1</v>
      </c>
    </row>
    <row r="8240" spans="1:12" x14ac:dyDescent="0.35">
      <c r="A8240" s="9">
        <f t="shared" si="500"/>
        <v>8239</v>
      </c>
      <c r="B8240" t="s">
        <v>111</v>
      </c>
      <c r="C8240" s="109">
        <f>IF(ISBLANK(K8240),IFERROR(VLOOKUP(I8240,FS_input_data!$C$458:$N$648,Export!J8240,FALSE),""),K8240)</f>
        <v>9000</v>
      </c>
      <c r="D8240" s="6" t="b">
        <v>0</v>
      </c>
      <c r="E8240" s="6"/>
      <c r="F8240" s="6"/>
      <c r="G8240" s="115" t="b">
        <f t="shared" si="502"/>
        <v>1</v>
      </c>
      <c r="H8240" s="6" t="s">
        <v>2189</v>
      </c>
      <c r="I8240" t="s">
        <v>2176</v>
      </c>
      <c r="J8240">
        <v>11</v>
      </c>
      <c r="L8240" s="26" t="e">
        <f t="shared" si="499"/>
        <v>#VALUE!</v>
      </c>
    </row>
    <row r="8241" spans="1:12" x14ac:dyDescent="0.35">
      <c r="A8241">
        <f t="shared" si="500"/>
        <v>8240</v>
      </c>
      <c r="B8241" t="s">
        <v>112</v>
      </c>
      <c r="C8241" s="109" t="str">
        <f>IF(ISBLANK(K8241),IFERROR(VLOOKUP(I8241,FS_input_data!$C$458:$N$648,Export!J8241,FALSE),""),K8241)</f>
        <v/>
      </c>
      <c r="D8241" s="6"/>
      <c r="E8241" s="6"/>
      <c r="F8241" s="6"/>
      <c r="G8241" s="115" t="b">
        <f t="shared" si="502"/>
        <v>1</v>
      </c>
      <c r="H8241" s="6" t="s">
        <v>2189</v>
      </c>
      <c r="I8241" t="s">
        <v>1561</v>
      </c>
      <c r="J8241" t="s">
        <v>1561</v>
      </c>
      <c r="L8241">
        <f t="shared" si="499"/>
        <v>1</v>
      </c>
    </row>
    <row r="8242" spans="1:12" x14ac:dyDescent="0.35">
      <c r="A8242" s="9">
        <f t="shared" si="500"/>
        <v>8241</v>
      </c>
      <c r="B8242" t="s">
        <v>749</v>
      </c>
      <c r="C8242" s="109">
        <f>IF(ISBLANK(K8242),IFERROR(VLOOKUP(I8242,FS_input_data!$C$458:$N$648,Export!J8242,FALSE),""),K8242)</f>
        <v>9000</v>
      </c>
      <c r="D8242" s="6" t="b">
        <v>0</v>
      </c>
      <c r="E8242" s="6"/>
      <c r="F8242" s="6"/>
      <c r="G8242" s="115" t="b">
        <f t="shared" si="502"/>
        <v>1</v>
      </c>
      <c r="H8242" s="6" t="s">
        <v>2189</v>
      </c>
      <c r="I8242" t="s">
        <v>2176</v>
      </c>
      <c r="J8242">
        <v>12</v>
      </c>
      <c r="L8242" s="26" t="e">
        <f t="shared" si="499"/>
        <v>#VALUE!</v>
      </c>
    </row>
    <row r="8243" spans="1:12" x14ac:dyDescent="0.35">
      <c r="A8243">
        <f t="shared" si="500"/>
        <v>8242</v>
      </c>
      <c r="B8243" t="s">
        <v>750</v>
      </c>
      <c r="C8243" s="109" t="str">
        <f>IF(ISBLANK(K8243),IFERROR(VLOOKUP(I8243,FS_input_data!$C$458:$N$648,Export!J8243,FALSE),""),K8243)</f>
        <v/>
      </c>
      <c r="D8243" s="6"/>
      <c r="E8243" s="6"/>
      <c r="F8243" s="6"/>
      <c r="G8243" s="115" t="b">
        <f t="shared" si="502"/>
        <v>1</v>
      </c>
      <c r="H8243" s="6" t="s">
        <v>2189</v>
      </c>
      <c r="I8243" t="s">
        <v>1561</v>
      </c>
      <c r="J8243" t="s">
        <v>1561</v>
      </c>
      <c r="L8243">
        <f t="shared" si="499"/>
        <v>1</v>
      </c>
    </row>
    <row r="8244" spans="1:12" x14ac:dyDescent="0.35">
      <c r="A8244">
        <f t="shared" si="500"/>
        <v>8243</v>
      </c>
      <c r="B8244" t="s">
        <v>745</v>
      </c>
      <c r="C8244" s="109" t="str">
        <f>IF(ISBLANK(K8244),IFERROR(VLOOKUP(I8244,FS_input_data!$C$458:$N$648,Export!J8244,FALSE),""),K8244)</f>
        <v/>
      </c>
      <c r="D8244" s="6"/>
      <c r="E8244" s="6"/>
      <c r="F8244" s="6"/>
      <c r="G8244" s="115" t="b">
        <f t="shared" si="502"/>
        <v>1</v>
      </c>
      <c r="H8244" s="6" t="s">
        <v>2189</v>
      </c>
      <c r="I8244" t="s">
        <v>1561</v>
      </c>
      <c r="J8244" t="s">
        <v>1561</v>
      </c>
      <c r="L8244">
        <f t="shared" si="499"/>
        <v>1</v>
      </c>
    </row>
    <row r="8245" spans="1:12" x14ac:dyDescent="0.35">
      <c r="A8245">
        <f t="shared" si="500"/>
        <v>8244</v>
      </c>
      <c r="B8245" t="s">
        <v>764</v>
      </c>
      <c r="C8245" s="109" t="str">
        <f>IF(ISBLANK(K8245),IFERROR(VLOOKUP(I8245,FS_input_data!$C$458:$N$648,Export!J8245,FALSE),""),K8245)</f>
        <v/>
      </c>
      <c r="D8245" s="6"/>
      <c r="E8245" s="6"/>
      <c r="F8245" s="6"/>
      <c r="G8245" s="115" t="b">
        <f>VLOOKUP(I8214,FS_input_noty,J8214,FALSE)=""</f>
        <v>0</v>
      </c>
      <c r="H8245" s="6" t="s">
        <v>2189</v>
      </c>
      <c r="I8245" t="s">
        <v>1561</v>
      </c>
      <c r="J8245" t="s">
        <v>1561</v>
      </c>
      <c r="L8245">
        <f t="shared" si="499"/>
        <v>1</v>
      </c>
    </row>
    <row r="8246" spans="1:12" x14ac:dyDescent="0.35">
      <c r="A8246">
        <f t="shared" si="500"/>
        <v>8245</v>
      </c>
      <c r="B8246" t="s">
        <v>765</v>
      </c>
      <c r="C8246" s="109" t="str">
        <f>IF(ISBLANK(K8246),IFERROR(VLOOKUP(I8246,FS_input_data!$C$458:$N$648,Export!J8246,FALSE),""),K8246)</f>
        <v/>
      </c>
      <c r="D8246" s="6"/>
      <c r="E8246" s="6"/>
      <c r="F8246" s="6"/>
      <c r="G8246" s="115" t="b">
        <f>VLOOKUP(I8214,FS_input_noty,J8214,FALSE)=""</f>
        <v>0</v>
      </c>
      <c r="H8246" s="6" t="s">
        <v>2189</v>
      </c>
      <c r="I8246" t="s">
        <v>1561</v>
      </c>
      <c r="J8246" t="s">
        <v>1561</v>
      </c>
      <c r="L8246">
        <f t="shared" si="499"/>
        <v>1</v>
      </c>
    </row>
    <row r="8247" spans="1:12" x14ac:dyDescent="0.35">
      <c r="A8247">
        <f t="shared" si="500"/>
        <v>8246</v>
      </c>
      <c r="B8247" t="s">
        <v>752</v>
      </c>
      <c r="C8247" s="109" t="str">
        <f>IF(ISBLANK(K8247),IFERROR(VLOOKUP(I8247,FS_input_data!$C$458:$N$648,Export!J8247,FALSE),""),K8247)</f>
        <v/>
      </c>
      <c r="D8247" s="6"/>
      <c r="E8247" s="6"/>
      <c r="F8247" s="6"/>
      <c r="G8247" s="115" t="b">
        <f>VLOOKUP(I8248,FS_input_noty,J8248,FALSE)=""</f>
        <v>0</v>
      </c>
      <c r="H8247" s="6" t="s">
        <v>2189</v>
      </c>
      <c r="I8247" t="s">
        <v>1561</v>
      </c>
      <c r="J8247" t="s">
        <v>1561</v>
      </c>
      <c r="L8247" s="26" t="e">
        <f t="shared" si="499"/>
        <v>#VALUE!</v>
      </c>
    </row>
    <row r="8248" spans="1:12" x14ac:dyDescent="0.35">
      <c r="A8248" s="9">
        <f t="shared" si="500"/>
        <v>8247</v>
      </c>
      <c r="B8248" t="s">
        <v>101</v>
      </c>
      <c r="C8248" s="109" t="str">
        <f>IF(ISBLANK(K8248),IFERROR(VLOOKUP(I8248,FS_input_data!$C$458:$N$648,Export!J8248,FALSE),""),K8248)</f>
        <v>OC162</v>
      </c>
      <c r="D8248" s="6" t="b">
        <v>1</v>
      </c>
      <c r="E8248" s="6"/>
      <c r="F8248" s="6"/>
      <c r="G8248" s="115" t="b">
        <f>VLOOKUP(I8248,FS_input_noty,J8248,FALSE)=""</f>
        <v>0</v>
      </c>
      <c r="H8248" s="6" t="s">
        <v>2189</v>
      </c>
      <c r="I8248" t="s">
        <v>2178</v>
      </c>
      <c r="J8248">
        <v>6</v>
      </c>
      <c r="L8248" s="26" t="e">
        <f t="shared" si="499"/>
        <v>#VALUE!</v>
      </c>
    </row>
    <row r="8249" spans="1:12" x14ac:dyDescent="0.35">
      <c r="A8249">
        <f t="shared" si="500"/>
        <v>8248</v>
      </c>
      <c r="B8249" t="s">
        <v>102</v>
      </c>
      <c r="C8249" s="109" t="str">
        <f>IF(ISBLANK(K8249),IFERROR(VLOOKUP(I8249,FS_input_data!$C$458:$N$648,Export!J8249,FALSE),""),K8249)</f>
        <v/>
      </c>
      <c r="D8249" s="6"/>
      <c r="E8249" s="6"/>
      <c r="F8249" s="6"/>
      <c r="G8249" s="115" t="b">
        <f>VLOOKUP(I8248,FS_input_noty,J8248,FALSE)=""</f>
        <v>0</v>
      </c>
      <c r="H8249" s="6" t="s">
        <v>2189</v>
      </c>
      <c r="I8249" t="s">
        <v>1561</v>
      </c>
      <c r="J8249" t="s">
        <v>1561</v>
      </c>
      <c r="L8249">
        <f t="shared" si="499"/>
        <v>1</v>
      </c>
    </row>
    <row r="8250" spans="1:12" x14ac:dyDescent="0.35">
      <c r="A8250">
        <f t="shared" si="500"/>
        <v>8249</v>
      </c>
      <c r="B8250" t="s">
        <v>753</v>
      </c>
      <c r="C8250" s="109" t="str">
        <f>IF(ISBLANK(K8250),IFERROR(VLOOKUP(I8250,FS_input_data!$C$458:$N$648,Export!J8250,FALSE),""),K8250)</f>
        <v/>
      </c>
      <c r="D8250" s="6"/>
      <c r="E8250" s="6"/>
      <c r="F8250" s="6"/>
      <c r="G8250" s="115" t="b">
        <f>VLOOKUP(I8248,FS_input_noty,J8248,FALSE)=""</f>
        <v>0</v>
      </c>
      <c r="H8250" s="6" t="s">
        <v>2189</v>
      </c>
      <c r="I8250" t="s">
        <v>1561</v>
      </c>
      <c r="J8250" t="s">
        <v>1561</v>
      </c>
      <c r="L8250" s="26" t="e">
        <f t="shared" si="499"/>
        <v>#VALUE!</v>
      </c>
    </row>
    <row r="8251" spans="1:12" x14ac:dyDescent="0.35">
      <c r="A8251">
        <f t="shared" si="500"/>
        <v>8250</v>
      </c>
      <c r="B8251" t="s">
        <v>742</v>
      </c>
      <c r="C8251" s="109" t="str">
        <f>IF(ISBLANK(K8251),IFERROR(VLOOKUP(I8251,FS_input_data!$C$458:$N$648,Export!J8251,FALSE),""),K8251)</f>
        <v/>
      </c>
      <c r="D8251" s="6"/>
      <c r="E8251" s="6"/>
      <c r="F8251" s="6"/>
      <c r="G8251" s="115" t="b">
        <f>VLOOKUP(I8248,FS_input_noty,J8248,FALSE)=""</f>
        <v>0</v>
      </c>
      <c r="H8251" s="6" t="s">
        <v>2189</v>
      </c>
      <c r="I8251" t="s">
        <v>1561</v>
      </c>
      <c r="J8251" t="s">
        <v>1561</v>
      </c>
      <c r="L8251" s="26" t="e">
        <f t="shared" si="499"/>
        <v>#VALUE!</v>
      </c>
    </row>
    <row r="8252" spans="1:12" x14ac:dyDescent="0.35">
      <c r="A8252">
        <f t="shared" si="500"/>
        <v>8251</v>
      </c>
      <c r="B8252" t="s">
        <v>748</v>
      </c>
      <c r="C8252" s="109" t="str">
        <f>IF(ISBLANK(K8252),IFERROR(VLOOKUP(I8252,FS_input_data!$C$458:$N$648,Export!J8252,FALSE),""),K8252)</f>
        <v/>
      </c>
      <c r="D8252" s="6"/>
      <c r="E8252" s="6"/>
      <c r="F8252" s="6"/>
      <c r="G8252" s="115" t="b">
        <f>VLOOKUP(I8248,FS_input_noty,J8248,FALSE)=""</f>
        <v>0</v>
      </c>
      <c r="H8252" s="6" t="s">
        <v>2189</v>
      </c>
      <c r="I8252" t="s">
        <v>1561</v>
      </c>
      <c r="J8252" t="s">
        <v>1561</v>
      </c>
      <c r="L8252" s="26" t="e">
        <f t="shared" si="499"/>
        <v>#VALUE!</v>
      </c>
    </row>
    <row r="8253" spans="1:12" x14ac:dyDescent="0.35">
      <c r="A8253" s="9">
        <f t="shared" si="500"/>
        <v>8252</v>
      </c>
      <c r="B8253" t="s">
        <v>109</v>
      </c>
      <c r="C8253" s="109">
        <f>IF(ISBLANK(K8253),IFERROR(VLOOKUP(I8253,FS_input_data!$C$458:$N$648,Export!J8253,FALSE),""),K8253)</f>
        <v>19000</v>
      </c>
      <c r="D8253" s="6" t="b">
        <v>1</v>
      </c>
      <c r="E8253" s="6"/>
      <c r="F8253" s="6"/>
      <c r="G8253" s="115" t="b">
        <f>VLOOKUP(I8248,FS_input_noty,J8248,FALSE)=""</f>
        <v>0</v>
      </c>
      <c r="H8253" s="6" t="s">
        <v>2189</v>
      </c>
      <c r="I8253" t="s">
        <v>2178</v>
      </c>
      <c r="J8253">
        <v>7</v>
      </c>
      <c r="L8253" s="26" t="e">
        <f t="shared" si="499"/>
        <v>#VALUE!</v>
      </c>
    </row>
    <row r="8254" spans="1:12" x14ac:dyDescent="0.35">
      <c r="A8254">
        <f t="shared" si="500"/>
        <v>8253</v>
      </c>
      <c r="B8254" t="s">
        <v>110</v>
      </c>
      <c r="C8254" s="109" t="str">
        <f>IF(ISBLANK(K8254),IFERROR(VLOOKUP(I8254,FS_input_data!$C$458:$N$648,Export!J8254,FALSE),""),K8254)</f>
        <v/>
      </c>
      <c r="D8254" s="6"/>
      <c r="E8254" s="6"/>
      <c r="F8254" s="6"/>
      <c r="G8254" s="115" t="b">
        <f>VLOOKUP(I8248,FS_input_noty,J8248,FALSE)=""</f>
        <v>0</v>
      </c>
      <c r="H8254" s="6" t="s">
        <v>2189</v>
      </c>
      <c r="I8254" t="s">
        <v>1561</v>
      </c>
      <c r="J8254" t="s">
        <v>1561</v>
      </c>
      <c r="L8254">
        <f t="shared" si="499"/>
        <v>1</v>
      </c>
    </row>
    <row r="8255" spans="1:12" x14ac:dyDescent="0.35">
      <c r="A8255" s="9">
        <f t="shared" si="500"/>
        <v>8254</v>
      </c>
      <c r="B8255" t="s">
        <v>111</v>
      </c>
      <c r="C8255" s="109">
        <f>IF(ISBLANK(K8255),IFERROR(VLOOKUP(I8255,FS_input_data!$C$458:$N$648,Export!J8255,FALSE),""),K8255)</f>
        <v>9500</v>
      </c>
      <c r="D8255" s="6" t="b">
        <v>0</v>
      </c>
      <c r="E8255" s="6"/>
      <c r="F8255" s="6"/>
      <c r="G8255" s="115" t="b">
        <f>VLOOKUP(I8248,FS_input_noty,J8248,TRUE)=""</f>
        <v>0</v>
      </c>
      <c r="H8255" s="6" t="s">
        <v>2189</v>
      </c>
      <c r="I8255" t="s">
        <v>2178</v>
      </c>
      <c r="J8255">
        <v>8</v>
      </c>
      <c r="L8255" s="26" t="e">
        <f t="shared" si="499"/>
        <v>#VALUE!</v>
      </c>
    </row>
    <row r="8256" spans="1:12" x14ac:dyDescent="0.35">
      <c r="A8256">
        <f t="shared" si="500"/>
        <v>8255</v>
      </c>
      <c r="B8256" t="s">
        <v>112</v>
      </c>
      <c r="C8256" s="109" t="str">
        <f>IF(ISBLANK(K8256),IFERROR(VLOOKUP(I8256,FS_input_data!$C$458:$N$648,Export!J8256,FALSE),""),K8256)</f>
        <v/>
      </c>
      <c r="D8256" s="6"/>
      <c r="E8256" s="6"/>
      <c r="F8256" s="6"/>
      <c r="G8256" s="115" t="b">
        <f>VLOOKUP(I8248,FS_input_noty,J8248,FALSE)=""</f>
        <v>0</v>
      </c>
      <c r="H8256" s="6" t="s">
        <v>2189</v>
      </c>
      <c r="I8256" t="s">
        <v>1561</v>
      </c>
      <c r="J8256" t="s">
        <v>1561</v>
      </c>
      <c r="L8256">
        <f t="shared" si="499"/>
        <v>1</v>
      </c>
    </row>
    <row r="8257" spans="1:12" x14ac:dyDescent="0.35">
      <c r="A8257" s="9">
        <f t="shared" si="500"/>
        <v>8256</v>
      </c>
      <c r="B8257" t="s">
        <v>749</v>
      </c>
      <c r="C8257" s="109">
        <f>IF(ISBLANK(K8257),IFERROR(VLOOKUP(I8257,FS_input_data!$C$458:$N$648,Export!J8257,FALSE),""),K8257)</f>
        <v>9500</v>
      </c>
      <c r="D8257" s="6" t="b">
        <v>0</v>
      </c>
      <c r="E8257" s="6"/>
      <c r="F8257" s="6"/>
      <c r="G8257" s="115" t="b">
        <f>VLOOKUP(I8248,FS_input_noty,J8248,FALSE)=""</f>
        <v>0</v>
      </c>
      <c r="H8257" s="6" t="s">
        <v>2189</v>
      </c>
      <c r="I8257" t="s">
        <v>2178</v>
      </c>
      <c r="J8257">
        <v>9</v>
      </c>
      <c r="L8257" s="26" t="e">
        <f t="shared" si="499"/>
        <v>#VALUE!</v>
      </c>
    </row>
    <row r="8258" spans="1:12" x14ac:dyDescent="0.35">
      <c r="A8258">
        <f t="shared" si="500"/>
        <v>8257</v>
      </c>
      <c r="B8258" t="s">
        <v>750</v>
      </c>
      <c r="C8258" s="109" t="str">
        <f>IF(ISBLANK(K8258),IFERROR(VLOOKUP(I8258,FS_input_data!$C$458:$N$648,Export!J8258,FALSE),""),K8258)</f>
        <v/>
      </c>
      <c r="D8258" s="6"/>
      <c r="E8258" s="6"/>
      <c r="F8258" s="6"/>
      <c r="G8258" s="115" t="b">
        <f>VLOOKUP(I8248,FS_input_noty,J8248,FALSE)=""</f>
        <v>0</v>
      </c>
      <c r="H8258" s="6" t="s">
        <v>2189</v>
      </c>
      <c r="I8258" t="s">
        <v>1561</v>
      </c>
      <c r="J8258" t="s">
        <v>1561</v>
      </c>
      <c r="L8258">
        <f t="shared" ref="L8258:L8321" si="503">FIND("/",B8258)</f>
        <v>1</v>
      </c>
    </row>
    <row r="8259" spans="1:12" x14ac:dyDescent="0.35">
      <c r="A8259">
        <f t="shared" ref="A8259:A8322" si="504">A8258+1</f>
        <v>8258</v>
      </c>
      <c r="B8259" t="s">
        <v>751</v>
      </c>
      <c r="C8259" s="109" t="str">
        <f>IF(ISBLANK(K8259),IFERROR(VLOOKUP(I8259,FS_input_data!$C$458:$N$648,Export!J8259,FALSE),""),K8259)</f>
        <v/>
      </c>
      <c r="D8259" s="6"/>
      <c r="E8259" s="6"/>
      <c r="F8259" s="6"/>
      <c r="G8259" s="115" t="b">
        <f>VLOOKUP(I8248,FS_input_noty,J8248,FALSE)=""</f>
        <v>0</v>
      </c>
      <c r="H8259" s="6" t="s">
        <v>2189</v>
      </c>
      <c r="I8259" t="s">
        <v>1561</v>
      </c>
      <c r="J8259" t="s">
        <v>1561</v>
      </c>
      <c r="L8259">
        <f t="shared" si="503"/>
        <v>1</v>
      </c>
    </row>
    <row r="8260" spans="1:12" x14ac:dyDescent="0.35">
      <c r="A8260">
        <f t="shared" si="504"/>
        <v>8259</v>
      </c>
      <c r="B8260" t="s">
        <v>754</v>
      </c>
      <c r="C8260" s="109" t="str">
        <f>IF(ISBLANK(K8260),IFERROR(VLOOKUP(I8260,FS_input_data!$C$458:$N$648,Export!J8260,FALSE),""),K8260)</f>
        <v/>
      </c>
      <c r="D8260" s="6"/>
      <c r="E8260" s="6"/>
      <c r="F8260" s="6"/>
      <c r="G8260" s="115" t="b">
        <f>VLOOKUP(I8248,FS_input_noty,J8248,FALSE)=""</f>
        <v>0</v>
      </c>
      <c r="H8260" s="6" t="s">
        <v>2189</v>
      </c>
      <c r="I8260" t="s">
        <v>1561</v>
      </c>
      <c r="J8260" t="s">
        <v>1561</v>
      </c>
      <c r="L8260" s="26" t="e">
        <f t="shared" si="503"/>
        <v>#VALUE!</v>
      </c>
    </row>
    <row r="8261" spans="1:12" x14ac:dyDescent="0.35">
      <c r="A8261" s="9">
        <f t="shared" si="504"/>
        <v>8260</v>
      </c>
      <c r="B8261" t="s">
        <v>755</v>
      </c>
      <c r="C8261" s="109">
        <f>IF(ISBLANK(K8261),IFERROR(VLOOKUP(I8261,FS_input_data!$C$458:$N$648,Export!J8261,FALSE),""),K8261)</f>
        <v>185</v>
      </c>
      <c r="D8261" s="6" t="b">
        <v>1</v>
      </c>
      <c r="E8261" s="6"/>
      <c r="F8261" s="6"/>
      <c r="G8261" s="115" t="b">
        <f>VLOOKUP(I8248,FS_input_noty,J8248,FALSE)=""</f>
        <v>0</v>
      </c>
      <c r="H8261" s="6" t="s">
        <v>2189</v>
      </c>
      <c r="I8261" t="s">
        <v>2178</v>
      </c>
      <c r="J8261">
        <v>2</v>
      </c>
      <c r="L8261" s="26" t="e">
        <f t="shared" si="503"/>
        <v>#VALUE!</v>
      </c>
    </row>
    <row r="8262" spans="1:12" x14ac:dyDescent="0.35">
      <c r="A8262">
        <f t="shared" si="504"/>
        <v>8261</v>
      </c>
      <c r="B8262" t="s">
        <v>756</v>
      </c>
      <c r="C8262" s="109" t="str">
        <f>IF(ISBLANK(K8262),IFERROR(VLOOKUP(I8262,FS_input_data!$C$458:$N$648,Export!J8262,FALSE),""),K8262)</f>
        <v/>
      </c>
      <c r="D8262" s="6"/>
      <c r="E8262" s="6"/>
      <c r="F8262" s="6"/>
      <c r="G8262" s="115" t="b">
        <f>VLOOKUP(I8248,FS_input_noty,J8248,FALSE)=""</f>
        <v>0</v>
      </c>
      <c r="H8262" s="6" t="s">
        <v>2189</v>
      </c>
      <c r="I8262" t="s">
        <v>1561</v>
      </c>
      <c r="J8262" t="s">
        <v>1561</v>
      </c>
      <c r="L8262">
        <f t="shared" si="503"/>
        <v>1</v>
      </c>
    </row>
    <row r="8263" spans="1:12" x14ac:dyDescent="0.35">
      <c r="A8263" s="9">
        <f t="shared" si="504"/>
        <v>8262</v>
      </c>
      <c r="B8263" t="s">
        <v>757</v>
      </c>
      <c r="C8263" s="109">
        <f>IF(ISBLANK(K8263),IFERROR(VLOOKUP(I8263,FS_input_data!$C$458:$N$648,Export!J8263,FALSE),""),K8263)</f>
        <v>285</v>
      </c>
      <c r="D8263" s="6" t="b">
        <v>0</v>
      </c>
      <c r="E8263" s="6"/>
      <c r="F8263" s="6"/>
      <c r="G8263" s="115" t="b">
        <f>VLOOKUP(I8248,FS_input_noty,J8248,FALSE)=""</f>
        <v>0</v>
      </c>
      <c r="H8263" s="6" t="s">
        <v>2189</v>
      </c>
      <c r="I8263" t="s">
        <v>2178</v>
      </c>
      <c r="J8263">
        <v>3</v>
      </c>
      <c r="L8263" s="26" t="e">
        <f t="shared" si="503"/>
        <v>#VALUE!</v>
      </c>
    </row>
    <row r="8264" spans="1:12" x14ac:dyDescent="0.35">
      <c r="A8264">
        <f t="shared" si="504"/>
        <v>8263</v>
      </c>
      <c r="B8264" t="s">
        <v>758</v>
      </c>
      <c r="C8264" s="109" t="str">
        <f>IF(ISBLANK(K8264),IFERROR(VLOOKUP(I8264,FS_input_data!$C$458:$N$648,Export!J8264,FALSE),""),K8264)</f>
        <v/>
      </c>
      <c r="D8264" s="6"/>
      <c r="E8264" s="6"/>
      <c r="F8264" s="6"/>
      <c r="G8264" s="115" t="b">
        <f>VLOOKUP(I8248,FS_input_noty,J8248,FALSE)=""</f>
        <v>0</v>
      </c>
      <c r="H8264" s="6" t="s">
        <v>2189</v>
      </c>
      <c r="I8264" t="s">
        <v>1561</v>
      </c>
      <c r="J8264" t="s">
        <v>1561</v>
      </c>
      <c r="L8264">
        <f t="shared" si="503"/>
        <v>1</v>
      </c>
    </row>
    <row r="8265" spans="1:12" x14ac:dyDescent="0.35">
      <c r="A8265" s="9">
        <f t="shared" si="504"/>
        <v>8264</v>
      </c>
      <c r="B8265" t="s">
        <v>759</v>
      </c>
      <c r="C8265" s="109">
        <f>IF(ISBLANK(K8265),IFERROR(VLOOKUP(I8265,FS_input_data!$C$458:$N$648,Export!J8265,FALSE),""),K8265)</f>
        <v>385</v>
      </c>
      <c r="D8265" s="6" t="b">
        <v>0</v>
      </c>
      <c r="E8265" s="6"/>
      <c r="F8265" s="6"/>
      <c r="G8265" s="115" t="b">
        <f>VLOOKUP(I8248,FS_input_noty,J8248,FALSE)=""</f>
        <v>0</v>
      </c>
      <c r="H8265" s="6" t="s">
        <v>2189</v>
      </c>
      <c r="I8265" t="s">
        <v>2178</v>
      </c>
      <c r="J8265">
        <v>4</v>
      </c>
      <c r="L8265" s="26" t="e">
        <f t="shared" si="503"/>
        <v>#VALUE!</v>
      </c>
    </row>
    <row r="8266" spans="1:12" x14ac:dyDescent="0.35">
      <c r="A8266">
        <f t="shared" si="504"/>
        <v>8265</v>
      </c>
      <c r="B8266" t="s">
        <v>760</v>
      </c>
      <c r="C8266" s="109" t="str">
        <f>IF(ISBLANK(K8266),IFERROR(VLOOKUP(I8266,FS_input_data!$C$458:$N$648,Export!J8266,FALSE),""),K8266)</f>
        <v/>
      </c>
      <c r="D8266" s="6"/>
      <c r="E8266" s="6"/>
      <c r="F8266" s="6"/>
      <c r="G8266" s="115" t="b">
        <f>VLOOKUP(I8248,FS_input_noty,J8248,FALSE)=""</f>
        <v>0</v>
      </c>
      <c r="H8266" s="6" t="s">
        <v>2189</v>
      </c>
      <c r="I8266" t="s">
        <v>1561</v>
      </c>
      <c r="J8266" t="s">
        <v>1561</v>
      </c>
      <c r="L8266">
        <f t="shared" si="503"/>
        <v>1</v>
      </c>
    </row>
    <row r="8267" spans="1:12" x14ac:dyDescent="0.35">
      <c r="A8267" s="9">
        <f t="shared" si="504"/>
        <v>8266</v>
      </c>
      <c r="B8267" t="s">
        <v>761</v>
      </c>
      <c r="C8267" s="109" t="str">
        <f>IF(ISBLANK(K8267),IFERROR(VLOOKUP(I8267,FS_input_data!$C$458:$N$648,Export!J8267,FALSE),""),K8267)</f>
        <v>e</v>
      </c>
      <c r="D8267" s="6" t="b">
        <v>0</v>
      </c>
      <c r="E8267" s="6"/>
      <c r="F8267" s="6"/>
      <c r="G8267" s="115" t="b">
        <f>VLOOKUP(I8248,FS_input_noty,J8248,FALSE)=""</f>
        <v>0</v>
      </c>
      <c r="H8267" s="6" t="s">
        <v>2189</v>
      </c>
      <c r="I8267" t="s">
        <v>2178</v>
      </c>
      <c r="J8267">
        <v>5</v>
      </c>
      <c r="L8267" s="26" t="e">
        <f t="shared" si="503"/>
        <v>#VALUE!</v>
      </c>
    </row>
    <row r="8268" spans="1:12" x14ac:dyDescent="0.35">
      <c r="A8268">
        <f t="shared" si="504"/>
        <v>8267</v>
      </c>
      <c r="B8268" t="s">
        <v>762</v>
      </c>
      <c r="C8268" s="109" t="str">
        <f>IF(ISBLANK(K8268),IFERROR(VLOOKUP(I8268,FS_input_data!$C$458:$N$648,Export!J8268,FALSE),""),K8268)</f>
        <v/>
      </c>
      <c r="D8268" s="6"/>
      <c r="E8268" s="6"/>
      <c r="F8268" s="6"/>
      <c r="G8268" s="115" t="b">
        <f>VLOOKUP(I8248,FS_input_noty,J8248,FALSE)=""</f>
        <v>0</v>
      </c>
      <c r="H8268" s="6" t="s">
        <v>2189</v>
      </c>
      <c r="I8268" t="s">
        <v>1561</v>
      </c>
      <c r="J8268" t="s">
        <v>1561</v>
      </c>
      <c r="L8268">
        <f t="shared" si="503"/>
        <v>1</v>
      </c>
    </row>
    <row r="8269" spans="1:12" x14ac:dyDescent="0.35">
      <c r="A8269">
        <f t="shared" si="504"/>
        <v>8268</v>
      </c>
      <c r="B8269" t="s">
        <v>763</v>
      </c>
      <c r="C8269" s="109" t="str">
        <f>IF(ISBLANK(K8269),IFERROR(VLOOKUP(I8269,FS_input_data!$C$458:$N$648,Export!J8269,FALSE),""),K8269)</f>
        <v/>
      </c>
      <c r="D8269" s="6"/>
      <c r="E8269" s="6"/>
      <c r="F8269" s="6"/>
      <c r="G8269" s="115" t="b">
        <f>VLOOKUP(I8248,FS_input_noty,J8248,FALSE)=""</f>
        <v>0</v>
      </c>
      <c r="H8269" s="6" t="s">
        <v>2189</v>
      </c>
      <c r="I8269" t="s">
        <v>1561</v>
      </c>
      <c r="J8269" t="s">
        <v>1561</v>
      </c>
      <c r="L8269">
        <f t="shared" si="503"/>
        <v>1</v>
      </c>
    </row>
    <row r="8270" spans="1:12" x14ac:dyDescent="0.35">
      <c r="A8270">
        <f t="shared" si="504"/>
        <v>8269</v>
      </c>
      <c r="B8270" t="s">
        <v>743</v>
      </c>
      <c r="C8270" s="109" t="str">
        <f>IF(ISBLANK(K8270),IFERROR(VLOOKUP(I8270,FS_input_data!$C$458:$N$648,Export!J8270,FALSE),""),K8270)</f>
        <v/>
      </c>
      <c r="D8270" s="6"/>
      <c r="E8270" s="6"/>
      <c r="F8270" s="6"/>
      <c r="G8270" s="115" t="b">
        <f>VLOOKUP(I8248,FS_input_noty,J8248,FALSE)=""</f>
        <v>0</v>
      </c>
      <c r="H8270" s="6" t="s">
        <v>2189</v>
      </c>
      <c r="I8270" t="s">
        <v>1561</v>
      </c>
      <c r="J8270" t="s">
        <v>1561</v>
      </c>
      <c r="L8270">
        <f t="shared" si="503"/>
        <v>1</v>
      </c>
    </row>
    <row r="8271" spans="1:12" x14ac:dyDescent="0.35">
      <c r="A8271">
        <f t="shared" si="504"/>
        <v>8270</v>
      </c>
      <c r="B8271" t="s">
        <v>744</v>
      </c>
      <c r="C8271" s="109" t="str">
        <f>IF(ISBLANK(K8271),IFERROR(VLOOKUP(I8271,FS_input_data!$C$458:$N$648,Export!J8271,FALSE),""),K8271)</f>
        <v/>
      </c>
      <c r="D8271" s="6"/>
      <c r="E8271" s="6"/>
      <c r="F8271" s="6"/>
      <c r="G8271" s="115" t="b">
        <f t="shared" ref="G8271:G8278" si="505">RP_tax</f>
        <v>1</v>
      </c>
      <c r="H8271" s="6" t="s">
        <v>2189</v>
      </c>
      <c r="I8271" t="s">
        <v>1561</v>
      </c>
      <c r="J8271" t="s">
        <v>1561</v>
      </c>
      <c r="L8271" s="26" t="e">
        <f t="shared" si="503"/>
        <v>#VALUE!</v>
      </c>
    </row>
    <row r="8272" spans="1:12" x14ac:dyDescent="0.35">
      <c r="A8272" s="9">
        <f t="shared" si="504"/>
        <v>8271</v>
      </c>
      <c r="B8272" t="s">
        <v>109</v>
      </c>
      <c r="C8272" s="109">
        <f>IF(ISBLANK(K8272),IFERROR(VLOOKUP(I8272,FS_input_data!$C$458:$N$648,Export!J8272,FALSE),""),K8272)</f>
        <v>19000</v>
      </c>
      <c r="D8272" s="6" t="b">
        <v>1</v>
      </c>
      <c r="E8272" s="6"/>
      <c r="F8272" s="6"/>
      <c r="G8272" s="115" t="b">
        <f t="shared" si="505"/>
        <v>1</v>
      </c>
      <c r="H8272" s="6" t="s">
        <v>2189</v>
      </c>
      <c r="I8272" t="s">
        <v>2178</v>
      </c>
      <c r="J8272">
        <v>10</v>
      </c>
      <c r="L8272" s="26" t="e">
        <f t="shared" si="503"/>
        <v>#VALUE!</v>
      </c>
    </row>
    <row r="8273" spans="1:12" x14ac:dyDescent="0.35">
      <c r="A8273">
        <f t="shared" si="504"/>
        <v>8272</v>
      </c>
      <c r="B8273" t="s">
        <v>110</v>
      </c>
      <c r="C8273" s="109" t="str">
        <f>IF(ISBLANK(K8273),IFERROR(VLOOKUP(I8273,FS_input_data!$C$458:$N$648,Export!J8273,FALSE),""),K8273)</f>
        <v/>
      </c>
      <c r="D8273" s="6"/>
      <c r="E8273" s="6"/>
      <c r="F8273" s="6"/>
      <c r="G8273" s="115" t="b">
        <f t="shared" si="505"/>
        <v>1</v>
      </c>
      <c r="H8273" s="6" t="s">
        <v>2189</v>
      </c>
      <c r="I8273" t="s">
        <v>1561</v>
      </c>
      <c r="J8273" t="s">
        <v>1561</v>
      </c>
      <c r="L8273">
        <f t="shared" si="503"/>
        <v>1</v>
      </c>
    </row>
    <row r="8274" spans="1:12" x14ac:dyDescent="0.35">
      <c r="A8274" s="9">
        <f t="shared" si="504"/>
        <v>8273</v>
      </c>
      <c r="B8274" t="s">
        <v>111</v>
      </c>
      <c r="C8274" s="109">
        <f>IF(ISBLANK(K8274),IFERROR(VLOOKUP(I8274,FS_input_data!$C$458:$N$648,Export!J8274,FALSE),""),K8274)</f>
        <v>9500</v>
      </c>
      <c r="D8274" s="6" t="b">
        <v>0</v>
      </c>
      <c r="E8274" s="6"/>
      <c r="F8274" s="6"/>
      <c r="G8274" s="115" t="b">
        <f t="shared" si="505"/>
        <v>1</v>
      </c>
      <c r="H8274" s="6" t="s">
        <v>2189</v>
      </c>
      <c r="I8274" t="s">
        <v>2178</v>
      </c>
      <c r="J8274">
        <v>11</v>
      </c>
      <c r="L8274" s="26" t="e">
        <f t="shared" si="503"/>
        <v>#VALUE!</v>
      </c>
    </row>
    <row r="8275" spans="1:12" x14ac:dyDescent="0.35">
      <c r="A8275">
        <f t="shared" si="504"/>
        <v>8274</v>
      </c>
      <c r="B8275" t="s">
        <v>112</v>
      </c>
      <c r="C8275" s="109" t="str">
        <f>IF(ISBLANK(K8275),IFERROR(VLOOKUP(I8275,FS_input_data!$C$458:$N$648,Export!J8275,FALSE),""),K8275)</f>
        <v/>
      </c>
      <c r="D8275" s="6"/>
      <c r="E8275" s="6"/>
      <c r="F8275" s="6"/>
      <c r="G8275" s="115" t="b">
        <f t="shared" si="505"/>
        <v>1</v>
      </c>
      <c r="H8275" s="6" t="s">
        <v>2189</v>
      </c>
      <c r="I8275" t="s">
        <v>1561</v>
      </c>
      <c r="J8275" t="s">
        <v>1561</v>
      </c>
      <c r="L8275">
        <f t="shared" si="503"/>
        <v>1</v>
      </c>
    </row>
    <row r="8276" spans="1:12" x14ac:dyDescent="0.35">
      <c r="A8276" s="9">
        <f t="shared" si="504"/>
        <v>8275</v>
      </c>
      <c r="B8276" t="s">
        <v>749</v>
      </c>
      <c r="C8276" s="109">
        <f>IF(ISBLANK(K8276),IFERROR(VLOOKUP(I8276,FS_input_data!$C$458:$N$648,Export!J8276,FALSE),""),K8276)</f>
        <v>9500</v>
      </c>
      <c r="D8276" s="6" t="b">
        <v>0</v>
      </c>
      <c r="E8276" s="6"/>
      <c r="F8276" s="6"/>
      <c r="G8276" s="115" t="b">
        <f t="shared" si="505"/>
        <v>1</v>
      </c>
      <c r="H8276" s="6" t="s">
        <v>2189</v>
      </c>
      <c r="I8276" t="s">
        <v>2178</v>
      </c>
      <c r="J8276">
        <v>12</v>
      </c>
      <c r="L8276" s="26" t="e">
        <f t="shared" si="503"/>
        <v>#VALUE!</v>
      </c>
    </row>
    <row r="8277" spans="1:12" x14ac:dyDescent="0.35">
      <c r="A8277">
        <f t="shared" si="504"/>
        <v>8276</v>
      </c>
      <c r="B8277" t="s">
        <v>750</v>
      </c>
      <c r="C8277" s="109" t="str">
        <f>IF(ISBLANK(K8277),IFERROR(VLOOKUP(I8277,FS_input_data!$C$458:$N$648,Export!J8277,FALSE),""),K8277)</f>
        <v/>
      </c>
      <c r="D8277" s="6"/>
      <c r="E8277" s="6"/>
      <c r="F8277" s="6"/>
      <c r="G8277" s="115" t="b">
        <f t="shared" si="505"/>
        <v>1</v>
      </c>
      <c r="H8277" s="6" t="s">
        <v>2189</v>
      </c>
      <c r="I8277" t="s">
        <v>1561</v>
      </c>
      <c r="J8277" t="s">
        <v>1561</v>
      </c>
      <c r="L8277">
        <f t="shared" si="503"/>
        <v>1</v>
      </c>
    </row>
    <row r="8278" spans="1:12" x14ac:dyDescent="0.35">
      <c r="A8278">
        <f t="shared" si="504"/>
        <v>8277</v>
      </c>
      <c r="B8278" t="s">
        <v>745</v>
      </c>
      <c r="C8278" s="109" t="str">
        <f>IF(ISBLANK(K8278),IFERROR(VLOOKUP(I8278,FS_input_data!$C$458:$N$648,Export!J8278,FALSE),""),K8278)</f>
        <v/>
      </c>
      <c r="D8278" s="6"/>
      <c r="E8278" s="6"/>
      <c r="F8278" s="6"/>
      <c r="G8278" s="115" t="b">
        <f t="shared" si="505"/>
        <v>1</v>
      </c>
      <c r="H8278" s="6" t="s">
        <v>2189</v>
      </c>
      <c r="I8278" t="s">
        <v>1561</v>
      </c>
      <c r="J8278" t="s">
        <v>1561</v>
      </c>
      <c r="L8278">
        <f t="shared" si="503"/>
        <v>1</v>
      </c>
    </row>
    <row r="8279" spans="1:12" x14ac:dyDescent="0.35">
      <c r="A8279">
        <f t="shared" si="504"/>
        <v>8278</v>
      </c>
      <c r="B8279" t="s">
        <v>764</v>
      </c>
      <c r="C8279" s="109" t="str">
        <f>IF(ISBLANK(K8279),IFERROR(VLOOKUP(I8279,FS_input_data!$C$458:$N$648,Export!J8279,FALSE),""),K8279)</f>
        <v/>
      </c>
      <c r="D8279" s="6"/>
      <c r="E8279" s="6"/>
      <c r="F8279" s="6"/>
      <c r="G8279" s="115" t="b">
        <f>VLOOKUP(I8248,FS_input_noty,J8248,FALSE)=""</f>
        <v>0</v>
      </c>
      <c r="H8279" s="6" t="s">
        <v>2189</v>
      </c>
      <c r="I8279" t="s">
        <v>1561</v>
      </c>
      <c r="J8279" t="s">
        <v>1561</v>
      </c>
      <c r="L8279">
        <f t="shared" si="503"/>
        <v>1</v>
      </c>
    </row>
    <row r="8280" spans="1:12" x14ac:dyDescent="0.35">
      <c r="A8280">
        <f t="shared" si="504"/>
        <v>8279</v>
      </c>
      <c r="B8280" t="s">
        <v>765</v>
      </c>
      <c r="C8280" s="109" t="str">
        <f>IF(ISBLANK(K8280),IFERROR(VLOOKUP(I8280,FS_input_data!$C$458:$N$648,Export!J8280,FALSE),""),K8280)</f>
        <v/>
      </c>
      <c r="D8280" s="6"/>
      <c r="E8280" s="6"/>
      <c r="F8280" s="6"/>
      <c r="G8280" s="115" t="b">
        <f>VLOOKUP(I8248,FS_input_noty,J8248,FALSE)=""</f>
        <v>0</v>
      </c>
      <c r="H8280" s="6" t="s">
        <v>2189</v>
      </c>
      <c r="I8280" t="s">
        <v>1561</v>
      </c>
      <c r="J8280" t="s">
        <v>1561</v>
      </c>
      <c r="L8280">
        <f t="shared" si="503"/>
        <v>1</v>
      </c>
    </row>
    <row r="8281" spans="1:12" x14ac:dyDescent="0.35">
      <c r="A8281">
        <f t="shared" si="504"/>
        <v>8280</v>
      </c>
      <c r="B8281" t="s">
        <v>752</v>
      </c>
      <c r="C8281" s="109" t="str">
        <f>IF(ISBLANK(K8281),IFERROR(VLOOKUP(I8281,FS_input_data!$C$458:$N$648,Export!J8281,FALSE),""),K8281)</f>
        <v/>
      </c>
      <c r="D8281" s="6"/>
      <c r="E8281" s="6"/>
      <c r="F8281" s="6"/>
      <c r="G8281" s="115" t="b">
        <f>VLOOKUP(I8282,FS_input_noty,J8282,FALSE)=""</f>
        <v>0</v>
      </c>
      <c r="H8281" s="6" t="s">
        <v>2189</v>
      </c>
      <c r="I8281" t="s">
        <v>1561</v>
      </c>
      <c r="J8281" t="s">
        <v>1561</v>
      </c>
      <c r="L8281" s="26" t="e">
        <f t="shared" si="503"/>
        <v>#VALUE!</v>
      </c>
    </row>
    <row r="8282" spans="1:12" x14ac:dyDescent="0.35">
      <c r="A8282" s="9">
        <f t="shared" si="504"/>
        <v>8281</v>
      </c>
      <c r="B8282" t="s">
        <v>101</v>
      </c>
      <c r="C8282" s="109" t="str">
        <f>IF(ISBLANK(K8282),IFERROR(VLOOKUP(I8282,FS_input_data!$C$458:$N$648,Export!J8282,FALSE),""),K8282)</f>
        <v>OC163</v>
      </c>
      <c r="D8282" s="6" t="b">
        <v>1</v>
      </c>
      <c r="E8282" s="6"/>
      <c r="F8282" s="6"/>
      <c r="G8282" s="115" t="b">
        <f>VLOOKUP(I8282,FS_input_noty,J8282,FALSE)=""</f>
        <v>0</v>
      </c>
      <c r="H8282" s="6" t="s">
        <v>2189</v>
      </c>
      <c r="I8282" t="s">
        <v>2180</v>
      </c>
      <c r="J8282">
        <v>6</v>
      </c>
      <c r="L8282" s="26" t="e">
        <f t="shared" si="503"/>
        <v>#VALUE!</v>
      </c>
    </row>
    <row r="8283" spans="1:12" x14ac:dyDescent="0.35">
      <c r="A8283">
        <f t="shared" si="504"/>
        <v>8282</v>
      </c>
      <c r="B8283" t="s">
        <v>102</v>
      </c>
      <c r="C8283" s="109" t="str">
        <f>IF(ISBLANK(K8283),IFERROR(VLOOKUP(I8283,FS_input_data!$C$458:$N$648,Export!J8283,FALSE),""),K8283)</f>
        <v/>
      </c>
      <c r="D8283" s="6"/>
      <c r="E8283" s="6"/>
      <c r="F8283" s="6"/>
      <c r="G8283" s="115" t="b">
        <f>VLOOKUP(I8282,FS_input_noty,J8282,FALSE)=""</f>
        <v>0</v>
      </c>
      <c r="H8283" s="6" t="s">
        <v>2189</v>
      </c>
      <c r="I8283" t="s">
        <v>1561</v>
      </c>
      <c r="J8283" t="s">
        <v>1561</v>
      </c>
      <c r="L8283">
        <f t="shared" si="503"/>
        <v>1</v>
      </c>
    </row>
    <row r="8284" spans="1:12" x14ac:dyDescent="0.35">
      <c r="A8284">
        <f t="shared" si="504"/>
        <v>8283</v>
      </c>
      <c r="B8284" t="s">
        <v>753</v>
      </c>
      <c r="C8284" s="109" t="str">
        <f>IF(ISBLANK(K8284),IFERROR(VLOOKUP(I8284,FS_input_data!$C$458:$N$648,Export!J8284,FALSE),""),K8284)</f>
        <v/>
      </c>
      <c r="D8284" s="6"/>
      <c r="E8284" s="6"/>
      <c r="F8284" s="6"/>
      <c r="G8284" s="115" t="b">
        <f>VLOOKUP(I8282,FS_input_noty,J8282,FALSE)=""</f>
        <v>0</v>
      </c>
      <c r="H8284" s="6" t="s">
        <v>2189</v>
      </c>
      <c r="I8284" t="s">
        <v>1561</v>
      </c>
      <c r="J8284" t="s">
        <v>1561</v>
      </c>
      <c r="L8284" s="26" t="e">
        <f t="shared" si="503"/>
        <v>#VALUE!</v>
      </c>
    </row>
    <row r="8285" spans="1:12" x14ac:dyDescent="0.35">
      <c r="A8285">
        <f t="shared" si="504"/>
        <v>8284</v>
      </c>
      <c r="B8285" t="s">
        <v>742</v>
      </c>
      <c r="C8285" s="109" t="str">
        <f>IF(ISBLANK(K8285),IFERROR(VLOOKUP(I8285,FS_input_data!$C$458:$N$648,Export!J8285,FALSE),""),K8285)</f>
        <v/>
      </c>
      <c r="D8285" s="6"/>
      <c r="E8285" s="6"/>
      <c r="F8285" s="6"/>
      <c r="G8285" s="115" t="b">
        <f>VLOOKUP(I8282,FS_input_noty,J8282,FALSE)=""</f>
        <v>0</v>
      </c>
      <c r="H8285" s="6" t="s">
        <v>2189</v>
      </c>
      <c r="I8285" t="s">
        <v>1561</v>
      </c>
      <c r="J8285" t="s">
        <v>1561</v>
      </c>
      <c r="L8285" s="26" t="e">
        <f t="shared" si="503"/>
        <v>#VALUE!</v>
      </c>
    </row>
    <row r="8286" spans="1:12" x14ac:dyDescent="0.35">
      <c r="A8286">
        <f t="shared" si="504"/>
        <v>8285</v>
      </c>
      <c r="B8286" t="s">
        <v>748</v>
      </c>
      <c r="C8286" s="109" t="str">
        <f>IF(ISBLANK(K8286),IFERROR(VLOOKUP(I8286,FS_input_data!$C$458:$N$648,Export!J8286,FALSE),""),K8286)</f>
        <v/>
      </c>
      <c r="D8286" s="6"/>
      <c r="E8286" s="6"/>
      <c r="F8286" s="6"/>
      <c r="G8286" s="115" t="b">
        <f>VLOOKUP(I8282,FS_input_noty,J8282,FALSE)=""</f>
        <v>0</v>
      </c>
      <c r="H8286" s="6" t="s">
        <v>2189</v>
      </c>
      <c r="I8286" t="s">
        <v>1561</v>
      </c>
      <c r="J8286" t="s">
        <v>1561</v>
      </c>
      <c r="L8286" s="26" t="e">
        <f t="shared" si="503"/>
        <v>#VALUE!</v>
      </c>
    </row>
    <row r="8287" spans="1:12" x14ac:dyDescent="0.35">
      <c r="A8287" s="9">
        <f t="shared" si="504"/>
        <v>8286</v>
      </c>
      <c r="B8287" t="s">
        <v>109</v>
      </c>
      <c r="C8287" s="109">
        <f>IF(ISBLANK(K8287),IFERROR(VLOOKUP(I8287,FS_input_data!$C$458:$N$648,Export!J8287,FALSE),""),K8287)</f>
        <v>20000</v>
      </c>
      <c r="D8287" s="6" t="b">
        <v>1</v>
      </c>
      <c r="E8287" s="6"/>
      <c r="F8287" s="6"/>
      <c r="G8287" s="115" t="b">
        <f>VLOOKUP(I8282,FS_input_noty,J8282,FALSE)=""</f>
        <v>0</v>
      </c>
      <c r="H8287" s="6" t="s">
        <v>2189</v>
      </c>
      <c r="I8287" t="s">
        <v>2180</v>
      </c>
      <c r="J8287">
        <v>7</v>
      </c>
      <c r="L8287" s="26" t="e">
        <f t="shared" si="503"/>
        <v>#VALUE!</v>
      </c>
    </row>
    <row r="8288" spans="1:12" x14ac:dyDescent="0.35">
      <c r="A8288">
        <f t="shared" si="504"/>
        <v>8287</v>
      </c>
      <c r="B8288" t="s">
        <v>110</v>
      </c>
      <c r="C8288" s="109" t="str">
        <f>IF(ISBLANK(K8288),IFERROR(VLOOKUP(I8288,FS_input_data!$C$458:$N$648,Export!J8288,FALSE),""),K8288)</f>
        <v/>
      </c>
      <c r="D8288" s="6"/>
      <c r="E8288" s="6"/>
      <c r="F8288" s="6"/>
      <c r="G8288" s="115" t="b">
        <f>VLOOKUP(I8282,FS_input_noty,J8282,FALSE)=""</f>
        <v>0</v>
      </c>
      <c r="H8288" s="6" t="s">
        <v>2189</v>
      </c>
      <c r="I8288" t="s">
        <v>1561</v>
      </c>
      <c r="J8288" t="s">
        <v>1561</v>
      </c>
      <c r="L8288">
        <f t="shared" si="503"/>
        <v>1</v>
      </c>
    </row>
    <row r="8289" spans="1:12" x14ac:dyDescent="0.35">
      <c r="A8289" s="9">
        <f t="shared" si="504"/>
        <v>8288</v>
      </c>
      <c r="B8289" t="s">
        <v>111</v>
      </c>
      <c r="C8289" s="109">
        <f>IF(ISBLANK(K8289),IFERROR(VLOOKUP(I8289,FS_input_data!$C$458:$N$648,Export!J8289,FALSE),""),K8289)</f>
        <v>10000</v>
      </c>
      <c r="D8289" s="6" t="b">
        <v>0</v>
      </c>
      <c r="E8289" s="6"/>
      <c r="F8289" s="6"/>
      <c r="G8289" s="115" t="b">
        <f>VLOOKUP(I8282,FS_input_noty,J8282,TRUE)=""</f>
        <v>0</v>
      </c>
      <c r="H8289" s="6" t="s">
        <v>2189</v>
      </c>
      <c r="I8289" t="s">
        <v>2180</v>
      </c>
      <c r="J8289">
        <v>8</v>
      </c>
      <c r="L8289" s="26" t="e">
        <f t="shared" si="503"/>
        <v>#VALUE!</v>
      </c>
    </row>
    <row r="8290" spans="1:12" x14ac:dyDescent="0.35">
      <c r="A8290">
        <f t="shared" si="504"/>
        <v>8289</v>
      </c>
      <c r="B8290" t="s">
        <v>112</v>
      </c>
      <c r="C8290" s="109" t="str">
        <f>IF(ISBLANK(K8290),IFERROR(VLOOKUP(I8290,FS_input_data!$C$458:$N$648,Export!J8290,FALSE),""),K8290)</f>
        <v/>
      </c>
      <c r="D8290" s="6"/>
      <c r="E8290" s="6"/>
      <c r="F8290" s="6"/>
      <c r="G8290" s="115" t="b">
        <f>VLOOKUP(I8282,FS_input_noty,J8282,FALSE)=""</f>
        <v>0</v>
      </c>
      <c r="H8290" s="6" t="s">
        <v>2189</v>
      </c>
      <c r="I8290" t="s">
        <v>1561</v>
      </c>
      <c r="J8290" t="s">
        <v>1561</v>
      </c>
      <c r="L8290">
        <f t="shared" si="503"/>
        <v>1</v>
      </c>
    </row>
    <row r="8291" spans="1:12" x14ac:dyDescent="0.35">
      <c r="A8291" s="9">
        <f t="shared" si="504"/>
        <v>8290</v>
      </c>
      <c r="B8291" t="s">
        <v>749</v>
      </c>
      <c r="C8291" s="109">
        <f>IF(ISBLANK(K8291),IFERROR(VLOOKUP(I8291,FS_input_data!$C$458:$N$648,Export!J8291,FALSE),""),K8291)</f>
        <v>10000</v>
      </c>
      <c r="D8291" s="6" t="b">
        <v>0</v>
      </c>
      <c r="E8291" s="6"/>
      <c r="F8291" s="6"/>
      <c r="G8291" s="115" t="b">
        <f>VLOOKUP(I8282,FS_input_noty,J8282,FALSE)=""</f>
        <v>0</v>
      </c>
      <c r="H8291" s="6" t="s">
        <v>2189</v>
      </c>
      <c r="I8291" t="s">
        <v>2180</v>
      </c>
      <c r="J8291">
        <v>9</v>
      </c>
      <c r="L8291" s="26" t="e">
        <f t="shared" si="503"/>
        <v>#VALUE!</v>
      </c>
    </row>
    <row r="8292" spans="1:12" x14ac:dyDescent="0.35">
      <c r="A8292">
        <f t="shared" si="504"/>
        <v>8291</v>
      </c>
      <c r="B8292" t="s">
        <v>750</v>
      </c>
      <c r="C8292" s="109" t="str">
        <f>IF(ISBLANK(K8292),IFERROR(VLOOKUP(I8292,FS_input_data!$C$458:$N$648,Export!J8292,FALSE),""),K8292)</f>
        <v/>
      </c>
      <c r="D8292" s="6"/>
      <c r="E8292" s="6"/>
      <c r="F8292" s="6"/>
      <c r="G8292" s="115" t="b">
        <f>VLOOKUP(I8282,FS_input_noty,J8282,FALSE)=""</f>
        <v>0</v>
      </c>
      <c r="H8292" s="6" t="s">
        <v>2189</v>
      </c>
      <c r="I8292" t="s">
        <v>1561</v>
      </c>
      <c r="J8292" t="s">
        <v>1561</v>
      </c>
      <c r="L8292">
        <f t="shared" si="503"/>
        <v>1</v>
      </c>
    </row>
    <row r="8293" spans="1:12" x14ac:dyDescent="0.35">
      <c r="A8293">
        <f t="shared" si="504"/>
        <v>8292</v>
      </c>
      <c r="B8293" t="s">
        <v>751</v>
      </c>
      <c r="C8293" s="109" t="str">
        <f>IF(ISBLANK(K8293),IFERROR(VLOOKUP(I8293,FS_input_data!$C$458:$N$648,Export!J8293,FALSE),""),K8293)</f>
        <v/>
      </c>
      <c r="D8293" s="6"/>
      <c r="E8293" s="6"/>
      <c r="F8293" s="6"/>
      <c r="G8293" s="115" t="b">
        <f>VLOOKUP(I8282,FS_input_noty,J8282,FALSE)=""</f>
        <v>0</v>
      </c>
      <c r="H8293" s="6" t="s">
        <v>2189</v>
      </c>
      <c r="I8293" t="s">
        <v>1561</v>
      </c>
      <c r="J8293" t="s">
        <v>1561</v>
      </c>
      <c r="L8293">
        <f t="shared" si="503"/>
        <v>1</v>
      </c>
    </row>
    <row r="8294" spans="1:12" x14ac:dyDescent="0.35">
      <c r="A8294">
        <f t="shared" si="504"/>
        <v>8293</v>
      </c>
      <c r="B8294" t="s">
        <v>754</v>
      </c>
      <c r="C8294" s="109" t="str">
        <f>IF(ISBLANK(K8294),IFERROR(VLOOKUP(I8294,FS_input_data!$C$458:$N$648,Export!J8294,FALSE),""),K8294)</f>
        <v/>
      </c>
      <c r="D8294" s="6"/>
      <c r="E8294" s="6"/>
      <c r="F8294" s="6"/>
      <c r="G8294" s="115" t="b">
        <f>VLOOKUP(I8282,FS_input_noty,J8282,FALSE)=""</f>
        <v>0</v>
      </c>
      <c r="H8294" s="6" t="s">
        <v>2189</v>
      </c>
      <c r="I8294" t="s">
        <v>1561</v>
      </c>
      <c r="J8294" t="s">
        <v>1561</v>
      </c>
      <c r="L8294" s="26" t="e">
        <f t="shared" si="503"/>
        <v>#VALUE!</v>
      </c>
    </row>
    <row r="8295" spans="1:12" x14ac:dyDescent="0.35">
      <c r="A8295" s="9">
        <f t="shared" si="504"/>
        <v>8294</v>
      </c>
      <c r="B8295" t="s">
        <v>755</v>
      </c>
      <c r="C8295" s="109">
        <f>IF(ISBLANK(K8295),IFERROR(VLOOKUP(I8295,FS_input_data!$C$458:$N$648,Export!J8295,FALSE),""),K8295)</f>
        <v>186</v>
      </c>
      <c r="D8295" s="6" t="b">
        <v>1</v>
      </c>
      <c r="E8295" s="6"/>
      <c r="F8295" s="6"/>
      <c r="G8295" s="115" t="b">
        <f>VLOOKUP(I8282,FS_input_noty,J8282,FALSE)=""</f>
        <v>0</v>
      </c>
      <c r="H8295" s="6" t="s">
        <v>2189</v>
      </c>
      <c r="I8295" t="s">
        <v>2180</v>
      </c>
      <c r="J8295">
        <v>2</v>
      </c>
      <c r="L8295" s="26" t="e">
        <f t="shared" si="503"/>
        <v>#VALUE!</v>
      </c>
    </row>
    <row r="8296" spans="1:12" x14ac:dyDescent="0.35">
      <c r="A8296">
        <f t="shared" si="504"/>
        <v>8295</v>
      </c>
      <c r="B8296" t="s">
        <v>756</v>
      </c>
      <c r="C8296" s="109" t="str">
        <f>IF(ISBLANK(K8296),IFERROR(VLOOKUP(I8296,FS_input_data!$C$458:$N$648,Export!J8296,FALSE),""),K8296)</f>
        <v/>
      </c>
      <c r="D8296" s="6"/>
      <c r="E8296" s="6"/>
      <c r="F8296" s="6"/>
      <c r="G8296" s="115" t="b">
        <f>VLOOKUP(I8282,FS_input_noty,J8282,FALSE)=""</f>
        <v>0</v>
      </c>
      <c r="H8296" s="6" t="s">
        <v>2189</v>
      </c>
      <c r="I8296" t="s">
        <v>1561</v>
      </c>
      <c r="J8296" t="s">
        <v>1561</v>
      </c>
      <c r="L8296">
        <f t="shared" si="503"/>
        <v>1</v>
      </c>
    </row>
    <row r="8297" spans="1:12" x14ac:dyDescent="0.35">
      <c r="A8297" s="9">
        <f t="shared" si="504"/>
        <v>8296</v>
      </c>
      <c r="B8297" t="s">
        <v>757</v>
      </c>
      <c r="C8297" s="109">
        <f>IF(ISBLANK(K8297),IFERROR(VLOOKUP(I8297,FS_input_data!$C$458:$N$648,Export!J8297,FALSE),""),K8297)</f>
        <v>286</v>
      </c>
      <c r="D8297" s="6" t="b">
        <v>0</v>
      </c>
      <c r="E8297" s="6"/>
      <c r="F8297" s="6"/>
      <c r="G8297" s="115" t="b">
        <f>VLOOKUP(I8282,FS_input_noty,J8282,FALSE)=""</f>
        <v>0</v>
      </c>
      <c r="H8297" s="6" t="s">
        <v>2189</v>
      </c>
      <c r="I8297" t="s">
        <v>2180</v>
      </c>
      <c r="J8297">
        <v>3</v>
      </c>
      <c r="L8297" s="26" t="e">
        <f t="shared" si="503"/>
        <v>#VALUE!</v>
      </c>
    </row>
    <row r="8298" spans="1:12" x14ac:dyDescent="0.35">
      <c r="A8298">
        <f t="shared" si="504"/>
        <v>8297</v>
      </c>
      <c r="B8298" t="s">
        <v>758</v>
      </c>
      <c r="C8298" s="109" t="str">
        <f>IF(ISBLANK(K8298),IFERROR(VLOOKUP(I8298,FS_input_data!$C$458:$N$648,Export!J8298,FALSE),""),K8298)</f>
        <v/>
      </c>
      <c r="D8298" s="6"/>
      <c r="E8298" s="6"/>
      <c r="F8298" s="6"/>
      <c r="G8298" s="115" t="b">
        <f>VLOOKUP(I8282,FS_input_noty,J8282,FALSE)=""</f>
        <v>0</v>
      </c>
      <c r="H8298" s="6" t="s">
        <v>2189</v>
      </c>
      <c r="I8298" t="s">
        <v>1561</v>
      </c>
      <c r="J8298" t="s">
        <v>1561</v>
      </c>
      <c r="L8298">
        <f t="shared" si="503"/>
        <v>1</v>
      </c>
    </row>
    <row r="8299" spans="1:12" x14ac:dyDescent="0.35">
      <c r="A8299" s="9">
        <f t="shared" si="504"/>
        <v>8298</v>
      </c>
      <c r="B8299" t="s">
        <v>759</v>
      </c>
      <c r="C8299" s="109">
        <f>IF(ISBLANK(K8299),IFERROR(VLOOKUP(I8299,FS_input_data!$C$458:$N$648,Export!J8299,FALSE),""),K8299)</f>
        <v>386</v>
      </c>
      <c r="D8299" s="6" t="b">
        <v>0</v>
      </c>
      <c r="E8299" s="6"/>
      <c r="F8299" s="6"/>
      <c r="G8299" s="115" t="b">
        <f>VLOOKUP(I8282,FS_input_noty,J8282,FALSE)=""</f>
        <v>0</v>
      </c>
      <c r="H8299" s="6" t="s">
        <v>2189</v>
      </c>
      <c r="I8299" t="s">
        <v>2180</v>
      </c>
      <c r="J8299">
        <v>4</v>
      </c>
      <c r="L8299" s="26" t="e">
        <f t="shared" si="503"/>
        <v>#VALUE!</v>
      </c>
    </row>
    <row r="8300" spans="1:12" x14ac:dyDescent="0.35">
      <c r="A8300">
        <f t="shared" si="504"/>
        <v>8299</v>
      </c>
      <c r="B8300" t="s">
        <v>760</v>
      </c>
      <c r="C8300" s="109" t="str">
        <f>IF(ISBLANK(K8300),IFERROR(VLOOKUP(I8300,FS_input_data!$C$458:$N$648,Export!J8300,FALSE),""),K8300)</f>
        <v/>
      </c>
      <c r="D8300" s="6"/>
      <c r="E8300" s="6"/>
      <c r="F8300" s="6"/>
      <c r="G8300" s="115" t="b">
        <f>VLOOKUP(I8282,FS_input_noty,J8282,FALSE)=""</f>
        <v>0</v>
      </c>
      <c r="H8300" s="6" t="s">
        <v>2189</v>
      </c>
      <c r="I8300" t="s">
        <v>1561</v>
      </c>
      <c r="J8300" t="s">
        <v>1561</v>
      </c>
      <c r="L8300">
        <f t="shared" si="503"/>
        <v>1</v>
      </c>
    </row>
    <row r="8301" spans="1:12" x14ac:dyDescent="0.35">
      <c r="A8301" s="9">
        <f t="shared" si="504"/>
        <v>8300</v>
      </c>
      <c r="B8301" t="s">
        <v>761</v>
      </c>
      <c r="C8301" s="109" t="str">
        <f>IF(ISBLANK(K8301),IFERROR(VLOOKUP(I8301,FS_input_data!$C$458:$N$648,Export!J8301,FALSE),""),K8301)</f>
        <v>f</v>
      </c>
      <c r="D8301" s="6" t="b">
        <v>0</v>
      </c>
      <c r="E8301" s="6"/>
      <c r="F8301" s="6"/>
      <c r="G8301" s="115" t="b">
        <f>VLOOKUP(I8282,FS_input_noty,J8282,FALSE)=""</f>
        <v>0</v>
      </c>
      <c r="H8301" s="6" t="s">
        <v>2189</v>
      </c>
      <c r="I8301" t="s">
        <v>2180</v>
      </c>
      <c r="J8301">
        <v>5</v>
      </c>
      <c r="L8301" s="26" t="e">
        <f t="shared" si="503"/>
        <v>#VALUE!</v>
      </c>
    </row>
    <row r="8302" spans="1:12" x14ac:dyDescent="0.35">
      <c r="A8302">
        <f t="shared" si="504"/>
        <v>8301</v>
      </c>
      <c r="B8302" t="s">
        <v>762</v>
      </c>
      <c r="C8302" s="109" t="str">
        <f>IF(ISBLANK(K8302),IFERROR(VLOOKUP(I8302,FS_input_data!$C$458:$N$648,Export!J8302,FALSE),""),K8302)</f>
        <v/>
      </c>
      <c r="D8302" s="6"/>
      <c r="E8302" s="6"/>
      <c r="F8302" s="6"/>
      <c r="G8302" s="115" t="b">
        <f>VLOOKUP(I8282,FS_input_noty,J8282,FALSE)=""</f>
        <v>0</v>
      </c>
      <c r="H8302" s="6" t="s">
        <v>2189</v>
      </c>
      <c r="I8302" t="s">
        <v>1561</v>
      </c>
      <c r="J8302" t="s">
        <v>1561</v>
      </c>
      <c r="L8302">
        <f t="shared" si="503"/>
        <v>1</v>
      </c>
    </row>
    <row r="8303" spans="1:12" x14ac:dyDescent="0.35">
      <c r="A8303">
        <f t="shared" si="504"/>
        <v>8302</v>
      </c>
      <c r="B8303" t="s">
        <v>763</v>
      </c>
      <c r="C8303" s="109" t="str">
        <f>IF(ISBLANK(K8303),IFERROR(VLOOKUP(I8303,FS_input_data!$C$458:$N$648,Export!J8303,FALSE),""),K8303)</f>
        <v/>
      </c>
      <c r="D8303" s="6"/>
      <c r="E8303" s="6"/>
      <c r="F8303" s="6"/>
      <c r="G8303" s="115" t="b">
        <f>VLOOKUP(I8282,FS_input_noty,J8282,FALSE)=""</f>
        <v>0</v>
      </c>
      <c r="H8303" s="6" t="s">
        <v>2189</v>
      </c>
      <c r="I8303" t="s">
        <v>1561</v>
      </c>
      <c r="J8303" t="s">
        <v>1561</v>
      </c>
      <c r="L8303">
        <f t="shared" si="503"/>
        <v>1</v>
      </c>
    </row>
    <row r="8304" spans="1:12" x14ac:dyDescent="0.35">
      <c r="A8304">
        <f t="shared" si="504"/>
        <v>8303</v>
      </c>
      <c r="B8304" t="s">
        <v>743</v>
      </c>
      <c r="C8304" s="109" t="str">
        <f>IF(ISBLANK(K8304),IFERROR(VLOOKUP(I8304,FS_input_data!$C$458:$N$648,Export!J8304,FALSE),""),K8304)</f>
        <v/>
      </c>
      <c r="D8304" s="6"/>
      <c r="E8304" s="6"/>
      <c r="F8304" s="6"/>
      <c r="G8304" s="115" t="b">
        <f>VLOOKUP(I8282,FS_input_noty,J8282,FALSE)=""</f>
        <v>0</v>
      </c>
      <c r="H8304" s="6" t="s">
        <v>2189</v>
      </c>
      <c r="I8304" t="s">
        <v>1561</v>
      </c>
      <c r="J8304" t="s">
        <v>1561</v>
      </c>
      <c r="L8304">
        <f t="shared" si="503"/>
        <v>1</v>
      </c>
    </row>
    <row r="8305" spans="1:12" x14ac:dyDescent="0.35">
      <c r="A8305">
        <f t="shared" si="504"/>
        <v>8304</v>
      </c>
      <c r="B8305" t="s">
        <v>744</v>
      </c>
      <c r="C8305" s="109" t="str">
        <f>IF(ISBLANK(K8305),IFERROR(VLOOKUP(I8305,FS_input_data!$C$458:$N$648,Export!J8305,FALSE),""),K8305)</f>
        <v/>
      </c>
      <c r="D8305" s="6"/>
      <c r="E8305" s="6"/>
      <c r="F8305" s="6"/>
      <c r="G8305" s="115" t="b">
        <f t="shared" ref="G8305:G8312" si="506">RP_tax</f>
        <v>1</v>
      </c>
      <c r="H8305" s="6" t="s">
        <v>2189</v>
      </c>
      <c r="I8305" t="s">
        <v>1561</v>
      </c>
      <c r="J8305" t="s">
        <v>1561</v>
      </c>
      <c r="L8305" s="26" t="e">
        <f t="shared" si="503"/>
        <v>#VALUE!</v>
      </c>
    </row>
    <row r="8306" spans="1:12" x14ac:dyDescent="0.35">
      <c r="A8306" s="9">
        <f t="shared" si="504"/>
        <v>8305</v>
      </c>
      <c r="B8306" t="s">
        <v>109</v>
      </c>
      <c r="C8306" s="109">
        <f>IF(ISBLANK(K8306),IFERROR(VLOOKUP(I8306,FS_input_data!$C$458:$N$648,Export!J8306,FALSE),""),K8306)</f>
        <v>20000</v>
      </c>
      <c r="D8306" s="6" t="b">
        <v>1</v>
      </c>
      <c r="E8306" s="6"/>
      <c r="F8306" s="6"/>
      <c r="G8306" s="115" t="b">
        <f t="shared" si="506"/>
        <v>1</v>
      </c>
      <c r="H8306" s="6" t="s">
        <v>2189</v>
      </c>
      <c r="I8306" t="s">
        <v>2180</v>
      </c>
      <c r="J8306">
        <v>10</v>
      </c>
      <c r="L8306" s="26" t="e">
        <f t="shared" si="503"/>
        <v>#VALUE!</v>
      </c>
    </row>
    <row r="8307" spans="1:12" x14ac:dyDescent="0.35">
      <c r="A8307">
        <f t="shared" si="504"/>
        <v>8306</v>
      </c>
      <c r="B8307" t="s">
        <v>110</v>
      </c>
      <c r="C8307" s="109" t="str">
        <f>IF(ISBLANK(K8307),IFERROR(VLOOKUP(I8307,FS_input_data!$C$458:$N$648,Export!J8307,FALSE),""),K8307)</f>
        <v/>
      </c>
      <c r="D8307" s="6"/>
      <c r="E8307" s="6"/>
      <c r="F8307" s="6"/>
      <c r="G8307" s="115" t="b">
        <f t="shared" si="506"/>
        <v>1</v>
      </c>
      <c r="H8307" s="6" t="s">
        <v>2189</v>
      </c>
      <c r="I8307" t="s">
        <v>1561</v>
      </c>
      <c r="J8307" t="s">
        <v>1561</v>
      </c>
      <c r="L8307">
        <f t="shared" si="503"/>
        <v>1</v>
      </c>
    </row>
    <row r="8308" spans="1:12" x14ac:dyDescent="0.35">
      <c r="A8308" s="9">
        <f t="shared" si="504"/>
        <v>8307</v>
      </c>
      <c r="B8308" t="s">
        <v>111</v>
      </c>
      <c r="C8308" s="109">
        <f>IF(ISBLANK(K8308),IFERROR(VLOOKUP(I8308,FS_input_data!$C$458:$N$648,Export!J8308,FALSE),""),K8308)</f>
        <v>10000</v>
      </c>
      <c r="D8308" s="6" t="b">
        <v>0</v>
      </c>
      <c r="E8308" s="6"/>
      <c r="F8308" s="6"/>
      <c r="G8308" s="115" t="b">
        <f t="shared" si="506"/>
        <v>1</v>
      </c>
      <c r="H8308" s="6" t="s">
        <v>2189</v>
      </c>
      <c r="I8308" t="s">
        <v>2180</v>
      </c>
      <c r="J8308">
        <v>11</v>
      </c>
      <c r="L8308" s="26" t="e">
        <f t="shared" si="503"/>
        <v>#VALUE!</v>
      </c>
    </row>
    <row r="8309" spans="1:12" x14ac:dyDescent="0.35">
      <c r="A8309">
        <f t="shared" si="504"/>
        <v>8308</v>
      </c>
      <c r="B8309" t="s">
        <v>112</v>
      </c>
      <c r="C8309" s="109" t="str">
        <f>IF(ISBLANK(K8309),IFERROR(VLOOKUP(I8309,FS_input_data!$C$458:$N$648,Export!J8309,FALSE),""),K8309)</f>
        <v/>
      </c>
      <c r="D8309" s="6"/>
      <c r="E8309" s="6"/>
      <c r="F8309" s="6"/>
      <c r="G8309" s="115" t="b">
        <f t="shared" si="506"/>
        <v>1</v>
      </c>
      <c r="H8309" s="6" t="s">
        <v>2189</v>
      </c>
      <c r="I8309" t="s">
        <v>1561</v>
      </c>
      <c r="J8309" t="s">
        <v>1561</v>
      </c>
      <c r="L8309">
        <f t="shared" si="503"/>
        <v>1</v>
      </c>
    </row>
    <row r="8310" spans="1:12" x14ac:dyDescent="0.35">
      <c r="A8310" s="9">
        <f t="shared" si="504"/>
        <v>8309</v>
      </c>
      <c r="B8310" t="s">
        <v>749</v>
      </c>
      <c r="C8310" s="109">
        <f>IF(ISBLANK(K8310),IFERROR(VLOOKUP(I8310,FS_input_data!$C$458:$N$648,Export!J8310,FALSE),""),K8310)</f>
        <v>10000</v>
      </c>
      <c r="D8310" s="6" t="b">
        <v>0</v>
      </c>
      <c r="E8310" s="6"/>
      <c r="F8310" s="6"/>
      <c r="G8310" s="115" t="b">
        <f t="shared" si="506"/>
        <v>1</v>
      </c>
      <c r="H8310" s="6" t="s">
        <v>2189</v>
      </c>
      <c r="I8310" t="s">
        <v>2180</v>
      </c>
      <c r="J8310">
        <v>12</v>
      </c>
      <c r="L8310" s="26" t="e">
        <f t="shared" si="503"/>
        <v>#VALUE!</v>
      </c>
    </row>
    <row r="8311" spans="1:12" x14ac:dyDescent="0.35">
      <c r="A8311">
        <f t="shared" si="504"/>
        <v>8310</v>
      </c>
      <c r="B8311" t="s">
        <v>750</v>
      </c>
      <c r="C8311" s="109" t="str">
        <f>IF(ISBLANK(K8311),IFERROR(VLOOKUP(I8311,FS_input_data!$C$458:$N$648,Export!J8311,FALSE),""),K8311)</f>
        <v/>
      </c>
      <c r="D8311" s="6"/>
      <c r="E8311" s="6"/>
      <c r="F8311" s="6"/>
      <c r="G8311" s="115" t="b">
        <f t="shared" si="506"/>
        <v>1</v>
      </c>
      <c r="H8311" s="6" t="s">
        <v>2189</v>
      </c>
      <c r="I8311" t="s">
        <v>1561</v>
      </c>
      <c r="J8311" t="s">
        <v>1561</v>
      </c>
      <c r="L8311">
        <f t="shared" si="503"/>
        <v>1</v>
      </c>
    </row>
    <row r="8312" spans="1:12" x14ac:dyDescent="0.35">
      <c r="A8312">
        <f t="shared" si="504"/>
        <v>8311</v>
      </c>
      <c r="B8312" t="s">
        <v>745</v>
      </c>
      <c r="C8312" s="109" t="str">
        <f>IF(ISBLANK(K8312),IFERROR(VLOOKUP(I8312,FS_input_data!$C$458:$N$648,Export!J8312,FALSE),""),K8312)</f>
        <v/>
      </c>
      <c r="D8312" s="6"/>
      <c r="E8312" s="6"/>
      <c r="F8312" s="6"/>
      <c r="G8312" s="115" t="b">
        <f t="shared" si="506"/>
        <v>1</v>
      </c>
      <c r="H8312" s="6" t="s">
        <v>2189</v>
      </c>
      <c r="I8312" t="s">
        <v>1561</v>
      </c>
      <c r="J8312" t="s">
        <v>1561</v>
      </c>
      <c r="L8312">
        <f t="shared" si="503"/>
        <v>1</v>
      </c>
    </row>
    <row r="8313" spans="1:12" x14ac:dyDescent="0.35">
      <c r="A8313">
        <f t="shared" si="504"/>
        <v>8312</v>
      </c>
      <c r="B8313" t="s">
        <v>764</v>
      </c>
      <c r="C8313" s="109" t="str">
        <f>IF(ISBLANK(K8313),IFERROR(VLOOKUP(I8313,FS_input_data!$C$458:$N$648,Export!J8313,FALSE),""),K8313)</f>
        <v/>
      </c>
      <c r="D8313" s="6"/>
      <c r="E8313" s="6"/>
      <c r="F8313" s="6"/>
      <c r="G8313" s="115" t="b">
        <f>VLOOKUP(I8282,FS_input_noty,J8282,FALSE)=""</f>
        <v>0</v>
      </c>
      <c r="H8313" s="6" t="s">
        <v>2189</v>
      </c>
      <c r="I8313" t="s">
        <v>1561</v>
      </c>
      <c r="J8313" t="s">
        <v>1561</v>
      </c>
      <c r="L8313">
        <f t="shared" si="503"/>
        <v>1</v>
      </c>
    </row>
    <row r="8314" spans="1:12" x14ac:dyDescent="0.35">
      <c r="A8314">
        <f t="shared" si="504"/>
        <v>8313</v>
      </c>
      <c r="B8314" t="s">
        <v>765</v>
      </c>
      <c r="C8314" s="109" t="str">
        <f>IF(ISBLANK(K8314),IFERROR(VLOOKUP(I8314,FS_input_data!$C$458:$N$648,Export!J8314,FALSE),""),K8314)</f>
        <v/>
      </c>
      <c r="D8314" s="6"/>
      <c r="E8314" s="6"/>
      <c r="F8314" s="6"/>
      <c r="G8314" s="115" t="b">
        <f>VLOOKUP(I8282,FS_input_noty,J8282,FALSE)=""</f>
        <v>0</v>
      </c>
      <c r="H8314" s="6" t="s">
        <v>2189</v>
      </c>
      <c r="I8314" t="s">
        <v>1561</v>
      </c>
      <c r="J8314" t="s">
        <v>1561</v>
      </c>
      <c r="L8314">
        <f t="shared" si="503"/>
        <v>1</v>
      </c>
    </row>
    <row r="8315" spans="1:12" x14ac:dyDescent="0.35">
      <c r="A8315">
        <f t="shared" si="504"/>
        <v>8314</v>
      </c>
      <c r="B8315" t="s">
        <v>766</v>
      </c>
      <c r="C8315" s="109" t="str">
        <f>IF(ISBLANK(K8315),IFERROR(VLOOKUP(I8315,FS_input_data!$C$458:$N$648,Export!J8315,FALSE),""),K8315)</f>
        <v/>
      </c>
      <c r="D8315" s="6"/>
      <c r="E8315" s="6"/>
      <c r="F8315" s="6"/>
      <c r="G8315" s="117" t="b">
        <f t="shared" ref="G8315:G8323" si="507">VLOOKUP($I$8317,FS_input_noty,$J$8317,FALSE)=""</f>
        <v>0</v>
      </c>
      <c r="H8315" s="6" t="s">
        <v>2189</v>
      </c>
      <c r="I8315" t="s">
        <v>1561</v>
      </c>
      <c r="J8315" t="s">
        <v>1561</v>
      </c>
      <c r="L8315" s="26" t="e">
        <f t="shared" si="503"/>
        <v>#VALUE!</v>
      </c>
    </row>
    <row r="8316" spans="1:12" x14ac:dyDescent="0.35">
      <c r="A8316">
        <f t="shared" si="504"/>
        <v>8315</v>
      </c>
      <c r="B8316" t="s">
        <v>742</v>
      </c>
      <c r="C8316" s="109" t="str">
        <f>IF(ISBLANK(K8316),IFERROR(VLOOKUP(I8316,FS_input_data!$C$458:$N$648,Export!J8316,FALSE),""),K8316)</f>
        <v/>
      </c>
      <c r="D8316" s="6"/>
      <c r="E8316" s="6"/>
      <c r="F8316" s="6"/>
      <c r="G8316" s="117" t="b">
        <f t="shared" si="507"/>
        <v>0</v>
      </c>
      <c r="H8316" s="6" t="s">
        <v>2189</v>
      </c>
      <c r="I8316" t="s">
        <v>1561</v>
      </c>
      <c r="J8316" t="s">
        <v>1561</v>
      </c>
      <c r="L8316" s="26" t="e">
        <f t="shared" si="503"/>
        <v>#VALUE!</v>
      </c>
    </row>
    <row r="8317" spans="1:12" x14ac:dyDescent="0.35">
      <c r="A8317" s="9">
        <f t="shared" si="504"/>
        <v>8316</v>
      </c>
      <c r="B8317" t="s">
        <v>109</v>
      </c>
      <c r="C8317" s="109">
        <f>IF(ISBLANK(K8317),IFERROR(VLOOKUP(I8317,FS_input_data!$C$458:$N$648,Export!J8317,FALSE),""),K8317)</f>
        <v>-188000</v>
      </c>
      <c r="D8317" s="6" t="b">
        <v>1</v>
      </c>
      <c r="E8317" s="6"/>
      <c r="F8317" s="6"/>
      <c r="G8317" s="117" t="b">
        <f t="shared" si="507"/>
        <v>0</v>
      </c>
      <c r="H8317" s="6" t="s">
        <v>2189</v>
      </c>
      <c r="I8317" t="s">
        <v>2140</v>
      </c>
      <c r="J8317">
        <v>7</v>
      </c>
      <c r="L8317" s="26" t="e">
        <f t="shared" si="503"/>
        <v>#VALUE!</v>
      </c>
    </row>
    <row r="8318" spans="1:12" x14ac:dyDescent="0.35">
      <c r="A8318">
        <f t="shared" si="504"/>
        <v>8317</v>
      </c>
      <c r="B8318" t="s">
        <v>110</v>
      </c>
      <c r="C8318" s="109" t="str">
        <f>IF(ISBLANK(K8318),IFERROR(VLOOKUP(I8318,FS_input_data!$C$458:$N$648,Export!J8318,FALSE),""),K8318)</f>
        <v/>
      </c>
      <c r="D8318" s="6"/>
      <c r="E8318" s="6"/>
      <c r="F8318" s="6"/>
      <c r="G8318" s="117" t="b">
        <f t="shared" si="507"/>
        <v>0</v>
      </c>
      <c r="H8318" s="6" t="s">
        <v>2189</v>
      </c>
      <c r="I8318" t="s">
        <v>1561</v>
      </c>
      <c r="J8318" t="s">
        <v>1561</v>
      </c>
      <c r="L8318">
        <f t="shared" si="503"/>
        <v>1</v>
      </c>
    </row>
    <row r="8319" spans="1:12" x14ac:dyDescent="0.35">
      <c r="A8319" s="9">
        <f t="shared" si="504"/>
        <v>8318</v>
      </c>
      <c r="B8319" t="s">
        <v>111</v>
      </c>
      <c r="C8319" s="109">
        <f>IF(ISBLANK(K8319),IFERROR(VLOOKUP(I8319,FS_input_data!$C$458:$N$648,Export!J8319,FALSE),""),K8319)</f>
        <v>-94000</v>
      </c>
      <c r="D8319" s="6" t="b">
        <v>0</v>
      </c>
      <c r="E8319" s="6"/>
      <c r="F8319" s="6"/>
      <c r="G8319" s="117" t="b">
        <f t="shared" si="507"/>
        <v>0</v>
      </c>
      <c r="H8319" s="6" t="s">
        <v>2189</v>
      </c>
      <c r="I8319" t="s">
        <v>2140</v>
      </c>
      <c r="J8319">
        <v>8</v>
      </c>
      <c r="L8319" s="26" t="e">
        <f t="shared" si="503"/>
        <v>#VALUE!</v>
      </c>
    </row>
    <row r="8320" spans="1:12" x14ac:dyDescent="0.35">
      <c r="A8320">
        <f t="shared" si="504"/>
        <v>8319</v>
      </c>
      <c r="B8320" t="s">
        <v>112</v>
      </c>
      <c r="C8320" s="109" t="str">
        <f>IF(ISBLANK(K8320),IFERROR(VLOOKUP(I8320,FS_input_data!$C$458:$N$648,Export!J8320,FALSE),""),K8320)</f>
        <v/>
      </c>
      <c r="D8320" s="6"/>
      <c r="E8320" s="6"/>
      <c r="F8320" s="6"/>
      <c r="G8320" s="117" t="b">
        <f t="shared" si="507"/>
        <v>0</v>
      </c>
      <c r="H8320" s="6" t="s">
        <v>2189</v>
      </c>
      <c r="I8320" t="s">
        <v>1561</v>
      </c>
      <c r="J8320" t="s">
        <v>1561</v>
      </c>
      <c r="L8320">
        <f t="shared" si="503"/>
        <v>1</v>
      </c>
    </row>
    <row r="8321" spans="1:12" x14ac:dyDescent="0.35">
      <c r="A8321" s="9">
        <f t="shared" si="504"/>
        <v>8320</v>
      </c>
      <c r="B8321" t="s">
        <v>749</v>
      </c>
      <c r="C8321" s="109">
        <f>IF(ISBLANK(K8321),IFERROR(VLOOKUP(I8321,FS_input_data!$C$458:$N$648,Export!J8321,FALSE),""),K8321)</f>
        <v>-94000</v>
      </c>
      <c r="D8321" s="6" t="b">
        <v>0</v>
      </c>
      <c r="E8321" s="6"/>
      <c r="F8321" s="6"/>
      <c r="G8321" s="117" t="b">
        <f t="shared" si="507"/>
        <v>0</v>
      </c>
      <c r="H8321" s="6" t="s">
        <v>2189</v>
      </c>
      <c r="I8321" t="s">
        <v>2140</v>
      </c>
      <c r="J8321">
        <v>9</v>
      </c>
      <c r="L8321" s="26" t="e">
        <f t="shared" si="503"/>
        <v>#VALUE!</v>
      </c>
    </row>
    <row r="8322" spans="1:12" x14ac:dyDescent="0.35">
      <c r="A8322">
        <f t="shared" si="504"/>
        <v>8321</v>
      </c>
      <c r="B8322" t="s">
        <v>750</v>
      </c>
      <c r="C8322" s="109" t="str">
        <f>IF(ISBLANK(K8322),IFERROR(VLOOKUP(I8322,FS_input_data!$C$458:$N$648,Export!J8322,FALSE),""),K8322)</f>
        <v/>
      </c>
      <c r="D8322" s="6"/>
      <c r="E8322" s="6"/>
      <c r="F8322" s="6"/>
      <c r="G8322" s="117" t="b">
        <f t="shared" si="507"/>
        <v>0</v>
      </c>
      <c r="H8322" s="6" t="s">
        <v>2189</v>
      </c>
      <c r="I8322" t="s">
        <v>1561</v>
      </c>
      <c r="J8322" t="s">
        <v>1561</v>
      </c>
      <c r="L8322">
        <f t="shared" ref="L8322:L8348" si="508">FIND("/",B8322)</f>
        <v>1</v>
      </c>
    </row>
    <row r="8323" spans="1:12" x14ac:dyDescent="0.35">
      <c r="A8323">
        <f t="shared" ref="A8323:A8348" si="509">A8322+1</f>
        <v>8322</v>
      </c>
      <c r="B8323" t="s">
        <v>743</v>
      </c>
      <c r="C8323" s="109" t="str">
        <f>IF(ISBLANK(K8323),IFERROR(VLOOKUP(I8323,FS_input_data!$C$458:$N$648,Export!J8323,FALSE),""),K8323)</f>
        <v/>
      </c>
      <c r="D8323" s="6"/>
      <c r="E8323" s="6"/>
      <c r="F8323" s="6"/>
      <c r="G8323" s="117" t="b">
        <f t="shared" si="507"/>
        <v>0</v>
      </c>
      <c r="H8323" s="6" t="s">
        <v>2189</v>
      </c>
      <c r="I8323" t="s">
        <v>1561</v>
      </c>
      <c r="J8323" t="s">
        <v>1561</v>
      </c>
      <c r="L8323">
        <f t="shared" si="508"/>
        <v>1</v>
      </c>
    </row>
    <row r="8324" spans="1:12" x14ac:dyDescent="0.35">
      <c r="A8324">
        <f t="shared" si="509"/>
        <v>8323</v>
      </c>
      <c r="B8324" t="s">
        <v>744</v>
      </c>
      <c r="C8324" s="109" t="str">
        <f>IF(ISBLANK(K8324),IFERROR(VLOOKUP(I8324,FS_input_data!$C$458:$N$648,Export!J8324,FALSE),""),K8324)</f>
        <v/>
      </c>
      <c r="D8324" s="6"/>
      <c r="E8324" s="6"/>
      <c r="F8324" s="6"/>
      <c r="G8324" s="117" t="b">
        <f t="shared" ref="G8324:G8331" si="510">RP_tax</f>
        <v>1</v>
      </c>
      <c r="H8324" s="6" t="s">
        <v>2189</v>
      </c>
      <c r="I8324" t="s">
        <v>1561</v>
      </c>
      <c r="J8324" t="s">
        <v>1561</v>
      </c>
      <c r="L8324" s="26" t="e">
        <f t="shared" si="508"/>
        <v>#VALUE!</v>
      </c>
    </row>
    <row r="8325" spans="1:12" x14ac:dyDescent="0.35">
      <c r="A8325" s="9">
        <f t="shared" si="509"/>
        <v>8324</v>
      </c>
      <c r="B8325" t="s">
        <v>109</v>
      </c>
      <c r="C8325" s="109">
        <f>IF(ISBLANK(K8325),IFERROR(VLOOKUP(I8325,FS_input_data!$C$458:$N$648,Export!J8325,FALSE),""),K8325)</f>
        <v>-188000</v>
      </c>
      <c r="D8325" s="6" t="b">
        <v>1</v>
      </c>
      <c r="E8325" s="6"/>
      <c r="F8325" s="6"/>
      <c r="G8325" s="117" t="b">
        <f t="shared" si="510"/>
        <v>1</v>
      </c>
      <c r="H8325" s="6" t="s">
        <v>2189</v>
      </c>
      <c r="I8325" t="s">
        <v>2140</v>
      </c>
      <c r="J8325">
        <v>10</v>
      </c>
      <c r="L8325" s="26" t="e">
        <f t="shared" si="508"/>
        <v>#VALUE!</v>
      </c>
    </row>
    <row r="8326" spans="1:12" x14ac:dyDescent="0.35">
      <c r="A8326">
        <f t="shared" si="509"/>
        <v>8325</v>
      </c>
      <c r="B8326" t="s">
        <v>110</v>
      </c>
      <c r="C8326" s="109" t="str">
        <f>IF(ISBLANK(K8326),IFERROR(VLOOKUP(I8326,FS_input_data!$C$458:$N$648,Export!J8326,FALSE),""),K8326)</f>
        <v/>
      </c>
      <c r="D8326" s="6"/>
      <c r="E8326" s="6"/>
      <c r="F8326" s="6"/>
      <c r="G8326" s="117" t="b">
        <f t="shared" si="510"/>
        <v>1</v>
      </c>
      <c r="H8326" s="6" t="s">
        <v>2189</v>
      </c>
      <c r="I8326" t="s">
        <v>1561</v>
      </c>
      <c r="J8326" t="s">
        <v>1561</v>
      </c>
      <c r="L8326">
        <f t="shared" si="508"/>
        <v>1</v>
      </c>
    </row>
    <row r="8327" spans="1:12" x14ac:dyDescent="0.35">
      <c r="A8327" s="9">
        <f t="shared" si="509"/>
        <v>8326</v>
      </c>
      <c r="B8327" t="s">
        <v>111</v>
      </c>
      <c r="C8327" s="109">
        <f>IF(ISBLANK(K8327),IFERROR(VLOOKUP(I8327,FS_input_data!$C$458:$N$648,Export!J8327,FALSE),""),K8327)</f>
        <v>-94000</v>
      </c>
      <c r="D8327" s="6" t="b">
        <v>1</v>
      </c>
      <c r="E8327" s="6"/>
      <c r="F8327" s="6"/>
      <c r="G8327" s="117" t="b">
        <f t="shared" si="510"/>
        <v>1</v>
      </c>
      <c r="H8327" s="6" t="s">
        <v>2189</v>
      </c>
      <c r="I8327" t="s">
        <v>2140</v>
      </c>
      <c r="J8327">
        <v>11</v>
      </c>
      <c r="L8327" s="26" t="e">
        <f t="shared" si="508"/>
        <v>#VALUE!</v>
      </c>
    </row>
    <row r="8328" spans="1:12" x14ac:dyDescent="0.35">
      <c r="A8328">
        <f t="shared" si="509"/>
        <v>8327</v>
      </c>
      <c r="B8328" t="s">
        <v>112</v>
      </c>
      <c r="C8328" s="109" t="str">
        <f>IF(ISBLANK(K8328),IFERROR(VLOOKUP(I8328,FS_input_data!$C$458:$N$648,Export!J8328,FALSE),""),K8328)</f>
        <v/>
      </c>
      <c r="D8328" s="6"/>
      <c r="E8328" s="6"/>
      <c r="F8328" s="6"/>
      <c r="G8328" s="117" t="b">
        <f t="shared" si="510"/>
        <v>1</v>
      </c>
      <c r="H8328" s="6" t="s">
        <v>2189</v>
      </c>
      <c r="I8328" t="s">
        <v>1561</v>
      </c>
      <c r="J8328" t="s">
        <v>1561</v>
      </c>
      <c r="L8328">
        <f t="shared" si="508"/>
        <v>1</v>
      </c>
    </row>
    <row r="8329" spans="1:12" x14ac:dyDescent="0.35">
      <c r="A8329" s="9">
        <f t="shared" si="509"/>
        <v>8328</v>
      </c>
      <c r="B8329" t="s">
        <v>749</v>
      </c>
      <c r="C8329" s="109">
        <f>IF(ISBLANK(K8329),IFERROR(VLOOKUP(I8329,FS_input_data!$C$458:$N$648,Export!J8329,FALSE),""),K8329)</f>
        <v>-94000</v>
      </c>
      <c r="D8329" s="6" t="b">
        <v>1</v>
      </c>
      <c r="E8329" s="6"/>
      <c r="F8329" s="6"/>
      <c r="G8329" s="117" t="b">
        <f t="shared" si="510"/>
        <v>1</v>
      </c>
      <c r="H8329" s="6" t="s">
        <v>2189</v>
      </c>
      <c r="I8329" t="s">
        <v>2140</v>
      </c>
      <c r="J8329">
        <v>12</v>
      </c>
      <c r="L8329" s="26" t="e">
        <f t="shared" si="508"/>
        <v>#VALUE!</v>
      </c>
    </row>
    <row r="8330" spans="1:12" x14ac:dyDescent="0.35">
      <c r="A8330">
        <f t="shared" si="509"/>
        <v>8329</v>
      </c>
      <c r="B8330" t="s">
        <v>750</v>
      </c>
      <c r="C8330" s="109" t="str">
        <f>IF(ISBLANK(K8330),IFERROR(VLOOKUP(I8330,FS_input_data!$C$458:$N$648,Export!J8330,FALSE),""),K8330)</f>
        <v/>
      </c>
      <c r="D8330" s="6"/>
      <c r="E8330" s="6"/>
      <c r="F8330" s="6"/>
      <c r="G8330" s="117" t="b">
        <f t="shared" si="510"/>
        <v>1</v>
      </c>
      <c r="H8330" s="6" t="s">
        <v>2189</v>
      </c>
      <c r="I8330" t="s">
        <v>1561</v>
      </c>
      <c r="J8330" t="s">
        <v>1561</v>
      </c>
      <c r="L8330">
        <f t="shared" si="508"/>
        <v>1</v>
      </c>
    </row>
    <row r="8331" spans="1:12" x14ac:dyDescent="0.35">
      <c r="A8331">
        <f t="shared" si="509"/>
        <v>8330</v>
      </c>
      <c r="B8331" t="s">
        <v>745</v>
      </c>
      <c r="C8331" s="109" t="str">
        <f>IF(ISBLANK(K8331),IFERROR(VLOOKUP(I8331,FS_input_data!$C$458:$N$648,Export!J8331,FALSE),""),K8331)</f>
        <v/>
      </c>
      <c r="D8331" s="6"/>
      <c r="E8331" s="6"/>
      <c r="F8331" s="6"/>
      <c r="G8331" s="117" t="b">
        <f t="shared" si="510"/>
        <v>1</v>
      </c>
      <c r="H8331" s="6" t="s">
        <v>2189</v>
      </c>
      <c r="I8331" t="s">
        <v>1561</v>
      </c>
      <c r="J8331" t="s">
        <v>1561</v>
      </c>
      <c r="L8331">
        <f t="shared" si="508"/>
        <v>1</v>
      </c>
    </row>
    <row r="8332" spans="1:12" x14ac:dyDescent="0.35">
      <c r="A8332">
        <f t="shared" si="509"/>
        <v>8331</v>
      </c>
      <c r="B8332" t="s">
        <v>767</v>
      </c>
      <c r="C8332" s="109" t="str">
        <f>IF(ISBLANK(K8332),IFERROR(VLOOKUP(I8332,FS_input_data!$C$458:$N$648,Export!J8332,FALSE),""),K8332)</f>
        <v/>
      </c>
      <c r="D8332" s="6"/>
      <c r="E8332" s="6"/>
      <c r="F8332" s="6"/>
      <c r="G8332" s="117" t="b">
        <f t="shared" ref="G8332:G8345" si="511">VLOOKUP($I$8317,FS_input_noty,$J$8317,FALSE)=""</f>
        <v>0</v>
      </c>
      <c r="H8332" s="6" t="s">
        <v>2189</v>
      </c>
      <c r="I8332" t="s">
        <v>1561</v>
      </c>
      <c r="J8332" t="s">
        <v>1561</v>
      </c>
      <c r="L8332">
        <f t="shared" si="508"/>
        <v>1</v>
      </c>
    </row>
    <row r="8333" spans="1:12" x14ac:dyDescent="0.35">
      <c r="A8333">
        <f t="shared" si="509"/>
        <v>8332</v>
      </c>
      <c r="B8333" t="s">
        <v>782</v>
      </c>
      <c r="C8333" s="109" t="str">
        <f>IF(ISBLANK(K8333),IFERROR(VLOOKUP(I8333,FS_input_data!$C$458:$N$648,Export!J8333,FALSE),""),K8333)</f>
        <v/>
      </c>
      <c r="D8333" s="6"/>
      <c r="E8333" s="6"/>
      <c r="F8333" s="6"/>
      <c r="G8333" s="117" t="b">
        <f t="shared" si="511"/>
        <v>0</v>
      </c>
      <c r="H8333" s="6" t="s">
        <v>2189</v>
      </c>
      <c r="I8333" t="s">
        <v>1561</v>
      </c>
      <c r="J8333" t="s">
        <v>1561</v>
      </c>
      <c r="L8333">
        <f t="shared" si="508"/>
        <v>1</v>
      </c>
    </row>
    <row r="8334" spans="1:12" x14ac:dyDescent="0.35">
      <c r="A8334">
        <f t="shared" si="509"/>
        <v>8333</v>
      </c>
      <c r="B8334" t="s">
        <v>783</v>
      </c>
      <c r="C8334" s="109" t="str">
        <f>IF(ISBLANK(K8334),IFERROR(VLOOKUP(I8334,FS_input_data!$C$458:$N$648,Export!J8334,FALSE),""),K8334)</f>
        <v/>
      </c>
      <c r="D8334" s="107"/>
      <c r="E8334" s="43" t="s">
        <v>2238</v>
      </c>
      <c r="F8334" s="6"/>
      <c r="G8334" s="117" t="b">
        <f t="shared" si="511"/>
        <v>0</v>
      </c>
      <c r="H8334" s="6" t="s">
        <v>2189</v>
      </c>
      <c r="I8334" t="s">
        <v>1561</v>
      </c>
      <c r="J8334" t="s">
        <v>1561</v>
      </c>
      <c r="L8334" s="26" t="e">
        <f t="shared" si="508"/>
        <v>#VALUE!</v>
      </c>
    </row>
    <row r="8335" spans="1:12" x14ac:dyDescent="0.35">
      <c r="A8335" s="9">
        <f t="shared" si="509"/>
        <v>8334</v>
      </c>
      <c r="B8335" t="s">
        <v>742</v>
      </c>
      <c r="C8335" s="109">
        <f>IF(ISBLANK(K8335),IFERROR(VLOOKUP(I8335,FS_input_data!$C$458:$N$648,Export!J8335,FALSE),""),K8335)</f>
        <v>187000</v>
      </c>
      <c r="D8335" s="107" t="b">
        <v>1</v>
      </c>
      <c r="E8335" s="6"/>
      <c r="F8335" s="6"/>
      <c r="G8335" s="117" t="b">
        <f t="shared" si="511"/>
        <v>0</v>
      </c>
      <c r="H8335" s="6" t="s">
        <v>2189</v>
      </c>
      <c r="I8335" t="s">
        <v>2182</v>
      </c>
      <c r="J8335">
        <v>7</v>
      </c>
      <c r="L8335" s="26" t="e">
        <f t="shared" si="508"/>
        <v>#VALUE!</v>
      </c>
    </row>
    <row r="8336" spans="1:12" x14ac:dyDescent="0.35">
      <c r="A8336">
        <f t="shared" si="509"/>
        <v>8335</v>
      </c>
      <c r="B8336" t="s">
        <v>743</v>
      </c>
      <c r="C8336" s="109" t="str">
        <f>IF(ISBLANK(K8336),IFERROR(VLOOKUP(I8336,FS_input_data!$C$458:$N$648,Export!J8336,FALSE),""),K8336)</f>
        <v/>
      </c>
      <c r="D8336" s="107"/>
      <c r="E8336" s="6"/>
      <c r="F8336" s="6"/>
      <c r="G8336" s="117" t="b">
        <f t="shared" si="511"/>
        <v>0</v>
      </c>
      <c r="H8336" s="6" t="s">
        <v>2189</v>
      </c>
      <c r="I8336" t="s">
        <v>1561</v>
      </c>
      <c r="J8336" t="s">
        <v>1561</v>
      </c>
      <c r="L8336">
        <f t="shared" si="508"/>
        <v>1</v>
      </c>
    </row>
    <row r="8337" spans="1:12" x14ac:dyDescent="0.35">
      <c r="A8337" s="9">
        <f t="shared" si="509"/>
        <v>8336</v>
      </c>
      <c r="B8337" t="s">
        <v>744</v>
      </c>
      <c r="C8337" s="109">
        <f>IF(ISBLANK(K8337),IFERROR(VLOOKUP(I8337,FS_input_data!$C$458:$N$648,Export!J8337,FALSE),""),K8337)</f>
        <v>187000</v>
      </c>
      <c r="D8337" s="107" t="b">
        <v>0</v>
      </c>
      <c r="E8337" s="6"/>
      <c r="F8337" s="6"/>
      <c r="G8337" s="117" t="b">
        <f t="shared" si="511"/>
        <v>0</v>
      </c>
      <c r="H8337" s="6" t="s">
        <v>2189</v>
      </c>
      <c r="I8337" t="s">
        <v>2182</v>
      </c>
      <c r="J8337">
        <v>10</v>
      </c>
      <c r="L8337" s="26" t="e">
        <f t="shared" si="508"/>
        <v>#VALUE!</v>
      </c>
    </row>
    <row r="8338" spans="1:12" x14ac:dyDescent="0.35">
      <c r="A8338">
        <f t="shared" si="509"/>
        <v>8337</v>
      </c>
      <c r="B8338" t="s">
        <v>745</v>
      </c>
      <c r="C8338" s="109" t="str">
        <f>IF(ISBLANK(K8338),IFERROR(VLOOKUP(I8338,FS_input_data!$C$458:$N$648,Export!J8338,FALSE),""),K8338)</f>
        <v/>
      </c>
      <c r="D8338" s="107"/>
      <c r="E8338" s="6"/>
      <c r="F8338" s="6"/>
      <c r="G8338" s="117" t="b">
        <f t="shared" si="511"/>
        <v>0</v>
      </c>
      <c r="H8338" s="6" t="s">
        <v>2189</v>
      </c>
      <c r="I8338" t="s">
        <v>1561</v>
      </c>
      <c r="J8338" t="s">
        <v>1561</v>
      </c>
      <c r="L8338">
        <f t="shared" si="508"/>
        <v>1</v>
      </c>
    </row>
    <row r="8339" spans="1:12" x14ac:dyDescent="0.35">
      <c r="A8339">
        <f t="shared" si="509"/>
        <v>8338</v>
      </c>
      <c r="B8339" t="s">
        <v>784</v>
      </c>
      <c r="C8339" s="109" t="str">
        <f>IF(ISBLANK(K8339),IFERROR(VLOOKUP(I8339,FS_input_data!$C$458:$N$648,Export!J8339,FALSE),""),K8339)</f>
        <v/>
      </c>
      <c r="D8339" s="107"/>
      <c r="E8339" s="6"/>
      <c r="F8339" s="6"/>
      <c r="G8339" s="117" t="b">
        <f t="shared" si="511"/>
        <v>0</v>
      </c>
      <c r="H8339" s="6" t="s">
        <v>2189</v>
      </c>
      <c r="I8339" t="s">
        <v>1561</v>
      </c>
      <c r="J8339" t="s">
        <v>1561</v>
      </c>
      <c r="L8339">
        <f t="shared" si="508"/>
        <v>1</v>
      </c>
    </row>
    <row r="8340" spans="1:12" x14ac:dyDescent="0.35">
      <c r="A8340">
        <f t="shared" si="509"/>
        <v>8339</v>
      </c>
      <c r="B8340" t="s">
        <v>785</v>
      </c>
      <c r="C8340" s="109" t="str">
        <f>IF(ISBLANK(K8340),IFERROR(VLOOKUP(I8340,FS_input_data!$C$458:$N$648,Export!J8340,FALSE),""),K8340)</f>
        <v/>
      </c>
      <c r="D8340" s="107"/>
      <c r="E8340" s="43" t="s">
        <v>2239</v>
      </c>
      <c r="F8340" s="6"/>
      <c r="G8340" s="117" t="b">
        <f t="shared" si="511"/>
        <v>0</v>
      </c>
      <c r="H8340" s="6" t="s">
        <v>2189</v>
      </c>
      <c r="I8340" t="s">
        <v>1561</v>
      </c>
      <c r="J8340" t="s">
        <v>1561</v>
      </c>
      <c r="L8340" s="26" t="e">
        <f t="shared" si="508"/>
        <v>#VALUE!</v>
      </c>
    </row>
    <row r="8341" spans="1:12" x14ac:dyDescent="0.35">
      <c r="A8341" s="9">
        <f t="shared" si="509"/>
        <v>8340</v>
      </c>
      <c r="B8341" t="s">
        <v>742</v>
      </c>
      <c r="C8341" s="109">
        <f>IF(ISBLANK(K8341),IFERROR(VLOOKUP(I8341,FS_input_data!$C$458:$N$648,Export!J8341,FALSE),""),K8341)</f>
        <v>188000</v>
      </c>
      <c r="D8341" s="107" t="b">
        <v>1</v>
      </c>
      <c r="E8341" s="6"/>
      <c r="F8341" s="6"/>
      <c r="G8341" s="117" t="b">
        <f t="shared" si="511"/>
        <v>0</v>
      </c>
      <c r="H8341" s="6" t="s">
        <v>2189</v>
      </c>
      <c r="I8341" t="s">
        <v>2184</v>
      </c>
      <c r="J8341">
        <v>7</v>
      </c>
      <c r="L8341" s="26" t="e">
        <f t="shared" si="508"/>
        <v>#VALUE!</v>
      </c>
    </row>
    <row r="8342" spans="1:12" x14ac:dyDescent="0.35">
      <c r="A8342">
        <f t="shared" si="509"/>
        <v>8341</v>
      </c>
      <c r="B8342" t="s">
        <v>743</v>
      </c>
      <c r="C8342" s="109" t="str">
        <f>IF(ISBLANK(K8342),IFERROR(VLOOKUP(I8342,FS_input_data!$C$458:$N$648,Export!J8342,FALSE),""),K8342)</f>
        <v/>
      </c>
      <c r="D8342" s="107"/>
      <c r="E8342" s="6"/>
      <c r="F8342" s="6"/>
      <c r="G8342" s="117" t="b">
        <f t="shared" si="511"/>
        <v>0</v>
      </c>
      <c r="H8342" s="6" t="s">
        <v>2189</v>
      </c>
      <c r="I8342" t="s">
        <v>1561</v>
      </c>
      <c r="J8342" t="s">
        <v>1561</v>
      </c>
      <c r="L8342">
        <f t="shared" si="508"/>
        <v>1</v>
      </c>
    </row>
    <row r="8343" spans="1:12" x14ac:dyDescent="0.35">
      <c r="A8343" s="9">
        <f t="shared" si="509"/>
        <v>8342</v>
      </c>
      <c r="B8343" t="s">
        <v>744</v>
      </c>
      <c r="C8343" s="109">
        <f>IF(ISBLANK(K8343),IFERROR(VLOOKUP(I8343,FS_input_data!$C$458:$N$648,Export!J8343,FALSE),""),K8343)</f>
        <v>188000</v>
      </c>
      <c r="D8343" s="107" t="b">
        <v>0</v>
      </c>
      <c r="E8343" s="6"/>
      <c r="F8343" s="6"/>
      <c r="G8343" s="117" t="b">
        <f t="shared" si="511"/>
        <v>0</v>
      </c>
      <c r="H8343" s="6" t="s">
        <v>2189</v>
      </c>
      <c r="I8343" t="s">
        <v>2184</v>
      </c>
      <c r="J8343">
        <v>10</v>
      </c>
      <c r="L8343" s="26" t="e">
        <f t="shared" si="508"/>
        <v>#VALUE!</v>
      </c>
    </row>
    <row r="8344" spans="1:12" x14ac:dyDescent="0.35">
      <c r="A8344">
        <f t="shared" si="509"/>
        <v>8343</v>
      </c>
      <c r="B8344" t="s">
        <v>745</v>
      </c>
      <c r="C8344" s="109" t="str">
        <f>IF(ISBLANK(K8344),IFERROR(VLOOKUP(I8344,FS_input_data!$C$458:$N$648,Export!J8344,FALSE),""),K8344)</f>
        <v/>
      </c>
      <c r="D8344" s="6"/>
      <c r="E8344" s="6"/>
      <c r="F8344" s="6"/>
      <c r="G8344" s="117" t="b">
        <f t="shared" si="511"/>
        <v>0</v>
      </c>
      <c r="H8344" s="6" t="s">
        <v>2189</v>
      </c>
      <c r="I8344" t="s">
        <v>1561</v>
      </c>
      <c r="J8344" t="s">
        <v>1561</v>
      </c>
      <c r="L8344">
        <f t="shared" si="508"/>
        <v>1</v>
      </c>
    </row>
    <row r="8345" spans="1:12" x14ac:dyDescent="0.35">
      <c r="A8345">
        <f t="shared" si="509"/>
        <v>8344</v>
      </c>
      <c r="B8345" t="s">
        <v>786</v>
      </c>
      <c r="C8345" s="109" t="str">
        <f>IF(ISBLANK(K8345),IFERROR(VLOOKUP(I8345,FS_input_data!$C$458:$N$648,Export!J8345,FALSE),""),K8345)</f>
        <v/>
      </c>
      <c r="D8345" s="6"/>
      <c r="E8345" s="6"/>
      <c r="F8345" s="6"/>
      <c r="G8345" s="117" t="b">
        <f t="shared" si="511"/>
        <v>0</v>
      </c>
      <c r="H8345" s="6" t="s">
        <v>2189</v>
      </c>
      <c r="I8345" t="s">
        <v>1561</v>
      </c>
      <c r="J8345" t="s">
        <v>1561</v>
      </c>
      <c r="L8345">
        <f t="shared" si="508"/>
        <v>1</v>
      </c>
    </row>
    <row r="8346" spans="1:12" x14ac:dyDescent="0.35">
      <c r="A8346">
        <f t="shared" si="509"/>
        <v>8345</v>
      </c>
      <c r="B8346" t="s">
        <v>787</v>
      </c>
      <c r="C8346" s="109" t="str">
        <f>IF(ISBLANK(K8346),IFERROR(VLOOKUP(I8346,FS_input_data!$C$458:$N$648,Export!J8346,FALSE),""),K8346)</f>
        <v/>
      </c>
      <c r="D8346" s="6"/>
      <c r="E8346" s="6"/>
      <c r="F8346" s="6"/>
      <c r="G8346" s="6"/>
      <c r="H8346" s="6" t="s">
        <v>2189</v>
      </c>
      <c r="I8346" t="s">
        <v>1561</v>
      </c>
      <c r="J8346" t="s">
        <v>1561</v>
      </c>
      <c r="L8346">
        <f t="shared" si="508"/>
        <v>1</v>
      </c>
    </row>
    <row r="8347" spans="1:12" x14ac:dyDescent="0.35">
      <c r="A8347">
        <f t="shared" si="509"/>
        <v>8346</v>
      </c>
      <c r="B8347" t="s">
        <v>788</v>
      </c>
      <c r="C8347" s="109" t="str">
        <f>IF(ISBLANK(K8347),IFERROR(VLOOKUP(I8347,FS_input_data!$C$458:$N$648,Export!J8347,FALSE),""),K8347)</f>
        <v/>
      </c>
      <c r="D8347" s="6"/>
      <c r="E8347" s="6"/>
      <c r="F8347" s="6"/>
      <c r="G8347" s="6"/>
      <c r="H8347" s="6" t="s">
        <v>2189</v>
      </c>
      <c r="I8347" t="s">
        <v>1561</v>
      </c>
      <c r="J8347" t="s">
        <v>1561</v>
      </c>
      <c r="L8347">
        <f t="shared" si="508"/>
        <v>1</v>
      </c>
    </row>
    <row r="8348" spans="1:12" x14ac:dyDescent="0.35">
      <c r="A8348">
        <f t="shared" si="509"/>
        <v>8347</v>
      </c>
      <c r="B8348" t="s">
        <v>789</v>
      </c>
      <c r="C8348" s="109" t="str">
        <f>IF(ISBLANK(K8348),IFERROR(VLOOKUP(I8348,FS_input_data!$C$458:$N$648,Export!J8348,FALSE),""),K8348)</f>
        <v/>
      </c>
      <c r="D8348" s="6"/>
      <c r="E8348" s="6"/>
      <c r="F8348" s="6"/>
      <c r="G8348" s="6"/>
      <c r="H8348" s="6" t="s">
        <v>2189</v>
      </c>
      <c r="I8348" t="s">
        <v>1561</v>
      </c>
      <c r="J8348" t="s">
        <v>1561</v>
      </c>
      <c r="L8348">
        <f t="shared" si="508"/>
        <v>1</v>
      </c>
    </row>
    <row r="8349" spans="1:12" x14ac:dyDescent="0.35">
      <c r="C8349" s="112"/>
      <c r="D8349" s="5"/>
      <c r="E8349" s="5"/>
      <c r="F8349" s="5"/>
      <c r="G8349" s="5"/>
      <c r="H8349" s="5"/>
      <c r="I8349" s="5"/>
      <c r="J8349" s="5"/>
      <c r="K8349" s="5"/>
    </row>
    <row r="8350" spans="1:12" x14ac:dyDescent="0.35">
      <c r="C8350" s="112"/>
      <c r="D8350" s="5"/>
      <c r="E8350" s="5"/>
      <c r="F8350" s="5"/>
      <c r="G8350" s="5"/>
      <c r="H8350" s="5"/>
      <c r="I8350" s="5"/>
      <c r="J8350" s="5"/>
      <c r="K8350" s="5"/>
    </row>
    <row r="8351" spans="1:12" x14ac:dyDescent="0.35">
      <c r="C8351" s="112"/>
      <c r="D8351" s="5"/>
      <c r="E8351" s="5"/>
      <c r="F8351" s="5"/>
      <c r="G8351" s="5"/>
      <c r="H8351" s="5"/>
      <c r="I8351" s="5"/>
      <c r="J8351" s="5"/>
      <c r="K8351" s="5"/>
    </row>
    <row r="8352" spans="1:12" x14ac:dyDescent="0.35">
      <c r="C8352" s="112"/>
      <c r="D8352" s="5"/>
      <c r="E8352" s="5"/>
      <c r="F8352" s="5"/>
      <c r="G8352" s="5"/>
      <c r="H8352" s="5"/>
      <c r="I8352" s="5"/>
      <c r="J8352" s="5"/>
      <c r="K8352" s="5"/>
    </row>
    <row r="8353" spans="3:11" x14ac:dyDescent="0.35">
      <c r="C8353" s="112"/>
      <c r="D8353" s="5"/>
      <c r="E8353" s="5"/>
      <c r="F8353" s="5"/>
      <c r="G8353" s="5"/>
      <c r="H8353" s="5"/>
      <c r="I8353" s="5"/>
      <c r="J8353" s="5"/>
      <c r="K8353" s="5"/>
    </row>
    <row r="8354" spans="3:11" x14ac:dyDescent="0.35">
      <c r="C8354" s="112"/>
      <c r="D8354" s="5"/>
      <c r="E8354" s="5"/>
      <c r="F8354" s="5"/>
      <c r="G8354" s="5"/>
      <c r="H8354" s="5"/>
      <c r="I8354" s="5"/>
      <c r="J8354" s="5"/>
      <c r="K8354" s="5"/>
    </row>
    <row r="8355" spans="3:11" x14ac:dyDescent="0.35">
      <c r="C8355" s="112"/>
      <c r="D8355" s="5"/>
      <c r="E8355" s="5"/>
      <c r="F8355" s="5"/>
      <c r="G8355" s="5"/>
      <c r="H8355" s="5"/>
      <c r="I8355" s="5"/>
      <c r="J8355" s="5"/>
      <c r="K8355" s="5"/>
    </row>
    <row r="8356" spans="3:11" x14ac:dyDescent="0.35">
      <c r="C8356" s="112"/>
      <c r="D8356" s="5"/>
      <c r="E8356" s="5"/>
      <c r="F8356" s="5"/>
      <c r="G8356" s="5"/>
      <c r="H8356" s="5"/>
      <c r="I8356" s="5"/>
      <c r="J8356" s="5"/>
      <c r="K8356" s="5"/>
    </row>
    <row r="8357" spans="3:11" x14ac:dyDescent="0.35">
      <c r="C8357" s="112"/>
      <c r="D8357" s="5"/>
      <c r="E8357" s="5"/>
      <c r="F8357" s="5"/>
      <c r="G8357" s="5"/>
      <c r="H8357" s="5"/>
      <c r="I8357" s="5"/>
      <c r="J8357" s="5"/>
      <c r="K8357" s="5"/>
    </row>
    <row r="8358" spans="3:11" x14ac:dyDescent="0.35">
      <c r="C8358" s="112"/>
      <c r="D8358" s="5"/>
      <c r="E8358" s="5"/>
      <c r="F8358" s="5"/>
      <c r="G8358" s="5"/>
      <c r="H8358" s="5"/>
      <c r="I8358" s="5"/>
      <c r="J8358" s="5"/>
      <c r="K8358" s="5"/>
    </row>
    <row r="8359" spans="3:11" x14ac:dyDescent="0.35">
      <c r="C8359" s="112"/>
      <c r="D8359" s="5"/>
      <c r="E8359" s="5"/>
      <c r="F8359" s="5"/>
      <c r="G8359" s="5"/>
      <c r="H8359" s="5"/>
      <c r="I8359" s="5"/>
      <c r="J8359" s="5"/>
      <c r="K8359" s="5"/>
    </row>
    <row r="8360" spans="3:11" x14ac:dyDescent="0.35">
      <c r="C8360" s="112"/>
      <c r="D8360" s="5"/>
      <c r="E8360" s="5"/>
      <c r="F8360" s="5"/>
      <c r="G8360" s="5"/>
      <c r="H8360" s="5"/>
      <c r="I8360" s="5"/>
      <c r="J8360" s="5"/>
      <c r="K8360" s="5"/>
    </row>
    <row r="8361" spans="3:11" x14ac:dyDescent="0.35">
      <c r="C8361" s="112"/>
      <c r="D8361" s="5"/>
      <c r="E8361" s="5"/>
      <c r="F8361" s="5"/>
      <c r="G8361" s="5"/>
      <c r="H8361" s="5"/>
      <c r="I8361" s="5"/>
      <c r="J8361" s="5"/>
      <c r="K8361" s="5"/>
    </row>
    <row r="8362" spans="3:11" x14ac:dyDescent="0.35">
      <c r="C8362" s="112"/>
      <c r="D8362" s="5"/>
      <c r="E8362" s="5"/>
      <c r="F8362" s="5"/>
      <c r="G8362" s="5"/>
      <c r="H8362" s="5"/>
      <c r="I8362" s="5"/>
      <c r="J8362" s="5"/>
      <c r="K8362" s="5"/>
    </row>
    <row r="8363" spans="3:11" x14ac:dyDescent="0.35">
      <c r="C8363" s="112"/>
      <c r="D8363" s="5"/>
      <c r="E8363" s="5"/>
      <c r="F8363" s="5"/>
      <c r="G8363" s="5"/>
      <c r="H8363" s="5"/>
      <c r="I8363" s="5"/>
      <c r="J8363" s="5"/>
      <c r="K8363" s="5"/>
    </row>
    <row r="8364" spans="3:11" x14ac:dyDescent="0.35">
      <c r="C8364" s="112"/>
      <c r="D8364" s="5"/>
      <c r="E8364" s="5"/>
      <c r="F8364" s="5"/>
      <c r="G8364" s="5"/>
      <c r="H8364" s="5"/>
      <c r="I8364" s="5"/>
      <c r="J8364" s="5"/>
      <c r="K8364" s="5"/>
    </row>
    <row r="8365" spans="3:11" x14ac:dyDescent="0.35">
      <c r="C8365" s="112"/>
      <c r="D8365" s="5"/>
      <c r="E8365" s="5"/>
      <c r="F8365" s="5"/>
      <c r="G8365" s="5"/>
      <c r="H8365" s="5"/>
      <c r="I8365" s="5"/>
      <c r="J8365" s="5"/>
      <c r="K8365" s="5"/>
    </row>
    <row r="8366" spans="3:11" x14ac:dyDescent="0.35">
      <c r="C8366" s="112"/>
      <c r="D8366" s="5"/>
      <c r="E8366" s="5"/>
      <c r="F8366" s="5"/>
      <c r="G8366" s="5"/>
      <c r="H8366" s="5"/>
      <c r="I8366" s="5"/>
      <c r="J8366" s="5"/>
      <c r="K8366" s="5"/>
    </row>
    <row r="8367" spans="3:11" x14ac:dyDescent="0.35">
      <c r="C8367" s="112"/>
      <c r="D8367" s="5"/>
      <c r="E8367" s="5"/>
      <c r="F8367" s="5"/>
      <c r="G8367" s="5"/>
      <c r="H8367" s="5"/>
      <c r="I8367" s="5"/>
      <c r="J8367" s="5"/>
      <c r="K8367" s="5"/>
    </row>
    <row r="8368" spans="3:11" x14ac:dyDescent="0.35">
      <c r="C8368" s="112"/>
      <c r="D8368" s="5"/>
      <c r="E8368" s="5"/>
      <c r="F8368" s="5"/>
      <c r="G8368" s="5"/>
      <c r="H8368" s="5"/>
      <c r="I8368" s="5"/>
      <c r="J8368" s="5"/>
      <c r="K8368" s="5"/>
    </row>
    <row r="8369" spans="3:11" x14ac:dyDescent="0.35">
      <c r="C8369" s="112"/>
      <c r="D8369" s="5"/>
      <c r="E8369" s="5"/>
      <c r="F8369" s="5"/>
      <c r="G8369" s="5"/>
      <c r="H8369" s="5"/>
      <c r="I8369" s="5"/>
      <c r="J8369" s="5"/>
      <c r="K8369" s="5"/>
    </row>
    <row r="8370" spans="3:11" x14ac:dyDescent="0.35">
      <c r="C8370" s="112"/>
      <c r="D8370" s="5"/>
      <c r="E8370" s="5"/>
      <c r="F8370" s="5"/>
      <c r="G8370" s="5"/>
      <c r="H8370" s="5"/>
      <c r="I8370" s="5"/>
      <c r="J8370" s="5"/>
      <c r="K8370" s="5"/>
    </row>
    <row r="8371" spans="3:11" x14ac:dyDescent="0.35">
      <c r="C8371" s="112"/>
      <c r="D8371" s="5"/>
      <c r="E8371" s="5"/>
      <c r="F8371" s="5"/>
      <c r="G8371" s="5"/>
      <c r="H8371" s="5"/>
      <c r="I8371" s="5"/>
      <c r="J8371" s="5"/>
      <c r="K8371" s="5"/>
    </row>
    <row r="8372" spans="3:11" x14ac:dyDescent="0.35">
      <c r="C8372" s="112"/>
      <c r="D8372" s="5"/>
      <c r="E8372" s="5"/>
      <c r="F8372" s="5"/>
      <c r="G8372" s="5"/>
      <c r="H8372" s="5"/>
      <c r="I8372" s="5"/>
      <c r="J8372" s="5"/>
      <c r="K8372" s="5"/>
    </row>
    <row r="8373" spans="3:11" x14ac:dyDescent="0.35">
      <c r="C8373" s="112"/>
      <c r="D8373" s="5"/>
      <c r="E8373" s="5"/>
      <c r="F8373" s="5"/>
      <c r="G8373" s="5"/>
      <c r="H8373" s="5"/>
      <c r="I8373" s="5"/>
      <c r="J8373" s="5"/>
      <c r="K8373" s="5"/>
    </row>
    <row r="8374" spans="3:11" x14ac:dyDescent="0.35">
      <c r="C8374" s="112"/>
      <c r="D8374" s="5"/>
      <c r="E8374" s="5"/>
      <c r="F8374" s="5"/>
      <c r="G8374" s="5"/>
      <c r="H8374" s="5"/>
      <c r="I8374" s="5"/>
      <c r="J8374" s="5"/>
      <c r="K8374" s="5"/>
    </row>
    <row r="8375" spans="3:11" x14ac:dyDescent="0.35">
      <c r="C8375" s="112"/>
      <c r="D8375" s="5"/>
      <c r="E8375" s="5"/>
      <c r="F8375" s="5"/>
      <c r="G8375" s="5"/>
      <c r="H8375" s="5"/>
      <c r="I8375" s="5"/>
      <c r="J8375" s="5"/>
      <c r="K8375" s="5"/>
    </row>
    <row r="8376" spans="3:11" x14ac:dyDescent="0.35">
      <c r="C8376" s="112"/>
      <c r="D8376" s="5"/>
      <c r="E8376" s="5"/>
      <c r="F8376" s="5"/>
      <c r="G8376" s="5"/>
      <c r="H8376" s="5"/>
      <c r="I8376" s="5"/>
      <c r="J8376" s="5"/>
      <c r="K8376" s="5"/>
    </row>
    <row r="8377" spans="3:11" x14ac:dyDescent="0.35">
      <c r="C8377" s="112"/>
      <c r="D8377" s="5"/>
      <c r="E8377" s="5"/>
      <c r="F8377" s="5"/>
      <c r="G8377" s="5"/>
      <c r="H8377" s="5"/>
      <c r="I8377" s="5"/>
      <c r="J8377" s="5"/>
      <c r="K8377" s="5"/>
    </row>
    <row r="8378" spans="3:11" x14ac:dyDescent="0.35">
      <c r="C8378" s="112"/>
      <c r="D8378" s="5"/>
      <c r="E8378" s="5"/>
      <c r="F8378" s="5"/>
      <c r="G8378" s="5"/>
      <c r="H8378" s="5"/>
      <c r="I8378" s="5"/>
      <c r="J8378" s="5"/>
      <c r="K8378" s="5"/>
    </row>
    <row r="8379" spans="3:11" x14ac:dyDescent="0.35">
      <c r="C8379" s="112"/>
      <c r="D8379" s="5"/>
      <c r="E8379" s="5"/>
      <c r="F8379" s="5"/>
      <c r="G8379" s="5"/>
      <c r="H8379" s="5"/>
      <c r="I8379" s="5"/>
      <c r="J8379" s="5"/>
      <c r="K8379" s="5"/>
    </row>
    <row r="8380" spans="3:11" x14ac:dyDescent="0.35">
      <c r="C8380" s="112"/>
      <c r="D8380" s="5"/>
      <c r="E8380" s="5"/>
      <c r="F8380" s="5"/>
      <c r="G8380" s="5"/>
      <c r="H8380" s="5"/>
      <c r="I8380" s="5"/>
      <c r="J8380" s="5"/>
      <c r="K8380" s="5"/>
    </row>
    <row r="8381" spans="3:11" x14ac:dyDescent="0.35">
      <c r="C8381" s="112"/>
      <c r="D8381" s="5"/>
      <c r="E8381" s="5"/>
      <c r="F8381" s="5"/>
      <c r="G8381" s="5"/>
      <c r="H8381" s="5"/>
      <c r="I8381" s="5"/>
      <c r="J8381" s="5"/>
      <c r="K8381" s="5"/>
    </row>
    <row r="8382" spans="3:11" x14ac:dyDescent="0.35">
      <c r="C8382" s="112"/>
      <c r="D8382" s="5"/>
      <c r="E8382" s="5"/>
      <c r="F8382" s="5"/>
      <c r="G8382" s="5"/>
      <c r="H8382" s="5"/>
      <c r="I8382" s="5"/>
      <c r="J8382" s="5"/>
      <c r="K8382" s="5"/>
    </row>
    <row r="8383" spans="3:11" x14ac:dyDescent="0.35">
      <c r="C8383" s="112"/>
      <c r="D8383" s="5"/>
      <c r="E8383" s="5"/>
      <c r="F8383" s="5"/>
      <c r="G8383" s="5"/>
      <c r="H8383" s="5"/>
      <c r="I8383" s="5"/>
      <c r="J8383" s="5"/>
      <c r="K8383" s="5"/>
    </row>
    <row r="8384" spans="3:11" x14ac:dyDescent="0.35">
      <c r="C8384" s="112"/>
      <c r="D8384" s="5"/>
      <c r="E8384" s="5"/>
      <c r="F8384" s="5"/>
      <c r="G8384" s="5"/>
      <c r="H8384" s="5"/>
      <c r="I8384" s="5"/>
      <c r="J8384" s="5"/>
      <c r="K8384" s="5"/>
    </row>
    <row r="8385" spans="3:11" x14ac:dyDescent="0.35">
      <c r="C8385" s="112"/>
      <c r="D8385" s="5"/>
      <c r="E8385" s="5"/>
      <c r="F8385" s="5"/>
      <c r="G8385" s="5"/>
      <c r="H8385" s="5"/>
      <c r="I8385" s="5"/>
      <c r="J8385" s="5"/>
      <c r="K8385" s="5"/>
    </row>
    <row r="8386" spans="3:11" x14ac:dyDescent="0.35">
      <c r="C8386" s="112"/>
      <c r="D8386" s="5"/>
      <c r="E8386" s="5"/>
      <c r="F8386" s="5"/>
      <c r="G8386" s="5"/>
      <c r="H8386" s="5"/>
      <c r="I8386" s="5"/>
      <c r="J8386" s="5"/>
      <c r="K8386" s="5"/>
    </row>
    <row r="8387" spans="3:11" x14ac:dyDescent="0.35">
      <c r="C8387" s="112"/>
      <c r="D8387" s="5"/>
      <c r="E8387" s="5"/>
      <c r="F8387" s="5"/>
      <c r="G8387" s="5"/>
      <c r="H8387" s="5"/>
      <c r="I8387" s="5"/>
      <c r="J8387" s="5"/>
      <c r="K8387" s="5"/>
    </row>
    <row r="8388" spans="3:11" x14ac:dyDescent="0.35">
      <c r="C8388" s="112"/>
      <c r="D8388" s="5"/>
      <c r="E8388" s="5"/>
      <c r="F8388" s="5"/>
      <c r="G8388" s="5"/>
      <c r="H8388" s="5"/>
      <c r="I8388" s="5"/>
      <c r="J8388" s="5"/>
      <c r="K8388" s="5"/>
    </row>
    <row r="8389" spans="3:11" x14ac:dyDescent="0.35">
      <c r="C8389" s="112"/>
      <c r="D8389" s="5"/>
      <c r="E8389" s="5"/>
      <c r="F8389" s="5"/>
      <c r="G8389" s="5"/>
      <c r="H8389" s="5"/>
      <c r="I8389" s="5"/>
      <c r="J8389" s="5"/>
      <c r="K8389" s="5"/>
    </row>
    <row r="8390" spans="3:11" x14ac:dyDescent="0.35">
      <c r="C8390" s="112"/>
      <c r="D8390" s="5"/>
      <c r="E8390" s="5"/>
      <c r="F8390" s="5"/>
      <c r="G8390" s="5"/>
      <c r="H8390" s="5"/>
      <c r="I8390" s="5"/>
      <c r="J8390" s="5"/>
      <c r="K8390" s="5"/>
    </row>
    <row r="8391" spans="3:11" x14ac:dyDescent="0.35">
      <c r="C8391" s="112"/>
      <c r="D8391" s="5"/>
      <c r="E8391" s="5"/>
      <c r="F8391" s="5"/>
      <c r="G8391" s="5"/>
      <c r="H8391" s="5"/>
      <c r="I8391" s="5"/>
      <c r="J8391" s="5"/>
      <c r="K8391" s="5"/>
    </row>
    <row r="8392" spans="3:11" x14ac:dyDescent="0.35">
      <c r="C8392" s="112"/>
      <c r="D8392" s="5"/>
      <c r="E8392" s="5"/>
      <c r="F8392" s="5"/>
      <c r="G8392" s="5"/>
      <c r="H8392" s="5"/>
      <c r="I8392" s="5"/>
      <c r="J8392" s="5"/>
      <c r="K8392" s="5"/>
    </row>
    <row r="8393" spans="3:11" x14ac:dyDescent="0.35">
      <c r="C8393" s="112"/>
      <c r="D8393" s="5"/>
      <c r="E8393" s="5"/>
      <c r="F8393" s="5"/>
      <c r="G8393" s="5"/>
      <c r="H8393" s="5"/>
      <c r="I8393" s="5"/>
      <c r="J8393" s="5"/>
      <c r="K8393" s="5"/>
    </row>
    <row r="8394" spans="3:11" x14ac:dyDescent="0.35">
      <c r="C8394" s="112"/>
      <c r="D8394" s="5"/>
      <c r="E8394" s="5"/>
      <c r="F8394" s="5"/>
      <c r="G8394" s="5"/>
      <c r="H8394" s="5"/>
      <c r="I8394" s="5"/>
      <c r="J8394" s="5"/>
      <c r="K8394" s="5"/>
    </row>
    <row r="8395" spans="3:11" x14ac:dyDescent="0.35">
      <c r="C8395" s="112"/>
      <c r="D8395" s="5"/>
      <c r="E8395" s="5"/>
      <c r="F8395" s="5"/>
      <c r="G8395" s="5"/>
      <c r="H8395" s="5"/>
      <c r="I8395" s="5"/>
      <c r="J8395" s="5"/>
      <c r="K8395" s="5"/>
    </row>
    <row r="8396" spans="3:11" x14ac:dyDescent="0.35">
      <c r="C8396" s="112"/>
      <c r="D8396" s="5"/>
      <c r="E8396" s="5"/>
      <c r="F8396" s="5"/>
      <c r="G8396" s="5"/>
      <c r="H8396" s="5"/>
      <c r="I8396" s="5"/>
      <c r="J8396" s="5"/>
      <c r="K8396" s="5"/>
    </row>
    <row r="8397" spans="3:11" x14ac:dyDescent="0.35">
      <c r="C8397" s="112"/>
      <c r="D8397" s="5"/>
      <c r="E8397" s="5"/>
      <c r="F8397" s="5"/>
      <c r="G8397" s="5"/>
      <c r="H8397" s="5"/>
      <c r="I8397" s="5"/>
      <c r="J8397" s="5"/>
      <c r="K8397" s="5"/>
    </row>
    <row r="8398" spans="3:11" x14ac:dyDescent="0.35">
      <c r="C8398" s="112"/>
      <c r="D8398" s="5"/>
      <c r="E8398" s="5"/>
      <c r="F8398" s="5"/>
      <c r="G8398" s="5"/>
      <c r="H8398" s="5"/>
      <c r="I8398" s="5"/>
      <c r="J8398" s="5"/>
      <c r="K8398" s="5"/>
    </row>
    <row r="8399" spans="3:11" x14ac:dyDescent="0.35">
      <c r="C8399" s="112"/>
      <c r="D8399" s="5"/>
      <c r="E8399" s="5"/>
      <c r="F8399" s="5"/>
      <c r="G8399" s="5"/>
      <c r="H8399" s="5"/>
      <c r="I8399" s="5"/>
      <c r="J8399" s="5"/>
      <c r="K8399" s="5"/>
    </row>
    <row r="8400" spans="3:11" x14ac:dyDescent="0.35">
      <c r="C8400" s="112"/>
      <c r="D8400" s="5"/>
      <c r="E8400" s="5"/>
      <c r="F8400" s="5"/>
      <c r="G8400" s="5"/>
      <c r="H8400" s="5"/>
      <c r="I8400" s="5"/>
      <c r="J8400" s="5"/>
      <c r="K8400" s="5"/>
    </row>
    <row r="8401" spans="3:11" x14ac:dyDescent="0.35">
      <c r="C8401" s="112"/>
      <c r="D8401" s="5"/>
      <c r="E8401" s="5"/>
      <c r="F8401" s="5"/>
      <c r="G8401" s="5"/>
      <c r="H8401" s="5"/>
      <c r="I8401" s="5"/>
      <c r="J8401" s="5"/>
      <c r="K8401" s="5"/>
    </row>
    <row r="8402" spans="3:11" x14ac:dyDescent="0.35">
      <c r="C8402" s="112"/>
      <c r="D8402" s="5"/>
      <c r="E8402" s="5"/>
      <c r="F8402" s="5"/>
      <c r="G8402" s="5"/>
      <c r="H8402" s="5"/>
      <c r="I8402" s="5"/>
      <c r="J8402" s="5"/>
      <c r="K8402" s="5"/>
    </row>
    <row r="8403" spans="3:11" x14ac:dyDescent="0.35">
      <c r="C8403" s="112"/>
      <c r="D8403" s="5"/>
      <c r="E8403" s="5"/>
      <c r="F8403" s="5"/>
      <c r="G8403" s="5"/>
      <c r="H8403" s="5"/>
      <c r="I8403" s="5"/>
      <c r="J8403" s="5"/>
      <c r="K8403" s="5"/>
    </row>
    <row r="8404" spans="3:11" x14ac:dyDescent="0.35">
      <c r="C8404" s="112"/>
      <c r="D8404" s="5"/>
      <c r="E8404" s="5"/>
      <c r="F8404" s="5"/>
      <c r="G8404" s="5"/>
      <c r="H8404" s="5"/>
      <c r="I8404" s="5"/>
      <c r="J8404" s="5"/>
      <c r="K8404" s="5"/>
    </row>
    <row r="8405" spans="3:11" x14ac:dyDescent="0.35">
      <c r="C8405" s="112"/>
      <c r="D8405" s="5"/>
      <c r="E8405" s="5"/>
      <c r="F8405" s="5"/>
      <c r="G8405" s="5"/>
      <c r="H8405" s="5"/>
      <c r="I8405" s="5"/>
      <c r="J8405" s="5"/>
      <c r="K8405" s="5"/>
    </row>
    <row r="8406" spans="3:11" x14ac:dyDescent="0.35">
      <c r="C8406" s="112"/>
      <c r="D8406" s="5"/>
      <c r="E8406" s="5"/>
      <c r="F8406" s="5"/>
      <c r="G8406" s="5"/>
      <c r="H8406" s="5"/>
      <c r="I8406" s="5"/>
      <c r="J8406" s="5"/>
      <c r="K8406" s="5"/>
    </row>
    <row r="8407" spans="3:11" x14ac:dyDescent="0.35">
      <c r="C8407" s="112"/>
      <c r="D8407" s="5"/>
      <c r="E8407" s="5"/>
      <c r="F8407" s="5"/>
      <c r="G8407" s="5"/>
      <c r="H8407" s="5"/>
      <c r="I8407" s="5"/>
      <c r="J8407" s="5"/>
      <c r="K8407" s="5"/>
    </row>
    <row r="8408" spans="3:11" x14ac:dyDescent="0.35">
      <c r="C8408" s="112"/>
      <c r="D8408" s="5"/>
      <c r="E8408" s="5"/>
      <c r="F8408" s="5"/>
      <c r="G8408" s="5"/>
      <c r="H8408" s="5"/>
      <c r="I8408" s="5"/>
      <c r="J8408" s="5"/>
      <c r="K8408" s="5"/>
    </row>
    <row r="8409" spans="3:11" x14ac:dyDescent="0.35">
      <c r="C8409" s="112"/>
      <c r="D8409" s="5"/>
      <c r="E8409" s="5"/>
      <c r="F8409" s="5"/>
      <c r="G8409" s="5"/>
      <c r="H8409" s="5"/>
      <c r="I8409" s="5"/>
      <c r="J8409" s="5"/>
      <c r="K8409" s="5"/>
    </row>
    <row r="8410" spans="3:11" x14ac:dyDescent="0.35">
      <c r="C8410" s="112"/>
      <c r="D8410" s="5"/>
      <c r="E8410" s="5"/>
      <c r="F8410" s="5"/>
      <c r="G8410" s="5"/>
      <c r="H8410" s="5"/>
      <c r="I8410" s="5"/>
      <c r="J8410" s="5"/>
      <c r="K8410" s="5"/>
    </row>
    <row r="8411" spans="3:11" x14ac:dyDescent="0.35">
      <c r="C8411" s="112"/>
      <c r="D8411" s="5"/>
      <c r="E8411" s="5"/>
      <c r="F8411" s="5"/>
      <c r="G8411" s="5"/>
      <c r="H8411" s="5"/>
      <c r="I8411" s="5"/>
      <c r="J8411" s="5"/>
      <c r="K8411" s="5"/>
    </row>
    <row r="8412" spans="3:11" x14ac:dyDescent="0.35">
      <c r="C8412" s="112"/>
      <c r="D8412" s="5"/>
      <c r="E8412" s="5"/>
      <c r="F8412" s="5"/>
      <c r="G8412" s="5"/>
      <c r="H8412" s="5"/>
      <c r="I8412" s="5"/>
      <c r="J8412" s="5"/>
      <c r="K8412" s="5"/>
    </row>
    <row r="8413" spans="3:11" x14ac:dyDescent="0.35">
      <c r="C8413" s="112"/>
      <c r="D8413" s="5"/>
      <c r="E8413" s="5"/>
      <c r="F8413" s="5"/>
      <c r="G8413" s="5"/>
      <c r="H8413" s="5"/>
      <c r="I8413" s="5"/>
      <c r="J8413" s="5"/>
      <c r="K8413" s="5"/>
    </row>
    <row r="8414" spans="3:11" x14ac:dyDescent="0.35">
      <c r="C8414" s="112"/>
      <c r="D8414" s="5"/>
      <c r="E8414" s="5"/>
      <c r="F8414" s="5"/>
      <c r="G8414" s="5"/>
      <c r="H8414" s="5"/>
      <c r="I8414" s="5"/>
      <c r="J8414" s="5"/>
      <c r="K8414" s="5"/>
    </row>
    <row r="8415" spans="3:11" x14ac:dyDescent="0.35">
      <c r="C8415" s="112"/>
      <c r="D8415" s="5"/>
      <c r="E8415" s="5"/>
      <c r="F8415" s="5"/>
      <c r="G8415" s="5"/>
      <c r="H8415" s="5"/>
      <c r="I8415" s="5"/>
      <c r="J8415" s="5"/>
      <c r="K8415" s="5"/>
    </row>
    <row r="8416" spans="3:11" x14ac:dyDescent="0.35">
      <c r="C8416" s="112"/>
      <c r="D8416" s="5"/>
      <c r="E8416" s="5"/>
      <c r="F8416" s="5"/>
      <c r="G8416" s="5"/>
      <c r="H8416" s="5"/>
      <c r="I8416" s="5"/>
      <c r="J8416" s="5"/>
      <c r="K8416" s="5"/>
    </row>
    <row r="8417" spans="3:11" x14ac:dyDescent="0.35">
      <c r="C8417" s="112"/>
      <c r="D8417" s="5"/>
      <c r="E8417" s="5"/>
      <c r="F8417" s="5"/>
      <c r="G8417" s="5"/>
      <c r="H8417" s="5"/>
      <c r="I8417" s="5"/>
      <c r="J8417" s="5"/>
      <c r="K8417" s="5"/>
    </row>
    <row r="8418" spans="3:11" x14ac:dyDescent="0.35">
      <c r="C8418" s="112"/>
      <c r="D8418" s="5"/>
      <c r="E8418" s="5"/>
      <c r="F8418" s="5"/>
      <c r="G8418" s="5"/>
      <c r="H8418" s="5"/>
      <c r="I8418" s="5"/>
      <c r="J8418" s="5"/>
      <c r="K8418" s="5"/>
    </row>
    <row r="8419" spans="3:11" x14ac:dyDescent="0.35">
      <c r="C8419" s="112"/>
      <c r="D8419" s="5"/>
      <c r="E8419" s="5"/>
      <c r="F8419" s="5"/>
      <c r="G8419" s="5"/>
      <c r="H8419" s="5"/>
      <c r="I8419" s="5"/>
      <c r="J8419" s="5"/>
      <c r="K8419" s="5"/>
    </row>
    <row r="8420" spans="3:11" x14ac:dyDescent="0.35">
      <c r="C8420" s="112"/>
      <c r="D8420" s="5"/>
      <c r="E8420" s="5"/>
      <c r="F8420" s="5"/>
      <c r="G8420" s="5"/>
      <c r="H8420" s="5"/>
      <c r="I8420" s="5"/>
      <c r="J8420" s="5"/>
      <c r="K8420" s="5"/>
    </row>
    <row r="8421" spans="3:11" x14ac:dyDescent="0.35">
      <c r="C8421" s="112"/>
      <c r="D8421" s="5"/>
      <c r="E8421" s="5"/>
      <c r="F8421" s="5"/>
      <c r="G8421" s="5"/>
      <c r="H8421" s="5"/>
      <c r="I8421" s="5"/>
      <c r="J8421" s="5"/>
      <c r="K8421" s="5"/>
    </row>
    <row r="8422" spans="3:11" x14ac:dyDescent="0.35">
      <c r="C8422" s="112"/>
      <c r="D8422" s="5"/>
      <c r="E8422" s="5"/>
      <c r="F8422" s="5"/>
      <c r="G8422" s="5"/>
      <c r="H8422" s="5"/>
      <c r="I8422" s="5"/>
      <c r="J8422" s="5"/>
      <c r="K8422" s="5"/>
    </row>
    <row r="8423" spans="3:11" x14ac:dyDescent="0.35">
      <c r="C8423" s="112"/>
      <c r="D8423" s="5"/>
      <c r="E8423" s="5"/>
      <c r="F8423" s="5"/>
      <c r="G8423" s="5"/>
      <c r="H8423" s="5"/>
      <c r="I8423" s="5"/>
      <c r="J8423" s="5"/>
      <c r="K8423" s="5"/>
    </row>
    <row r="8424" spans="3:11" x14ac:dyDescent="0.35">
      <c r="C8424" s="112"/>
      <c r="D8424" s="5"/>
      <c r="E8424" s="5"/>
      <c r="F8424" s="5"/>
      <c r="G8424" s="5"/>
      <c r="H8424" s="5"/>
      <c r="I8424" s="5"/>
      <c r="J8424" s="5"/>
      <c r="K8424" s="5"/>
    </row>
    <row r="8425" spans="3:11" x14ac:dyDescent="0.35">
      <c r="C8425" s="112"/>
      <c r="D8425" s="5"/>
      <c r="E8425" s="5"/>
      <c r="F8425" s="5"/>
      <c r="G8425" s="5"/>
      <c r="H8425" s="5"/>
      <c r="I8425" s="5"/>
      <c r="J8425" s="5"/>
      <c r="K8425" s="5"/>
    </row>
    <row r="8426" spans="3:11" x14ac:dyDescent="0.35">
      <c r="C8426" s="112"/>
      <c r="D8426" s="5"/>
      <c r="E8426" s="5"/>
      <c r="F8426" s="5"/>
      <c r="G8426" s="5"/>
      <c r="H8426" s="5"/>
      <c r="I8426" s="5"/>
      <c r="J8426" s="5"/>
      <c r="K8426" s="5"/>
    </row>
    <row r="8427" spans="3:11" x14ac:dyDescent="0.35">
      <c r="C8427" s="112"/>
      <c r="D8427" s="5"/>
      <c r="E8427" s="5"/>
      <c r="F8427" s="5"/>
      <c r="G8427" s="5"/>
      <c r="H8427" s="5"/>
      <c r="I8427" s="5"/>
      <c r="J8427" s="5"/>
      <c r="K8427" s="5"/>
    </row>
    <row r="8428" spans="3:11" x14ac:dyDescent="0.35">
      <c r="C8428" s="112"/>
      <c r="D8428" s="5"/>
      <c r="E8428" s="5"/>
      <c r="F8428" s="5"/>
      <c r="G8428" s="5"/>
      <c r="H8428" s="5"/>
      <c r="I8428" s="5"/>
      <c r="J8428" s="5"/>
      <c r="K8428" s="5"/>
    </row>
    <row r="8429" spans="3:11" x14ac:dyDescent="0.35">
      <c r="C8429" s="112"/>
      <c r="D8429" s="5"/>
      <c r="E8429" s="5"/>
      <c r="F8429" s="5"/>
      <c r="G8429" s="5"/>
      <c r="H8429" s="5"/>
      <c r="I8429" s="5"/>
      <c r="J8429" s="5"/>
      <c r="K8429" s="5"/>
    </row>
    <row r="8430" spans="3:11" x14ac:dyDescent="0.35">
      <c r="C8430" s="112"/>
      <c r="D8430" s="5"/>
      <c r="E8430" s="5"/>
      <c r="F8430" s="5"/>
      <c r="G8430" s="5"/>
      <c r="H8430" s="5"/>
      <c r="I8430" s="5"/>
      <c r="J8430" s="5"/>
      <c r="K8430" s="5"/>
    </row>
    <row r="8431" spans="3:11" x14ac:dyDescent="0.35">
      <c r="C8431" s="112"/>
      <c r="D8431" s="5"/>
      <c r="E8431" s="5"/>
      <c r="F8431" s="5"/>
      <c r="G8431" s="5"/>
      <c r="H8431" s="5"/>
      <c r="I8431" s="5"/>
      <c r="J8431" s="5"/>
      <c r="K8431" s="5"/>
    </row>
    <row r="8432" spans="3:11" x14ac:dyDescent="0.35">
      <c r="C8432" s="112"/>
      <c r="D8432" s="5"/>
      <c r="E8432" s="5"/>
      <c r="F8432" s="5"/>
      <c r="G8432" s="5"/>
      <c r="H8432" s="5"/>
      <c r="I8432" s="5"/>
      <c r="J8432" s="5"/>
      <c r="K8432" s="5"/>
    </row>
    <row r="8433" spans="3:11" x14ac:dyDescent="0.35">
      <c r="C8433" s="112"/>
      <c r="D8433" s="5"/>
      <c r="E8433" s="5"/>
      <c r="F8433" s="5"/>
      <c r="G8433" s="5"/>
      <c r="H8433" s="5"/>
      <c r="I8433" s="5"/>
      <c r="J8433" s="5"/>
      <c r="K8433" s="5"/>
    </row>
    <row r="8434" spans="3:11" x14ac:dyDescent="0.35">
      <c r="C8434" s="112"/>
      <c r="D8434" s="5"/>
      <c r="E8434" s="5"/>
      <c r="F8434" s="5"/>
      <c r="G8434" s="5"/>
      <c r="H8434" s="5"/>
      <c r="I8434" s="5"/>
      <c r="J8434" s="5"/>
      <c r="K8434" s="5"/>
    </row>
    <row r="8435" spans="3:11" x14ac:dyDescent="0.35">
      <c r="C8435" s="112"/>
      <c r="D8435" s="5"/>
      <c r="E8435" s="5"/>
      <c r="F8435" s="5"/>
      <c r="G8435" s="5"/>
      <c r="H8435" s="5"/>
      <c r="I8435" s="5"/>
      <c r="J8435" s="5"/>
      <c r="K8435" s="5"/>
    </row>
    <row r="8436" spans="3:11" x14ac:dyDescent="0.35">
      <c r="C8436" s="112"/>
      <c r="D8436" s="5"/>
      <c r="E8436" s="5"/>
      <c r="F8436" s="5"/>
      <c r="G8436" s="5"/>
      <c r="H8436" s="5"/>
      <c r="I8436" s="5"/>
      <c r="J8436" s="5"/>
      <c r="K8436" s="5"/>
    </row>
    <row r="8437" spans="3:11" x14ac:dyDescent="0.35">
      <c r="C8437" s="112"/>
      <c r="D8437" s="5"/>
      <c r="E8437" s="5"/>
      <c r="F8437" s="5"/>
      <c r="G8437" s="5"/>
      <c r="H8437" s="5"/>
      <c r="I8437" s="5"/>
      <c r="J8437" s="5"/>
      <c r="K8437" s="5"/>
    </row>
    <row r="8438" spans="3:11" x14ac:dyDescent="0.35">
      <c r="C8438" s="112"/>
      <c r="D8438" s="5"/>
      <c r="E8438" s="5"/>
      <c r="F8438" s="5"/>
      <c r="G8438" s="5"/>
      <c r="H8438" s="5"/>
      <c r="I8438" s="5"/>
      <c r="J8438" s="5"/>
      <c r="K8438" s="5"/>
    </row>
    <row r="8439" spans="3:11" x14ac:dyDescent="0.35">
      <c r="C8439" s="112"/>
      <c r="D8439" s="5"/>
      <c r="E8439" s="5"/>
      <c r="F8439" s="5"/>
      <c r="G8439" s="5"/>
      <c r="H8439" s="5"/>
      <c r="I8439" s="5"/>
      <c r="J8439" s="5"/>
      <c r="K8439" s="5"/>
    </row>
    <row r="8440" spans="3:11" x14ac:dyDescent="0.35">
      <c r="C8440" s="112"/>
      <c r="D8440" s="5"/>
      <c r="E8440" s="5"/>
      <c r="F8440" s="5"/>
      <c r="G8440" s="5"/>
      <c r="H8440" s="5"/>
      <c r="I8440" s="5"/>
      <c r="J8440" s="5"/>
      <c r="K8440" s="5"/>
    </row>
    <row r="8441" spans="3:11" x14ac:dyDescent="0.35">
      <c r="C8441" s="112"/>
      <c r="D8441" s="5"/>
      <c r="E8441" s="5"/>
      <c r="F8441" s="5"/>
      <c r="G8441" s="5"/>
      <c r="H8441" s="5"/>
      <c r="I8441" s="5"/>
      <c r="J8441" s="5"/>
      <c r="K8441" s="5"/>
    </row>
    <row r="8442" spans="3:11" x14ac:dyDescent="0.35">
      <c r="C8442" s="112"/>
      <c r="D8442" s="5"/>
      <c r="E8442" s="5"/>
      <c r="F8442" s="5"/>
      <c r="G8442" s="5"/>
      <c r="H8442" s="5"/>
      <c r="I8442" s="5"/>
      <c r="J8442" s="5"/>
      <c r="K8442" s="5"/>
    </row>
    <row r="8443" spans="3:11" x14ac:dyDescent="0.35">
      <c r="C8443" s="112"/>
      <c r="D8443" s="5"/>
      <c r="E8443" s="5"/>
      <c r="F8443" s="5"/>
      <c r="G8443" s="5"/>
      <c r="H8443" s="5"/>
      <c r="I8443" s="5"/>
      <c r="J8443" s="5"/>
      <c r="K8443" s="5"/>
    </row>
    <row r="8444" spans="3:11" x14ac:dyDescent="0.35">
      <c r="C8444" s="112"/>
      <c r="D8444" s="5"/>
      <c r="E8444" s="5"/>
      <c r="F8444" s="5"/>
      <c r="G8444" s="5"/>
      <c r="H8444" s="5"/>
      <c r="I8444" s="5"/>
      <c r="J8444" s="5"/>
      <c r="K8444" s="5"/>
    </row>
    <row r="8445" spans="3:11" x14ac:dyDescent="0.35">
      <c r="C8445" s="112"/>
      <c r="D8445" s="5"/>
      <c r="E8445" s="5"/>
      <c r="F8445" s="5"/>
      <c r="G8445" s="5"/>
      <c r="H8445" s="5"/>
      <c r="I8445" s="5"/>
      <c r="J8445" s="5"/>
      <c r="K8445" s="5"/>
    </row>
    <row r="8446" spans="3:11" x14ac:dyDescent="0.35">
      <c r="C8446" s="112"/>
      <c r="D8446" s="5"/>
      <c r="E8446" s="5"/>
      <c r="F8446" s="5"/>
      <c r="G8446" s="5"/>
      <c r="H8446" s="5"/>
      <c r="I8446" s="5"/>
      <c r="J8446" s="5"/>
      <c r="K8446" s="5"/>
    </row>
    <row r="8447" spans="3:11" x14ac:dyDescent="0.35">
      <c r="C8447" s="112"/>
      <c r="D8447" s="5"/>
      <c r="E8447" s="5"/>
      <c r="F8447" s="5"/>
      <c r="G8447" s="5"/>
      <c r="H8447" s="5"/>
      <c r="I8447" s="5"/>
      <c r="J8447" s="5"/>
      <c r="K8447" s="5"/>
    </row>
    <row r="8448" spans="3:11" x14ac:dyDescent="0.35">
      <c r="C8448" s="112"/>
      <c r="D8448" s="5"/>
      <c r="E8448" s="5"/>
      <c r="F8448" s="5"/>
      <c r="G8448" s="5"/>
      <c r="H8448" s="5"/>
      <c r="I8448" s="5"/>
      <c r="J8448" s="5"/>
      <c r="K8448" s="5"/>
    </row>
    <row r="8449" spans="3:11" x14ac:dyDescent="0.35">
      <c r="C8449" s="112"/>
      <c r="D8449" s="5"/>
      <c r="E8449" s="5"/>
      <c r="F8449" s="5"/>
      <c r="G8449" s="5"/>
      <c r="H8449" s="5"/>
      <c r="I8449" s="5"/>
      <c r="J8449" s="5"/>
      <c r="K8449" s="5"/>
    </row>
    <row r="8450" spans="3:11" x14ac:dyDescent="0.35">
      <c r="C8450" s="112"/>
      <c r="D8450" s="5"/>
      <c r="E8450" s="5"/>
      <c r="F8450" s="5"/>
      <c r="G8450" s="5"/>
      <c r="H8450" s="5"/>
      <c r="I8450" s="5"/>
      <c r="J8450" s="5"/>
      <c r="K8450" s="5"/>
    </row>
    <row r="8451" spans="3:11" x14ac:dyDescent="0.35">
      <c r="C8451" s="112"/>
      <c r="D8451" s="5"/>
      <c r="E8451" s="5"/>
      <c r="F8451" s="5"/>
      <c r="G8451" s="5"/>
      <c r="H8451" s="5"/>
      <c r="I8451" s="5"/>
      <c r="J8451" s="5"/>
      <c r="K8451" s="5"/>
    </row>
    <row r="8452" spans="3:11" x14ac:dyDescent="0.35">
      <c r="C8452" s="112"/>
      <c r="D8452" s="5"/>
      <c r="E8452" s="5"/>
      <c r="F8452" s="5"/>
      <c r="G8452" s="5"/>
      <c r="H8452" s="5"/>
      <c r="I8452" s="5"/>
      <c r="J8452" s="5"/>
      <c r="K8452" s="5"/>
    </row>
    <row r="8453" spans="3:11" x14ac:dyDescent="0.35">
      <c r="C8453" s="112"/>
      <c r="D8453" s="5"/>
      <c r="E8453" s="5"/>
      <c r="F8453" s="5"/>
      <c r="G8453" s="5"/>
      <c r="H8453" s="5"/>
      <c r="I8453" s="5"/>
      <c r="J8453" s="5"/>
      <c r="K8453" s="5"/>
    </row>
    <row r="8454" spans="3:11" x14ac:dyDescent="0.35">
      <c r="C8454" s="112"/>
      <c r="D8454" s="5"/>
      <c r="E8454" s="5"/>
      <c r="F8454" s="5"/>
      <c r="G8454" s="5"/>
      <c r="H8454" s="5"/>
      <c r="I8454" s="5"/>
      <c r="J8454" s="5"/>
      <c r="K8454" s="5"/>
    </row>
    <row r="8455" spans="3:11" x14ac:dyDescent="0.35">
      <c r="C8455" s="112"/>
      <c r="D8455" s="5"/>
      <c r="E8455" s="5"/>
      <c r="F8455" s="5"/>
      <c r="G8455" s="5"/>
      <c r="H8455" s="5"/>
      <c r="I8455" s="5"/>
      <c r="J8455" s="5"/>
      <c r="K8455" s="5"/>
    </row>
    <row r="8456" spans="3:11" x14ac:dyDescent="0.35">
      <c r="C8456" s="112"/>
      <c r="D8456" s="5"/>
      <c r="E8456" s="5"/>
      <c r="F8456" s="5"/>
      <c r="G8456" s="5"/>
      <c r="H8456" s="5"/>
      <c r="I8456" s="5"/>
      <c r="J8456" s="5"/>
      <c r="K8456" s="5"/>
    </row>
    <row r="8457" spans="3:11" x14ac:dyDescent="0.35">
      <c r="C8457" s="112"/>
      <c r="D8457" s="5"/>
      <c r="E8457" s="5"/>
      <c r="F8457" s="5"/>
      <c r="G8457" s="5"/>
      <c r="H8457" s="5"/>
      <c r="I8457" s="5"/>
      <c r="J8457" s="5"/>
      <c r="K8457" s="5"/>
    </row>
    <row r="8458" spans="3:11" x14ac:dyDescent="0.35">
      <c r="C8458" s="112"/>
      <c r="D8458" s="5"/>
      <c r="E8458" s="5"/>
      <c r="F8458" s="5"/>
      <c r="G8458" s="5"/>
      <c r="H8458" s="5"/>
      <c r="I8458" s="5"/>
      <c r="J8458" s="5"/>
      <c r="K8458" s="5"/>
    </row>
    <row r="8459" spans="3:11" x14ac:dyDescent="0.35">
      <c r="C8459" s="112"/>
      <c r="D8459" s="5"/>
      <c r="E8459" s="5"/>
      <c r="F8459" s="5"/>
      <c r="G8459" s="5"/>
      <c r="H8459" s="5"/>
      <c r="I8459" s="5"/>
      <c r="J8459" s="5"/>
      <c r="K8459" s="5"/>
    </row>
    <row r="8460" spans="3:11" x14ac:dyDescent="0.35">
      <c r="C8460" s="112"/>
      <c r="D8460" s="5"/>
      <c r="E8460" s="5"/>
      <c r="F8460" s="5"/>
      <c r="G8460" s="5"/>
      <c r="H8460" s="5"/>
      <c r="I8460" s="5"/>
      <c r="J8460" s="5"/>
      <c r="K8460" s="5"/>
    </row>
    <row r="8461" spans="3:11" x14ac:dyDescent="0.35">
      <c r="C8461" s="112"/>
      <c r="D8461" s="5"/>
      <c r="E8461" s="5"/>
      <c r="F8461" s="5"/>
      <c r="G8461" s="5"/>
      <c r="H8461" s="5"/>
      <c r="I8461" s="5"/>
      <c r="J8461" s="5"/>
      <c r="K8461" s="5"/>
    </row>
    <row r="8462" spans="3:11" x14ac:dyDescent="0.35">
      <c r="C8462" s="112"/>
      <c r="D8462" s="5"/>
      <c r="E8462" s="5"/>
      <c r="F8462" s="5"/>
      <c r="G8462" s="5"/>
      <c r="H8462" s="5"/>
      <c r="I8462" s="5"/>
      <c r="J8462" s="5"/>
      <c r="K8462" s="5"/>
    </row>
    <row r="8463" spans="3:11" x14ac:dyDescent="0.35">
      <c r="C8463" s="112"/>
      <c r="D8463" s="5"/>
      <c r="E8463" s="5"/>
      <c r="F8463" s="5"/>
      <c r="G8463" s="5"/>
      <c r="H8463" s="5"/>
      <c r="I8463" s="5"/>
      <c r="J8463" s="5"/>
      <c r="K8463" s="5"/>
    </row>
    <row r="8464" spans="3:11" x14ac:dyDescent="0.35">
      <c r="C8464" s="112"/>
      <c r="D8464" s="5"/>
      <c r="E8464" s="5"/>
      <c r="F8464" s="5"/>
      <c r="G8464" s="5"/>
      <c r="H8464" s="5"/>
      <c r="I8464" s="5"/>
      <c r="J8464" s="5"/>
      <c r="K8464" s="5"/>
    </row>
    <row r="8465" spans="3:11" x14ac:dyDescent="0.35">
      <c r="C8465" s="112"/>
      <c r="D8465" s="5"/>
      <c r="E8465" s="5"/>
      <c r="F8465" s="5"/>
      <c r="G8465" s="5"/>
      <c r="H8465" s="5"/>
      <c r="I8465" s="5"/>
      <c r="J8465" s="5"/>
      <c r="K8465" s="5"/>
    </row>
    <row r="8466" spans="3:11" x14ac:dyDescent="0.35">
      <c r="C8466" s="112"/>
      <c r="D8466" s="5"/>
      <c r="E8466" s="5"/>
      <c r="F8466" s="5"/>
      <c r="G8466" s="5"/>
      <c r="H8466" s="5"/>
      <c r="I8466" s="5"/>
      <c r="J8466" s="5"/>
      <c r="K8466" s="5"/>
    </row>
    <row r="8467" spans="3:11" x14ac:dyDescent="0.35">
      <c r="C8467" s="112"/>
      <c r="D8467" s="5"/>
      <c r="E8467" s="5"/>
      <c r="F8467" s="5"/>
      <c r="G8467" s="5"/>
      <c r="H8467" s="5"/>
      <c r="I8467" s="5"/>
      <c r="J8467" s="5"/>
      <c r="K8467" s="5"/>
    </row>
    <row r="8468" spans="3:11" x14ac:dyDescent="0.35">
      <c r="C8468" s="112"/>
      <c r="D8468" s="5"/>
      <c r="E8468" s="5"/>
      <c r="F8468" s="5"/>
      <c r="G8468" s="5"/>
      <c r="H8468" s="5"/>
      <c r="I8468" s="5"/>
      <c r="J8468" s="5"/>
      <c r="K8468" s="5"/>
    </row>
    <row r="8469" spans="3:11" x14ac:dyDescent="0.35">
      <c r="C8469" s="112"/>
      <c r="D8469" s="5"/>
      <c r="E8469" s="5"/>
      <c r="F8469" s="5"/>
      <c r="G8469" s="5"/>
      <c r="H8469" s="5"/>
      <c r="I8469" s="5"/>
      <c r="J8469" s="5"/>
      <c r="K8469" s="5"/>
    </row>
    <row r="8470" spans="3:11" x14ac:dyDescent="0.35">
      <c r="C8470" s="112"/>
      <c r="D8470" s="5"/>
      <c r="E8470" s="5"/>
      <c r="F8470" s="5"/>
      <c r="G8470" s="5"/>
      <c r="H8470" s="5"/>
      <c r="I8470" s="5"/>
      <c r="J8470" s="5"/>
      <c r="K8470" s="5"/>
    </row>
    <row r="8471" spans="3:11" x14ac:dyDescent="0.35">
      <c r="C8471" s="112"/>
      <c r="D8471" s="5"/>
      <c r="E8471" s="5"/>
      <c r="F8471" s="5"/>
      <c r="G8471" s="5"/>
      <c r="H8471" s="5"/>
      <c r="I8471" s="5"/>
      <c r="J8471" s="5"/>
      <c r="K8471" s="5"/>
    </row>
    <row r="8472" spans="3:11" x14ac:dyDescent="0.35">
      <c r="C8472" s="112"/>
      <c r="D8472" s="5"/>
      <c r="E8472" s="5"/>
      <c r="F8472" s="5"/>
      <c r="G8472" s="5"/>
      <c r="H8472" s="5"/>
      <c r="I8472" s="5"/>
      <c r="J8472" s="5"/>
      <c r="K8472" s="5"/>
    </row>
    <row r="8473" spans="3:11" x14ac:dyDescent="0.35">
      <c r="C8473" s="112"/>
      <c r="D8473" s="5"/>
      <c r="E8473" s="5"/>
      <c r="F8473" s="5"/>
      <c r="G8473" s="5"/>
      <c r="H8473" s="5"/>
      <c r="I8473" s="5"/>
      <c r="J8473" s="5"/>
      <c r="K8473" s="5"/>
    </row>
    <row r="8474" spans="3:11" x14ac:dyDescent="0.35">
      <c r="C8474" s="112"/>
      <c r="D8474" s="5"/>
      <c r="E8474" s="5"/>
      <c r="F8474" s="5"/>
      <c r="G8474" s="5"/>
      <c r="H8474" s="5"/>
      <c r="I8474" s="5"/>
      <c r="J8474" s="5"/>
      <c r="K8474" s="5"/>
    </row>
    <row r="8475" spans="3:11" x14ac:dyDescent="0.35">
      <c r="C8475" s="112"/>
      <c r="D8475" s="5"/>
      <c r="E8475" s="5"/>
      <c r="F8475" s="5"/>
      <c r="G8475" s="5"/>
      <c r="H8475" s="5"/>
      <c r="I8475" s="5"/>
      <c r="J8475" s="5"/>
      <c r="K8475" s="5"/>
    </row>
    <row r="8476" spans="3:11" x14ac:dyDescent="0.35">
      <c r="C8476" s="112"/>
      <c r="D8476" s="5"/>
      <c r="E8476" s="5"/>
      <c r="F8476" s="5"/>
      <c r="G8476" s="5"/>
      <c r="H8476" s="5"/>
      <c r="I8476" s="5"/>
      <c r="J8476" s="5"/>
      <c r="K8476" s="5"/>
    </row>
    <row r="8477" spans="3:11" x14ac:dyDescent="0.35">
      <c r="C8477" s="112"/>
      <c r="D8477" s="5"/>
      <c r="E8477" s="5"/>
      <c r="F8477" s="5"/>
      <c r="G8477" s="5"/>
      <c r="H8477" s="5"/>
      <c r="I8477" s="5"/>
      <c r="J8477" s="5"/>
      <c r="K8477" s="5"/>
    </row>
    <row r="8478" spans="3:11" x14ac:dyDescent="0.35">
      <c r="C8478" s="112"/>
      <c r="D8478" s="5"/>
      <c r="E8478" s="5"/>
      <c r="F8478" s="5"/>
      <c r="G8478" s="5"/>
      <c r="H8478" s="5"/>
      <c r="I8478" s="5"/>
      <c r="J8478" s="5"/>
      <c r="K8478" s="5"/>
    </row>
    <row r="8479" spans="3:11" x14ac:dyDescent="0.35">
      <c r="C8479" s="112"/>
      <c r="D8479" s="5"/>
      <c r="E8479" s="5"/>
      <c r="F8479" s="5"/>
      <c r="G8479" s="5"/>
      <c r="H8479" s="5"/>
      <c r="I8479" s="5"/>
      <c r="J8479" s="5"/>
      <c r="K8479" s="5"/>
    </row>
    <row r="8480" spans="3:11" x14ac:dyDescent="0.35">
      <c r="C8480" s="112"/>
      <c r="D8480" s="5"/>
      <c r="E8480" s="5"/>
      <c r="F8480" s="5"/>
      <c r="G8480" s="5"/>
      <c r="H8480" s="5"/>
      <c r="I8480" s="5"/>
      <c r="J8480" s="5"/>
      <c r="K8480" s="5"/>
    </row>
    <row r="8481" spans="3:11" x14ac:dyDescent="0.35">
      <c r="C8481" s="112"/>
      <c r="D8481" s="5"/>
      <c r="E8481" s="5"/>
      <c r="F8481" s="5"/>
      <c r="G8481" s="5"/>
      <c r="H8481" s="5"/>
      <c r="I8481" s="5"/>
      <c r="J8481" s="5"/>
      <c r="K8481" s="5"/>
    </row>
    <row r="8482" spans="3:11" x14ac:dyDescent="0.35">
      <c r="C8482" s="112"/>
      <c r="D8482" s="5"/>
      <c r="E8482" s="5"/>
      <c r="F8482" s="5"/>
      <c r="G8482" s="5"/>
      <c r="H8482" s="5"/>
      <c r="I8482" s="5"/>
      <c r="J8482" s="5"/>
      <c r="K8482" s="5"/>
    </row>
    <row r="8483" spans="3:11" x14ac:dyDescent="0.35">
      <c r="C8483" s="112"/>
      <c r="D8483" s="5"/>
      <c r="E8483" s="5"/>
      <c r="F8483" s="5"/>
      <c r="G8483" s="5"/>
      <c r="H8483" s="5"/>
      <c r="I8483" s="5"/>
      <c r="J8483" s="5"/>
      <c r="K8483" s="5"/>
    </row>
    <row r="8484" spans="3:11" x14ac:dyDescent="0.35">
      <c r="C8484" s="112"/>
      <c r="D8484" s="5"/>
      <c r="E8484" s="5"/>
      <c r="F8484" s="5"/>
      <c r="G8484" s="5"/>
      <c r="H8484" s="5"/>
      <c r="I8484" s="5"/>
      <c r="J8484" s="5"/>
      <c r="K8484" s="5"/>
    </row>
    <row r="8485" spans="3:11" x14ac:dyDescent="0.35">
      <c r="C8485" s="112"/>
      <c r="D8485" s="5"/>
      <c r="E8485" s="5"/>
      <c r="F8485" s="5"/>
      <c r="G8485" s="5"/>
      <c r="H8485" s="5"/>
      <c r="I8485" s="5"/>
      <c r="J8485" s="5"/>
      <c r="K8485" s="5"/>
    </row>
    <row r="8486" spans="3:11" x14ac:dyDescent="0.35">
      <c r="C8486" s="112"/>
      <c r="D8486" s="5"/>
      <c r="E8486" s="5"/>
      <c r="F8486" s="5"/>
      <c r="G8486" s="5"/>
      <c r="H8486" s="5"/>
      <c r="I8486" s="5"/>
      <c r="J8486" s="5"/>
      <c r="K8486" s="5"/>
    </row>
    <row r="8487" spans="3:11" x14ac:dyDescent="0.35">
      <c r="C8487" s="112"/>
      <c r="D8487" s="5"/>
      <c r="E8487" s="5"/>
      <c r="F8487" s="5"/>
      <c r="G8487" s="5"/>
      <c r="H8487" s="5"/>
      <c r="I8487" s="5"/>
      <c r="J8487" s="5"/>
      <c r="K8487" s="5"/>
    </row>
    <row r="8488" spans="3:11" x14ac:dyDescent="0.35">
      <c r="C8488" s="112"/>
      <c r="D8488" s="5"/>
      <c r="E8488" s="5"/>
      <c r="F8488" s="5"/>
      <c r="G8488" s="5"/>
      <c r="H8488" s="5"/>
      <c r="I8488" s="5"/>
      <c r="J8488" s="5"/>
      <c r="K8488" s="5"/>
    </row>
    <row r="8489" spans="3:11" x14ac:dyDescent="0.35">
      <c r="C8489" s="112"/>
      <c r="D8489" s="5"/>
      <c r="E8489" s="5"/>
      <c r="F8489" s="5"/>
      <c r="G8489" s="5"/>
      <c r="H8489" s="5"/>
      <c r="I8489" s="5"/>
      <c r="J8489" s="5"/>
      <c r="K8489" s="5"/>
    </row>
    <row r="8490" spans="3:11" x14ac:dyDescent="0.35">
      <c r="C8490" s="112"/>
      <c r="D8490" s="5"/>
      <c r="E8490" s="5"/>
      <c r="F8490" s="5"/>
      <c r="G8490" s="5"/>
      <c r="H8490" s="5"/>
      <c r="I8490" s="5"/>
      <c r="J8490" s="5"/>
      <c r="K8490" s="5"/>
    </row>
    <row r="8491" spans="3:11" x14ac:dyDescent="0.35">
      <c r="C8491" s="112"/>
      <c r="D8491" s="5"/>
      <c r="E8491" s="5"/>
      <c r="F8491" s="5"/>
      <c r="G8491" s="5"/>
      <c r="H8491" s="5"/>
      <c r="I8491" s="5"/>
      <c r="J8491" s="5"/>
      <c r="K8491" s="5"/>
    </row>
    <row r="8492" spans="3:11" x14ac:dyDescent="0.35">
      <c r="C8492" s="112"/>
      <c r="D8492" s="5"/>
      <c r="E8492" s="5"/>
      <c r="F8492" s="5"/>
      <c r="G8492" s="5"/>
      <c r="H8492" s="5"/>
      <c r="I8492" s="5"/>
      <c r="J8492" s="5"/>
      <c r="K8492" s="5"/>
    </row>
    <row r="8493" spans="3:11" x14ac:dyDescent="0.35">
      <c r="C8493" s="112"/>
      <c r="D8493" s="5"/>
      <c r="E8493" s="5"/>
      <c r="F8493" s="5"/>
      <c r="G8493" s="5"/>
      <c r="H8493" s="5"/>
      <c r="I8493" s="5"/>
      <c r="J8493" s="5"/>
      <c r="K8493" s="5"/>
    </row>
    <row r="8494" spans="3:11" x14ac:dyDescent="0.35">
      <c r="C8494" s="112"/>
      <c r="D8494" s="5"/>
      <c r="E8494" s="5"/>
      <c r="F8494" s="5"/>
      <c r="G8494" s="5"/>
      <c r="H8494" s="5"/>
      <c r="I8494" s="5"/>
      <c r="J8494" s="5"/>
      <c r="K8494" s="5"/>
    </row>
    <row r="8495" spans="3:11" x14ac:dyDescent="0.35">
      <c r="C8495" s="112"/>
      <c r="D8495" s="5"/>
      <c r="E8495" s="5"/>
      <c r="F8495" s="5"/>
      <c r="G8495" s="5"/>
      <c r="H8495" s="5"/>
      <c r="I8495" s="5"/>
      <c r="J8495" s="5"/>
      <c r="K8495" s="5"/>
    </row>
    <row r="8496" spans="3:11" x14ac:dyDescent="0.35">
      <c r="C8496" s="112"/>
      <c r="D8496" s="5"/>
      <c r="E8496" s="5"/>
      <c r="F8496" s="5"/>
      <c r="G8496" s="5"/>
      <c r="H8496" s="5"/>
      <c r="I8496" s="5"/>
      <c r="J8496" s="5"/>
      <c r="K8496" s="5"/>
    </row>
    <row r="8497" spans="3:11" x14ac:dyDescent="0.35">
      <c r="C8497" s="112"/>
      <c r="D8497" s="5"/>
      <c r="E8497" s="5"/>
      <c r="F8497" s="5"/>
      <c r="G8497" s="5"/>
      <c r="H8497" s="5"/>
      <c r="I8497" s="5"/>
      <c r="J8497" s="5"/>
      <c r="K8497" s="5"/>
    </row>
    <row r="8498" spans="3:11" x14ac:dyDescent="0.35">
      <c r="C8498" s="112"/>
      <c r="D8498" s="5"/>
      <c r="E8498" s="5"/>
      <c r="F8498" s="5"/>
      <c r="G8498" s="5"/>
      <c r="H8498" s="5"/>
      <c r="I8498" s="5"/>
      <c r="J8498" s="5"/>
      <c r="K8498" s="5"/>
    </row>
    <row r="8499" spans="3:11" x14ac:dyDescent="0.35">
      <c r="C8499" s="112"/>
      <c r="D8499" s="5"/>
      <c r="E8499" s="5"/>
      <c r="F8499" s="5"/>
      <c r="G8499" s="5"/>
      <c r="H8499" s="5"/>
      <c r="I8499" s="5"/>
      <c r="J8499" s="5"/>
      <c r="K8499" s="5"/>
    </row>
    <row r="8500" spans="3:11" x14ac:dyDescent="0.35">
      <c r="C8500" s="112"/>
      <c r="D8500" s="5"/>
      <c r="E8500" s="5"/>
      <c r="F8500" s="5"/>
      <c r="G8500" s="5"/>
      <c r="H8500" s="5"/>
      <c r="I8500" s="5"/>
      <c r="J8500" s="5"/>
      <c r="K8500" s="5"/>
    </row>
    <row r="8501" spans="3:11" x14ac:dyDescent="0.35">
      <c r="C8501" s="112"/>
      <c r="D8501" s="5"/>
      <c r="E8501" s="5"/>
      <c r="F8501" s="5"/>
      <c r="G8501" s="5"/>
      <c r="H8501" s="5"/>
      <c r="I8501" s="5"/>
      <c r="J8501" s="5"/>
      <c r="K8501" s="5"/>
    </row>
    <row r="8502" spans="3:11" x14ac:dyDescent="0.35">
      <c r="C8502" s="112"/>
      <c r="D8502" s="5"/>
      <c r="E8502" s="5"/>
      <c r="F8502" s="5"/>
      <c r="G8502" s="5"/>
      <c r="H8502" s="5"/>
      <c r="I8502" s="5"/>
      <c r="J8502" s="5"/>
      <c r="K8502" s="5"/>
    </row>
    <row r="8503" spans="3:11" x14ac:dyDescent="0.35">
      <c r="C8503" s="112"/>
      <c r="D8503" s="5"/>
      <c r="E8503" s="5"/>
      <c r="F8503" s="5"/>
      <c r="G8503" s="5"/>
      <c r="H8503" s="5"/>
      <c r="I8503" s="5"/>
      <c r="J8503" s="5"/>
      <c r="K8503" s="5"/>
    </row>
    <row r="8504" spans="3:11" x14ac:dyDescent="0.35">
      <c r="C8504" s="112"/>
      <c r="D8504" s="5"/>
      <c r="E8504" s="5"/>
      <c r="F8504" s="5"/>
      <c r="G8504" s="5"/>
      <c r="H8504" s="5"/>
      <c r="I8504" s="5"/>
      <c r="J8504" s="5"/>
      <c r="K8504" s="5"/>
    </row>
    <row r="8505" spans="3:11" x14ac:dyDescent="0.35">
      <c r="C8505" s="112"/>
      <c r="D8505" s="5"/>
      <c r="E8505" s="5"/>
      <c r="F8505" s="5"/>
      <c r="G8505" s="5"/>
      <c r="H8505" s="5"/>
      <c r="I8505" s="5"/>
      <c r="J8505" s="5"/>
      <c r="K8505" s="5"/>
    </row>
    <row r="8506" spans="3:11" x14ac:dyDescent="0.35">
      <c r="C8506" s="112"/>
      <c r="D8506" s="5"/>
      <c r="E8506" s="5"/>
      <c r="F8506" s="5"/>
      <c r="G8506" s="5"/>
      <c r="H8506" s="5"/>
      <c r="I8506" s="5"/>
      <c r="J8506" s="5"/>
      <c r="K8506" s="5"/>
    </row>
    <row r="8507" spans="3:11" x14ac:dyDescent="0.35">
      <c r="C8507" s="112"/>
      <c r="D8507" s="5"/>
      <c r="E8507" s="5"/>
      <c r="F8507" s="5"/>
      <c r="G8507" s="5"/>
      <c r="H8507" s="5"/>
      <c r="I8507" s="5"/>
      <c r="J8507" s="5"/>
      <c r="K8507" s="5"/>
    </row>
    <row r="8508" spans="3:11" x14ac:dyDescent="0.35">
      <c r="C8508" s="112"/>
      <c r="D8508" s="5"/>
      <c r="E8508" s="5"/>
      <c r="F8508" s="5"/>
      <c r="G8508" s="5"/>
      <c r="H8508" s="5"/>
      <c r="I8508" s="5"/>
      <c r="J8508" s="5"/>
      <c r="K8508" s="5"/>
    </row>
    <row r="8509" spans="3:11" x14ac:dyDescent="0.35">
      <c r="C8509" s="112"/>
      <c r="D8509" s="5"/>
      <c r="E8509" s="5"/>
      <c r="F8509" s="5"/>
      <c r="G8509" s="5"/>
      <c r="H8509" s="5"/>
      <c r="I8509" s="5"/>
      <c r="J8509" s="5"/>
      <c r="K8509" s="5"/>
    </row>
    <row r="8510" spans="3:11" x14ac:dyDescent="0.35">
      <c r="C8510" s="112"/>
      <c r="D8510" s="5"/>
      <c r="E8510" s="5"/>
      <c r="F8510" s="5"/>
      <c r="G8510" s="5"/>
      <c r="H8510" s="5"/>
      <c r="I8510" s="5"/>
      <c r="J8510" s="5"/>
      <c r="K8510" s="5"/>
    </row>
    <row r="8511" spans="3:11" x14ac:dyDescent="0.35">
      <c r="C8511" s="112"/>
      <c r="D8511" s="5"/>
      <c r="E8511" s="5"/>
      <c r="F8511" s="5"/>
      <c r="G8511" s="5"/>
      <c r="H8511" s="5"/>
      <c r="I8511" s="5"/>
      <c r="J8511" s="5"/>
      <c r="K8511" s="5"/>
    </row>
    <row r="8512" spans="3:11" x14ac:dyDescent="0.35">
      <c r="C8512" s="112"/>
      <c r="D8512" s="5"/>
      <c r="E8512" s="5"/>
      <c r="F8512" s="5"/>
      <c r="G8512" s="5"/>
      <c r="H8512" s="5"/>
      <c r="I8512" s="5"/>
      <c r="J8512" s="5"/>
      <c r="K8512" s="5"/>
    </row>
    <row r="8513" spans="3:11" x14ac:dyDescent="0.35">
      <c r="C8513" s="112"/>
      <c r="D8513" s="5"/>
      <c r="E8513" s="5"/>
      <c r="F8513" s="5"/>
      <c r="G8513" s="5"/>
      <c r="H8513" s="5"/>
      <c r="I8513" s="5"/>
      <c r="J8513" s="5"/>
      <c r="K8513" s="5"/>
    </row>
    <row r="8514" spans="3:11" x14ac:dyDescent="0.35">
      <c r="C8514" s="112"/>
      <c r="D8514" s="5"/>
      <c r="E8514" s="5"/>
      <c r="F8514" s="5"/>
      <c r="G8514" s="5"/>
      <c r="H8514" s="5"/>
      <c r="I8514" s="5"/>
      <c r="J8514" s="5"/>
      <c r="K8514" s="5"/>
    </row>
    <row r="8515" spans="3:11" x14ac:dyDescent="0.35">
      <c r="C8515" s="112"/>
      <c r="D8515" s="5"/>
      <c r="E8515" s="5"/>
      <c r="F8515" s="5"/>
      <c r="G8515" s="5"/>
      <c r="H8515" s="5"/>
      <c r="I8515" s="5"/>
      <c r="J8515" s="5"/>
      <c r="K8515" s="5"/>
    </row>
    <row r="8516" spans="3:11" x14ac:dyDescent="0.35">
      <c r="C8516" s="112"/>
      <c r="D8516" s="5"/>
      <c r="E8516" s="5"/>
      <c r="F8516" s="5"/>
      <c r="G8516" s="5"/>
      <c r="H8516" s="5"/>
      <c r="I8516" s="5"/>
      <c r="J8516" s="5"/>
      <c r="K8516" s="5"/>
    </row>
    <row r="8517" spans="3:11" x14ac:dyDescent="0.35">
      <c r="C8517" s="112"/>
      <c r="D8517" s="5"/>
      <c r="E8517" s="5"/>
      <c r="F8517" s="5"/>
      <c r="G8517" s="5"/>
      <c r="H8517" s="5"/>
      <c r="I8517" s="5"/>
      <c r="J8517" s="5"/>
      <c r="K8517" s="5"/>
    </row>
    <row r="8518" spans="3:11" x14ac:dyDescent="0.35">
      <c r="C8518" s="112"/>
      <c r="D8518" s="5"/>
      <c r="E8518" s="5"/>
      <c r="F8518" s="5"/>
      <c r="G8518" s="5"/>
      <c r="H8518" s="5"/>
      <c r="I8518" s="5"/>
      <c r="J8518" s="5"/>
      <c r="K8518" s="5"/>
    </row>
    <row r="8519" spans="3:11" x14ac:dyDescent="0.35">
      <c r="C8519" s="112"/>
      <c r="D8519" s="5"/>
      <c r="E8519" s="5"/>
      <c r="F8519" s="5"/>
      <c r="G8519" s="5"/>
      <c r="H8519" s="5"/>
      <c r="I8519" s="5"/>
      <c r="J8519" s="5"/>
      <c r="K8519" s="5"/>
    </row>
    <row r="8520" spans="3:11" x14ac:dyDescent="0.35">
      <c r="C8520" s="112"/>
      <c r="D8520" s="5"/>
      <c r="E8520" s="5"/>
      <c r="F8520" s="5"/>
      <c r="G8520" s="5"/>
      <c r="H8520" s="5"/>
      <c r="I8520" s="5"/>
      <c r="J8520" s="5"/>
      <c r="K8520" s="5"/>
    </row>
    <row r="8521" spans="3:11" x14ac:dyDescent="0.35">
      <c r="C8521" s="112"/>
      <c r="D8521" s="5"/>
      <c r="E8521" s="5"/>
      <c r="F8521" s="5"/>
      <c r="G8521" s="5"/>
      <c r="H8521" s="5"/>
      <c r="I8521" s="5"/>
      <c r="J8521" s="5"/>
      <c r="K8521" s="5"/>
    </row>
    <row r="8522" spans="3:11" x14ac:dyDescent="0.35">
      <c r="C8522" s="112"/>
      <c r="D8522" s="5"/>
      <c r="E8522" s="5"/>
      <c r="F8522" s="5"/>
      <c r="G8522" s="5"/>
      <c r="H8522" s="5"/>
      <c r="I8522" s="5"/>
      <c r="J8522" s="5"/>
      <c r="K8522" s="5"/>
    </row>
    <row r="8523" spans="3:11" x14ac:dyDescent="0.35">
      <c r="C8523" s="112"/>
      <c r="D8523" s="5"/>
      <c r="E8523" s="5"/>
      <c r="F8523" s="5"/>
      <c r="G8523" s="5"/>
      <c r="H8523" s="5"/>
      <c r="I8523" s="5"/>
      <c r="J8523" s="5"/>
      <c r="K8523" s="5"/>
    </row>
    <row r="8524" spans="3:11" x14ac:dyDescent="0.35">
      <c r="C8524" s="112"/>
      <c r="D8524" s="5"/>
      <c r="E8524" s="5"/>
      <c r="F8524" s="5"/>
      <c r="G8524" s="5"/>
      <c r="H8524" s="5"/>
      <c r="I8524" s="5"/>
      <c r="J8524" s="5"/>
      <c r="K8524" s="5"/>
    </row>
    <row r="8525" spans="3:11" x14ac:dyDescent="0.35">
      <c r="C8525" s="112"/>
      <c r="D8525" s="5"/>
      <c r="E8525" s="5"/>
      <c r="F8525" s="5"/>
      <c r="G8525" s="5"/>
      <c r="H8525" s="5"/>
      <c r="I8525" s="5"/>
      <c r="J8525" s="5"/>
      <c r="K8525" s="5"/>
    </row>
    <row r="8526" spans="3:11" x14ac:dyDescent="0.35">
      <c r="C8526" s="112"/>
      <c r="D8526" s="5"/>
      <c r="E8526" s="5"/>
      <c r="F8526" s="5"/>
      <c r="G8526" s="5"/>
      <c r="H8526" s="5"/>
      <c r="I8526" s="5"/>
      <c r="J8526" s="5"/>
      <c r="K8526" s="5"/>
    </row>
    <row r="8527" spans="3:11" x14ac:dyDescent="0.35">
      <c r="C8527" s="112"/>
      <c r="D8527" s="5"/>
      <c r="E8527" s="5"/>
      <c r="F8527" s="5"/>
      <c r="G8527" s="5"/>
      <c r="H8527" s="5"/>
      <c r="I8527" s="5"/>
      <c r="J8527" s="5"/>
      <c r="K8527" s="5"/>
    </row>
    <row r="8528" spans="3:11" x14ac:dyDescent="0.35">
      <c r="C8528" s="112"/>
      <c r="D8528" s="5"/>
      <c r="E8528" s="5"/>
      <c r="F8528" s="5"/>
      <c r="G8528" s="5"/>
      <c r="H8528" s="5"/>
      <c r="I8528" s="5"/>
      <c r="J8528" s="5"/>
      <c r="K8528" s="5"/>
    </row>
    <row r="8529" spans="3:11" x14ac:dyDescent="0.35">
      <c r="C8529" s="112"/>
      <c r="D8529" s="5"/>
      <c r="E8529" s="5"/>
      <c r="F8529" s="5"/>
      <c r="G8529" s="5"/>
      <c r="H8529" s="5"/>
      <c r="I8529" s="5"/>
      <c r="J8529" s="5"/>
      <c r="K8529" s="5"/>
    </row>
    <row r="8530" spans="3:11" x14ac:dyDescent="0.35">
      <c r="C8530" s="112"/>
      <c r="D8530" s="5"/>
      <c r="E8530" s="5"/>
      <c r="F8530" s="5"/>
      <c r="G8530" s="5"/>
      <c r="H8530" s="5"/>
      <c r="I8530" s="5"/>
      <c r="J8530" s="5"/>
      <c r="K8530" s="5"/>
    </row>
    <row r="8531" spans="3:11" x14ac:dyDescent="0.35">
      <c r="C8531" s="112"/>
      <c r="D8531" s="5"/>
      <c r="E8531" s="5"/>
      <c r="F8531" s="5"/>
      <c r="G8531" s="5"/>
      <c r="H8531" s="5"/>
      <c r="I8531" s="5"/>
      <c r="J8531" s="5"/>
      <c r="K8531" s="5"/>
    </row>
    <row r="8532" spans="3:11" x14ac:dyDescent="0.35">
      <c r="C8532" s="112"/>
      <c r="D8532" s="5"/>
      <c r="E8532" s="5"/>
      <c r="F8532" s="5"/>
      <c r="G8532" s="5"/>
      <c r="H8532" s="5"/>
      <c r="I8532" s="5"/>
      <c r="J8532" s="5"/>
      <c r="K8532" s="5"/>
    </row>
    <row r="8533" spans="3:11" x14ac:dyDescent="0.35">
      <c r="C8533" s="112"/>
      <c r="D8533" s="5"/>
      <c r="E8533" s="5"/>
      <c r="F8533" s="5"/>
      <c r="G8533" s="5"/>
      <c r="H8533" s="5"/>
      <c r="I8533" s="5"/>
      <c r="J8533" s="5"/>
      <c r="K8533" s="5"/>
    </row>
    <row r="8534" spans="3:11" x14ac:dyDescent="0.35">
      <c r="C8534" s="112"/>
      <c r="D8534" s="5"/>
      <c r="E8534" s="5"/>
      <c r="F8534" s="5"/>
      <c r="G8534" s="5"/>
      <c r="H8534" s="5"/>
      <c r="I8534" s="5"/>
      <c r="J8534" s="5"/>
      <c r="K8534" s="5"/>
    </row>
    <row r="8535" spans="3:11" x14ac:dyDescent="0.35">
      <c r="C8535" s="112"/>
      <c r="D8535" s="5"/>
      <c r="E8535" s="5"/>
      <c r="F8535" s="5"/>
      <c r="G8535" s="5"/>
      <c r="H8535" s="5"/>
      <c r="I8535" s="5"/>
      <c r="J8535" s="5"/>
      <c r="K8535" s="5"/>
    </row>
    <row r="8536" spans="3:11" x14ac:dyDescent="0.35">
      <c r="C8536" s="112"/>
      <c r="D8536" s="5"/>
      <c r="E8536" s="5"/>
      <c r="F8536" s="5"/>
      <c r="G8536" s="5"/>
      <c r="H8536" s="5"/>
      <c r="I8536" s="5"/>
      <c r="J8536" s="5"/>
      <c r="K8536" s="5"/>
    </row>
    <row r="8537" spans="3:11" x14ac:dyDescent="0.35">
      <c r="C8537" s="112"/>
      <c r="D8537" s="5"/>
      <c r="E8537" s="5"/>
      <c r="F8537" s="5"/>
      <c r="G8537" s="5"/>
      <c r="H8537" s="5"/>
      <c r="I8537" s="5"/>
      <c r="J8537" s="5"/>
      <c r="K8537" s="5"/>
    </row>
    <row r="8538" spans="3:11" x14ac:dyDescent="0.35">
      <c r="C8538" s="112"/>
      <c r="D8538" s="5"/>
      <c r="E8538" s="5"/>
      <c r="F8538" s="5"/>
      <c r="G8538" s="5"/>
      <c r="H8538" s="5"/>
      <c r="I8538" s="5"/>
      <c r="J8538" s="5"/>
      <c r="K8538" s="5"/>
    </row>
    <row r="8539" spans="3:11" x14ac:dyDescent="0.35">
      <c r="C8539" s="112"/>
      <c r="D8539" s="5"/>
      <c r="E8539" s="5"/>
      <c r="F8539" s="5"/>
      <c r="G8539" s="5"/>
      <c r="H8539" s="5"/>
      <c r="I8539" s="5"/>
      <c r="J8539" s="5"/>
      <c r="K8539" s="5"/>
    </row>
    <row r="8540" spans="3:11" x14ac:dyDescent="0.35">
      <c r="C8540" s="112"/>
      <c r="D8540" s="5"/>
      <c r="E8540" s="5"/>
      <c r="F8540" s="5"/>
      <c r="G8540" s="5"/>
      <c r="H8540" s="5"/>
      <c r="I8540" s="5"/>
      <c r="J8540" s="5"/>
      <c r="K8540" s="5"/>
    </row>
    <row r="8541" spans="3:11" x14ac:dyDescent="0.35">
      <c r="C8541" s="112"/>
      <c r="D8541" s="5"/>
      <c r="E8541" s="5"/>
      <c r="F8541" s="5"/>
      <c r="G8541" s="5"/>
      <c r="H8541" s="5"/>
      <c r="I8541" s="5"/>
      <c r="J8541" s="5"/>
      <c r="K8541" s="5"/>
    </row>
    <row r="8542" spans="3:11" x14ac:dyDescent="0.35">
      <c r="C8542" s="112"/>
      <c r="D8542" s="5"/>
      <c r="E8542" s="5"/>
      <c r="F8542" s="5"/>
      <c r="G8542" s="5"/>
      <c r="H8542" s="5"/>
      <c r="I8542" s="5"/>
      <c r="J8542" s="5"/>
      <c r="K8542" s="5"/>
    </row>
    <row r="8543" spans="3:11" x14ac:dyDescent="0.35">
      <c r="C8543" s="112"/>
      <c r="D8543" s="5"/>
      <c r="E8543" s="5"/>
      <c r="F8543" s="5"/>
      <c r="G8543" s="5"/>
      <c r="H8543" s="5"/>
      <c r="I8543" s="5"/>
      <c r="J8543" s="5"/>
      <c r="K8543" s="5"/>
    </row>
    <row r="8544" spans="3:11" x14ac:dyDescent="0.35">
      <c r="C8544" s="112"/>
      <c r="D8544" s="5"/>
      <c r="E8544" s="5"/>
      <c r="F8544" s="5"/>
      <c r="G8544" s="5"/>
      <c r="H8544" s="5"/>
      <c r="I8544" s="5"/>
      <c r="J8544" s="5"/>
      <c r="K8544" s="5"/>
    </row>
    <row r="8545" spans="3:11" x14ac:dyDescent="0.35">
      <c r="C8545" s="112"/>
      <c r="D8545" s="5"/>
      <c r="E8545" s="5"/>
      <c r="F8545" s="5"/>
      <c r="G8545" s="5"/>
      <c r="H8545" s="5"/>
      <c r="I8545" s="5"/>
      <c r="J8545" s="5"/>
      <c r="K8545" s="5"/>
    </row>
    <row r="8546" spans="3:11" x14ac:dyDescent="0.35">
      <c r="C8546" s="112"/>
      <c r="D8546" s="5"/>
      <c r="E8546" s="5"/>
      <c r="F8546" s="5"/>
      <c r="G8546" s="5"/>
      <c r="H8546" s="5"/>
      <c r="I8546" s="5"/>
      <c r="J8546" s="5"/>
      <c r="K8546" s="5"/>
    </row>
    <row r="8547" spans="3:11" x14ac:dyDescent="0.35">
      <c r="C8547" s="112"/>
      <c r="D8547" s="5"/>
      <c r="E8547" s="5"/>
      <c r="F8547" s="5"/>
      <c r="G8547" s="5"/>
      <c r="H8547" s="5"/>
      <c r="I8547" s="5"/>
      <c r="J8547" s="5"/>
      <c r="K8547" s="5"/>
    </row>
    <row r="8548" spans="3:11" x14ac:dyDescent="0.35">
      <c r="C8548" s="112"/>
      <c r="D8548" s="5"/>
      <c r="E8548" s="5"/>
      <c r="F8548" s="5"/>
      <c r="G8548" s="5"/>
      <c r="H8548" s="5"/>
      <c r="I8548" s="5"/>
      <c r="J8548" s="5"/>
      <c r="K8548" s="5"/>
    </row>
    <row r="8549" spans="3:11" x14ac:dyDescent="0.35">
      <c r="C8549" s="112"/>
      <c r="D8549" s="5"/>
      <c r="E8549" s="5"/>
      <c r="F8549" s="5"/>
      <c r="G8549" s="5"/>
      <c r="H8549" s="5"/>
      <c r="I8549" s="5"/>
      <c r="J8549" s="5"/>
      <c r="K8549" s="5"/>
    </row>
    <row r="8550" spans="3:11" x14ac:dyDescent="0.35">
      <c r="C8550" s="112"/>
      <c r="D8550" s="5"/>
      <c r="E8550" s="5"/>
      <c r="F8550" s="5"/>
      <c r="G8550" s="5"/>
      <c r="H8550" s="5"/>
      <c r="I8550" s="5"/>
      <c r="J8550" s="5"/>
      <c r="K8550" s="5"/>
    </row>
    <row r="8551" spans="3:11" x14ac:dyDescent="0.35">
      <c r="C8551" s="112"/>
      <c r="D8551" s="5"/>
      <c r="E8551" s="5"/>
      <c r="F8551" s="5"/>
      <c r="G8551" s="5"/>
      <c r="H8551" s="5"/>
      <c r="I8551" s="5"/>
      <c r="J8551" s="5"/>
      <c r="K8551" s="5"/>
    </row>
    <row r="8552" spans="3:11" x14ac:dyDescent="0.35">
      <c r="C8552" s="112"/>
      <c r="D8552" s="5"/>
      <c r="E8552" s="5"/>
      <c r="F8552" s="5"/>
      <c r="G8552" s="5"/>
      <c r="H8552" s="5"/>
      <c r="I8552" s="5"/>
      <c r="J8552" s="5"/>
      <c r="K8552" s="5"/>
    </row>
    <row r="8553" spans="3:11" x14ac:dyDescent="0.35">
      <c r="C8553" s="112"/>
      <c r="D8553" s="5"/>
      <c r="E8553" s="5"/>
      <c r="F8553" s="5"/>
      <c r="G8553" s="5"/>
      <c r="H8553" s="5"/>
      <c r="I8553" s="5"/>
      <c r="J8553" s="5"/>
      <c r="K8553" s="5"/>
    </row>
    <row r="8554" spans="3:11" x14ac:dyDescent="0.35">
      <c r="C8554" s="112"/>
      <c r="D8554" s="5"/>
      <c r="E8554" s="5"/>
      <c r="F8554" s="5"/>
      <c r="G8554" s="5"/>
      <c r="H8554" s="5"/>
      <c r="I8554" s="5"/>
      <c r="J8554" s="5"/>
      <c r="K8554" s="5"/>
    </row>
    <row r="8555" spans="3:11" x14ac:dyDescent="0.35">
      <c r="C8555" s="112"/>
      <c r="D8555" s="5"/>
      <c r="E8555" s="5"/>
      <c r="F8555" s="5"/>
      <c r="G8555" s="5"/>
      <c r="H8555" s="5"/>
      <c r="I8555" s="5"/>
      <c r="J8555" s="5"/>
      <c r="K8555" s="5"/>
    </row>
    <row r="8556" spans="3:11" x14ac:dyDescent="0.35">
      <c r="C8556" s="112"/>
      <c r="D8556" s="5"/>
      <c r="E8556" s="5"/>
      <c r="F8556" s="5"/>
      <c r="G8556" s="5"/>
      <c r="H8556" s="5"/>
      <c r="I8556" s="5"/>
      <c r="J8556" s="5"/>
      <c r="K8556" s="5"/>
    </row>
    <row r="8557" spans="3:11" x14ac:dyDescent="0.35">
      <c r="C8557" s="112"/>
      <c r="D8557" s="5"/>
      <c r="E8557" s="5"/>
      <c r="F8557" s="5"/>
      <c r="G8557" s="5"/>
      <c r="H8557" s="5"/>
      <c r="I8557" s="5"/>
      <c r="J8557" s="5"/>
      <c r="K8557" s="5"/>
    </row>
    <row r="8558" spans="3:11" x14ac:dyDescent="0.35">
      <c r="C8558" s="112"/>
      <c r="D8558" s="5"/>
      <c r="E8558" s="5"/>
      <c r="F8558" s="5"/>
      <c r="G8558" s="5"/>
      <c r="H8558" s="5"/>
      <c r="I8558" s="5"/>
      <c r="J8558" s="5"/>
      <c r="K8558" s="5"/>
    </row>
    <row r="8559" spans="3:11" x14ac:dyDescent="0.35">
      <c r="C8559" s="112"/>
      <c r="D8559" s="5"/>
      <c r="E8559" s="5"/>
      <c r="F8559" s="5"/>
      <c r="G8559" s="5"/>
      <c r="H8559" s="5"/>
      <c r="I8559" s="5"/>
      <c r="J8559" s="5"/>
      <c r="K8559" s="5"/>
    </row>
    <row r="8560" spans="3:11" x14ac:dyDescent="0.35">
      <c r="C8560" s="112"/>
      <c r="D8560" s="5"/>
      <c r="E8560" s="5"/>
      <c r="F8560" s="5"/>
      <c r="G8560" s="5"/>
      <c r="H8560" s="5"/>
      <c r="I8560" s="5"/>
      <c r="J8560" s="5"/>
      <c r="K8560" s="5"/>
    </row>
    <row r="8561" spans="3:11" x14ac:dyDescent="0.35">
      <c r="C8561" s="112"/>
      <c r="D8561" s="5"/>
      <c r="E8561" s="5"/>
      <c r="F8561" s="5"/>
      <c r="G8561" s="5"/>
      <c r="H8561" s="5"/>
      <c r="I8561" s="5"/>
      <c r="J8561" s="5"/>
      <c r="K8561" s="5"/>
    </row>
    <row r="8562" spans="3:11" x14ac:dyDescent="0.35">
      <c r="C8562" s="112"/>
      <c r="D8562" s="5"/>
      <c r="E8562" s="5"/>
      <c r="F8562" s="5"/>
      <c r="G8562" s="5"/>
      <c r="H8562" s="5"/>
      <c r="I8562" s="5"/>
      <c r="J8562" s="5"/>
      <c r="K8562" s="5"/>
    </row>
    <row r="8563" spans="3:11" x14ac:dyDescent="0.35">
      <c r="C8563" s="112"/>
      <c r="D8563" s="5"/>
      <c r="E8563" s="5"/>
      <c r="F8563" s="5"/>
      <c r="G8563" s="5"/>
      <c r="H8563" s="5"/>
      <c r="I8563" s="5"/>
      <c r="J8563" s="5"/>
      <c r="K8563" s="5"/>
    </row>
    <row r="8564" spans="3:11" x14ac:dyDescent="0.35">
      <c r="C8564" s="112"/>
      <c r="D8564" s="5"/>
      <c r="E8564" s="5"/>
      <c r="F8564" s="5"/>
      <c r="G8564" s="5"/>
      <c r="H8564" s="5"/>
      <c r="I8564" s="5"/>
      <c r="J8564" s="5"/>
      <c r="K8564" s="5"/>
    </row>
    <row r="8565" spans="3:11" x14ac:dyDescent="0.35">
      <c r="C8565" s="112"/>
      <c r="D8565" s="5"/>
      <c r="E8565" s="5"/>
      <c r="F8565" s="5"/>
      <c r="G8565" s="5"/>
      <c r="H8565" s="5"/>
      <c r="I8565" s="5"/>
      <c r="J8565" s="5"/>
      <c r="K8565" s="5"/>
    </row>
    <row r="8566" spans="3:11" x14ac:dyDescent="0.35">
      <c r="C8566" s="112"/>
      <c r="D8566" s="5"/>
      <c r="E8566" s="5"/>
      <c r="F8566" s="5"/>
      <c r="G8566" s="5"/>
      <c r="H8566" s="5"/>
      <c r="I8566" s="5"/>
      <c r="J8566" s="5"/>
      <c r="K8566" s="5"/>
    </row>
    <row r="8567" spans="3:11" x14ac:dyDescent="0.35">
      <c r="C8567" s="112"/>
      <c r="D8567" s="5"/>
      <c r="E8567" s="5"/>
      <c r="F8567" s="5"/>
      <c r="G8567" s="5"/>
      <c r="H8567" s="5"/>
      <c r="I8567" s="5"/>
      <c r="J8567" s="5"/>
      <c r="K8567" s="5"/>
    </row>
    <row r="8568" spans="3:11" x14ac:dyDescent="0.35">
      <c r="C8568" s="112"/>
      <c r="D8568" s="5"/>
      <c r="E8568" s="5"/>
      <c r="F8568" s="5"/>
      <c r="G8568" s="5"/>
      <c r="H8568" s="5"/>
      <c r="I8568" s="5"/>
      <c r="J8568" s="5"/>
      <c r="K8568" s="5"/>
    </row>
    <row r="8569" spans="3:11" x14ac:dyDescent="0.35">
      <c r="C8569" s="112"/>
      <c r="D8569" s="5"/>
      <c r="E8569" s="5"/>
      <c r="F8569" s="5"/>
      <c r="G8569" s="5"/>
      <c r="H8569" s="5"/>
      <c r="I8569" s="5"/>
      <c r="J8569" s="5"/>
      <c r="K8569" s="5"/>
    </row>
    <row r="8570" spans="3:11" x14ac:dyDescent="0.35">
      <c r="C8570" s="112"/>
      <c r="D8570" s="5"/>
      <c r="E8570" s="5"/>
      <c r="F8570" s="5"/>
      <c r="G8570" s="5"/>
      <c r="H8570" s="5"/>
      <c r="I8570" s="5"/>
      <c r="J8570" s="5"/>
      <c r="K8570" s="5"/>
    </row>
    <row r="8571" spans="3:11" x14ac:dyDescent="0.35">
      <c r="C8571" s="112"/>
      <c r="D8571" s="5"/>
      <c r="E8571" s="5"/>
      <c r="F8571" s="5"/>
      <c r="G8571" s="5"/>
      <c r="H8571" s="5"/>
      <c r="I8571" s="5"/>
      <c r="J8571" s="5"/>
      <c r="K8571" s="5"/>
    </row>
    <row r="8572" spans="3:11" x14ac:dyDescent="0.35">
      <c r="C8572" s="112"/>
      <c r="D8572" s="5"/>
      <c r="E8572" s="5"/>
      <c r="F8572" s="5"/>
      <c r="G8572" s="5"/>
      <c r="H8572" s="5"/>
      <c r="I8572" s="5"/>
      <c r="J8572" s="5"/>
      <c r="K8572" s="5"/>
    </row>
    <row r="8573" spans="3:11" x14ac:dyDescent="0.35">
      <c r="C8573" s="112"/>
      <c r="D8573" s="5"/>
      <c r="E8573" s="5"/>
      <c r="F8573" s="5"/>
      <c r="G8573" s="5"/>
      <c r="H8573" s="5"/>
      <c r="I8573" s="5"/>
      <c r="J8573" s="5"/>
      <c r="K8573" s="5"/>
    </row>
    <row r="8574" spans="3:11" x14ac:dyDescent="0.35">
      <c r="C8574" s="112"/>
      <c r="D8574" s="5"/>
      <c r="E8574" s="5"/>
      <c r="F8574" s="5"/>
      <c r="G8574" s="5"/>
      <c r="H8574" s="5"/>
      <c r="I8574" s="5"/>
      <c r="J8574" s="5"/>
      <c r="K8574" s="5"/>
    </row>
    <row r="8575" spans="3:11" x14ac:dyDescent="0.35">
      <c r="C8575" s="112"/>
      <c r="D8575" s="5"/>
      <c r="E8575" s="5"/>
      <c r="F8575" s="5"/>
      <c r="G8575" s="5"/>
      <c r="H8575" s="5"/>
      <c r="I8575" s="5"/>
      <c r="J8575" s="5"/>
      <c r="K8575" s="5"/>
    </row>
    <row r="8576" spans="3:11" x14ac:dyDescent="0.35">
      <c r="C8576" s="112"/>
      <c r="D8576" s="5"/>
      <c r="E8576" s="5"/>
      <c r="F8576" s="5"/>
      <c r="G8576" s="5"/>
      <c r="H8576" s="5"/>
      <c r="I8576" s="5"/>
      <c r="J8576" s="5"/>
      <c r="K8576" s="5"/>
    </row>
    <row r="8577" spans="3:11" x14ac:dyDescent="0.35">
      <c r="C8577" s="112"/>
      <c r="D8577" s="5"/>
      <c r="E8577" s="5"/>
      <c r="F8577" s="5"/>
      <c r="G8577" s="5"/>
      <c r="H8577" s="5"/>
      <c r="I8577" s="5"/>
      <c r="J8577" s="5"/>
      <c r="K8577" s="5"/>
    </row>
    <row r="8578" spans="3:11" x14ac:dyDescent="0.35">
      <c r="C8578" s="112"/>
      <c r="D8578" s="5"/>
      <c r="E8578" s="5"/>
      <c r="F8578" s="5"/>
      <c r="G8578" s="5"/>
      <c r="H8578" s="5"/>
      <c r="I8578" s="5"/>
      <c r="J8578" s="5"/>
      <c r="K8578" s="5"/>
    </row>
    <row r="8579" spans="3:11" x14ac:dyDescent="0.35">
      <c r="C8579" s="112"/>
      <c r="D8579" s="5"/>
      <c r="E8579" s="5"/>
      <c r="F8579" s="5"/>
      <c r="G8579" s="5"/>
      <c r="H8579" s="5"/>
      <c r="I8579" s="5"/>
      <c r="J8579" s="5"/>
      <c r="K8579" s="5"/>
    </row>
    <row r="8580" spans="3:11" x14ac:dyDescent="0.35">
      <c r="C8580" s="112"/>
      <c r="D8580" s="5"/>
      <c r="E8580" s="5"/>
      <c r="F8580" s="5"/>
      <c r="G8580" s="5"/>
      <c r="H8580" s="5"/>
      <c r="I8580" s="5"/>
      <c r="J8580" s="5"/>
      <c r="K8580" s="5"/>
    </row>
    <row r="8581" spans="3:11" x14ac:dyDescent="0.35">
      <c r="C8581" s="112"/>
      <c r="D8581" s="5"/>
      <c r="E8581" s="5"/>
      <c r="F8581" s="5"/>
      <c r="G8581" s="5"/>
      <c r="H8581" s="5"/>
      <c r="I8581" s="5"/>
      <c r="J8581" s="5"/>
      <c r="K8581" s="5"/>
    </row>
    <row r="8582" spans="3:11" x14ac:dyDescent="0.35">
      <c r="C8582" s="112"/>
      <c r="D8582" s="5"/>
      <c r="E8582" s="5"/>
      <c r="F8582" s="5"/>
      <c r="G8582" s="5"/>
      <c r="H8582" s="5"/>
      <c r="I8582" s="5"/>
      <c r="J8582" s="5"/>
      <c r="K8582" s="5"/>
    </row>
    <row r="8583" spans="3:11" x14ac:dyDescent="0.35">
      <c r="C8583" s="112"/>
      <c r="D8583" s="5"/>
      <c r="E8583" s="5"/>
      <c r="F8583" s="5"/>
      <c r="G8583" s="5"/>
      <c r="H8583" s="5"/>
      <c r="I8583" s="5"/>
      <c r="J8583" s="5"/>
      <c r="K8583" s="5"/>
    </row>
    <row r="8584" spans="3:11" x14ac:dyDescent="0.35">
      <c r="C8584" s="112"/>
      <c r="D8584" s="5"/>
      <c r="E8584" s="5"/>
      <c r="F8584" s="5"/>
      <c r="G8584" s="5"/>
      <c r="H8584" s="5"/>
      <c r="I8584" s="5"/>
      <c r="J8584" s="5"/>
      <c r="K8584" s="5"/>
    </row>
    <row r="8585" spans="3:11" x14ac:dyDescent="0.35">
      <c r="C8585" s="112"/>
      <c r="D8585" s="5"/>
      <c r="E8585" s="5"/>
      <c r="F8585" s="5"/>
      <c r="G8585" s="5"/>
      <c r="H8585" s="5"/>
      <c r="I8585" s="5"/>
      <c r="J8585" s="5"/>
      <c r="K8585" s="5"/>
    </row>
    <row r="8586" spans="3:11" x14ac:dyDescent="0.35">
      <c r="C8586" s="112"/>
      <c r="D8586" s="5"/>
      <c r="E8586" s="5"/>
      <c r="F8586" s="5"/>
      <c r="G8586" s="5"/>
      <c r="H8586" s="5"/>
      <c r="I8586" s="5"/>
      <c r="J8586" s="5"/>
      <c r="K8586" s="5"/>
    </row>
    <row r="8587" spans="3:11" x14ac:dyDescent="0.35">
      <c r="C8587" s="112"/>
      <c r="D8587" s="5"/>
      <c r="E8587" s="5"/>
      <c r="F8587" s="5"/>
      <c r="G8587" s="5"/>
      <c r="H8587" s="5"/>
      <c r="I8587" s="5"/>
      <c r="J8587" s="5"/>
      <c r="K8587" s="5"/>
    </row>
    <row r="8588" spans="3:11" x14ac:dyDescent="0.35">
      <c r="C8588" s="112"/>
      <c r="D8588" s="5"/>
      <c r="E8588" s="5"/>
      <c r="F8588" s="5"/>
      <c r="G8588" s="5"/>
      <c r="H8588" s="5"/>
      <c r="I8588" s="5"/>
      <c r="J8588" s="5"/>
      <c r="K8588" s="5"/>
    </row>
    <row r="8589" spans="3:11" x14ac:dyDescent="0.35">
      <c r="C8589" s="112"/>
      <c r="D8589" s="5"/>
      <c r="E8589" s="5"/>
      <c r="F8589" s="5"/>
      <c r="G8589" s="5"/>
      <c r="H8589" s="5"/>
      <c r="I8589" s="5"/>
      <c r="J8589" s="5"/>
      <c r="K8589" s="5"/>
    </row>
    <row r="8590" spans="3:11" x14ac:dyDescent="0.35">
      <c r="C8590" s="112"/>
      <c r="D8590" s="5"/>
      <c r="E8590" s="5"/>
      <c r="F8590" s="5"/>
      <c r="G8590" s="5"/>
      <c r="H8590" s="5"/>
      <c r="I8590" s="5"/>
      <c r="J8590" s="5"/>
      <c r="K8590" s="5"/>
    </row>
    <row r="8591" spans="3:11" x14ac:dyDescent="0.35">
      <c r="C8591" s="112"/>
      <c r="D8591" s="5"/>
      <c r="E8591" s="5"/>
      <c r="F8591" s="5"/>
      <c r="G8591" s="5"/>
      <c r="H8591" s="5"/>
      <c r="I8591" s="5"/>
      <c r="J8591" s="5"/>
      <c r="K8591" s="5"/>
    </row>
    <row r="8592" spans="3:11" x14ac:dyDescent="0.35">
      <c r="C8592" s="112"/>
      <c r="D8592" s="5"/>
      <c r="E8592" s="5"/>
      <c r="F8592" s="5"/>
      <c r="G8592" s="5"/>
      <c r="H8592" s="5"/>
      <c r="I8592" s="5"/>
      <c r="J8592" s="5"/>
      <c r="K8592" s="5"/>
    </row>
    <row r="8593" spans="3:11" x14ac:dyDescent="0.35">
      <c r="C8593" s="112"/>
      <c r="D8593" s="5"/>
      <c r="E8593" s="5"/>
      <c r="F8593" s="5"/>
      <c r="G8593" s="5"/>
      <c r="H8593" s="5"/>
      <c r="I8593" s="5"/>
      <c r="J8593" s="5"/>
      <c r="K8593" s="5"/>
    </row>
    <row r="8594" spans="3:11" x14ac:dyDescent="0.35">
      <c r="C8594" s="112"/>
      <c r="D8594" s="5"/>
      <c r="E8594" s="5"/>
      <c r="F8594" s="5"/>
      <c r="G8594" s="5"/>
      <c r="H8594" s="5"/>
      <c r="I8594" s="5"/>
      <c r="J8594" s="5"/>
      <c r="K8594" s="5"/>
    </row>
    <row r="8595" spans="3:11" x14ac:dyDescent="0.35">
      <c r="C8595" s="112"/>
      <c r="D8595" s="5"/>
      <c r="E8595" s="5"/>
      <c r="F8595" s="5"/>
      <c r="G8595" s="5"/>
      <c r="H8595" s="5"/>
      <c r="I8595" s="5"/>
      <c r="J8595" s="5"/>
      <c r="K8595" s="5"/>
    </row>
    <row r="8596" spans="3:11" x14ac:dyDescent="0.35">
      <c r="C8596" s="112"/>
      <c r="D8596" s="5"/>
      <c r="E8596" s="5"/>
      <c r="F8596" s="5"/>
      <c r="G8596" s="5"/>
      <c r="H8596" s="5"/>
      <c r="I8596" s="5"/>
      <c r="J8596" s="5"/>
      <c r="K8596" s="5"/>
    </row>
    <row r="8597" spans="3:11" x14ac:dyDescent="0.35">
      <c r="C8597" s="112"/>
      <c r="D8597" s="5"/>
      <c r="E8597" s="5"/>
      <c r="F8597" s="5"/>
      <c r="G8597" s="5"/>
      <c r="H8597" s="5"/>
      <c r="I8597" s="5"/>
      <c r="J8597" s="5"/>
      <c r="K8597" s="5"/>
    </row>
    <row r="8598" spans="3:11" x14ac:dyDescent="0.35">
      <c r="C8598" s="112"/>
      <c r="D8598" s="5"/>
      <c r="E8598" s="5"/>
      <c r="F8598" s="5"/>
      <c r="G8598" s="5"/>
      <c r="H8598" s="5"/>
      <c r="I8598" s="5"/>
      <c r="J8598" s="5"/>
      <c r="K8598" s="5"/>
    </row>
    <row r="8599" spans="3:11" x14ac:dyDescent="0.35">
      <c r="C8599" s="112"/>
      <c r="D8599" s="5"/>
      <c r="E8599" s="5"/>
      <c r="F8599" s="5"/>
      <c r="G8599" s="5"/>
      <c r="H8599" s="5"/>
      <c r="I8599" s="5"/>
      <c r="J8599" s="5"/>
      <c r="K8599" s="5"/>
    </row>
    <row r="8600" spans="3:11" x14ac:dyDescent="0.35">
      <c r="C8600" s="112"/>
      <c r="D8600" s="5"/>
      <c r="E8600" s="5"/>
      <c r="F8600" s="5"/>
      <c r="G8600" s="5"/>
      <c r="H8600" s="5"/>
      <c r="I8600" s="5"/>
      <c r="J8600" s="5"/>
      <c r="K8600" s="5"/>
    </row>
    <row r="8601" spans="3:11" x14ac:dyDescent="0.35">
      <c r="C8601" s="112"/>
      <c r="D8601" s="5"/>
      <c r="E8601" s="5"/>
      <c r="F8601" s="5"/>
      <c r="G8601" s="5"/>
      <c r="H8601" s="5"/>
      <c r="I8601" s="5"/>
      <c r="J8601" s="5"/>
      <c r="K8601" s="5"/>
    </row>
    <row r="8602" spans="3:11" x14ac:dyDescent="0.35">
      <c r="C8602" s="112"/>
      <c r="D8602" s="5"/>
      <c r="E8602" s="5"/>
      <c r="F8602" s="5"/>
      <c r="G8602" s="5"/>
      <c r="H8602" s="5"/>
      <c r="I8602" s="5"/>
      <c r="J8602" s="5"/>
      <c r="K8602" s="5"/>
    </row>
    <row r="8603" spans="3:11" x14ac:dyDescent="0.35">
      <c r="C8603" s="112"/>
      <c r="D8603" s="5"/>
      <c r="E8603" s="5"/>
      <c r="F8603" s="5"/>
      <c r="G8603" s="5"/>
      <c r="H8603" s="5"/>
      <c r="I8603" s="5"/>
      <c r="J8603" s="5"/>
      <c r="K8603" s="5"/>
    </row>
    <row r="8604" spans="3:11" x14ac:dyDescent="0.35">
      <c r="C8604" s="112"/>
      <c r="D8604" s="5"/>
      <c r="E8604" s="5"/>
      <c r="F8604" s="5"/>
      <c r="G8604" s="5"/>
      <c r="H8604" s="5"/>
      <c r="I8604" s="5"/>
      <c r="J8604" s="5"/>
      <c r="K8604" s="5"/>
    </row>
    <row r="8605" spans="3:11" x14ac:dyDescent="0.35">
      <c r="C8605" s="112"/>
      <c r="D8605" s="5"/>
      <c r="E8605" s="5"/>
      <c r="F8605" s="5"/>
      <c r="G8605" s="5"/>
      <c r="H8605" s="5"/>
      <c r="I8605" s="5"/>
      <c r="J8605" s="5"/>
      <c r="K8605" s="5"/>
    </row>
    <row r="8606" spans="3:11" x14ac:dyDescent="0.35">
      <c r="C8606" s="112"/>
      <c r="D8606" s="5"/>
      <c r="E8606" s="5"/>
      <c r="F8606" s="5"/>
      <c r="G8606" s="5"/>
      <c r="H8606" s="5"/>
      <c r="I8606" s="5"/>
      <c r="J8606" s="5"/>
      <c r="K8606" s="5"/>
    </row>
    <row r="8607" spans="3:11" x14ac:dyDescent="0.35">
      <c r="C8607" s="112"/>
      <c r="D8607" s="5"/>
      <c r="E8607" s="5"/>
      <c r="F8607" s="5"/>
      <c r="G8607" s="5"/>
      <c r="H8607" s="5"/>
      <c r="I8607" s="5"/>
      <c r="J8607" s="5"/>
      <c r="K8607" s="5"/>
    </row>
    <row r="8608" spans="3:11" x14ac:dyDescent="0.35">
      <c r="C8608" s="112"/>
      <c r="D8608" s="5"/>
      <c r="E8608" s="5"/>
      <c r="F8608" s="5"/>
      <c r="G8608" s="5"/>
      <c r="H8608" s="5"/>
      <c r="I8608" s="5"/>
      <c r="J8608" s="5"/>
      <c r="K8608" s="5"/>
    </row>
    <row r="8609" spans="3:11" x14ac:dyDescent="0.35">
      <c r="C8609" s="112"/>
      <c r="D8609" s="5"/>
      <c r="E8609" s="5"/>
      <c r="F8609" s="5"/>
      <c r="G8609" s="5"/>
      <c r="H8609" s="5"/>
      <c r="I8609" s="5"/>
      <c r="J8609" s="5"/>
      <c r="K8609" s="5"/>
    </row>
    <row r="8610" spans="3:11" x14ac:dyDescent="0.35">
      <c r="C8610" s="112"/>
      <c r="D8610" s="5"/>
      <c r="E8610" s="5"/>
      <c r="F8610" s="5"/>
      <c r="G8610" s="5"/>
      <c r="H8610" s="5"/>
      <c r="I8610" s="5"/>
      <c r="J8610" s="5"/>
      <c r="K8610" s="5"/>
    </row>
    <row r="8611" spans="3:11" x14ac:dyDescent="0.35">
      <c r="C8611" s="112"/>
      <c r="D8611" s="5"/>
      <c r="E8611" s="5"/>
      <c r="F8611" s="5"/>
      <c r="G8611" s="5"/>
      <c r="H8611" s="5"/>
      <c r="I8611" s="5"/>
      <c r="J8611" s="5"/>
      <c r="K8611" s="5"/>
    </row>
    <row r="8612" spans="3:11" x14ac:dyDescent="0.35">
      <c r="C8612" s="112"/>
      <c r="D8612" s="5"/>
      <c r="E8612" s="5"/>
      <c r="F8612" s="5"/>
      <c r="G8612" s="5"/>
      <c r="H8612" s="5"/>
      <c r="I8612" s="5"/>
      <c r="J8612" s="5"/>
      <c r="K8612" s="5"/>
    </row>
    <row r="8613" spans="3:11" x14ac:dyDescent="0.35">
      <c r="C8613" s="112"/>
      <c r="D8613" s="5"/>
      <c r="E8613" s="5"/>
      <c r="F8613" s="5"/>
      <c r="G8613" s="5"/>
      <c r="H8613" s="5"/>
      <c r="I8613" s="5"/>
      <c r="J8613" s="5"/>
      <c r="K8613" s="5"/>
    </row>
    <row r="8614" spans="3:11" x14ac:dyDescent="0.35">
      <c r="C8614" s="112"/>
      <c r="D8614" s="5"/>
      <c r="E8614" s="5"/>
      <c r="F8614" s="5"/>
      <c r="G8614" s="5"/>
      <c r="H8614" s="5"/>
      <c r="I8614" s="5"/>
      <c r="J8614" s="5"/>
      <c r="K8614" s="5"/>
    </row>
    <row r="8615" spans="3:11" x14ac:dyDescent="0.35">
      <c r="C8615" s="112"/>
      <c r="D8615" s="5"/>
      <c r="E8615" s="5"/>
      <c r="F8615" s="5"/>
      <c r="G8615" s="5"/>
      <c r="H8615" s="5"/>
      <c r="I8615" s="5"/>
      <c r="J8615" s="5"/>
      <c r="K8615" s="5"/>
    </row>
    <row r="8616" spans="3:11" x14ac:dyDescent="0.35">
      <c r="C8616" s="112"/>
      <c r="D8616" s="5"/>
      <c r="E8616" s="5"/>
      <c r="F8616" s="5"/>
      <c r="G8616" s="5"/>
      <c r="H8616" s="5"/>
      <c r="I8616" s="5"/>
      <c r="J8616" s="5"/>
      <c r="K8616" s="5"/>
    </row>
    <row r="8617" spans="3:11" x14ac:dyDescent="0.35">
      <c r="C8617" s="112"/>
      <c r="D8617" s="5"/>
      <c r="E8617" s="5"/>
      <c r="F8617" s="5"/>
      <c r="G8617" s="5"/>
      <c r="H8617" s="5"/>
      <c r="I8617" s="5"/>
      <c r="J8617" s="5"/>
      <c r="K8617" s="5"/>
    </row>
    <row r="8618" spans="3:11" x14ac:dyDescent="0.35">
      <c r="C8618" s="112"/>
      <c r="D8618" s="5"/>
      <c r="E8618" s="5"/>
      <c r="F8618" s="5"/>
      <c r="G8618" s="5"/>
      <c r="H8618" s="5"/>
      <c r="I8618" s="5"/>
      <c r="J8618" s="5"/>
      <c r="K8618" s="5"/>
    </row>
    <row r="8619" spans="3:11" x14ac:dyDescent="0.35">
      <c r="C8619" s="112"/>
      <c r="D8619" s="5"/>
      <c r="E8619" s="5"/>
      <c r="F8619" s="5"/>
      <c r="G8619" s="5"/>
      <c r="H8619" s="5"/>
      <c r="I8619" s="5"/>
      <c r="J8619" s="5"/>
      <c r="K8619" s="5"/>
    </row>
    <row r="8620" spans="3:11" x14ac:dyDescent="0.35">
      <c r="C8620" s="112"/>
      <c r="D8620" s="5"/>
      <c r="E8620" s="5"/>
      <c r="F8620" s="5"/>
      <c r="G8620" s="5"/>
      <c r="H8620" s="5"/>
      <c r="I8620" s="5"/>
      <c r="J8620" s="5"/>
      <c r="K8620" s="5"/>
    </row>
    <row r="8621" spans="3:11" x14ac:dyDescent="0.35">
      <c r="C8621" s="112"/>
      <c r="D8621" s="5"/>
      <c r="E8621" s="5"/>
      <c r="F8621" s="5"/>
      <c r="G8621" s="5"/>
      <c r="H8621" s="5"/>
      <c r="I8621" s="5"/>
      <c r="J8621" s="5"/>
      <c r="K8621" s="5"/>
    </row>
    <row r="8622" spans="3:11" x14ac:dyDescent="0.35">
      <c r="C8622" s="112"/>
      <c r="D8622" s="5"/>
      <c r="E8622" s="5"/>
      <c r="F8622" s="5"/>
      <c r="G8622" s="5"/>
      <c r="H8622" s="5"/>
      <c r="I8622" s="5"/>
      <c r="J8622" s="5"/>
      <c r="K8622" s="5"/>
    </row>
    <row r="8623" spans="3:11" x14ac:dyDescent="0.35">
      <c r="C8623" s="112"/>
      <c r="D8623" s="5"/>
      <c r="E8623" s="5"/>
      <c r="F8623" s="5"/>
      <c r="G8623" s="5"/>
      <c r="H8623" s="5"/>
      <c r="I8623" s="5"/>
      <c r="J8623" s="5"/>
      <c r="K8623" s="5"/>
    </row>
    <row r="8624" spans="3:11" x14ac:dyDescent="0.35">
      <c r="C8624" s="112"/>
      <c r="D8624" s="5"/>
      <c r="E8624" s="5"/>
      <c r="F8624" s="5"/>
      <c r="G8624" s="5"/>
      <c r="H8624" s="5"/>
      <c r="I8624" s="5"/>
      <c r="J8624" s="5"/>
      <c r="K8624" s="5"/>
    </row>
    <row r="8625" spans="3:11" x14ac:dyDescent="0.35">
      <c r="C8625" s="112"/>
      <c r="D8625" s="5"/>
      <c r="E8625" s="5"/>
      <c r="F8625" s="5"/>
      <c r="G8625" s="5"/>
      <c r="H8625" s="5"/>
      <c r="I8625" s="5"/>
      <c r="J8625" s="5"/>
      <c r="K8625" s="5"/>
    </row>
    <row r="8626" spans="3:11" x14ac:dyDescent="0.35">
      <c r="C8626" s="112"/>
      <c r="D8626" s="5"/>
      <c r="E8626" s="5"/>
      <c r="F8626" s="5"/>
      <c r="G8626" s="5"/>
      <c r="H8626" s="5"/>
      <c r="I8626" s="5"/>
      <c r="J8626" s="5"/>
      <c r="K8626" s="5"/>
    </row>
    <row r="8627" spans="3:11" x14ac:dyDescent="0.35">
      <c r="C8627" s="112"/>
      <c r="D8627" s="5"/>
      <c r="E8627" s="5"/>
      <c r="F8627" s="5"/>
      <c r="G8627" s="5"/>
      <c r="H8627" s="5"/>
      <c r="I8627" s="5"/>
      <c r="J8627" s="5"/>
      <c r="K8627" s="5"/>
    </row>
    <row r="8628" spans="3:11" x14ac:dyDescent="0.35">
      <c r="C8628" s="112"/>
      <c r="D8628" s="5"/>
      <c r="E8628" s="5"/>
      <c r="F8628" s="5"/>
      <c r="G8628" s="5"/>
      <c r="H8628" s="5"/>
      <c r="I8628" s="5"/>
      <c r="J8628" s="5"/>
      <c r="K8628" s="5"/>
    </row>
    <row r="8629" spans="3:11" x14ac:dyDescent="0.35">
      <c r="C8629" s="112"/>
      <c r="D8629" s="5"/>
      <c r="E8629" s="5"/>
      <c r="F8629" s="5"/>
      <c r="G8629" s="5"/>
      <c r="H8629" s="5"/>
      <c r="I8629" s="5"/>
      <c r="J8629" s="5"/>
      <c r="K8629" s="5"/>
    </row>
    <row r="8630" spans="3:11" x14ac:dyDescent="0.35">
      <c r="C8630" s="112"/>
      <c r="D8630" s="5"/>
      <c r="E8630" s="5"/>
      <c r="F8630" s="5"/>
      <c r="G8630" s="5"/>
      <c r="H8630" s="5"/>
      <c r="I8630" s="5"/>
      <c r="J8630" s="5"/>
      <c r="K8630" s="5"/>
    </row>
    <row r="8631" spans="3:11" x14ac:dyDescent="0.35">
      <c r="C8631" s="112"/>
      <c r="D8631" s="5"/>
      <c r="E8631" s="5"/>
      <c r="F8631" s="5"/>
      <c r="G8631" s="5"/>
      <c r="H8631" s="5"/>
      <c r="I8631" s="5"/>
      <c r="J8631" s="5"/>
      <c r="K8631" s="5"/>
    </row>
    <row r="8632" spans="3:11" x14ac:dyDescent="0.35">
      <c r="C8632" s="112"/>
      <c r="D8632" s="5"/>
      <c r="E8632" s="5"/>
      <c r="F8632" s="5"/>
      <c r="G8632" s="5"/>
      <c r="H8632" s="5"/>
      <c r="I8632" s="5"/>
      <c r="J8632" s="5"/>
      <c r="K8632" s="5"/>
    </row>
    <row r="8633" spans="3:11" x14ac:dyDescent="0.35">
      <c r="C8633" s="112"/>
      <c r="D8633" s="5"/>
      <c r="E8633" s="5"/>
      <c r="F8633" s="5"/>
      <c r="G8633" s="5"/>
      <c r="H8633" s="5"/>
      <c r="I8633" s="5"/>
      <c r="J8633" s="5"/>
      <c r="K8633" s="5"/>
    </row>
    <row r="8634" spans="3:11" x14ac:dyDescent="0.35">
      <c r="C8634" s="112"/>
      <c r="D8634" s="5"/>
      <c r="E8634" s="5"/>
      <c r="F8634" s="5"/>
      <c r="G8634" s="5"/>
      <c r="H8634" s="5"/>
      <c r="I8634" s="5"/>
      <c r="J8634" s="5"/>
      <c r="K8634" s="5"/>
    </row>
    <row r="8635" spans="3:11" x14ac:dyDescent="0.35">
      <c r="C8635" s="112"/>
      <c r="D8635" s="5"/>
      <c r="E8635" s="5"/>
      <c r="F8635" s="5"/>
      <c r="G8635" s="5"/>
      <c r="H8635" s="5"/>
      <c r="I8635" s="5"/>
      <c r="J8635" s="5"/>
      <c r="K8635" s="5"/>
    </row>
    <row r="8636" spans="3:11" x14ac:dyDescent="0.35">
      <c r="C8636" s="112"/>
      <c r="D8636" s="5"/>
      <c r="E8636" s="5"/>
      <c r="F8636" s="5"/>
      <c r="G8636" s="5"/>
      <c r="H8636" s="5"/>
      <c r="I8636" s="5"/>
      <c r="J8636" s="5"/>
      <c r="K8636" s="5"/>
    </row>
    <row r="8637" spans="3:11" x14ac:dyDescent="0.35">
      <c r="C8637" s="112"/>
      <c r="D8637" s="5"/>
      <c r="E8637" s="5"/>
      <c r="F8637" s="5"/>
      <c r="G8637" s="5"/>
      <c r="H8637" s="5"/>
      <c r="I8637" s="5"/>
      <c r="J8637" s="5"/>
      <c r="K8637" s="5"/>
    </row>
    <row r="8638" spans="3:11" x14ac:dyDescent="0.35">
      <c r="C8638" s="112"/>
      <c r="D8638" s="5"/>
      <c r="E8638" s="5"/>
      <c r="F8638" s="5"/>
      <c r="G8638" s="5"/>
      <c r="H8638" s="5"/>
      <c r="I8638" s="5"/>
      <c r="J8638" s="5"/>
      <c r="K8638" s="5"/>
    </row>
    <row r="8639" spans="3:11" x14ac:dyDescent="0.35">
      <c r="C8639" s="112"/>
      <c r="D8639" s="5"/>
      <c r="E8639" s="5"/>
      <c r="F8639" s="5"/>
      <c r="G8639" s="5"/>
      <c r="H8639" s="5"/>
      <c r="I8639" s="5"/>
      <c r="J8639" s="5"/>
      <c r="K8639" s="5"/>
    </row>
    <row r="8640" spans="3:11" x14ac:dyDescent="0.35">
      <c r="C8640" s="112"/>
      <c r="D8640" s="5"/>
      <c r="E8640" s="5"/>
      <c r="F8640" s="5"/>
      <c r="G8640" s="5"/>
      <c r="H8640" s="5"/>
      <c r="I8640" s="5"/>
      <c r="J8640" s="5"/>
      <c r="K8640" s="5"/>
    </row>
    <row r="8641" spans="3:11" x14ac:dyDescent="0.35">
      <c r="C8641" s="112"/>
      <c r="D8641" s="5"/>
      <c r="E8641" s="5"/>
      <c r="F8641" s="5"/>
      <c r="G8641" s="5"/>
      <c r="H8641" s="5"/>
      <c r="I8641" s="5"/>
      <c r="J8641" s="5"/>
      <c r="K8641" s="5"/>
    </row>
    <row r="8642" spans="3:11" x14ac:dyDescent="0.35">
      <c r="C8642" s="112"/>
      <c r="D8642" s="5"/>
      <c r="E8642" s="5"/>
      <c r="F8642" s="5"/>
      <c r="G8642" s="5"/>
      <c r="H8642" s="5"/>
      <c r="I8642" s="5"/>
      <c r="J8642" s="5"/>
      <c r="K8642" s="5"/>
    </row>
    <row r="8643" spans="3:11" x14ac:dyDescent="0.35">
      <c r="C8643" s="112"/>
      <c r="D8643" s="5"/>
      <c r="E8643" s="5"/>
      <c r="F8643" s="5"/>
      <c r="G8643" s="5"/>
      <c r="H8643" s="5"/>
      <c r="I8643" s="5"/>
      <c r="J8643" s="5"/>
      <c r="K8643" s="5"/>
    </row>
    <row r="8644" spans="3:11" x14ac:dyDescent="0.35">
      <c r="C8644" s="112"/>
      <c r="D8644" s="5"/>
      <c r="E8644" s="5"/>
      <c r="F8644" s="5"/>
      <c r="G8644" s="5"/>
      <c r="H8644" s="5"/>
      <c r="I8644" s="5"/>
      <c r="J8644" s="5"/>
      <c r="K8644" s="5"/>
    </row>
    <row r="8645" spans="3:11" x14ac:dyDescent="0.35">
      <c r="C8645" s="112"/>
      <c r="D8645" s="5"/>
      <c r="E8645" s="5"/>
      <c r="F8645" s="5"/>
      <c r="G8645" s="5"/>
      <c r="H8645" s="5"/>
      <c r="I8645" s="5"/>
      <c r="J8645" s="5"/>
      <c r="K8645" s="5"/>
    </row>
    <row r="8646" spans="3:11" x14ac:dyDescent="0.35">
      <c r="C8646" s="112"/>
      <c r="D8646" s="5"/>
      <c r="E8646" s="5"/>
      <c r="F8646" s="5"/>
      <c r="G8646" s="5"/>
      <c r="H8646" s="5"/>
      <c r="I8646" s="5"/>
      <c r="J8646" s="5"/>
      <c r="K8646" s="5"/>
    </row>
    <row r="8647" spans="3:11" x14ac:dyDescent="0.35">
      <c r="C8647" s="112"/>
      <c r="D8647" s="5"/>
      <c r="E8647" s="5"/>
      <c r="F8647" s="5"/>
      <c r="G8647" s="5"/>
      <c r="H8647" s="5"/>
      <c r="I8647" s="5"/>
      <c r="J8647" s="5"/>
      <c r="K8647" s="5"/>
    </row>
    <row r="8648" spans="3:11" x14ac:dyDescent="0.35">
      <c r="C8648" s="112"/>
      <c r="D8648" s="5"/>
      <c r="E8648" s="5"/>
      <c r="F8648" s="5"/>
      <c r="G8648" s="5"/>
      <c r="H8648" s="5"/>
      <c r="I8648" s="5"/>
      <c r="J8648" s="5"/>
      <c r="K8648" s="5"/>
    </row>
    <row r="8649" spans="3:11" x14ac:dyDescent="0.35">
      <c r="C8649" s="112"/>
      <c r="D8649" s="5"/>
      <c r="E8649" s="5"/>
      <c r="F8649" s="5"/>
      <c r="G8649" s="5"/>
      <c r="H8649" s="5"/>
      <c r="I8649" s="5"/>
      <c r="J8649" s="5"/>
      <c r="K8649" s="5"/>
    </row>
    <row r="8650" spans="3:11" x14ac:dyDescent="0.35">
      <c r="C8650" s="112"/>
      <c r="D8650" s="5"/>
      <c r="E8650" s="5"/>
      <c r="F8650" s="5"/>
      <c r="G8650" s="5"/>
      <c r="H8650" s="5"/>
      <c r="I8650" s="5"/>
      <c r="J8650" s="5"/>
      <c r="K8650" s="5"/>
    </row>
    <row r="8651" spans="3:11" x14ac:dyDescent="0.35">
      <c r="C8651" s="112"/>
      <c r="D8651" s="5"/>
      <c r="E8651" s="5"/>
      <c r="F8651" s="5"/>
      <c r="G8651" s="5"/>
      <c r="H8651" s="5"/>
      <c r="I8651" s="5"/>
      <c r="J8651" s="5"/>
      <c r="K8651" s="5"/>
    </row>
    <row r="8652" spans="3:11" x14ac:dyDescent="0.35">
      <c r="C8652" s="112"/>
      <c r="D8652" s="5"/>
      <c r="E8652" s="5"/>
      <c r="F8652" s="5"/>
      <c r="G8652" s="5"/>
      <c r="H8652" s="5"/>
      <c r="I8652" s="5"/>
      <c r="J8652" s="5"/>
      <c r="K8652" s="5"/>
    </row>
    <row r="8653" spans="3:11" x14ac:dyDescent="0.35">
      <c r="C8653" s="112"/>
      <c r="D8653" s="5"/>
      <c r="E8653" s="5"/>
      <c r="F8653" s="5"/>
      <c r="G8653" s="5"/>
      <c r="H8653" s="5"/>
      <c r="I8653" s="5"/>
      <c r="J8653" s="5"/>
      <c r="K8653" s="5"/>
    </row>
    <row r="8654" spans="3:11" x14ac:dyDescent="0.35">
      <c r="C8654" s="112"/>
      <c r="D8654" s="5"/>
      <c r="E8654" s="5"/>
      <c r="F8654" s="5"/>
      <c r="G8654" s="5"/>
      <c r="H8654" s="5"/>
      <c r="I8654" s="5"/>
      <c r="J8654" s="5"/>
      <c r="K8654" s="5"/>
    </row>
    <row r="8655" spans="3:11" x14ac:dyDescent="0.35">
      <c r="C8655" s="112"/>
      <c r="D8655" s="5"/>
      <c r="E8655" s="5"/>
      <c r="F8655" s="5"/>
      <c r="G8655" s="5"/>
      <c r="H8655" s="5"/>
      <c r="I8655" s="5"/>
      <c r="J8655" s="5"/>
      <c r="K8655" s="5"/>
    </row>
    <row r="8656" spans="3:11" x14ac:dyDescent="0.35">
      <c r="C8656" s="112"/>
      <c r="D8656" s="5"/>
      <c r="E8656" s="5"/>
      <c r="F8656" s="5"/>
      <c r="G8656" s="5"/>
      <c r="H8656" s="5"/>
      <c r="I8656" s="5"/>
      <c r="J8656" s="5"/>
      <c r="K8656" s="5"/>
    </row>
    <row r="8657" spans="3:11" x14ac:dyDescent="0.35">
      <c r="C8657" s="112"/>
      <c r="D8657" s="5"/>
      <c r="E8657" s="5"/>
      <c r="F8657" s="5"/>
      <c r="G8657" s="5"/>
      <c r="H8657" s="5"/>
      <c r="I8657" s="5"/>
      <c r="J8657" s="5"/>
      <c r="K8657" s="5"/>
    </row>
    <row r="8658" spans="3:11" x14ac:dyDescent="0.35">
      <c r="C8658" s="112"/>
      <c r="D8658" s="5"/>
      <c r="E8658" s="5"/>
      <c r="F8658" s="5"/>
      <c r="G8658" s="5"/>
      <c r="H8658" s="5"/>
      <c r="I8658" s="5"/>
      <c r="J8658" s="5"/>
      <c r="K8658" s="5"/>
    </row>
    <row r="8659" spans="3:11" x14ac:dyDescent="0.35">
      <c r="C8659" s="112"/>
      <c r="D8659" s="5"/>
      <c r="E8659" s="5"/>
      <c r="F8659" s="5"/>
      <c r="G8659" s="5"/>
      <c r="H8659" s="5"/>
      <c r="I8659" s="5"/>
      <c r="J8659" s="5"/>
      <c r="K8659" s="5"/>
    </row>
    <row r="8660" spans="3:11" x14ac:dyDescent="0.35">
      <c r="C8660" s="112"/>
      <c r="D8660" s="5"/>
      <c r="E8660" s="5"/>
      <c r="F8660" s="5"/>
      <c r="G8660" s="5"/>
      <c r="H8660" s="5"/>
      <c r="I8660" s="5"/>
      <c r="J8660" s="5"/>
      <c r="K8660" s="5"/>
    </row>
    <row r="8661" spans="3:11" x14ac:dyDescent="0.35">
      <c r="C8661" s="112"/>
      <c r="D8661" s="5"/>
      <c r="E8661" s="5"/>
      <c r="F8661" s="5"/>
      <c r="G8661" s="5"/>
      <c r="H8661" s="5"/>
      <c r="I8661" s="5"/>
      <c r="J8661" s="5"/>
      <c r="K8661" s="5"/>
    </row>
    <row r="8662" spans="3:11" x14ac:dyDescent="0.35">
      <c r="C8662" s="112"/>
      <c r="D8662" s="5"/>
      <c r="E8662" s="5"/>
      <c r="F8662" s="5"/>
      <c r="G8662" s="5"/>
      <c r="H8662" s="5"/>
      <c r="I8662" s="5"/>
      <c r="J8662" s="5"/>
      <c r="K8662" s="5"/>
    </row>
    <row r="8663" spans="3:11" x14ac:dyDescent="0.35">
      <c r="C8663" s="112"/>
      <c r="D8663" s="5"/>
      <c r="E8663" s="5"/>
      <c r="F8663" s="5"/>
      <c r="G8663" s="5"/>
      <c r="H8663" s="5"/>
      <c r="I8663" s="5"/>
      <c r="J8663" s="5"/>
      <c r="K8663" s="5"/>
    </row>
    <row r="8664" spans="3:11" x14ac:dyDescent="0.35">
      <c r="C8664" s="112"/>
      <c r="D8664" s="5"/>
      <c r="E8664" s="5"/>
      <c r="F8664" s="5"/>
      <c r="G8664" s="5"/>
      <c r="H8664" s="5"/>
      <c r="I8664" s="5"/>
      <c r="J8664" s="5"/>
      <c r="K8664" s="5"/>
    </row>
    <row r="8665" spans="3:11" x14ac:dyDescent="0.35">
      <c r="C8665" s="112"/>
      <c r="D8665" s="5"/>
      <c r="E8665" s="5"/>
      <c r="F8665" s="5"/>
      <c r="G8665" s="5"/>
      <c r="H8665" s="5"/>
      <c r="I8665" s="5"/>
      <c r="J8665" s="5"/>
      <c r="K8665" s="5"/>
    </row>
    <row r="8666" spans="3:11" x14ac:dyDescent="0.35">
      <c r="C8666" s="112"/>
      <c r="D8666" s="5"/>
      <c r="E8666" s="5"/>
      <c r="F8666" s="5"/>
      <c r="G8666" s="5"/>
      <c r="H8666" s="5"/>
      <c r="I8666" s="5"/>
      <c r="J8666" s="5"/>
      <c r="K8666" s="5"/>
    </row>
    <row r="8667" spans="3:11" x14ac:dyDescent="0.35">
      <c r="C8667" s="112"/>
      <c r="D8667" s="5"/>
      <c r="E8667" s="5"/>
      <c r="F8667" s="5"/>
      <c r="G8667" s="5"/>
      <c r="H8667" s="5"/>
      <c r="I8667" s="5"/>
      <c r="J8667" s="5"/>
      <c r="K8667" s="5"/>
    </row>
    <row r="8668" spans="3:11" x14ac:dyDescent="0.35">
      <c r="C8668" s="112"/>
      <c r="D8668" s="5"/>
      <c r="E8668" s="5"/>
      <c r="F8668" s="5"/>
      <c r="G8668" s="5"/>
      <c r="H8668" s="5"/>
      <c r="I8668" s="5"/>
      <c r="J8668" s="5"/>
      <c r="K8668" s="5"/>
    </row>
    <row r="8669" spans="3:11" x14ac:dyDescent="0.35">
      <c r="C8669" s="112"/>
      <c r="D8669" s="5"/>
      <c r="E8669" s="5"/>
      <c r="F8669" s="5"/>
      <c r="G8669" s="5"/>
      <c r="H8669" s="5"/>
      <c r="I8669" s="5"/>
      <c r="J8669" s="5"/>
      <c r="K8669" s="5"/>
    </row>
    <row r="8670" spans="3:11" x14ac:dyDescent="0.35">
      <c r="C8670" s="112"/>
      <c r="D8670" s="5"/>
      <c r="E8670" s="5"/>
      <c r="F8670" s="5"/>
      <c r="G8670" s="5"/>
      <c r="H8670" s="5"/>
      <c r="I8670" s="5"/>
      <c r="J8670" s="5"/>
      <c r="K8670" s="5"/>
    </row>
    <row r="8671" spans="3:11" x14ac:dyDescent="0.35">
      <c r="C8671" s="112"/>
      <c r="D8671" s="5"/>
      <c r="E8671" s="5"/>
      <c r="F8671" s="5"/>
      <c r="G8671" s="5"/>
      <c r="H8671" s="5"/>
      <c r="I8671" s="5"/>
      <c r="J8671" s="5"/>
      <c r="K8671" s="5"/>
    </row>
    <row r="8672" spans="3:11" x14ac:dyDescent="0.35">
      <c r="C8672" s="112"/>
      <c r="D8672" s="5"/>
      <c r="E8672" s="5"/>
      <c r="F8672" s="5"/>
      <c r="G8672" s="5"/>
      <c r="H8672" s="5"/>
      <c r="I8672" s="5"/>
      <c r="J8672" s="5"/>
      <c r="K8672" s="5"/>
    </row>
    <row r="8673" spans="3:11" x14ac:dyDescent="0.35">
      <c r="C8673" s="112"/>
      <c r="D8673" s="5"/>
      <c r="E8673" s="5"/>
      <c r="F8673" s="5"/>
      <c r="G8673" s="5"/>
      <c r="H8673" s="5"/>
      <c r="I8673" s="5"/>
      <c r="J8673" s="5"/>
      <c r="K8673" s="5"/>
    </row>
    <row r="8674" spans="3:11" x14ac:dyDescent="0.35">
      <c r="C8674" s="112"/>
      <c r="D8674" s="5"/>
      <c r="E8674" s="5"/>
      <c r="F8674" s="5"/>
      <c r="G8674" s="5"/>
      <c r="H8674" s="5"/>
      <c r="I8674" s="5"/>
      <c r="J8674" s="5"/>
      <c r="K8674" s="5"/>
    </row>
    <row r="8675" spans="3:11" x14ac:dyDescent="0.35">
      <c r="C8675" s="112"/>
      <c r="D8675" s="5"/>
      <c r="E8675" s="5"/>
      <c r="F8675" s="5"/>
      <c r="G8675" s="5"/>
      <c r="H8675" s="5"/>
      <c r="I8675" s="5"/>
      <c r="J8675" s="5"/>
      <c r="K8675" s="5"/>
    </row>
    <row r="8676" spans="3:11" x14ac:dyDescent="0.35">
      <c r="C8676" s="112"/>
      <c r="D8676" s="5"/>
      <c r="E8676" s="5"/>
      <c r="F8676" s="5"/>
      <c r="G8676" s="5"/>
      <c r="H8676" s="5"/>
      <c r="I8676" s="5"/>
      <c r="J8676" s="5"/>
      <c r="K8676" s="5"/>
    </row>
    <row r="8677" spans="3:11" x14ac:dyDescent="0.35">
      <c r="C8677" s="112"/>
      <c r="D8677" s="5"/>
      <c r="E8677" s="5"/>
      <c r="F8677" s="5"/>
      <c r="G8677" s="5"/>
      <c r="H8677" s="5"/>
      <c r="I8677" s="5"/>
      <c r="J8677" s="5"/>
      <c r="K8677" s="5"/>
    </row>
    <row r="8678" spans="3:11" x14ac:dyDescent="0.35">
      <c r="C8678" s="112"/>
      <c r="D8678" s="5"/>
      <c r="E8678" s="5"/>
      <c r="F8678" s="5"/>
      <c r="G8678" s="5"/>
      <c r="H8678" s="5"/>
      <c r="I8678" s="5"/>
      <c r="J8678" s="5"/>
      <c r="K8678" s="5"/>
    </row>
    <row r="8679" spans="3:11" x14ac:dyDescent="0.35">
      <c r="C8679" s="112"/>
      <c r="D8679" s="5"/>
      <c r="E8679" s="5"/>
      <c r="F8679" s="5"/>
      <c r="G8679" s="5"/>
      <c r="H8679" s="5"/>
      <c r="I8679" s="5"/>
      <c r="J8679" s="5"/>
      <c r="K8679" s="5"/>
    </row>
    <row r="8680" spans="3:11" x14ac:dyDescent="0.35">
      <c r="C8680" s="112"/>
      <c r="D8680" s="5"/>
      <c r="E8680" s="5"/>
      <c r="F8680" s="5"/>
      <c r="G8680" s="5"/>
      <c r="H8680" s="5"/>
      <c r="I8680" s="5"/>
      <c r="J8680" s="5"/>
      <c r="K8680" s="5"/>
    </row>
    <row r="8681" spans="3:11" x14ac:dyDescent="0.35">
      <c r="C8681" s="112"/>
      <c r="D8681" s="5"/>
      <c r="E8681" s="5"/>
      <c r="F8681" s="5"/>
      <c r="G8681" s="5"/>
      <c r="H8681" s="5"/>
      <c r="I8681" s="5"/>
      <c r="J8681" s="5"/>
      <c r="K8681" s="5"/>
    </row>
    <row r="8682" spans="3:11" x14ac:dyDescent="0.35">
      <c r="C8682" s="112"/>
      <c r="D8682" s="5"/>
      <c r="E8682" s="5"/>
      <c r="F8682" s="5"/>
      <c r="G8682" s="5"/>
      <c r="H8682" s="5"/>
      <c r="I8682" s="5"/>
      <c r="J8682" s="5"/>
      <c r="K8682" s="5"/>
    </row>
    <row r="8683" spans="3:11" x14ac:dyDescent="0.35">
      <c r="C8683" s="112"/>
      <c r="D8683" s="5"/>
      <c r="E8683" s="5"/>
      <c r="F8683" s="5"/>
      <c r="G8683" s="5"/>
      <c r="H8683" s="5"/>
      <c r="I8683" s="5"/>
      <c r="J8683" s="5"/>
      <c r="K8683" s="5"/>
    </row>
    <row r="8684" spans="3:11" x14ac:dyDescent="0.35">
      <c r="C8684" s="112"/>
      <c r="D8684" s="5"/>
      <c r="E8684" s="5"/>
      <c r="F8684" s="5"/>
      <c r="G8684" s="5"/>
      <c r="H8684" s="5"/>
      <c r="I8684" s="5"/>
      <c r="J8684" s="5"/>
      <c r="K8684" s="5"/>
    </row>
    <row r="8685" spans="3:11" x14ac:dyDescent="0.35">
      <c r="C8685" s="112"/>
      <c r="D8685" s="5"/>
      <c r="E8685" s="5"/>
      <c r="F8685" s="5"/>
      <c r="G8685" s="5"/>
      <c r="H8685" s="5"/>
      <c r="I8685" s="5"/>
      <c r="J8685" s="5"/>
      <c r="K8685" s="5"/>
    </row>
    <row r="8686" spans="3:11" x14ac:dyDescent="0.35">
      <c r="C8686" s="112"/>
      <c r="D8686" s="5"/>
      <c r="E8686" s="5"/>
      <c r="F8686" s="5"/>
      <c r="G8686" s="5"/>
      <c r="H8686" s="5"/>
      <c r="I8686" s="5"/>
      <c r="J8686" s="5"/>
      <c r="K8686" s="5"/>
    </row>
    <row r="8687" spans="3:11" x14ac:dyDescent="0.35">
      <c r="C8687" s="112"/>
      <c r="D8687" s="5"/>
      <c r="E8687" s="5"/>
      <c r="F8687" s="5"/>
      <c r="G8687" s="5"/>
      <c r="H8687" s="5"/>
      <c r="I8687" s="5"/>
      <c r="J8687" s="5"/>
      <c r="K8687" s="5"/>
    </row>
    <row r="8688" spans="3:11" x14ac:dyDescent="0.35">
      <c r="C8688" s="112"/>
      <c r="D8688" s="5"/>
      <c r="E8688" s="5"/>
      <c r="F8688" s="5"/>
      <c r="G8688" s="5"/>
      <c r="H8688" s="5"/>
      <c r="I8688" s="5"/>
      <c r="J8688" s="5"/>
      <c r="K8688" s="5"/>
    </row>
    <row r="8689" spans="3:11" x14ac:dyDescent="0.35">
      <c r="C8689" s="112"/>
      <c r="D8689" s="5"/>
      <c r="E8689" s="5"/>
      <c r="F8689" s="5"/>
      <c r="G8689" s="5"/>
      <c r="H8689" s="5"/>
      <c r="I8689" s="5"/>
      <c r="J8689" s="5"/>
      <c r="K8689" s="5"/>
    </row>
    <row r="8690" spans="3:11" x14ac:dyDescent="0.35">
      <c r="C8690" s="112"/>
      <c r="D8690" s="5"/>
      <c r="E8690" s="5"/>
      <c r="F8690" s="5"/>
      <c r="G8690" s="5"/>
      <c r="H8690" s="5"/>
      <c r="I8690" s="5"/>
      <c r="J8690" s="5"/>
      <c r="K8690" s="5"/>
    </row>
    <row r="8691" spans="3:11" x14ac:dyDescent="0.35">
      <c r="C8691" s="112"/>
      <c r="D8691" s="5"/>
      <c r="E8691" s="5"/>
      <c r="F8691" s="5"/>
      <c r="G8691" s="5"/>
      <c r="H8691" s="5"/>
      <c r="I8691" s="5"/>
      <c r="J8691" s="5"/>
      <c r="K8691" s="5"/>
    </row>
    <row r="8692" spans="3:11" x14ac:dyDescent="0.35">
      <c r="C8692" s="112"/>
      <c r="D8692" s="5"/>
      <c r="E8692" s="5"/>
      <c r="F8692" s="5"/>
      <c r="G8692" s="5"/>
      <c r="H8692" s="5"/>
      <c r="I8692" s="5"/>
      <c r="J8692" s="5"/>
      <c r="K8692" s="5"/>
    </row>
    <row r="8693" spans="3:11" x14ac:dyDescent="0.35">
      <c r="C8693" s="112"/>
      <c r="D8693" s="5"/>
      <c r="E8693" s="5"/>
      <c r="F8693" s="5"/>
      <c r="G8693" s="5"/>
      <c r="H8693" s="5"/>
      <c r="I8693" s="5"/>
      <c r="J8693" s="5"/>
      <c r="K8693" s="5"/>
    </row>
    <row r="8694" spans="3:11" x14ac:dyDescent="0.35">
      <c r="C8694" s="112"/>
      <c r="D8694" s="5"/>
      <c r="E8694" s="5"/>
      <c r="F8694" s="5"/>
      <c r="G8694" s="5"/>
      <c r="H8694" s="5"/>
      <c r="I8694" s="5"/>
      <c r="J8694" s="5"/>
      <c r="K8694" s="5"/>
    </row>
    <row r="8695" spans="3:11" x14ac:dyDescent="0.35">
      <c r="C8695" s="112"/>
      <c r="D8695" s="5"/>
      <c r="E8695" s="5"/>
      <c r="F8695" s="5"/>
      <c r="G8695" s="5"/>
      <c r="H8695" s="5"/>
      <c r="I8695" s="5"/>
      <c r="J8695" s="5"/>
      <c r="K8695" s="5"/>
    </row>
    <row r="8696" spans="3:11" x14ac:dyDescent="0.35">
      <c r="C8696" s="112"/>
      <c r="D8696" s="5"/>
      <c r="E8696" s="5"/>
      <c r="F8696" s="5"/>
      <c r="G8696" s="5"/>
      <c r="H8696" s="5"/>
      <c r="I8696" s="5"/>
      <c r="J8696" s="5"/>
      <c r="K8696" s="5"/>
    </row>
    <row r="8697" spans="3:11" x14ac:dyDescent="0.35">
      <c r="C8697" s="112"/>
      <c r="D8697" s="5"/>
      <c r="E8697" s="5"/>
      <c r="F8697" s="5"/>
      <c r="G8697" s="5"/>
      <c r="H8697" s="5"/>
      <c r="I8697" s="5"/>
      <c r="J8697" s="5"/>
      <c r="K8697" s="5"/>
    </row>
    <row r="8698" spans="3:11" x14ac:dyDescent="0.35">
      <c r="C8698" s="112"/>
      <c r="D8698" s="5"/>
      <c r="E8698" s="5"/>
      <c r="F8698" s="5"/>
      <c r="G8698" s="5"/>
      <c r="H8698" s="5"/>
      <c r="I8698" s="5"/>
      <c r="J8698" s="5"/>
      <c r="K8698" s="5"/>
    </row>
    <row r="8699" spans="3:11" x14ac:dyDescent="0.35">
      <c r="C8699" s="112"/>
      <c r="D8699" s="5"/>
      <c r="E8699" s="5"/>
      <c r="F8699" s="5"/>
      <c r="G8699" s="5"/>
      <c r="H8699" s="5"/>
      <c r="I8699" s="5"/>
      <c r="J8699" s="5"/>
      <c r="K8699" s="5"/>
    </row>
    <row r="8700" spans="3:11" x14ac:dyDescent="0.35">
      <c r="C8700" s="112"/>
      <c r="D8700" s="5"/>
      <c r="E8700" s="5"/>
      <c r="F8700" s="5"/>
      <c r="G8700" s="5"/>
      <c r="H8700" s="5"/>
      <c r="I8700" s="5"/>
      <c r="J8700" s="5"/>
      <c r="K8700" s="5"/>
    </row>
    <row r="8701" spans="3:11" x14ac:dyDescent="0.35">
      <c r="C8701" s="112"/>
      <c r="D8701" s="5"/>
      <c r="E8701" s="5"/>
      <c r="F8701" s="5"/>
      <c r="G8701" s="5"/>
      <c r="H8701" s="5"/>
      <c r="I8701" s="5"/>
      <c r="J8701" s="5"/>
      <c r="K8701" s="5"/>
    </row>
    <row r="8702" spans="3:11" x14ac:dyDescent="0.35">
      <c r="C8702" s="112"/>
      <c r="D8702" s="5"/>
      <c r="E8702" s="5"/>
      <c r="F8702" s="5"/>
      <c r="G8702" s="5"/>
      <c r="H8702" s="5"/>
      <c r="I8702" s="5"/>
      <c r="J8702" s="5"/>
      <c r="K8702" s="5"/>
    </row>
    <row r="8703" spans="3:11" x14ac:dyDescent="0.35">
      <c r="C8703" s="112"/>
      <c r="D8703" s="5"/>
      <c r="E8703" s="5"/>
      <c r="F8703" s="5"/>
      <c r="G8703" s="5"/>
      <c r="H8703" s="5"/>
      <c r="I8703" s="5"/>
      <c r="J8703" s="5"/>
      <c r="K8703" s="5"/>
    </row>
    <row r="8704" spans="3:11" x14ac:dyDescent="0.35">
      <c r="C8704" s="112"/>
      <c r="D8704" s="5"/>
      <c r="E8704" s="5"/>
      <c r="F8704" s="5"/>
      <c r="G8704" s="5"/>
      <c r="H8704" s="5"/>
      <c r="I8704" s="5"/>
      <c r="J8704" s="5"/>
      <c r="K8704" s="5"/>
    </row>
    <row r="8705" spans="3:11" x14ac:dyDescent="0.35">
      <c r="C8705" s="112"/>
      <c r="D8705" s="5"/>
      <c r="E8705" s="5"/>
      <c r="F8705" s="5"/>
      <c r="G8705" s="5"/>
      <c r="H8705" s="5"/>
      <c r="I8705" s="5"/>
      <c r="J8705" s="5"/>
      <c r="K8705" s="5"/>
    </row>
    <row r="8706" spans="3:11" x14ac:dyDescent="0.35">
      <c r="C8706" s="112"/>
      <c r="D8706" s="5"/>
      <c r="E8706" s="5"/>
      <c r="F8706" s="5"/>
      <c r="G8706" s="5"/>
      <c r="H8706" s="5"/>
      <c r="I8706" s="5"/>
      <c r="J8706" s="5"/>
      <c r="K8706" s="5"/>
    </row>
    <row r="8707" spans="3:11" x14ac:dyDescent="0.35">
      <c r="C8707" s="112"/>
      <c r="D8707" s="5"/>
      <c r="E8707" s="5"/>
      <c r="F8707" s="5"/>
      <c r="G8707" s="5"/>
      <c r="H8707" s="5"/>
      <c r="I8707" s="5"/>
      <c r="J8707" s="5"/>
      <c r="K8707" s="5"/>
    </row>
    <row r="8708" spans="3:11" x14ac:dyDescent="0.35">
      <c r="C8708" s="112"/>
      <c r="D8708" s="5"/>
      <c r="E8708" s="5"/>
      <c r="F8708" s="5"/>
      <c r="G8708" s="5"/>
      <c r="H8708" s="5"/>
      <c r="I8708" s="5"/>
      <c r="J8708" s="5"/>
      <c r="K8708" s="5"/>
    </row>
    <row r="8709" spans="3:11" x14ac:dyDescent="0.35">
      <c r="C8709" s="112"/>
      <c r="D8709" s="5"/>
      <c r="E8709" s="5"/>
      <c r="F8709" s="5"/>
      <c r="G8709" s="5"/>
      <c r="H8709" s="5"/>
      <c r="I8709" s="5"/>
      <c r="J8709" s="5"/>
      <c r="K8709" s="5"/>
    </row>
    <row r="8710" spans="3:11" x14ac:dyDescent="0.35">
      <c r="C8710" s="112"/>
      <c r="D8710" s="5"/>
      <c r="E8710" s="5"/>
      <c r="F8710" s="5"/>
      <c r="G8710" s="5"/>
      <c r="H8710" s="5"/>
      <c r="I8710" s="5"/>
      <c r="J8710" s="5"/>
      <c r="K8710" s="5"/>
    </row>
    <row r="8711" spans="3:11" x14ac:dyDescent="0.35">
      <c r="C8711" s="112"/>
      <c r="D8711" s="5"/>
      <c r="E8711" s="5"/>
      <c r="F8711" s="5"/>
      <c r="G8711" s="5"/>
      <c r="H8711" s="5"/>
      <c r="I8711" s="5"/>
      <c r="J8711" s="5"/>
      <c r="K8711" s="5"/>
    </row>
    <row r="8712" spans="3:11" x14ac:dyDescent="0.35">
      <c r="C8712" s="112"/>
      <c r="D8712" s="5"/>
      <c r="E8712" s="5"/>
      <c r="F8712" s="5"/>
      <c r="G8712" s="5"/>
      <c r="H8712" s="5"/>
      <c r="I8712" s="5"/>
      <c r="J8712" s="5"/>
      <c r="K8712" s="5"/>
    </row>
    <row r="8713" spans="3:11" x14ac:dyDescent="0.35">
      <c r="C8713" s="112"/>
      <c r="D8713" s="5"/>
      <c r="E8713" s="5"/>
      <c r="F8713" s="5"/>
      <c r="G8713" s="5"/>
      <c r="H8713" s="5"/>
      <c r="I8713" s="5"/>
      <c r="J8713" s="5"/>
      <c r="K8713" s="5"/>
    </row>
    <row r="8714" spans="3:11" x14ac:dyDescent="0.35">
      <c r="C8714" s="112"/>
      <c r="D8714" s="5"/>
      <c r="E8714" s="5"/>
      <c r="F8714" s="5"/>
      <c r="G8714" s="5"/>
      <c r="H8714" s="5"/>
      <c r="I8714" s="5"/>
      <c r="J8714" s="5"/>
      <c r="K8714" s="5"/>
    </row>
    <row r="8715" spans="3:11" x14ac:dyDescent="0.35">
      <c r="C8715" s="112"/>
      <c r="D8715" s="5"/>
      <c r="E8715" s="5"/>
      <c r="F8715" s="5"/>
      <c r="G8715" s="5"/>
      <c r="H8715" s="5"/>
      <c r="I8715" s="5"/>
      <c r="J8715" s="5"/>
      <c r="K8715" s="5"/>
    </row>
    <row r="8716" spans="3:11" x14ac:dyDescent="0.35">
      <c r="C8716" s="112"/>
      <c r="D8716" s="5"/>
      <c r="E8716" s="5"/>
      <c r="F8716" s="5"/>
      <c r="G8716" s="5"/>
      <c r="H8716" s="5"/>
      <c r="I8716" s="5"/>
      <c r="J8716" s="5"/>
      <c r="K8716" s="5"/>
    </row>
    <row r="8717" spans="3:11" x14ac:dyDescent="0.35">
      <c r="C8717" s="112"/>
      <c r="D8717" s="5"/>
      <c r="E8717" s="5"/>
      <c r="F8717" s="5"/>
      <c r="G8717" s="5"/>
      <c r="H8717" s="5"/>
      <c r="I8717" s="5"/>
      <c r="J8717" s="5"/>
      <c r="K8717" s="5"/>
    </row>
    <row r="8718" spans="3:11" x14ac:dyDescent="0.35">
      <c r="C8718" s="112"/>
      <c r="D8718" s="5"/>
      <c r="E8718" s="5"/>
      <c r="F8718" s="5"/>
      <c r="G8718" s="5"/>
      <c r="H8718" s="5"/>
      <c r="I8718" s="5"/>
      <c r="J8718" s="5"/>
      <c r="K8718" s="5"/>
    </row>
    <row r="8719" spans="3:11" x14ac:dyDescent="0.35">
      <c r="C8719" s="112"/>
      <c r="D8719" s="5"/>
      <c r="E8719" s="5"/>
      <c r="F8719" s="5"/>
      <c r="G8719" s="5"/>
      <c r="H8719" s="5"/>
      <c r="I8719" s="5"/>
      <c r="J8719" s="5"/>
      <c r="K8719" s="5"/>
    </row>
    <row r="8720" spans="3:11" x14ac:dyDescent="0.35">
      <c r="C8720" s="112"/>
      <c r="D8720" s="5"/>
      <c r="E8720" s="5"/>
      <c r="F8720" s="5"/>
      <c r="G8720" s="5"/>
      <c r="H8720" s="5"/>
      <c r="I8720" s="5"/>
      <c r="J8720" s="5"/>
      <c r="K8720" s="5"/>
    </row>
    <row r="8721" spans="3:11" x14ac:dyDescent="0.35">
      <c r="C8721" s="112"/>
      <c r="D8721" s="5"/>
      <c r="E8721" s="5"/>
      <c r="F8721" s="5"/>
      <c r="G8721" s="5"/>
      <c r="H8721" s="5"/>
      <c r="I8721" s="5"/>
      <c r="J8721" s="5"/>
      <c r="K8721" s="5"/>
    </row>
    <row r="8722" spans="3:11" x14ac:dyDescent="0.35">
      <c r="C8722" s="112"/>
      <c r="D8722" s="5"/>
      <c r="E8722" s="5"/>
      <c r="F8722" s="5"/>
      <c r="G8722" s="5"/>
      <c r="H8722" s="5"/>
      <c r="I8722" s="5"/>
      <c r="J8722" s="5"/>
      <c r="K8722" s="5"/>
    </row>
    <row r="8723" spans="3:11" x14ac:dyDescent="0.35">
      <c r="C8723" s="112"/>
      <c r="D8723" s="5"/>
      <c r="E8723" s="5"/>
      <c r="F8723" s="5"/>
      <c r="G8723" s="5"/>
      <c r="H8723" s="5"/>
      <c r="I8723" s="5"/>
      <c r="J8723" s="5"/>
      <c r="K8723" s="5"/>
    </row>
    <row r="8724" spans="3:11" x14ac:dyDescent="0.35">
      <c r="C8724" s="112"/>
      <c r="D8724" s="5"/>
      <c r="E8724" s="5"/>
      <c r="F8724" s="5"/>
      <c r="G8724" s="5"/>
      <c r="H8724" s="5"/>
      <c r="I8724" s="5"/>
      <c r="J8724" s="5"/>
      <c r="K8724" s="5"/>
    </row>
    <row r="8725" spans="3:11" x14ac:dyDescent="0.35">
      <c r="C8725" s="112"/>
      <c r="D8725" s="5"/>
      <c r="E8725" s="5"/>
      <c r="F8725" s="5"/>
      <c r="G8725" s="5"/>
      <c r="H8725" s="5"/>
      <c r="I8725" s="5"/>
      <c r="J8725" s="5"/>
      <c r="K8725" s="5"/>
    </row>
    <row r="8726" spans="3:11" x14ac:dyDescent="0.35">
      <c r="C8726" s="112"/>
      <c r="D8726" s="5"/>
      <c r="E8726" s="5"/>
      <c r="F8726" s="5"/>
      <c r="G8726" s="5"/>
      <c r="H8726" s="5"/>
      <c r="I8726" s="5"/>
      <c r="J8726" s="5"/>
      <c r="K8726" s="5"/>
    </row>
    <row r="8727" spans="3:11" x14ac:dyDescent="0.35">
      <c r="C8727" s="112"/>
      <c r="D8727" s="5"/>
      <c r="E8727" s="5"/>
      <c r="F8727" s="5"/>
      <c r="G8727" s="5"/>
      <c r="H8727" s="5"/>
      <c r="I8727" s="5"/>
      <c r="J8727" s="5"/>
      <c r="K8727" s="5"/>
    </row>
    <row r="8728" spans="3:11" x14ac:dyDescent="0.35">
      <c r="C8728" s="112"/>
      <c r="D8728" s="5"/>
      <c r="E8728" s="5"/>
      <c r="F8728" s="5"/>
      <c r="G8728" s="5"/>
      <c r="H8728" s="5"/>
      <c r="I8728" s="5"/>
      <c r="J8728" s="5"/>
      <c r="K8728" s="5"/>
    </row>
    <row r="8729" spans="3:11" x14ac:dyDescent="0.35">
      <c r="C8729" s="112"/>
      <c r="D8729" s="5"/>
      <c r="E8729" s="5"/>
      <c r="F8729" s="5"/>
      <c r="G8729" s="5"/>
      <c r="H8729" s="5"/>
      <c r="I8729" s="5"/>
      <c r="J8729" s="5"/>
      <c r="K8729" s="5"/>
    </row>
    <row r="8730" spans="3:11" x14ac:dyDescent="0.35">
      <c r="C8730" s="112"/>
      <c r="D8730" s="5"/>
      <c r="E8730" s="5"/>
      <c r="F8730" s="5"/>
      <c r="G8730" s="5"/>
      <c r="H8730" s="5"/>
      <c r="I8730" s="5"/>
      <c r="J8730" s="5"/>
      <c r="K8730" s="5"/>
    </row>
    <row r="8731" spans="3:11" x14ac:dyDescent="0.35">
      <c r="C8731" s="112"/>
      <c r="D8731" s="5"/>
      <c r="E8731" s="5"/>
      <c r="F8731" s="5"/>
      <c r="G8731" s="5"/>
      <c r="H8731" s="5"/>
      <c r="I8731" s="5"/>
      <c r="J8731" s="5"/>
      <c r="K8731" s="5"/>
    </row>
    <row r="8732" spans="3:11" x14ac:dyDescent="0.35">
      <c r="C8732" s="112"/>
      <c r="D8732" s="5"/>
      <c r="E8732" s="5"/>
      <c r="F8732" s="5"/>
      <c r="G8732" s="5"/>
      <c r="H8732" s="5"/>
      <c r="I8732" s="5"/>
      <c r="J8732" s="5"/>
      <c r="K8732" s="5"/>
    </row>
    <row r="8733" spans="3:11" x14ac:dyDescent="0.35">
      <c r="C8733" s="112"/>
      <c r="D8733" s="5"/>
      <c r="E8733" s="5"/>
      <c r="F8733" s="5"/>
      <c r="G8733" s="5"/>
      <c r="H8733" s="5"/>
      <c r="I8733" s="5"/>
      <c r="J8733" s="5"/>
      <c r="K8733" s="5"/>
    </row>
    <row r="8734" spans="3:11" x14ac:dyDescent="0.35">
      <c r="C8734" s="112"/>
      <c r="D8734" s="5"/>
      <c r="E8734" s="5"/>
      <c r="F8734" s="5"/>
      <c r="G8734" s="5"/>
      <c r="H8734" s="5"/>
      <c r="I8734" s="5"/>
      <c r="J8734" s="5"/>
      <c r="K8734" s="5"/>
    </row>
    <row r="8735" spans="3:11" x14ac:dyDescent="0.35">
      <c r="C8735" s="112"/>
      <c r="D8735" s="5"/>
      <c r="E8735" s="5"/>
      <c r="F8735" s="5"/>
      <c r="G8735" s="5"/>
      <c r="H8735" s="5"/>
      <c r="I8735" s="5"/>
      <c r="J8735" s="5"/>
      <c r="K8735" s="5"/>
    </row>
    <row r="8736" spans="3:11" x14ac:dyDescent="0.35">
      <c r="C8736" s="112"/>
      <c r="D8736" s="5"/>
      <c r="E8736" s="5"/>
      <c r="F8736" s="5"/>
      <c r="G8736" s="5"/>
      <c r="H8736" s="5"/>
      <c r="I8736" s="5"/>
      <c r="J8736" s="5"/>
      <c r="K8736" s="5"/>
    </row>
    <row r="8737" spans="3:11" x14ac:dyDescent="0.35">
      <c r="C8737" s="112"/>
      <c r="D8737" s="5"/>
      <c r="E8737" s="5"/>
      <c r="F8737" s="5"/>
      <c r="G8737" s="5"/>
      <c r="H8737" s="5"/>
      <c r="I8737" s="5"/>
      <c r="J8737" s="5"/>
      <c r="K8737" s="5"/>
    </row>
    <row r="8738" spans="3:11" x14ac:dyDescent="0.35">
      <c r="C8738" s="112"/>
      <c r="D8738" s="5"/>
      <c r="E8738" s="5"/>
      <c r="F8738" s="5"/>
      <c r="G8738" s="5"/>
      <c r="H8738" s="5"/>
      <c r="I8738" s="5"/>
      <c r="J8738" s="5"/>
      <c r="K8738" s="5"/>
    </row>
    <row r="8739" spans="3:11" x14ac:dyDescent="0.35">
      <c r="C8739" s="112"/>
      <c r="D8739" s="5"/>
      <c r="E8739" s="5"/>
      <c r="F8739" s="5"/>
      <c r="G8739" s="5"/>
      <c r="H8739" s="5"/>
      <c r="I8739" s="5"/>
      <c r="J8739" s="5"/>
      <c r="K8739" s="5"/>
    </row>
    <row r="8740" spans="3:11" x14ac:dyDescent="0.35">
      <c r="C8740" s="112"/>
      <c r="D8740" s="5"/>
      <c r="E8740" s="5"/>
      <c r="F8740" s="5"/>
      <c r="G8740" s="5"/>
      <c r="H8740" s="5"/>
      <c r="I8740" s="5"/>
      <c r="J8740" s="5"/>
      <c r="K8740" s="5"/>
    </row>
    <row r="8741" spans="3:11" x14ac:dyDescent="0.35">
      <c r="C8741" s="112"/>
      <c r="D8741" s="5"/>
      <c r="E8741" s="5"/>
      <c r="F8741" s="5"/>
      <c r="G8741" s="5"/>
      <c r="H8741" s="5"/>
      <c r="I8741" s="5"/>
      <c r="J8741" s="5"/>
      <c r="K8741" s="5"/>
    </row>
    <row r="8742" spans="3:11" x14ac:dyDescent="0.35">
      <c r="C8742" s="112"/>
      <c r="D8742" s="5"/>
      <c r="E8742" s="5"/>
      <c r="F8742" s="5"/>
      <c r="G8742" s="5"/>
      <c r="H8742" s="5"/>
      <c r="I8742" s="5"/>
      <c r="J8742" s="5"/>
      <c r="K8742" s="5"/>
    </row>
    <row r="8743" spans="3:11" x14ac:dyDescent="0.35">
      <c r="C8743" s="112"/>
      <c r="D8743" s="5"/>
      <c r="E8743" s="5"/>
      <c r="F8743" s="5"/>
      <c r="G8743" s="5"/>
      <c r="H8743" s="5"/>
      <c r="I8743" s="5"/>
      <c r="J8743" s="5"/>
      <c r="K8743" s="5"/>
    </row>
    <row r="8744" spans="3:11" x14ac:dyDescent="0.35">
      <c r="C8744" s="112"/>
      <c r="D8744" s="5"/>
      <c r="E8744" s="5"/>
      <c r="F8744" s="5"/>
      <c r="G8744" s="5"/>
      <c r="H8744" s="5"/>
      <c r="I8744" s="5"/>
      <c r="J8744" s="5"/>
      <c r="K8744" s="5"/>
    </row>
    <row r="8745" spans="3:11" x14ac:dyDescent="0.35">
      <c r="C8745" s="112"/>
      <c r="D8745" s="5"/>
      <c r="E8745" s="5"/>
      <c r="F8745" s="5"/>
      <c r="G8745" s="5"/>
      <c r="H8745" s="5"/>
      <c r="I8745" s="5"/>
      <c r="J8745" s="5"/>
      <c r="K8745" s="5"/>
    </row>
    <row r="8746" spans="3:11" x14ac:dyDescent="0.35">
      <c r="C8746" s="112"/>
      <c r="D8746" s="5"/>
      <c r="E8746" s="5"/>
      <c r="F8746" s="5"/>
      <c r="G8746" s="5"/>
      <c r="H8746" s="5"/>
      <c r="I8746" s="5"/>
      <c r="J8746" s="5"/>
      <c r="K8746" s="5"/>
    </row>
    <row r="8747" spans="3:11" x14ac:dyDescent="0.35">
      <c r="C8747" s="112"/>
      <c r="D8747" s="5"/>
      <c r="E8747" s="5"/>
      <c r="F8747" s="5"/>
      <c r="G8747" s="5"/>
      <c r="H8747" s="5"/>
      <c r="I8747" s="5"/>
      <c r="J8747" s="5"/>
      <c r="K8747" s="5"/>
    </row>
    <row r="8748" spans="3:11" x14ac:dyDescent="0.35">
      <c r="C8748" s="112"/>
      <c r="D8748" s="5"/>
      <c r="E8748" s="5"/>
      <c r="F8748" s="5"/>
      <c r="G8748" s="5"/>
      <c r="H8748" s="5"/>
      <c r="I8748" s="5"/>
      <c r="J8748" s="5"/>
      <c r="K8748" s="5"/>
    </row>
    <row r="8749" spans="3:11" x14ac:dyDescent="0.35">
      <c r="C8749" s="112"/>
      <c r="D8749" s="5"/>
      <c r="E8749" s="5"/>
      <c r="F8749" s="5"/>
      <c r="G8749" s="5"/>
      <c r="H8749" s="5"/>
      <c r="I8749" s="5"/>
      <c r="J8749" s="5"/>
      <c r="K8749" s="5"/>
    </row>
    <row r="8750" spans="3:11" x14ac:dyDescent="0.35">
      <c r="C8750" s="112"/>
      <c r="D8750" s="5"/>
      <c r="E8750" s="5"/>
      <c r="F8750" s="5"/>
      <c r="G8750" s="5"/>
      <c r="H8750" s="5"/>
      <c r="I8750" s="5"/>
      <c r="J8750" s="5"/>
      <c r="K8750" s="5"/>
    </row>
    <row r="8751" spans="3:11" x14ac:dyDescent="0.35">
      <c r="C8751" s="112"/>
      <c r="D8751" s="5"/>
      <c r="E8751" s="5"/>
      <c r="F8751" s="5"/>
      <c r="G8751" s="5"/>
      <c r="H8751" s="5"/>
      <c r="I8751" s="5"/>
      <c r="J8751" s="5"/>
      <c r="K8751" s="5"/>
    </row>
    <row r="8752" spans="3:11" x14ac:dyDescent="0.35">
      <c r="C8752" s="112"/>
      <c r="D8752" s="5"/>
      <c r="E8752" s="5"/>
      <c r="F8752" s="5"/>
      <c r="G8752" s="5"/>
      <c r="H8752" s="5"/>
      <c r="I8752" s="5"/>
      <c r="J8752" s="5"/>
      <c r="K8752" s="5"/>
    </row>
    <row r="8753" spans="3:11" x14ac:dyDescent="0.35">
      <c r="C8753" s="112"/>
      <c r="D8753" s="5"/>
      <c r="E8753" s="5"/>
      <c r="F8753" s="5"/>
      <c r="G8753" s="5"/>
      <c r="H8753" s="5"/>
      <c r="I8753" s="5"/>
      <c r="J8753" s="5"/>
      <c r="K8753" s="5"/>
    </row>
    <row r="8754" spans="3:11" x14ac:dyDescent="0.35">
      <c r="C8754" s="112"/>
      <c r="D8754" s="5"/>
      <c r="E8754" s="5"/>
      <c r="F8754" s="5"/>
      <c r="G8754" s="5"/>
      <c r="H8754" s="5"/>
      <c r="I8754" s="5"/>
      <c r="J8754" s="5"/>
      <c r="K8754" s="5"/>
    </row>
    <row r="8755" spans="3:11" x14ac:dyDescent="0.35">
      <c r="C8755" s="112"/>
      <c r="D8755" s="5"/>
      <c r="E8755" s="5"/>
      <c r="F8755" s="5"/>
      <c r="G8755" s="5"/>
      <c r="H8755" s="5"/>
      <c r="I8755" s="5"/>
      <c r="J8755" s="5"/>
      <c r="K8755" s="5"/>
    </row>
    <row r="8756" spans="3:11" x14ac:dyDescent="0.35">
      <c r="C8756" s="112"/>
      <c r="D8756" s="5"/>
      <c r="E8756" s="5"/>
      <c r="F8756" s="5"/>
      <c r="G8756" s="5"/>
      <c r="H8756" s="5"/>
      <c r="I8756" s="5"/>
      <c r="J8756" s="5"/>
      <c r="K8756" s="5"/>
    </row>
    <row r="8757" spans="3:11" x14ac:dyDescent="0.35">
      <c r="C8757" s="112"/>
      <c r="D8757" s="5"/>
      <c r="E8757" s="5"/>
      <c r="F8757" s="5"/>
      <c r="G8757" s="5"/>
      <c r="H8757" s="5"/>
      <c r="I8757" s="5"/>
      <c r="J8757" s="5"/>
      <c r="K8757" s="5"/>
    </row>
    <row r="8758" spans="3:11" x14ac:dyDescent="0.35">
      <c r="C8758" s="112"/>
      <c r="D8758" s="5"/>
      <c r="E8758" s="5"/>
      <c r="F8758" s="5"/>
      <c r="G8758" s="5"/>
      <c r="H8758" s="5"/>
      <c r="I8758" s="5"/>
      <c r="J8758" s="5"/>
      <c r="K8758" s="5"/>
    </row>
    <row r="8759" spans="3:11" x14ac:dyDescent="0.35">
      <c r="C8759" s="112"/>
      <c r="D8759" s="5"/>
      <c r="E8759" s="5"/>
      <c r="F8759" s="5"/>
      <c r="G8759" s="5"/>
      <c r="H8759" s="5"/>
      <c r="I8759" s="5"/>
      <c r="J8759" s="5"/>
      <c r="K8759" s="5"/>
    </row>
    <row r="8760" spans="3:11" x14ac:dyDescent="0.35">
      <c r="C8760" s="112"/>
      <c r="D8760" s="5"/>
      <c r="E8760" s="5"/>
      <c r="F8760" s="5"/>
      <c r="G8760" s="5"/>
      <c r="H8760" s="5"/>
      <c r="I8760" s="5"/>
      <c r="J8760" s="5"/>
      <c r="K8760" s="5"/>
    </row>
    <row r="8761" spans="3:11" x14ac:dyDescent="0.35">
      <c r="C8761" s="112"/>
      <c r="D8761" s="5"/>
      <c r="E8761" s="5"/>
      <c r="F8761" s="5"/>
      <c r="G8761" s="5"/>
      <c r="H8761" s="5"/>
      <c r="I8761" s="5"/>
      <c r="J8761" s="5"/>
      <c r="K8761" s="5"/>
    </row>
    <row r="8762" spans="3:11" x14ac:dyDescent="0.35">
      <c r="C8762" s="112"/>
      <c r="D8762" s="5"/>
      <c r="E8762" s="5"/>
      <c r="F8762" s="5"/>
      <c r="G8762" s="5"/>
      <c r="H8762" s="5"/>
      <c r="I8762" s="5"/>
      <c r="J8762" s="5"/>
      <c r="K8762" s="5"/>
    </row>
    <row r="8763" spans="3:11" x14ac:dyDescent="0.35">
      <c r="C8763" s="112"/>
      <c r="D8763" s="5"/>
      <c r="E8763" s="5"/>
      <c r="F8763" s="5"/>
      <c r="G8763" s="5"/>
      <c r="H8763" s="5"/>
      <c r="I8763" s="5"/>
      <c r="J8763" s="5"/>
      <c r="K8763" s="5"/>
    </row>
    <row r="8764" spans="3:11" x14ac:dyDescent="0.35">
      <c r="C8764" s="112"/>
      <c r="D8764" s="5"/>
      <c r="E8764" s="5"/>
      <c r="F8764" s="5"/>
      <c r="G8764" s="5"/>
      <c r="H8764" s="5"/>
      <c r="I8764" s="5"/>
      <c r="J8764" s="5"/>
      <c r="K8764" s="5"/>
    </row>
    <row r="8765" spans="3:11" x14ac:dyDescent="0.35">
      <c r="C8765" s="112"/>
      <c r="D8765" s="5"/>
      <c r="E8765" s="5"/>
      <c r="F8765" s="5"/>
      <c r="G8765" s="5"/>
      <c r="H8765" s="5"/>
      <c r="I8765" s="5"/>
      <c r="J8765" s="5"/>
      <c r="K8765" s="5"/>
    </row>
    <row r="8766" spans="3:11" x14ac:dyDescent="0.35">
      <c r="C8766" s="112"/>
      <c r="D8766" s="5"/>
      <c r="E8766" s="5"/>
      <c r="F8766" s="5"/>
      <c r="G8766" s="5"/>
      <c r="H8766" s="5"/>
      <c r="I8766" s="5"/>
      <c r="J8766" s="5"/>
      <c r="K8766" s="5"/>
    </row>
    <row r="8767" spans="3:11" x14ac:dyDescent="0.35">
      <c r="C8767" s="112"/>
      <c r="D8767" s="5"/>
      <c r="E8767" s="5"/>
      <c r="F8767" s="5"/>
      <c r="G8767" s="5"/>
      <c r="H8767" s="5"/>
      <c r="I8767" s="5"/>
      <c r="J8767" s="5"/>
      <c r="K8767" s="5"/>
    </row>
    <row r="8768" spans="3:11" x14ac:dyDescent="0.35">
      <c r="C8768" s="112"/>
      <c r="D8768" s="5"/>
      <c r="E8768" s="5"/>
      <c r="F8768" s="5"/>
      <c r="G8768" s="5"/>
      <c r="H8768" s="5"/>
      <c r="I8768" s="5"/>
      <c r="J8768" s="5"/>
      <c r="K8768" s="5"/>
    </row>
    <row r="8769" spans="3:11" x14ac:dyDescent="0.35">
      <c r="C8769" s="112"/>
      <c r="D8769" s="5"/>
      <c r="E8769" s="5"/>
      <c r="F8769" s="5"/>
      <c r="G8769" s="5"/>
      <c r="H8769" s="5"/>
      <c r="I8769" s="5"/>
      <c r="J8769" s="5"/>
      <c r="K8769" s="5"/>
    </row>
    <row r="8770" spans="3:11" x14ac:dyDescent="0.35">
      <c r="C8770" s="112"/>
      <c r="D8770" s="5"/>
      <c r="E8770" s="5"/>
      <c r="F8770" s="5"/>
      <c r="G8770" s="5"/>
      <c r="H8770" s="5"/>
      <c r="I8770" s="5"/>
      <c r="J8770" s="5"/>
      <c r="K8770" s="5"/>
    </row>
    <row r="8771" spans="3:11" x14ac:dyDescent="0.35">
      <c r="C8771" s="112"/>
      <c r="D8771" s="5"/>
      <c r="E8771" s="5"/>
      <c r="F8771" s="5"/>
      <c r="G8771" s="5"/>
      <c r="H8771" s="5"/>
      <c r="I8771" s="5"/>
      <c r="J8771" s="5"/>
      <c r="K8771" s="5"/>
    </row>
    <row r="8772" spans="3:11" x14ac:dyDescent="0.35">
      <c r="C8772" s="112"/>
      <c r="D8772" s="5"/>
      <c r="E8772" s="5"/>
      <c r="F8772" s="5"/>
      <c r="G8772" s="5"/>
      <c r="H8772" s="5"/>
      <c r="I8772" s="5"/>
      <c r="J8772" s="5"/>
      <c r="K8772" s="5"/>
    </row>
    <row r="8773" spans="3:11" x14ac:dyDescent="0.35">
      <c r="C8773" s="112"/>
      <c r="D8773" s="5"/>
      <c r="E8773" s="5"/>
      <c r="F8773" s="5"/>
      <c r="G8773" s="5"/>
      <c r="H8773" s="5"/>
      <c r="I8773" s="5"/>
      <c r="J8773" s="5"/>
      <c r="K8773" s="5"/>
    </row>
    <row r="8774" spans="3:11" x14ac:dyDescent="0.35">
      <c r="C8774" s="112"/>
      <c r="D8774" s="5"/>
      <c r="E8774" s="5"/>
      <c r="F8774" s="5"/>
      <c r="G8774" s="5"/>
      <c r="H8774" s="5"/>
      <c r="I8774" s="5"/>
      <c r="J8774" s="5"/>
      <c r="K8774" s="5"/>
    </row>
    <row r="8775" spans="3:11" x14ac:dyDescent="0.35">
      <c r="C8775" s="112"/>
      <c r="D8775" s="5"/>
      <c r="E8775" s="5"/>
      <c r="F8775" s="5"/>
      <c r="G8775" s="5"/>
      <c r="H8775" s="5"/>
      <c r="I8775" s="5"/>
      <c r="J8775" s="5"/>
      <c r="K8775" s="5"/>
    </row>
    <row r="8776" spans="3:11" x14ac:dyDescent="0.35">
      <c r="C8776" s="112"/>
      <c r="D8776" s="5"/>
      <c r="E8776" s="5"/>
      <c r="F8776" s="5"/>
      <c r="G8776" s="5"/>
      <c r="H8776" s="5"/>
      <c r="I8776" s="5"/>
      <c r="J8776" s="5"/>
      <c r="K8776" s="5"/>
    </row>
    <row r="8777" spans="3:11" x14ac:dyDescent="0.35">
      <c r="C8777" s="112"/>
      <c r="D8777" s="5"/>
      <c r="E8777" s="5"/>
      <c r="F8777" s="5"/>
      <c r="G8777" s="5"/>
      <c r="H8777" s="5"/>
      <c r="I8777" s="5"/>
      <c r="J8777" s="5"/>
      <c r="K8777" s="5"/>
    </row>
    <row r="8778" spans="3:11" x14ac:dyDescent="0.35">
      <c r="C8778" s="112"/>
      <c r="D8778" s="5"/>
      <c r="E8778" s="5"/>
      <c r="F8778" s="5"/>
      <c r="G8778" s="5"/>
      <c r="H8778" s="5"/>
      <c r="I8778" s="5"/>
      <c r="J8778" s="5"/>
      <c r="K8778" s="5"/>
    </row>
    <row r="8779" spans="3:11" x14ac:dyDescent="0.35">
      <c r="C8779" s="112"/>
      <c r="D8779" s="5"/>
      <c r="E8779" s="5"/>
      <c r="F8779" s="5"/>
      <c r="G8779" s="5"/>
      <c r="H8779" s="5"/>
      <c r="I8779" s="5"/>
      <c r="J8779" s="5"/>
      <c r="K8779" s="5"/>
    </row>
    <row r="8780" spans="3:11" x14ac:dyDescent="0.35">
      <c r="C8780" s="112"/>
      <c r="D8780" s="5"/>
      <c r="E8780" s="5"/>
      <c r="F8780" s="5"/>
      <c r="G8780" s="5"/>
      <c r="H8780" s="5"/>
      <c r="I8780" s="5"/>
      <c r="J8780" s="5"/>
      <c r="K8780" s="5"/>
    </row>
    <row r="8781" spans="3:11" x14ac:dyDescent="0.35">
      <c r="C8781" s="112"/>
      <c r="D8781" s="5"/>
      <c r="E8781" s="5"/>
      <c r="F8781" s="5"/>
      <c r="G8781" s="5"/>
      <c r="H8781" s="5"/>
      <c r="I8781" s="5"/>
      <c r="J8781" s="5"/>
      <c r="K8781" s="5"/>
    </row>
    <row r="8782" spans="3:11" x14ac:dyDescent="0.35">
      <c r="C8782" s="112"/>
      <c r="D8782" s="5"/>
      <c r="E8782" s="5"/>
      <c r="F8782" s="5"/>
      <c r="G8782" s="5"/>
      <c r="H8782" s="5"/>
      <c r="I8782" s="5"/>
      <c r="J8782" s="5"/>
      <c r="K8782" s="5"/>
    </row>
    <row r="8783" spans="3:11" x14ac:dyDescent="0.35">
      <c r="C8783" s="112"/>
      <c r="D8783" s="5"/>
      <c r="E8783" s="5"/>
      <c r="F8783" s="5"/>
      <c r="G8783" s="5"/>
      <c r="H8783" s="5"/>
      <c r="I8783" s="5"/>
      <c r="J8783" s="5"/>
      <c r="K8783" s="5"/>
    </row>
    <row r="8784" spans="3:11" x14ac:dyDescent="0.35">
      <c r="C8784" s="112"/>
      <c r="D8784" s="5"/>
      <c r="E8784" s="5"/>
      <c r="F8784" s="5"/>
      <c r="G8784" s="5"/>
      <c r="H8784" s="5"/>
      <c r="I8784" s="5"/>
      <c r="J8784" s="5"/>
      <c r="K8784" s="5"/>
    </row>
    <row r="8785" spans="3:11" x14ac:dyDescent="0.35">
      <c r="C8785" s="112"/>
      <c r="D8785" s="5"/>
      <c r="E8785" s="5"/>
      <c r="F8785" s="5"/>
      <c r="G8785" s="5"/>
      <c r="H8785" s="5"/>
      <c r="I8785" s="5"/>
      <c r="J8785" s="5"/>
      <c r="K8785" s="5"/>
    </row>
    <row r="8786" spans="3:11" x14ac:dyDescent="0.35">
      <c r="C8786" s="112"/>
      <c r="D8786" s="5"/>
      <c r="E8786" s="5"/>
      <c r="F8786" s="5"/>
      <c r="G8786" s="5"/>
      <c r="H8786" s="5"/>
      <c r="I8786" s="5"/>
      <c r="J8786" s="5"/>
      <c r="K8786" s="5"/>
    </row>
    <row r="8787" spans="3:11" x14ac:dyDescent="0.35">
      <c r="C8787" s="112"/>
      <c r="D8787" s="5"/>
      <c r="E8787" s="5"/>
      <c r="F8787" s="5"/>
      <c r="G8787" s="5"/>
      <c r="H8787" s="5"/>
      <c r="I8787" s="5"/>
      <c r="J8787" s="5"/>
      <c r="K8787" s="5"/>
    </row>
    <row r="8788" spans="3:11" x14ac:dyDescent="0.35">
      <c r="C8788" s="112"/>
      <c r="D8788" s="5"/>
      <c r="E8788" s="5"/>
      <c r="F8788" s="5"/>
      <c r="G8788" s="5"/>
      <c r="H8788" s="5"/>
      <c r="I8788" s="5"/>
      <c r="J8788" s="5"/>
      <c r="K8788" s="5"/>
    </row>
    <row r="8789" spans="3:11" x14ac:dyDescent="0.35">
      <c r="C8789" s="112"/>
      <c r="D8789" s="5"/>
      <c r="E8789" s="5"/>
      <c r="F8789" s="5"/>
      <c r="G8789" s="5"/>
      <c r="H8789" s="5"/>
      <c r="I8789" s="5"/>
      <c r="J8789" s="5"/>
      <c r="K8789" s="5"/>
    </row>
    <row r="8790" spans="3:11" x14ac:dyDescent="0.35">
      <c r="C8790" s="112"/>
      <c r="D8790" s="5"/>
      <c r="E8790" s="5"/>
      <c r="F8790" s="5"/>
      <c r="G8790" s="5"/>
      <c r="H8790" s="5"/>
      <c r="I8790" s="5"/>
      <c r="J8790" s="5"/>
      <c r="K8790" s="5"/>
    </row>
    <row r="8791" spans="3:11" x14ac:dyDescent="0.35">
      <c r="C8791" s="112"/>
      <c r="D8791" s="5"/>
      <c r="E8791" s="5"/>
      <c r="F8791" s="5"/>
      <c r="G8791" s="5"/>
      <c r="H8791" s="5"/>
      <c r="I8791" s="5"/>
      <c r="J8791" s="5"/>
      <c r="K8791" s="5"/>
    </row>
    <row r="8792" spans="3:11" x14ac:dyDescent="0.35">
      <c r="C8792" s="112"/>
      <c r="D8792" s="5"/>
      <c r="E8792" s="5"/>
      <c r="F8792" s="5"/>
      <c r="G8792" s="5"/>
      <c r="H8792" s="5"/>
      <c r="I8792" s="5"/>
      <c r="J8792" s="5"/>
      <c r="K8792" s="5"/>
    </row>
    <row r="8793" spans="3:11" x14ac:dyDescent="0.35">
      <c r="C8793" s="112"/>
      <c r="D8793" s="5"/>
      <c r="E8793" s="5"/>
      <c r="F8793" s="5"/>
      <c r="G8793" s="5"/>
      <c r="H8793" s="5"/>
      <c r="I8793" s="5"/>
      <c r="J8793" s="5"/>
      <c r="K8793" s="5"/>
    </row>
    <row r="8794" spans="3:11" x14ac:dyDescent="0.35">
      <c r="C8794" s="112"/>
      <c r="D8794" s="5"/>
      <c r="E8794" s="5"/>
      <c r="F8794" s="5"/>
      <c r="G8794" s="5"/>
      <c r="H8794" s="5"/>
      <c r="I8794" s="5"/>
      <c r="J8794" s="5"/>
      <c r="K8794" s="5"/>
    </row>
    <row r="8795" spans="3:11" x14ac:dyDescent="0.35">
      <c r="C8795" s="112"/>
      <c r="D8795" s="5"/>
      <c r="E8795" s="5"/>
      <c r="F8795" s="5"/>
      <c r="G8795" s="5"/>
      <c r="H8795" s="5"/>
      <c r="I8795" s="5"/>
      <c r="J8795" s="5"/>
      <c r="K8795" s="5"/>
    </row>
    <row r="8796" spans="3:11" x14ac:dyDescent="0.35">
      <c r="C8796" s="112"/>
      <c r="D8796" s="5"/>
      <c r="E8796" s="5"/>
      <c r="F8796" s="5"/>
      <c r="G8796" s="5"/>
      <c r="H8796" s="5"/>
      <c r="I8796" s="5"/>
      <c r="J8796" s="5"/>
      <c r="K8796" s="5"/>
    </row>
    <row r="8797" spans="3:11" x14ac:dyDescent="0.35">
      <c r="C8797" s="112"/>
      <c r="D8797" s="5"/>
      <c r="E8797" s="5"/>
      <c r="F8797" s="5"/>
      <c r="G8797" s="5"/>
      <c r="H8797" s="5"/>
      <c r="I8797" s="5"/>
      <c r="J8797" s="5"/>
      <c r="K8797" s="5"/>
    </row>
    <row r="8798" spans="3:11" x14ac:dyDescent="0.35">
      <c r="C8798" s="112"/>
      <c r="D8798" s="5"/>
      <c r="E8798" s="5"/>
      <c r="F8798" s="5"/>
      <c r="G8798" s="5"/>
      <c r="H8798" s="5"/>
      <c r="I8798" s="5"/>
      <c r="J8798" s="5"/>
      <c r="K8798" s="5"/>
    </row>
    <row r="8799" spans="3:11" x14ac:dyDescent="0.35">
      <c r="C8799" s="112"/>
      <c r="D8799" s="5"/>
      <c r="E8799" s="5"/>
      <c r="F8799" s="5"/>
      <c r="G8799" s="5"/>
      <c r="H8799" s="5"/>
      <c r="I8799" s="5"/>
      <c r="J8799" s="5"/>
      <c r="K8799" s="5"/>
    </row>
    <row r="8800" spans="3:11" x14ac:dyDescent="0.35">
      <c r="C8800" s="112"/>
      <c r="D8800" s="5"/>
      <c r="E8800" s="5"/>
      <c r="F8800" s="5"/>
      <c r="G8800" s="5"/>
      <c r="H8800" s="5"/>
      <c r="I8800" s="5"/>
      <c r="J8800" s="5"/>
      <c r="K8800" s="5"/>
    </row>
    <row r="8801" spans="3:11" x14ac:dyDescent="0.35">
      <c r="C8801" s="112"/>
      <c r="D8801" s="5"/>
      <c r="E8801" s="5"/>
      <c r="F8801" s="5"/>
      <c r="G8801" s="5"/>
      <c r="H8801" s="5"/>
      <c r="I8801" s="5"/>
      <c r="J8801" s="5"/>
      <c r="K8801" s="5"/>
    </row>
    <row r="8802" spans="3:11" x14ac:dyDescent="0.35">
      <c r="C8802" s="112"/>
      <c r="D8802" s="5"/>
      <c r="E8802" s="5"/>
      <c r="F8802" s="5"/>
      <c r="G8802" s="5"/>
      <c r="H8802" s="5"/>
      <c r="I8802" s="5"/>
      <c r="J8802" s="5"/>
      <c r="K8802" s="5"/>
    </row>
    <row r="8803" spans="3:11" x14ac:dyDescent="0.35">
      <c r="C8803" s="112"/>
      <c r="D8803" s="5"/>
      <c r="E8803" s="5"/>
      <c r="F8803" s="5"/>
      <c r="G8803" s="5"/>
      <c r="H8803" s="5"/>
      <c r="I8803" s="5"/>
      <c r="J8803" s="5"/>
      <c r="K8803" s="5"/>
    </row>
    <row r="8804" spans="3:11" x14ac:dyDescent="0.35">
      <c r="C8804" s="112"/>
      <c r="D8804" s="5"/>
      <c r="E8804" s="5"/>
      <c r="F8804" s="5"/>
      <c r="G8804" s="5"/>
      <c r="H8804" s="5"/>
      <c r="I8804" s="5"/>
      <c r="J8804" s="5"/>
      <c r="K8804" s="5"/>
    </row>
    <row r="8805" spans="3:11" x14ac:dyDescent="0.35">
      <c r="C8805" s="112"/>
      <c r="D8805" s="5"/>
      <c r="E8805" s="5"/>
      <c r="F8805" s="5"/>
      <c r="G8805" s="5"/>
      <c r="H8805" s="5"/>
      <c r="I8805" s="5"/>
      <c r="J8805" s="5"/>
      <c r="K8805" s="5"/>
    </row>
    <row r="8806" spans="3:11" x14ac:dyDescent="0.35">
      <c r="C8806" s="112"/>
      <c r="D8806" s="5"/>
      <c r="E8806" s="5"/>
      <c r="F8806" s="5"/>
      <c r="G8806" s="5"/>
      <c r="H8806" s="5"/>
      <c r="I8806" s="5"/>
      <c r="J8806" s="5"/>
      <c r="K8806" s="5"/>
    </row>
    <row r="8807" spans="3:11" x14ac:dyDescent="0.35">
      <c r="C8807" s="112"/>
      <c r="D8807" s="5"/>
      <c r="E8807" s="5"/>
      <c r="F8807" s="5"/>
      <c r="G8807" s="5"/>
      <c r="H8807" s="5"/>
      <c r="I8807" s="5"/>
      <c r="J8807" s="5"/>
      <c r="K8807" s="5"/>
    </row>
    <row r="8808" spans="3:11" x14ac:dyDescent="0.35">
      <c r="C8808" s="112"/>
      <c r="D8808" s="5"/>
      <c r="E8808" s="5"/>
      <c r="F8808" s="5"/>
      <c r="G8808" s="5"/>
      <c r="H8808" s="5"/>
      <c r="I8808" s="5"/>
      <c r="J8808" s="5"/>
      <c r="K8808" s="5"/>
    </row>
    <row r="8809" spans="3:11" x14ac:dyDescent="0.35">
      <c r="C8809" s="112"/>
      <c r="D8809" s="5"/>
      <c r="E8809" s="5"/>
      <c r="F8809" s="5"/>
      <c r="G8809" s="5"/>
      <c r="H8809" s="5"/>
      <c r="I8809" s="5"/>
      <c r="J8809" s="5"/>
      <c r="K8809" s="5"/>
    </row>
    <row r="8810" spans="3:11" x14ac:dyDescent="0.35">
      <c r="C8810" s="112"/>
      <c r="D8810" s="5"/>
      <c r="E8810" s="5"/>
      <c r="F8810" s="5"/>
      <c r="G8810" s="5"/>
      <c r="H8810" s="5"/>
      <c r="I8810" s="5"/>
      <c r="J8810" s="5"/>
      <c r="K8810" s="5"/>
    </row>
    <row r="8811" spans="3:11" x14ac:dyDescent="0.35">
      <c r="C8811" s="112"/>
      <c r="D8811" s="5"/>
      <c r="E8811" s="5"/>
      <c r="F8811" s="5"/>
      <c r="G8811" s="5"/>
      <c r="H8811" s="5"/>
      <c r="I8811" s="5"/>
      <c r="J8811" s="5"/>
      <c r="K8811" s="5"/>
    </row>
    <row r="8812" spans="3:11" x14ac:dyDescent="0.35">
      <c r="C8812" s="112"/>
      <c r="D8812" s="5"/>
      <c r="E8812" s="5"/>
      <c r="F8812" s="5"/>
      <c r="G8812" s="5"/>
      <c r="H8812" s="5"/>
      <c r="I8812" s="5"/>
      <c r="J8812" s="5"/>
      <c r="K8812" s="5"/>
    </row>
    <row r="8813" spans="3:11" x14ac:dyDescent="0.35">
      <c r="C8813" s="112"/>
      <c r="D8813" s="5"/>
      <c r="E8813" s="5"/>
      <c r="F8813" s="5"/>
      <c r="G8813" s="5"/>
      <c r="H8813" s="5"/>
      <c r="I8813" s="5"/>
      <c r="J8813" s="5"/>
      <c r="K8813" s="5"/>
    </row>
    <row r="8814" spans="3:11" x14ac:dyDescent="0.35">
      <c r="C8814" s="112"/>
      <c r="D8814" s="5"/>
      <c r="E8814" s="5"/>
      <c r="F8814" s="5"/>
      <c r="G8814" s="5"/>
      <c r="H8814" s="5"/>
      <c r="I8814" s="5"/>
      <c r="J8814" s="5"/>
      <c r="K8814" s="5"/>
    </row>
    <row r="8815" spans="3:11" x14ac:dyDescent="0.35">
      <c r="C8815" s="112"/>
      <c r="D8815" s="5"/>
      <c r="E8815" s="5"/>
      <c r="F8815" s="5"/>
      <c r="G8815" s="5"/>
      <c r="H8815" s="5"/>
      <c r="I8815" s="5"/>
      <c r="J8815" s="5"/>
      <c r="K8815" s="5"/>
    </row>
    <row r="8816" spans="3:11" x14ac:dyDescent="0.35">
      <c r="C8816" s="112"/>
      <c r="D8816" s="5"/>
      <c r="E8816" s="5"/>
      <c r="F8816" s="5"/>
      <c r="G8816" s="5"/>
      <c r="H8816" s="5"/>
      <c r="I8816" s="5"/>
      <c r="J8816" s="5"/>
      <c r="K8816" s="5"/>
    </row>
    <row r="8817" spans="3:11" x14ac:dyDescent="0.35">
      <c r="C8817" s="112"/>
      <c r="D8817" s="5"/>
      <c r="E8817" s="5"/>
      <c r="F8817" s="5"/>
      <c r="G8817" s="5"/>
      <c r="H8817" s="5"/>
      <c r="I8817" s="5"/>
      <c r="J8817" s="5"/>
      <c r="K8817" s="5"/>
    </row>
    <row r="8818" spans="3:11" x14ac:dyDescent="0.35">
      <c r="C8818" s="112"/>
      <c r="D8818" s="5"/>
      <c r="E8818" s="5"/>
      <c r="F8818" s="5"/>
      <c r="G8818" s="5"/>
      <c r="H8818" s="5"/>
      <c r="I8818" s="5"/>
      <c r="J8818" s="5"/>
      <c r="K8818" s="5"/>
    </row>
    <row r="8819" spans="3:11" x14ac:dyDescent="0.35">
      <c r="C8819" s="112"/>
      <c r="D8819" s="5"/>
      <c r="E8819" s="5"/>
      <c r="F8819" s="5"/>
      <c r="G8819" s="5"/>
      <c r="H8819" s="5"/>
      <c r="I8819" s="5"/>
      <c r="J8819" s="5"/>
      <c r="K8819" s="5"/>
    </row>
    <row r="8820" spans="3:11" x14ac:dyDescent="0.35">
      <c r="C8820" s="112"/>
      <c r="D8820" s="5"/>
      <c r="E8820" s="5"/>
      <c r="F8820" s="5"/>
      <c r="G8820" s="5"/>
      <c r="H8820" s="5"/>
      <c r="I8820" s="5"/>
      <c r="J8820" s="5"/>
      <c r="K8820" s="5"/>
    </row>
    <row r="8821" spans="3:11" x14ac:dyDescent="0.35">
      <c r="C8821" s="112"/>
      <c r="D8821" s="5"/>
      <c r="E8821" s="5"/>
      <c r="F8821" s="5"/>
      <c r="G8821" s="5"/>
      <c r="H8821" s="5"/>
      <c r="I8821" s="5"/>
      <c r="J8821" s="5"/>
      <c r="K8821" s="5"/>
    </row>
    <row r="8822" spans="3:11" x14ac:dyDescent="0.35">
      <c r="C8822" s="112"/>
      <c r="D8822" s="5"/>
      <c r="E8822" s="5"/>
      <c r="F8822" s="5"/>
      <c r="G8822" s="5"/>
      <c r="H8822" s="5"/>
      <c r="I8822" s="5"/>
      <c r="J8822" s="5"/>
      <c r="K8822" s="5"/>
    </row>
    <row r="8823" spans="3:11" x14ac:dyDescent="0.35">
      <c r="C8823" s="112"/>
      <c r="D8823" s="5"/>
      <c r="E8823" s="5"/>
      <c r="F8823" s="5"/>
      <c r="G8823" s="5"/>
      <c r="H8823" s="5"/>
      <c r="I8823" s="5"/>
      <c r="J8823" s="5"/>
      <c r="K8823" s="5"/>
    </row>
    <row r="8824" spans="3:11" x14ac:dyDescent="0.35">
      <c r="C8824" s="112"/>
      <c r="D8824" s="5"/>
      <c r="E8824" s="5"/>
      <c r="F8824" s="5"/>
      <c r="G8824" s="5"/>
      <c r="H8824" s="5"/>
      <c r="I8824" s="5"/>
      <c r="J8824" s="5"/>
      <c r="K8824" s="5"/>
    </row>
    <row r="8825" spans="3:11" x14ac:dyDescent="0.35">
      <c r="C8825" s="112"/>
      <c r="D8825" s="5"/>
      <c r="E8825" s="5"/>
      <c r="F8825" s="5"/>
      <c r="G8825" s="5"/>
      <c r="H8825" s="5"/>
      <c r="I8825" s="5"/>
      <c r="J8825" s="5"/>
      <c r="K8825" s="5"/>
    </row>
    <row r="8826" spans="3:11" x14ac:dyDescent="0.35">
      <c r="C8826" s="112"/>
      <c r="D8826" s="5"/>
      <c r="E8826" s="5"/>
      <c r="F8826" s="5"/>
      <c r="G8826" s="5"/>
      <c r="H8826" s="5"/>
      <c r="I8826" s="5"/>
      <c r="J8826" s="5"/>
      <c r="K8826" s="5"/>
    </row>
    <row r="8827" spans="3:11" x14ac:dyDescent="0.35">
      <c r="C8827" s="112"/>
      <c r="D8827" s="5"/>
      <c r="E8827" s="5"/>
      <c r="F8827" s="5"/>
      <c r="G8827" s="5"/>
      <c r="H8827" s="5"/>
      <c r="I8827" s="5"/>
      <c r="J8827" s="5"/>
      <c r="K8827" s="5"/>
    </row>
    <row r="8828" spans="3:11" x14ac:dyDescent="0.35">
      <c r="C8828" s="112"/>
      <c r="D8828" s="5"/>
      <c r="E8828" s="5"/>
      <c r="F8828" s="5"/>
      <c r="G8828" s="5"/>
      <c r="H8828" s="5"/>
      <c r="I8828" s="5"/>
      <c r="J8828" s="5"/>
      <c r="K8828" s="5"/>
    </row>
    <row r="8829" spans="3:11" x14ac:dyDescent="0.35">
      <c r="C8829" s="112"/>
      <c r="D8829" s="5"/>
      <c r="E8829" s="5"/>
      <c r="F8829" s="5"/>
      <c r="G8829" s="5"/>
      <c r="H8829" s="5"/>
      <c r="I8829" s="5"/>
      <c r="J8829" s="5"/>
      <c r="K8829" s="5"/>
    </row>
    <row r="8830" spans="3:11" x14ac:dyDescent="0.35">
      <c r="C8830" s="112"/>
      <c r="D8830" s="5"/>
      <c r="E8830" s="5"/>
      <c r="F8830" s="5"/>
      <c r="G8830" s="5"/>
      <c r="H8830" s="5"/>
      <c r="I8830" s="5"/>
      <c r="J8830" s="5"/>
      <c r="K8830" s="5"/>
    </row>
    <row r="8831" spans="3:11" x14ac:dyDescent="0.35">
      <c r="C8831" s="112"/>
      <c r="D8831" s="5"/>
      <c r="E8831" s="5"/>
      <c r="F8831" s="5"/>
      <c r="G8831" s="5"/>
      <c r="H8831" s="5"/>
      <c r="I8831" s="5"/>
      <c r="J8831" s="5"/>
      <c r="K8831" s="5"/>
    </row>
    <row r="8832" spans="3:11" x14ac:dyDescent="0.35">
      <c r="C8832" s="112"/>
      <c r="D8832" s="5"/>
      <c r="E8832" s="5"/>
      <c r="F8832" s="5"/>
      <c r="G8832" s="5"/>
      <c r="H8832" s="5"/>
      <c r="I8832" s="5"/>
      <c r="J8832" s="5"/>
      <c r="K8832" s="5"/>
    </row>
    <row r="8833" spans="3:11" x14ac:dyDescent="0.35">
      <c r="C8833" s="112"/>
      <c r="D8833" s="5"/>
      <c r="E8833" s="5"/>
      <c r="F8833" s="5"/>
      <c r="G8833" s="5"/>
      <c r="H8833" s="5"/>
      <c r="I8833" s="5"/>
      <c r="J8833" s="5"/>
      <c r="K8833" s="5"/>
    </row>
    <row r="8834" spans="3:11" x14ac:dyDescent="0.35">
      <c r="C8834" s="112"/>
      <c r="D8834" s="5"/>
      <c r="E8834" s="5"/>
      <c r="F8834" s="5"/>
      <c r="G8834" s="5"/>
      <c r="H8834" s="5"/>
      <c r="I8834" s="5"/>
      <c r="J8834" s="5"/>
      <c r="K8834" s="5"/>
    </row>
    <row r="8835" spans="3:11" x14ac:dyDescent="0.35">
      <c r="C8835" s="112"/>
      <c r="D8835" s="5"/>
      <c r="E8835" s="5"/>
      <c r="F8835" s="5"/>
      <c r="G8835" s="5"/>
      <c r="H8835" s="5"/>
      <c r="I8835" s="5"/>
      <c r="J8835" s="5"/>
      <c r="K8835" s="5"/>
    </row>
    <row r="8836" spans="3:11" x14ac:dyDescent="0.35">
      <c r="C8836" s="112"/>
      <c r="D8836" s="5"/>
      <c r="E8836" s="5"/>
      <c r="F8836" s="5"/>
      <c r="G8836" s="5"/>
      <c r="H8836" s="5"/>
      <c r="I8836" s="5"/>
      <c r="J8836" s="5"/>
      <c r="K8836" s="5"/>
    </row>
    <row r="8837" spans="3:11" x14ac:dyDescent="0.35">
      <c r="C8837" s="112"/>
      <c r="D8837" s="5"/>
      <c r="E8837" s="5"/>
      <c r="F8837" s="5"/>
      <c r="G8837" s="5"/>
      <c r="H8837" s="5"/>
      <c r="I8837" s="5"/>
      <c r="J8837" s="5"/>
      <c r="K8837" s="5"/>
    </row>
    <row r="8838" spans="3:11" x14ac:dyDescent="0.35">
      <c r="C8838" s="112"/>
      <c r="D8838" s="5"/>
      <c r="E8838" s="5"/>
      <c r="F8838" s="5"/>
      <c r="G8838" s="5"/>
      <c r="H8838" s="5"/>
      <c r="I8838" s="5"/>
      <c r="J8838" s="5"/>
      <c r="K8838" s="5"/>
    </row>
    <row r="8839" spans="3:11" x14ac:dyDescent="0.35">
      <c r="C8839" s="112"/>
      <c r="D8839" s="5"/>
      <c r="E8839" s="5"/>
      <c r="F8839" s="5"/>
      <c r="G8839" s="5"/>
      <c r="H8839" s="5"/>
      <c r="I8839" s="5"/>
      <c r="J8839" s="5"/>
      <c r="K8839" s="5"/>
    </row>
    <row r="8840" spans="3:11" x14ac:dyDescent="0.35">
      <c r="C8840" s="112"/>
      <c r="D8840" s="5"/>
      <c r="E8840" s="5"/>
      <c r="F8840" s="5"/>
      <c r="G8840" s="5"/>
      <c r="H8840" s="5"/>
      <c r="I8840" s="5"/>
      <c r="J8840" s="5"/>
      <c r="K8840" s="5"/>
    </row>
    <row r="8841" spans="3:11" x14ac:dyDescent="0.35">
      <c r="C8841" s="112"/>
      <c r="D8841" s="5"/>
      <c r="E8841" s="5"/>
      <c r="F8841" s="5"/>
      <c r="G8841" s="5"/>
      <c r="H8841" s="5"/>
      <c r="I8841" s="5"/>
      <c r="J8841" s="5"/>
      <c r="K8841" s="5"/>
    </row>
    <row r="8842" spans="3:11" x14ac:dyDescent="0.35">
      <c r="C8842" s="112"/>
      <c r="D8842" s="5"/>
      <c r="E8842" s="5"/>
      <c r="F8842" s="5"/>
      <c r="G8842" s="5"/>
      <c r="H8842" s="5"/>
      <c r="I8842" s="5"/>
      <c r="J8842" s="5"/>
      <c r="K8842" s="5"/>
    </row>
    <row r="8843" spans="3:11" x14ac:dyDescent="0.35">
      <c r="C8843" s="112"/>
      <c r="D8843" s="5"/>
      <c r="E8843" s="5"/>
      <c r="F8843" s="5"/>
      <c r="G8843" s="5"/>
      <c r="H8843" s="5"/>
      <c r="I8843" s="5"/>
      <c r="J8843" s="5"/>
      <c r="K8843" s="5"/>
    </row>
    <row r="8844" spans="3:11" x14ac:dyDescent="0.35">
      <c r="C8844" s="112"/>
      <c r="D8844" s="5"/>
      <c r="E8844" s="5"/>
      <c r="F8844" s="5"/>
      <c r="G8844" s="5"/>
      <c r="H8844" s="5"/>
      <c r="I8844" s="5"/>
      <c r="J8844" s="5"/>
      <c r="K8844" s="5"/>
    </row>
    <row r="8845" spans="3:11" x14ac:dyDescent="0.35">
      <c r="C8845" s="112"/>
      <c r="D8845" s="5"/>
      <c r="E8845" s="5"/>
      <c r="F8845" s="5"/>
      <c r="G8845" s="5"/>
      <c r="H8845" s="5"/>
      <c r="I8845" s="5"/>
      <c r="J8845" s="5"/>
      <c r="K8845" s="5"/>
    </row>
    <row r="8846" spans="3:11" x14ac:dyDescent="0.35">
      <c r="C8846" s="112"/>
      <c r="D8846" s="5"/>
      <c r="E8846" s="5"/>
      <c r="F8846" s="5"/>
      <c r="G8846" s="5"/>
      <c r="H8846" s="5"/>
      <c r="I8846" s="5"/>
      <c r="J8846" s="5"/>
      <c r="K8846" s="5"/>
    </row>
    <row r="8847" spans="3:11" x14ac:dyDescent="0.35">
      <c r="C8847" s="112"/>
      <c r="D8847" s="5"/>
      <c r="E8847" s="5"/>
      <c r="F8847" s="5"/>
      <c r="G8847" s="5"/>
      <c r="H8847" s="5"/>
      <c r="I8847" s="5"/>
      <c r="J8847" s="5"/>
      <c r="K8847" s="5"/>
    </row>
    <row r="8848" spans="3:11" x14ac:dyDescent="0.35">
      <c r="C8848" s="112"/>
      <c r="D8848" s="5"/>
      <c r="E8848" s="5"/>
      <c r="F8848" s="5"/>
      <c r="G8848" s="5"/>
      <c r="H8848" s="5"/>
      <c r="I8848" s="5"/>
      <c r="J8848" s="5"/>
      <c r="K8848" s="5"/>
    </row>
    <row r="8849" spans="3:11" x14ac:dyDescent="0.35">
      <c r="C8849" s="112"/>
      <c r="D8849" s="5"/>
      <c r="E8849" s="5"/>
      <c r="F8849" s="5"/>
      <c r="G8849" s="5"/>
      <c r="H8849" s="5"/>
      <c r="I8849" s="5"/>
      <c r="J8849" s="5"/>
      <c r="K8849" s="5"/>
    </row>
    <row r="8850" spans="3:11" x14ac:dyDescent="0.35">
      <c r="C8850" s="112"/>
      <c r="D8850" s="5"/>
      <c r="E8850" s="5"/>
      <c r="F8850" s="5"/>
      <c r="G8850" s="5"/>
      <c r="H8850" s="5"/>
      <c r="I8850" s="5"/>
      <c r="J8850" s="5"/>
      <c r="K8850" s="5"/>
    </row>
    <row r="8851" spans="3:11" x14ac:dyDescent="0.35">
      <c r="C8851" s="112"/>
      <c r="D8851" s="5"/>
      <c r="E8851" s="5"/>
      <c r="F8851" s="5"/>
      <c r="G8851" s="5"/>
      <c r="H8851" s="5"/>
      <c r="I8851" s="5"/>
      <c r="J8851" s="5"/>
      <c r="K8851" s="5"/>
    </row>
    <row r="8852" spans="3:11" x14ac:dyDescent="0.35">
      <c r="C8852" s="112"/>
      <c r="D8852" s="5"/>
      <c r="E8852" s="5"/>
      <c r="F8852" s="5"/>
      <c r="G8852" s="5"/>
      <c r="H8852" s="5"/>
      <c r="I8852" s="5"/>
      <c r="J8852" s="5"/>
      <c r="K8852" s="5"/>
    </row>
    <row r="8853" spans="3:11" x14ac:dyDescent="0.35">
      <c r="C8853" s="112"/>
      <c r="D8853" s="5"/>
      <c r="E8853" s="5"/>
      <c r="F8853" s="5"/>
      <c r="G8853" s="5"/>
      <c r="H8853" s="5"/>
      <c r="I8853" s="5"/>
      <c r="J8853" s="5"/>
      <c r="K8853" s="5"/>
    </row>
    <row r="8854" spans="3:11" x14ac:dyDescent="0.35">
      <c r="C8854" s="112"/>
      <c r="D8854" s="5"/>
      <c r="E8854" s="5"/>
      <c r="F8854" s="5"/>
      <c r="G8854" s="5"/>
      <c r="H8854" s="5"/>
      <c r="I8854" s="5"/>
      <c r="J8854" s="5"/>
      <c r="K8854" s="5"/>
    </row>
    <row r="8855" spans="3:11" x14ac:dyDescent="0.35">
      <c r="C8855" s="112"/>
      <c r="D8855" s="5"/>
      <c r="E8855" s="5"/>
      <c r="F8855" s="5"/>
      <c r="G8855" s="5"/>
      <c r="H8855" s="5"/>
      <c r="I8855" s="5"/>
      <c r="J8855" s="5"/>
      <c r="K8855" s="5"/>
    </row>
    <row r="8856" spans="3:11" x14ac:dyDescent="0.35">
      <c r="C8856" s="112"/>
      <c r="D8856" s="5"/>
      <c r="E8856" s="5"/>
      <c r="F8856" s="5"/>
      <c r="G8856" s="5"/>
      <c r="H8856" s="5"/>
      <c r="I8856" s="5"/>
      <c r="J8856" s="5"/>
      <c r="K8856" s="5"/>
    </row>
    <row r="8857" spans="3:11" x14ac:dyDescent="0.35">
      <c r="C8857" s="112"/>
      <c r="D8857" s="5"/>
      <c r="E8857" s="5"/>
      <c r="F8857" s="5"/>
      <c r="G8857" s="5"/>
      <c r="H8857" s="5"/>
      <c r="I8857" s="5"/>
      <c r="J8857" s="5"/>
      <c r="K8857" s="5"/>
    </row>
    <row r="8858" spans="3:11" x14ac:dyDescent="0.35">
      <c r="C8858" s="112"/>
      <c r="D8858" s="5"/>
      <c r="E8858" s="5"/>
      <c r="F8858" s="5"/>
      <c r="G8858" s="5"/>
      <c r="H8858" s="5"/>
      <c r="I8858" s="5"/>
      <c r="J8858" s="5"/>
      <c r="K8858" s="5"/>
    </row>
    <row r="8859" spans="3:11" x14ac:dyDescent="0.35">
      <c r="C8859" s="112"/>
      <c r="D8859" s="5"/>
      <c r="E8859" s="5"/>
      <c r="F8859" s="5"/>
      <c r="G8859" s="5"/>
      <c r="H8859" s="5"/>
      <c r="I8859" s="5"/>
      <c r="J8859" s="5"/>
      <c r="K8859" s="5"/>
    </row>
    <row r="8860" spans="3:11" x14ac:dyDescent="0.35">
      <c r="C8860" s="112"/>
      <c r="D8860" s="5"/>
      <c r="E8860" s="5"/>
      <c r="F8860" s="5"/>
      <c r="G8860" s="5"/>
      <c r="H8860" s="5"/>
      <c r="I8860" s="5"/>
      <c r="J8860" s="5"/>
      <c r="K8860" s="5"/>
    </row>
    <row r="8861" spans="3:11" x14ac:dyDescent="0.35">
      <c r="C8861" s="112"/>
      <c r="D8861" s="5"/>
      <c r="E8861" s="5"/>
      <c r="F8861" s="5"/>
      <c r="G8861" s="5"/>
      <c r="H8861" s="5"/>
      <c r="I8861" s="5"/>
      <c r="J8861" s="5"/>
      <c r="K8861" s="5"/>
    </row>
    <row r="8862" spans="3:11" x14ac:dyDescent="0.35">
      <c r="C8862" s="112"/>
      <c r="D8862" s="5"/>
      <c r="E8862" s="5"/>
      <c r="F8862" s="5"/>
      <c r="G8862" s="5"/>
      <c r="H8862" s="5"/>
      <c r="I8862" s="5"/>
      <c r="J8862" s="5"/>
      <c r="K8862" s="5"/>
    </row>
    <row r="8863" spans="3:11" x14ac:dyDescent="0.35">
      <c r="C8863" s="112"/>
      <c r="D8863" s="5"/>
      <c r="E8863" s="5"/>
      <c r="F8863" s="5"/>
      <c r="G8863" s="5"/>
      <c r="H8863" s="5"/>
      <c r="I8863" s="5"/>
      <c r="J8863" s="5"/>
      <c r="K8863" s="5"/>
    </row>
    <row r="8864" spans="3:11" x14ac:dyDescent="0.35">
      <c r="C8864" s="112"/>
      <c r="D8864" s="5"/>
      <c r="E8864" s="5"/>
      <c r="F8864" s="5"/>
      <c r="G8864" s="5"/>
      <c r="H8864" s="5"/>
      <c r="I8864" s="5"/>
      <c r="J8864" s="5"/>
      <c r="K8864" s="5"/>
    </row>
    <row r="8865" spans="3:11" x14ac:dyDescent="0.35">
      <c r="C8865" s="112"/>
      <c r="D8865" s="5"/>
      <c r="E8865" s="5"/>
      <c r="F8865" s="5"/>
      <c r="G8865" s="5"/>
      <c r="H8865" s="5"/>
      <c r="I8865" s="5"/>
      <c r="J8865" s="5"/>
      <c r="K8865" s="5"/>
    </row>
    <row r="8866" spans="3:11" x14ac:dyDescent="0.35">
      <c r="C8866" s="112"/>
      <c r="D8866" s="5"/>
      <c r="E8866" s="5"/>
      <c r="F8866" s="5"/>
      <c r="G8866" s="5"/>
      <c r="H8866" s="5"/>
      <c r="I8866" s="5"/>
      <c r="J8866" s="5"/>
      <c r="K8866" s="5"/>
    </row>
    <row r="8867" spans="3:11" x14ac:dyDescent="0.35">
      <c r="C8867" s="112"/>
      <c r="D8867" s="5"/>
      <c r="E8867" s="5"/>
      <c r="F8867" s="5"/>
      <c r="G8867" s="5"/>
      <c r="H8867" s="5"/>
      <c r="I8867" s="5"/>
      <c r="J8867" s="5"/>
      <c r="K8867" s="5"/>
    </row>
    <row r="8868" spans="3:11" x14ac:dyDescent="0.35">
      <c r="C8868" s="112"/>
      <c r="D8868" s="5"/>
      <c r="E8868" s="5"/>
      <c r="F8868" s="5"/>
      <c r="G8868" s="5"/>
      <c r="H8868" s="5"/>
      <c r="I8868" s="5"/>
      <c r="J8868" s="5"/>
      <c r="K8868" s="5"/>
    </row>
    <row r="8869" spans="3:11" x14ac:dyDescent="0.35">
      <c r="C8869" s="112"/>
      <c r="D8869" s="5"/>
      <c r="E8869" s="5"/>
      <c r="F8869" s="5"/>
      <c r="G8869" s="5"/>
      <c r="H8869" s="5"/>
      <c r="I8869" s="5"/>
      <c r="J8869" s="5"/>
      <c r="K8869" s="5"/>
    </row>
    <row r="8870" spans="3:11" x14ac:dyDescent="0.35">
      <c r="C8870" s="112"/>
      <c r="D8870" s="5"/>
      <c r="E8870" s="5"/>
      <c r="F8870" s="5"/>
      <c r="G8870" s="5"/>
      <c r="H8870" s="5"/>
      <c r="I8870" s="5"/>
      <c r="J8870" s="5"/>
      <c r="K8870" s="5"/>
    </row>
    <row r="8871" spans="3:11" x14ac:dyDescent="0.35">
      <c r="C8871" s="112"/>
      <c r="D8871" s="5"/>
      <c r="E8871" s="5"/>
      <c r="F8871" s="5"/>
      <c r="G8871" s="5"/>
      <c r="H8871" s="5"/>
      <c r="I8871" s="5"/>
      <c r="J8871" s="5"/>
      <c r="K8871" s="5"/>
    </row>
    <row r="8872" spans="3:11" x14ac:dyDescent="0.35">
      <c r="C8872" s="112"/>
      <c r="D8872" s="5"/>
      <c r="E8872" s="5"/>
      <c r="F8872" s="5"/>
      <c r="G8872" s="5"/>
      <c r="H8872" s="5"/>
      <c r="I8872" s="5"/>
      <c r="J8872" s="5"/>
      <c r="K8872" s="5"/>
    </row>
    <row r="8873" spans="3:11" x14ac:dyDescent="0.35">
      <c r="C8873" s="112"/>
      <c r="D8873" s="5"/>
      <c r="E8873" s="5"/>
      <c r="F8873" s="5"/>
      <c r="G8873" s="5"/>
      <c r="H8873" s="5"/>
      <c r="I8873" s="5"/>
      <c r="J8873" s="5"/>
      <c r="K8873" s="5"/>
    </row>
    <row r="8874" spans="3:11" x14ac:dyDescent="0.35">
      <c r="C8874" s="112"/>
      <c r="D8874" s="5"/>
      <c r="E8874" s="5"/>
      <c r="F8874" s="5"/>
      <c r="G8874" s="5"/>
      <c r="H8874" s="5"/>
      <c r="I8874" s="5"/>
      <c r="J8874" s="5"/>
      <c r="K8874" s="5"/>
    </row>
    <row r="8875" spans="3:11" x14ac:dyDescent="0.35">
      <c r="C8875" s="112"/>
      <c r="D8875" s="5"/>
      <c r="E8875" s="5"/>
      <c r="F8875" s="5"/>
      <c r="G8875" s="5"/>
      <c r="H8875" s="5"/>
      <c r="I8875" s="5"/>
      <c r="J8875" s="5"/>
      <c r="K8875" s="5"/>
    </row>
    <row r="8876" spans="3:11" x14ac:dyDescent="0.35">
      <c r="C8876" s="112"/>
      <c r="D8876" s="5"/>
      <c r="E8876" s="5"/>
      <c r="F8876" s="5"/>
      <c r="G8876" s="5"/>
      <c r="H8876" s="5"/>
      <c r="I8876" s="5"/>
      <c r="J8876" s="5"/>
      <c r="K8876" s="5"/>
    </row>
    <row r="8877" spans="3:11" x14ac:dyDescent="0.35">
      <c r="C8877" s="112"/>
      <c r="D8877" s="5"/>
      <c r="E8877" s="5"/>
      <c r="F8877" s="5"/>
      <c r="G8877" s="5"/>
      <c r="H8877" s="5"/>
      <c r="I8877" s="5"/>
      <c r="J8877" s="5"/>
      <c r="K8877" s="5"/>
    </row>
    <row r="8878" spans="3:11" x14ac:dyDescent="0.35">
      <c r="C8878" s="112"/>
      <c r="D8878" s="5"/>
      <c r="E8878" s="5"/>
      <c r="F8878" s="5"/>
      <c r="G8878" s="5"/>
      <c r="H8878" s="5"/>
      <c r="I8878" s="5"/>
      <c r="J8878" s="5"/>
      <c r="K8878" s="5"/>
    </row>
    <row r="8879" spans="3:11" x14ac:dyDescent="0.35">
      <c r="C8879" s="112"/>
      <c r="D8879" s="5"/>
      <c r="E8879" s="5"/>
      <c r="F8879" s="5"/>
      <c r="G8879" s="5"/>
      <c r="H8879" s="5"/>
      <c r="I8879" s="5"/>
      <c r="J8879" s="5"/>
      <c r="K8879" s="5"/>
    </row>
    <row r="8880" spans="3:11" x14ac:dyDescent="0.35">
      <c r="C8880" s="112"/>
      <c r="D8880" s="5"/>
      <c r="E8880" s="5"/>
      <c r="F8880" s="5"/>
      <c r="G8880" s="5"/>
      <c r="H8880" s="5"/>
      <c r="I8880" s="5"/>
      <c r="J8880" s="5"/>
      <c r="K8880" s="5"/>
    </row>
    <row r="8881" spans="3:11" x14ac:dyDescent="0.35">
      <c r="C8881" s="112"/>
      <c r="D8881" s="5"/>
      <c r="E8881" s="5"/>
      <c r="F8881" s="5"/>
      <c r="G8881" s="5"/>
      <c r="H8881" s="5"/>
      <c r="I8881" s="5"/>
      <c r="J8881" s="5"/>
      <c r="K8881" s="5"/>
    </row>
    <row r="8882" spans="3:11" x14ac:dyDescent="0.35">
      <c r="C8882" s="112"/>
      <c r="D8882" s="5"/>
      <c r="E8882" s="5"/>
      <c r="F8882" s="5"/>
      <c r="G8882" s="5"/>
      <c r="H8882" s="5"/>
      <c r="I8882" s="5"/>
      <c r="J8882" s="5"/>
      <c r="K8882" s="5"/>
    </row>
    <row r="8883" spans="3:11" x14ac:dyDescent="0.35">
      <c r="C8883" s="112"/>
      <c r="D8883" s="5"/>
      <c r="E8883" s="5"/>
      <c r="F8883" s="5"/>
      <c r="G8883" s="5"/>
      <c r="H8883" s="5"/>
      <c r="I8883" s="5"/>
      <c r="J8883" s="5"/>
      <c r="K8883" s="5"/>
    </row>
    <row r="8884" spans="3:11" x14ac:dyDescent="0.35">
      <c r="C8884" s="112"/>
      <c r="D8884" s="5"/>
      <c r="E8884" s="5"/>
      <c r="F8884" s="5"/>
      <c r="G8884" s="5"/>
      <c r="H8884" s="5"/>
      <c r="I8884" s="5"/>
      <c r="J8884" s="5"/>
      <c r="K8884" s="5"/>
    </row>
    <row r="8885" spans="3:11" x14ac:dyDescent="0.35">
      <c r="C8885" s="112"/>
      <c r="D8885" s="5"/>
      <c r="E8885" s="5"/>
      <c r="F8885" s="5"/>
      <c r="G8885" s="5"/>
      <c r="H8885" s="5"/>
      <c r="I8885" s="5"/>
      <c r="J8885" s="5"/>
      <c r="K8885" s="5"/>
    </row>
    <row r="8886" spans="3:11" x14ac:dyDescent="0.35">
      <c r="C8886" s="112"/>
      <c r="D8886" s="5"/>
      <c r="E8886" s="5"/>
      <c r="F8886" s="5"/>
      <c r="G8886" s="5"/>
      <c r="H8886" s="5"/>
      <c r="I8886" s="5"/>
      <c r="J8886" s="5"/>
      <c r="K8886" s="5"/>
    </row>
    <row r="8887" spans="3:11" x14ac:dyDescent="0.35">
      <c r="C8887" s="112"/>
      <c r="D8887" s="5"/>
      <c r="E8887" s="5"/>
      <c r="F8887" s="5"/>
      <c r="G8887" s="5"/>
      <c r="H8887" s="5"/>
      <c r="I8887" s="5"/>
      <c r="J8887" s="5"/>
      <c r="K8887" s="5"/>
    </row>
    <row r="8888" spans="3:11" x14ac:dyDescent="0.35">
      <c r="C8888" s="112"/>
      <c r="D8888" s="5"/>
      <c r="E8888" s="5"/>
      <c r="F8888" s="5"/>
      <c r="G8888" s="5"/>
      <c r="H8888" s="5"/>
      <c r="I8888" s="5"/>
      <c r="J8888" s="5"/>
      <c r="K8888" s="5"/>
    </row>
    <row r="8889" spans="3:11" x14ac:dyDescent="0.35">
      <c r="C8889" s="112"/>
      <c r="D8889" s="5"/>
      <c r="E8889" s="5"/>
      <c r="F8889" s="5"/>
      <c r="G8889" s="5"/>
      <c r="H8889" s="5"/>
      <c r="I8889" s="5"/>
      <c r="J8889" s="5"/>
      <c r="K8889" s="5"/>
    </row>
    <row r="8890" spans="3:11" x14ac:dyDescent="0.35">
      <c r="C8890" s="112"/>
      <c r="D8890" s="5"/>
      <c r="E8890" s="5"/>
      <c r="F8890" s="5"/>
      <c r="G8890" s="5"/>
      <c r="H8890" s="5"/>
      <c r="I8890" s="5"/>
      <c r="J8890" s="5"/>
      <c r="K8890" s="5"/>
    </row>
    <row r="8891" spans="3:11" x14ac:dyDescent="0.35">
      <c r="C8891" s="112"/>
      <c r="D8891" s="5"/>
      <c r="E8891" s="5"/>
      <c r="F8891" s="5"/>
      <c r="G8891" s="5"/>
      <c r="H8891" s="5"/>
      <c r="I8891" s="5"/>
      <c r="J8891" s="5"/>
      <c r="K8891" s="5"/>
    </row>
    <row r="8892" spans="3:11" x14ac:dyDescent="0.35">
      <c r="C8892" s="112"/>
      <c r="D8892" s="5"/>
      <c r="E8892" s="5"/>
      <c r="F8892" s="5"/>
      <c r="G8892" s="5"/>
      <c r="H8892" s="5"/>
      <c r="I8892" s="5"/>
      <c r="J8892" s="5"/>
      <c r="K8892" s="5"/>
    </row>
    <row r="8893" spans="3:11" x14ac:dyDescent="0.35">
      <c r="C8893" s="112"/>
      <c r="D8893" s="5"/>
      <c r="E8893" s="5"/>
      <c r="F8893" s="5"/>
      <c r="G8893" s="5"/>
      <c r="H8893" s="5"/>
      <c r="I8893" s="5"/>
      <c r="J8893" s="5"/>
      <c r="K8893" s="5"/>
    </row>
    <row r="8894" spans="3:11" x14ac:dyDescent="0.35">
      <c r="C8894" s="112"/>
      <c r="D8894" s="5"/>
      <c r="E8894" s="5"/>
      <c r="F8894" s="5"/>
      <c r="G8894" s="5"/>
      <c r="H8894" s="5"/>
      <c r="I8894" s="5"/>
      <c r="J8894" s="5"/>
      <c r="K8894" s="5"/>
    </row>
    <row r="8895" spans="3:11" x14ac:dyDescent="0.35">
      <c r="C8895" s="112"/>
      <c r="D8895" s="5"/>
      <c r="E8895" s="5"/>
      <c r="F8895" s="5"/>
      <c r="G8895" s="5"/>
      <c r="H8895" s="5"/>
      <c r="I8895" s="5"/>
      <c r="J8895" s="5"/>
      <c r="K8895" s="5"/>
    </row>
    <row r="8896" spans="3:11" x14ac:dyDescent="0.35">
      <c r="C8896" s="112"/>
      <c r="D8896" s="5"/>
      <c r="E8896" s="5"/>
      <c r="F8896" s="5"/>
      <c r="G8896" s="5"/>
      <c r="H8896" s="5"/>
      <c r="I8896" s="5"/>
      <c r="J8896" s="5"/>
      <c r="K8896" s="5"/>
    </row>
    <row r="8897" spans="3:11" x14ac:dyDescent="0.35">
      <c r="C8897" s="112"/>
      <c r="D8897" s="5"/>
      <c r="E8897" s="5"/>
      <c r="F8897" s="5"/>
      <c r="G8897" s="5"/>
      <c r="H8897" s="5"/>
      <c r="I8897" s="5"/>
      <c r="J8897" s="5"/>
      <c r="K8897" s="5"/>
    </row>
    <row r="8898" spans="3:11" x14ac:dyDescent="0.35">
      <c r="C8898" s="112"/>
      <c r="D8898" s="5"/>
      <c r="E8898" s="5"/>
      <c r="F8898" s="5"/>
      <c r="G8898" s="5"/>
      <c r="H8898" s="5"/>
      <c r="I8898" s="5"/>
      <c r="J8898" s="5"/>
      <c r="K8898" s="5"/>
    </row>
    <row r="8899" spans="3:11" x14ac:dyDescent="0.35">
      <c r="C8899" s="112"/>
      <c r="D8899" s="5"/>
      <c r="E8899" s="5"/>
      <c r="F8899" s="5"/>
      <c r="G8899" s="5"/>
      <c r="H8899" s="5"/>
      <c r="I8899" s="5"/>
      <c r="J8899" s="5"/>
      <c r="K8899" s="5"/>
    </row>
    <row r="8900" spans="3:11" x14ac:dyDescent="0.35">
      <c r="C8900" s="112"/>
      <c r="D8900" s="5"/>
      <c r="E8900" s="5"/>
      <c r="F8900" s="5"/>
      <c r="G8900" s="5"/>
      <c r="H8900" s="5"/>
      <c r="I8900" s="5"/>
      <c r="J8900" s="5"/>
      <c r="K8900" s="5"/>
    </row>
    <row r="8901" spans="3:11" x14ac:dyDescent="0.35">
      <c r="C8901" s="112"/>
      <c r="D8901" s="5"/>
      <c r="E8901" s="5"/>
      <c r="F8901" s="5"/>
      <c r="G8901" s="5"/>
      <c r="H8901" s="5"/>
      <c r="I8901" s="5"/>
      <c r="J8901" s="5"/>
      <c r="K8901" s="5"/>
    </row>
    <row r="8902" spans="3:11" x14ac:dyDescent="0.35">
      <c r="C8902" s="112"/>
      <c r="D8902" s="5"/>
      <c r="E8902" s="5"/>
      <c r="F8902" s="5"/>
      <c r="G8902" s="5"/>
      <c r="H8902" s="5"/>
      <c r="I8902" s="5"/>
      <c r="J8902" s="5"/>
      <c r="K8902" s="5"/>
    </row>
    <row r="8903" spans="3:11" x14ac:dyDescent="0.35">
      <c r="C8903" s="112"/>
      <c r="D8903" s="5"/>
      <c r="E8903" s="5"/>
      <c r="F8903" s="5"/>
      <c r="G8903" s="5"/>
      <c r="H8903" s="5"/>
      <c r="I8903" s="5"/>
      <c r="J8903" s="5"/>
      <c r="K8903" s="5"/>
    </row>
    <row r="8904" spans="3:11" x14ac:dyDescent="0.35">
      <c r="C8904" s="112"/>
      <c r="D8904" s="5"/>
      <c r="E8904" s="5"/>
      <c r="F8904" s="5"/>
      <c r="G8904" s="5"/>
      <c r="H8904" s="5"/>
      <c r="I8904" s="5"/>
      <c r="J8904" s="5"/>
      <c r="K8904" s="5"/>
    </row>
    <row r="8905" spans="3:11" x14ac:dyDescent="0.35">
      <c r="C8905" s="112"/>
      <c r="D8905" s="5"/>
      <c r="E8905" s="5"/>
      <c r="F8905" s="5"/>
      <c r="G8905" s="5"/>
      <c r="H8905" s="5"/>
      <c r="I8905" s="5"/>
      <c r="J8905" s="5"/>
      <c r="K8905" s="5"/>
    </row>
    <row r="8906" spans="3:11" x14ac:dyDescent="0.35">
      <c r="C8906" s="112"/>
      <c r="D8906" s="5"/>
      <c r="E8906" s="5"/>
      <c r="F8906" s="5"/>
      <c r="G8906" s="5"/>
      <c r="H8906" s="5"/>
      <c r="I8906" s="5"/>
      <c r="J8906" s="5"/>
      <c r="K8906" s="5"/>
    </row>
    <row r="8907" spans="3:11" x14ac:dyDescent="0.35">
      <c r="C8907" s="112"/>
      <c r="D8907" s="5"/>
      <c r="E8907" s="5"/>
      <c r="F8907" s="5"/>
      <c r="G8907" s="5"/>
      <c r="H8907" s="5"/>
      <c r="I8907" s="5"/>
      <c r="J8907" s="5"/>
      <c r="K8907" s="5"/>
    </row>
    <row r="8908" spans="3:11" x14ac:dyDescent="0.35">
      <c r="C8908" s="112"/>
      <c r="D8908" s="5"/>
      <c r="E8908" s="5"/>
      <c r="F8908" s="5"/>
      <c r="G8908" s="5"/>
      <c r="H8908" s="5"/>
      <c r="I8908" s="5"/>
      <c r="J8908" s="5"/>
      <c r="K8908" s="5"/>
    </row>
    <row r="8909" spans="3:11" x14ac:dyDescent="0.35">
      <c r="C8909" s="112"/>
      <c r="D8909" s="5"/>
      <c r="E8909" s="5"/>
      <c r="F8909" s="5"/>
      <c r="G8909" s="5"/>
      <c r="H8909" s="5"/>
      <c r="I8909" s="5"/>
      <c r="J8909" s="5"/>
      <c r="K8909" s="5"/>
    </row>
    <row r="8910" spans="3:11" x14ac:dyDescent="0.35">
      <c r="C8910" s="112"/>
      <c r="D8910" s="5"/>
      <c r="E8910" s="5"/>
      <c r="F8910" s="5"/>
      <c r="G8910" s="5"/>
      <c r="H8910" s="5"/>
      <c r="I8910" s="5"/>
      <c r="J8910" s="5"/>
      <c r="K8910" s="5"/>
    </row>
    <row r="8911" spans="3:11" x14ac:dyDescent="0.35">
      <c r="C8911" s="112"/>
      <c r="D8911" s="5"/>
      <c r="E8911" s="5"/>
      <c r="F8911" s="5"/>
      <c r="G8911" s="5"/>
      <c r="H8911" s="5"/>
      <c r="I8911" s="5"/>
      <c r="J8911" s="5"/>
      <c r="K8911" s="5"/>
    </row>
    <row r="8912" spans="3:11" x14ac:dyDescent="0.35">
      <c r="C8912" s="112"/>
      <c r="D8912" s="5"/>
      <c r="E8912" s="5"/>
      <c r="F8912" s="5"/>
      <c r="G8912" s="5"/>
      <c r="H8912" s="5"/>
      <c r="I8912" s="5"/>
      <c r="J8912" s="5"/>
      <c r="K8912" s="5"/>
    </row>
    <row r="8913" spans="3:11" x14ac:dyDescent="0.35">
      <c r="C8913" s="112"/>
      <c r="D8913" s="5"/>
      <c r="E8913" s="5"/>
      <c r="F8913" s="5"/>
      <c r="G8913" s="5"/>
      <c r="H8913" s="5"/>
      <c r="I8913" s="5"/>
      <c r="J8913" s="5"/>
      <c r="K8913" s="5"/>
    </row>
    <row r="8914" spans="3:11" x14ac:dyDescent="0.35">
      <c r="C8914" s="112"/>
      <c r="D8914" s="5"/>
      <c r="E8914" s="5"/>
      <c r="F8914" s="5"/>
      <c r="G8914" s="5"/>
      <c r="H8914" s="5"/>
      <c r="I8914" s="5"/>
      <c r="J8914" s="5"/>
      <c r="K8914" s="5"/>
    </row>
    <row r="8915" spans="3:11" x14ac:dyDescent="0.35">
      <c r="C8915" s="112"/>
      <c r="D8915" s="5"/>
      <c r="E8915" s="5"/>
      <c r="F8915" s="5"/>
      <c r="G8915" s="5"/>
      <c r="H8915" s="5"/>
      <c r="I8915" s="5"/>
      <c r="J8915" s="5"/>
      <c r="K8915" s="5"/>
    </row>
    <row r="8916" spans="3:11" x14ac:dyDescent="0.35">
      <c r="C8916" s="112"/>
      <c r="D8916" s="5"/>
      <c r="E8916" s="5"/>
      <c r="F8916" s="5"/>
      <c r="G8916" s="5"/>
      <c r="H8916" s="5"/>
      <c r="I8916" s="5"/>
      <c r="J8916" s="5"/>
      <c r="K8916" s="5"/>
    </row>
    <row r="8917" spans="3:11" x14ac:dyDescent="0.35">
      <c r="C8917" s="112"/>
      <c r="D8917" s="5"/>
      <c r="E8917" s="5"/>
      <c r="F8917" s="5"/>
      <c r="G8917" s="5"/>
      <c r="H8917" s="5"/>
      <c r="I8917" s="5"/>
      <c r="J8917" s="5"/>
      <c r="K8917" s="5"/>
    </row>
    <row r="8918" spans="3:11" x14ac:dyDescent="0.35">
      <c r="C8918" s="112"/>
      <c r="D8918" s="5"/>
      <c r="E8918" s="5"/>
      <c r="F8918" s="5"/>
      <c r="G8918" s="5"/>
      <c r="H8918" s="5"/>
      <c r="I8918" s="5"/>
      <c r="J8918" s="5"/>
      <c r="K8918" s="5"/>
    </row>
    <row r="8919" spans="3:11" x14ac:dyDescent="0.35">
      <c r="C8919" s="112"/>
      <c r="D8919" s="5"/>
      <c r="E8919" s="5"/>
      <c r="F8919" s="5"/>
      <c r="G8919" s="5"/>
      <c r="H8919" s="5"/>
      <c r="I8919" s="5"/>
      <c r="J8919" s="5"/>
      <c r="K8919" s="5"/>
    </row>
    <row r="8920" spans="3:11" x14ac:dyDescent="0.35">
      <c r="C8920" s="112"/>
      <c r="D8920" s="5"/>
      <c r="E8920" s="5"/>
      <c r="F8920" s="5"/>
      <c r="G8920" s="5"/>
      <c r="H8920" s="5"/>
      <c r="I8920" s="5"/>
      <c r="J8920" s="5"/>
      <c r="K8920" s="5"/>
    </row>
    <row r="8921" spans="3:11" x14ac:dyDescent="0.35">
      <c r="C8921" s="112"/>
      <c r="D8921" s="5"/>
      <c r="E8921" s="5"/>
      <c r="F8921" s="5"/>
      <c r="G8921" s="5"/>
      <c r="H8921" s="5"/>
      <c r="I8921" s="5"/>
      <c r="J8921" s="5"/>
      <c r="K8921" s="5"/>
    </row>
    <row r="8922" spans="3:11" x14ac:dyDescent="0.35">
      <c r="C8922" s="112"/>
      <c r="D8922" s="5"/>
      <c r="E8922" s="5"/>
      <c r="F8922" s="5"/>
      <c r="G8922" s="5"/>
      <c r="H8922" s="5"/>
      <c r="I8922" s="5"/>
      <c r="J8922" s="5"/>
      <c r="K8922" s="5"/>
    </row>
    <row r="8923" spans="3:11" x14ac:dyDescent="0.35">
      <c r="C8923" s="112"/>
      <c r="D8923" s="5"/>
      <c r="E8923" s="5"/>
      <c r="F8923" s="5"/>
      <c r="G8923" s="5"/>
      <c r="H8923" s="5"/>
      <c r="I8923" s="5"/>
      <c r="J8923" s="5"/>
      <c r="K8923" s="5"/>
    </row>
    <row r="8924" spans="3:11" x14ac:dyDescent="0.35">
      <c r="C8924" s="112"/>
      <c r="D8924" s="5"/>
      <c r="E8924" s="5"/>
      <c r="F8924" s="5"/>
      <c r="G8924" s="5"/>
      <c r="H8924" s="5"/>
      <c r="I8924" s="5"/>
      <c r="J8924" s="5"/>
      <c r="K8924" s="5"/>
    </row>
    <row r="8925" spans="3:11" x14ac:dyDescent="0.35">
      <c r="C8925" s="112"/>
      <c r="D8925" s="5"/>
      <c r="E8925" s="5"/>
      <c r="F8925" s="5"/>
      <c r="G8925" s="5"/>
      <c r="H8925" s="5"/>
      <c r="I8925" s="5"/>
      <c r="J8925" s="5"/>
      <c r="K8925" s="5"/>
    </row>
    <row r="8926" spans="3:11" x14ac:dyDescent="0.35">
      <c r="C8926" s="112"/>
      <c r="D8926" s="5"/>
      <c r="E8926" s="5"/>
      <c r="F8926" s="5"/>
      <c r="G8926" s="5"/>
      <c r="H8926" s="5"/>
      <c r="I8926" s="5"/>
      <c r="J8926" s="5"/>
      <c r="K8926" s="5"/>
    </row>
    <row r="8927" spans="3:11" x14ac:dyDescent="0.35">
      <c r="C8927" s="112"/>
      <c r="D8927" s="5"/>
      <c r="E8927" s="5"/>
      <c r="F8927" s="5"/>
      <c r="G8927" s="5"/>
      <c r="H8927" s="5"/>
      <c r="I8927" s="5"/>
      <c r="J8927" s="5"/>
      <c r="K8927" s="5"/>
    </row>
    <row r="8928" spans="3:11" x14ac:dyDescent="0.35">
      <c r="C8928" s="112"/>
      <c r="D8928" s="5"/>
      <c r="E8928" s="5"/>
      <c r="F8928" s="5"/>
      <c r="G8928" s="5"/>
      <c r="H8928" s="5"/>
      <c r="I8928" s="5"/>
      <c r="J8928" s="5"/>
      <c r="K8928" s="5"/>
    </row>
    <row r="8929" spans="3:11" x14ac:dyDescent="0.35">
      <c r="C8929" s="112"/>
      <c r="D8929" s="5"/>
      <c r="E8929" s="5"/>
      <c r="F8929" s="5"/>
      <c r="G8929" s="5"/>
      <c r="H8929" s="5"/>
      <c r="I8929" s="5"/>
      <c r="J8929" s="5"/>
      <c r="K8929" s="5"/>
    </row>
    <row r="8930" spans="3:11" x14ac:dyDescent="0.35">
      <c r="C8930" s="112"/>
      <c r="D8930" s="5"/>
      <c r="E8930" s="5"/>
      <c r="F8930" s="5"/>
      <c r="G8930" s="5"/>
      <c r="H8930" s="5"/>
      <c r="I8930" s="5"/>
      <c r="J8930" s="5"/>
      <c r="K8930" s="5"/>
    </row>
    <row r="8931" spans="3:11" x14ac:dyDescent="0.35">
      <c r="C8931" s="112"/>
      <c r="D8931" s="5"/>
      <c r="E8931" s="5"/>
      <c r="F8931" s="5"/>
      <c r="G8931" s="5"/>
      <c r="H8931" s="5"/>
      <c r="I8931" s="5"/>
      <c r="J8931" s="5"/>
      <c r="K8931" s="5"/>
    </row>
    <row r="8932" spans="3:11" x14ac:dyDescent="0.35">
      <c r="C8932" s="112"/>
      <c r="D8932" s="5"/>
      <c r="E8932" s="5"/>
      <c r="F8932" s="5"/>
      <c r="G8932" s="5"/>
      <c r="H8932" s="5"/>
      <c r="I8932" s="5"/>
      <c r="J8932" s="5"/>
      <c r="K8932" s="5"/>
    </row>
    <row r="8933" spans="3:11" x14ac:dyDescent="0.35">
      <c r="C8933" s="112"/>
      <c r="D8933" s="5"/>
      <c r="E8933" s="5"/>
      <c r="F8933" s="5"/>
      <c r="G8933" s="5"/>
      <c r="H8933" s="5"/>
      <c r="I8933" s="5"/>
      <c r="J8933" s="5"/>
      <c r="K8933" s="5"/>
    </row>
    <row r="8934" spans="3:11" x14ac:dyDescent="0.35">
      <c r="C8934" s="112"/>
      <c r="D8934" s="5"/>
      <c r="E8934" s="5"/>
      <c r="F8934" s="5"/>
      <c r="G8934" s="5"/>
      <c r="H8934" s="5"/>
      <c r="I8934" s="5"/>
      <c r="J8934" s="5"/>
      <c r="K8934" s="5"/>
    </row>
    <row r="8935" spans="3:11" x14ac:dyDescent="0.35">
      <c r="C8935" s="112"/>
      <c r="D8935" s="5"/>
      <c r="E8935" s="5"/>
      <c r="F8935" s="5"/>
      <c r="G8935" s="5"/>
      <c r="H8935" s="5"/>
      <c r="I8935" s="5"/>
      <c r="J8935" s="5"/>
      <c r="K8935" s="5"/>
    </row>
    <row r="8936" spans="3:11" x14ac:dyDescent="0.35">
      <c r="C8936" s="112"/>
      <c r="D8936" s="5"/>
      <c r="E8936" s="5"/>
      <c r="F8936" s="5"/>
      <c r="G8936" s="5"/>
      <c r="H8936" s="5"/>
      <c r="I8936" s="5"/>
      <c r="J8936" s="5"/>
      <c r="K8936" s="5"/>
    </row>
    <row r="8937" spans="3:11" x14ac:dyDescent="0.35">
      <c r="C8937" s="112"/>
      <c r="D8937" s="5"/>
      <c r="E8937" s="5"/>
      <c r="F8937" s="5"/>
      <c r="G8937" s="5"/>
      <c r="H8937" s="5"/>
      <c r="I8937" s="5"/>
      <c r="J8937" s="5"/>
      <c r="K8937" s="5"/>
    </row>
    <row r="8938" spans="3:11" x14ac:dyDescent="0.35">
      <c r="C8938" s="112"/>
      <c r="D8938" s="5"/>
      <c r="E8938" s="5"/>
      <c r="F8938" s="5"/>
      <c r="G8938" s="5"/>
      <c r="H8938" s="5"/>
      <c r="I8938" s="5"/>
      <c r="J8938" s="5"/>
      <c r="K8938" s="5"/>
    </row>
    <row r="8939" spans="3:11" x14ac:dyDescent="0.35">
      <c r="C8939" s="112"/>
      <c r="D8939" s="5"/>
      <c r="E8939" s="5"/>
      <c r="F8939" s="5"/>
      <c r="G8939" s="5"/>
      <c r="H8939" s="5"/>
      <c r="I8939" s="5"/>
      <c r="J8939" s="5"/>
      <c r="K8939" s="5"/>
    </row>
    <row r="8940" spans="3:11" x14ac:dyDescent="0.35">
      <c r="C8940" s="112"/>
      <c r="D8940" s="5"/>
      <c r="E8940" s="5"/>
      <c r="F8940" s="5"/>
      <c r="G8940" s="5"/>
      <c r="H8940" s="5"/>
      <c r="I8940" s="5"/>
      <c r="J8940" s="5"/>
      <c r="K8940" s="5"/>
    </row>
    <row r="8941" spans="3:11" x14ac:dyDescent="0.35">
      <c r="C8941" s="112"/>
      <c r="D8941" s="5"/>
      <c r="E8941" s="5"/>
      <c r="F8941" s="5"/>
      <c r="G8941" s="5"/>
      <c r="H8941" s="5"/>
      <c r="I8941" s="5"/>
      <c r="J8941" s="5"/>
      <c r="K8941" s="5"/>
    </row>
    <row r="8942" spans="3:11" x14ac:dyDescent="0.35">
      <c r="C8942" s="112"/>
      <c r="D8942" s="5"/>
      <c r="E8942" s="5"/>
      <c r="F8942" s="5"/>
      <c r="G8942" s="5"/>
      <c r="H8942" s="5"/>
      <c r="I8942" s="5"/>
      <c r="J8942" s="5"/>
      <c r="K8942" s="5"/>
    </row>
    <row r="8943" spans="3:11" x14ac:dyDescent="0.35">
      <c r="C8943" s="112"/>
      <c r="D8943" s="5"/>
      <c r="E8943" s="5"/>
      <c r="F8943" s="5"/>
      <c r="G8943" s="5"/>
      <c r="H8943" s="5"/>
      <c r="I8943" s="5"/>
      <c r="J8943" s="5"/>
      <c r="K8943" s="5"/>
    </row>
    <row r="8944" spans="3:11" x14ac:dyDescent="0.35">
      <c r="C8944" s="112"/>
      <c r="D8944" s="5"/>
      <c r="E8944" s="5"/>
      <c r="F8944" s="5"/>
      <c r="G8944" s="5"/>
      <c r="H8944" s="5"/>
      <c r="I8944" s="5"/>
      <c r="J8944" s="5"/>
      <c r="K8944" s="5"/>
    </row>
    <row r="8945" spans="3:11" x14ac:dyDescent="0.35">
      <c r="C8945" s="112"/>
      <c r="D8945" s="5"/>
      <c r="E8945" s="5"/>
      <c r="F8945" s="5"/>
      <c r="G8945" s="5"/>
      <c r="H8945" s="5"/>
      <c r="I8945" s="5"/>
      <c r="J8945" s="5"/>
      <c r="K8945" s="5"/>
    </row>
    <row r="8946" spans="3:11" x14ac:dyDescent="0.35">
      <c r="C8946" s="112"/>
      <c r="D8946" s="5"/>
      <c r="E8946" s="5"/>
      <c r="F8946" s="5"/>
      <c r="G8946" s="5"/>
      <c r="H8946" s="5"/>
      <c r="I8946" s="5"/>
      <c r="J8946" s="5"/>
      <c r="K8946" s="5"/>
    </row>
    <row r="8947" spans="3:11" x14ac:dyDescent="0.35">
      <c r="C8947" s="112"/>
      <c r="D8947" s="5"/>
      <c r="E8947" s="5"/>
      <c r="F8947" s="5"/>
      <c r="G8947" s="5"/>
      <c r="H8947" s="5"/>
      <c r="I8947" s="5"/>
      <c r="J8947" s="5"/>
      <c r="K8947" s="5"/>
    </row>
    <row r="8948" spans="3:11" x14ac:dyDescent="0.35">
      <c r="C8948" s="112"/>
      <c r="D8948" s="5"/>
      <c r="E8948" s="5"/>
      <c r="F8948" s="5"/>
      <c r="G8948" s="5"/>
      <c r="H8948" s="5"/>
      <c r="I8948" s="5"/>
      <c r="J8948" s="5"/>
      <c r="K8948" s="5"/>
    </row>
    <row r="8949" spans="3:11" x14ac:dyDescent="0.35">
      <c r="C8949" s="112"/>
      <c r="D8949" s="5"/>
      <c r="E8949" s="5"/>
      <c r="F8949" s="5"/>
      <c r="G8949" s="5"/>
      <c r="H8949" s="5"/>
      <c r="I8949" s="5"/>
      <c r="J8949" s="5"/>
      <c r="K8949" s="5"/>
    </row>
    <row r="8950" spans="3:11" x14ac:dyDescent="0.35">
      <c r="C8950" s="112"/>
      <c r="D8950" s="5"/>
      <c r="E8950" s="5"/>
      <c r="F8950" s="5"/>
      <c r="G8950" s="5"/>
      <c r="H8950" s="5"/>
      <c r="I8950" s="5"/>
      <c r="J8950" s="5"/>
      <c r="K8950" s="5"/>
    </row>
    <row r="8951" spans="3:11" x14ac:dyDescent="0.35">
      <c r="C8951" s="112"/>
      <c r="D8951" s="5"/>
      <c r="E8951" s="5"/>
      <c r="F8951" s="5"/>
      <c r="G8951" s="5"/>
      <c r="H8951" s="5"/>
      <c r="I8951" s="5"/>
      <c r="J8951" s="5"/>
      <c r="K8951" s="5"/>
    </row>
    <row r="8952" spans="3:11" x14ac:dyDescent="0.35">
      <c r="C8952" s="112"/>
      <c r="D8952" s="5"/>
      <c r="E8952" s="5"/>
      <c r="F8952" s="5"/>
      <c r="G8952" s="5"/>
      <c r="H8952" s="5"/>
      <c r="I8952" s="5"/>
      <c r="J8952" s="5"/>
      <c r="K8952" s="5"/>
    </row>
    <row r="8953" spans="3:11" x14ac:dyDescent="0.35">
      <c r="C8953" s="112"/>
      <c r="D8953" s="5"/>
      <c r="E8953" s="5"/>
      <c r="F8953" s="5"/>
      <c r="G8953" s="5"/>
      <c r="H8953" s="5"/>
      <c r="I8953" s="5"/>
      <c r="J8953" s="5"/>
      <c r="K8953" s="5"/>
    </row>
    <row r="8954" spans="3:11" x14ac:dyDescent="0.35">
      <c r="C8954" s="112"/>
      <c r="D8954" s="5"/>
      <c r="E8954" s="5"/>
      <c r="F8954" s="5"/>
      <c r="G8954" s="5"/>
      <c r="H8954" s="5"/>
      <c r="I8954" s="5"/>
      <c r="J8954" s="5"/>
      <c r="K8954" s="5"/>
    </row>
    <row r="8955" spans="3:11" x14ac:dyDescent="0.35">
      <c r="C8955" s="112"/>
      <c r="D8955" s="5"/>
      <c r="E8955" s="5"/>
      <c r="F8955" s="5"/>
      <c r="G8955" s="5"/>
      <c r="H8955" s="5"/>
      <c r="I8955" s="5"/>
      <c r="J8955" s="5"/>
      <c r="K8955" s="5"/>
    </row>
    <row r="8956" spans="3:11" x14ac:dyDescent="0.35">
      <c r="C8956" s="112"/>
      <c r="D8956" s="5"/>
      <c r="E8956" s="5"/>
      <c r="F8956" s="5"/>
      <c r="G8956" s="5"/>
      <c r="H8956" s="5"/>
      <c r="I8956" s="5"/>
      <c r="J8956" s="5"/>
      <c r="K8956" s="5"/>
    </row>
    <row r="8957" spans="3:11" x14ac:dyDescent="0.35">
      <c r="C8957" s="112"/>
      <c r="D8957" s="5"/>
      <c r="E8957" s="5"/>
      <c r="F8957" s="5"/>
      <c r="G8957" s="5"/>
      <c r="H8957" s="5"/>
      <c r="I8957" s="5"/>
      <c r="J8957" s="5"/>
      <c r="K8957" s="5"/>
    </row>
    <row r="8958" spans="3:11" x14ac:dyDescent="0.35">
      <c r="C8958" s="112"/>
      <c r="D8958" s="5"/>
      <c r="E8958" s="5"/>
      <c r="F8958" s="5"/>
      <c r="G8958" s="5"/>
      <c r="H8958" s="5"/>
      <c r="I8958" s="5"/>
      <c r="J8958" s="5"/>
      <c r="K8958" s="5"/>
    </row>
    <row r="8959" spans="3:11" x14ac:dyDescent="0.35">
      <c r="C8959" s="112"/>
      <c r="D8959" s="5"/>
      <c r="E8959" s="5"/>
      <c r="F8959" s="5"/>
      <c r="G8959" s="5"/>
      <c r="H8959" s="5"/>
      <c r="I8959" s="5"/>
      <c r="J8959" s="5"/>
      <c r="K8959" s="5"/>
    </row>
    <row r="8960" spans="3:11" x14ac:dyDescent="0.35">
      <c r="C8960" s="112"/>
      <c r="D8960" s="5"/>
      <c r="E8960" s="5"/>
      <c r="F8960" s="5"/>
      <c r="G8960" s="5"/>
      <c r="H8960" s="5"/>
      <c r="I8960" s="5"/>
      <c r="J8960" s="5"/>
      <c r="K8960" s="5"/>
    </row>
    <row r="8961" spans="3:11" x14ac:dyDescent="0.35">
      <c r="C8961" s="112"/>
      <c r="D8961" s="5"/>
      <c r="E8961" s="5"/>
      <c r="F8961" s="5"/>
      <c r="G8961" s="5"/>
      <c r="H8961" s="5"/>
      <c r="I8961" s="5"/>
      <c r="J8961" s="5"/>
      <c r="K8961" s="5"/>
    </row>
    <row r="8962" spans="3:11" x14ac:dyDescent="0.35">
      <c r="C8962" s="112"/>
      <c r="D8962" s="5"/>
      <c r="E8962" s="5"/>
      <c r="F8962" s="5"/>
      <c r="G8962" s="5"/>
      <c r="H8962" s="5"/>
      <c r="I8962" s="5"/>
      <c r="J8962" s="5"/>
      <c r="K8962" s="5"/>
    </row>
    <row r="8963" spans="3:11" x14ac:dyDescent="0.35">
      <c r="C8963" s="112"/>
      <c r="D8963" s="5"/>
      <c r="E8963" s="5"/>
      <c r="F8963" s="5"/>
      <c r="G8963" s="5"/>
      <c r="H8963" s="5"/>
      <c r="I8963" s="5"/>
      <c r="J8963" s="5"/>
      <c r="K8963" s="5"/>
    </row>
    <row r="8964" spans="3:11" x14ac:dyDescent="0.35">
      <c r="C8964" s="112"/>
      <c r="D8964" s="5"/>
      <c r="E8964" s="5"/>
      <c r="F8964" s="5"/>
      <c r="G8964" s="5"/>
      <c r="H8964" s="5"/>
      <c r="I8964" s="5"/>
      <c r="J8964" s="5"/>
      <c r="K8964" s="5"/>
    </row>
    <row r="8965" spans="3:11" x14ac:dyDescent="0.35">
      <c r="C8965" s="112"/>
      <c r="D8965" s="5"/>
      <c r="E8965" s="5"/>
      <c r="F8965" s="5"/>
      <c r="G8965" s="5"/>
      <c r="H8965" s="5"/>
      <c r="I8965" s="5"/>
      <c r="J8965" s="5"/>
      <c r="K8965" s="5"/>
    </row>
    <row r="8966" spans="3:11" x14ac:dyDescent="0.35">
      <c r="C8966" s="112"/>
      <c r="D8966" s="5"/>
      <c r="E8966" s="5"/>
      <c r="F8966" s="5"/>
      <c r="G8966" s="5"/>
      <c r="H8966" s="5"/>
      <c r="I8966" s="5"/>
      <c r="J8966" s="5"/>
      <c r="K8966" s="5"/>
    </row>
    <row r="8967" spans="3:11" x14ac:dyDescent="0.35">
      <c r="C8967" s="112"/>
      <c r="D8967" s="5"/>
      <c r="E8967" s="5"/>
      <c r="F8967" s="5"/>
      <c r="G8967" s="5"/>
      <c r="H8967" s="5"/>
      <c r="I8967" s="5"/>
      <c r="J8967" s="5"/>
      <c r="K8967" s="5"/>
    </row>
    <row r="8968" spans="3:11" x14ac:dyDescent="0.35">
      <c r="C8968" s="112"/>
      <c r="D8968" s="5"/>
      <c r="E8968" s="5"/>
      <c r="F8968" s="5"/>
      <c r="G8968" s="5"/>
      <c r="H8968" s="5"/>
      <c r="I8968" s="5"/>
      <c r="J8968" s="5"/>
      <c r="K8968" s="5"/>
    </row>
    <row r="8969" spans="3:11" x14ac:dyDescent="0.35">
      <c r="C8969" s="112"/>
      <c r="D8969" s="5"/>
      <c r="E8969" s="5"/>
      <c r="F8969" s="5"/>
      <c r="G8969" s="5"/>
      <c r="H8969" s="5"/>
      <c r="I8969" s="5"/>
      <c r="J8969" s="5"/>
      <c r="K8969" s="5"/>
    </row>
    <row r="8970" spans="3:11" x14ac:dyDescent="0.35">
      <c r="C8970" s="112"/>
      <c r="D8970" s="5"/>
      <c r="E8970" s="5"/>
      <c r="F8970" s="5"/>
      <c r="G8970" s="5"/>
      <c r="H8970" s="5"/>
      <c r="I8970" s="5"/>
      <c r="J8970" s="5"/>
      <c r="K8970" s="5"/>
    </row>
    <row r="8971" spans="3:11" x14ac:dyDescent="0.35">
      <c r="C8971" s="112"/>
      <c r="D8971" s="5"/>
      <c r="E8971" s="5"/>
      <c r="F8971" s="5"/>
      <c r="G8971" s="5"/>
      <c r="H8971" s="5"/>
      <c r="I8971" s="5"/>
      <c r="J8971" s="5"/>
      <c r="K8971" s="5"/>
    </row>
    <row r="8972" spans="3:11" x14ac:dyDescent="0.35">
      <c r="C8972" s="112"/>
      <c r="D8972" s="5"/>
      <c r="E8972" s="5"/>
      <c r="F8972" s="5"/>
      <c r="G8972" s="5"/>
      <c r="H8972" s="5"/>
      <c r="I8972" s="5"/>
      <c r="J8972" s="5"/>
      <c r="K8972" s="5"/>
    </row>
    <row r="8973" spans="3:11" x14ac:dyDescent="0.35">
      <c r="C8973" s="112"/>
      <c r="D8973" s="5"/>
      <c r="E8973" s="5"/>
      <c r="F8973" s="5"/>
      <c r="G8973" s="5"/>
      <c r="H8973" s="5"/>
      <c r="I8973" s="5"/>
      <c r="J8973" s="5"/>
      <c r="K8973" s="5"/>
    </row>
    <row r="8974" spans="3:11" x14ac:dyDescent="0.35">
      <c r="C8974" s="112"/>
      <c r="D8974" s="5"/>
      <c r="E8974" s="5"/>
      <c r="F8974" s="5"/>
      <c r="G8974" s="5"/>
      <c r="H8974" s="5"/>
      <c r="I8974" s="5"/>
      <c r="J8974" s="5"/>
      <c r="K8974" s="5"/>
    </row>
    <row r="8975" spans="3:11" x14ac:dyDescent="0.35">
      <c r="C8975" s="112"/>
      <c r="D8975" s="5"/>
      <c r="E8975" s="5"/>
      <c r="F8975" s="5"/>
      <c r="G8975" s="5"/>
      <c r="H8975" s="5"/>
      <c r="I8975" s="5"/>
      <c r="J8975" s="5"/>
      <c r="K8975" s="5"/>
    </row>
    <row r="8976" spans="3:11" x14ac:dyDescent="0.35">
      <c r="C8976" s="112"/>
      <c r="D8976" s="5"/>
      <c r="E8976" s="5"/>
      <c r="F8976" s="5"/>
      <c r="G8976" s="5"/>
      <c r="H8976" s="5"/>
      <c r="I8976" s="5"/>
      <c r="J8976" s="5"/>
      <c r="K8976" s="5"/>
    </row>
    <row r="8977" spans="3:11" x14ac:dyDescent="0.35">
      <c r="C8977" s="112"/>
      <c r="D8977" s="5"/>
      <c r="E8977" s="5"/>
      <c r="F8977" s="5"/>
      <c r="G8977" s="5"/>
      <c r="H8977" s="5"/>
      <c r="I8977" s="5"/>
      <c r="J8977" s="5"/>
      <c r="K8977" s="5"/>
    </row>
    <row r="8978" spans="3:11" x14ac:dyDescent="0.35">
      <c r="C8978" s="112"/>
      <c r="D8978" s="5"/>
      <c r="E8978" s="5"/>
      <c r="F8978" s="5"/>
      <c r="G8978" s="5"/>
      <c r="H8978" s="5"/>
      <c r="I8978" s="5"/>
      <c r="J8978" s="5"/>
      <c r="K8978" s="5"/>
    </row>
    <row r="8979" spans="3:11" x14ac:dyDescent="0.35">
      <c r="C8979" s="112"/>
      <c r="D8979" s="5"/>
      <c r="E8979" s="5"/>
      <c r="F8979" s="5"/>
      <c r="G8979" s="5"/>
      <c r="H8979" s="5"/>
      <c r="I8979" s="5"/>
      <c r="J8979" s="5"/>
      <c r="K8979" s="5"/>
    </row>
    <row r="8980" spans="3:11" x14ac:dyDescent="0.35">
      <c r="C8980" s="112"/>
      <c r="D8980" s="5"/>
      <c r="E8980" s="5"/>
      <c r="F8980" s="5"/>
      <c r="G8980" s="5"/>
      <c r="H8980" s="5"/>
      <c r="I8980" s="5"/>
      <c r="J8980" s="5"/>
      <c r="K8980" s="5"/>
    </row>
    <row r="8981" spans="3:11" x14ac:dyDescent="0.35">
      <c r="C8981" s="112"/>
      <c r="D8981" s="5"/>
      <c r="E8981" s="5"/>
      <c r="F8981" s="5"/>
      <c r="G8981" s="5"/>
      <c r="H8981" s="5"/>
      <c r="I8981" s="5"/>
      <c r="J8981" s="5"/>
      <c r="K8981" s="5"/>
    </row>
    <row r="8982" spans="3:11" x14ac:dyDescent="0.35">
      <c r="C8982" s="112"/>
      <c r="D8982" s="5"/>
      <c r="E8982" s="5"/>
      <c r="F8982" s="5"/>
      <c r="G8982" s="5"/>
      <c r="H8982" s="5"/>
      <c r="I8982" s="5"/>
      <c r="J8982" s="5"/>
      <c r="K8982" s="5"/>
    </row>
    <row r="8983" spans="3:11" x14ac:dyDescent="0.35">
      <c r="C8983" s="112"/>
      <c r="D8983" s="5"/>
      <c r="E8983" s="5"/>
      <c r="F8983" s="5"/>
      <c r="G8983" s="5"/>
      <c r="H8983" s="5"/>
      <c r="I8983" s="5"/>
      <c r="J8983" s="5"/>
      <c r="K8983" s="5"/>
    </row>
    <row r="8984" spans="3:11" x14ac:dyDescent="0.35">
      <c r="C8984" s="112"/>
      <c r="D8984" s="5"/>
      <c r="E8984" s="5"/>
      <c r="F8984" s="5"/>
      <c r="G8984" s="5"/>
      <c r="H8984" s="5"/>
      <c r="I8984" s="5"/>
      <c r="J8984" s="5"/>
      <c r="K8984" s="5"/>
    </row>
    <row r="8985" spans="3:11" x14ac:dyDescent="0.35">
      <c r="C8985" s="112"/>
      <c r="D8985" s="5"/>
      <c r="E8985" s="5"/>
      <c r="F8985" s="5"/>
      <c r="G8985" s="5"/>
      <c r="H8985" s="5"/>
      <c r="I8985" s="5"/>
      <c r="J8985" s="5"/>
      <c r="K8985" s="5"/>
    </row>
    <row r="8986" spans="3:11" x14ac:dyDescent="0.35">
      <c r="C8986" s="112"/>
      <c r="D8986" s="5"/>
      <c r="E8986" s="5"/>
      <c r="F8986" s="5"/>
      <c r="G8986" s="5"/>
      <c r="H8986" s="5"/>
      <c r="I8986" s="5"/>
      <c r="J8986" s="5"/>
      <c r="K8986" s="5"/>
    </row>
    <row r="8987" spans="3:11" x14ac:dyDescent="0.35">
      <c r="C8987" s="112"/>
      <c r="D8987" s="5"/>
      <c r="E8987" s="5"/>
      <c r="F8987" s="5"/>
      <c r="G8987" s="5"/>
      <c r="H8987" s="5"/>
      <c r="I8987" s="5"/>
      <c r="J8987" s="5"/>
      <c r="K8987" s="5"/>
    </row>
    <row r="8988" spans="3:11" x14ac:dyDescent="0.35">
      <c r="C8988" s="112"/>
      <c r="D8988" s="5"/>
      <c r="E8988" s="5"/>
      <c r="F8988" s="5"/>
      <c r="G8988" s="5"/>
      <c r="H8988" s="5"/>
      <c r="I8988" s="5"/>
      <c r="J8988" s="5"/>
      <c r="K8988" s="5"/>
    </row>
    <row r="8989" spans="3:11" x14ac:dyDescent="0.35">
      <c r="C8989" s="112"/>
      <c r="D8989" s="5"/>
      <c r="E8989" s="5"/>
      <c r="F8989" s="5"/>
      <c r="G8989" s="5"/>
      <c r="H8989" s="5"/>
      <c r="I8989" s="5"/>
      <c r="J8989" s="5"/>
      <c r="K8989" s="5"/>
    </row>
    <row r="8990" spans="3:11" x14ac:dyDescent="0.35">
      <c r="C8990" s="112"/>
      <c r="D8990" s="5"/>
      <c r="E8990" s="5"/>
      <c r="F8990" s="5"/>
      <c r="G8990" s="5"/>
      <c r="H8990" s="5"/>
      <c r="I8990" s="5"/>
      <c r="J8990" s="5"/>
      <c r="K8990" s="5"/>
    </row>
    <row r="8991" spans="3:11" x14ac:dyDescent="0.35">
      <c r="C8991" s="112"/>
      <c r="D8991" s="5"/>
      <c r="E8991" s="5"/>
      <c r="F8991" s="5"/>
      <c r="G8991" s="5"/>
      <c r="H8991" s="5"/>
      <c r="I8991" s="5"/>
      <c r="J8991" s="5"/>
      <c r="K8991" s="5"/>
    </row>
    <row r="8992" spans="3:11" x14ac:dyDescent="0.35">
      <c r="C8992" s="112"/>
      <c r="D8992" s="5"/>
      <c r="E8992" s="5"/>
      <c r="F8992" s="5"/>
      <c r="G8992" s="5"/>
      <c r="H8992" s="5"/>
      <c r="I8992" s="5"/>
      <c r="J8992" s="5"/>
      <c r="K8992" s="5"/>
    </row>
    <row r="8993" spans="3:11" x14ac:dyDescent="0.35">
      <c r="C8993" s="112"/>
      <c r="D8993" s="5"/>
      <c r="E8993" s="5"/>
      <c r="F8993" s="5"/>
      <c r="G8993" s="5"/>
      <c r="H8993" s="5"/>
      <c r="I8993" s="5"/>
      <c r="J8993" s="5"/>
      <c r="K8993" s="5"/>
    </row>
    <row r="8994" spans="3:11" x14ac:dyDescent="0.35">
      <c r="C8994" s="112"/>
      <c r="D8994" s="5"/>
      <c r="E8994" s="5"/>
      <c r="F8994" s="5"/>
      <c r="G8994" s="5"/>
      <c r="H8994" s="5"/>
      <c r="I8994" s="5"/>
      <c r="J8994" s="5"/>
      <c r="K8994" s="5"/>
    </row>
    <row r="8995" spans="3:11" x14ac:dyDescent="0.35">
      <c r="C8995" s="112"/>
      <c r="D8995" s="5"/>
      <c r="E8995" s="5"/>
      <c r="F8995" s="5"/>
      <c r="G8995" s="5"/>
      <c r="H8995" s="5"/>
      <c r="I8995" s="5"/>
      <c r="J8995" s="5"/>
      <c r="K8995" s="5"/>
    </row>
    <row r="8996" spans="3:11" x14ac:dyDescent="0.35">
      <c r="C8996" s="112"/>
      <c r="D8996" s="5"/>
      <c r="E8996" s="5"/>
      <c r="F8996" s="5"/>
      <c r="G8996" s="5"/>
      <c r="H8996" s="5"/>
      <c r="I8996" s="5"/>
      <c r="J8996" s="5"/>
      <c r="K8996" s="5"/>
    </row>
    <row r="8997" spans="3:11" x14ac:dyDescent="0.35">
      <c r="C8997" s="112"/>
      <c r="D8997" s="5"/>
      <c r="E8997" s="5"/>
      <c r="F8997" s="5"/>
      <c r="G8997" s="5"/>
      <c r="H8997" s="5"/>
      <c r="I8997" s="5"/>
      <c r="J8997" s="5"/>
      <c r="K8997" s="5"/>
    </row>
    <row r="8998" spans="3:11" x14ac:dyDescent="0.35">
      <c r="C8998" s="112"/>
      <c r="D8998" s="5"/>
      <c r="E8998" s="5"/>
      <c r="F8998" s="5"/>
      <c r="G8998" s="5"/>
      <c r="H8998" s="5"/>
      <c r="I8998" s="5"/>
      <c r="J8998" s="5"/>
      <c r="K8998" s="5"/>
    </row>
    <row r="8999" spans="3:11" x14ac:dyDescent="0.35">
      <c r="C8999" s="112"/>
      <c r="D8999" s="5"/>
      <c r="E8999" s="5"/>
      <c r="F8999" s="5"/>
      <c r="G8999" s="5"/>
      <c r="H8999" s="5"/>
      <c r="I8999" s="5"/>
      <c r="J8999" s="5"/>
      <c r="K8999" s="5"/>
    </row>
    <row r="9000" spans="3:11" x14ac:dyDescent="0.35">
      <c r="C9000" s="112"/>
      <c r="D9000" s="5"/>
      <c r="E9000" s="5"/>
      <c r="F9000" s="5"/>
      <c r="G9000" s="5"/>
      <c r="H9000" s="5"/>
      <c r="I9000" s="5"/>
      <c r="J9000" s="5"/>
      <c r="K9000" s="5"/>
    </row>
    <row r="9001" spans="3:11" x14ac:dyDescent="0.35">
      <c r="C9001" s="112"/>
      <c r="D9001" s="5"/>
      <c r="E9001" s="5"/>
      <c r="F9001" s="5"/>
      <c r="G9001" s="5"/>
      <c r="H9001" s="5"/>
      <c r="I9001" s="5"/>
      <c r="J9001" s="5"/>
      <c r="K9001" s="5"/>
    </row>
    <row r="9002" spans="3:11" x14ac:dyDescent="0.35">
      <c r="C9002" s="112"/>
      <c r="D9002" s="5"/>
      <c r="E9002" s="5"/>
      <c r="F9002" s="5"/>
      <c r="G9002" s="5"/>
      <c r="H9002" s="5"/>
      <c r="I9002" s="5"/>
      <c r="J9002" s="5"/>
      <c r="K9002" s="5"/>
    </row>
    <row r="9003" spans="3:11" x14ac:dyDescent="0.35">
      <c r="C9003" s="112"/>
      <c r="D9003" s="5"/>
      <c r="E9003" s="5"/>
      <c r="F9003" s="5"/>
      <c r="G9003" s="5"/>
      <c r="H9003" s="5"/>
      <c r="I9003" s="5"/>
      <c r="J9003" s="5"/>
      <c r="K9003" s="5"/>
    </row>
    <row r="9004" spans="3:11" x14ac:dyDescent="0.35">
      <c r="C9004" s="112"/>
      <c r="D9004" s="5"/>
      <c r="E9004" s="5"/>
      <c r="F9004" s="5"/>
      <c r="G9004" s="5"/>
      <c r="H9004" s="5"/>
      <c r="I9004" s="5"/>
      <c r="J9004" s="5"/>
      <c r="K9004" s="5"/>
    </row>
    <row r="9005" spans="3:11" x14ac:dyDescent="0.35">
      <c r="C9005" s="112"/>
      <c r="D9005" s="5"/>
      <c r="E9005" s="5"/>
      <c r="F9005" s="5"/>
      <c r="G9005" s="5"/>
      <c r="H9005" s="5"/>
      <c r="I9005" s="5"/>
      <c r="J9005" s="5"/>
      <c r="K9005" s="5"/>
    </row>
    <row r="9006" spans="3:11" x14ac:dyDescent="0.35">
      <c r="C9006" s="112"/>
      <c r="D9006" s="5"/>
      <c r="E9006" s="5"/>
      <c r="F9006" s="5"/>
      <c r="G9006" s="5"/>
      <c r="H9006" s="5"/>
      <c r="I9006" s="5"/>
      <c r="J9006" s="5"/>
      <c r="K9006" s="5"/>
    </row>
    <row r="9007" spans="3:11" x14ac:dyDescent="0.35">
      <c r="C9007" s="112"/>
      <c r="D9007" s="5"/>
      <c r="E9007" s="5"/>
      <c r="F9007" s="5"/>
      <c r="G9007" s="5"/>
      <c r="H9007" s="5"/>
      <c r="I9007" s="5"/>
      <c r="J9007" s="5"/>
      <c r="K9007" s="5"/>
    </row>
    <row r="9008" spans="3:11" x14ac:dyDescent="0.35">
      <c r="C9008" s="112"/>
      <c r="D9008" s="5"/>
      <c r="E9008" s="5"/>
      <c r="F9008" s="5"/>
      <c r="G9008" s="5"/>
      <c r="H9008" s="5"/>
      <c r="I9008" s="5"/>
      <c r="J9008" s="5"/>
      <c r="K9008" s="5"/>
    </row>
    <row r="9009" spans="3:11" x14ac:dyDescent="0.35">
      <c r="C9009" s="112"/>
      <c r="D9009" s="5"/>
      <c r="E9009" s="5"/>
      <c r="F9009" s="5"/>
      <c r="G9009" s="5"/>
      <c r="H9009" s="5"/>
      <c r="I9009" s="5"/>
      <c r="J9009" s="5"/>
      <c r="K9009" s="5"/>
    </row>
    <row r="9010" spans="3:11" x14ac:dyDescent="0.35">
      <c r="C9010" s="112"/>
      <c r="D9010" s="5"/>
      <c r="E9010" s="5"/>
      <c r="F9010" s="5"/>
      <c r="G9010" s="5"/>
      <c r="H9010" s="5"/>
      <c r="I9010" s="5"/>
      <c r="J9010" s="5"/>
      <c r="K9010" s="5"/>
    </row>
    <row r="9011" spans="3:11" x14ac:dyDescent="0.35">
      <c r="C9011" s="112"/>
      <c r="D9011" s="5"/>
      <c r="E9011" s="5"/>
      <c r="F9011" s="5"/>
      <c r="G9011" s="5"/>
      <c r="H9011" s="5"/>
      <c r="I9011" s="5"/>
      <c r="J9011" s="5"/>
      <c r="K9011" s="5"/>
    </row>
    <row r="9012" spans="3:11" x14ac:dyDescent="0.35">
      <c r="C9012" s="112"/>
      <c r="D9012" s="5"/>
      <c r="E9012" s="5"/>
      <c r="F9012" s="5"/>
      <c r="G9012" s="5"/>
      <c r="H9012" s="5"/>
      <c r="I9012" s="5"/>
      <c r="J9012" s="5"/>
      <c r="K9012" s="5"/>
    </row>
    <row r="9013" spans="3:11" x14ac:dyDescent="0.35">
      <c r="C9013" s="112"/>
      <c r="D9013" s="5"/>
      <c r="E9013" s="5"/>
      <c r="F9013" s="5"/>
      <c r="G9013" s="5"/>
      <c r="H9013" s="5"/>
      <c r="I9013" s="5"/>
      <c r="J9013" s="5"/>
      <c r="K9013" s="5"/>
    </row>
    <row r="9014" spans="3:11" x14ac:dyDescent="0.35">
      <c r="C9014" s="112"/>
      <c r="D9014" s="5"/>
      <c r="E9014" s="5"/>
      <c r="F9014" s="5"/>
      <c r="G9014" s="5"/>
      <c r="H9014" s="5"/>
      <c r="I9014" s="5"/>
      <c r="J9014" s="5"/>
      <c r="K9014" s="5"/>
    </row>
    <row r="9015" spans="3:11" x14ac:dyDescent="0.35">
      <c r="C9015" s="112"/>
      <c r="D9015" s="5"/>
      <c r="E9015" s="5"/>
      <c r="F9015" s="5"/>
      <c r="G9015" s="5"/>
      <c r="H9015" s="5"/>
      <c r="I9015" s="5"/>
      <c r="J9015" s="5"/>
      <c r="K9015" s="5"/>
    </row>
    <row r="9016" spans="3:11" x14ac:dyDescent="0.35">
      <c r="C9016" s="112"/>
      <c r="D9016" s="5"/>
      <c r="E9016" s="5"/>
      <c r="F9016" s="5"/>
      <c r="G9016" s="5"/>
      <c r="H9016" s="5"/>
      <c r="I9016" s="5"/>
      <c r="J9016" s="5"/>
      <c r="K9016" s="5"/>
    </row>
    <row r="9017" spans="3:11" x14ac:dyDescent="0.35">
      <c r="C9017" s="112"/>
      <c r="D9017" s="5"/>
      <c r="E9017" s="5"/>
      <c r="F9017" s="5"/>
      <c r="G9017" s="5"/>
      <c r="H9017" s="5"/>
      <c r="I9017" s="5"/>
      <c r="J9017" s="5"/>
      <c r="K9017" s="5"/>
    </row>
    <row r="9018" spans="3:11" x14ac:dyDescent="0.35">
      <c r="C9018" s="112"/>
      <c r="D9018" s="5"/>
      <c r="E9018" s="5"/>
      <c r="F9018" s="5"/>
      <c r="G9018" s="5"/>
      <c r="H9018" s="5"/>
      <c r="I9018" s="5"/>
      <c r="J9018" s="5"/>
      <c r="K9018" s="5"/>
    </row>
    <row r="9019" spans="3:11" x14ac:dyDescent="0.35">
      <c r="C9019" s="112"/>
      <c r="D9019" s="5"/>
      <c r="E9019" s="5"/>
      <c r="F9019" s="5"/>
      <c r="G9019" s="5"/>
      <c r="H9019" s="5"/>
      <c r="I9019" s="5"/>
      <c r="J9019" s="5"/>
      <c r="K9019" s="5"/>
    </row>
    <row r="9020" spans="3:11" x14ac:dyDescent="0.35">
      <c r="C9020" s="112"/>
      <c r="D9020" s="5"/>
      <c r="E9020" s="5"/>
      <c r="F9020" s="5"/>
      <c r="G9020" s="5"/>
      <c r="H9020" s="5"/>
      <c r="I9020" s="5"/>
      <c r="J9020" s="5"/>
      <c r="K9020" s="5"/>
    </row>
    <row r="9021" spans="3:11" x14ac:dyDescent="0.35">
      <c r="C9021" s="112"/>
      <c r="D9021" s="5"/>
      <c r="E9021" s="5"/>
      <c r="F9021" s="5"/>
      <c r="G9021" s="5"/>
      <c r="H9021" s="5"/>
      <c r="I9021" s="5"/>
      <c r="J9021" s="5"/>
      <c r="K9021" s="5"/>
    </row>
    <row r="9022" spans="3:11" x14ac:dyDescent="0.35">
      <c r="C9022" s="112"/>
      <c r="D9022" s="5"/>
      <c r="E9022" s="5"/>
      <c r="F9022" s="5"/>
      <c r="G9022" s="5"/>
      <c r="H9022" s="5"/>
      <c r="I9022" s="5"/>
      <c r="J9022" s="5"/>
      <c r="K9022" s="5"/>
    </row>
    <row r="9023" spans="3:11" x14ac:dyDescent="0.35">
      <c r="C9023" s="112"/>
      <c r="D9023" s="5"/>
      <c r="E9023" s="5"/>
      <c r="F9023" s="5"/>
      <c r="G9023" s="5"/>
      <c r="H9023" s="5"/>
      <c r="I9023" s="5"/>
      <c r="J9023" s="5"/>
      <c r="K9023" s="5"/>
    </row>
    <row r="9024" spans="3:11" x14ac:dyDescent="0.35">
      <c r="C9024" s="112"/>
      <c r="D9024" s="5"/>
      <c r="E9024" s="5"/>
      <c r="F9024" s="5"/>
      <c r="G9024" s="5"/>
      <c r="H9024" s="5"/>
      <c r="I9024" s="5"/>
      <c r="J9024" s="5"/>
      <c r="K9024" s="5"/>
    </row>
    <row r="9025" spans="3:11" x14ac:dyDescent="0.35">
      <c r="C9025" s="112"/>
      <c r="D9025" s="5"/>
      <c r="E9025" s="5"/>
      <c r="F9025" s="5"/>
      <c r="G9025" s="5"/>
      <c r="H9025" s="5"/>
      <c r="I9025" s="5"/>
      <c r="J9025" s="5"/>
      <c r="K9025" s="5"/>
    </row>
    <row r="9026" spans="3:11" x14ac:dyDescent="0.35">
      <c r="C9026" s="112"/>
      <c r="D9026" s="5"/>
      <c r="E9026" s="5"/>
      <c r="F9026" s="5"/>
      <c r="G9026" s="5"/>
      <c r="H9026" s="5"/>
      <c r="I9026" s="5"/>
      <c r="J9026" s="5"/>
      <c r="K9026" s="5"/>
    </row>
    <row r="9027" spans="3:11" x14ac:dyDescent="0.35">
      <c r="C9027" s="112"/>
      <c r="D9027" s="5"/>
      <c r="E9027" s="5"/>
      <c r="F9027" s="5"/>
      <c r="G9027" s="5"/>
      <c r="H9027" s="5"/>
      <c r="I9027" s="5"/>
      <c r="J9027" s="5"/>
      <c r="K9027" s="5"/>
    </row>
    <row r="9028" spans="3:11" x14ac:dyDescent="0.35">
      <c r="C9028" s="112"/>
      <c r="D9028" s="5"/>
      <c r="E9028" s="5"/>
      <c r="F9028" s="5"/>
      <c r="G9028" s="5"/>
      <c r="H9028" s="5"/>
      <c r="I9028" s="5"/>
      <c r="J9028" s="5"/>
      <c r="K9028" s="5"/>
    </row>
    <row r="9029" spans="3:11" x14ac:dyDescent="0.35">
      <c r="C9029" s="112"/>
      <c r="D9029" s="5"/>
      <c r="E9029" s="5"/>
      <c r="F9029" s="5"/>
      <c r="G9029" s="5"/>
      <c r="H9029" s="5"/>
      <c r="I9029" s="5"/>
      <c r="J9029" s="5"/>
      <c r="K9029" s="5"/>
    </row>
    <row r="9030" spans="3:11" x14ac:dyDescent="0.35">
      <c r="C9030" s="112"/>
      <c r="D9030" s="5"/>
      <c r="E9030" s="5"/>
      <c r="F9030" s="5"/>
      <c r="G9030" s="5"/>
      <c r="H9030" s="5"/>
      <c r="I9030" s="5"/>
      <c r="J9030" s="5"/>
      <c r="K9030" s="5"/>
    </row>
    <row r="9031" spans="3:11" x14ac:dyDescent="0.35">
      <c r="C9031" s="112"/>
      <c r="D9031" s="5"/>
      <c r="E9031" s="5"/>
      <c r="F9031" s="5"/>
      <c r="G9031" s="5"/>
      <c r="H9031" s="5"/>
      <c r="I9031" s="5"/>
      <c r="J9031" s="5"/>
      <c r="K9031" s="5"/>
    </row>
    <row r="9032" spans="3:11" x14ac:dyDescent="0.35">
      <c r="C9032" s="112"/>
      <c r="D9032" s="5"/>
      <c r="E9032" s="5"/>
      <c r="F9032" s="5"/>
      <c r="G9032" s="5"/>
      <c r="H9032" s="5"/>
      <c r="I9032" s="5"/>
      <c r="J9032" s="5"/>
      <c r="K9032" s="5"/>
    </row>
    <row r="9033" spans="3:11" x14ac:dyDescent="0.35">
      <c r="C9033" s="112"/>
      <c r="D9033" s="5"/>
      <c r="E9033" s="5"/>
      <c r="F9033" s="5"/>
      <c r="G9033" s="5"/>
      <c r="H9033" s="5"/>
      <c r="I9033" s="5"/>
      <c r="J9033" s="5"/>
      <c r="K9033" s="5"/>
    </row>
    <row r="9034" spans="3:11" x14ac:dyDescent="0.35">
      <c r="C9034" s="112"/>
      <c r="D9034" s="5"/>
      <c r="E9034" s="5"/>
      <c r="F9034" s="5"/>
      <c r="G9034" s="5"/>
      <c r="H9034" s="5"/>
      <c r="I9034" s="5"/>
      <c r="J9034" s="5"/>
      <c r="K9034" s="5"/>
    </row>
    <row r="9035" spans="3:11" x14ac:dyDescent="0.35">
      <c r="C9035" s="112"/>
      <c r="D9035" s="5"/>
      <c r="E9035" s="5"/>
      <c r="F9035" s="5"/>
      <c r="G9035" s="5"/>
      <c r="H9035" s="5"/>
      <c r="I9035" s="5"/>
      <c r="J9035" s="5"/>
      <c r="K9035" s="5"/>
    </row>
    <row r="9036" spans="3:11" x14ac:dyDescent="0.35">
      <c r="C9036" s="112"/>
      <c r="D9036" s="5"/>
      <c r="E9036" s="5"/>
      <c r="F9036" s="5"/>
      <c r="G9036" s="5"/>
      <c r="H9036" s="5"/>
      <c r="I9036" s="5"/>
      <c r="J9036" s="5"/>
      <c r="K9036" s="5"/>
    </row>
    <row r="9037" spans="3:11" x14ac:dyDescent="0.35">
      <c r="C9037" s="112"/>
      <c r="D9037" s="5"/>
      <c r="E9037" s="5"/>
      <c r="F9037" s="5"/>
      <c r="G9037" s="5"/>
      <c r="H9037" s="5"/>
      <c r="I9037" s="5"/>
      <c r="J9037" s="5"/>
      <c r="K9037" s="5"/>
    </row>
    <row r="9038" spans="3:11" x14ac:dyDescent="0.35">
      <c r="C9038" s="112"/>
      <c r="D9038" s="5"/>
      <c r="E9038" s="5"/>
      <c r="F9038" s="5"/>
      <c r="G9038" s="5"/>
      <c r="H9038" s="5"/>
      <c r="I9038" s="5"/>
      <c r="J9038" s="5"/>
      <c r="K9038" s="5"/>
    </row>
    <row r="9039" spans="3:11" x14ac:dyDescent="0.35">
      <c r="C9039" s="112"/>
      <c r="D9039" s="5"/>
      <c r="E9039" s="5"/>
      <c r="F9039" s="5"/>
      <c r="G9039" s="5"/>
      <c r="H9039" s="5"/>
      <c r="I9039" s="5"/>
      <c r="J9039" s="5"/>
      <c r="K9039" s="5"/>
    </row>
    <row r="9040" spans="3:11" x14ac:dyDescent="0.35">
      <c r="C9040" s="112"/>
      <c r="D9040" s="5"/>
      <c r="E9040" s="5"/>
      <c r="F9040" s="5"/>
      <c r="G9040" s="5"/>
      <c r="H9040" s="5"/>
      <c r="I9040" s="5"/>
      <c r="J9040" s="5"/>
      <c r="K9040" s="5"/>
    </row>
    <row r="9041" spans="3:11" x14ac:dyDescent="0.35">
      <c r="C9041" s="112"/>
      <c r="D9041" s="5"/>
      <c r="E9041" s="5"/>
      <c r="F9041" s="5"/>
      <c r="G9041" s="5"/>
      <c r="H9041" s="5"/>
      <c r="I9041" s="5"/>
      <c r="J9041" s="5"/>
      <c r="K9041" s="5"/>
    </row>
    <row r="9042" spans="3:11" x14ac:dyDescent="0.35">
      <c r="C9042" s="112"/>
      <c r="D9042" s="5"/>
      <c r="E9042" s="5"/>
      <c r="F9042" s="5"/>
      <c r="G9042" s="5"/>
      <c r="H9042" s="5"/>
      <c r="I9042" s="5"/>
      <c r="J9042" s="5"/>
      <c r="K9042" s="5"/>
    </row>
    <row r="9043" spans="3:11" x14ac:dyDescent="0.35">
      <c r="C9043" s="112"/>
      <c r="D9043" s="5"/>
      <c r="E9043" s="5"/>
      <c r="F9043" s="5"/>
      <c r="G9043" s="5"/>
      <c r="H9043" s="5"/>
      <c r="I9043" s="5"/>
      <c r="J9043" s="5"/>
      <c r="K9043" s="5"/>
    </row>
    <row r="9044" spans="3:11" x14ac:dyDescent="0.35">
      <c r="C9044" s="112"/>
      <c r="D9044" s="5"/>
      <c r="E9044" s="5"/>
      <c r="F9044" s="5"/>
      <c r="G9044" s="5"/>
      <c r="H9044" s="5"/>
      <c r="I9044" s="5"/>
      <c r="J9044" s="5"/>
      <c r="K9044" s="5"/>
    </row>
    <row r="9045" spans="3:11" x14ac:dyDescent="0.35">
      <c r="C9045" s="112"/>
      <c r="D9045" s="5"/>
      <c r="E9045" s="5"/>
      <c r="F9045" s="5"/>
      <c r="G9045" s="5"/>
      <c r="H9045" s="5"/>
      <c r="I9045" s="5"/>
      <c r="J9045" s="5"/>
      <c r="K9045" s="5"/>
    </row>
    <row r="9046" spans="3:11" x14ac:dyDescent="0.35">
      <c r="C9046" s="112"/>
      <c r="D9046" s="5"/>
      <c r="E9046" s="5"/>
      <c r="F9046" s="5"/>
      <c r="G9046" s="5"/>
      <c r="H9046" s="5"/>
      <c r="I9046" s="5"/>
      <c r="J9046" s="5"/>
      <c r="K9046" s="5"/>
    </row>
    <row r="9047" spans="3:11" x14ac:dyDescent="0.35">
      <c r="C9047" s="112"/>
      <c r="D9047" s="5"/>
      <c r="E9047" s="5"/>
      <c r="F9047" s="5"/>
      <c r="G9047" s="5"/>
      <c r="H9047" s="5"/>
      <c r="I9047" s="5"/>
      <c r="J9047" s="5"/>
      <c r="K9047" s="5"/>
    </row>
    <row r="9048" spans="3:11" x14ac:dyDescent="0.35">
      <c r="C9048" s="112"/>
      <c r="D9048" s="5"/>
      <c r="E9048" s="5"/>
      <c r="F9048" s="5"/>
      <c r="G9048" s="5"/>
      <c r="H9048" s="5"/>
      <c r="I9048" s="5"/>
      <c r="J9048" s="5"/>
      <c r="K9048" s="5"/>
    </row>
    <row r="9049" spans="3:11" x14ac:dyDescent="0.35">
      <c r="C9049" s="112"/>
      <c r="D9049" s="5"/>
      <c r="E9049" s="5"/>
      <c r="F9049" s="5"/>
      <c r="G9049" s="5"/>
      <c r="H9049" s="5"/>
      <c r="I9049" s="5"/>
      <c r="J9049" s="5"/>
      <c r="K9049" s="5"/>
    </row>
    <row r="9050" spans="3:11" x14ac:dyDescent="0.35">
      <c r="C9050" s="112"/>
      <c r="D9050" s="5"/>
      <c r="E9050" s="5"/>
      <c r="F9050" s="5"/>
      <c r="G9050" s="5"/>
      <c r="H9050" s="5"/>
      <c r="I9050" s="5"/>
      <c r="J9050" s="5"/>
      <c r="K9050" s="5"/>
    </row>
    <row r="9051" spans="3:11" x14ac:dyDescent="0.35">
      <c r="C9051" s="112"/>
      <c r="D9051" s="5"/>
      <c r="E9051" s="5"/>
      <c r="F9051" s="5"/>
      <c r="G9051" s="5"/>
      <c r="H9051" s="5"/>
      <c r="I9051" s="5"/>
      <c r="J9051" s="5"/>
      <c r="K9051" s="5"/>
    </row>
    <row r="9052" spans="3:11" x14ac:dyDescent="0.35">
      <c r="C9052" s="112"/>
      <c r="D9052" s="5"/>
      <c r="E9052" s="5"/>
      <c r="F9052" s="5"/>
      <c r="G9052" s="5"/>
      <c r="H9052" s="5"/>
      <c r="I9052" s="5"/>
      <c r="J9052" s="5"/>
      <c r="K9052" s="5"/>
    </row>
    <row r="9053" spans="3:11" x14ac:dyDescent="0.35">
      <c r="C9053" s="112"/>
      <c r="D9053" s="5"/>
      <c r="E9053" s="5"/>
      <c r="F9053" s="5"/>
      <c r="G9053" s="5"/>
      <c r="H9053" s="5"/>
      <c r="I9053" s="5"/>
      <c r="J9053" s="5"/>
      <c r="K9053" s="5"/>
    </row>
    <row r="9054" spans="3:11" x14ac:dyDescent="0.35">
      <c r="C9054" s="112"/>
      <c r="D9054" s="5"/>
      <c r="E9054" s="5"/>
      <c r="F9054" s="5"/>
      <c r="G9054" s="5"/>
      <c r="H9054" s="5"/>
      <c r="I9054" s="5"/>
      <c r="J9054" s="5"/>
      <c r="K9054" s="5"/>
    </row>
    <row r="9055" spans="3:11" x14ac:dyDescent="0.35">
      <c r="C9055" s="112"/>
      <c r="D9055" s="5"/>
      <c r="E9055" s="5"/>
      <c r="F9055" s="5"/>
      <c r="G9055" s="5"/>
      <c r="H9055" s="5"/>
      <c r="I9055" s="5"/>
      <c r="J9055" s="5"/>
      <c r="K9055" s="5"/>
    </row>
    <row r="9056" spans="3:11" x14ac:dyDescent="0.35">
      <c r="C9056" s="112"/>
      <c r="D9056" s="5"/>
      <c r="E9056" s="5"/>
      <c r="F9056" s="5"/>
      <c r="G9056" s="5"/>
      <c r="H9056" s="5"/>
      <c r="I9056" s="5"/>
      <c r="J9056" s="5"/>
      <c r="K9056" s="5"/>
    </row>
    <row r="9057" spans="3:11" x14ac:dyDescent="0.35">
      <c r="C9057" s="112"/>
      <c r="D9057" s="5"/>
      <c r="E9057" s="5"/>
      <c r="F9057" s="5"/>
      <c r="G9057" s="5"/>
      <c r="H9057" s="5"/>
      <c r="I9057" s="5"/>
      <c r="J9057" s="5"/>
      <c r="K9057" s="5"/>
    </row>
    <row r="9058" spans="3:11" x14ac:dyDescent="0.35">
      <c r="C9058" s="112"/>
      <c r="D9058" s="5"/>
      <c r="E9058" s="5"/>
      <c r="F9058" s="5"/>
      <c r="G9058" s="5"/>
      <c r="H9058" s="5"/>
      <c r="I9058" s="5"/>
      <c r="J9058" s="5"/>
      <c r="K9058" s="5"/>
    </row>
    <row r="9059" spans="3:11" x14ac:dyDescent="0.35">
      <c r="C9059" s="112"/>
      <c r="D9059" s="5"/>
      <c r="E9059" s="5"/>
      <c r="F9059" s="5"/>
      <c r="G9059" s="5"/>
      <c r="H9059" s="5"/>
      <c r="I9059" s="5"/>
      <c r="J9059" s="5"/>
      <c r="K9059" s="5"/>
    </row>
    <row r="9060" spans="3:11" x14ac:dyDescent="0.35">
      <c r="C9060" s="112"/>
      <c r="D9060" s="5"/>
      <c r="E9060" s="5"/>
      <c r="F9060" s="5"/>
      <c r="G9060" s="5"/>
      <c r="H9060" s="5"/>
      <c r="I9060" s="5"/>
      <c r="J9060" s="5"/>
      <c r="K9060" s="5"/>
    </row>
    <row r="9061" spans="3:11" x14ac:dyDescent="0.35">
      <c r="C9061" s="112"/>
      <c r="D9061" s="5"/>
      <c r="E9061" s="5"/>
      <c r="F9061" s="5"/>
      <c r="G9061" s="5"/>
      <c r="H9061" s="5"/>
      <c r="I9061" s="5"/>
      <c r="J9061" s="5"/>
      <c r="K9061" s="5"/>
    </row>
    <row r="9062" spans="3:11" x14ac:dyDescent="0.35">
      <c r="C9062" s="112"/>
      <c r="D9062" s="5"/>
      <c r="E9062" s="5"/>
      <c r="F9062" s="5"/>
      <c r="G9062" s="5"/>
      <c r="H9062" s="5"/>
      <c r="I9062" s="5"/>
      <c r="J9062" s="5"/>
      <c r="K9062" s="5"/>
    </row>
    <row r="9063" spans="3:11" x14ac:dyDescent="0.35">
      <c r="C9063" s="112"/>
      <c r="D9063" s="5"/>
      <c r="E9063" s="5"/>
      <c r="F9063" s="5"/>
      <c r="G9063" s="5"/>
      <c r="H9063" s="5"/>
      <c r="I9063" s="5"/>
      <c r="J9063" s="5"/>
      <c r="K9063" s="5"/>
    </row>
    <row r="9064" spans="3:11" x14ac:dyDescent="0.35">
      <c r="C9064" s="112"/>
      <c r="D9064" s="5"/>
      <c r="E9064" s="5"/>
      <c r="F9064" s="5"/>
      <c r="G9064" s="5"/>
      <c r="H9064" s="5"/>
      <c r="I9064" s="5"/>
      <c r="J9064" s="5"/>
      <c r="K9064" s="5"/>
    </row>
    <row r="9065" spans="3:11" x14ac:dyDescent="0.35">
      <c r="C9065" s="112"/>
      <c r="D9065" s="5"/>
      <c r="E9065" s="5"/>
      <c r="F9065" s="5"/>
      <c r="G9065" s="5"/>
      <c r="H9065" s="5"/>
      <c r="I9065" s="5"/>
      <c r="J9065" s="5"/>
      <c r="K9065" s="5"/>
    </row>
    <row r="9066" spans="3:11" x14ac:dyDescent="0.35">
      <c r="C9066" s="112"/>
      <c r="D9066" s="5"/>
      <c r="E9066" s="5"/>
      <c r="F9066" s="5"/>
      <c r="G9066" s="5"/>
      <c r="H9066" s="5"/>
      <c r="I9066" s="5"/>
      <c r="J9066" s="5"/>
      <c r="K9066" s="5"/>
    </row>
    <row r="9067" spans="3:11" x14ac:dyDescent="0.35">
      <c r="C9067" s="112"/>
      <c r="D9067" s="5"/>
      <c r="E9067" s="5"/>
      <c r="F9067" s="5"/>
      <c r="G9067" s="5"/>
      <c r="H9067" s="5"/>
      <c r="I9067" s="5"/>
      <c r="J9067" s="5"/>
      <c r="K9067" s="5"/>
    </row>
    <row r="9068" spans="3:11" x14ac:dyDescent="0.35">
      <c r="C9068" s="112"/>
      <c r="D9068" s="5"/>
      <c r="E9068" s="5"/>
      <c r="F9068" s="5"/>
      <c r="G9068" s="5"/>
      <c r="H9068" s="5"/>
      <c r="I9068" s="5"/>
      <c r="J9068" s="5"/>
      <c r="K9068" s="5"/>
    </row>
    <row r="9069" spans="3:11" x14ac:dyDescent="0.35">
      <c r="C9069" s="112"/>
      <c r="D9069" s="5"/>
      <c r="E9069" s="5"/>
      <c r="F9069" s="5"/>
      <c r="G9069" s="5"/>
      <c r="H9069" s="5"/>
      <c r="I9069" s="5"/>
      <c r="J9069" s="5"/>
      <c r="K9069" s="5"/>
    </row>
    <row r="9070" spans="3:11" x14ac:dyDescent="0.35">
      <c r="C9070" s="112"/>
      <c r="D9070" s="5"/>
      <c r="E9070" s="5"/>
      <c r="F9070" s="5"/>
      <c r="G9070" s="5"/>
      <c r="H9070" s="5"/>
      <c r="I9070" s="5"/>
      <c r="J9070" s="5"/>
      <c r="K9070" s="5"/>
    </row>
    <row r="9071" spans="3:11" x14ac:dyDescent="0.35">
      <c r="C9071" s="112"/>
      <c r="D9071" s="5"/>
      <c r="E9071" s="5"/>
      <c r="F9071" s="5"/>
      <c r="G9071" s="5"/>
      <c r="H9071" s="5"/>
      <c r="I9071" s="5"/>
      <c r="J9071" s="5"/>
      <c r="K9071" s="5"/>
    </row>
    <row r="9072" spans="3:11" x14ac:dyDescent="0.35">
      <c r="C9072" s="112"/>
      <c r="D9072" s="5"/>
      <c r="E9072" s="5"/>
      <c r="F9072" s="5"/>
      <c r="G9072" s="5"/>
      <c r="H9072" s="5"/>
      <c r="I9072" s="5"/>
      <c r="J9072" s="5"/>
      <c r="K9072" s="5"/>
    </row>
    <row r="9073" spans="3:11" x14ac:dyDescent="0.35">
      <c r="C9073" s="112"/>
      <c r="D9073" s="5"/>
      <c r="E9073" s="5"/>
      <c r="F9073" s="5"/>
      <c r="G9073" s="5"/>
      <c r="H9073" s="5"/>
      <c r="I9073" s="5"/>
      <c r="J9073" s="5"/>
      <c r="K9073" s="5"/>
    </row>
    <row r="9074" spans="3:11" x14ac:dyDescent="0.35">
      <c r="C9074" s="112"/>
      <c r="D9074" s="5"/>
      <c r="E9074" s="5"/>
      <c r="F9074" s="5"/>
      <c r="G9074" s="5"/>
      <c r="H9074" s="5"/>
      <c r="I9074" s="5"/>
      <c r="J9074" s="5"/>
      <c r="K9074" s="5"/>
    </row>
    <row r="9075" spans="3:11" x14ac:dyDescent="0.35">
      <c r="C9075" s="112"/>
      <c r="D9075" s="5"/>
      <c r="E9075" s="5"/>
      <c r="F9075" s="5"/>
      <c r="G9075" s="5"/>
      <c r="H9075" s="5"/>
      <c r="I9075" s="5"/>
      <c r="J9075" s="5"/>
      <c r="K9075" s="5"/>
    </row>
    <row r="9076" spans="3:11" x14ac:dyDescent="0.35">
      <c r="C9076" s="112"/>
      <c r="D9076" s="5"/>
      <c r="E9076" s="5"/>
      <c r="F9076" s="5"/>
      <c r="G9076" s="5"/>
      <c r="H9076" s="5"/>
      <c r="I9076" s="5"/>
      <c r="J9076" s="5"/>
      <c r="K9076" s="5"/>
    </row>
    <row r="9077" spans="3:11" x14ac:dyDescent="0.35">
      <c r="C9077" s="112"/>
      <c r="D9077" s="5"/>
      <c r="E9077" s="5"/>
      <c r="F9077" s="5"/>
      <c r="G9077" s="5"/>
      <c r="H9077" s="5"/>
      <c r="I9077" s="5"/>
      <c r="J9077" s="5"/>
      <c r="K9077" s="5"/>
    </row>
    <row r="9078" spans="3:11" x14ac:dyDescent="0.35">
      <c r="C9078" s="112"/>
      <c r="D9078" s="5"/>
      <c r="E9078" s="5"/>
      <c r="F9078" s="5"/>
      <c r="G9078" s="5"/>
      <c r="H9078" s="5"/>
      <c r="I9078" s="5"/>
      <c r="J9078" s="5"/>
      <c r="K9078" s="5"/>
    </row>
    <row r="9079" spans="3:11" x14ac:dyDescent="0.35">
      <c r="C9079" s="112"/>
      <c r="D9079" s="5"/>
      <c r="E9079" s="5"/>
      <c r="F9079" s="5"/>
      <c r="G9079" s="5"/>
      <c r="H9079" s="5"/>
      <c r="I9079" s="5"/>
      <c r="J9079" s="5"/>
      <c r="K9079" s="5"/>
    </row>
    <row r="9080" spans="3:11" x14ac:dyDescent="0.35">
      <c r="C9080" s="112"/>
      <c r="D9080" s="5"/>
      <c r="E9080" s="5"/>
      <c r="F9080" s="5"/>
      <c r="G9080" s="5"/>
      <c r="H9080" s="5"/>
      <c r="I9080" s="5"/>
      <c r="J9080" s="5"/>
      <c r="K9080" s="5"/>
    </row>
    <row r="9081" spans="3:11" x14ac:dyDescent="0.35">
      <c r="C9081" s="112"/>
      <c r="D9081" s="5"/>
      <c r="E9081" s="5"/>
      <c r="F9081" s="5"/>
      <c r="G9081" s="5"/>
      <c r="H9081" s="5"/>
      <c r="I9081" s="5"/>
      <c r="J9081" s="5"/>
      <c r="K9081" s="5"/>
    </row>
    <row r="9082" spans="3:11" x14ac:dyDescent="0.35">
      <c r="C9082" s="112"/>
      <c r="D9082" s="5"/>
      <c r="E9082" s="5"/>
      <c r="F9082" s="5"/>
      <c r="G9082" s="5"/>
      <c r="H9082" s="5"/>
      <c r="I9082" s="5"/>
      <c r="J9082" s="5"/>
      <c r="K9082" s="5"/>
    </row>
    <row r="9083" spans="3:11" x14ac:dyDescent="0.35">
      <c r="C9083" s="112"/>
      <c r="D9083" s="5"/>
      <c r="E9083" s="5"/>
      <c r="F9083" s="5"/>
      <c r="G9083" s="5"/>
      <c r="H9083" s="5"/>
      <c r="I9083" s="5"/>
      <c r="J9083" s="5"/>
      <c r="K9083" s="5"/>
    </row>
    <row r="9084" spans="3:11" x14ac:dyDescent="0.35">
      <c r="C9084" s="112"/>
      <c r="D9084" s="5"/>
      <c r="E9084" s="5"/>
      <c r="F9084" s="5"/>
      <c r="G9084" s="5"/>
      <c r="H9084" s="5"/>
      <c r="I9084" s="5"/>
      <c r="J9084" s="5"/>
      <c r="K9084" s="5"/>
    </row>
    <row r="9085" spans="3:11" x14ac:dyDescent="0.35">
      <c r="C9085" s="112"/>
      <c r="D9085" s="5"/>
      <c r="E9085" s="5"/>
      <c r="F9085" s="5"/>
      <c r="G9085" s="5"/>
      <c r="H9085" s="5"/>
      <c r="I9085" s="5"/>
      <c r="J9085" s="5"/>
      <c r="K9085" s="5"/>
    </row>
    <row r="9086" spans="3:11" x14ac:dyDescent="0.35">
      <c r="C9086" s="112"/>
      <c r="D9086" s="5"/>
      <c r="E9086" s="5"/>
      <c r="F9086" s="5"/>
      <c r="G9086" s="5"/>
      <c r="H9086" s="5"/>
      <c r="I9086" s="5"/>
      <c r="J9086" s="5"/>
      <c r="K9086" s="5"/>
    </row>
    <row r="9087" spans="3:11" x14ac:dyDescent="0.35">
      <c r="C9087" s="112"/>
      <c r="D9087" s="5"/>
      <c r="E9087" s="5"/>
      <c r="F9087" s="5"/>
      <c r="G9087" s="5"/>
      <c r="H9087" s="5"/>
      <c r="I9087" s="5"/>
      <c r="J9087" s="5"/>
      <c r="K9087" s="5"/>
    </row>
    <row r="9088" spans="3:11" x14ac:dyDescent="0.35">
      <c r="C9088" s="112"/>
      <c r="D9088" s="5"/>
      <c r="E9088" s="5"/>
      <c r="F9088" s="5"/>
      <c r="G9088" s="5"/>
      <c r="H9088" s="5"/>
      <c r="I9088" s="5"/>
      <c r="J9088" s="5"/>
      <c r="K9088" s="5"/>
    </row>
    <row r="9089" spans="3:11" x14ac:dyDescent="0.35">
      <c r="C9089" s="112"/>
      <c r="D9089" s="5"/>
      <c r="E9089" s="5"/>
      <c r="F9089" s="5"/>
      <c r="G9089" s="5"/>
      <c r="H9089" s="5"/>
      <c r="I9089" s="5"/>
      <c r="J9089" s="5"/>
      <c r="K9089" s="5"/>
    </row>
    <row r="9090" spans="3:11" x14ac:dyDescent="0.35">
      <c r="C9090" s="112"/>
      <c r="D9090" s="5"/>
      <c r="E9090" s="5"/>
      <c r="F9090" s="5"/>
      <c r="G9090" s="5"/>
      <c r="H9090" s="5"/>
      <c r="I9090" s="5"/>
      <c r="J9090" s="5"/>
      <c r="K9090" s="5"/>
    </row>
    <row r="9091" spans="3:11" x14ac:dyDescent="0.35">
      <c r="C9091" s="112"/>
      <c r="D9091" s="5"/>
      <c r="E9091" s="5"/>
      <c r="F9091" s="5"/>
      <c r="G9091" s="5"/>
      <c r="H9091" s="5"/>
      <c r="I9091" s="5"/>
      <c r="J9091" s="5"/>
      <c r="K9091" s="5"/>
    </row>
    <row r="9092" spans="3:11" x14ac:dyDescent="0.35">
      <c r="C9092" s="112"/>
      <c r="D9092" s="5"/>
      <c r="E9092" s="5"/>
      <c r="F9092" s="5"/>
      <c r="G9092" s="5"/>
      <c r="H9092" s="5"/>
      <c r="I9092" s="5"/>
      <c r="J9092" s="5"/>
      <c r="K9092" s="5"/>
    </row>
    <row r="9093" spans="3:11" x14ac:dyDescent="0.35">
      <c r="C9093" s="112"/>
      <c r="D9093" s="5"/>
      <c r="E9093" s="5"/>
      <c r="F9093" s="5"/>
      <c r="G9093" s="5"/>
      <c r="H9093" s="5"/>
      <c r="I9093" s="5"/>
      <c r="J9093" s="5"/>
      <c r="K9093" s="5"/>
    </row>
    <row r="9094" spans="3:11" x14ac:dyDescent="0.35">
      <c r="C9094" s="112"/>
      <c r="D9094" s="5"/>
      <c r="E9094" s="5"/>
      <c r="F9094" s="5"/>
      <c r="G9094" s="5"/>
      <c r="H9094" s="5"/>
      <c r="I9094" s="5"/>
      <c r="J9094" s="5"/>
      <c r="K9094" s="5"/>
    </row>
    <row r="9095" spans="3:11" x14ac:dyDescent="0.35">
      <c r="C9095" s="112"/>
      <c r="D9095" s="5"/>
      <c r="E9095" s="5"/>
      <c r="F9095" s="5"/>
      <c r="G9095" s="5"/>
      <c r="H9095" s="5"/>
      <c r="I9095" s="5"/>
      <c r="J9095" s="5"/>
      <c r="K9095" s="5"/>
    </row>
    <row r="9096" spans="3:11" x14ac:dyDescent="0.35">
      <c r="C9096" s="112"/>
      <c r="D9096" s="5"/>
      <c r="E9096" s="5"/>
      <c r="F9096" s="5"/>
      <c r="G9096" s="5"/>
      <c r="H9096" s="5"/>
      <c r="I9096" s="5"/>
      <c r="J9096" s="5"/>
      <c r="K9096" s="5"/>
    </row>
    <row r="9097" spans="3:11" x14ac:dyDescent="0.35">
      <c r="C9097" s="112"/>
      <c r="D9097" s="5"/>
      <c r="E9097" s="5"/>
      <c r="F9097" s="5"/>
      <c r="G9097" s="5"/>
      <c r="H9097" s="5"/>
      <c r="I9097" s="5"/>
      <c r="J9097" s="5"/>
      <c r="K9097" s="5"/>
    </row>
    <row r="9098" spans="3:11" x14ac:dyDescent="0.35">
      <c r="C9098" s="112"/>
      <c r="D9098" s="5"/>
      <c r="E9098" s="5"/>
      <c r="F9098" s="5"/>
      <c r="G9098" s="5"/>
      <c r="H9098" s="5"/>
      <c r="I9098" s="5"/>
      <c r="J9098" s="5"/>
      <c r="K9098" s="5"/>
    </row>
    <row r="9099" spans="3:11" x14ac:dyDescent="0.35">
      <c r="C9099" s="112"/>
      <c r="D9099" s="5"/>
      <c r="E9099" s="5"/>
      <c r="F9099" s="5"/>
      <c r="G9099" s="5"/>
      <c r="H9099" s="5"/>
      <c r="I9099" s="5"/>
      <c r="J9099" s="5"/>
      <c r="K9099" s="5"/>
    </row>
    <row r="9100" spans="3:11" x14ac:dyDescent="0.35">
      <c r="C9100" s="112"/>
      <c r="D9100" s="5"/>
      <c r="E9100" s="5"/>
      <c r="F9100" s="5"/>
      <c r="G9100" s="5"/>
      <c r="H9100" s="5"/>
      <c r="I9100" s="5"/>
      <c r="J9100" s="5"/>
      <c r="K9100" s="5"/>
    </row>
    <row r="9101" spans="3:11" x14ac:dyDescent="0.35">
      <c r="C9101" s="112"/>
      <c r="D9101" s="5"/>
      <c r="E9101" s="5"/>
      <c r="F9101" s="5"/>
      <c r="G9101" s="5"/>
      <c r="H9101" s="5"/>
      <c r="I9101" s="5"/>
      <c r="J9101" s="5"/>
      <c r="K9101" s="5"/>
    </row>
    <row r="9102" spans="3:11" x14ac:dyDescent="0.35">
      <c r="C9102" s="112"/>
      <c r="D9102" s="5"/>
      <c r="E9102" s="5"/>
      <c r="F9102" s="5"/>
      <c r="G9102" s="5"/>
      <c r="H9102" s="5"/>
      <c r="I9102" s="5"/>
      <c r="J9102" s="5"/>
      <c r="K9102" s="5"/>
    </row>
    <row r="9103" spans="3:11" x14ac:dyDescent="0.35">
      <c r="C9103" s="112"/>
      <c r="D9103" s="5"/>
      <c r="E9103" s="5"/>
      <c r="F9103" s="5"/>
      <c r="G9103" s="5"/>
      <c r="H9103" s="5"/>
      <c r="I9103" s="5"/>
      <c r="J9103" s="5"/>
      <c r="K9103" s="5"/>
    </row>
    <row r="9104" spans="3:11" x14ac:dyDescent="0.35">
      <c r="C9104" s="112"/>
      <c r="D9104" s="5"/>
      <c r="E9104" s="5"/>
      <c r="F9104" s="5"/>
      <c r="G9104" s="5"/>
      <c r="H9104" s="5"/>
      <c r="I9104" s="5"/>
      <c r="J9104" s="5"/>
      <c r="K9104" s="5"/>
    </row>
    <row r="9105" spans="3:11" x14ac:dyDescent="0.35">
      <c r="C9105" s="112"/>
      <c r="D9105" s="5"/>
      <c r="E9105" s="5"/>
      <c r="F9105" s="5"/>
      <c r="G9105" s="5"/>
      <c r="H9105" s="5"/>
      <c r="I9105" s="5"/>
      <c r="J9105" s="5"/>
      <c r="K9105" s="5"/>
    </row>
    <row r="9106" spans="3:11" x14ac:dyDescent="0.35">
      <c r="C9106" s="112"/>
      <c r="D9106" s="5"/>
      <c r="E9106" s="5"/>
      <c r="F9106" s="5"/>
      <c r="G9106" s="5"/>
      <c r="H9106" s="5"/>
      <c r="I9106" s="5"/>
      <c r="J9106" s="5"/>
      <c r="K9106" s="5"/>
    </row>
    <row r="9107" spans="3:11" x14ac:dyDescent="0.35">
      <c r="C9107" s="112"/>
      <c r="D9107" s="5"/>
      <c r="E9107" s="5"/>
      <c r="F9107" s="5"/>
      <c r="G9107" s="5"/>
      <c r="H9107" s="5"/>
      <c r="I9107" s="5"/>
      <c r="J9107" s="5"/>
      <c r="K9107" s="5"/>
    </row>
    <row r="9108" spans="3:11" x14ac:dyDescent="0.35">
      <c r="C9108" s="112"/>
      <c r="D9108" s="5"/>
      <c r="E9108" s="5"/>
      <c r="F9108" s="5"/>
      <c r="G9108" s="5"/>
      <c r="H9108" s="5"/>
      <c r="I9108" s="5"/>
      <c r="J9108" s="5"/>
      <c r="K9108" s="5"/>
    </row>
    <row r="9109" spans="3:11" x14ac:dyDescent="0.35">
      <c r="C9109" s="112"/>
      <c r="D9109" s="5"/>
      <c r="E9109" s="5"/>
      <c r="F9109" s="5"/>
      <c r="G9109" s="5"/>
      <c r="H9109" s="5"/>
      <c r="I9109" s="5"/>
      <c r="J9109" s="5"/>
      <c r="K9109" s="5"/>
    </row>
    <row r="9110" spans="3:11" x14ac:dyDescent="0.35">
      <c r="C9110" s="112"/>
      <c r="D9110" s="5"/>
      <c r="E9110" s="5"/>
      <c r="F9110" s="5"/>
      <c r="G9110" s="5"/>
      <c r="H9110" s="5"/>
      <c r="I9110" s="5"/>
      <c r="J9110" s="5"/>
      <c r="K9110" s="5"/>
    </row>
    <row r="9111" spans="3:11" x14ac:dyDescent="0.35">
      <c r="C9111" s="112"/>
      <c r="D9111" s="5"/>
      <c r="E9111" s="5"/>
      <c r="F9111" s="5"/>
      <c r="G9111" s="5"/>
      <c r="H9111" s="5"/>
      <c r="I9111" s="5"/>
      <c r="J9111" s="5"/>
      <c r="K9111" s="5"/>
    </row>
    <row r="9112" spans="3:11" x14ac:dyDescent="0.35">
      <c r="C9112" s="112"/>
      <c r="D9112" s="5"/>
      <c r="E9112" s="5"/>
      <c r="F9112" s="5"/>
      <c r="G9112" s="5"/>
      <c r="H9112" s="5"/>
      <c r="I9112" s="5"/>
      <c r="J9112" s="5"/>
      <c r="K9112" s="5"/>
    </row>
    <row r="9113" spans="3:11" x14ac:dyDescent="0.35">
      <c r="C9113" s="112"/>
      <c r="D9113" s="5"/>
      <c r="E9113" s="5"/>
      <c r="F9113" s="5"/>
      <c r="G9113" s="5"/>
      <c r="H9113" s="5"/>
      <c r="I9113" s="5"/>
      <c r="J9113" s="5"/>
      <c r="K9113" s="5"/>
    </row>
    <row r="9114" spans="3:11" x14ac:dyDescent="0.35">
      <c r="C9114" s="112"/>
      <c r="D9114" s="5"/>
      <c r="E9114" s="5"/>
      <c r="F9114" s="5"/>
      <c r="G9114" s="5"/>
      <c r="H9114" s="5"/>
      <c r="I9114" s="5"/>
      <c r="J9114" s="5"/>
      <c r="K9114" s="5"/>
    </row>
    <row r="9115" spans="3:11" x14ac:dyDescent="0.35">
      <c r="C9115" s="112"/>
      <c r="D9115" s="5"/>
      <c r="E9115" s="5"/>
      <c r="F9115" s="5"/>
      <c r="G9115" s="5"/>
      <c r="H9115" s="5"/>
      <c r="I9115" s="5"/>
      <c r="J9115" s="5"/>
      <c r="K9115" s="5"/>
    </row>
    <row r="9116" spans="3:11" x14ac:dyDescent="0.35">
      <c r="C9116" s="112"/>
      <c r="D9116" s="5"/>
      <c r="E9116" s="5"/>
      <c r="F9116" s="5"/>
      <c r="G9116" s="5"/>
      <c r="H9116" s="5"/>
      <c r="I9116" s="5"/>
      <c r="J9116" s="5"/>
      <c r="K9116" s="5"/>
    </row>
    <row r="9117" spans="3:11" x14ac:dyDescent="0.35">
      <c r="C9117" s="112"/>
      <c r="D9117" s="5"/>
      <c r="E9117" s="5"/>
      <c r="F9117" s="5"/>
      <c r="G9117" s="5"/>
      <c r="H9117" s="5"/>
      <c r="I9117" s="5"/>
      <c r="J9117" s="5"/>
      <c r="K9117" s="5"/>
    </row>
    <row r="9118" spans="3:11" x14ac:dyDescent="0.35">
      <c r="C9118" s="112"/>
      <c r="D9118" s="5"/>
      <c r="E9118" s="5"/>
      <c r="F9118" s="5"/>
      <c r="G9118" s="5"/>
      <c r="H9118" s="5"/>
      <c r="I9118" s="5"/>
      <c r="J9118" s="5"/>
      <c r="K9118" s="5"/>
    </row>
    <row r="9119" spans="3:11" x14ac:dyDescent="0.35">
      <c r="C9119" s="112"/>
      <c r="D9119" s="5"/>
      <c r="E9119" s="5"/>
      <c r="F9119" s="5"/>
      <c r="G9119" s="5"/>
      <c r="H9119" s="5"/>
      <c r="I9119" s="5"/>
      <c r="J9119" s="5"/>
      <c r="K9119" s="5"/>
    </row>
    <row r="9120" spans="3:11" x14ac:dyDescent="0.35">
      <c r="C9120" s="112"/>
      <c r="D9120" s="5"/>
      <c r="E9120" s="5"/>
      <c r="F9120" s="5"/>
      <c r="G9120" s="5"/>
      <c r="H9120" s="5"/>
      <c r="I9120" s="5"/>
      <c r="J9120" s="5"/>
      <c r="K9120" s="5"/>
    </row>
    <row r="9121" spans="3:11" x14ac:dyDescent="0.35">
      <c r="C9121" s="112"/>
      <c r="D9121" s="5"/>
      <c r="E9121" s="5"/>
      <c r="F9121" s="5"/>
      <c r="G9121" s="5"/>
      <c r="H9121" s="5"/>
      <c r="I9121" s="5"/>
      <c r="J9121" s="5"/>
      <c r="K9121" s="5"/>
    </row>
    <row r="9122" spans="3:11" x14ac:dyDescent="0.35">
      <c r="C9122" s="112"/>
      <c r="D9122" s="5"/>
      <c r="E9122" s="5"/>
      <c r="F9122" s="5"/>
      <c r="G9122" s="5"/>
      <c r="H9122" s="5"/>
      <c r="I9122" s="5"/>
      <c r="J9122" s="5"/>
      <c r="K9122" s="5"/>
    </row>
    <row r="9123" spans="3:11" x14ac:dyDescent="0.35">
      <c r="C9123" s="112"/>
      <c r="D9123" s="5"/>
      <c r="E9123" s="5"/>
      <c r="F9123" s="5"/>
      <c r="G9123" s="5"/>
      <c r="H9123" s="5"/>
      <c r="I9123" s="5"/>
      <c r="J9123" s="5"/>
      <c r="K9123" s="5"/>
    </row>
    <row r="9124" spans="3:11" x14ac:dyDescent="0.35">
      <c r="C9124" s="112"/>
      <c r="D9124" s="5"/>
      <c r="E9124" s="5"/>
      <c r="F9124" s="5"/>
      <c r="G9124" s="5"/>
      <c r="H9124" s="5"/>
      <c r="I9124" s="5"/>
      <c r="J9124" s="5"/>
      <c r="K9124" s="5"/>
    </row>
    <row r="9125" spans="3:11" x14ac:dyDescent="0.35">
      <c r="C9125" s="112"/>
      <c r="D9125" s="5"/>
      <c r="E9125" s="5"/>
      <c r="F9125" s="5"/>
      <c r="G9125" s="5"/>
      <c r="H9125" s="5"/>
      <c r="I9125" s="5"/>
      <c r="J9125" s="5"/>
      <c r="K9125" s="5"/>
    </row>
    <row r="9126" spans="3:11" x14ac:dyDescent="0.35">
      <c r="C9126" s="112"/>
      <c r="D9126" s="5"/>
      <c r="E9126" s="5"/>
      <c r="F9126" s="5"/>
      <c r="G9126" s="5"/>
      <c r="H9126" s="5"/>
      <c r="I9126" s="5"/>
      <c r="J9126" s="5"/>
      <c r="K9126" s="5"/>
    </row>
    <row r="9127" spans="3:11" x14ac:dyDescent="0.35">
      <c r="C9127" s="112"/>
      <c r="D9127" s="5"/>
      <c r="E9127" s="5"/>
      <c r="F9127" s="5"/>
      <c r="G9127" s="5"/>
      <c r="H9127" s="5"/>
      <c r="I9127" s="5"/>
      <c r="J9127" s="5"/>
      <c r="K9127" s="5"/>
    </row>
    <row r="9128" spans="3:11" x14ac:dyDescent="0.35">
      <c r="C9128" s="112"/>
      <c r="D9128" s="5"/>
      <c r="E9128" s="5"/>
      <c r="F9128" s="5"/>
      <c r="G9128" s="5"/>
      <c r="H9128" s="5"/>
      <c r="I9128" s="5"/>
      <c r="J9128" s="5"/>
      <c r="K9128" s="5"/>
    </row>
    <row r="9129" spans="3:11" x14ac:dyDescent="0.35">
      <c r="C9129" s="112"/>
      <c r="D9129" s="5"/>
      <c r="E9129" s="5"/>
      <c r="F9129" s="5"/>
      <c r="G9129" s="5"/>
      <c r="H9129" s="5"/>
      <c r="I9129" s="5"/>
      <c r="J9129" s="5"/>
      <c r="K9129" s="5"/>
    </row>
    <row r="9130" spans="3:11" x14ac:dyDescent="0.35">
      <c r="C9130" s="112"/>
      <c r="D9130" s="5"/>
      <c r="E9130" s="5"/>
      <c r="F9130" s="5"/>
      <c r="G9130" s="5"/>
      <c r="H9130" s="5"/>
      <c r="I9130" s="5"/>
      <c r="J9130" s="5"/>
      <c r="K9130" s="5"/>
    </row>
    <row r="9131" spans="3:11" x14ac:dyDescent="0.35">
      <c r="C9131" s="112"/>
      <c r="D9131" s="5"/>
      <c r="E9131" s="5"/>
      <c r="F9131" s="5"/>
      <c r="G9131" s="5"/>
      <c r="H9131" s="5"/>
      <c r="I9131" s="5"/>
      <c r="J9131" s="5"/>
      <c r="K9131" s="5"/>
    </row>
    <row r="9132" spans="3:11" x14ac:dyDescent="0.35">
      <c r="C9132" s="112"/>
      <c r="D9132" s="5"/>
      <c r="E9132" s="5"/>
      <c r="F9132" s="5"/>
      <c r="G9132" s="5"/>
      <c r="H9132" s="5"/>
      <c r="I9132" s="5"/>
      <c r="J9132" s="5"/>
      <c r="K9132" s="5"/>
    </row>
    <row r="9133" spans="3:11" x14ac:dyDescent="0.35">
      <c r="C9133" s="112"/>
      <c r="D9133" s="5"/>
      <c r="E9133" s="5"/>
      <c r="F9133" s="5"/>
      <c r="G9133" s="5"/>
      <c r="H9133" s="5"/>
      <c r="I9133" s="5"/>
      <c r="J9133" s="5"/>
      <c r="K9133" s="5"/>
    </row>
    <row r="9134" spans="3:11" x14ac:dyDescent="0.35">
      <c r="C9134" s="112"/>
      <c r="D9134" s="5"/>
      <c r="E9134" s="5"/>
      <c r="F9134" s="5"/>
      <c r="G9134" s="5"/>
      <c r="H9134" s="5"/>
      <c r="I9134" s="5"/>
      <c r="J9134" s="5"/>
      <c r="K9134" s="5"/>
    </row>
    <row r="9135" spans="3:11" x14ac:dyDescent="0.35">
      <c r="C9135" s="112"/>
      <c r="D9135" s="5"/>
      <c r="E9135" s="5"/>
      <c r="F9135" s="5"/>
      <c r="G9135" s="5"/>
      <c r="H9135" s="5"/>
      <c r="I9135" s="5"/>
      <c r="J9135" s="5"/>
      <c r="K9135" s="5"/>
    </row>
    <row r="9136" spans="3:11" x14ac:dyDescent="0.35">
      <c r="C9136" s="112"/>
      <c r="D9136" s="5"/>
      <c r="E9136" s="5"/>
      <c r="F9136" s="5"/>
      <c r="G9136" s="5"/>
      <c r="H9136" s="5"/>
      <c r="I9136" s="5"/>
      <c r="J9136" s="5"/>
      <c r="K9136" s="5"/>
    </row>
    <row r="9137" spans="3:11" x14ac:dyDescent="0.35">
      <c r="C9137" s="112"/>
      <c r="D9137" s="5"/>
      <c r="E9137" s="5"/>
      <c r="F9137" s="5"/>
      <c r="G9137" s="5"/>
      <c r="H9137" s="5"/>
      <c r="I9137" s="5"/>
      <c r="J9137" s="5"/>
      <c r="K9137" s="5"/>
    </row>
    <row r="9138" spans="3:11" x14ac:dyDescent="0.35">
      <c r="C9138" s="112"/>
      <c r="D9138" s="5"/>
      <c r="E9138" s="5"/>
      <c r="F9138" s="5"/>
      <c r="G9138" s="5"/>
      <c r="H9138" s="5"/>
      <c r="I9138" s="5"/>
      <c r="J9138" s="5"/>
      <c r="K9138" s="5"/>
    </row>
    <row r="9139" spans="3:11" x14ac:dyDescent="0.35">
      <c r="C9139" s="112"/>
      <c r="D9139" s="5"/>
      <c r="E9139" s="5"/>
      <c r="F9139" s="5"/>
      <c r="G9139" s="5"/>
      <c r="H9139" s="5"/>
      <c r="I9139" s="5"/>
      <c r="J9139" s="5"/>
      <c r="K9139" s="5"/>
    </row>
    <row r="9140" spans="3:11" x14ac:dyDescent="0.35">
      <c r="C9140" s="112"/>
      <c r="D9140" s="5"/>
      <c r="E9140" s="5"/>
      <c r="F9140" s="5"/>
      <c r="G9140" s="5"/>
      <c r="H9140" s="5"/>
      <c r="I9140" s="5"/>
      <c r="J9140" s="5"/>
      <c r="K9140" s="5"/>
    </row>
    <row r="9141" spans="3:11" x14ac:dyDescent="0.35">
      <c r="C9141" s="112"/>
      <c r="D9141" s="5"/>
      <c r="E9141" s="5"/>
      <c r="F9141" s="5"/>
      <c r="G9141" s="5"/>
      <c r="H9141" s="5"/>
      <c r="I9141" s="5"/>
      <c r="J9141" s="5"/>
      <c r="K9141" s="5"/>
    </row>
    <row r="9142" spans="3:11" x14ac:dyDescent="0.35">
      <c r="C9142" s="112"/>
      <c r="D9142" s="5"/>
      <c r="E9142" s="5"/>
      <c r="F9142" s="5"/>
      <c r="G9142" s="5"/>
      <c r="H9142" s="5"/>
      <c r="I9142" s="5"/>
      <c r="J9142" s="5"/>
      <c r="K9142" s="5"/>
    </row>
    <row r="9143" spans="3:11" x14ac:dyDescent="0.35">
      <c r="C9143" s="112"/>
      <c r="D9143" s="5"/>
      <c r="E9143" s="5"/>
      <c r="F9143" s="5"/>
      <c r="G9143" s="5"/>
      <c r="H9143" s="5"/>
      <c r="I9143" s="5"/>
      <c r="J9143" s="5"/>
      <c r="K9143" s="5"/>
    </row>
    <row r="9144" spans="3:11" x14ac:dyDescent="0.35">
      <c r="C9144" s="112"/>
      <c r="D9144" s="5"/>
      <c r="E9144" s="5"/>
      <c r="F9144" s="5"/>
      <c r="G9144" s="5"/>
      <c r="H9144" s="5"/>
      <c r="I9144" s="5"/>
      <c r="J9144" s="5"/>
      <c r="K9144" s="5"/>
    </row>
    <row r="9145" spans="3:11" x14ac:dyDescent="0.35">
      <c r="C9145" s="112"/>
      <c r="D9145" s="5"/>
      <c r="E9145" s="5"/>
      <c r="F9145" s="5"/>
      <c r="G9145" s="5"/>
      <c r="H9145" s="5"/>
      <c r="I9145" s="5"/>
      <c r="J9145" s="5"/>
      <c r="K9145" s="5"/>
    </row>
    <row r="9146" spans="3:11" x14ac:dyDescent="0.35">
      <c r="C9146" s="112"/>
      <c r="D9146" s="5"/>
      <c r="E9146" s="5"/>
      <c r="F9146" s="5"/>
      <c r="G9146" s="5"/>
      <c r="H9146" s="5"/>
      <c r="I9146" s="5"/>
      <c r="J9146" s="5"/>
      <c r="K9146" s="5"/>
    </row>
    <row r="9147" spans="3:11" x14ac:dyDescent="0.35">
      <c r="C9147" s="112"/>
      <c r="D9147" s="5"/>
      <c r="E9147" s="5"/>
      <c r="F9147" s="5"/>
      <c r="G9147" s="5"/>
      <c r="H9147" s="5"/>
      <c r="I9147" s="5"/>
      <c r="J9147" s="5"/>
      <c r="K9147" s="5"/>
    </row>
    <row r="9148" spans="3:11" x14ac:dyDescent="0.35">
      <c r="C9148" s="112"/>
      <c r="D9148" s="5"/>
      <c r="E9148" s="5"/>
      <c r="F9148" s="5"/>
      <c r="G9148" s="5"/>
      <c r="H9148" s="5"/>
      <c r="I9148" s="5"/>
      <c r="J9148" s="5"/>
      <c r="K9148" s="5"/>
    </row>
    <row r="9149" spans="3:11" x14ac:dyDescent="0.35">
      <c r="C9149" s="112"/>
      <c r="D9149" s="5"/>
      <c r="E9149" s="5"/>
      <c r="F9149" s="5"/>
      <c r="G9149" s="5"/>
      <c r="H9149" s="5"/>
      <c r="I9149" s="5"/>
      <c r="J9149" s="5"/>
      <c r="K9149" s="5"/>
    </row>
    <row r="9150" spans="3:11" x14ac:dyDescent="0.35">
      <c r="C9150" s="112"/>
      <c r="D9150" s="5"/>
      <c r="E9150" s="5"/>
      <c r="F9150" s="5"/>
      <c r="G9150" s="5"/>
      <c r="H9150" s="5"/>
      <c r="I9150" s="5"/>
      <c r="J9150" s="5"/>
      <c r="K9150" s="5"/>
    </row>
    <row r="9151" spans="3:11" x14ac:dyDescent="0.35">
      <c r="C9151" s="112"/>
      <c r="D9151" s="5"/>
      <c r="E9151" s="5"/>
      <c r="F9151" s="5"/>
      <c r="G9151" s="5"/>
      <c r="H9151" s="5"/>
      <c r="I9151" s="5"/>
      <c r="J9151" s="5"/>
      <c r="K9151" s="5"/>
    </row>
    <row r="9152" spans="3:11" x14ac:dyDescent="0.35">
      <c r="C9152" s="112"/>
      <c r="D9152" s="5"/>
      <c r="E9152" s="5"/>
      <c r="F9152" s="5"/>
      <c r="G9152" s="5"/>
      <c r="H9152" s="5"/>
      <c r="I9152" s="5"/>
      <c r="J9152" s="5"/>
      <c r="K9152" s="5"/>
    </row>
    <row r="9153" spans="3:11" x14ac:dyDescent="0.35">
      <c r="C9153" s="112"/>
      <c r="D9153" s="5"/>
      <c r="E9153" s="5"/>
      <c r="F9153" s="5"/>
      <c r="G9153" s="5"/>
      <c r="H9153" s="5"/>
      <c r="I9153" s="5"/>
      <c r="J9153" s="5"/>
      <c r="K9153" s="5"/>
    </row>
    <row r="9154" spans="3:11" x14ac:dyDescent="0.35">
      <c r="C9154" s="112"/>
      <c r="D9154" s="5"/>
      <c r="E9154" s="5"/>
      <c r="F9154" s="5"/>
      <c r="G9154" s="5"/>
      <c r="H9154" s="5"/>
      <c r="I9154" s="5"/>
      <c r="J9154" s="5"/>
      <c r="K9154" s="5"/>
    </row>
    <row r="9155" spans="3:11" x14ac:dyDescent="0.35">
      <c r="C9155" s="112"/>
      <c r="D9155" s="5"/>
      <c r="E9155" s="5"/>
      <c r="F9155" s="5"/>
      <c r="G9155" s="5"/>
      <c r="H9155" s="5"/>
      <c r="I9155" s="5"/>
      <c r="J9155" s="5"/>
      <c r="K9155" s="5"/>
    </row>
    <row r="9156" spans="3:11" x14ac:dyDescent="0.35">
      <c r="C9156" s="112"/>
      <c r="D9156" s="5"/>
      <c r="E9156" s="5"/>
      <c r="F9156" s="5"/>
      <c r="G9156" s="5"/>
      <c r="H9156" s="5"/>
      <c r="I9156" s="5"/>
      <c r="J9156" s="5"/>
      <c r="K9156" s="5"/>
    </row>
    <row r="9157" spans="3:11" x14ac:dyDescent="0.35">
      <c r="C9157" s="112"/>
      <c r="D9157" s="5"/>
      <c r="E9157" s="5"/>
      <c r="F9157" s="5"/>
      <c r="G9157" s="5"/>
      <c r="H9157" s="5"/>
      <c r="I9157" s="5"/>
      <c r="J9157" s="5"/>
      <c r="K9157" s="5"/>
    </row>
    <row r="9158" spans="3:11" x14ac:dyDescent="0.35">
      <c r="C9158" s="112"/>
      <c r="D9158" s="5"/>
      <c r="E9158" s="5"/>
      <c r="F9158" s="5"/>
      <c r="G9158" s="5"/>
      <c r="H9158" s="5"/>
      <c r="I9158" s="5"/>
      <c r="J9158" s="5"/>
      <c r="K9158" s="5"/>
    </row>
    <row r="9159" spans="3:11" x14ac:dyDescent="0.35">
      <c r="C9159" s="112"/>
      <c r="D9159" s="5"/>
      <c r="E9159" s="5"/>
      <c r="F9159" s="5"/>
      <c r="G9159" s="5"/>
      <c r="H9159" s="5"/>
      <c r="I9159" s="5"/>
      <c r="J9159" s="5"/>
      <c r="K9159" s="5"/>
    </row>
    <row r="9160" spans="3:11" x14ac:dyDescent="0.35">
      <c r="C9160" s="112"/>
      <c r="D9160" s="5"/>
      <c r="E9160" s="5"/>
      <c r="F9160" s="5"/>
      <c r="G9160" s="5"/>
      <c r="H9160" s="5"/>
      <c r="I9160" s="5"/>
      <c r="J9160" s="5"/>
      <c r="K9160" s="5"/>
    </row>
    <row r="9161" spans="3:11" x14ac:dyDescent="0.35">
      <c r="C9161" s="112"/>
      <c r="D9161" s="5"/>
      <c r="E9161" s="5"/>
      <c r="F9161" s="5"/>
      <c r="G9161" s="5"/>
      <c r="H9161" s="5"/>
      <c r="I9161" s="5"/>
      <c r="J9161" s="5"/>
      <c r="K9161" s="5"/>
    </row>
    <row r="9162" spans="3:11" x14ac:dyDescent="0.35">
      <c r="C9162" s="112"/>
      <c r="D9162" s="5"/>
      <c r="E9162" s="5"/>
      <c r="F9162" s="5"/>
      <c r="G9162" s="5"/>
      <c r="H9162" s="5"/>
      <c r="I9162" s="5"/>
      <c r="J9162" s="5"/>
      <c r="K9162" s="5"/>
    </row>
    <row r="9163" spans="3:11" x14ac:dyDescent="0.35">
      <c r="C9163" s="112"/>
      <c r="D9163" s="5"/>
      <c r="E9163" s="5"/>
      <c r="F9163" s="5"/>
      <c r="G9163" s="5"/>
      <c r="H9163" s="5"/>
      <c r="I9163" s="5"/>
      <c r="J9163" s="5"/>
      <c r="K9163" s="5"/>
    </row>
    <row r="9164" spans="3:11" x14ac:dyDescent="0.35">
      <c r="C9164" s="112"/>
      <c r="D9164" s="5"/>
      <c r="E9164" s="5"/>
      <c r="F9164" s="5"/>
      <c r="G9164" s="5"/>
      <c r="H9164" s="5"/>
      <c r="I9164" s="5"/>
      <c r="J9164" s="5"/>
      <c r="K9164" s="5"/>
    </row>
    <row r="9165" spans="3:11" x14ac:dyDescent="0.35">
      <c r="C9165" s="112"/>
      <c r="D9165" s="5"/>
      <c r="E9165" s="5"/>
      <c r="F9165" s="5"/>
      <c r="G9165" s="5"/>
      <c r="H9165" s="5"/>
      <c r="I9165" s="5"/>
      <c r="J9165" s="5"/>
      <c r="K9165" s="5"/>
    </row>
    <row r="9166" spans="3:11" x14ac:dyDescent="0.35">
      <c r="C9166" s="112"/>
      <c r="D9166" s="5"/>
      <c r="E9166" s="5"/>
      <c r="F9166" s="5"/>
      <c r="G9166" s="5"/>
      <c r="H9166" s="5"/>
      <c r="I9166" s="5"/>
      <c r="J9166" s="5"/>
      <c r="K9166" s="5"/>
    </row>
    <row r="9167" spans="3:11" x14ac:dyDescent="0.35">
      <c r="C9167" s="112"/>
      <c r="D9167" s="5"/>
      <c r="E9167" s="5"/>
      <c r="F9167" s="5"/>
      <c r="G9167" s="5"/>
      <c r="H9167" s="5"/>
      <c r="I9167" s="5"/>
      <c r="J9167" s="5"/>
      <c r="K9167" s="5"/>
    </row>
    <row r="9168" spans="3:11" x14ac:dyDescent="0.35">
      <c r="C9168" s="112"/>
      <c r="D9168" s="5"/>
      <c r="E9168" s="5"/>
      <c r="F9168" s="5"/>
      <c r="G9168" s="5"/>
      <c r="H9168" s="5"/>
      <c r="I9168" s="5"/>
      <c r="J9168" s="5"/>
      <c r="K9168" s="5"/>
    </row>
    <row r="9169" spans="3:11" x14ac:dyDescent="0.35">
      <c r="C9169" s="112"/>
      <c r="D9169" s="5"/>
      <c r="E9169" s="5"/>
      <c r="F9169" s="5"/>
      <c r="G9169" s="5"/>
      <c r="H9169" s="5"/>
      <c r="I9169" s="5"/>
      <c r="J9169" s="5"/>
      <c r="K9169" s="5"/>
    </row>
    <row r="9170" spans="3:11" x14ac:dyDescent="0.35">
      <c r="C9170" s="112"/>
      <c r="D9170" s="5"/>
      <c r="E9170" s="5"/>
      <c r="F9170" s="5"/>
      <c r="G9170" s="5"/>
      <c r="H9170" s="5"/>
      <c r="I9170" s="5"/>
      <c r="J9170" s="5"/>
      <c r="K9170" s="5"/>
    </row>
    <row r="9171" spans="3:11" x14ac:dyDescent="0.35">
      <c r="C9171" s="112"/>
      <c r="D9171" s="5"/>
      <c r="E9171" s="5"/>
      <c r="F9171" s="5"/>
      <c r="G9171" s="5"/>
      <c r="H9171" s="5"/>
      <c r="I9171" s="5"/>
      <c r="J9171" s="5"/>
      <c r="K9171" s="5"/>
    </row>
    <row r="9172" spans="3:11" x14ac:dyDescent="0.35">
      <c r="C9172" s="112"/>
      <c r="D9172" s="5"/>
      <c r="E9172" s="5"/>
      <c r="F9172" s="5"/>
      <c r="G9172" s="5"/>
      <c r="H9172" s="5"/>
      <c r="I9172" s="5"/>
      <c r="J9172" s="5"/>
      <c r="K9172" s="5"/>
    </row>
    <row r="9173" spans="3:11" x14ac:dyDescent="0.35">
      <c r="C9173" s="112"/>
      <c r="D9173" s="5"/>
      <c r="E9173" s="5"/>
      <c r="F9173" s="5"/>
      <c r="G9173" s="5"/>
      <c r="H9173" s="5"/>
      <c r="I9173" s="5"/>
      <c r="J9173" s="5"/>
      <c r="K9173" s="5"/>
    </row>
    <row r="9174" spans="3:11" x14ac:dyDescent="0.35">
      <c r="C9174" s="112"/>
      <c r="D9174" s="5"/>
      <c r="E9174" s="5"/>
      <c r="F9174" s="5"/>
      <c r="G9174" s="5"/>
      <c r="H9174" s="5"/>
      <c r="I9174" s="5"/>
      <c r="J9174" s="5"/>
      <c r="K9174" s="5"/>
    </row>
    <row r="9175" spans="3:11" x14ac:dyDescent="0.35">
      <c r="C9175" s="112"/>
      <c r="D9175" s="5"/>
      <c r="E9175" s="5"/>
      <c r="F9175" s="5"/>
      <c r="G9175" s="5"/>
      <c r="H9175" s="5"/>
      <c r="I9175" s="5"/>
      <c r="J9175" s="5"/>
      <c r="K9175" s="5"/>
    </row>
    <row r="9176" spans="3:11" x14ac:dyDescent="0.35">
      <c r="C9176" s="112"/>
      <c r="D9176" s="5"/>
      <c r="E9176" s="5"/>
      <c r="F9176" s="5"/>
      <c r="G9176" s="5"/>
      <c r="H9176" s="5"/>
      <c r="I9176" s="5"/>
      <c r="J9176" s="5"/>
      <c r="K9176" s="5"/>
    </row>
    <row r="9177" spans="3:11" x14ac:dyDescent="0.35">
      <c r="C9177" s="112"/>
      <c r="D9177" s="5"/>
      <c r="E9177" s="5"/>
      <c r="F9177" s="5"/>
      <c r="G9177" s="5"/>
      <c r="H9177" s="5"/>
      <c r="I9177" s="5"/>
      <c r="J9177" s="5"/>
      <c r="K9177" s="5"/>
    </row>
    <row r="9178" spans="3:11" x14ac:dyDescent="0.35">
      <c r="C9178" s="112"/>
      <c r="D9178" s="5"/>
      <c r="E9178" s="5"/>
      <c r="F9178" s="5"/>
      <c r="G9178" s="5"/>
      <c r="H9178" s="5"/>
      <c r="I9178" s="5"/>
      <c r="J9178" s="5"/>
      <c r="K9178" s="5"/>
    </row>
    <row r="9179" spans="3:11" x14ac:dyDescent="0.35">
      <c r="C9179" s="112"/>
      <c r="D9179" s="5"/>
      <c r="E9179" s="5"/>
      <c r="F9179" s="5"/>
      <c r="G9179" s="5"/>
      <c r="H9179" s="5"/>
      <c r="I9179" s="5"/>
      <c r="J9179" s="5"/>
      <c r="K9179" s="5"/>
    </row>
    <row r="9180" spans="3:11" x14ac:dyDescent="0.35">
      <c r="C9180" s="112"/>
      <c r="D9180" s="5"/>
      <c r="E9180" s="5"/>
      <c r="F9180" s="5"/>
      <c r="G9180" s="5"/>
      <c r="H9180" s="5"/>
      <c r="I9180" s="5"/>
      <c r="J9180" s="5"/>
      <c r="K9180" s="5"/>
    </row>
    <row r="9181" spans="3:11" x14ac:dyDescent="0.35">
      <c r="C9181" s="112"/>
      <c r="D9181" s="5"/>
      <c r="E9181" s="5"/>
      <c r="F9181" s="5"/>
      <c r="G9181" s="5"/>
      <c r="H9181" s="5"/>
      <c r="I9181" s="5"/>
      <c r="J9181" s="5"/>
      <c r="K9181" s="5"/>
    </row>
    <row r="9182" spans="3:11" x14ac:dyDescent="0.35">
      <c r="C9182" s="112"/>
      <c r="D9182" s="5"/>
      <c r="E9182" s="5"/>
      <c r="F9182" s="5"/>
      <c r="G9182" s="5"/>
      <c r="H9182" s="5"/>
      <c r="I9182" s="5"/>
      <c r="J9182" s="5"/>
      <c r="K9182" s="5"/>
    </row>
    <row r="9183" spans="3:11" x14ac:dyDescent="0.35">
      <c r="C9183" s="112"/>
      <c r="D9183" s="5"/>
      <c r="E9183" s="5"/>
      <c r="F9183" s="5"/>
      <c r="G9183" s="5"/>
      <c r="H9183" s="5"/>
      <c r="I9183" s="5"/>
      <c r="J9183" s="5"/>
      <c r="K9183" s="5"/>
    </row>
    <row r="9184" spans="3:11" x14ac:dyDescent="0.35">
      <c r="C9184" s="112"/>
      <c r="D9184" s="5"/>
      <c r="E9184" s="5"/>
      <c r="F9184" s="5"/>
      <c r="G9184" s="5"/>
      <c r="H9184" s="5"/>
      <c r="I9184" s="5"/>
      <c r="J9184" s="5"/>
      <c r="K9184" s="5"/>
    </row>
    <row r="9185" spans="3:11" x14ac:dyDescent="0.35">
      <c r="C9185" s="112"/>
      <c r="D9185" s="5"/>
      <c r="E9185" s="5"/>
      <c r="F9185" s="5"/>
      <c r="G9185" s="5"/>
      <c r="H9185" s="5"/>
      <c r="I9185" s="5"/>
      <c r="J9185" s="5"/>
      <c r="K9185" s="5"/>
    </row>
    <row r="9186" spans="3:11" x14ac:dyDescent="0.35">
      <c r="C9186" s="112"/>
      <c r="D9186" s="5"/>
      <c r="E9186" s="5"/>
      <c r="F9186" s="5"/>
      <c r="G9186" s="5"/>
      <c r="H9186" s="5"/>
      <c r="I9186" s="5"/>
      <c r="J9186" s="5"/>
      <c r="K9186" s="5"/>
    </row>
    <row r="9187" spans="3:11" x14ac:dyDescent="0.35">
      <c r="C9187" s="112"/>
      <c r="D9187" s="5"/>
      <c r="E9187" s="5"/>
      <c r="F9187" s="5"/>
      <c r="G9187" s="5"/>
      <c r="H9187" s="5"/>
      <c r="I9187" s="5"/>
      <c r="J9187" s="5"/>
      <c r="K9187" s="5"/>
    </row>
    <row r="9188" spans="3:11" x14ac:dyDescent="0.35">
      <c r="C9188" s="112"/>
      <c r="D9188" s="5"/>
      <c r="E9188" s="5"/>
      <c r="F9188" s="5"/>
      <c r="G9188" s="5"/>
      <c r="H9188" s="5"/>
      <c r="I9188" s="5"/>
      <c r="J9188" s="5"/>
      <c r="K9188" s="5"/>
    </row>
    <row r="9189" spans="3:11" x14ac:dyDescent="0.35">
      <c r="C9189" s="112"/>
      <c r="D9189" s="5"/>
      <c r="E9189" s="5"/>
      <c r="F9189" s="5"/>
      <c r="G9189" s="5"/>
      <c r="H9189" s="5"/>
      <c r="I9189" s="5"/>
      <c r="J9189" s="5"/>
      <c r="K9189" s="5"/>
    </row>
    <row r="9190" spans="3:11" x14ac:dyDescent="0.35">
      <c r="C9190" s="112"/>
      <c r="D9190" s="5"/>
      <c r="E9190" s="5"/>
      <c r="F9190" s="5"/>
      <c r="G9190" s="5"/>
      <c r="H9190" s="5"/>
      <c r="I9190" s="5"/>
      <c r="J9190" s="5"/>
      <c r="K9190" s="5"/>
    </row>
    <row r="9191" spans="3:11" x14ac:dyDescent="0.35">
      <c r="C9191" s="112"/>
      <c r="D9191" s="5"/>
      <c r="E9191" s="5"/>
      <c r="F9191" s="5"/>
      <c r="G9191" s="5"/>
      <c r="H9191" s="5"/>
      <c r="I9191" s="5"/>
      <c r="J9191" s="5"/>
      <c r="K9191" s="5"/>
    </row>
    <row r="9192" spans="3:11" x14ac:dyDescent="0.35">
      <c r="C9192" s="112"/>
      <c r="D9192" s="5"/>
      <c r="E9192" s="5"/>
      <c r="F9192" s="5"/>
      <c r="G9192" s="5"/>
      <c r="H9192" s="5"/>
      <c r="I9192" s="5"/>
      <c r="J9192" s="5"/>
      <c r="K9192" s="5"/>
    </row>
    <row r="9193" spans="3:11" x14ac:dyDescent="0.35">
      <c r="C9193" s="112"/>
      <c r="D9193" s="5"/>
      <c r="E9193" s="5"/>
      <c r="F9193" s="5"/>
      <c r="G9193" s="5"/>
      <c r="H9193" s="5"/>
      <c r="I9193" s="5"/>
      <c r="J9193" s="5"/>
      <c r="K9193" s="5"/>
    </row>
    <row r="9194" spans="3:11" x14ac:dyDescent="0.35">
      <c r="C9194" s="112"/>
      <c r="D9194" s="5"/>
      <c r="E9194" s="5"/>
      <c r="F9194" s="5"/>
      <c r="G9194" s="5"/>
      <c r="H9194" s="5"/>
      <c r="I9194" s="5"/>
      <c r="J9194" s="5"/>
      <c r="K9194" s="5"/>
    </row>
    <row r="9195" spans="3:11" x14ac:dyDescent="0.35">
      <c r="C9195" s="112"/>
      <c r="D9195" s="5"/>
      <c r="E9195" s="5"/>
      <c r="F9195" s="5"/>
      <c r="G9195" s="5"/>
      <c r="H9195" s="5"/>
      <c r="I9195" s="5"/>
      <c r="J9195" s="5"/>
      <c r="K9195" s="5"/>
    </row>
    <row r="9196" spans="3:11" x14ac:dyDescent="0.35">
      <c r="C9196" s="112"/>
      <c r="D9196" s="5"/>
      <c r="E9196" s="5"/>
      <c r="F9196" s="5"/>
      <c r="G9196" s="5"/>
      <c r="H9196" s="5"/>
      <c r="I9196" s="5"/>
      <c r="J9196" s="5"/>
      <c r="K9196" s="5"/>
    </row>
    <row r="9197" spans="3:11" x14ac:dyDescent="0.35">
      <c r="C9197" s="112"/>
      <c r="D9197" s="5"/>
      <c r="E9197" s="5"/>
      <c r="F9197" s="5"/>
      <c r="G9197" s="5"/>
      <c r="H9197" s="5"/>
      <c r="I9197" s="5"/>
      <c r="J9197" s="5"/>
      <c r="K9197" s="5"/>
    </row>
    <row r="9198" spans="3:11" x14ac:dyDescent="0.35">
      <c r="C9198" s="112"/>
      <c r="D9198" s="5"/>
      <c r="E9198" s="5"/>
      <c r="F9198" s="5"/>
      <c r="G9198" s="5"/>
      <c r="H9198" s="5"/>
      <c r="I9198" s="5"/>
      <c r="J9198" s="5"/>
      <c r="K9198" s="5"/>
    </row>
    <row r="9199" spans="3:11" x14ac:dyDescent="0.35">
      <c r="C9199" s="112"/>
      <c r="D9199" s="5"/>
      <c r="E9199" s="5"/>
      <c r="F9199" s="5"/>
      <c r="G9199" s="5"/>
      <c r="H9199" s="5"/>
      <c r="I9199" s="5"/>
      <c r="J9199" s="5"/>
      <c r="K9199" s="5"/>
    </row>
    <row r="9200" spans="3:11" x14ac:dyDescent="0.35">
      <c r="C9200" s="112"/>
      <c r="D9200" s="5"/>
      <c r="E9200" s="5"/>
      <c r="F9200" s="5"/>
      <c r="G9200" s="5"/>
      <c r="H9200" s="5"/>
      <c r="I9200" s="5"/>
      <c r="J9200" s="5"/>
      <c r="K9200" s="5"/>
    </row>
    <row r="9201" spans="3:11" x14ac:dyDescent="0.35">
      <c r="C9201" s="112"/>
      <c r="D9201" s="5"/>
      <c r="E9201" s="5"/>
      <c r="F9201" s="5"/>
      <c r="G9201" s="5"/>
      <c r="H9201" s="5"/>
      <c r="I9201" s="5"/>
      <c r="J9201" s="5"/>
      <c r="K9201" s="5"/>
    </row>
    <row r="9202" spans="3:11" x14ac:dyDescent="0.35">
      <c r="C9202" s="112"/>
      <c r="D9202" s="5"/>
      <c r="E9202" s="5"/>
      <c r="F9202" s="5"/>
      <c r="G9202" s="5"/>
      <c r="H9202" s="5"/>
      <c r="I9202" s="5"/>
      <c r="J9202" s="5"/>
      <c r="K9202" s="5"/>
    </row>
    <row r="9203" spans="3:11" x14ac:dyDescent="0.35">
      <c r="C9203" s="112"/>
      <c r="D9203" s="5"/>
      <c r="E9203" s="5"/>
      <c r="F9203" s="5"/>
      <c r="G9203" s="5"/>
      <c r="H9203" s="5"/>
      <c r="I9203" s="5"/>
      <c r="J9203" s="5"/>
      <c r="K9203" s="5"/>
    </row>
    <row r="9204" spans="3:11" x14ac:dyDescent="0.35">
      <c r="C9204" s="112"/>
      <c r="D9204" s="5"/>
      <c r="E9204" s="5"/>
      <c r="F9204" s="5"/>
      <c r="G9204" s="5"/>
      <c r="H9204" s="5"/>
      <c r="I9204" s="5"/>
      <c r="J9204" s="5"/>
      <c r="K9204" s="5"/>
    </row>
    <row r="9205" spans="3:11" x14ac:dyDescent="0.35">
      <c r="C9205" s="112"/>
      <c r="D9205" s="5"/>
      <c r="E9205" s="5"/>
      <c r="F9205" s="5"/>
      <c r="G9205" s="5"/>
      <c r="H9205" s="5"/>
      <c r="I9205" s="5"/>
      <c r="J9205" s="5"/>
      <c r="K9205" s="5"/>
    </row>
    <row r="9206" spans="3:11" x14ac:dyDescent="0.35">
      <c r="C9206" s="112"/>
      <c r="D9206" s="5"/>
      <c r="E9206" s="5"/>
      <c r="F9206" s="5"/>
      <c r="G9206" s="5"/>
      <c r="H9206" s="5"/>
      <c r="I9206" s="5"/>
      <c r="J9206" s="5"/>
      <c r="K9206" s="5"/>
    </row>
    <row r="9207" spans="3:11" x14ac:dyDescent="0.35">
      <c r="C9207" s="112"/>
      <c r="D9207" s="5"/>
      <c r="E9207" s="5"/>
      <c r="F9207" s="5"/>
      <c r="G9207" s="5"/>
      <c r="H9207" s="5"/>
      <c r="I9207" s="5"/>
      <c r="J9207" s="5"/>
      <c r="K9207" s="5"/>
    </row>
    <row r="9208" spans="3:11" x14ac:dyDescent="0.35">
      <c r="C9208" s="112"/>
      <c r="D9208" s="5"/>
      <c r="E9208" s="5"/>
      <c r="F9208" s="5"/>
      <c r="G9208" s="5"/>
      <c r="H9208" s="5"/>
      <c r="I9208" s="5"/>
      <c r="J9208" s="5"/>
      <c r="K9208" s="5"/>
    </row>
    <row r="9209" spans="3:11" x14ac:dyDescent="0.35">
      <c r="C9209" s="112"/>
      <c r="D9209" s="5"/>
      <c r="E9209" s="5"/>
      <c r="F9209" s="5"/>
      <c r="G9209" s="5"/>
      <c r="H9209" s="5"/>
      <c r="I9209" s="5"/>
      <c r="J9209" s="5"/>
      <c r="K9209" s="5"/>
    </row>
    <row r="9210" spans="3:11" x14ac:dyDescent="0.35">
      <c r="C9210" s="112"/>
      <c r="D9210" s="5"/>
      <c r="E9210" s="5"/>
      <c r="F9210" s="5"/>
      <c r="G9210" s="5"/>
      <c r="H9210" s="5"/>
      <c r="I9210" s="5"/>
      <c r="J9210" s="5"/>
      <c r="K9210" s="5"/>
    </row>
    <row r="9211" spans="3:11" x14ac:dyDescent="0.35">
      <c r="C9211" s="112"/>
      <c r="D9211" s="5"/>
      <c r="E9211" s="5"/>
      <c r="F9211" s="5"/>
      <c r="G9211" s="5"/>
      <c r="H9211" s="5"/>
      <c r="I9211" s="5"/>
      <c r="J9211" s="5"/>
      <c r="K9211" s="5"/>
    </row>
    <row r="9212" spans="3:11" x14ac:dyDescent="0.35">
      <c r="C9212" s="112"/>
      <c r="D9212" s="5"/>
      <c r="E9212" s="5"/>
      <c r="F9212" s="5"/>
      <c r="G9212" s="5"/>
      <c r="H9212" s="5"/>
      <c r="I9212" s="5"/>
      <c r="J9212" s="5"/>
      <c r="K9212" s="5"/>
    </row>
    <row r="9213" spans="3:11" x14ac:dyDescent="0.35">
      <c r="C9213" s="112"/>
      <c r="D9213" s="5"/>
      <c r="E9213" s="5"/>
      <c r="F9213" s="5"/>
      <c r="G9213" s="5"/>
      <c r="H9213" s="5"/>
      <c r="I9213" s="5"/>
      <c r="J9213" s="5"/>
      <c r="K9213" s="5"/>
    </row>
    <row r="9214" spans="3:11" x14ac:dyDescent="0.35">
      <c r="C9214" s="112"/>
      <c r="D9214" s="5"/>
      <c r="E9214" s="5"/>
      <c r="F9214" s="5"/>
      <c r="G9214" s="5"/>
      <c r="H9214" s="5"/>
      <c r="I9214" s="5"/>
      <c r="J9214" s="5"/>
      <c r="K9214" s="5"/>
    </row>
    <row r="9215" spans="3:11" x14ac:dyDescent="0.35">
      <c r="C9215" s="112"/>
      <c r="D9215" s="5"/>
      <c r="E9215" s="5"/>
      <c r="F9215" s="5"/>
      <c r="G9215" s="5"/>
      <c r="H9215" s="5"/>
      <c r="I9215" s="5"/>
      <c r="J9215" s="5"/>
      <c r="K9215" s="5"/>
    </row>
    <row r="9216" spans="3:11" x14ac:dyDescent="0.35">
      <c r="C9216" s="112"/>
      <c r="D9216" s="5"/>
      <c r="E9216" s="5"/>
      <c r="F9216" s="5"/>
      <c r="G9216" s="5"/>
      <c r="H9216" s="5"/>
      <c r="I9216" s="5"/>
      <c r="J9216" s="5"/>
      <c r="K9216" s="5"/>
    </row>
    <row r="9217" spans="3:11" x14ac:dyDescent="0.35">
      <c r="C9217" s="112"/>
      <c r="D9217" s="5"/>
      <c r="E9217" s="5"/>
      <c r="F9217" s="5"/>
      <c r="G9217" s="5"/>
      <c r="H9217" s="5"/>
      <c r="I9217" s="5"/>
      <c r="J9217" s="5"/>
      <c r="K9217" s="5"/>
    </row>
    <row r="9218" spans="3:11" x14ac:dyDescent="0.35">
      <c r="C9218" s="112"/>
      <c r="D9218" s="5"/>
      <c r="E9218" s="5"/>
      <c r="F9218" s="5"/>
      <c r="G9218" s="5"/>
      <c r="H9218" s="5"/>
      <c r="I9218" s="5"/>
      <c r="J9218" s="5"/>
      <c r="K9218" s="5"/>
    </row>
    <row r="9219" spans="3:11" x14ac:dyDescent="0.35">
      <c r="C9219" s="112"/>
      <c r="D9219" s="5"/>
      <c r="E9219" s="5"/>
      <c r="F9219" s="5"/>
      <c r="G9219" s="5"/>
      <c r="H9219" s="5"/>
      <c r="I9219" s="5"/>
      <c r="J9219" s="5"/>
      <c r="K9219" s="5"/>
    </row>
    <row r="9220" spans="3:11" x14ac:dyDescent="0.35">
      <c r="C9220" s="112"/>
      <c r="D9220" s="5"/>
      <c r="E9220" s="5"/>
      <c r="F9220" s="5"/>
      <c r="G9220" s="5"/>
      <c r="H9220" s="5"/>
      <c r="I9220" s="5"/>
      <c r="J9220" s="5"/>
      <c r="K9220" s="5"/>
    </row>
    <row r="9221" spans="3:11" x14ac:dyDescent="0.35">
      <c r="C9221" s="112"/>
      <c r="D9221" s="5"/>
      <c r="E9221" s="5"/>
      <c r="F9221" s="5"/>
      <c r="G9221" s="5"/>
      <c r="H9221" s="5"/>
      <c r="I9221" s="5"/>
      <c r="J9221" s="5"/>
      <c r="K9221" s="5"/>
    </row>
    <row r="9222" spans="3:11" x14ac:dyDescent="0.35">
      <c r="C9222" s="112"/>
      <c r="D9222" s="5"/>
      <c r="E9222" s="5"/>
      <c r="F9222" s="5"/>
      <c r="G9222" s="5"/>
      <c r="H9222" s="5"/>
      <c r="I9222" s="5"/>
      <c r="J9222" s="5"/>
      <c r="K9222" s="5"/>
    </row>
    <row r="9223" spans="3:11" x14ac:dyDescent="0.35">
      <c r="C9223" s="112"/>
      <c r="D9223" s="5"/>
      <c r="E9223" s="5"/>
      <c r="F9223" s="5"/>
      <c r="G9223" s="5"/>
      <c r="H9223" s="5"/>
      <c r="I9223" s="5"/>
      <c r="J9223" s="5"/>
      <c r="K9223" s="5"/>
    </row>
    <row r="9224" spans="3:11" x14ac:dyDescent="0.35">
      <c r="C9224" s="112"/>
      <c r="D9224" s="5"/>
      <c r="E9224" s="5"/>
      <c r="F9224" s="5"/>
      <c r="G9224" s="5"/>
      <c r="H9224" s="5"/>
      <c r="I9224" s="5"/>
      <c r="J9224" s="5"/>
      <c r="K9224" s="5"/>
    </row>
    <row r="9225" spans="3:11" x14ac:dyDescent="0.35">
      <c r="C9225" s="112"/>
      <c r="D9225" s="5"/>
      <c r="E9225" s="5"/>
      <c r="F9225" s="5"/>
      <c r="G9225" s="5"/>
      <c r="H9225" s="5"/>
      <c r="I9225" s="5"/>
      <c r="J9225" s="5"/>
      <c r="K9225" s="5"/>
    </row>
    <row r="9226" spans="3:11" x14ac:dyDescent="0.35">
      <c r="C9226" s="112"/>
      <c r="D9226" s="5"/>
      <c r="E9226" s="5"/>
      <c r="F9226" s="5"/>
      <c r="G9226" s="5"/>
      <c r="H9226" s="5"/>
      <c r="I9226" s="5"/>
      <c r="J9226" s="5"/>
      <c r="K9226" s="5"/>
    </row>
    <row r="9227" spans="3:11" x14ac:dyDescent="0.35">
      <c r="C9227" s="112"/>
      <c r="D9227" s="5"/>
      <c r="E9227" s="5"/>
      <c r="F9227" s="5"/>
      <c r="G9227" s="5"/>
      <c r="H9227" s="5"/>
      <c r="I9227" s="5"/>
      <c r="J9227" s="5"/>
      <c r="K9227" s="5"/>
    </row>
    <row r="9228" spans="3:11" x14ac:dyDescent="0.35">
      <c r="C9228" s="112"/>
      <c r="D9228" s="5"/>
      <c r="E9228" s="5"/>
      <c r="F9228" s="5"/>
      <c r="G9228" s="5"/>
      <c r="H9228" s="5"/>
      <c r="I9228" s="5"/>
      <c r="J9228" s="5"/>
      <c r="K9228" s="5"/>
    </row>
    <row r="9229" spans="3:11" x14ac:dyDescent="0.35">
      <c r="C9229" s="112"/>
      <c r="D9229" s="5"/>
      <c r="E9229" s="5"/>
      <c r="F9229" s="5"/>
      <c r="G9229" s="5"/>
      <c r="H9229" s="5"/>
      <c r="I9229" s="5"/>
      <c r="J9229" s="5"/>
      <c r="K9229" s="5"/>
    </row>
    <row r="9230" spans="3:11" x14ac:dyDescent="0.35">
      <c r="C9230" s="112"/>
      <c r="D9230" s="5"/>
      <c r="E9230" s="5"/>
      <c r="F9230" s="5"/>
      <c r="G9230" s="5"/>
      <c r="H9230" s="5"/>
      <c r="I9230" s="5"/>
      <c r="J9230" s="5"/>
      <c r="K9230" s="5"/>
    </row>
    <row r="9231" spans="3:11" x14ac:dyDescent="0.35">
      <c r="C9231" s="112"/>
      <c r="D9231" s="5"/>
      <c r="E9231" s="5"/>
      <c r="F9231" s="5"/>
      <c r="G9231" s="5"/>
      <c r="H9231" s="5"/>
      <c r="I9231" s="5"/>
      <c r="J9231" s="5"/>
      <c r="K9231" s="5"/>
    </row>
    <row r="9232" spans="3:11" x14ac:dyDescent="0.35">
      <c r="C9232" s="112"/>
      <c r="D9232" s="5"/>
      <c r="E9232" s="5"/>
      <c r="F9232" s="5"/>
      <c r="G9232" s="5"/>
      <c r="H9232" s="5"/>
      <c r="I9232" s="5"/>
      <c r="J9232" s="5"/>
      <c r="K9232" s="5"/>
    </row>
    <row r="9233" spans="3:11" x14ac:dyDescent="0.35">
      <c r="C9233" s="112"/>
      <c r="D9233" s="5"/>
      <c r="E9233" s="5"/>
      <c r="F9233" s="5"/>
      <c r="G9233" s="5"/>
      <c r="H9233" s="5"/>
      <c r="I9233" s="5"/>
      <c r="J9233" s="5"/>
      <c r="K9233" s="5"/>
    </row>
    <row r="9234" spans="3:11" x14ac:dyDescent="0.35">
      <c r="C9234" s="112"/>
      <c r="D9234" s="5"/>
      <c r="E9234" s="5"/>
      <c r="F9234" s="5"/>
      <c r="G9234" s="5"/>
      <c r="H9234" s="5"/>
      <c r="I9234" s="5"/>
      <c r="J9234" s="5"/>
      <c r="K9234" s="5"/>
    </row>
    <row r="9235" spans="3:11" x14ac:dyDescent="0.35">
      <c r="C9235" s="112"/>
      <c r="D9235" s="5"/>
      <c r="E9235" s="5"/>
      <c r="F9235" s="5"/>
      <c r="G9235" s="5"/>
      <c r="H9235" s="5"/>
      <c r="I9235" s="5"/>
      <c r="J9235" s="5"/>
      <c r="K9235" s="5"/>
    </row>
    <row r="9236" spans="3:11" x14ac:dyDescent="0.35">
      <c r="C9236" s="112"/>
      <c r="D9236" s="5"/>
      <c r="E9236" s="5"/>
      <c r="F9236" s="5"/>
      <c r="G9236" s="5"/>
      <c r="H9236" s="5"/>
      <c r="I9236" s="5"/>
      <c r="J9236" s="5"/>
      <c r="K9236" s="5"/>
    </row>
    <row r="9237" spans="3:11" x14ac:dyDescent="0.35">
      <c r="C9237" s="112"/>
      <c r="D9237" s="5"/>
      <c r="E9237" s="5"/>
      <c r="F9237" s="5"/>
      <c r="G9237" s="5"/>
      <c r="H9237" s="5"/>
      <c r="I9237" s="5"/>
      <c r="J9237" s="5"/>
      <c r="K9237" s="5"/>
    </row>
    <row r="9238" spans="3:11" x14ac:dyDescent="0.35">
      <c r="C9238" s="112"/>
      <c r="D9238" s="5"/>
      <c r="E9238" s="5"/>
      <c r="F9238" s="5"/>
      <c r="G9238" s="5"/>
      <c r="H9238" s="5"/>
      <c r="I9238" s="5"/>
      <c r="J9238" s="5"/>
      <c r="K9238" s="5"/>
    </row>
    <row r="9239" spans="3:11" x14ac:dyDescent="0.35">
      <c r="C9239" s="112"/>
      <c r="D9239" s="5"/>
      <c r="E9239" s="5"/>
      <c r="F9239" s="5"/>
      <c r="G9239" s="5"/>
      <c r="H9239" s="5"/>
      <c r="I9239" s="5"/>
      <c r="J9239" s="5"/>
      <c r="K9239" s="5"/>
    </row>
    <row r="9240" spans="3:11" x14ac:dyDescent="0.35">
      <c r="C9240" s="112"/>
      <c r="D9240" s="5"/>
      <c r="E9240" s="5"/>
      <c r="F9240" s="5"/>
      <c r="G9240" s="5"/>
      <c r="H9240" s="5"/>
      <c r="I9240" s="5"/>
      <c r="J9240" s="5"/>
      <c r="K9240" s="5"/>
    </row>
    <row r="9241" spans="3:11" x14ac:dyDescent="0.35">
      <c r="C9241" s="112"/>
      <c r="D9241" s="5"/>
      <c r="E9241" s="5"/>
      <c r="F9241" s="5"/>
      <c r="G9241" s="5"/>
      <c r="H9241" s="5"/>
      <c r="I9241" s="5"/>
      <c r="J9241" s="5"/>
      <c r="K9241" s="5"/>
    </row>
    <row r="9242" spans="3:11" x14ac:dyDescent="0.35">
      <c r="C9242" s="112"/>
      <c r="D9242" s="5"/>
      <c r="E9242" s="5"/>
      <c r="F9242" s="5"/>
      <c r="G9242" s="5"/>
      <c r="H9242" s="5"/>
      <c r="I9242" s="5"/>
      <c r="J9242" s="5"/>
      <c r="K9242" s="5"/>
    </row>
    <row r="9243" spans="3:11" x14ac:dyDescent="0.35">
      <c r="C9243" s="112"/>
      <c r="D9243" s="5"/>
      <c r="E9243" s="5"/>
      <c r="F9243" s="5"/>
      <c r="G9243" s="5"/>
      <c r="H9243" s="5"/>
      <c r="I9243" s="5"/>
      <c r="J9243" s="5"/>
      <c r="K9243" s="5"/>
    </row>
    <row r="9244" spans="3:11" x14ac:dyDescent="0.35">
      <c r="C9244" s="112"/>
      <c r="D9244" s="5"/>
      <c r="E9244" s="5"/>
      <c r="F9244" s="5"/>
      <c r="G9244" s="5"/>
      <c r="H9244" s="5"/>
      <c r="I9244" s="5"/>
      <c r="J9244" s="5"/>
      <c r="K9244" s="5"/>
    </row>
    <row r="9245" spans="3:11" x14ac:dyDescent="0.35">
      <c r="C9245" s="112"/>
      <c r="D9245" s="5"/>
      <c r="E9245" s="5"/>
      <c r="F9245" s="5"/>
      <c r="G9245" s="5"/>
      <c r="H9245" s="5"/>
      <c r="I9245" s="5"/>
      <c r="J9245" s="5"/>
      <c r="K9245" s="5"/>
    </row>
    <row r="9246" spans="3:11" x14ac:dyDescent="0.35">
      <c r="C9246" s="112"/>
      <c r="D9246" s="5"/>
      <c r="E9246" s="5"/>
      <c r="F9246" s="5"/>
      <c r="G9246" s="5"/>
      <c r="H9246" s="5"/>
      <c r="I9246" s="5"/>
      <c r="J9246" s="5"/>
      <c r="K9246" s="5"/>
    </row>
    <row r="9247" spans="3:11" x14ac:dyDescent="0.35">
      <c r="C9247" s="112"/>
      <c r="D9247" s="5"/>
      <c r="E9247" s="5"/>
      <c r="F9247" s="5"/>
      <c r="G9247" s="5"/>
      <c r="H9247" s="5"/>
      <c r="I9247" s="5"/>
      <c r="J9247" s="5"/>
      <c r="K9247" s="5"/>
    </row>
    <row r="9248" spans="3:11" x14ac:dyDescent="0.35">
      <c r="C9248" s="112"/>
      <c r="D9248" s="5"/>
      <c r="E9248" s="5"/>
      <c r="F9248" s="5"/>
      <c r="G9248" s="5"/>
      <c r="H9248" s="5"/>
      <c r="I9248" s="5"/>
      <c r="J9248" s="5"/>
      <c r="K9248" s="5"/>
    </row>
    <row r="9249" spans="3:11" x14ac:dyDescent="0.35">
      <c r="C9249" s="112"/>
      <c r="D9249" s="5"/>
      <c r="E9249" s="5"/>
      <c r="F9249" s="5"/>
      <c r="G9249" s="5"/>
      <c r="H9249" s="5"/>
      <c r="I9249" s="5"/>
      <c r="J9249" s="5"/>
      <c r="K9249" s="5"/>
    </row>
    <row r="9250" spans="3:11" x14ac:dyDescent="0.35">
      <c r="C9250" s="112"/>
      <c r="D9250" s="5"/>
      <c r="E9250" s="5"/>
      <c r="F9250" s="5"/>
      <c r="G9250" s="5"/>
      <c r="H9250" s="5"/>
      <c r="I9250" s="5"/>
      <c r="J9250" s="5"/>
      <c r="K9250" s="5"/>
    </row>
    <row r="9251" spans="3:11" x14ac:dyDescent="0.35">
      <c r="C9251" s="112"/>
      <c r="D9251" s="5"/>
      <c r="E9251" s="5"/>
      <c r="F9251" s="5"/>
      <c r="G9251" s="5"/>
      <c r="H9251" s="5"/>
      <c r="I9251" s="5"/>
      <c r="J9251" s="5"/>
      <c r="K9251" s="5"/>
    </row>
    <row r="9252" spans="3:11" x14ac:dyDescent="0.35">
      <c r="C9252" s="112"/>
      <c r="D9252" s="5"/>
      <c r="E9252" s="5"/>
      <c r="F9252" s="5"/>
      <c r="G9252" s="5"/>
      <c r="H9252" s="5"/>
      <c r="I9252" s="5"/>
      <c r="J9252" s="5"/>
      <c r="K9252" s="5"/>
    </row>
    <row r="9253" spans="3:11" x14ac:dyDescent="0.35">
      <c r="C9253" s="112"/>
      <c r="D9253" s="5"/>
      <c r="E9253" s="5"/>
      <c r="F9253" s="5"/>
      <c r="G9253" s="5"/>
      <c r="H9253" s="5"/>
      <c r="I9253" s="5"/>
      <c r="J9253" s="5"/>
      <c r="K9253" s="5"/>
    </row>
    <row r="9254" spans="3:11" x14ac:dyDescent="0.35">
      <c r="C9254" s="112"/>
      <c r="D9254" s="5"/>
      <c r="E9254" s="5"/>
      <c r="F9254" s="5"/>
      <c r="G9254" s="5"/>
      <c r="H9254" s="5"/>
      <c r="I9254" s="5"/>
      <c r="J9254" s="5"/>
      <c r="K9254" s="5"/>
    </row>
    <row r="9255" spans="3:11" x14ac:dyDescent="0.35">
      <c r="C9255" s="112"/>
      <c r="D9255" s="5"/>
      <c r="E9255" s="5"/>
      <c r="F9255" s="5"/>
      <c r="G9255" s="5"/>
      <c r="H9255" s="5"/>
      <c r="I9255" s="5"/>
      <c r="J9255" s="5"/>
      <c r="K9255" s="5"/>
    </row>
    <row r="9256" spans="3:11" x14ac:dyDescent="0.35">
      <c r="C9256" s="112"/>
      <c r="D9256" s="5"/>
      <c r="E9256" s="5"/>
      <c r="F9256" s="5"/>
      <c r="G9256" s="5"/>
      <c r="H9256" s="5"/>
      <c r="I9256" s="5"/>
      <c r="J9256" s="5"/>
      <c r="K9256" s="5"/>
    </row>
    <row r="9257" spans="3:11" x14ac:dyDescent="0.35">
      <c r="C9257" s="112"/>
      <c r="D9257" s="5"/>
      <c r="E9257" s="5"/>
      <c r="F9257" s="5"/>
      <c r="G9257" s="5"/>
      <c r="H9257" s="5"/>
      <c r="I9257" s="5"/>
      <c r="J9257" s="5"/>
      <c r="K9257" s="5"/>
    </row>
    <row r="9258" spans="3:11" x14ac:dyDescent="0.35">
      <c r="C9258" s="112"/>
      <c r="D9258" s="5"/>
      <c r="E9258" s="5"/>
      <c r="F9258" s="5"/>
      <c r="G9258" s="5"/>
      <c r="H9258" s="5"/>
      <c r="I9258" s="5"/>
      <c r="J9258" s="5"/>
      <c r="K9258" s="5"/>
    </row>
    <row r="9259" spans="3:11" x14ac:dyDescent="0.35">
      <c r="C9259" s="112"/>
      <c r="D9259" s="5"/>
      <c r="E9259" s="5"/>
      <c r="F9259" s="5"/>
      <c r="G9259" s="5"/>
      <c r="H9259" s="5"/>
      <c r="I9259" s="5"/>
      <c r="J9259" s="5"/>
      <c r="K9259" s="5"/>
    </row>
    <row r="9260" spans="3:11" x14ac:dyDescent="0.35">
      <c r="C9260" s="112"/>
      <c r="D9260" s="5"/>
      <c r="E9260" s="5"/>
      <c r="F9260" s="5"/>
      <c r="G9260" s="5"/>
      <c r="H9260" s="5"/>
      <c r="I9260" s="5"/>
      <c r="J9260" s="5"/>
      <c r="K9260" s="5"/>
    </row>
    <row r="9261" spans="3:11" x14ac:dyDescent="0.35">
      <c r="C9261" s="112"/>
      <c r="D9261" s="5"/>
      <c r="E9261" s="5"/>
      <c r="F9261" s="5"/>
      <c r="G9261" s="5"/>
      <c r="H9261" s="5"/>
      <c r="I9261" s="5"/>
      <c r="J9261" s="5"/>
      <c r="K9261" s="5"/>
    </row>
    <row r="9262" spans="3:11" x14ac:dyDescent="0.35">
      <c r="C9262" s="112"/>
      <c r="D9262" s="5"/>
      <c r="E9262" s="5"/>
      <c r="F9262" s="5"/>
      <c r="G9262" s="5"/>
      <c r="H9262" s="5"/>
      <c r="I9262" s="5"/>
      <c r="J9262" s="5"/>
      <c r="K9262" s="5"/>
    </row>
    <row r="9263" spans="3:11" x14ac:dyDescent="0.35">
      <c r="C9263" s="112"/>
      <c r="D9263" s="5"/>
      <c r="E9263" s="5"/>
      <c r="F9263" s="5"/>
      <c r="G9263" s="5"/>
      <c r="H9263" s="5"/>
      <c r="I9263" s="5"/>
      <c r="J9263" s="5"/>
      <c r="K9263" s="5"/>
    </row>
    <row r="9264" spans="3:11" x14ac:dyDescent="0.35">
      <c r="C9264" s="112"/>
      <c r="D9264" s="5"/>
      <c r="E9264" s="5"/>
      <c r="F9264" s="5"/>
      <c r="G9264" s="5"/>
      <c r="H9264" s="5"/>
      <c r="I9264" s="5"/>
      <c r="J9264" s="5"/>
      <c r="K9264" s="5"/>
    </row>
    <row r="9265" spans="3:11" x14ac:dyDescent="0.35">
      <c r="C9265" s="112"/>
      <c r="D9265" s="5"/>
      <c r="E9265" s="5"/>
      <c r="F9265" s="5"/>
      <c r="G9265" s="5"/>
      <c r="H9265" s="5"/>
      <c r="I9265" s="5"/>
      <c r="J9265" s="5"/>
      <c r="K9265" s="5"/>
    </row>
    <row r="9266" spans="3:11" x14ac:dyDescent="0.35">
      <c r="C9266" s="112"/>
      <c r="D9266" s="5"/>
      <c r="E9266" s="5"/>
      <c r="F9266" s="5"/>
      <c r="G9266" s="5"/>
      <c r="H9266" s="5"/>
      <c r="I9266" s="5"/>
      <c r="J9266" s="5"/>
      <c r="K9266" s="5"/>
    </row>
    <row r="9267" spans="3:11" x14ac:dyDescent="0.35">
      <c r="C9267" s="112"/>
      <c r="D9267" s="5"/>
      <c r="E9267" s="5"/>
      <c r="F9267" s="5"/>
      <c r="G9267" s="5"/>
      <c r="H9267" s="5"/>
      <c r="I9267" s="5"/>
      <c r="J9267" s="5"/>
      <c r="K9267" s="5"/>
    </row>
    <row r="9268" spans="3:11" x14ac:dyDescent="0.35">
      <c r="C9268" s="112"/>
      <c r="D9268" s="5"/>
      <c r="E9268" s="5"/>
      <c r="F9268" s="5"/>
      <c r="G9268" s="5"/>
      <c r="H9268" s="5"/>
      <c r="I9268" s="5"/>
      <c r="J9268" s="5"/>
      <c r="K9268" s="5"/>
    </row>
    <row r="9269" spans="3:11" x14ac:dyDescent="0.35">
      <c r="C9269" s="112"/>
      <c r="D9269" s="5"/>
      <c r="E9269" s="5"/>
      <c r="F9269" s="5"/>
      <c r="G9269" s="5"/>
      <c r="H9269" s="5"/>
      <c r="I9269" s="5"/>
      <c r="J9269" s="5"/>
      <c r="K9269" s="5"/>
    </row>
    <row r="9270" spans="3:11" x14ac:dyDescent="0.35">
      <c r="C9270" s="112"/>
      <c r="D9270" s="5"/>
      <c r="E9270" s="5"/>
      <c r="F9270" s="5"/>
      <c r="G9270" s="5"/>
      <c r="H9270" s="5"/>
      <c r="I9270" s="5"/>
      <c r="J9270" s="5"/>
      <c r="K9270" s="5"/>
    </row>
    <row r="9271" spans="3:11" x14ac:dyDescent="0.35">
      <c r="C9271" s="112"/>
      <c r="D9271" s="5"/>
      <c r="E9271" s="5"/>
      <c r="F9271" s="5"/>
      <c r="G9271" s="5"/>
      <c r="H9271" s="5"/>
      <c r="I9271" s="5"/>
      <c r="J9271" s="5"/>
      <c r="K9271" s="5"/>
    </row>
    <row r="9272" spans="3:11" x14ac:dyDescent="0.35">
      <c r="C9272" s="112"/>
      <c r="D9272" s="5"/>
      <c r="E9272" s="5"/>
      <c r="F9272" s="5"/>
      <c r="G9272" s="5"/>
      <c r="H9272" s="5"/>
      <c r="I9272" s="5"/>
      <c r="J9272" s="5"/>
      <c r="K9272" s="5"/>
    </row>
    <row r="9273" spans="3:11" x14ac:dyDescent="0.35">
      <c r="C9273" s="112"/>
      <c r="D9273" s="5"/>
      <c r="E9273" s="5"/>
      <c r="F9273" s="5"/>
      <c r="G9273" s="5"/>
      <c r="H9273" s="5"/>
      <c r="I9273" s="5"/>
      <c r="J9273" s="5"/>
      <c r="K9273" s="5"/>
    </row>
    <row r="9274" spans="3:11" x14ac:dyDescent="0.35">
      <c r="C9274" s="112"/>
      <c r="D9274" s="5"/>
      <c r="E9274" s="5"/>
      <c r="F9274" s="5"/>
      <c r="G9274" s="5"/>
      <c r="H9274" s="5"/>
      <c r="I9274" s="5"/>
      <c r="J9274" s="5"/>
      <c r="K9274" s="5"/>
    </row>
    <row r="9275" spans="3:11" x14ac:dyDescent="0.35">
      <c r="C9275" s="112"/>
      <c r="D9275" s="5"/>
      <c r="E9275" s="5"/>
      <c r="F9275" s="5"/>
      <c r="G9275" s="5"/>
      <c r="H9275" s="5"/>
      <c r="I9275" s="5"/>
      <c r="J9275" s="5"/>
      <c r="K9275" s="5"/>
    </row>
    <row r="9276" spans="3:11" x14ac:dyDescent="0.35">
      <c r="C9276" s="112"/>
      <c r="D9276" s="5"/>
      <c r="E9276" s="5"/>
      <c r="F9276" s="5"/>
      <c r="G9276" s="5"/>
      <c r="H9276" s="5"/>
      <c r="I9276" s="5"/>
      <c r="J9276" s="5"/>
      <c r="K9276" s="5"/>
    </row>
    <row r="9277" spans="3:11" x14ac:dyDescent="0.35">
      <c r="C9277" s="112"/>
      <c r="D9277" s="5"/>
      <c r="E9277" s="5"/>
      <c r="F9277" s="5"/>
      <c r="G9277" s="5"/>
      <c r="H9277" s="5"/>
      <c r="I9277" s="5"/>
      <c r="J9277" s="5"/>
      <c r="K9277" s="5"/>
    </row>
    <row r="9278" spans="3:11" x14ac:dyDescent="0.35">
      <c r="C9278" s="112"/>
      <c r="D9278" s="5"/>
      <c r="E9278" s="5"/>
      <c r="F9278" s="5"/>
      <c r="G9278" s="5"/>
      <c r="H9278" s="5"/>
      <c r="I9278" s="5"/>
      <c r="J9278" s="5"/>
      <c r="K9278" s="5"/>
    </row>
    <row r="9279" spans="3:11" x14ac:dyDescent="0.35">
      <c r="C9279" s="112"/>
      <c r="D9279" s="5"/>
      <c r="E9279" s="5"/>
      <c r="F9279" s="5"/>
      <c r="G9279" s="5"/>
      <c r="H9279" s="5"/>
      <c r="I9279" s="5"/>
      <c r="J9279" s="5"/>
      <c r="K9279" s="5"/>
    </row>
    <row r="9280" spans="3:11" x14ac:dyDescent="0.35">
      <c r="C9280" s="112"/>
      <c r="D9280" s="5"/>
      <c r="E9280" s="5"/>
      <c r="F9280" s="5"/>
      <c r="G9280" s="5"/>
      <c r="H9280" s="5"/>
      <c r="I9280" s="5"/>
      <c r="J9280" s="5"/>
      <c r="K9280" s="5"/>
    </row>
    <row r="9281" spans="3:11" x14ac:dyDescent="0.35">
      <c r="C9281" s="112"/>
      <c r="D9281" s="5"/>
      <c r="E9281" s="5"/>
      <c r="F9281" s="5"/>
      <c r="G9281" s="5"/>
      <c r="H9281" s="5"/>
      <c r="I9281" s="5"/>
      <c r="J9281" s="5"/>
      <c r="K9281" s="5"/>
    </row>
    <row r="9282" spans="3:11" x14ac:dyDescent="0.35">
      <c r="C9282" s="112"/>
      <c r="D9282" s="5"/>
      <c r="E9282" s="5"/>
      <c r="F9282" s="5"/>
      <c r="G9282" s="5"/>
      <c r="H9282" s="5"/>
      <c r="I9282" s="5"/>
      <c r="J9282" s="5"/>
      <c r="K9282" s="5"/>
    </row>
    <row r="9283" spans="3:11" x14ac:dyDescent="0.35">
      <c r="C9283" s="112"/>
      <c r="D9283" s="5"/>
      <c r="E9283" s="5"/>
      <c r="F9283" s="5"/>
      <c r="G9283" s="5"/>
      <c r="H9283" s="5"/>
      <c r="I9283" s="5"/>
      <c r="J9283" s="5"/>
      <c r="K9283" s="5"/>
    </row>
    <row r="9284" spans="3:11" x14ac:dyDescent="0.35">
      <c r="C9284" s="112"/>
      <c r="D9284" s="5"/>
      <c r="E9284" s="5"/>
      <c r="F9284" s="5"/>
      <c r="G9284" s="5"/>
      <c r="H9284" s="5"/>
      <c r="I9284" s="5"/>
      <c r="J9284" s="5"/>
      <c r="K9284" s="5"/>
    </row>
    <row r="9285" spans="3:11" x14ac:dyDescent="0.35">
      <c r="C9285" s="112"/>
      <c r="D9285" s="5"/>
      <c r="E9285" s="5"/>
      <c r="F9285" s="5"/>
      <c r="G9285" s="5"/>
      <c r="H9285" s="5"/>
      <c r="I9285" s="5"/>
      <c r="J9285" s="5"/>
      <c r="K9285" s="5"/>
    </row>
    <row r="9286" spans="3:11" x14ac:dyDescent="0.35">
      <c r="C9286" s="112"/>
      <c r="D9286" s="5"/>
      <c r="E9286" s="5"/>
      <c r="F9286" s="5"/>
      <c r="G9286" s="5"/>
      <c r="H9286" s="5"/>
      <c r="I9286" s="5"/>
      <c r="J9286" s="5"/>
      <c r="K9286" s="5"/>
    </row>
    <row r="9287" spans="3:11" x14ac:dyDescent="0.35">
      <c r="C9287" s="112"/>
      <c r="D9287" s="5"/>
      <c r="E9287" s="5"/>
      <c r="F9287" s="5"/>
      <c r="G9287" s="5"/>
      <c r="H9287" s="5"/>
      <c r="I9287" s="5"/>
      <c r="J9287" s="5"/>
      <c r="K9287" s="5"/>
    </row>
    <row r="9288" spans="3:11" x14ac:dyDescent="0.35">
      <c r="C9288" s="112"/>
      <c r="D9288" s="5"/>
      <c r="E9288" s="5"/>
      <c r="F9288" s="5"/>
      <c r="G9288" s="5"/>
      <c r="H9288" s="5"/>
      <c r="I9288" s="5"/>
      <c r="J9288" s="5"/>
      <c r="K9288" s="5"/>
    </row>
    <row r="9289" spans="3:11" x14ac:dyDescent="0.35">
      <c r="C9289" s="112"/>
      <c r="D9289" s="5"/>
      <c r="E9289" s="5"/>
      <c r="F9289" s="5"/>
      <c r="G9289" s="5"/>
      <c r="H9289" s="5"/>
      <c r="I9289" s="5"/>
      <c r="J9289" s="5"/>
      <c r="K9289" s="5"/>
    </row>
    <row r="9290" spans="3:11" x14ac:dyDescent="0.35">
      <c r="C9290" s="112"/>
      <c r="D9290" s="5"/>
      <c r="E9290" s="5"/>
      <c r="F9290" s="5"/>
      <c r="G9290" s="5"/>
      <c r="H9290" s="5"/>
      <c r="I9290" s="5"/>
      <c r="J9290" s="5"/>
      <c r="K9290" s="5"/>
    </row>
    <row r="9291" spans="3:11" x14ac:dyDescent="0.35">
      <c r="C9291" s="112"/>
      <c r="D9291" s="5"/>
      <c r="E9291" s="5"/>
      <c r="F9291" s="5"/>
      <c r="G9291" s="5"/>
      <c r="H9291" s="5"/>
      <c r="I9291" s="5"/>
      <c r="J9291" s="5"/>
      <c r="K9291" s="5"/>
    </row>
    <row r="9292" spans="3:11" x14ac:dyDescent="0.35">
      <c r="C9292" s="112"/>
      <c r="D9292" s="5"/>
      <c r="E9292" s="5"/>
      <c r="F9292" s="5"/>
      <c r="G9292" s="5"/>
      <c r="H9292" s="5"/>
      <c r="I9292" s="5"/>
      <c r="J9292" s="5"/>
      <c r="K9292" s="5"/>
    </row>
    <row r="9293" spans="3:11" x14ac:dyDescent="0.35">
      <c r="C9293" s="112"/>
      <c r="D9293" s="5"/>
      <c r="E9293" s="5"/>
      <c r="F9293" s="5"/>
      <c r="G9293" s="5"/>
      <c r="H9293" s="5"/>
      <c r="I9293" s="5"/>
      <c r="J9293" s="5"/>
      <c r="K9293" s="5"/>
    </row>
    <row r="9294" spans="3:11" x14ac:dyDescent="0.35">
      <c r="C9294" s="112"/>
      <c r="D9294" s="5"/>
      <c r="E9294" s="5"/>
      <c r="F9294" s="5"/>
      <c r="G9294" s="5"/>
      <c r="H9294" s="5"/>
      <c r="I9294" s="5"/>
      <c r="J9294" s="5"/>
      <c r="K9294" s="5"/>
    </row>
    <row r="9295" spans="3:11" x14ac:dyDescent="0.35">
      <c r="C9295" s="112"/>
      <c r="D9295" s="5"/>
      <c r="E9295" s="5"/>
      <c r="F9295" s="5"/>
      <c r="G9295" s="5"/>
      <c r="H9295" s="5"/>
      <c r="I9295" s="5"/>
      <c r="J9295" s="5"/>
      <c r="K9295" s="5"/>
    </row>
    <row r="9296" spans="3:11" x14ac:dyDescent="0.35">
      <c r="C9296" s="112"/>
      <c r="D9296" s="5"/>
      <c r="E9296" s="5"/>
      <c r="F9296" s="5"/>
      <c r="G9296" s="5"/>
      <c r="H9296" s="5"/>
      <c r="I9296" s="5"/>
      <c r="J9296" s="5"/>
      <c r="K9296" s="5"/>
    </row>
    <row r="9297" spans="3:11" x14ac:dyDescent="0.35">
      <c r="C9297" s="112"/>
      <c r="D9297" s="5"/>
      <c r="E9297" s="5"/>
      <c r="F9297" s="5"/>
      <c r="G9297" s="5"/>
      <c r="H9297" s="5"/>
      <c r="I9297" s="5"/>
      <c r="J9297" s="5"/>
      <c r="K9297" s="5"/>
    </row>
    <row r="9298" spans="3:11" x14ac:dyDescent="0.35">
      <c r="C9298" s="112"/>
      <c r="D9298" s="5"/>
      <c r="E9298" s="5"/>
      <c r="F9298" s="5"/>
      <c r="G9298" s="5"/>
      <c r="H9298" s="5"/>
      <c r="I9298" s="5"/>
      <c r="J9298" s="5"/>
      <c r="K9298" s="5"/>
    </row>
    <row r="9299" spans="3:11" x14ac:dyDescent="0.35">
      <c r="C9299" s="112"/>
      <c r="D9299" s="5"/>
      <c r="E9299" s="5"/>
      <c r="F9299" s="5"/>
      <c r="G9299" s="5"/>
      <c r="H9299" s="5"/>
      <c r="I9299" s="5"/>
      <c r="J9299" s="5"/>
      <c r="K9299" s="5"/>
    </row>
    <row r="9300" spans="3:11" x14ac:dyDescent="0.35">
      <c r="C9300" s="112"/>
      <c r="D9300" s="5"/>
      <c r="E9300" s="5"/>
      <c r="F9300" s="5"/>
      <c r="G9300" s="5"/>
      <c r="H9300" s="5"/>
      <c r="I9300" s="5"/>
      <c r="J9300" s="5"/>
      <c r="K9300" s="5"/>
    </row>
    <row r="9301" spans="3:11" x14ac:dyDescent="0.35">
      <c r="C9301" s="112"/>
      <c r="D9301" s="5"/>
      <c r="E9301" s="5"/>
      <c r="F9301" s="5"/>
      <c r="G9301" s="5"/>
      <c r="H9301" s="5"/>
      <c r="I9301" s="5"/>
      <c r="J9301" s="5"/>
      <c r="K9301" s="5"/>
    </row>
    <row r="9302" spans="3:11" x14ac:dyDescent="0.35">
      <c r="C9302" s="112"/>
      <c r="D9302" s="5"/>
      <c r="E9302" s="5"/>
      <c r="F9302" s="5"/>
      <c r="G9302" s="5"/>
      <c r="H9302" s="5"/>
      <c r="I9302" s="5"/>
      <c r="J9302" s="5"/>
      <c r="K9302" s="5"/>
    </row>
    <row r="9303" spans="3:11" x14ac:dyDescent="0.35">
      <c r="C9303" s="112"/>
      <c r="D9303" s="5"/>
      <c r="E9303" s="5"/>
      <c r="F9303" s="5"/>
      <c r="G9303" s="5"/>
      <c r="H9303" s="5"/>
      <c r="I9303" s="5"/>
      <c r="J9303" s="5"/>
      <c r="K9303" s="5"/>
    </row>
    <row r="9304" spans="3:11" x14ac:dyDescent="0.35">
      <c r="C9304" s="112"/>
      <c r="D9304" s="5"/>
      <c r="E9304" s="5"/>
      <c r="F9304" s="5"/>
      <c r="G9304" s="5"/>
      <c r="H9304" s="5"/>
      <c r="I9304" s="5"/>
      <c r="J9304" s="5"/>
      <c r="K9304" s="5"/>
    </row>
    <row r="9305" spans="3:11" x14ac:dyDescent="0.35">
      <c r="C9305" s="112"/>
      <c r="D9305" s="5"/>
      <c r="E9305" s="5"/>
      <c r="F9305" s="5"/>
      <c r="G9305" s="5"/>
      <c r="H9305" s="5"/>
      <c r="I9305" s="5"/>
      <c r="J9305" s="5"/>
      <c r="K9305" s="5"/>
    </row>
    <row r="9306" spans="3:11" x14ac:dyDescent="0.35">
      <c r="C9306" s="112"/>
      <c r="D9306" s="5"/>
      <c r="E9306" s="5"/>
      <c r="F9306" s="5"/>
      <c r="G9306" s="5"/>
      <c r="H9306" s="5"/>
      <c r="I9306" s="5"/>
      <c r="J9306" s="5"/>
      <c r="K9306" s="5"/>
    </row>
    <row r="9307" spans="3:11" x14ac:dyDescent="0.35">
      <c r="C9307" s="112"/>
      <c r="D9307" s="5"/>
      <c r="E9307" s="5"/>
      <c r="F9307" s="5"/>
      <c r="G9307" s="5"/>
      <c r="H9307" s="5"/>
      <c r="I9307" s="5"/>
      <c r="J9307" s="5"/>
      <c r="K9307" s="5"/>
    </row>
    <row r="9308" spans="3:11" x14ac:dyDescent="0.35">
      <c r="C9308" s="112"/>
      <c r="D9308" s="5"/>
      <c r="E9308" s="5"/>
      <c r="F9308" s="5"/>
      <c r="G9308" s="5"/>
      <c r="H9308" s="5"/>
      <c r="I9308" s="5"/>
      <c r="J9308" s="5"/>
      <c r="K9308" s="5"/>
    </row>
    <row r="9309" spans="3:11" x14ac:dyDescent="0.35">
      <c r="C9309" s="112"/>
      <c r="D9309" s="5"/>
      <c r="E9309" s="5"/>
      <c r="F9309" s="5"/>
      <c r="G9309" s="5"/>
      <c r="H9309" s="5"/>
      <c r="I9309" s="5"/>
      <c r="J9309" s="5"/>
      <c r="K9309" s="5"/>
    </row>
    <row r="9310" spans="3:11" x14ac:dyDescent="0.35">
      <c r="C9310" s="112"/>
      <c r="D9310" s="5"/>
      <c r="E9310" s="5"/>
      <c r="F9310" s="5"/>
      <c r="G9310" s="5"/>
      <c r="H9310" s="5"/>
      <c r="I9310" s="5"/>
      <c r="J9310" s="5"/>
      <c r="K9310" s="5"/>
    </row>
    <row r="9311" spans="3:11" x14ac:dyDescent="0.35">
      <c r="C9311" s="112"/>
      <c r="D9311" s="5"/>
      <c r="E9311" s="5"/>
      <c r="F9311" s="5"/>
      <c r="G9311" s="5"/>
      <c r="H9311" s="5"/>
      <c r="I9311" s="5"/>
      <c r="J9311" s="5"/>
      <c r="K9311" s="5"/>
    </row>
    <row r="9312" spans="3:11" x14ac:dyDescent="0.35">
      <c r="C9312" s="112"/>
      <c r="D9312" s="5"/>
      <c r="E9312" s="5"/>
      <c r="F9312" s="5"/>
      <c r="G9312" s="5"/>
      <c r="H9312" s="5"/>
      <c r="I9312" s="5"/>
      <c r="J9312" s="5"/>
      <c r="K9312" s="5"/>
    </row>
    <row r="9313" spans="3:11" x14ac:dyDescent="0.35">
      <c r="C9313" s="112"/>
      <c r="D9313" s="5"/>
      <c r="E9313" s="5"/>
      <c r="F9313" s="5"/>
      <c r="G9313" s="5"/>
      <c r="H9313" s="5"/>
      <c r="I9313" s="5"/>
      <c r="J9313" s="5"/>
      <c r="K9313" s="5"/>
    </row>
    <row r="9314" spans="3:11" x14ac:dyDescent="0.35">
      <c r="C9314" s="112"/>
      <c r="D9314" s="5"/>
      <c r="E9314" s="5"/>
      <c r="F9314" s="5"/>
      <c r="G9314" s="5"/>
      <c r="H9314" s="5"/>
      <c r="I9314" s="5"/>
      <c r="J9314" s="5"/>
      <c r="K9314" s="5"/>
    </row>
    <row r="9315" spans="3:11" x14ac:dyDescent="0.35">
      <c r="C9315" s="112"/>
      <c r="D9315" s="5"/>
      <c r="E9315" s="5"/>
      <c r="F9315" s="5"/>
      <c r="G9315" s="5"/>
      <c r="H9315" s="5"/>
      <c r="I9315" s="5"/>
      <c r="J9315" s="5"/>
      <c r="K9315" s="5"/>
    </row>
    <row r="9316" spans="3:11" x14ac:dyDescent="0.35">
      <c r="C9316" s="112"/>
      <c r="D9316" s="5"/>
      <c r="E9316" s="5"/>
      <c r="F9316" s="5"/>
      <c r="G9316" s="5"/>
      <c r="H9316" s="5"/>
      <c r="I9316" s="5"/>
      <c r="J9316" s="5"/>
      <c r="K9316" s="5"/>
    </row>
    <row r="9317" spans="3:11" x14ac:dyDescent="0.35">
      <c r="C9317" s="112"/>
      <c r="D9317" s="5"/>
      <c r="E9317" s="5"/>
      <c r="F9317" s="5"/>
      <c r="G9317" s="5"/>
      <c r="H9317" s="5"/>
      <c r="I9317" s="5"/>
      <c r="J9317" s="5"/>
      <c r="K9317" s="5"/>
    </row>
    <row r="9318" spans="3:11" x14ac:dyDescent="0.35">
      <c r="C9318" s="112"/>
      <c r="D9318" s="5"/>
      <c r="E9318" s="5"/>
      <c r="F9318" s="5"/>
      <c r="G9318" s="5"/>
      <c r="H9318" s="5"/>
      <c r="I9318" s="5"/>
      <c r="J9318" s="5"/>
      <c r="K9318" s="5"/>
    </row>
    <row r="9319" spans="3:11" x14ac:dyDescent="0.35">
      <c r="C9319" s="112"/>
      <c r="D9319" s="5"/>
      <c r="E9319" s="5"/>
      <c r="F9319" s="5"/>
      <c r="G9319" s="5"/>
      <c r="H9319" s="5"/>
      <c r="I9319" s="5"/>
      <c r="J9319" s="5"/>
      <c r="K9319" s="5"/>
    </row>
    <row r="9320" spans="3:11" x14ac:dyDescent="0.35">
      <c r="C9320" s="112"/>
      <c r="D9320" s="5"/>
      <c r="E9320" s="5"/>
      <c r="F9320" s="5"/>
      <c r="G9320" s="5"/>
      <c r="H9320" s="5"/>
      <c r="I9320" s="5"/>
      <c r="J9320" s="5"/>
      <c r="K9320" s="5"/>
    </row>
    <row r="9321" spans="3:11" x14ac:dyDescent="0.35">
      <c r="C9321" s="112"/>
      <c r="D9321" s="5"/>
      <c r="E9321" s="5"/>
      <c r="F9321" s="5"/>
      <c r="G9321" s="5"/>
      <c r="H9321" s="5"/>
      <c r="I9321" s="5"/>
      <c r="J9321" s="5"/>
      <c r="K9321" s="5"/>
    </row>
    <row r="9322" spans="3:11" x14ac:dyDescent="0.35">
      <c r="C9322" s="112"/>
      <c r="D9322" s="5"/>
      <c r="E9322" s="5"/>
      <c r="F9322" s="5"/>
      <c r="G9322" s="5"/>
      <c r="H9322" s="5"/>
      <c r="I9322" s="5"/>
      <c r="J9322" s="5"/>
      <c r="K9322" s="5"/>
    </row>
    <row r="9323" spans="3:11" x14ac:dyDescent="0.35">
      <c r="C9323" s="112"/>
      <c r="D9323" s="5"/>
      <c r="E9323" s="5"/>
      <c r="F9323" s="5"/>
      <c r="G9323" s="5"/>
      <c r="H9323" s="5"/>
      <c r="I9323" s="5"/>
      <c r="J9323" s="5"/>
      <c r="K9323" s="5"/>
    </row>
    <row r="9324" spans="3:11" x14ac:dyDescent="0.35">
      <c r="C9324" s="112"/>
      <c r="D9324" s="5"/>
      <c r="E9324" s="5"/>
      <c r="F9324" s="5"/>
      <c r="G9324" s="5"/>
      <c r="H9324" s="5"/>
      <c r="I9324" s="5"/>
      <c r="J9324" s="5"/>
      <c r="K9324" s="5"/>
    </row>
    <row r="9325" spans="3:11" x14ac:dyDescent="0.35">
      <c r="C9325" s="112"/>
      <c r="D9325" s="5"/>
      <c r="E9325" s="5"/>
      <c r="F9325" s="5"/>
      <c r="G9325" s="5"/>
      <c r="H9325" s="5"/>
      <c r="I9325" s="5"/>
      <c r="J9325" s="5"/>
      <c r="K9325" s="5"/>
    </row>
    <row r="9326" spans="3:11" x14ac:dyDescent="0.35">
      <c r="C9326" s="112"/>
      <c r="D9326" s="5"/>
      <c r="E9326" s="5"/>
      <c r="F9326" s="5"/>
      <c r="G9326" s="5"/>
      <c r="H9326" s="5"/>
      <c r="I9326" s="5"/>
      <c r="J9326" s="5"/>
      <c r="K9326" s="5"/>
    </row>
    <row r="9327" spans="3:11" x14ac:dyDescent="0.35">
      <c r="C9327" s="112"/>
      <c r="D9327" s="5"/>
      <c r="E9327" s="5"/>
      <c r="F9327" s="5"/>
      <c r="G9327" s="5"/>
      <c r="H9327" s="5"/>
      <c r="I9327" s="5"/>
      <c r="J9327" s="5"/>
      <c r="K9327" s="5"/>
    </row>
    <row r="9328" spans="3:11" x14ac:dyDescent="0.35">
      <c r="C9328" s="112"/>
      <c r="D9328" s="5"/>
      <c r="E9328" s="5"/>
      <c r="F9328" s="5"/>
      <c r="G9328" s="5"/>
      <c r="H9328" s="5"/>
      <c r="I9328" s="5"/>
      <c r="J9328" s="5"/>
      <c r="K9328" s="5"/>
    </row>
    <row r="9329" spans="3:11" x14ac:dyDescent="0.35">
      <c r="C9329" s="112"/>
      <c r="D9329" s="5"/>
      <c r="E9329" s="5"/>
      <c r="F9329" s="5"/>
      <c r="G9329" s="5"/>
      <c r="H9329" s="5"/>
      <c r="I9329" s="5"/>
      <c r="J9329" s="5"/>
      <c r="K9329" s="5"/>
    </row>
    <row r="9330" spans="3:11" x14ac:dyDescent="0.35">
      <c r="C9330" s="112"/>
      <c r="D9330" s="5"/>
      <c r="E9330" s="5"/>
      <c r="F9330" s="5"/>
      <c r="G9330" s="5"/>
      <c r="H9330" s="5"/>
      <c r="I9330" s="5"/>
      <c r="J9330" s="5"/>
      <c r="K9330" s="5"/>
    </row>
    <row r="9331" spans="3:11" x14ac:dyDescent="0.35">
      <c r="C9331" s="112"/>
      <c r="D9331" s="5"/>
      <c r="E9331" s="5"/>
      <c r="F9331" s="5"/>
      <c r="G9331" s="5"/>
      <c r="H9331" s="5"/>
      <c r="I9331" s="5"/>
      <c r="J9331" s="5"/>
      <c r="K9331" s="5"/>
    </row>
    <row r="9332" spans="3:11" x14ac:dyDescent="0.35">
      <c r="C9332" s="112"/>
      <c r="D9332" s="5"/>
      <c r="E9332" s="5"/>
      <c r="F9332" s="5"/>
      <c r="G9332" s="5"/>
      <c r="H9332" s="5"/>
      <c r="I9332" s="5"/>
      <c r="J9332" s="5"/>
      <c r="K9332" s="5"/>
    </row>
    <row r="9333" spans="3:11" x14ac:dyDescent="0.35">
      <c r="C9333" s="112"/>
      <c r="D9333" s="5"/>
      <c r="E9333" s="5"/>
      <c r="F9333" s="5"/>
      <c r="G9333" s="5"/>
      <c r="H9333" s="5"/>
      <c r="I9333" s="5"/>
      <c r="J9333" s="5"/>
      <c r="K9333" s="5"/>
    </row>
    <row r="9334" spans="3:11" x14ac:dyDescent="0.35">
      <c r="C9334" s="112"/>
      <c r="D9334" s="5"/>
      <c r="E9334" s="5"/>
      <c r="F9334" s="5"/>
      <c r="G9334" s="5"/>
      <c r="H9334" s="5"/>
      <c r="I9334" s="5"/>
      <c r="J9334" s="5"/>
      <c r="K9334" s="5"/>
    </row>
    <row r="9335" spans="3:11" x14ac:dyDescent="0.35">
      <c r="C9335" s="112"/>
      <c r="D9335" s="5"/>
      <c r="E9335" s="5"/>
      <c r="F9335" s="5"/>
      <c r="G9335" s="5"/>
      <c r="H9335" s="5"/>
      <c r="I9335" s="5"/>
      <c r="J9335" s="5"/>
      <c r="K9335" s="5"/>
    </row>
    <row r="9336" spans="3:11" x14ac:dyDescent="0.35">
      <c r="C9336" s="112"/>
      <c r="D9336" s="5"/>
      <c r="E9336" s="5"/>
      <c r="F9336" s="5"/>
      <c r="G9336" s="5"/>
      <c r="H9336" s="5"/>
      <c r="I9336" s="5"/>
      <c r="J9336" s="5"/>
      <c r="K9336" s="5"/>
    </row>
    <row r="9337" spans="3:11" x14ac:dyDescent="0.35">
      <c r="C9337" s="112"/>
      <c r="D9337" s="5"/>
      <c r="E9337" s="5"/>
      <c r="F9337" s="5"/>
      <c r="G9337" s="5"/>
      <c r="H9337" s="5"/>
      <c r="I9337" s="5"/>
      <c r="J9337" s="5"/>
      <c r="K9337" s="5"/>
    </row>
    <row r="9338" spans="3:11" x14ac:dyDescent="0.35">
      <c r="C9338" s="112"/>
      <c r="D9338" s="5"/>
      <c r="E9338" s="5"/>
      <c r="F9338" s="5"/>
      <c r="G9338" s="5"/>
      <c r="H9338" s="5"/>
      <c r="I9338" s="5"/>
      <c r="J9338" s="5"/>
      <c r="K9338" s="5"/>
    </row>
    <row r="9339" spans="3:11" x14ac:dyDescent="0.35">
      <c r="C9339" s="112"/>
      <c r="D9339" s="5"/>
      <c r="E9339" s="5"/>
      <c r="F9339" s="5"/>
      <c r="G9339" s="5"/>
      <c r="H9339" s="5"/>
      <c r="I9339" s="5"/>
      <c r="J9339" s="5"/>
      <c r="K9339" s="5"/>
    </row>
    <row r="9340" spans="3:11" x14ac:dyDescent="0.35">
      <c r="C9340" s="112"/>
      <c r="D9340" s="5"/>
      <c r="E9340" s="5"/>
      <c r="F9340" s="5"/>
      <c r="G9340" s="5"/>
      <c r="H9340" s="5"/>
      <c r="I9340" s="5"/>
      <c r="J9340" s="5"/>
      <c r="K9340" s="5"/>
    </row>
    <row r="9341" spans="3:11" x14ac:dyDescent="0.35">
      <c r="C9341" s="112"/>
      <c r="D9341" s="5"/>
      <c r="E9341" s="5"/>
      <c r="F9341" s="5"/>
      <c r="G9341" s="5"/>
      <c r="H9341" s="5"/>
      <c r="I9341" s="5"/>
      <c r="J9341" s="5"/>
      <c r="K9341" s="5"/>
    </row>
    <row r="9342" spans="3:11" x14ac:dyDescent="0.35">
      <c r="C9342" s="112"/>
      <c r="D9342" s="5"/>
      <c r="E9342" s="5"/>
      <c r="F9342" s="5"/>
      <c r="G9342" s="5"/>
      <c r="H9342" s="5"/>
      <c r="I9342" s="5"/>
      <c r="J9342" s="5"/>
      <c r="K9342" s="5"/>
    </row>
    <row r="9343" spans="3:11" x14ac:dyDescent="0.35">
      <c r="C9343" s="112"/>
      <c r="D9343" s="5"/>
      <c r="E9343" s="5"/>
      <c r="F9343" s="5"/>
      <c r="G9343" s="5"/>
      <c r="H9343" s="5"/>
      <c r="I9343" s="5"/>
      <c r="J9343" s="5"/>
      <c r="K9343" s="5"/>
    </row>
    <row r="9344" spans="3:11" x14ac:dyDescent="0.35">
      <c r="C9344" s="112"/>
      <c r="D9344" s="5"/>
      <c r="E9344" s="5"/>
      <c r="F9344" s="5"/>
      <c r="G9344" s="5"/>
      <c r="H9344" s="5"/>
      <c r="I9344" s="5"/>
      <c r="J9344" s="5"/>
      <c r="K9344" s="5"/>
    </row>
    <row r="9345" spans="3:11" x14ac:dyDescent="0.35">
      <c r="C9345" s="112"/>
      <c r="D9345" s="5"/>
      <c r="E9345" s="5"/>
      <c r="F9345" s="5"/>
      <c r="G9345" s="5"/>
      <c r="H9345" s="5"/>
      <c r="I9345" s="5"/>
      <c r="J9345" s="5"/>
      <c r="K9345" s="5"/>
    </row>
    <row r="9346" spans="3:11" x14ac:dyDescent="0.35">
      <c r="C9346" s="112"/>
      <c r="D9346" s="5"/>
      <c r="E9346" s="5"/>
      <c r="F9346" s="5"/>
      <c r="G9346" s="5"/>
      <c r="H9346" s="5"/>
      <c r="I9346" s="5"/>
      <c r="J9346" s="5"/>
      <c r="K9346" s="5"/>
    </row>
    <row r="9347" spans="3:11" x14ac:dyDescent="0.35">
      <c r="C9347" s="112"/>
      <c r="D9347" s="5"/>
      <c r="E9347" s="5"/>
      <c r="F9347" s="5"/>
      <c r="G9347" s="5"/>
      <c r="H9347" s="5"/>
      <c r="I9347" s="5"/>
      <c r="J9347" s="5"/>
      <c r="K9347" s="5"/>
    </row>
    <row r="9348" spans="3:11" x14ac:dyDescent="0.35">
      <c r="C9348" s="112"/>
      <c r="D9348" s="5"/>
      <c r="E9348" s="5"/>
      <c r="F9348" s="5"/>
      <c r="G9348" s="5"/>
      <c r="H9348" s="5"/>
      <c r="I9348" s="5"/>
      <c r="J9348" s="5"/>
      <c r="K9348" s="5"/>
    </row>
    <row r="9349" spans="3:11" x14ac:dyDescent="0.35">
      <c r="C9349" s="112"/>
      <c r="D9349" s="5"/>
      <c r="E9349" s="5"/>
      <c r="F9349" s="5"/>
      <c r="G9349" s="5"/>
      <c r="H9349" s="5"/>
      <c r="I9349" s="5"/>
      <c r="J9349" s="5"/>
      <c r="K9349" s="5"/>
    </row>
    <row r="9350" spans="3:11" x14ac:dyDescent="0.35">
      <c r="C9350" s="112"/>
      <c r="D9350" s="5"/>
      <c r="E9350" s="5"/>
      <c r="F9350" s="5"/>
      <c r="G9350" s="5"/>
      <c r="H9350" s="5"/>
      <c r="I9350" s="5"/>
      <c r="J9350" s="5"/>
      <c r="K9350" s="5"/>
    </row>
    <row r="9351" spans="3:11" x14ac:dyDescent="0.35">
      <c r="C9351" s="112"/>
      <c r="D9351" s="5"/>
      <c r="E9351" s="5"/>
      <c r="F9351" s="5"/>
      <c r="G9351" s="5"/>
      <c r="H9351" s="5"/>
      <c r="I9351" s="5"/>
      <c r="J9351" s="5"/>
      <c r="K9351" s="5"/>
    </row>
    <row r="9352" spans="3:11" x14ac:dyDescent="0.35">
      <c r="C9352" s="112"/>
      <c r="D9352" s="5"/>
      <c r="E9352" s="5"/>
      <c r="F9352" s="5"/>
      <c r="G9352" s="5"/>
      <c r="H9352" s="5"/>
      <c r="I9352" s="5"/>
      <c r="J9352" s="5"/>
      <c r="K9352" s="5"/>
    </row>
    <row r="9353" spans="3:11" x14ac:dyDescent="0.35">
      <c r="C9353" s="112"/>
      <c r="D9353" s="5"/>
      <c r="E9353" s="5"/>
      <c r="F9353" s="5"/>
      <c r="G9353" s="5"/>
      <c r="H9353" s="5"/>
      <c r="I9353" s="5"/>
      <c r="J9353" s="5"/>
      <c r="K9353" s="5"/>
    </row>
    <row r="9354" spans="3:11" x14ac:dyDescent="0.35">
      <c r="C9354" s="112"/>
      <c r="D9354" s="5"/>
      <c r="E9354" s="5"/>
      <c r="F9354" s="5"/>
      <c r="G9354" s="5"/>
      <c r="H9354" s="5"/>
      <c r="I9354" s="5"/>
      <c r="J9354" s="5"/>
      <c r="K9354" s="5"/>
    </row>
    <row r="9355" spans="3:11" x14ac:dyDescent="0.35">
      <c r="C9355" s="112"/>
      <c r="D9355" s="5"/>
      <c r="E9355" s="5"/>
      <c r="F9355" s="5"/>
      <c r="G9355" s="5"/>
      <c r="H9355" s="5"/>
      <c r="I9355" s="5"/>
      <c r="J9355" s="5"/>
      <c r="K9355" s="5"/>
    </row>
    <row r="9356" spans="3:11" x14ac:dyDescent="0.35">
      <c r="C9356" s="112"/>
      <c r="D9356" s="5"/>
      <c r="E9356" s="5"/>
      <c r="F9356" s="5"/>
      <c r="G9356" s="5"/>
      <c r="H9356" s="5"/>
      <c r="I9356" s="5"/>
      <c r="J9356" s="5"/>
      <c r="K9356" s="5"/>
    </row>
    <row r="9357" spans="3:11" x14ac:dyDescent="0.35">
      <c r="C9357" s="112"/>
      <c r="D9357" s="5"/>
      <c r="E9357" s="5"/>
      <c r="F9357" s="5"/>
      <c r="G9357" s="5"/>
      <c r="H9357" s="5"/>
      <c r="I9357" s="5"/>
      <c r="J9357" s="5"/>
      <c r="K9357" s="5"/>
    </row>
    <row r="9358" spans="3:11" x14ac:dyDescent="0.35">
      <c r="C9358" s="112"/>
      <c r="D9358" s="5"/>
      <c r="E9358" s="5"/>
      <c r="F9358" s="5"/>
      <c r="G9358" s="5"/>
      <c r="H9358" s="5"/>
      <c r="I9358" s="5"/>
      <c r="J9358" s="5"/>
      <c r="K9358" s="5"/>
    </row>
    <row r="9359" spans="3:11" x14ac:dyDescent="0.35">
      <c r="C9359" s="112"/>
      <c r="D9359" s="5"/>
      <c r="E9359" s="5"/>
      <c r="F9359" s="5"/>
      <c r="G9359" s="5"/>
      <c r="H9359" s="5"/>
      <c r="I9359" s="5"/>
      <c r="J9359" s="5"/>
      <c r="K9359" s="5"/>
    </row>
    <row r="9360" spans="3:11" x14ac:dyDescent="0.35">
      <c r="C9360" s="112"/>
      <c r="D9360" s="5"/>
      <c r="E9360" s="5"/>
      <c r="F9360" s="5"/>
      <c r="G9360" s="5"/>
      <c r="H9360" s="5"/>
      <c r="I9360" s="5"/>
      <c r="J9360" s="5"/>
      <c r="K9360" s="5"/>
    </row>
    <row r="9361" spans="3:11" x14ac:dyDescent="0.35">
      <c r="C9361" s="112"/>
      <c r="D9361" s="5"/>
      <c r="E9361" s="5"/>
      <c r="F9361" s="5"/>
      <c r="G9361" s="5"/>
      <c r="H9361" s="5"/>
      <c r="I9361" s="5"/>
      <c r="J9361" s="5"/>
      <c r="K9361" s="5"/>
    </row>
    <row r="9362" spans="3:11" x14ac:dyDescent="0.35">
      <c r="C9362" s="112"/>
      <c r="D9362" s="5"/>
      <c r="E9362" s="5"/>
      <c r="F9362" s="5"/>
      <c r="G9362" s="5"/>
      <c r="H9362" s="5"/>
      <c r="I9362" s="5"/>
      <c r="J9362" s="5"/>
      <c r="K9362" s="5"/>
    </row>
    <row r="9363" spans="3:11" x14ac:dyDescent="0.35">
      <c r="C9363" s="112"/>
      <c r="D9363" s="5"/>
      <c r="E9363" s="5"/>
      <c r="F9363" s="5"/>
      <c r="G9363" s="5"/>
      <c r="H9363" s="5"/>
      <c r="I9363" s="5"/>
      <c r="J9363" s="5"/>
      <c r="K9363" s="5"/>
    </row>
    <row r="9364" spans="3:11" x14ac:dyDescent="0.35">
      <c r="C9364" s="112"/>
      <c r="D9364" s="5"/>
      <c r="E9364" s="5"/>
      <c r="F9364" s="5"/>
      <c r="G9364" s="5"/>
      <c r="H9364" s="5"/>
      <c r="I9364" s="5"/>
      <c r="J9364" s="5"/>
      <c r="K9364" s="5"/>
    </row>
    <row r="9365" spans="3:11" x14ac:dyDescent="0.35">
      <c r="C9365" s="112"/>
      <c r="D9365" s="5"/>
      <c r="E9365" s="5"/>
      <c r="F9365" s="5"/>
      <c r="G9365" s="5"/>
      <c r="H9365" s="5"/>
      <c r="I9365" s="5"/>
      <c r="J9365" s="5"/>
      <c r="K9365" s="5"/>
    </row>
    <row r="9366" spans="3:11" x14ac:dyDescent="0.35">
      <c r="C9366" s="112"/>
      <c r="D9366" s="5"/>
      <c r="E9366" s="5"/>
      <c r="F9366" s="5"/>
      <c r="G9366" s="5"/>
      <c r="H9366" s="5"/>
      <c r="I9366" s="5"/>
      <c r="J9366" s="5"/>
      <c r="K9366" s="5"/>
    </row>
    <row r="9367" spans="3:11" x14ac:dyDescent="0.35">
      <c r="C9367" s="112"/>
      <c r="D9367" s="5"/>
      <c r="E9367" s="5"/>
      <c r="F9367" s="5"/>
      <c r="G9367" s="5"/>
      <c r="H9367" s="5"/>
      <c r="I9367" s="5"/>
      <c r="J9367" s="5"/>
      <c r="K9367" s="5"/>
    </row>
    <row r="9368" spans="3:11" x14ac:dyDescent="0.35">
      <c r="C9368" s="112"/>
      <c r="D9368" s="5"/>
      <c r="E9368" s="5"/>
      <c r="F9368" s="5"/>
      <c r="G9368" s="5"/>
      <c r="H9368" s="5"/>
      <c r="I9368" s="5"/>
      <c r="J9368" s="5"/>
      <c r="K9368" s="5"/>
    </row>
    <row r="9369" spans="3:11" x14ac:dyDescent="0.35">
      <c r="C9369" s="112"/>
      <c r="D9369" s="5"/>
      <c r="E9369" s="5"/>
      <c r="F9369" s="5"/>
      <c r="G9369" s="5"/>
      <c r="H9369" s="5"/>
      <c r="I9369" s="5"/>
      <c r="J9369" s="5"/>
      <c r="K9369" s="5"/>
    </row>
    <row r="9370" spans="3:11" x14ac:dyDescent="0.35">
      <c r="C9370" s="112"/>
      <c r="D9370" s="5"/>
      <c r="E9370" s="5"/>
      <c r="F9370" s="5"/>
      <c r="G9370" s="5"/>
      <c r="H9370" s="5"/>
      <c r="I9370" s="5"/>
      <c r="J9370" s="5"/>
      <c r="K9370" s="5"/>
    </row>
    <row r="9371" spans="3:11" x14ac:dyDescent="0.35">
      <c r="C9371" s="112"/>
      <c r="D9371" s="5"/>
      <c r="E9371" s="5"/>
      <c r="F9371" s="5"/>
      <c r="G9371" s="5"/>
      <c r="H9371" s="5"/>
      <c r="I9371" s="5"/>
      <c r="J9371" s="5"/>
      <c r="K9371" s="5"/>
    </row>
    <row r="9372" spans="3:11" x14ac:dyDescent="0.35">
      <c r="C9372" s="112"/>
      <c r="D9372" s="5"/>
      <c r="E9372" s="5"/>
      <c r="F9372" s="5"/>
      <c r="G9372" s="5"/>
      <c r="H9372" s="5"/>
      <c r="I9372" s="5"/>
      <c r="J9372" s="5"/>
      <c r="K9372" s="5"/>
    </row>
    <row r="9373" spans="3:11" x14ac:dyDescent="0.35">
      <c r="C9373" s="112"/>
      <c r="D9373" s="5"/>
      <c r="E9373" s="5"/>
      <c r="F9373" s="5"/>
      <c r="G9373" s="5"/>
      <c r="H9373" s="5"/>
      <c r="I9373" s="5"/>
      <c r="J9373" s="5"/>
      <c r="K9373" s="5"/>
    </row>
    <row r="9374" spans="3:11" x14ac:dyDescent="0.35">
      <c r="C9374" s="112"/>
      <c r="D9374" s="5"/>
      <c r="E9374" s="5"/>
      <c r="F9374" s="5"/>
      <c r="G9374" s="5"/>
      <c r="H9374" s="5"/>
      <c r="I9374" s="5"/>
      <c r="J9374" s="5"/>
      <c r="K9374" s="5"/>
    </row>
    <row r="9375" spans="3:11" x14ac:dyDescent="0.35">
      <c r="C9375" s="112"/>
      <c r="D9375" s="5"/>
      <c r="E9375" s="5"/>
      <c r="F9375" s="5"/>
      <c r="G9375" s="5"/>
      <c r="H9375" s="5"/>
      <c r="I9375" s="5"/>
      <c r="J9375" s="5"/>
      <c r="K9375" s="5"/>
    </row>
    <row r="9376" spans="3:11" x14ac:dyDescent="0.35">
      <c r="C9376" s="112"/>
      <c r="D9376" s="5"/>
      <c r="E9376" s="5"/>
      <c r="F9376" s="5"/>
      <c r="G9376" s="5"/>
      <c r="H9376" s="5"/>
      <c r="I9376" s="5"/>
      <c r="J9376" s="5"/>
      <c r="K9376" s="5"/>
    </row>
    <row r="9377" spans="3:11" x14ac:dyDescent="0.35">
      <c r="C9377" s="112"/>
      <c r="D9377" s="5"/>
      <c r="E9377" s="5"/>
      <c r="F9377" s="5"/>
      <c r="G9377" s="5"/>
      <c r="H9377" s="5"/>
      <c r="I9377" s="5"/>
      <c r="J9377" s="5"/>
      <c r="K9377" s="5"/>
    </row>
    <row r="9378" spans="3:11" x14ac:dyDescent="0.35">
      <c r="C9378" s="112"/>
      <c r="D9378" s="5"/>
      <c r="E9378" s="5"/>
      <c r="F9378" s="5"/>
      <c r="G9378" s="5"/>
      <c r="H9378" s="5"/>
      <c r="I9378" s="5"/>
      <c r="J9378" s="5"/>
      <c r="K9378" s="5"/>
    </row>
    <row r="9379" spans="3:11" x14ac:dyDescent="0.35">
      <c r="C9379" s="112"/>
      <c r="D9379" s="5"/>
      <c r="E9379" s="5"/>
      <c r="F9379" s="5"/>
      <c r="G9379" s="5"/>
      <c r="H9379" s="5"/>
      <c r="I9379" s="5"/>
      <c r="J9379" s="5"/>
      <c r="K9379" s="5"/>
    </row>
    <row r="9380" spans="3:11" x14ac:dyDescent="0.35">
      <c r="C9380" s="112"/>
      <c r="D9380" s="5"/>
      <c r="E9380" s="5"/>
      <c r="F9380" s="5"/>
      <c r="G9380" s="5"/>
      <c r="H9380" s="5"/>
      <c r="I9380" s="5"/>
      <c r="J9380" s="5"/>
      <c r="K9380" s="5"/>
    </row>
    <row r="9381" spans="3:11" x14ac:dyDescent="0.35">
      <c r="C9381" s="112"/>
      <c r="D9381" s="5"/>
      <c r="E9381" s="5"/>
      <c r="F9381" s="5"/>
      <c r="G9381" s="5"/>
      <c r="H9381" s="5"/>
      <c r="I9381" s="5"/>
      <c r="J9381" s="5"/>
      <c r="K9381" s="5"/>
    </row>
    <row r="9382" spans="3:11" x14ac:dyDescent="0.35">
      <c r="C9382" s="112"/>
      <c r="D9382" s="5"/>
      <c r="E9382" s="5"/>
      <c r="F9382" s="5"/>
      <c r="G9382" s="5"/>
      <c r="H9382" s="5"/>
      <c r="I9382" s="5"/>
      <c r="J9382" s="5"/>
      <c r="K9382" s="5"/>
    </row>
    <row r="9383" spans="3:11" x14ac:dyDescent="0.35">
      <c r="C9383" s="112"/>
      <c r="D9383" s="5"/>
      <c r="E9383" s="5"/>
      <c r="F9383" s="5"/>
      <c r="G9383" s="5"/>
      <c r="H9383" s="5"/>
      <c r="I9383" s="5"/>
      <c r="J9383" s="5"/>
      <c r="K9383" s="5"/>
    </row>
    <row r="9384" spans="3:11" x14ac:dyDescent="0.35">
      <c r="C9384" s="112"/>
      <c r="D9384" s="5"/>
      <c r="E9384" s="5"/>
      <c r="F9384" s="5"/>
      <c r="G9384" s="5"/>
      <c r="H9384" s="5"/>
      <c r="I9384" s="5"/>
      <c r="J9384" s="5"/>
      <c r="K9384" s="5"/>
    </row>
    <row r="9385" spans="3:11" x14ac:dyDescent="0.35">
      <c r="C9385" s="112"/>
      <c r="D9385" s="5"/>
      <c r="E9385" s="5"/>
      <c r="F9385" s="5"/>
      <c r="G9385" s="5"/>
      <c r="H9385" s="5"/>
      <c r="I9385" s="5"/>
      <c r="J9385" s="5"/>
      <c r="K9385" s="5"/>
    </row>
    <row r="9386" spans="3:11" x14ac:dyDescent="0.35">
      <c r="C9386" s="112"/>
      <c r="D9386" s="5"/>
      <c r="E9386" s="5"/>
      <c r="F9386" s="5"/>
      <c r="G9386" s="5"/>
      <c r="H9386" s="5"/>
      <c r="I9386" s="5"/>
      <c r="J9386" s="5"/>
      <c r="K9386" s="5"/>
    </row>
    <row r="9387" spans="3:11" x14ac:dyDescent="0.35">
      <c r="C9387" s="112"/>
      <c r="D9387" s="5"/>
      <c r="E9387" s="5"/>
      <c r="F9387" s="5"/>
      <c r="G9387" s="5"/>
      <c r="H9387" s="5"/>
      <c r="I9387" s="5"/>
      <c r="J9387" s="5"/>
      <c r="K9387" s="5"/>
    </row>
    <row r="9388" spans="3:11" x14ac:dyDescent="0.35">
      <c r="C9388" s="112"/>
      <c r="D9388" s="5"/>
      <c r="E9388" s="5"/>
      <c r="F9388" s="5"/>
      <c r="G9388" s="5"/>
      <c r="H9388" s="5"/>
      <c r="I9388" s="5"/>
      <c r="J9388" s="5"/>
      <c r="K9388" s="5"/>
    </row>
    <row r="9389" spans="3:11" x14ac:dyDescent="0.35">
      <c r="C9389" s="112"/>
      <c r="D9389" s="5"/>
      <c r="E9389" s="5"/>
      <c r="F9389" s="5"/>
      <c r="G9389" s="5"/>
      <c r="H9389" s="5"/>
      <c r="I9389" s="5"/>
      <c r="J9389" s="5"/>
      <c r="K9389" s="5"/>
    </row>
    <row r="9390" spans="3:11" x14ac:dyDescent="0.35">
      <c r="C9390" s="112"/>
      <c r="D9390" s="5"/>
      <c r="E9390" s="5"/>
      <c r="F9390" s="5"/>
      <c r="G9390" s="5"/>
      <c r="H9390" s="5"/>
      <c r="I9390" s="5"/>
      <c r="J9390" s="5"/>
      <c r="K9390" s="5"/>
    </row>
    <row r="9391" spans="3:11" x14ac:dyDescent="0.35">
      <c r="C9391" s="112"/>
      <c r="D9391" s="5"/>
      <c r="E9391" s="5"/>
      <c r="F9391" s="5"/>
      <c r="G9391" s="5"/>
      <c r="H9391" s="5"/>
      <c r="I9391" s="5"/>
      <c r="J9391" s="5"/>
      <c r="K9391" s="5"/>
    </row>
    <row r="9392" spans="3:11" x14ac:dyDescent="0.35">
      <c r="C9392" s="112"/>
      <c r="D9392" s="5"/>
      <c r="E9392" s="5"/>
      <c r="F9392" s="5"/>
      <c r="G9392" s="5"/>
      <c r="H9392" s="5"/>
      <c r="I9392" s="5"/>
      <c r="J9392" s="5"/>
      <c r="K9392" s="5"/>
    </row>
    <row r="9393" spans="3:11" x14ac:dyDescent="0.35">
      <c r="C9393" s="112"/>
      <c r="D9393" s="5"/>
      <c r="E9393" s="5"/>
      <c r="F9393" s="5"/>
      <c r="G9393" s="5"/>
      <c r="H9393" s="5"/>
      <c r="I9393" s="5"/>
      <c r="J9393" s="5"/>
      <c r="K9393" s="5"/>
    </row>
    <row r="9394" spans="3:11" x14ac:dyDescent="0.35">
      <c r="C9394" s="112"/>
      <c r="D9394" s="5"/>
      <c r="E9394" s="5"/>
      <c r="F9394" s="5"/>
      <c r="G9394" s="5"/>
      <c r="H9394" s="5"/>
      <c r="I9394" s="5"/>
      <c r="J9394" s="5"/>
      <c r="K9394" s="5"/>
    </row>
    <row r="9395" spans="3:11" x14ac:dyDescent="0.35">
      <c r="C9395" s="112"/>
      <c r="D9395" s="5"/>
      <c r="E9395" s="5"/>
      <c r="F9395" s="5"/>
      <c r="G9395" s="5"/>
      <c r="H9395" s="5"/>
      <c r="I9395" s="5"/>
      <c r="J9395" s="5"/>
      <c r="K9395" s="5"/>
    </row>
    <row r="9396" spans="3:11" x14ac:dyDescent="0.35">
      <c r="C9396" s="112"/>
      <c r="D9396" s="5"/>
      <c r="E9396" s="5"/>
      <c r="F9396" s="5"/>
      <c r="G9396" s="5"/>
      <c r="H9396" s="5"/>
      <c r="I9396" s="5"/>
      <c r="J9396" s="5"/>
      <c r="K9396" s="5"/>
    </row>
    <row r="9397" spans="3:11" x14ac:dyDescent="0.35">
      <c r="C9397" s="112"/>
      <c r="D9397" s="5"/>
      <c r="E9397" s="5"/>
      <c r="F9397" s="5"/>
      <c r="G9397" s="5"/>
      <c r="H9397" s="5"/>
      <c r="I9397" s="5"/>
      <c r="J9397" s="5"/>
      <c r="K9397" s="5"/>
    </row>
    <row r="9398" spans="3:11" x14ac:dyDescent="0.35">
      <c r="C9398" s="112"/>
      <c r="D9398" s="5"/>
      <c r="E9398" s="5"/>
      <c r="F9398" s="5"/>
      <c r="G9398" s="5"/>
      <c r="H9398" s="5"/>
      <c r="I9398" s="5"/>
      <c r="J9398" s="5"/>
      <c r="K9398" s="5"/>
    </row>
    <row r="9399" spans="3:11" x14ac:dyDescent="0.35">
      <c r="C9399" s="112"/>
      <c r="D9399" s="5"/>
      <c r="E9399" s="5"/>
      <c r="F9399" s="5"/>
      <c r="G9399" s="5"/>
      <c r="H9399" s="5"/>
      <c r="I9399" s="5"/>
      <c r="J9399" s="5"/>
      <c r="K9399" s="5"/>
    </row>
    <row r="9400" spans="3:11" x14ac:dyDescent="0.35">
      <c r="C9400" s="112"/>
      <c r="D9400" s="5"/>
      <c r="E9400" s="5"/>
      <c r="F9400" s="5"/>
      <c r="G9400" s="5"/>
      <c r="H9400" s="5"/>
      <c r="I9400" s="5"/>
      <c r="J9400" s="5"/>
      <c r="K9400" s="5"/>
    </row>
    <row r="9401" spans="3:11" x14ac:dyDescent="0.35">
      <c r="C9401" s="112"/>
      <c r="D9401" s="5"/>
      <c r="E9401" s="5"/>
      <c r="F9401" s="5"/>
      <c r="G9401" s="5"/>
      <c r="H9401" s="5"/>
      <c r="I9401" s="5"/>
      <c r="J9401" s="5"/>
      <c r="K9401" s="5"/>
    </row>
    <row r="9402" spans="3:11" x14ac:dyDescent="0.35">
      <c r="C9402" s="112"/>
      <c r="D9402" s="5"/>
      <c r="E9402" s="5"/>
      <c r="F9402" s="5"/>
      <c r="G9402" s="5"/>
      <c r="H9402" s="5"/>
      <c r="I9402" s="5"/>
      <c r="J9402" s="5"/>
      <c r="K9402" s="5"/>
    </row>
    <row r="9403" spans="3:11" x14ac:dyDescent="0.35">
      <c r="C9403" s="112"/>
      <c r="D9403" s="5"/>
      <c r="E9403" s="5"/>
      <c r="F9403" s="5"/>
      <c r="G9403" s="5"/>
      <c r="H9403" s="5"/>
      <c r="I9403" s="5"/>
      <c r="J9403" s="5"/>
      <c r="K9403" s="5"/>
    </row>
    <row r="9404" spans="3:11" x14ac:dyDescent="0.35">
      <c r="C9404" s="112"/>
      <c r="D9404" s="5"/>
      <c r="E9404" s="5"/>
      <c r="F9404" s="5"/>
      <c r="G9404" s="5"/>
      <c r="H9404" s="5"/>
      <c r="I9404" s="5"/>
      <c r="J9404" s="5"/>
      <c r="K9404" s="5"/>
    </row>
    <row r="9405" spans="3:11" x14ac:dyDescent="0.35">
      <c r="C9405" s="112"/>
      <c r="D9405" s="5"/>
      <c r="E9405" s="5"/>
      <c r="F9405" s="5"/>
      <c r="G9405" s="5"/>
      <c r="H9405" s="5"/>
      <c r="I9405" s="5"/>
      <c r="J9405" s="5"/>
      <c r="K9405" s="5"/>
    </row>
    <row r="9406" spans="3:11" x14ac:dyDescent="0.35">
      <c r="C9406" s="112"/>
      <c r="D9406" s="5"/>
      <c r="E9406" s="5"/>
      <c r="F9406" s="5"/>
      <c r="G9406" s="5"/>
      <c r="H9406" s="5"/>
      <c r="I9406" s="5"/>
      <c r="J9406" s="5"/>
      <c r="K9406" s="5"/>
    </row>
    <row r="9407" spans="3:11" x14ac:dyDescent="0.35">
      <c r="C9407" s="112"/>
      <c r="D9407" s="5"/>
      <c r="E9407" s="5"/>
      <c r="F9407" s="5"/>
      <c r="G9407" s="5"/>
      <c r="H9407" s="5"/>
      <c r="I9407" s="5"/>
      <c r="J9407" s="5"/>
      <c r="K9407" s="5"/>
    </row>
    <row r="9408" spans="3:11" x14ac:dyDescent="0.35">
      <c r="C9408" s="112"/>
      <c r="D9408" s="5"/>
      <c r="E9408" s="5"/>
      <c r="F9408" s="5"/>
      <c r="G9408" s="5"/>
      <c r="H9408" s="5"/>
      <c r="I9408" s="5"/>
      <c r="J9408" s="5"/>
      <c r="K9408" s="5"/>
    </row>
    <row r="9409" spans="3:11" x14ac:dyDescent="0.35">
      <c r="C9409" s="112"/>
      <c r="D9409" s="5"/>
      <c r="E9409" s="5"/>
      <c r="F9409" s="5"/>
      <c r="G9409" s="5"/>
      <c r="H9409" s="5"/>
      <c r="I9409" s="5"/>
      <c r="J9409" s="5"/>
      <c r="K9409" s="5"/>
    </row>
    <row r="9410" spans="3:11" x14ac:dyDescent="0.35">
      <c r="C9410" s="112"/>
      <c r="D9410" s="5"/>
      <c r="E9410" s="5"/>
      <c r="F9410" s="5"/>
      <c r="G9410" s="5"/>
      <c r="H9410" s="5"/>
      <c r="I9410" s="5"/>
      <c r="J9410" s="5"/>
      <c r="K9410" s="5"/>
    </row>
    <row r="9411" spans="3:11" x14ac:dyDescent="0.35">
      <c r="C9411" s="112"/>
      <c r="D9411" s="5"/>
      <c r="E9411" s="5"/>
      <c r="F9411" s="5"/>
      <c r="G9411" s="5"/>
      <c r="H9411" s="5"/>
      <c r="I9411" s="5"/>
      <c r="J9411" s="5"/>
      <c r="K9411" s="5"/>
    </row>
    <row r="9412" spans="3:11" x14ac:dyDescent="0.35">
      <c r="C9412" s="112"/>
      <c r="D9412" s="5"/>
      <c r="E9412" s="5"/>
      <c r="F9412" s="5"/>
      <c r="G9412" s="5"/>
      <c r="H9412" s="5"/>
      <c r="I9412" s="5"/>
      <c r="J9412" s="5"/>
      <c r="K9412" s="5"/>
    </row>
    <row r="9413" spans="3:11" x14ac:dyDescent="0.35">
      <c r="C9413" s="112"/>
      <c r="D9413" s="5"/>
      <c r="E9413" s="5"/>
      <c r="F9413" s="5"/>
      <c r="G9413" s="5"/>
      <c r="H9413" s="5"/>
      <c r="I9413" s="5"/>
      <c r="J9413" s="5"/>
      <c r="K9413" s="5"/>
    </row>
    <row r="9414" spans="3:11" x14ac:dyDescent="0.35">
      <c r="C9414" s="112"/>
      <c r="D9414" s="5"/>
      <c r="E9414" s="5"/>
      <c r="F9414" s="5"/>
      <c r="G9414" s="5"/>
      <c r="H9414" s="5"/>
      <c r="I9414" s="5"/>
      <c r="J9414" s="5"/>
      <c r="K9414" s="5"/>
    </row>
    <row r="9415" spans="3:11" x14ac:dyDescent="0.35">
      <c r="C9415" s="112"/>
      <c r="D9415" s="5"/>
      <c r="E9415" s="5"/>
      <c r="F9415" s="5"/>
      <c r="G9415" s="5"/>
      <c r="H9415" s="5"/>
      <c r="I9415" s="5"/>
      <c r="J9415" s="5"/>
      <c r="K9415" s="5"/>
    </row>
    <row r="9416" spans="3:11" x14ac:dyDescent="0.35">
      <c r="C9416" s="112"/>
      <c r="D9416" s="5"/>
      <c r="E9416" s="5"/>
      <c r="F9416" s="5"/>
      <c r="G9416" s="5"/>
      <c r="H9416" s="5"/>
      <c r="I9416" s="5"/>
      <c r="J9416" s="5"/>
      <c r="K9416" s="5"/>
    </row>
    <row r="9417" spans="3:11" x14ac:dyDescent="0.35">
      <c r="C9417" s="112"/>
      <c r="D9417" s="5"/>
      <c r="E9417" s="5"/>
      <c r="F9417" s="5"/>
      <c r="G9417" s="5"/>
      <c r="H9417" s="5"/>
      <c r="I9417" s="5"/>
      <c r="J9417" s="5"/>
      <c r="K9417" s="5"/>
    </row>
    <row r="9418" spans="3:11" x14ac:dyDescent="0.35">
      <c r="C9418" s="112"/>
      <c r="D9418" s="5"/>
      <c r="E9418" s="5"/>
      <c r="F9418" s="5"/>
      <c r="G9418" s="5"/>
      <c r="H9418" s="5"/>
      <c r="I9418" s="5"/>
      <c r="J9418" s="5"/>
      <c r="K9418" s="5"/>
    </row>
    <row r="9419" spans="3:11" x14ac:dyDescent="0.35">
      <c r="C9419" s="112"/>
      <c r="D9419" s="5"/>
      <c r="E9419" s="5"/>
      <c r="F9419" s="5"/>
      <c r="G9419" s="5"/>
      <c r="H9419" s="5"/>
      <c r="I9419" s="5"/>
      <c r="J9419" s="5"/>
      <c r="K9419" s="5"/>
    </row>
    <row r="9420" spans="3:11" x14ac:dyDescent="0.35">
      <c r="C9420" s="112"/>
      <c r="D9420" s="5"/>
      <c r="E9420" s="5"/>
      <c r="F9420" s="5"/>
      <c r="G9420" s="5"/>
      <c r="H9420" s="5"/>
      <c r="I9420" s="5"/>
      <c r="J9420" s="5"/>
      <c r="K9420" s="5"/>
    </row>
    <row r="9421" spans="3:11" x14ac:dyDescent="0.35">
      <c r="C9421" s="112"/>
      <c r="D9421" s="5"/>
      <c r="E9421" s="5"/>
      <c r="F9421" s="5"/>
      <c r="G9421" s="5"/>
      <c r="H9421" s="5"/>
      <c r="I9421" s="5"/>
      <c r="J9421" s="5"/>
      <c r="K9421" s="5"/>
    </row>
    <row r="9422" spans="3:11" x14ac:dyDescent="0.35">
      <c r="C9422" s="112"/>
      <c r="D9422" s="5"/>
      <c r="E9422" s="5"/>
      <c r="F9422" s="5"/>
      <c r="G9422" s="5"/>
      <c r="H9422" s="5"/>
      <c r="I9422" s="5"/>
      <c r="J9422" s="5"/>
      <c r="K9422" s="5"/>
    </row>
    <row r="9423" spans="3:11" x14ac:dyDescent="0.35">
      <c r="C9423" s="112"/>
      <c r="D9423" s="5"/>
      <c r="E9423" s="5"/>
      <c r="F9423" s="5"/>
      <c r="G9423" s="5"/>
      <c r="H9423" s="5"/>
      <c r="I9423" s="5"/>
      <c r="J9423" s="5"/>
      <c r="K9423" s="5"/>
    </row>
    <row r="9424" spans="3:11" x14ac:dyDescent="0.35">
      <c r="C9424" s="112"/>
      <c r="D9424" s="5"/>
      <c r="E9424" s="5"/>
      <c r="F9424" s="5"/>
      <c r="G9424" s="5"/>
      <c r="H9424" s="5"/>
      <c r="I9424" s="5"/>
      <c r="J9424" s="5"/>
      <c r="K9424" s="5"/>
    </row>
    <row r="9425" spans="3:11" x14ac:dyDescent="0.35">
      <c r="C9425" s="112"/>
      <c r="D9425" s="5"/>
      <c r="E9425" s="5"/>
      <c r="F9425" s="5"/>
      <c r="G9425" s="5"/>
      <c r="H9425" s="5"/>
      <c r="I9425" s="5"/>
      <c r="J9425" s="5"/>
      <c r="K9425" s="5"/>
    </row>
    <row r="9426" spans="3:11" x14ac:dyDescent="0.35">
      <c r="C9426" s="112"/>
      <c r="D9426" s="5"/>
      <c r="E9426" s="5"/>
      <c r="F9426" s="5"/>
      <c r="G9426" s="5"/>
      <c r="H9426" s="5"/>
      <c r="I9426" s="5"/>
      <c r="J9426" s="5"/>
      <c r="K9426" s="5"/>
    </row>
    <row r="9427" spans="3:11" x14ac:dyDescent="0.35">
      <c r="C9427" s="112"/>
      <c r="D9427" s="5"/>
      <c r="E9427" s="5"/>
      <c r="F9427" s="5"/>
      <c r="G9427" s="5"/>
      <c r="H9427" s="5"/>
      <c r="I9427" s="5"/>
      <c r="J9427" s="5"/>
      <c r="K9427" s="5"/>
    </row>
    <row r="9428" spans="3:11" x14ac:dyDescent="0.35">
      <c r="C9428" s="112"/>
      <c r="D9428" s="5"/>
      <c r="E9428" s="5"/>
      <c r="F9428" s="5"/>
      <c r="G9428" s="5"/>
      <c r="H9428" s="5"/>
      <c r="I9428" s="5"/>
      <c r="J9428" s="5"/>
      <c r="K9428" s="5"/>
    </row>
    <row r="9429" spans="3:11" x14ac:dyDescent="0.35">
      <c r="C9429" s="112"/>
      <c r="D9429" s="5"/>
      <c r="E9429" s="5"/>
      <c r="F9429" s="5"/>
      <c r="G9429" s="5"/>
      <c r="H9429" s="5"/>
      <c r="I9429" s="5"/>
      <c r="J9429" s="5"/>
      <c r="K9429" s="5"/>
    </row>
    <row r="9430" spans="3:11" x14ac:dyDescent="0.35">
      <c r="C9430" s="112"/>
      <c r="D9430" s="5"/>
      <c r="E9430" s="5"/>
      <c r="F9430" s="5"/>
      <c r="G9430" s="5"/>
      <c r="H9430" s="5"/>
      <c r="I9430" s="5"/>
      <c r="J9430" s="5"/>
      <c r="K9430" s="5"/>
    </row>
    <row r="9431" spans="3:11" x14ac:dyDescent="0.35">
      <c r="C9431" s="112"/>
      <c r="D9431" s="5"/>
      <c r="E9431" s="5"/>
      <c r="F9431" s="5"/>
      <c r="G9431" s="5"/>
      <c r="H9431" s="5"/>
      <c r="I9431" s="5"/>
      <c r="J9431" s="5"/>
      <c r="K9431" s="5"/>
    </row>
    <row r="9432" spans="3:11" x14ac:dyDescent="0.35">
      <c r="C9432" s="112"/>
      <c r="D9432" s="5"/>
      <c r="E9432" s="5"/>
      <c r="F9432" s="5"/>
      <c r="G9432" s="5"/>
      <c r="H9432" s="5"/>
      <c r="I9432" s="5"/>
      <c r="J9432" s="5"/>
      <c r="K9432" s="5"/>
    </row>
    <row r="9433" spans="3:11" x14ac:dyDescent="0.35">
      <c r="C9433" s="112"/>
      <c r="D9433" s="5"/>
      <c r="E9433" s="5"/>
      <c r="F9433" s="5"/>
      <c r="G9433" s="5"/>
      <c r="H9433" s="5"/>
      <c r="I9433" s="5"/>
      <c r="J9433" s="5"/>
      <c r="K9433" s="5"/>
    </row>
    <row r="9434" spans="3:11" x14ac:dyDescent="0.35">
      <c r="C9434" s="112"/>
      <c r="D9434" s="5"/>
      <c r="E9434" s="5"/>
      <c r="F9434" s="5"/>
      <c r="G9434" s="5"/>
      <c r="H9434" s="5"/>
      <c r="I9434" s="5"/>
      <c r="J9434" s="5"/>
      <c r="K9434" s="5"/>
    </row>
    <row r="9435" spans="3:11" x14ac:dyDescent="0.35">
      <c r="C9435" s="112"/>
      <c r="D9435" s="5"/>
      <c r="E9435" s="5"/>
      <c r="F9435" s="5"/>
      <c r="G9435" s="5"/>
      <c r="H9435" s="5"/>
      <c r="I9435" s="5"/>
      <c r="J9435" s="5"/>
      <c r="K9435" s="5"/>
    </row>
    <row r="9436" spans="3:11" x14ac:dyDescent="0.35">
      <c r="C9436" s="112"/>
      <c r="D9436" s="5"/>
      <c r="E9436" s="5"/>
      <c r="F9436" s="5"/>
      <c r="G9436" s="5"/>
      <c r="H9436" s="5"/>
      <c r="I9436" s="5"/>
      <c r="J9436" s="5"/>
      <c r="K9436" s="5"/>
    </row>
    <row r="9437" spans="3:11" x14ac:dyDescent="0.35">
      <c r="C9437" s="112"/>
      <c r="D9437" s="5"/>
      <c r="E9437" s="5"/>
      <c r="F9437" s="5"/>
      <c r="G9437" s="5"/>
      <c r="H9437" s="5"/>
      <c r="I9437" s="5"/>
      <c r="J9437" s="5"/>
      <c r="K9437" s="5"/>
    </row>
    <row r="9438" spans="3:11" x14ac:dyDescent="0.35">
      <c r="C9438" s="112"/>
      <c r="D9438" s="5"/>
      <c r="E9438" s="5"/>
      <c r="F9438" s="5"/>
      <c r="G9438" s="5"/>
      <c r="H9438" s="5"/>
      <c r="I9438" s="5"/>
      <c r="J9438" s="5"/>
      <c r="K9438" s="5"/>
    </row>
    <row r="9439" spans="3:11" x14ac:dyDescent="0.35">
      <c r="C9439" s="112"/>
      <c r="D9439" s="5"/>
      <c r="E9439" s="5"/>
      <c r="F9439" s="5"/>
      <c r="G9439" s="5"/>
      <c r="H9439" s="5"/>
      <c r="I9439" s="5"/>
      <c r="J9439" s="5"/>
      <c r="K9439" s="5"/>
    </row>
    <row r="9440" spans="3:11" x14ac:dyDescent="0.35">
      <c r="C9440" s="112"/>
      <c r="D9440" s="5"/>
      <c r="E9440" s="5"/>
      <c r="F9440" s="5"/>
      <c r="G9440" s="5"/>
      <c r="H9440" s="5"/>
      <c r="I9440" s="5"/>
      <c r="J9440" s="5"/>
      <c r="K9440" s="5"/>
    </row>
    <row r="9441" spans="3:11" x14ac:dyDescent="0.35">
      <c r="C9441" s="112"/>
      <c r="D9441" s="5"/>
      <c r="E9441" s="5"/>
      <c r="F9441" s="5"/>
      <c r="G9441" s="5"/>
      <c r="H9441" s="5"/>
      <c r="I9441" s="5"/>
      <c r="J9441" s="5"/>
      <c r="K9441" s="5"/>
    </row>
    <row r="9442" spans="3:11" x14ac:dyDescent="0.35">
      <c r="C9442" s="112"/>
      <c r="D9442" s="5"/>
      <c r="E9442" s="5"/>
      <c r="F9442" s="5"/>
      <c r="G9442" s="5"/>
      <c r="H9442" s="5"/>
      <c r="I9442" s="5"/>
      <c r="J9442" s="5"/>
      <c r="K9442" s="5"/>
    </row>
    <row r="9443" spans="3:11" x14ac:dyDescent="0.35">
      <c r="C9443" s="112"/>
      <c r="D9443" s="5"/>
      <c r="E9443" s="5"/>
      <c r="F9443" s="5"/>
      <c r="G9443" s="5"/>
      <c r="H9443" s="5"/>
      <c r="I9443" s="5"/>
      <c r="J9443" s="5"/>
      <c r="K9443" s="5"/>
    </row>
    <row r="9444" spans="3:11" x14ac:dyDescent="0.35">
      <c r="C9444" s="112"/>
      <c r="D9444" s="5"/>
      <c r="E9444" s="5"/>
      <c r="F9444" s="5"/>
      <c r="G9444" s="5"/>
      <c r="H9444" s="5"/>
      <c r="I9444" s="5"/>
      <c r="J9444" s="5"/>
      <c r="K9444" s="5"/>
    </row>
    <row r="9445" spans="3:11" x14ac:dyDescent="0.35">
      <c r="C9445" s="112"/>
      <c r="D9445" s="5"/>
      <c r="E9445" s="5"/>
      <c r="F9445" s="5"/>
      <c r="G9445" s="5"/>
      <c r="H9445" s="5"/>
      <c r="I9445" s="5"/>
      <c r="J9445" s="5"/>
      <c r="K9445" s="5"/>
    </row>
    <row r="9446" spans="3:11" x14ac:dyDescent="0.35">
      <c r="C9446" s="112"/>
      <c r="D9446" s="5"/>
      <c r="E9446" s="5"/>
      <c r="F9446" s="5"/>
      <c r="G9446" s="5"/>
      <c r="H9446" s="5"/>
      <c r="I9446" s="5"/>
      <c r="J9446" s="5"/>
      <c r="K9446" s="5"/>
    </row>
    <row r="9447" spans="3:11" x14ac:dyDescent="0.35">
      <c r="C9447" s="112"/>
      <c r="D9447" s="5"/>
      <c r="E9447" s="5"/>
      <c r="F9447" s="5"/>
      <c r="G9447" s="5"/>
      <c r="H9447" s="5"/>
      <c r="I9447" s="5"/>
      <c r="J9447" s="5"/>
      <c r="K9447" s="5"/>
    </row>
    <row r="9448" spans="3:11" x14ac:dyDescent="0.35">
      <c r="C9448" s="112"/>
      <c r="D9448" s="5"/>
      <c r="E9448" s="5"/>
      <c r="F9448" s="5"/>
      <c r="G9448" s="5"/>
      <c r="H9448" s="5"/>
      <c r="I9448" s="5"/>
      <c r="J9448" s="5"/>
      <c r="K9448" s="5"/>
    </row>
    <row r="9449" spans="3:11" x14ac:dyDescent="0.35">
      <c r="C9449" s="112"/>
      <c r="D9449" s="5"/>
      <c r="E9449" s="5"/>
      <c r="F9449" s="5"/>
      <c r="G9449" s="5"/>
      <c r="H9449" s="5"/>
      <c r="I9449" s="5"/>
      <c r="J9449" s="5"/>
      <c r="K9449" s="5"/>
    </row>
    <row r="9450" spans="3:11" x14ac:dyDescent="0.35">
      <c r="C9450" s="112"/>
      <c r="D9450" s="5"/>
      <c r="E9450" s="5"/>
      <c r="F9450" s="5"/>
      <c r="G9450" s="5"/>
      <c r="H9450" s="5"/>
      <c r="I9450" s="5"/>
      <c r="J9450" s="5"/>
      <c r="K9450" s="5"/>
    </row>
    <row r="9451" spans="3:11" x14ac:dyDescent="0.35">
      <c r="C9451" s="112"/>
      <c r="D9451" s="5"/>
      <c r="E9451" s="5"/>
      <c r="F9451" s="5"/>
      <c r="G9451" s="5"/>
      <c r="H9451" s="5"/>
      <c r="I9451" s="5"/>
      <c r="J9451" s="5"/>
      <c r="K9451" s="5"/>
    </row>
    <row r="9452" spans="3:11" x14ac:dyDescent="0.35">
      <c r="C9452" s="112"/>
      <c r="D9452" s="5"/>
      <c r="E9452" s="5"/>
      <c r="F9452" s="5"/>
      <c r="G9452" s="5"/>
      <c r="H9452" s="5"/>
      <c r="I9452" s="5"/>
      <c r="J9452" s="5"/>
      <c r="K9452" s="5"/>
    </row>
    <row r="9453" spans="3:11" x14ac:dyDescent="0.35">
      <c r="C9453" s="112"/>
      <c r="D9453" s="5"/>
      <c r="E9453" s="5"/>
      <c r="F9453" s="5"/>
      <c r="G9453" s="5"/>
      <c r="H9453" s="5"/>
      <c r="I9453" s="5"/>
      <c r="J9453" s="5"/>
      <c r="K9453" s="5"/>
    </row>
    <row r="9454" spans="3:11" x14ac:dyDescent="0.35">
      <c r="C9454" s="112"/>
      <c r="D9454" s="5"/>
      <c r="E9454" s="5"/>
      <c r="F9454" s="5"/>
      <c r="G9454" s="5"/>
      <c r="H9454" s="5"/>
      <c r="I9454" s="5"/>
      <c r="J9454" s="5"/>
      <c r="K9454" s="5"/>
    </row>
    <row r="9455" spans="3:11" x14ac:dyDescent="0.35">
      <c r="C9455" s="112"/>
      <c r="D9455" s="5"/>
      <c r="E9455" s="5"/>
      <c r="F9455" s="5"/>
      <c r="G9455" s="5"/>
      <c r="H9455" s="5"/>
      <c r="I9455" s="5"/>
      <c r="J9455" s="5"/>
      <c r="K9455" s="5"/>
    </row>
    <row r="9456" spans="3:11" x14ac:dyDescent="0.35">
      <c r="C9456" s="112"/>
      <c r="D9456" s="5"/>
      <c r="E9456" s="5"/>
      <c r="F9456" s="5"/>
      <c r="G9456" s="5"/>
      <c r="H9456" s="5"/>
      <c r="I9456" s="5"/>
      <c r="J9456" s="5"/>
      <c r="K9456" s="5"/>
    </row>
    <row r="9457" spans="3:11" x14ac:dyDescent="0.35">
      <c r="C9457" s="112"/>
      <c r="D9457" s="5"/>
      <c r="E9457" s="5"/>
      <c r="F9457" s="5"/>
      <c r="G9457" s="5"/>
      <c r="H9457" s="5"/>
      <c r="I9457" s="5"/>
      <c r="J9457" s="5"/>
      <c r="K9457" s="5"/>
    </row>
    <row r="9458" spans="3:11" x14ac:dyDescent="0.35">
      <c r="C9458" s="112"/>
      <c r="D9458" s="5"/>
      <c r="E9458" s="5"/>
      <c r="F9458" s="5"/>
      <c r="G9458" s="5"/>
      <c r="H9458" s="5"/>
      <c r="I9458" s="5"/>
      <c r="J9458" s="5"/>
      <c r="K9458" s="5"/>
    </row>
    <row r="9459" spans="3:11" x14ac:dyDescent="0.35">
      <c r="C9459" s="112"/>
      <c r="D9459" s="5"/>
      <c r="E9459" s="5"/>
      <c r="F9459" s="5"/>
      <c r="G9459" s="5"/>
      <c r="H9459" s="5"/>
      <c r="I9459" s="5"/>
      <c r="J9459" s="5"/>
      <c r="K9459" s="5"/>
    </row>
    <row r="9460" spans="3:11" x14ac:dyDescent="0.35">
      <c r="C9460" s="112"/>
      <c r="D9460" s="5"/>
      <c r="E9460" s="5"/>
      <c r="F9460" s="5"/>
      <c r="G9460" s="5"/>
      <c r="H9460" s="5"/>
      <c r="I9460" s="5"/>
      <c r="J9460" s="5"/>
      <c r="K9460" s="5"/>
    </row>
    <row r="9461" spans="3:11" x14ac:dyDescent="0.35">
      <c r="C9461" s="112"/>
      <c r="D9461" s="5"/>
      <c r="E9461" s="5"/>
      <c r="F9461" s="5"/>
      <c r="G9461" s="5"/>
      <c r="H9461" s="5"/>
      <c r="I9461" s="5"/>
      <c r="J9461" s="5"/>
      <c r="K9461" s="5"/>
    </row>
    <row r="9462" spans="3:11" x14ac:dyDescent="0.35">
      <c r="C9462" s="112"/>
      <c r="D9462" s="5"/>
      <c r="E9462" s="5"/>
      <c r="F9462" s="5"/>
      <c r="G9462" s="5"/>
      <c r="H9462" s="5"/>
      <c r="I9462" s="5"/>
      <c r="J9462" s="5"/>
      <c r="K9462" s="5"/>
    </row>
    <row r="9463" spans="3:11" x14ac:dyDescent="0.35">
      <c r="C9463" s="112"/>
      <c r="D9463" s="5"/>
      <c r="E9463" s="5"/>
      <c r="F9463" s="5"/>
      <c r="G9463" s="5"/>
      <c r="H9463" s="5"/>
      <c r="I9463" s="5"/>
      <c r="J9463" s="5"/>
      <c r="K9463" s="5"/>
    </row>
    <row r="9464" spans="3:11" x14ac:dyDescent="0.35">
      <c r="C9464" s="112"/>
      <c r="D9464" s="5"/>
      <c r="E9464" s="5"/>
      <c r="F9464" s="5"/>
      <c r="G9464" s="5"/>
      <c r="H9464" s="5"/>
      <c r="I9464" s="5"/>
      <c r="J9464" s="5"/>
      <c r="K9464" s="5"/>
    </row>
    <row r="9465" spans="3:11" x14ac:dyDescent="0.35">
      <c r="C9465" s="112"/>
      <c r="D9465" s="5"/>
      <c r="E9465" s="5"/>
      <c r="F9465" s="5"/>
      <c r="G9465" s="5"/>
      <c r="H9465" s="5"/>
      <c r="I9465" s="5"/>
      <c r="J9465" s="5"/>
      <c r="K9465" s="5"/>
    </row>
    <row r="9466" spans="3:11" x14ac:dyDescent="0.35">
      <c r="C9466" s="112"/>
      <c r="D9466" s="5"/>
      <c r="E9466" s="5"/>
      <c r="F9466" s="5"/>
      <c r="G9466" s="5"/>
      <c r="H9466" s="5"/>
      <c r="I9466" s="5"/>
      <c r="J9466" s="5"/>
      <c r="K9466" s="5"/>
    </row>
    <row r="9467" spans="3:11" x14ac:dyDescent="0.35">
      <c r="C9467" s="112"/>
      <c r="D9467" s="5"/>
      <c r="E9467" s="5"/>
      <c r="F9467" s="5"/>
      <c r="G9467" s="5"/>
      <c r="H9467" s="5"/>
      <c r="I9467" s="5"/>
      <c r="J9467" s="5"/>
      <c r="K9467" s="5"/>
    </row>
    <row r="9468" spans="3:11" x14ac:dyDescent="0.35">
      <c r="C9468" s="112"/>
      <c r="D9468" s="5"/>
      <c r="E9468" s="5"/>
      <c r="F9468" s="5"/>
      <c r="G9468" s="5"/>
      <c r="H9468" s="5"/>
      <c r="I9468" s="5"/>
      <c r="J9468" s="5"/>
      <c r="K9468" s="5"/>
    </row>
    <row r="9469" spans="3:11" x14ac:dyDescent="0.35">
      <c r="C9469" s="112"/>
      <c r="D9469" s="5"/>
      <c r="E9469" s="5"/>
      <c r="F9469" s="5"/>
      <c r="G9469" s="5"/>
      <c r="H9469" s="5"/>
      <c r="I9469" s="5"/>
      <c r="J9469" s="5"/>
      <c r="K9469" s="5"/>
    </row>
    <row r="9470" spans="3:11" x14ac:dyDescent="0.35">
      <c r="C9470" s="112"/>
      <c r="D9470" s="5"/>
      <c r="E9470" s="5"/>
      <c r="F9470" s="5"/>
      <c r="G9470" s="5"/>
      <c r="H9470" s="5"/>
      <c r="I9470" s="5"/>
      <c r="J9470" s="5"/>
      <c r="K9470" s="5"/>
    </row>
    <row r="9471" spans="3:11" x14ac:dyDescent="0.35">
      <c r="C9471" s="112"/>
      <c r="D9471" s="5"/>
      <c r="E9471" s="5"/>
      <c r="F9471" s="5"/>
      <c r="G9471" s="5"/>
      <c r="H9471" s="5"/>
      <c r="I9471" s="5"/>
      <c r="J9471" s="5"/>
      <c r="K9471" s="5"/>
    </row>
    <row r="9472" spans="3:11" x14ac:dyDescent="0.35">
      <c r="C9472" s="112"/>
      <c r="D9472" s="5"/>
      <c r="E9472" s="5"/>
      <c r="F9472" s="5"/>
      <c r="G9472" s="5"/>
      <c r="H9472" s="5"/>
      <c r="I9472" s="5"/>
      <c r="J9472" s="5"/>
      <c r="K9472" s="5"/>
    </row>
    <row r="9473" spans="3:11" x14ac:dyDescent="0.35">
      <c r="C9473" s="112"/>
      <c r="D9473" s="5"/>
      <c r="E9473" s="5"/>
      <c r="F9473" s="5"/>
      <c r="G9473" s="5"/>
      <c r="H9473" s="5"/>
      <c r="I9473" s="5"/>
      <c r="J9473" s="5"/>
      <c r="K9473" s="5"/>
    </row>
    <row r="9474" spans="3:11" x14ac:dyDescent="0.35">
      <c r="C9474" s="112"/>
      <c r="D9474" s="5"/>
      <c r="E9474" s="5"/>
      <c r="F9474" s="5"/>
      <c r="G9474" s="5"/>
      <c r="H9474" s="5"/>
      <c r="I9474" s="5"/>
      <c r="J9474" s="5"/>
      <c r="K9474" s="5"/>
    </row>
    <row r="9475" spans="3:11" x14ac:dyDescent="0.35">
      <c r="C9475" s="112"/>
      <c r="D9475" s="5"/>
      <c r="E9475" s="5"/>
      <c r="F9475" s="5"/>
      <c r="G9475" s="5"/>
      <c r="H9475" s="5"/>
      <c r="I9475" s="5"/>
      <c r="J9475" s="5"/>
      <c r="K9475" s="5"/>
    </row>
    <row r="9476" spans="3:11" x14ac:dyDescent="0.35">
      <c r="C9476" s="112"/>
      <c r="D9476" s="5"/>
      <c r="E9476" s="5"/>
      <c r="F9476" s="5"/>
      <c r="G9476" s="5"/>
      <c r="H9476" s="5"/>
      <c r="I9476" s="5"/>
      <c r="J9476" s="5"/>
      <c r="K9476" s="5"/>
    </row>
    <row r="9477" spans="3:11" x14ac:dyDescent="0.35">
      <c r="C9477" s="112"/>
      <c r="D9477" s="5"/>
      <c r="E9477" s="5"/>
      <c r="F9477" s="5"/>
      <c r="G9477" s="5"/>
      <c r="H9477" s="5"/>
      <c r="I9477" s="5"/>
      <c r="J9477" s="5"/>
      <c r="K9477" s="5"/>
    </row>
    <row r="9478" spans="3:11" x14ac:dyDescent="0.35">
      <c r="C9478" s="112"/>
      <c r="D9478" s="5"/>
      <c r="E9478" s="5"/>
      <c r="F9478" s="5"/>
      <c r="G9478" s="5"/>
      <c r="H9478" s="5"/>
      <c r="I9478" s="5"/>
      <c r="J9478" s="5"/>
      <c r="K9478" s="5"/>
    </row>
    <row r="9479" spans="3:11" x14ac:dyDescent="0.35">
      <c r="C9479" s="112"/>
      <c r="D9479" s="5"/>
      <c r="E9479" s="5"/>
      <c r="F9479" s="5"/>
      <c r="G9479" s="5"/>
      <c r="H9479" s="5"/>
      <c r="I9479" s="5"/>
      <c r="J9479" s="5"/>
      <c r="K9479" s="5"/>
    </row>
    <row r="9480" spans="3:11" x14ac:dyDescent="0.35">
      <c r="C9480" s="112"/>
      <c r="D9480" s="5"/>
      <c r="E9480" s="5"/>
      <c r="F9480" s="5"/>
      <c r="G9480" s="5"/>
      <c r="H9480" s="5"/>
      <c r="I9480" s="5"/>
      <c r="J9480" s="5"/>
      <c r="K9480" s="5"/>
    </row>
    <row r="9481" spans="3:11" x14ac:dyDescent="0.35">
      <c r="C9481" s="112"/>
      <c r="D9481" s="5"/>
      <c r="E9481" s="5"/>
      <c r="F9481" s="5"/>
      <c r="G9481" s="5"/>
      <c r="H9481" s="5"/>
      <c r="I9481" s="5"/>
      <c r="J9481" s="5"/>
      <c r="K9481" s="5"/>
    </row>
    <row r="9482" spans="3:11" x14ac:dyDescent="0.35">
      <c r="C9482" s="112"/>
      <c r="D9482" s="5"/>
      <c r="E9482" s="5"/>
      <c r="F9482" s="5"/>
      <c r="G9482" s="5"/>
      <c r="H9482" s="5"/>
      <c r="I9482" s="5"/>
      <c r="J9482" s="5"/>
      <c r="K9482" s="5"/>
    </row>
    <row r="9483" spans="3:11" x14ac:dyDescent="0.35">
      <c r="C9483" s="112"/>
      <c r="D9483" s="5"/>
      <c r="E9483" s="5"/>
      <c r="F9483" s="5"/>
      <c r="G9483" s="5"/>
      <c r="H9483" s="5"/>
      <c r="I9483" s="5"/>
      <c r="J9483" s="5"/>
      <c r="K9483" s="5"/>
    </row>
    <row r="9484" spans="3:11" x14ac:dyDescent="0.35">
      <c r="C9484" s="112"/>
      <c r="D9484" s="5"/>
      <c r="E9484" s="5"/>
      <c r="F9484" s="5"/>
      <c r="G9484" s="5"/>
      <c r="H9484" s="5"/>
      <c r="I9484" s="5"/>
      <c r="J9484" s="5"/>
      <c r="K9484" s="5"/>
    </row>
    <row r="9485" spans="3:11" x14ac:dyDescent="0.35">
      <c r="C9485" s="112"/>
      <c r="D9485" s="5"/>
      <c r="E9485" s="5"/>
      <c r="F9485" s="5"/>
      <c r="G9485" s="5"/>
      <c r="H9485" s="5"/>
      <c r="I9485" s="5"/>
      <c r="J9485" s="5"/>
      <c r="K9485" s="5"/>
    </row>
    <row r="9486" spans="3:11" x14ac:dyDescent="0.35">
      <c r="C9486" s="112"/>
      <c r="D9486" s="5"/>
      <c r="E9486" s="5"/>
      <c r="F9486" s="5"/>
      <c r="G9486" s="5"/>
      <c r="H9486" s="5"/>
      <c r="I9486" s="5"/>
      <c r="J9486" s="5"/>
      <c r="K9486" s="5"/>
    </row>
    <row r="9487" spans="3:11" x14ac:dyDescent="0.35">
      <c r="C9487" s="112"/>
      <c r="D9487" s="5"/>
      <c r="E9487" s="5"/>
      <c r="F9487" s="5"/>
      <c r="G9487" s="5"/>
      <c r="H9487" s="5"/>
      <c r="I9487" s="5"/>
      <c r="J9487" s="5"/>
      <c r="K9487" s="5"/>
    </row>
    <row r="9488" spans="3:11" x14ac:dyDescent="0.35">
      <c r="C9488" s="112"/>
      <c r="D9488" s="5"/>
      <c r="E9488" s="5"/>
      <c r="F9488" s="5"/>
      <c r="G9488" s="5"/>
      <c r="H9488" s="5"/>
      <c r="I9488" s="5"/>
      <c r="J9488" s="5"/>
      <c r="K9488" s="5"/>
    </row>
    <row r="9489" spans="3:11" x14ac:dyDescent="0.35">
      <c r="C9489" s="112"/>
      <c r="D9489" s="5"/>
      <c r="E9489" s="5"/>
      <c r="F9489" s="5"/>
      <c r="G9489" s="5"/>
      <c r="H9489" s="5"/>
      <c r="I9489" s="5"/>
      <c r="J9489" s="5"/>
      <c r="K9489" s="5"/>
    </row>
    <row r="9490" spans="3:11" x14ac:dyDescent="0.35">
      <c r="C9490" s="112"/>
      <c r="D9490" s="5"/>
      <c r="E9490" s="5"/>
      <c r="F9490" s="5"/>
      <c r="G9490" s="5"/>
      <c r="H9490" s="5"/>
      <c r="I9490" s="5"/>
      <c r="J9490" s="5"/>
      <c r="K9490" s="5"/>
    </row>
    <row r="9491" spans="3:11" x14ac:dyDescent="0.35">
      <c r="C9491" s="112"/>
      <c r="D9491" s="5"/>
      <c r="E9491" s="5"/>
      <c r="F9491" s="5"/>
      <c r="G9491" s="5"/>
      <c r="H9491" s="5"/>
      <c r="I9491" s="5"/>
      <c r="J9491" s="5"/>
      <c r="K9491" s="5"/>
    </row>
    <row r="9492" spans="3:11" x14ac:dyDescent="0.35">
      <c r="C9492" s="112"/>
      <c r="D9492" s="5"/>
      <c r="E9492" s="5"/>
      <c r="F9492" s="5"/>
      <c r="G9492" s="5"/>
      <c r="H9492" s="5"/>
      <c r="I9492" s="5"/>
      <c r="J9492" s="5"/>
      <c r="K9492" s="5"/>
    </row>
    <row r="9493" spans="3:11" x14ac:dyDescent="0.35">
      <c r="C9493" s="112"/>
      <c r="D9493" s="5"/>
      <c r="E9493" s="5"/>
      <c r="F9493" s="5"/>
      <c r="G9493" s="5"/>
      <c r="H9493" s="5"/>
      <c r="I9493" s="5"/>
      <c r="J9493" s="5"/>
      <c r="K9493" s="5"/>
    </row>
    <row r="9494" spans="3:11" x14ac:dyDescent="0.35">
      <c r="C9494" s="112"/>
      <c r="D9494" s="5"/>
      <c r="E9494" s="5"/>
      <c r="F9494" s="5"/>
      <c r="G9494" s="5"/>
      <c r="H9494" s="5"/>
      <c r="I9494" s="5"/>
      <c r="J9494" s="5"/>
      <c r="K9494" s="5"/>
    </row>
    <row r="9495" spans="3:11" x14ac:dyDescent="0.35">
      <c r="C9495" s="112"/>
      <c r="D9495" s="5"/>
      <c r="E9495" s="5"/>
      <c r="F9495" s="5"/>
      <c r="G9495" s="5"/>
      <c r="H9495" s="5"/>
      <c r="I9495" s="5"/>
      <c r="J9495" s="5"/>
      <c r="K9495" s="5"/>
    </row>
    <row r="9496" spans="3:11" x14ac:dyDescent="0.35">
      <c r="C9496" s="112"/>
      <c r="D9496" s="5"/>
      <c r="E9496" s="5"/>
      <c r="F9496" s="5"/>
      <c r="G9496" s="5"/>
      <c r="H9496" s="5"/>
      <c r="I9496" s="5"/>
      <c r="J9496" s="5"/>
      <c r="K9496" s="5"/>
    </row>
    <row r="9497" spans="3:11" x14ac:dyDescent="0.35">
      <c r="C9497" s="112"/>
      <c r="D9497" s="5"/>
      <c r="E9497" s="5"/>
      <c r="F9497" s="5"/>
      <c r="G9497" s="5"/>
      <c r="H9497" s="5"/>
      <c r="I9497" s="5"/>
      <c r="J9497" s="5"/>
      <c r="K9497" s="5"/>
    </row>
    <row r="9498" spans="3:11" x14ac:dyDescent="0.35">
      <c r="C9498" s="112"/>
      <c r="D9498" s="5"/>
      <c r="E9498" s="5"/>
      <c r="F9498" s="5"/>
      <c r="G9498" s="5"/>
      <c r="H9498" s="5"/>
      <c r="I9498" s="5"/>
      <c r="J9498" s="5"/>
      <c r="K9498" s="5"/>
    </row>
    <row r="9499" spans="3:11" x14ac:dyDescent="0.35">
      <c r="C9499" s="112"/>
      <c r="D9499" s="5"/>
      <c r="E9499" s="5"/>
      <c r="F9499" s="5"/>
      <c r="G9499" s="5"/>
      <c r="H9499" s="5"/>
      <c r="I9499" s="5"/>
      <c r="J9499" s="5"/>
      <c r="K9499" s="5"/>
    </row>
    <row r="9500" spans="3:11" x14ac:dyDescent="0.35">
      <c r="C9500" s="112"/>
      <c r="D9500" s="5"/>
      <c r="E9500" s="5"/>
      <c r="F9500" s="5"/>
      <c r="G9500" s="5"/>
      <c r="H9500" s="5"/>
      <c r="I9500" s="5"/>
      <c r="J9500" s="5"/>
      <c r="K9500" s="5"/>
    </row>
    <row r="9501" spans="3:11" x14ac:dyDescent="0.35">
      <c r="C9501" s="112"/>
      <c r="D9501" s="5"/>
      <c r="E9501" s="5"/>
      <c r="F9501" s="5"/>
      <c r="G9501" s="5"/>
      <c r="H9501" s="5"/>
      <c r="I9501" s="5"/>
      <c r="J9501" s="5"/>
      <c r="K9501" s="5"/>
    </row>
    <row r="9502" spans="3:11" x14ac:dyDescent="0.35">
      <c r="C9502" s="112"/>
      <c r="D9502" s="5"/>
      <c r="E9502" s="5"/>
      <c r="F9502" s="5"/>
      <c r="G9502" s="5"/>
      <c r="H9502" s="5"/>
      <c r="I9502" s="5"/>
      <c r="J9502" s="5"/>
      <c r="K9502" s="5"/>
    </row>
    <row r="9503" spans="3:11" x14ac:dyDescent="0.35">
      <c r="C9503" s="112"/>
      <c r="D9503" s="5"/>
      <c r="E9503" s="5"/>
      <c r="F9503" s="5"/>
      <c r="G9503" s="5"/>
      <c r="H9503" s="5"/>
      <c r="I9503" s="5"/>
      <c r="J9503" s="5"/>
      <c r="K9503" s="5"/>
    </row>
    <row r="9504" spans="3:11" x14ac:dyDescent="0.35">
      <c r="C9504" s="112"/>
      <c r="D9504" s="5"/>
      <c r="E9504" s="5"/>
      <c r="F9504" s="5"/>
      <c r="G9504" s="5"/>
      <c r="H9504" s="5"/>
      <c r="I9504" s="5"/>
      <c r="J9504" s="5"/>
      <c r="K9504" s="5"/>
    </row>
    <row r="9505" spans="3:11" x14ac:dyDescent="0.35">
      <c r="C9505" s="112"/>
      <c r="D9505" s="5"/>
      <c r="E9505" s="5"/>
      <c r="F9505" s="5"/>
      <c r="G9505" s="5"/>
      <c r="H9505" s="5"/>
      <c r="I9505" s="5"/>
      <c r="J9505" s="5"/>
      <c r="K9505" s="5"/>
    </row>
    <row r="9506" spans="3:11" x14ac:dyDescent="0.35">
      <c r="C9506" s="112"/>
      <c r="D9506" s="5"/>
      <c r="E9506" s="5"/>
      <c r="F9506" s="5"/>
      <c r="G9506" s="5"/>
      <c r="H9506" s="5"/>
      <c r="I9506" s="5"/>
      <c r="J9506" s="5"/>
      <c r="K9506" s="5"/>
    </row>
    <row r="9507" spans="3:11" x14ac:dyDescent="0.35">
      <c r="C9507" s="112"/>
      <c r="D9507" s="5"/>
      <c r="E9507" s="5"/>
      <c r="F9507" s="5"/>
      <c r="G9507" s="5"/>
      <c r="H9507" s="5"/>
      <c r="I9507" s="5"/>
      <c r="J9507" s="5"/>
      <c r="K9507" s="5"/>
    </row>
    <row r="9508" spans="3:11" x14ac:dyDescent="0.35">
      <c r="C9508" s="112"/>
      <c r="D9508" s="5"/>
      <c r="E9508" s="5"/>
      <c r="F9508" s="5"/>
      <c r="G9508" s="5"/>
      <c r="H9508" s="5"/>
      <c r="I9508" s="5"/>
      <c r="J9508" s="5"/>
      <c r="K9508" s="5"/>
    </row>
    <row r="9509" spans="3:11" x14ac:dyDescent="0.35">
      <c r="C9509" s="112"/>
      <c r="D9509" s="5"/>
      <c r="E9509" s="5"/>
      <c r="F9509" s="5"/>
      <c r="G9509" s="5"/>
      <c r="H9509" s="5"/>
      <c r="I9509" s="5"/>
      <c r="J9509" s="5"/>
      <c r="K9509" s="5"/>
    </row>
    <row r="9510" spans="3:11" x14ac:dyDescent="0.35">
      <c r="C9510" s="112"/>
      <c r="D9510" s="5"/>
      <c r="E9510" s="5"/>
      <c r="F9510" s="5"/>
      <c r="G9510" s="5"/>
      <c r="H9510" s="5"/>
      <c r="I9510" s="5"/>
      <c r="J9510" s="5"/>
      <c r="K9510" s="5"/>
    </row>
    <row r="9511" spans="3:11" x14ac:dyDescent="0.35">
      <c r="C9511" s="112"/>
      <c r="D9511" s="5"/>
      <c r="E9511" s="5"/>
      <c r="F9511" s="5"/>
      <c r="G9511" s="5"/>
      <c r="H9511" s="5"/>
      <c r="I9511" s="5"/>
      <c r="J9511" s="5"/>
      <c r="K9511" s="5"/>
    </row>
    <row r="9512" spans="3:11" x14ac:dyDescent="0.35">
      <c r="C9512" s="112"/>
      <c r="D9512" s="5"/>
      <c r="E9512" s="5"/>
      <c r="F9512" s="5"/>
      <c r="G9512" s="5"/>
      <c r="H9512" s="5"/>
      <c r="I9512" s="5"/>
      <c r="J9512" s="5"/>
      <c r="K9512" s="5"/>
    </row>
    <row r="9513" spans="3:11" x14ac:dyDescent="0.35">
      <c r="C9513" s="112"/>
      <c r="D9513" s="5"/>
      <c r="E9513" s="5"/>
      <c r="F9513" s="5"/>
      <c r="G9513" s="5"/>
      <c r="H9513" s="5"/>
      <c r="I9513" s="5"/>
      <c r="J9513" s="5"/>
      <c r="K9513" s="5"/>
    </row>
    <row r="9514" spans="3:11" x14ac:dyDescent="0.35">
      <c r="C9514" s="112"/>
      <c r="D9514" s="5"/>
      <c r="E9514" s="5"/>
      <c r="F9514" s="5"/>
      <c r="G9514" s="5"/>
      <c r="H9514" s="5"/>
      <c r="I9514" s="5"/>
      <c r="J9514" s="5"/>
      <c r="K9514" s="5"/>
    </row>
    <row r="9515" spans="3:11" x14ac:dyDescent="0.35">
      <c r="C9515" s="112"/>
      <c r="D9515" s="5"/>
      <c r="E9515" s="5"/>
      <c r="F9515" s="5"/>
      <c r="G9515" s="5"/>
      <c r="H9515" s="5"/>
      <c r="I9515" s="5"/>
      <c r="J9515" s="5"/>
      <c r="K9515" s="5"/>
    </row>
    <row r="9516" spans="3:11" x14ac:dyDescent="0.35">
      <c r="C9516" s="112"/>
      <c r="D9516" s="5"/>
      <c r="E9516" s="5"/>
      <c r="F9516" s="5"/>
      <c r="G9516" s="5"/>
      <c r="H9516" s="5"/>
      <c r="I9516" s="5"/>
      <c r="J9516" s="5"/>
      <c r="K9516" s="5"/>
    </row>
    <row r="9517" spans="3:11" x14ac:dyDescent="0.35">
      <c r="C9517" s="112"/>
      <c r="D9517" s="5"/>
      <c r="E9517" s="5"/>
      <c r="F9517" s="5"/>
      <c r="G9517" s="5"/>
      <c r="H9517" s="5"/>
      <c r="I9517" s="5"/>
      <c r="J9517" s="5"/>
      <c r="K9517" s="5"/>
    </row>
    <row r="9518" spans="3:11" x14ac:dyDescent="0.35">
      <c r="C9518" s="112"/>
      <c r="D9518" s="5"/>
      <c r="E9518" s="5"/>
      <c r="F9518" s="5"/>
      <c r="G9518" s="5"/>
      <c r="H9518" s="5"/>
      <c r="I9518" s="5"/>
      <c r="J9518" s="5"/>
      <c r="K9518" s="5"/>
    </row>
    <row r="9519" spans="3:11" x14ac:dyDescent="0.35">
      <c r="C9519" s="112"/>
      <c r="D9519" s="5"/>
      <c r="E9519" s="5"/>
      <c r="F9519" s="5"/>
      <c r="G9519" s="5"/>
      <c r="H9519" s="5"/>
      <c r="I9519" s="5"/>
      <c r="J9519" s="5"/>
      <c r="K9519" s="5"/>
    </row>
    <row r="9520" spans="3:11" x14ac:dyDescent="0.35">
      <c r="C9520" s="112"/>
      <c r="D9520" s="5"/>
      <c r="E9520" s="5"/>
      <c r="F9520" s="5"/>
      <c r="G9520" s="5"/>
      <c r="H9520" s="5"/>
      <c r="I9520" s="5"/>
      <c r="J9520" s="5"/>
      <c r="K9520" s="5"/>
    </row>
    <row r="9521" spans="3:11" x14ac:dyDescent="0.35">
      <c r="C9521" s="112"/>
      <c r="D9521" s="5"/>
      <c r="E9521" s="5"/>
      <c r="F9521" s="5"/>
      <c r="G9521" s="5"/>
      <c r="H9521" s="5"/>
      <c r="I9521" s="5"/>
      <c r="J9521" s="5"/>
      <c r="K9521" s="5"/>
    </row>
    <row r="9522" spans="3:11" x14ac:dyDescent="0.35">
      <c r="C9522" s="112"/>
      <c r="D9522" s="5"/>
      <c r="E9522" s="5"/>
      <c r="F9522" s="5"/>
      <c r="G9522" s="5"/>
      <c r="H9522" s="5"/>
      <c r="I9522" s="5"/>
      <c r="J9522" s="5"/>
      <c r="K9522" s="5"/>
    </row>
    <row r="9523" spans="3:11" x14ac:dyDescent="0.35">
      <c r="C9523" s="112"/>
      <c r="D9523" s="5"/>
      <c r="E9523" s="5"/>
      <c r="F9523" s="5"/>
      <c r="G9523" s="5"/>
      <c r="H9523" s="5"/>
      <c r="I9523" s="5"/>
      <c r="J9523" s="5"/>
      <c r="K9523" s="5"/>
    </row>
    <row r="9524" spans="3:11" x14ac:dyDescent="0.35">
      <c r="C9524" s="112"/>
      <c r="D9524" s="5"/>
      <c r="E9524" s="5"/>
      <c r="F9524" s="5"/>
      <c r="G9524" s="5"/>
      <c r="H9524" s="5"/>
      <c r="I9524" s="5"/>
      <c r="J9524" s="5"/>
      <c r="K9524" s="5"/>
    </row>
    <row r="9525" spans="3:11" x14ac:dyDescent="0.35">
      <c r="C9525" s="112"/>
      <c r="D9525" s="5"/>
      <c r="E9525" s="5"/>
      <c r="F9525" s="5"/>
      <c r="G9525" s="5"/>
      <c r="H9525" s="5"/>
      <c r="I9525" s="5"/>
      <c r="J9525" s="5"/>
      <c r="K9525" s="5"/>
    </row>
    <row r="9526" spans="3:11" x14ac:dyDescent="0.35">
      <c r="C9526" s="112"/>
      <c r="D9526" s="5"/>
      <c r="E9526" s="5"/>
      <c r="F9526" s="5"/>
      <c r="G9526" s="5"/>
      <c r="H9526" s="5"/>
      <c r="I9526" s="5"/>
      <c r="J9526" s="5"/>
      <c r="K9526" s="5"/>
    </row>
    <row r="9527" spans="3:11" x14ac:dyDescent="0.35">
      <c r="C9527" s="112"/>
      <c r="D9527" s="5"/>
      <c r="E9527" s="5"/>
      <c r="F9527" s="5"/>
      <c r="G9527" s="5"/>
      <c r="H9527" s="5"/>
      <c r="I9527" s="5"/>
      <c r="J9527" s="5"/>
      <c r="K9527" s="5"/>
    </row>
    <row r="9528" spans="3:11" x14ac:dyDescent="0.35">
      <c r="C9528" s="112"/>
      <c r="D9528" s="5"/>
      <c r="E9528" s="5"/>
      <c r="F9528" s="5"/>
      <c r="G9528" s="5"/>
      <c r="H9528" s="5"/>
      <c r="I9528" s="5"/>
      <c r="J9528" s="5"/>
      <c r="K9528" s="5"/>
    </row>
    <row r="9529" spans="3:11" x14ac:dyDescent="0.35">
      <c r="C9529" s="112"/>
      <c r="D9529" s="5"/>
      <c r="E9529" s="5"/>
      <c r="F9529" s="5"/>
      <c r="G9529" s="5"/>
      <c r="H9529" s="5"/>
      <c r="I9529" s="5"/>
      <c r="J9529" s="5"/>
      <c r="K9529" s="5"/>
    </row>
    <row r="9530" spans="3:11" x14ac:dyDescent="0.35">
      <c r="C9530" s="112"/>
      <c r="D9530" s="5"/>
      <c r="E9530" s="5"/>
      <c r="F9530" s="5"/>
      <c r="G9530" s="5"/>
      <c r="H9530" s="5"/>
      <c r="I9530" s="5"/>
      <c r="J9530" s="5"/>
      <c r="K9530" s="5"/>
    </row>
    <row r="9531" spans="3:11" x14ac:dyDescent="0.35">
      <c r="C9531" s="112"/>
      <c r="D9531" s="5"/>
      <c r="E9531" s="5"/>
      <c r="F9531" s="5"/>
      <c r="G9531" s="5"/>
      <c r="H9531" s="5"/>
      <c r="I9531" s="5"/>
      <c r="J9531" s="5"/>
      <c r="K9531" s="5"/>
    </row>
    <row r="9532" spans="3:11" x14ac:dyDescent="0.35">
      <c r="C9532" s="112"/>
      <c r="D9532" s="5"/>
      <c r="E9532" s="5"/>
      <c r="F9532" s="5"/>
      <c r="G9532" s="5"/>
      <c r="H9532" s="5"/>
      <c r="I9532" s="5"/>
      <c r="J9532" s="5"/>
      <c r="K9532" s="5"/>
    </row>
    <row r="9533" spans="3:11" x14ac:dyDescent="0.35">
      <c r="C9533" s="112"/>
      <c r="D9533" s="5"/>
      <c r="E9533" s="5"/>
      <c r="F9533" s="5"/>
      <c r="G9533" s="5"/>
      <c r="H9533" s="5"/>
      <c r="I9533" s="5"/>
      <c r="J9533" s="5"/>
      <c r="K9533" s="5"/>
    </row>
    <row r="9534" spans="3:11" x14ac:dyDescent="0.35">
      <c r="C9534" s="112"/>
      <c r="D9534" s="5"/>
      <c r="E9534" s="5"/>
      <c r="F9534" s="5"/>
      <c r="G9534" s="5"/>
      <c r="H9534" s="5"/>
      <c r="I9534" s="5"/>
      <c r="J9534" s="5"/>
      <c r="K9534" s="5"/>
    </row>
    <row r="9535" spans="3:11" x14ac:dyDescent="0.35">
      <c r="C9535" s="112"/>
      <c r="D9535" s="5"/>
      <c r="E9535" s="5"/>
      <c r="F9535" s="5"/>
      <c r="G9535" s="5"/>
      <c r="H9535" s="5"/>
      <c r="I9535" s="5"/>
      <c r="J9535" s="5"/>
      <c r="K9535" s="5"/>
    </row>
    <row r="9536" spans="3:11" x14ac:dyDescent="0.35">
      <c r="C9536" s="112"/>
      <c r="D9536" s="5"/>
      <c r="E9536" s="5"/>
      <c r="F9536" s="5"/>
      <c r="G9536" s="5"/>
      <c r="H9536" s="5"/>
      <c r="I9536" s="5"/>
      <c r="J9536" s="5"/>
      <c r="K9536" s="5"/>
    </row>
    <row r="9537" spans="3:11" x14ac:dyDescent="0.35">
      <c r="C9537" s="112"/>
      <c r="D9537" s="5"/>
      <c r="E9537" s="5"/>
      <c r="F9537" s="5"/>
      <c r="G9537" s="5"/>
      <c r="H9537" s="5"/>
      <c r="I9537" s="5"/>
      <c r="J9537" s="5"/>
      <c r="K9537" s="5"/>
    </row>
    <row r="9538" spans="3:11" x14ac:dyDescent="0.35">
      <c r="C9538" s="112"/>
      <c r="D9538" s="5"/>
      <c r="E9538" s="5"/>
      <c r="F9538" s="5"/>
      <c r="G9538" s="5"/>
      <c r="H9538" s="5"/>
      <c r="I9538" s="5"/>
      <c r="J9538" s="5"/>
      <c r="K9538" s="5"/>
    </row>
    <row r="9539" spans="3:11" x14ac:dyDescent="0.35">
      <c r="C9539" s="112"/>
      <c r="D9539" s="5"/>
      <c r="E9539" s="5"/>
      <c r="F9539" s="5"/>
      <c r="G9539" s="5"/>
      <c r="H9539" s="5"/>
      <c r="I9539" s="5"/>
      <c r="J9539" s="5"/>
      <c r="K9539" s="5"/>
    </row>
    <row r="9540" spans="3:11" x14ac:dyDescent="0.35">
      <c r="C9540" s="112"/>
      <c r="D9540" s="5"/>
      <c r="E9540" s="5"/>
      <c r="F9540" s="5"/>
      <c r="G9540" s="5"/>
      <c r="H9540" s="5"/>
      <c r="I9540" s="5"/>
      <c r="J9540" s="5"/>
      <c r="K9540" s="5"/>
    </row>
    <row r="9541" spans="3:11" x14ac:dyDescent="0.35">
      <c r="C9541" s="112"/>
      <c r="D9541" s="5"/>
      <c r="E9541" s="5"/>
      <c r="F9541" s="5"/>
      <c r="G9541" s="5"/>
      <c r="H9541" s="5"/>
      <c r="I9541" s="5"/>
      <c r="J9541" s="5"/>
      <c r="K9541" s="5"/>
    </row>
    <row r="9542" spans="3:11" x14ac:dyDescent="0.35">
      <c r="C9542" s="112"/>
      <c r="D9542" s="5"/>
      <c r="E9542" s="5"/>
      <c r="F9542" s="5"/>
      <c r="G9542" s="5"/>
      <c r="H9542" s="5"/>
      <c r="I9542" s="5"/>
      <c r="J9542" s="5"/>
      <c r="K9542" s="5"/>
    </row>
    <row r="9543" spans="3:11" x14ac:dyDescent="0.35">
      <c r="C9543" s="112"/>
      <c r="D9543" s="5"/>
      <c r="E9543" s="5"/>
      <c r="F9543" s="5"/>
      <c r="G9543" s="5"/>
      <c r="H9543" s="5"/>
      <c r="I9543" s="5"/>
      <c r="J9543" s="5"/>
      <c r="K9543" s="5"/>
    </row>
    <row r="9544" spans="3:11" x14ac:dyDescent="0.35">
      <c r="C9544" s="112"/>
      <c r="D9544" s="5"/>
      <c r="E9544" s="5"/>
      <c r="F9544" s="5"/>
      <c r="G9544" s="5"/>
      <c r="H9544" s="5"/>
      <c r="I9544" s="5"/>
      <c r="J9544" s="5"/>
      <c r="K9544" s="5"/>
    </row>
    <row r="9545" spans="3:11" x14ac:dyDescent="0.35">
      <c r="C9545" s="112"/>
      <c r="D9545" s="5"/>
      <c r="E9545" s="5"/>
      <c r="F9545" s="5"/>
      <c r="G9545" s="5"/>
      <c r="H9545" s="5"/>
      <c r="I9545" s="5"/>
      <c r="J9545" s="5"/>
      <c r="K9545" s="5"/>
    </row>
    <row r="9546" spans="3:11" x14ac:dyDescent="0.35">
      <c r="C9546" s="112"/>
      <c r="D9546" s="5"/>
      <c r="E9546" s="5"/>
      <c r="F9546" s="5"/>
      <c r="G9546" s="5"/>
      <c r="H9546" s="5"/>
      <c r="I9546" s="5"/>
      <c r="J9546" s="5"/>
      <c r="K9546" s="5"/>
    </row>
    <row r="9547" spans="3:11" x14ac:dyDescent="0.35">
      <c r="C9547" s="112"/>
      <c r="D9547" s="5"/>
      <c r="E9547" s="5"/>
      <c r="F9547" s="5"/>
      <c r="G9547" s="5"/>
      <c r="H9547" s="5"/>
      <c r="I9547" s="5"/>
      <c r="J9547" s="5"/>
      <c r="K9547" s="5"/>
    </row>
    <row r="9548" spans="3:11" x14ac:dyDescent="0.35">
      <c r="C9548" s="112"/>
      <c r="D9548" s="5"/>
      <c r="E9548" s="5"/>
      <c r="F9548" s="5"/>
      <c r="G9548" s="5"/>
      <c r="H9548" s="5"/>
      <c r="I9548" s="5"/>
      <c r="J9548" s="5"/>
      <c r="K9548" s="5"/>
    </row>
    <row r="9549" spans="3:11" x14ac:dyDescent="0.35">
      <c r="C9549" s="112"/>
      <c r="D9549" s="5"/>
      <c r="E9549" s="5"/>
      <c r="F9549" s="5"/>
      <c r="G9549" s="5"/>
      <c r="H9549" s="5"/>
      <c r="I9549" s="5"/>
      <c r="J9549" s="5"/>
      <c r="K9549" s="5"/>
    </row>
    <row r="9550" spans="3:11" x14ac:dyDescent="0.35">
      <c r="C9550" s="112"/>
      <c r="D9550" s="5"/>
      <c r="E9550" s="5"/>
      <c r="F9550" s="5"/>
      <c r="G9550" s="5"/>
      <c r="H9550" s="5"/>
      <c r="I9550" s="5"/>
      <c r="J9550" s="5"/>
      <c r="K9550" s="5"/>
    </row>
    <row r="9551" spans="3:11" x14ac:dyDescent="0.35">
      <c r="C9551" s="112"/>
      <c r="D9551" s="5"/>
      <c r="E9551" s="5"/>
      <c r="F9551" s="5"/>
      <c r="G9551" s="5"/>
      <c r="H9551" s="5"/>
      <c r="I9551" s="5"/>
      <c r="J9551" s="5"/>
      <c r="K9551" s="5"/>
    </row>
    <row r="9552" spans="3:11" x14ac:dyDescent="0.35">
      <c r="C9552" s="112"/>
      <c r="D9552" s="5"/>
      <c r="E9552" s="5"/>
      <c r="F9552" s="5"/>
      <c r="G9552" s="5"/>
      <c r="H9552" s="5"/>
      <c r="I9552" s="5"/>
      <c r="J9552" s="5"/>
      <c r="K9552" s="5"/>
    </row>
    <row r="9553" spans="3:11" x14ac:dyDescent="0.35">
      <c r="C9553" s="112"/>
      <c r="D9553" s="5"/>
      <c r="E9553" s="5"/>
      <c r="F9553" s="5"/>
      <c r="G9553" s="5"/>
      <c r="H9553" s="5"/>
      <c r="I9553" s="5"/>
      <c r="J9553" s="5"/>
      <c r="K9553" s="5"/>
    </row>
    <row r="9554" spans="3:11" x14ac:dyDescent="0.35">
      <c r="C9554" s="112"/>
      <c r="D9554" s="5"/>
      <c r="E9554" s="5"/>
      <c r="F9554" s="5"/>
      <c r="G9554" s="5"/>
      <c r="H9554" s="5"/>
      <c r="I9554" s="5"/>
      <c r="J9554" s="5"/>
      <c r="K9554" s="5"/>
    </row>
    <row r="9555" spans="3:11" x14ac:dyDescent="0.35">
      <c r="C9555" s="112"/>
      <c r="D9555" s="5"/>
      <c r="E9555" s="5"/>
      <c r="F9555" s="5"/>
      <c r="G9555" s="5"/>
      <c r="H9555" s="5"/>
      <c r="I9555" s="5"/>
      <c r="J9555" s="5"/>
      <c r="K9555" s="5"/>
    </row>
    <row r="9556" spans="3:11" x14ac:dyDescent="0.35">
      <c r="C9556" s="112"/>
      <c r="D9556" s="5"/>
      <c r="E9556" s="5"/>
      <c r="F9556" s="5"/>
      <c r="G9556" s="5"/>
      <c r="H9556" s="5"/>
      <c r="I9556" s="5"/>
      <c r="J9556" s="5"/>
      <c r="K9556" s="5"/>
    </row>
    <row r="9557" spans="3:11" x14ac:dyDescent="0.35">
      <c r="C9557" s="112"/>
      <c r="D9557" s="5"/>
      <c r="E9557" s="5"/>
      <c r="F9557" s="5"/>
      <c r="G9557" s="5"/>
      <c r="H9557" s="5"/>
      <c r="I9557" s="5"/>
      <c r="J9557" s="5"/>
      <c r="K9557" s="5"/>
    </row>
    <row r="9558" spans="3:11" x14ac:dyDescent="0.35">
      <c r="C9558" s="112"/>
      <c r="D9558" s="5"/>
      <c r="E9558" s="5"/>
      <c r="F9558" s="5"/>
      <c r="G9558" s="5"/>
      <c r="H9558" s="5"/>
      <c r="I9558" s="5"/>
      <c r="J9558" s="5"/>
      <c r="K9558" s="5"/>
    </row>
    <row r="9559" spans="3:11" x14ac:dyDescent="0.35">
      <c r="C9559" s="112"/>
      <c r="D9559" s="5"/>
      <c r="E9559" s="5"/>
      <c r="F9559" s="5"/>
      <c r="G9559" s="5"/>
      <c r="H9559" s="5"/>
      <c r="I9559" s="5"/>
      <c r="J9559" s="5"/>
      <c r="K9559" s="5"/>
    </row>
    <row r="9560" spans="3:11" x14ac:dyDescent="0.35">
      <c r="C9560" s="112"/>
      <c r="D9560" s="5"/>
      <c r="E9560" s="5"/>
      <c r="F9560" s="5"/>
      <c r="G9560" s="5"/>
      <c r="H9560" s="5"/>
      <c r="I9560" s="5"/>
      <c r="J9560" s="5"/>
      <c r="K9560" s="5"/>
    </row>
    <row r="9561" spans="3:11" x14ac:dyDescent="0.35">
      <c r="C9561" s="112"/>
      <c r="D9561" s="5"/>
      <c r="E9561" s="5"/>
      <c r="F9561" s="5"/>
      <c r="G9561" s="5"/>
      <c r="H9561" s="5"/>
      <c r="I9561" s="5"/>
      <c r="J9561" s="5"/>
      <c r="K9561" s="5"/>
    </row>
    <row r="9562" spans="3:11" x14ac:dyDescent="0.35">
      <c r="C9562" s="112"/>
      <c r="D9562" s="5"/>
      <c r="E9562" s="5"/>
      <c r="F9562" s="5"/>
      <c r="G9562" s="5"/>
      <c r="H9562" s="5"/>
      <c r="I9562" s="5"/>
      <c r="J9562" s="5"/>
      <c r="K9562" s="5"/>
    </row>
    <row r="9563" spans="3:11" x14ac:dyDescent="0.35">
      <c r="C9563" s="112"/>
      <c r="D9563" s="5"/>
      <c r="E9563" s="5"/>
      <c r="F9563" s="5"/>
      <c r="G9563" s="5"/>
      <c r="H9563" s="5"/>
      <c r="I9563" s="5"/>
      <c r="J9563" s="5"/>
      <c r="K9563" s="5"/>
    </row>
    <row r="9564" spans="3:11" x14ac:dyDescent="0.35">
      <c r="C9564" s="112"/>
      <c r="D9564" s="5"/>
      <c r="E9564" s="5"/>
      <c r="F9564" s="5"/>
      <c r="G9564" s="5"/>
      <c r="H9564" s="5"/>
      <c r="I9564" s="5"/>
      <c r="J9564" s="5"/>
      <c r="K9564" s="5"/>
    </row>
    <row r="9565" spans="3:11" x14ac:dyDescent="0.35">
      <c r="C9565" s="112"/>
      <c r="D9565" s="5"/>
      <c r="E9565" s="5"/>
      <c r="F9565" s="5"/>
      <c r="G9565" s="5"/>
      <c r="H9565" s="5"/>
      <c r="I9565" s="5"/>
      <c r="J9565" s="5"/>
      <c r="K9565" s="5"/>
    </row>
    <row r="9566" spans="3:11" x14ac:dyDescent="0.35">
      <c r="C9566" s="112"/>
      <c r="D9566" s="5"/>
      <c r="E9566" s="5"/>
      <c r="F9566" s="5"/>
      <c r="G9566" s="5"/>
      <c r="H9566" s="5"/>
      <c r="I9566" s="5"/>
      <c r="J9566" s="5"/>
      <c r="K9566" s="5"/>
    </row>
    <row r="9567" spans="3:11" x14ac:dyDescent="0.35">
      <c r="C9567" s="112"/>
      <c r="D9567" s="5"/>
      <c r="E9567" s="5"/>
      <c r="F9567" s="5"/>
      <c r="G9567" s="5"/>
      <c r="H9567" s="5"/>
      <c r="I9567" s="5"/>
      <c r="J9567" s="5"/>
      <c r="K9567" s="5"/>
    </row>
    <row r="9568" spans="3:11" x14ac:dyDescent="0.35">
      <c r="C9568" s="112"/>
      <c r="D9568" s="5"/>
      <c r="E9568" s="5"/>
      <c r="F9568" s="5"/>
      <c r="G9568" s="5"/>
      <c r="H9568" s="5"/>
      <c r="I9568" s="5"/>
      <c r="J9568" s="5"/>
      <c r="K9568" s="5"/>
    </row>
    <row r="9569" spans="3:11" x14ac:dyDescent="0.35">
      <c r="C9569" s="112"/>
      <c r="D9569" s="5"/>
      <c r="E9569" s="5"/>
      <c r="F9569" s="5"/>
      <c r="G9569" s="5"/>
      <c r="H9569" s="5"/>
      <c r="I9569" s="5"/>
      <c r="J9569" s="5"/>
      <c r="K9569" s="5"/>
    </row>
    <row r="9570" spans="3:11" x14ac:dyDescent="0.35">
      <c r="C9570" s="112"/>
      <c r="D9570" s="5"/>
      <c r="E9570" s="5"/>
      <c r="F9570" s="5"/>
      <c r="G9570" s="5"/>
      <c r="H9570" s="5"/>
      <c r="I9570" s="5"/>
      <c r="J9570" s="5"/>
      <c r="K9570" s="5"/>
    </row>
    <row r="9571" spans="3:11" x14ac:dyDescent="0.35">
      <c r="C9571" s="112"/>
      <c r="D9571" s="5"/>
      <c r="E9571" s="5"/>
      <c r="F9571" s="5"/>
      <c r="G9571" s="5"/>
      <c r="H9571" s="5"/>
      <c r="I9571" s="5"/>
      <c r="J9571" s="5"/>
      <c r="K9571" s="5"/>
    </row>
    <row r="9572" spans="3:11" x14ac:dyDescent="0.35">
      <c r="C9572" s="112"/>
      <c r="D9572" s="5"/>
      <c r="E9572" s="5"/>
      <c r="F9572" s="5"/>
      <c r="G9572" s="5"/>
      <c r="H9572" s="5"/>
      <c r="I9572" s="5"/>
      <c r="J9572" s="5"/>
      <c r="K9572" s="5"/>
    </row>
    <row r="9573" spans="3:11" x14ac:dyDescent="0.35">
      <c r="C9573" s="112"/>
      <c r="D9573" s="5"/>
      <c r="E9573" s="5"/>
      <c r="F9573" s="5"/>
      <c r="G9573" s="5"/>
      <c r="H9573" s="5"/>
      <c r="I9573" s="5"/>
      <c r="J9573" s="5"/>
      <c r="K9573" s="5"/>
    </row>
    <row r="9574" spans="3:11" x14ac:dyDescent="0.35">
      <c r="C9574" s="112"/>
      <c r="D9574" s="5"/>
      <c r="E9574" s="5"/>
      <c r="F9574" s="5"/>
      <c r="G9574" s="5"/>
      <c r="H9574" s="5"/>
      <c r="I9574" s="5"/>
      <c r="J9574" s="5"/>
      <c r="K9574" s="5"/>
    </row>
    <row r="9575" spans="3:11" x14ac:dyDescent="0.35">
      <c r="C9575" s="112"/>
      <c r="D9575" s="5"/>
      <c r="E9575" s="5"/>
      <c r="F9575" s="5"/>
      <c r="G9575" s="5"/>
      <c r="H9575" s="5"/>
      <c r="I9575" s="5"/>
      <c r="J9575" s="5"/>
      <c r="K9575" s="5"/>
    </row>
    <row r="9576" spans="3:11" x14ac:dyDescent="0.35">
      <c r="C9576" s="112"/>
      <c r="D9576" s="5"/>
      <c r="E9576" s="5"/>
      <c r="F9576" s="5"/>
      <c r="G9576" s="5"/>
      <c r="H9576" s="5"/>
      <c r="I9576" s="5"/>
      <c r="J9576" s="5"/>
      <c r="K9576" s="5"/>
    </row>
    <row r="9577" spans="3:11" x14ac:dyDescent="0.35">
      <c r="C9577" s="112"/>
      <c r="D9577" s="5"/>
      <c r="E9577" s="5"/>
      <c r="F9577" s="5"/>
      <c r="G9577" s="5"/>
      <c r="H9577" s="5"/>
      <c r="I9577" s="5"/>
      <c r="J9577" s="5"/>
      <c r="K9577" s="5"/>
    </row>
    <row r="9578" spans="3:11" x14ac:dyDescent="0.35">
      <c r="C9578" s="112"/>
      <c r="D9578" s="5"/>
      <c r="E9578" s="5"/>
      <c r="F9578" s="5"/>
      <c r="G9578" s="5"/>
      <c r="H9578" s="5"/>
      <c r="I9578" s="5"/>
      <c r="J9578" s="5"/>
      <c r="K9578" s="5"/>
    </row>
    <row r="9579" spans="3:11" x14ac:dyDescent="0.35">
      <c r="C9579" s="112"/>
      <c r="D9579" s="5"/>
      <c r="E9579" s="5"/>
      <c r="F9579" s="5"/>
      <c r="G9579" s="5"/>
      <c r="H9579" s="5"/>
      <c r="I9579" s="5"/>
      <c r="J9579" s="5"/>
      <c r="K9579" s="5"/>
    </row>
    <row r="9580" spans="3:11" x14ac:dyDescent="0.35">
      <c r="C9580" s="112"/>
      <c r="D9580" s="5"/>
      <c r="E9580" s="5"/>
      <c r="F9580" s="5"/>
      <c r="G9580" s="5"/>
      <c r="H9580" s="5"/>
      <c r="I9580" s="5"/>
      <c r="J9580" s="5"/>
      <c r="K9580" s="5"/>
    </row>
    <row r="9581" spans="3:11" x14ac:dyDescent="0.35">
      <c r="C9581" s="112"/>
      <c r="D9581" s="5"/>
      <c r="E9581" s="5"/>
      <c r="F9581" s="5"/>
      <c r="G9581" s="5"/>
      <c r="H9581" s="5"/>
      <c r="I9581" s="5"/>
      <c r="J9581" s="5"/>
      <c r="K9581" s="5"/>
    </row>
    <row r="9582" spans="3:11" x14ac:dyDescent="0.35">
      <c r="C9582" s="112"/>
      <c r="D9582" s="5"/>
      <c r="E9582" s="5"/>
      <c r="F9582" s="5"/>
      <c r="G9582" s="5"/>
      <c r="H9582" s="5"/>
      <c r="I9582" s="5"/>
      <c r="J9582" s="5"/>
      <c r="K9582" s="5"/>
    </row>
    <row r="9583" spans="3:11" x14ac:dyDescent="0.35">
      <c r="C9583" s="112"/>
      <c r="D9583" s="5"/>
      <c r="E9583" s="5"/>
      <c r="F9583" s="5"/>
      <c r="G9583" s="5"/>
      <c r="H9583" s="5"/>
      <c r="I9583" s="5"/>
      <c r="J9583" s="5"/>
      <c r="K9583" s="5"/>
    </row>
    <row r="9584" spans="3:11" x14ac:dyDescent="0.35">
      <c r="C9584" s="112"/>
      <c r="D9584" s="5"/>
      <c r="E9584" s="5"/>
      <c r="F9584" s="5"/>
      <c r="G9584" s="5"/>
      <c r="H9584" s="5"/>
      <c r="I9584" s="5"/>
      <c r="J9584" s="5"/>
      <c r="K9584" s="5"/>
    </row>
    <row r="9585" spans="3:11" x14ac:dyDescent="0.35">
      <c r="C9585" s="112"/>
      <c r="D9585" s="5"/>
      <c r="E9585" s="5"/>
      <c r="F9585" s="5"/>
      <c r="G9585" s="5"/>
      <c r="H9585" s="5"/>
      <c r="I9585" s="5"/>
      <c r="J9585" s="5"/>
      <c r="K9585" s="5"/>
    </row>
    <row r="9586" spans="3:11" x14ac:dyDescent="0.35">
      <c r="C9586" s="112"/>
      <c r="D9586" s="5"/>
      <c r="E9586" s="5"/>
      <c r="F9586" s="5"/>
      <c r="G9586" s="5"/>
      <c r="H9586" s="5"/>
      <c r="I9586" s="5"/>
      <c r="J9586" s="5"/>
      <c r="K9586" s="5"/>
    </row>
    <row r="9587" spans="3:11" x14ac:dyDescent="0.35">
      <c r="C9587" s="112"/>
      <c r="D9587" s="5"/>
      <c r="E9587" s="5"/>
      <c r="F9587" s="5"/>
      <c r="G9587" s="5"/>
      <c r="H9587" s="5"/>
      <c r="I9587" s="5"/>
      <c r="J9587" s="5"/>
      <c r="K9587" s="5"/>
    </row>
    <row r="9588" spans="3:11" x14ac:dyDescent="0.35">
      <c r="C9588" s="112"/>
      <c r="D9588" s="5"/>
      <c r="E9588" s="5"/>
      <c r="F9588" s="5"/>
      <c r="G9588" s="5"/>
      <c r="H9588" s="5"/>
      <c r="I9588" s="5"/>
      <c r="J9588" s="5"/>
      <c r="K9588" s="5"/>
    </row>
    <row r="9589" spans="3:11" x14ac:dyDescent="0.35">
      <c r="C9589" s="112"/>
      <c r="D9589" s="5"/>
      <c r="E9589" s="5"/>
      <c r="F9589" s="5"/>
      <c r="G9589" s="5"/>
      <c r="H9589" s="5"/>
      <c r="I9589" s="5"/>
      <c r="J9589" s="5"/>
      <c r="K9589" s="5"/>
    </row>
    <row r="9590" spans="3:11" x14ac:dyDescent="0.35">
      <c r="C9590" s="112"/>
      <c r="D9590" s="5"/>
      <c r="E9590" s="5"/>
      <c r="F9590" s="5"/>
      <c r="G9590" s="5"/>
      <c r="H9590" s="5"/>
      <c r="I9590" s="5"/>
      <c r="J9590" s="5"/>
      <c r="K9590" s="5"/>
    </row>
    <row r="9591" spans="3:11" x14ac:dyDescent="0.35">
      <c r="C9591" s="112"/>
      <c r="D9591" s="5"/>
      <c r="E9591" s="5"/>
      <c r="F9591" s="5"/>
      <c r="G9591" s="5"/>
      <c r="H9591" s="5"/>
      <c r="I9591" s="5"/>
      <c r="J9591" s="5"/>
      <c r="K9591" s="5"/>
    </row>
    <row r="9592" spans="3:11" x14ac:dyDescent="0.35">
      <c r="C9592" s="112"/>
      <c r="D9592" s="5"/>
      <c r="E9592" s="5"/>
      <c r="F9592" s="5"/>
      <c r="G9592" s="5"/>
      <c r="H9592" s="5"/>
      <c r="I9592" s="5"/>
      <c r="J9592" s="5"/>
      <c r="K9592" s="5"/>
    </row>
    <row r="9593" spans="3:11" x14ac:dyDescent="0.35">
      <c r="C9593" s="112"/>
      <c r="D9593" s="5"/>
      <c r="E9593" s="5"/>
      <c r="F9593" s="5"/>
      <c r="G9593" s="5"/>
      <c r="H9593" s="5"/>
      <c r="I9593" s="5"/>
      <c r="J9593" s="5"/>
      <c r="K9593" s="5"/>
    </row>
    <row r="9594" spans="3:11" x14ac:dyDescent="0.35">
      <c r="C9594" s="112"/>
      <c r="D9594" s="5"/>
      <c r="E9594" s="5"/>
      <c r="F9594" s="5"/>
      <c r="G9594" s="5"/>
      <c r="H9594" s="5"/>
      <c r="I9594" s="5"/>
      <c r="J9594" s="5"/>
      <c r="K9594" s="5"/>
    </row>
    <row r="9595" spans="3:11" x14ac:dyDescent="0.35">
      <c r="C9595" s="112"/>
      <c r="D9595" s="5"/>
      <c r="E9595" s="5"/>
      <c r="F9595" s="5"/>
      <c r="G9595" s="5"/>
      <c r="H9595" s="5"/>
      <c r="I9595" s="5"/>
      <c r="J9595" s="5"/>
      <c r="K9595" s="5"/>
    </row>
    <row r="9596" spans="3:11" x14ac:dyDescent="0.35">
      <c r="C9596" s="112"/>
      <c r="D9596" s="5"/>
      <c r="E9596" s="5"/>
      <c r="F9596" s="5"/>
      <c r="G9596" s="5"/>
      <c r="H9596" s="5"/>
      <c r="I9596" s="5"/>
      <c r="J9596" s="5"/>
      <c r="K9596" s="5"/>
    </row>
    <row r="9597" spans="3:11" x14ac:dyDescent="0.35">
      <c r="C9597" s="112"/>
      <c r="D9597" s="5"/>
      <c r="E9597" s="5"/>
      <c r="F9597" s="5"/>
      <c r="G9597" s="5"/>
      <c r="H9597" s="5"/>
      <c r="I9597" s="5"/>
      <c r="J9597" s="5"/>
      <c r="K9597" s="5"/>
    </row>
    <row r="9598" spans="3:11" x14ac:dyDescent="0.35">
      <c r="C9598" s="112"/>
      <c r="D9598" s="5"/>
      <c r="E9598" s="5"/>
      <c r="F9598" s="5"/>
      <c r="G9598" s="5"/>
      <c r="H9598" s="5"/>
      <c r="I9598" s="5"/>
      <c r="J9598" s="5"/>
      <c r="K9598" s="5"/>
    </row>
    <row r="9599" spans="3:11" x14ac:dyDescent="0.35">
      <c r="C9599" s="112"/>
      <c r="D9599" s="5"/>
      <c r="E9599" s="5"/>
      <c r="F9599" s="5"/>
      <c r="G9599" s="5"/>
      <c r="H9599" s="5"/>
      <c r="I9599" s="5"/>
      <c r="J9599" s="5"/>
      <c r="K9599" s="5"/>
    </row>
    <row r="9600" spans="3:11" x14ac:dyDescent="0.35">
      <c r="C9600" s="112"/>
      <c r="D9600" s="5"/>
      <c r="E9600" s="5"/>
      <c r="F9600" s="5"/>
      <c r="G9600" s="5"/>
      <c r="H9600" s="5"/>
      <c r="I9600" s="5"/>
      <c r="J9600" s="5"/>
      <c r="K9600" s="5"/>
    </row>
    <row r="9601" spans="3:11" x14ac:dyDescent="0.35">
      <c r="C9601" s="112"/>
      <c r="D9601" s="5"/>
      <c r="E9601" s="5"/>
      <c r="F9601" s="5"/>
      <c r="G9601" s="5"/>
      <c r="H9601" s="5"/>
      <c r="I9601" s="5"/>
      <c r="J9601" s="5"/>
      <c r="K9601" s="5"/>
    </row>
    <row r="9602" spans="3:11" x14ac:dyDescent="0.35">
      <c r="C9602" s="112"/>
      <c r="D9602" s="5"/>
      <c r="E9602" s="5"/>
      <c r="F9602" s="5"/>
      <c r="G9602" s="5"/>
      <c r="H9602" s="5"/>
      <c r="I9602" s="5"/>
      <c r="J9602" s="5"/>
      <c r="K9602" s="5"/>
    </row>
    <row r="9603" spans="3:11" x14ac:dyDescent="0.35">
      <c r="C9603" s="112"/>
      <c r="D9603" s="5"/>
      <c r="E9603" s="5"/>
      <c r="F9603" s="5"/>
      <c r="G9603" s="5"/>
      <c r="H9603" s="5"/>
      <c r="I9603" s="5"/>
      <c r="J9603" s="5"/>
      <c r="K9603" s="5"/>
    </row>
    <row r="9604" spans="3:11" x14ac:dyDescent="0.35">
      <c r="C9604" s="112"/>
      <c r="D9604" s="5"/>
      <c r="E9604" s="5"/>
      <c r="F9604" s="5"/>
      <c r="G9604" s="5"/>
      <c r="H9604" s="5"/>
      <c r="I9604" s="5"/>
      <c r="J9604" s="5"/>
      <c r="K9604" s="5"/>
    </row>
    <row r="9605" spans="3:11" x14ac:dyDescent="0.35">
      <c r="C9605" s="112"/>
      <c r="D9605" s="5"/>
      <c r="E9605" s="5"/>
      <c r="F9605" s="5"/>
      <c r="G9605" s="5"/>
      <c r="H9605" s="5"/>
      <c r="I9605" s="5"/>
      <c r="J9605" s="5"/>
      <c r="K9605" s="5"/>
    </row>
    <row r="9606" spans="3:11" x14ac:dyDescent="0.35">
      <c r="C9606" s="112"/>
      <c r="D9606" s="5"/>
      <c r="E9606" s="5"/>
      <c r="F9606" s="5"/>
      <c r="G9606" s="5"/>
      <c r="H9606" s="5"/>
      <c r="I9606" s="5"/>
      <c r="J9606" s="5"/>
      <c r="K9606" s="5"/>
    </row>
    <row r="9607" spans="3:11" x14ac:dyDescent="0.35">
      <c r="C9607" s="112"/>
      <c r="D9607" s="5"/>
      <c r="E9607" s="5"/>
      <c r="F9607" s="5"/>
      <c r="G9607" s="5"/>
      <c r="H9607" s="5"/>
      <c r="I9607" s="5"/>
      <c r="J9607" s="5"/>
      <c r="K9607" s="5"/>
    </row>
    <row r="9608" spans="3:11" x14ac:dyDescent="0.35">
      <c r="C9608" s="112"/>
      <c r="D9608" s="5"/>
      <c r="E9608" s="5"/>
      <c r="F9608" s="5"/>
      <c r="G9608" s="5"/>
      <c r="H9608" s="5"/>
      <c r="I9608" s="5"/>
      <c r="J9608" s="5"/>
      <c r="K9608" s="5"/>
    </row>
    <row r="9609" spans="3:11" x14ac:dyDescent="0.35">
      <c r="C9609" s="112"/>
      <c r="D9609" s="5"/>
      <c r="E9609" s="5"/>
      <c r="F9609" s="5"/>
      <c r="G9609" s="5"/>
      <c r="H9609" s="5"/>
      <c r="I9609" s="5"/>
      <c r="J9609" s="5"/>
      <c r="K9609" s="5"/>
    </row>
    <row r="9610" spans="3:11" x14ac:dyDescent="0.35">
      <c r="C9610" s="112"/>
      <c r="D9610" s="5"/>
      <c r="E9610" s="5"/>
      <c r="F9610" s="5"/>
      <c r="G9610" s="5"/>
      <c r="H9610" s="5"/>
      <c r="I9610" s="5"/>
      <c r="J9610" s="5"/>
      <c r="K9610" s="5"/>
    </row>
    <row r="9611" spans="3:11" x14ac:dyDescent="0.35">
      <c r="C9611" s="112"/>
      <c r="D9611" s="5"/>
      <c r="E9611" s="5"/>
      <c r="F9611" s="5"/>
      <c r="G9611" s="5"/>
      <c r="H9611" s="5"/>
      <c r="I9611" s="5"/>
      <c r="J9611" s="5"/>
      <c r="K9611" s="5"/>
    </row>
    <row r="9612" spans="3:11" x14ac:dyDescent="0.35">
      <c r="C9612" s="112"/>
      <c r="D9612" s="5"/>
      <c r="E9612" s="5"/>
      <c r="F9612" s="5"/>
      <c r="G9612" s="5"/>
      <c r="H9612" s="5"/>
      <c r="I9612" s="5"/>
      <c r="J9612" s="5"/>
      <c r="K9612" s="5"/>
    </row>
    <row r="9613" spans="3:11" x14ac:dyDescent="0.35">
      <c r="C9613" s="112"/>
      <c r="D9613" s="5"/>
      <c r="E9613" s="5"/>
      <c r="F9613" s="5"/>
      <c r="G9613" s="5"/>
      <c r="H9613" s="5"/>
      <c r="I9613" s="5"/>
      <c r="J9613" s="5"/>
      <c r="K9613" s="5"/>
    </row>
    <row r="9614" spans="3:11" x14ac:dyDescent="0.35">
      <c r="C9614" s="112"/>
      <c r="D9614" s="5"/>
      <c r="E9614" s="5"/>
      <c r="F9614" s="5"/>
      <c r="G9614" s="5"/>
      <c r="H9614" s="5"/>
      <c r="I9614" s="5"/>
      <c r="J9614" s="5"/>
      <c r="K9614" s="5"/>
    </row>
    <row r="9615" spans="3:11" x14ac:dyDescent="0.35">
      <c r="C9615" s="112"/>
      <c r="D9615" s="5"/>
      <c r="E9615" s="5"/>
      <c r="F9615" s="5"/>
      <c r="G9615" s="5"/>
      <c r="H9615" s="5"/>
      <c r="I9615" s="5"/>
      <c r="J9615" s="5"/>
      <c r="K9615" s="5"/>
    </row>
    <row r="9616" spans="3:11" x14ac:dyDescent="0.35">
      <c r="C9616" s="112"/>
      <c r="D9616" s="5"/>
      <c r="E9616" s="5"/>
      <c r="F9616" s="5"/>
      <c r="G9616" s="5"/>
      <c r="H9616" s="5"/>
      <c r="I9616" s="5"/>
      <c r="J9616" s="5"/>
      <c r="K9616" s="5"/>
    </row>
    <row r="9617" spans="3:11" x14ac:dyDescent="0.35">
      <c r="C9617" s="112"/>
      <c r="D9617" s="5"/>
      <c r="E9617" s="5"/>
      <c r="F9617" s="5"/>
      <c r="G9617" s="5"/>
      <c r="H9617" s="5"/>
      <c r="I9617" s="5"/>
      <c r="J9617" s="5"/>
      <c r="K9617" s="5"/>
    </row>
    <row r="9618" spans="3:11" x14ac:dyDescent="0.35">
      <c r="C9618" s="112"/>
      <c r="D9618" s="5"/>
      <c r="E9618" s="5"/>
      <c r="F9618" s="5"/>
      <c r="G9618" s="5"/>
      <c r="H9618" s="5"/>
      <c r="I9618" s="5"/>
      <c r="J9618" s="5"/>
      <c r="K9618" s="5"/>
    </row>
    <row r="9619" spans="3:11" x14ac:dyDescent="0.35">
      <c r="C9619" s="112"/>
      <c r="D9619" s="5"/>
      <c r="E9619" s="5"/>
      <c r="F9619" s="5"/>
      <c r="G9619" s="5"/>
      <c r="H9619" s="5"/>
      <c r="I9619" s="5"/>
      <c r="J9619" s="5"/>
      <c r="K9619" s="5"/>
    </row>
    <row r="9620" spans="3:11" x14ac:dyDescent="0.35">
      <c r="C9620" s="112"/>
      <c r="D9620" s="5"/>
      <c r="E9620" s="5"/>
      <c r="F9620" s="5"/>
      <c r="G9620" s="5"/>
      <c r="H9620" s="5"/>
      <c r="I9620" s="5"/>
      <c r="J9620" s="5"/>
      <c r="K9620" s="5"/>
    </row>
    <row r="9621" spans="3:11" x14ac:dyDescent="0.35">
      <c r="C9621" s="112"/>
      <c r="D9621" s="5"/>
      <c r="E9621" s="5"/>
      <c r="F9621" s="5"/>
      <c r="G9621" s="5"/>
      <c r="H9621" s="5"/>
      <c r="I9621" s="5"/>
      <c r="J9621" s="5"/>
      <c r="K9621" s="5"/>
    </row>
    <row r="9622" spans="3:11" x14ac:dyDescent="0.35">
      <c r="C9622" s="112"/>
      <c r="D9622" s="5"/>
      <c r="E9622" s="5"/>
      <c r="F9622" s="5"/>
      <c r="G9622" s="5"/>
      <c r="H9622" s="5"/>
      <c r="I9622" s="5"/>
      <c r="J9622" s="5"/>
      <c r="K9622" s="5"/>
    </row>
    <row r="9623" spans="3:11" x14ac:dyDescent="0.35">
      <c r="C9623" s="112"/>
      <c r="D9623" s="5"/>
      <c r="E9623" s="5"/>
      <c r="F9623" s="5"/>
      <c r="G9623" s="5"/>
      <c r="H9623" s="5"/>
      <c r="I9623" s="5"/>
      <c r="J9623" s="5"/>
      <c r="K9623" s="5"/>
    </row>
    <row r="9624" spans="3:11" x14ac:dyDescent="0.35">
      <c r="C9624" s="112"/>
      <c r="D9624" s="5"/>
      <c r="E9624" s="5"/>
      <c r="F9624" s="5"/>
      <c r="G9624" s="5"/>
      <c r="H9624" s="5"/>
      <c r="I9624" s="5"/>
      <c r="J9624" s="5"/>
      <c r="K9624" s="5"/>
    </row>
    <row r="9625" spans="3:11" x14ac:dyDescent="0.35">
      <c r="C9625" s="112"/>
      <c r="D9625" s="5"/>
      <c r="E9625" s="5"/>
      <c r="F9625" s="5"/>
      <c r="G9625" s="5"/>
      <c r="H9625" s="5"/>
      <c r="I9625" s="5"/>
      <c r="J9625" s="5"/>
      <c r="K9625" s="5"/>
    </row>
    <row r="9626" spans="3:11" x14ac:dyDescent="0.35">
      <c r="C9626" s="112"/>
      <c r="D9626" s="5"/>
      <c r="E9626" s="5"/>
      <c r="F9626" s="5"/>
      <c r="G9626" s="5"/>
      <c r="H9626" s="5"/>
      <c r="I9626" s="5"/>
      <c r="J9626" s="5"/>
      <c r="K9626" s="5"/>
    </row>
    <row r="9627" spans="3:11" x14ac:dyDescent="0.35">
      <c r="C9627" s="112"/>
      <c r="D9627" s="5"/>
      <c r="E9627" s="5"/>
      <c r="F9627" s="5"/>
      <c r="G9627" s="5"/>
      <c r="H9627" s="5"/>
      <c r="I9627" s="5"/>
      <c r="J9627" s="5"/>
      <c r="K9627" s="5"/>
    </row>
    <row r="9628" spans="3:11" x14ac:dyDescent="0.35">
      <c r="C9628" s="112"/>
      <c r="D9628" s="5"/>
      <c r="E9628" s="5"/>
      <c r="F9628" s="5"/>
      <c r="G9628" s="5"/>
      <c r="H9628" s="5"/>
      <c r="I9628" s="5"/>
      <c r="J9628" s="5"/>
      <c r="K9628" s="5"/>
    </row>
    <row r="9629" spans="3:11" x14ac:dyDescent="0.35">
      <c r="C9629" s="112"/>
      <c r="D9629" s="5"/>
      <c r="E9629" s="5"/>
      <c r="F9629" s="5"/>
      <c r="G9629" s="5"/>
      <c r="H9629" s="5"/>
      <c r="I9629" s="5"/>
      <c r="J9629" s="5"/>
      <c r="K9629" s="5"/>
    </row>
    <row r="9630" spans="3:11" x14ac:dyDescent="0.35">
      <c r="C9630" s="112"/>
      <c r="D9630" s="5"/>
      <c r="E9630" s="5"/>
      <c r="F9630" s="5"/>
      <c r="G9630" s="5"/>
      <c r="H9630" s="5"/>
      <c r="I9630" s="5"/>
      <c r="J9630" s="5"/>
      <c r="K9630" s="5"/>
    </row>
    <row r="9631" spans="3:11" x14ac:dyDescent="0.35">
      <c r="C9631" s="112"/>
      <c r="D9631" s="5"/>
      <c r="E9631" s="5"/>
      <c r="F9631" s="5"/>
      <c r="G9631" s="5"/>
      <c r="H9631" s="5"/>
      <c r="I9631" s="5"/>
      <c r="J9631" s="5"/>
      <c r="K9631" s="5"/>
    </row>
    <row r="9632" spans="3:11" x14ac:dyDescent="0.35">
      <c r="C9632" s="112"/>
      <c r="D9632" s="5"/>
      <c r="E9632" s="5"/>
      <c r="F9632" s="5"/>
      <c r="G9632" s="5"/>
      <c r="H9632" s="5"/>
      <c r="I9632" s="5"/>
      <c r="J9632" s="5"/>
      <c r="K9632" s="5"/>
    </row>
    <row r="9633" spans="3:11" x14ac:dyDescent="0.35">
      <c r="C9633" s="112"/>
      <c r="D9633" s="5"/>
      <c r="E9633" s="5"/>
      <c r="F9633" s="5"/>
      <c r="G9633" s="5"/>
      <c r="H9633" s="5"/>
      <c r="I9633" s="5"/>
      <c r="J9633" s="5"/>
      <c r="K9633" s="5"/>
    </row>
    <row r="9634" spans="3:11" x14ac:dyDescent="0.35">
      <c r="C9634" s="112"/>
      <c r="D9634" s="5"/>
      <c r="E9634" s="5"/>
      <c r="F9634" s="5"/>
      <c r="G9634" s="5"/>
      <c r="H9634" s="5"/>
      <c r="I9634" s="5"/>
      <c r="J9634" s="5"/>
      <c r="K9634" s="5"/>
    </row>
    <row r="9635" spans="3:11" x14ac:dyDescent="0.35">
      <c r="C9635" s="112"/>
      <c r="D9635" s="5"/>
      <c r="E9635" s="5"/>
      <c r="F9635" s="5"/>
      <c r="G9635" s="5"/>
      <c r="H9635" s="5"/>
      <c r="I9635" s="5"/>
      <c r="J9635" s="5"/>
      <c r="K9635" s="5"/>
    </row>
    <row r="9636" spans="3:11" x14ac:dyDescent="0.35">
      <c r="C9636" s="112"/>
      <c r="D9636" s="5"/>
      <c r="E9636" s="5"/>
      <c r="F9636" s="5"/>
      <c r="G9636" s="5"/>
      <c r="H9636" s="5"/>
      <c r="I9636" s="5"/>
      <c r="J9636" s="5"/>
      <c r="K9636" s="5"/>
    </row>
    <row r="9637" spans="3:11" x14ac:dyDescent="0.35">
      <c r="C9637" s="112"/>
      <c r="D9637" s="5"/>
      <c r="E9637" s="5"/>
      <c r="F9637" s="5"/>
      <c r="G9637" s="5"/>
      <c r="H9637" s="5"/>
      <c r="I9637" s="5"/>
      <c r="J9637" s="5"/>
      <c r="K9637" s="5"/>
    </row>
    <row r="9638" spans="3:11" x14ac:dyDescent="0.35">
      <c r="C9638" s="112"/>
      <c r="D9638" s="5"/>
      <c r="E9638" s="5"/>
      <c r="F9638" s="5"/>
      <c r="G9638" s="5"/>
      <c r="H9638" s="5"/>
      <c r="I9638" s="5"/>
      <c r="J9638" s="5"/>
      <c r="K9638" s="5"/>
    </row>
    <row r="9639" spans="3:11" x14ac:dyDescent="0.35">
      <c r="C9639" s="112"/>
      <c r="D9639" s="5"/>
      <c r="E9639" s="5"/>
      <c r="F9639" s="5"/>
      <c r="G9639" s="5"/>
      <c r="H9639" s="5"/>
      <c r="I9639" s="5"/>
      <c r="J9639" s="5"/>
      <c r="K9639" s="5"/>
    </row>
    <row r="9640" spans="3:11" x14ac:dyDescent="0.35">
      <c r="C9640" s="112"/>
      <c r="D9640" s="5"/>
      <c r="E9640" s="5"/>
      <c r="F9640" s="5"/>
      <c r="G9640" s="5"/>
      <c r="H9640" s="5"/>
      <c r="I9640" s="5"/>
      <c r="J9640" s="5"/>
      <c r="K9640" s="5"/>
    </row>
    <row r="9641" spans="3:11" x14ac:dyDescent="0.35">
      <c r="C9641" s="112"/>
      <c r="D9641" s="5"/>
      <c r="E9641" s="5"/>
      <c r="F9641" s="5"/>
      <c r="G9641" s="5"/>
      <c r="H9641" s="5"/>
      <c r="I9641" s="5"/>
      <c r="J9641" s="5"/>
      <c r="K9641" s="5"/>
    </row>
    <row r="9642" spans="3:11" x14ac:dyDescent="0.35">
      <c r="C9642" s="112"/>
      <c r="D9642" s="5"/>
      <c r="E9642" s="5"/>
      <c r="F9642" s="5"/>
      <c r="G9642" s="5"/>
      <c r="H9642" s="5"/>
      <c r="I9642" s="5"/>
      <c r="J9642" s="5"/>
      <c r="K9642" s="5"/>
    </row>
    <row r="9643" spans="3:11" x14ac:dyDescent="0.35">
      <c r="C9643" s="112"/>
      <c r="D9643" s="5"/>
      <c r="E9643" s="5"/>
      <c r="F9643" s="5"/>
      <c r="G9643" s="5"/>
      <c r="H9643" s="5"/>
      <c r="I9643" s="5"/>
      <c r="J9643" s="5"/>
      <c r="K9643" s="5"/>
    </row>
    <row r="9644" spans="3:11" x14ac:dyDescent="0.35">
      <c r="C9644" s="112"/>
      <c r="D9644" s="5"/>
      <c r="E9644" s="5"/>
      <c r="F9644" s="5"/>
      <c r="G9644" s="5"/>
      <c r="H9644" s="5"/>
      <c r="I9644" s="5"/>
      <c r="J9644" s="5"/>
      <c r="K9644" s="5"/>
    </row>
    <row r="9645" spans="3:11" x14ac:dyDescent="0.35">
      <c r="C9645" s="112"/>
      <c r="D9645" s="5"/>
      <c r="E9645" s="5"/>
      <c r="F9645" s="5"/>
      <c r="G9645" s="5"/>
      <c r="H9645" s="5"/>
      <c r="I9645" s="5"/>
      <c r="J9645" s="5"/>
      <c r="K9645" s="5"/>
    </row>
    <row r="9646" spans="3:11" x14ac:dyDescent="0.35">
      <c r="C9646" s="112"/>
      <c r="D9646" s="5"/>
      <c r="E9646" s="5"/>
      <c r="F9646" s="5"/>
      <c r="G9646" s="5"/>
      <c r="H9646" s="5"/>
      <c r="I9646" s="5"/>
      <c r="J9646" s="5"/>
      <c r="K9646" s="5"/>
    </row>
    <row r="9647" spans="3:11" x14ac:dyDescent="0.35">
      <c r="C9647" s="112"/>
      <c r="D9647" s="5"/>
      <c r="E9647" s="5"/>
      <c r="F9647" s="5"/>
      <c r="G9647" s="5"/>
      <c r="H9647" s="5"/>
      <c r="I9647" s="5"/>
      <c r="J9647" s="5"/>
      <c r="K9647" s="5"/>
    </row>
    <row r="9648" spans="3:11" x14ac:dyDescent="0.35">
      <c r="C9648" s="112"/>
      <c r="D9648" s="5"/>
      <c r="E9648" s="5"/>
      <c r="F9648" s="5"/>
      <c r="G9648" s="5"/>
      <c r="H9648" s="5"/>
      <c r="I9648" s="5"/>
      <c r="J9648" s="5"/>
      <c r="K9648" s="5"/>
    </row>
    <row r="9649" spans="3:11" x14ac:dyDescent="0.35">
      <c r="C9649" s="112"/>
      <c r="D9649" s="5"/>
      <c r="E9649" s="5"/>
      <c r="F9649" s="5"/>
      <c r="G9649" s="5"/>
      <c r="H9649" s="5"/>
      <c r="I9649" s="5"/>
      <c r="J9649" s="5"/>
      <c r="K9649" s="5"/>
    </row>
    <row r="9650" spans="3:11" x14ac:dyDescent="0.35">
      <c r="C9650" s="112"/>
      <c r="D9650" s="5"/>
      <c r="E9650" s="5"/>
      <c r="F9650" s="5"/>
      <c r="G9650" s="5"/>
      <c r="H9650" s="5"/>
      <c r="I9650" s="5"/>
      <c r="J9650" s="5"/>
      <c r="K9650" s="5"/>
    </row>
    <row r="9651" spans="3:11" x14ac:dyDescent="0.35">
      <c r="C9651" s="112"/>
      <c r="D9651" s="5"/>
      <c r="E9651" s="5"/>
      <c r="F9651" s="5"/>
      <c r="G9651" s="5"/>
      <c r="H9651" s="5"/>
      <c r="I9651" s="5"/>
      <c r="J9651" s="5"/>
      <c r="K9651" s="5"/>
    </row>
    <row r="9652" spans="3:11" x14ac:dyDescent="0.35">
      <c r="C9652" s="112"/>
      <c r="D9652" s="5"/>
      <c r="E9652" s="5"/>
      <c r="F9652" s="5"/>
      <c r="G9652" s="5"/>
      <c r="H9652" s="5"/>
      <c r="I9652" s="5"/>
      <c r="J9652" s="5"/>
      <c r="K9652" s="5"/>
    </row>
    <row r="9653" spans="3:11" x14ac:dyDescent="0.35">
      <c r="C9653" s="112"/>
      <c r="D9653" s="5"/>
      <c r="E9653" s="5"/>
      <c r="F9653" s="5"/>
      <c r="G9653" s="5"/>
      <c r="H9653" s="5"/>
      <c r="I9653" s="5"/>
      <c r="J9653" s="5"/>
      <c r="K9653" s="5"/>
    </row>
    <row r="9654" spans="3:11" x14ac:dyDescent="0.35">
      <c r="C9654" s="112"/>
      <c r="D9654" s="5"/>
      <c r="E9654" s="5"/>
      <c r="F9654" s="5"/>
      <c r="G9654" s="5"/>
      <c r="H9654" s="5"/>
      <c r="I9654" s="5"/>
      <c r="J9654" s="5"/>
      <c r="K9654" s="5"/>
    </row>
    <row r="9655" spans="3:11" x14ac:dyDescent="0.35">
      <c r="C9655" s="112"/>
      <c r="D9655" s="5"/>
      <c r="E9655" s="5"/>
      <c r="F9655" s="5"/>
      <c r="G9655" s="5"/>
      <c r="H9655" s="5"/>
      <c r="I9655" s="5"/>
      <c r="J9655" s="5"/>
      <c r="K9655" s="5"/>
    </row>
    <row r="9656" spans="3:11" x14ac:dyDescent="0.35">
      <c r="C9656" s="112"/>
      <c r="D9656" s="5"/>
      <c r="E9656" s="5"/>
      <c r="F9656" s="5"/>
      <c r="G9656" s="5"/>
      <c r="H9656" s="5"/>
      <c r="I9656" s="5"/>
      <c r="J9656" s="5"/>
      <c r="K9656" s="5"/>
    </row>
    <row r="9657" spans="3:11" x14ac:dyDescent="0.35">
      <c r="C9657" s="112"/>
      <c r="D9657" s="5"/>
      <c r="E9657" s="5"/>
      <c r="F9657" s="5"/>
      <c r="G9657" s="5"/>
      <c r="H9657" s="5"/>
      <c r="I9657" s="5"/>
      <c r="J9657" s="5"/>
      <c r="K9657" s="5"/>
    </row>
    <row r="9658" spans="3:11" x14ac:dyDescent="0.35">
      <c r="C9658" s="112"/>
      <c r="D9658" s="5"/>
      <c r="E9658" s="5"/>
      <c r="F9658" s="5"/>
      <c r="G9658" s="5"/>
      <c r="H9658" s="5"/>
      <c r="I9658" s="5"/>
      <c r="J9658" s="5"/>
      <c r="K9658" s="5"/>
    </row>
    <row r="9659" spans="3:11" x14ac:dyDescent="0.35">
      <c r="C9659" s="112"/>
      <c r="D9659" s="5"/>
      <c r="E9659" s="5"/>
      <c r="F9659" s="5"/>
      <c r="G9659" s="5"/>
      <c r="H9659" s="5"/>
      <c r="I9659" s="5"/>
      <c r="J9659" s="5"/>
      <c r="K9659" s="5"/>
    </row>
    <row r="9660" spans="3:11" x14ac:dyDescent="0.35">
      <c r="C9660" s="112"/>
      <c r="D9660" s="5"/>
      <c r="E9660" s="5"/>
      <c r="F9660" s="5"/>
      <c r="G9660" s="5"/>
      <c r="H9660" s="5"/>
      <c r="I9660" s="5"/>
      <c r="J9660" s="5"/>
      <c r="K9660" s="5"/>
    </row>
    <row r="9661" spans="3:11" x14ac:dyDescent="0.35">
      <c r="C9661" s="112"/>
      <c r="D9661" s="5"/>
      <c r="E9661" s="5"/>
      <c r="F9661" s="5"/>
      <c r="G9661" s="5"/>
      <c r="H9661" s="5"/>
      <c r="I9661" s="5"/>
      <c r="J9661" s="5"/>
      <c r="K9661" s="5"/>
    </row>
    <row r="9662" spans="3:11" x14ac:dyDescent="0.35">
      <c r="C9662" s="112"/>
      <c r="D9662" s="5"/>
      <c r="E9662" s="5"/>
      <c r="F9662" s="5"/>
      <c r="G9662" s="5"/>
      <c r="H9662" s="5"/>
      <c r="I9662" s="5"/>
      <c r="J9662" s="5"/>
      <c r="K9662" s="5"/>
    </row>
    <row r="9663" spans="3:11" x14ac:dyDescent="0.35">
      <c r="C9663" s="112"/>
      <c r="D9663" s="5"/>
      <c r="E9663" s="5"/>
      <c r="F9663" s="5"/>
      <c r="G9663" s="5"/>
      <c r="H9663" s="5"/>
      <c r="I9663" s="5"/>
      <c r="J9663" s="5"/>
      <c r="K9663" s="5"/>
    </row>
    <row r="9664" spans="3:11" x14ac:dyDescent="0.35">
      <c r="C9664" s="112"/>
      <c r="D9664" s="5"/>
      <c r="E9664" s="5"/>
      <c r="F9664" s="5"/>
      <c r="G9664" s="5"/>
      <c r="H9664" s="5"/>
      <c r="I9664" s="5"/>
      <c r="J9664" s="5"/>
      <c r="K9664" s="5"/>
    </row>
    <row r="9665" spans="3:11" x14ac:dyDescent="0.35">
      <c r="C9665" s="112"/>
      <c r="D9665" s="5"/>
      <c r="E9665" s="5"/>
      <c r="F9665" s="5"/>
      <c r="G9665" s="5"/>
      <c r="H9665" s="5"/>
      <c r="I9665" s="5"/>
      <c r="J9665" s="5"/>
      <c r="K9665" s="5"/>
    </row>
    <row r="9666" spans="3:11" x14ac:dyDescent="0.35">
      <c r="C9666" s="112"/>
      <c r="D9666" s="5"/>
      <c r="E9666" s="5"/>
      <c r="F9666" s="5"/>
      <c r="G9666" s="5"/>
      <c r="H9666" s="5"/>
      <c r="I9666" s="5"/>
      <c r="J9666" s="5"/>
      <c r="K9666" s="5"/>
    </row>
    <row r="9667" spans="3:11" x14ac:dyDescent="0.35">
      <c r="C9667" s="112"/>
      <c r="D9667" s="5"/>
      <c r="E9667" s="5"/>
      <c r="F9667" s="5"/>
      <c r="G9667" s="5"/>
      <c r="H9667" s="5"/>
      <c r="I9667" s="5"/>
      <c r="J9667" s="5"/>
      <c r="K9667" s="5"/>
    </row>
    <row r="9668" spans="3:11" x14ac:dyDescent="0.35">
      <c r="C9668" s="112"/>
      <c r="D9668" s="5"/>
      <c r="E9668" s="5"/>
      <c r="F9668" s="5"/>
      <c r="G9668" s="5"/>
      <c r="H9668" s="5"/>
      <c r="I9668" s="5"/>
      <c r="J9668" s="5"/>
      <c r="K9668" s="5"/>
    </row>
    <row r="9669" spans="3:11" x14ac:dyDescent="0.35">
      <c r="C9669" s="112"/>
      <c r="D9669" s="5"/>
      <c r="E9669" s="5"/>
      <c r="F9669" s="5"/>
      <c r="G9669" s="5"/>
      <c r="H9669" s="5"/>
      <c r="I9669" s="5"/>
      <c r="J9669" s="5"/>
      <c r="K9669" s="5"/>
    </row>
    <row r="9670" spans="3:11" x14ac:dyDescent="0.35">
      <c r="C9670" s="112"/>
      <c r="D9670" s="5"/>
      <c r="E9670" s="5"/>
      <c r="F9670" s="5"/>
      <c r="G9670" s="5"/>
      <c r="H9670" s="5"/>
      <c r="I9670" s="5"/>
      <c r="J9670" s="5"/>
      <c r="K9670" s="5"/>
    </row>
    <row r="9671" spans="3:11" x14ac:dyDescent="0.35">
      <c r="C9671" s="112"/>
      <c r="D9671" s="5"/>
      <c r="E9671" s="5"/>
      <c r="F9671" s="5"/>
      <c r="G9671" s="5"/>
      <c r="H9671" s="5"/>
      <c r="I9671" s="5"/>
      <c r="J9671" s="5"/>
      <c r="K9671" s="5"/>
    </row>
    <row r="9672" spans="3:11" x14ac:dyDescent="0.35">
      <c r="C9672" s="112"/>
      <c r="D9672" s="5"/>
      <c r="E9672" s="5"/>
      <c r="F9672" s="5"/>
      <c r="G9672" s="5"/>
      <c r="H9672" s="5"/>
      <c r="I9672" s="5"/>
      <c r="J9672" s="5"/>
      <c r="K9672" s="5"/>
    </row>
    <row r="9673" spans="3:11" x14ac:dyDescent="0.35">
      <c r="C9673" s="112"/>
      <c r="D9673" s="5"/>
      <c r="E9673" s="5"/>
      <c r="F9673" s="5"/>
      <c r="G9673" s="5"/>
      <c r="H9673" s="5"/>
      <c r="I9673" s="5"/>
      <c r="J9673" s="5"/>
      <c r="K9673" s="5"/>
    </row>
    <row r="9674" spans="3:11" x14ac:dyDescent="0.35">
      <c r="C9674" s="112"/>
      <c r="D9674" s="5"/>
      <c r="E9674" s="5"/>
      <c r="F9674" s="5"/>
      <c r="G9674" s="5"/>
      <c r="H9674" s="5"/>
      <c r="I9674" s="5"/>
      <c r="J9674" s="5"/>
      <c r="K9674" s="5"/>
    </row>
    <row r="9675" spans="3:11" x14ac:dyDescent="0.35">
      <c r="C9675" s="112"/>
      <c r="D9675" s="5"/>
      <c r="E9675" s="5"/>
      <c r="F9675" s="5"/>
      <c r="G9675" s="5"/>
      <c r="H9675" s="5"/>
      <c r="I9675" s="5"/>
      <c r="J9675" s="5"/>
      <c r="K9675" s="5"/>
    </row>
    <row r="9676" spans="3:11" x14ac:dyDescent="0.35">
      <c r="C9676" s="112"/>
      <c r="D9676" s="5"/>
      <c r="E9676" s="5"/>
      <c r="F9676" s="5"/>
      <c r="G9676" s="5"/>
      <c r="H9676" s="5"/>
      <c r="I9676" s="5"/>
      <c r="J9676" s="5"/>
      <c r="K9676" s="5"/>
    </row>
    <row r="9677" spans="3:11" x14ac:dyDescent="0.35">
      <c r="C9677" s="112"/>
      <c r="D9677" s="5"/>
      <c r="E9677" s="5"/>
      <c r="F9677" s="5"/>
      <c r="G9677" s="5"/>
      <c r="H9677" s="5"/>
      <c r="I9677" s="5"/>
      <c r="J9677" s="5"/>
      <c r="K9677" s="5"/>
    </row>
    <row r="9678" spans="3:11" x14ac:dyDescent="0.35">
      <c r="C9678" s="112"/>
      <c r="D9678" s="5"/>
      <c r="E9678" s="5"/>
      <c r="F9678" s="5"/>
      <c r="G9678" s="5"/>
      <c r="H9678" s="5"/>
      <c r="I9678" s="5"/>
      <c r="J9678" s="5"/>
      <c r="K9678" s="5"/>
    </row>
    <row r="9679" spans="3:11" x14ac:dyDescent="0.35">
      <c r="C9679" s="112"/>
      <c r="D9679" s="5"/>
      <c r="E9679" s="5"/>
      <c r="F9679" s="5"/>
      <c r="G9679" s="5"/>
      <c r="H9679" s="5"/>
      <c r="I9679" s="5"/>
      <c r="J9679" s="5"/>
      <c r="K9679" s="5"/>
    </row>
    <row r="9680" spans="3:11" x14ac:dyDescent="0.35">
      <c r="C9680" s="112"/>
      <c r="D9680" s="5"/>
      <c r="E9680" s="5"/>
      <c r="F9680" s="5"/>
      <c r="G9680" s="5"/>
      <c r="H9680" s="5"/>
      <c r="I9680" s="5"/>
      <c r="J9680" s="5"/>
      <c r="K9680" s="5"/>
    </row>
    <row r="9681" spans="3:11" x14ac:dyDescent="0.35">
      <c r="C9681" s="112"/>
      <c r="D9681" s="5"/>
      <c r="E9681" s="5"/>
      <c r="F9681" s="5"/>
      <c r="G9681" s="5"/>
      <c r="H9681" s="5"/>
      <c r="I9681" s="5"/>
      <c r="J9681" s="5"/>
      <c r="K9681" s="5"/>
    </row>
    <row r="9682" spans="3:11" x14ac:dyDescent="0.35">
      <c r="C9682" s="112"/>
      <c r="D9682" s="5"/>
      <c r="E9682" s="5"/>
      <c r="F9682" s="5"/>
      <c r="G9682" s="5"/>
      <c r="H9682" s="5"/>
      <c r="I9682" s="5"/>
      <c r="J9682" s="5"/>
      <c r="K9682" s="5"/>
    </row>
    <row r="9683" spans="3:11" x14ac:dyDescent="0.35">
      <c r="C9683" s="112"/>
      <c r="D9683" s="5"/>
      <c r="E9683" s="5"/>
      <c r="F9683" s="5"/>
      <c r="G9683" s="5"/>
      <c r="H9683" s="5"/>
      <c r="I9683" s="5"/>
      <c r="J9683" s="5"/>
      <c r="K9683" s="5"/>
    </row>
    <row r="9684" spans="3:11" x14ac:dyDescent="0.35">
      <c r="C9684" s="112"/>
      <c r="D9684" s="5"/>
      <c r="E9684" s="5"/>
      <c r="F9684" s="5"/>
      <c r="G9684" s="5"/>
      <c r="H9684" s="5"/>
      <c r="I9684" s="5"/>
      <c r="J9684" s="5"/>
      <c r="K9684" s="5"/>
    </row>
    <row r="9685" spans="3:11" x14ac:dyDescent="0.35">
      <c r="C9685" s="112"/>
      <c r="D9685" s="5"/>
      <c r="E9685" s="5"/>
      <c r="F9685" s="5"/>
      <c r="G9685" s="5"/>
      <c r="H9685" s="5"/>
      <c r="I9685" s="5"/>
      <c r="J9685" s="5"/>
      <c r="K9685" s="5"/>
    </row>
    <row r="9686" spans="3:11" x14ac:dyDescent="0.35">
      <c r="C9686" s="112"/>
      <c r="D9686" s="5"/>
      <c r="E9686" s="5"/>
      <c r="F9686" s="5"/>
      <c r="G9686" s="5"/>
      <c r="H9686" s="5"/>
      <c r="I9686" s="5"/>
      <c r="J9686" s="5"/>
      <c r="K9686" s="5"/>
    </row>
    <row r="9687" spans="3:11" x14ac:dyDescent="0.35">
      <c r="C9687" s="112"/>
      <c r="D9687" s="5"/>
      <c r="E9687" s="5"/>
      <c r="F9687" s="5"/>
      <c r="G9687" s="5"/>
      <c r="H9687" s="5"/>
      <c r="I9687" s="5"/>
      <c r="J9687" s="5"/>
      <c r="K9687" s="5"/>
    </row>
    <row r="9688" spans="3:11" x14ac:dyDescent="0.35">
      <c r="C9688" s="112"/>
      <c r="D9688" s="5"/>
      <c r="E9688" s="5"/>
      <c r="F9688" s="5"/>
      <c r="G9688" s="5"/>
      <c r="H9688" s="5"/>
      <c r="I9688" s="5"/>
      <c r="J9688" s="5"/>
      <c r="K9688" s="5"/>
    </row>
    <row r="9689" spans="3:11" x14ac:dyDescent="0.35">
      <c r="C9689" s="112"/>
      <c r="D9689" s="5"/>
      <c r="E9689" s="5"/>
      <c r="F9689" s="5"/>
      <c r="G9689" s="5"/>
      <c r="H9689" s="5"/>
      <c r="I9689" s="5"/>
      <c r="J9689" s="5"/>
      <c r="K9689" s="5"/>
    </row>
    <row r="9690" spans="3:11" x14ac:dyDescent="0.35">
      <c r="C9690" s="112"/>
      <c r="D9690" s="5"/>
      <c r="E9690" s="5"/>
      <c r="F9690" s="5"/>
      <c r="G9690" s="5"/>
      <c r="H9690" s="5"/>
      <c r="I9690" s="5"/>
      <c r="J9690" s="5"/>
      <c r="K9690" s="5"/>
    </row>
    <row r="9691" spans="3:11" x14ac:dyDescent="0.35">
      <c r="C9691" s="112"/>
      <c r="D9691" s="5"/>
      <c r="E9691" s="5"/>
      <c r="F9691" s="5"/>
      <c r="G9691" s="5"/>
      <c r="H9691" s="5"/>
      <c r="I9691" s="5"/>
      <c r="J9691" s="5"/>
      <c r="K9691" s="5"/>
    </row>
    <row r="9692" spans="3:11" x14ac:dyDescent="0.35">
      <c r="C9692" s="112"/>
      <c r="D9692" s="5"/>
      <c r="E9692" s="5"/>
      <c r="F9692" s="5"/>
      <c r="G9692" s="5"/>
      <c r="H9692" s="5"/>
      <c r="I9692" s="5"/>
      <c r="J9692" s="5"/>
      <c r="K9692" s="5"/>
    </row>
    <row r="9693" spans="3:11" x14ac:dyDescent="0.35">
      <c r="C9693" s="112"/>
      <c r="D9693" s="5"/>
      <c r="E9693" s="5"/>
      <c r="F9693" s="5"/>
      <c r="G9693" s="5"/>
      <c r="H9693" s="5"/>
      <c r="I9693" s="5"/>
      <c r="J9693" s="5"/>
      <c r="K9693" s="5"/>
    </row>
    <row r="9694" spans="3:11" x14ac:dyDescent="0.35">
      <c r="C9694" s="112"/>
      <c r="D9694" s="5"/>
      <c r="E9694" s="5"/>
      <c r="F9694" s="5"/>
      <c r="G9694" s="5"/>
      <c r="H9694" s="5"/>
      <c r="I9694" s="5"/>
      <c r="J9694" s="5"/>
      <c r="K9694" s="5"/>
    </row>
    <row r="9695" spans="3:11" x14ac:dyDescent="0.35">
      <c r="C9695" s="112"/>
      <c r="D9695" s="5"/>
      <c r="E9695" s="5"/>
      <c r="F9695" s="5"/>
      <c r="G9695" s="5"/>
      <c r="H9695" s="5"/>
      <c r="I9695" s="5"/>
      <c r="J9695" s="5"/>
      <c r="K9695" s="5"/>
    </row>
    <row r="9696" spans="3:11" x14ac:dyDescent="0.35">
      <c r="C9696" s="112"/>
      <c r="D9696" s="5"/>
      <c r="E9696" s="5"/>
      <c r="F9696" s="5"/>
      <c r="G9696" s="5"/>
      <c r="H9696" s="5"/>
      <c r="I9696" s="5"/>
      <c r="J9696" s="5"/>
      <c r="K9696" s="5"/>
    </row>
    <row r="9697" spans="3:11" x14ac:dyDescent="0.35">
      <c r="C9697" s="112"/>
      <c r="D9697" s="5"/>
      <c r="E9697" s="5"/>
      <c r="F9697" s="5"/>
      <c r="G9697" s="5"/>
      <c r="H9697" s="5"/>
      <c r="I9697" s="5"/>
      <c r="J9697" s="5"/>
      <c r="K9697" s="5"/>
    </row>
    <row r="9698" spans="3:11" x14ac:dyDescent="0.35">
      <c r="C9698" s="112"/>
      <c r="D9698" s="5"/>
      <c r="E9698" s="5"/>
      <c r="F9698" s="5"/>
      <c r="G9698" s="5"/>
      <c r="H9698" s="5"/>
      <c r="I9698" s="5"/>
      <c r="J9698" s="5"/>
      <c r="K9698" s="5"/>
    </row>
    <row r="9699" spans="3:11" x14ac:dyDescent="0.35">
      <c r="C9699" s="112"/>
      <c r="D9699" s="5"/>
      <c r="E9699" s="5"/>
      <c r="F9699" s="5"/>
      <c r="G9699" s="5"/>
      <c r="H9699" s="5"/>
      <c r="I9699" s="5"/>
      <c r="J9699" s="5"/>
      <c r="K9699" s="5"/>
    </row>
    <row r="9700" spans="3:11" x14ac:dyDescent="0.35">
      <c r="C9700" s="112"/>
      <c r="D9700" s="5"/>
      <c r="E9700" s="5"/>
      <c r="F9700" s="5"/>
      <c r="G9700" s="5"/>
      <c r="H9700" s="5"/>
      <c r="I9700" s="5"/>
      <c r="J9700" s="5"/>
      <c r="K9700" s="5"/>
    </row>
    <row r="9701" spans="3:11" x14ac:dyDescent="0.35">
      <c r="C9701" s="112"/>
      <c r="D9701" s="5"/>
      <c r="E9701" s="5"/>
      <c r="F9701" s="5"/>
      <c r="G9701" s="5"/>
      <c r="H9701" s="5"/>
      <c r="I9701" s="5"/>
      <c r="J9701" s="5"/>
      <c r="K9701" s="5"/>
    </row>
    <row r="9702" spans="3:11" x14ac:dyDescent="0.35">
      <c r="C9702" s="112"/>
      <c r="D9702" s="5"/>
      <c r="E9702" s="5"/>
      <c r="F9702" s="5"/>
      <c r="G9702" s="5"/>
      <c r="H9702" s="5"/>
      <c r="I9702" s="5"/>
      <c r="J9702" s="5"/>
      <c r="K9702" s="5"/>
    </row>
    <row r="9703" spans="3:11" x14ac:dyDescent="0.35">
      <c r="C9703" s="112"/>
      <c r="D9703" s="5"/>
      <c r="E9703" s="5"/>
      <c r="F9703" s="5"/>
      <c r="G9703" s="5"/>
      <c r="H9703" s="5"/>
      <c r="I9703" s="5"/>
      <c r="J9703" s="5"/>
      <c r="K9703" s="5"/>
    </row>
    <row r="9704" spans="3:11" x14ac:dyDescent="0.35">
      <c r="C9704" s="112"/>
      <c r="D9704" s="5"/>
      <c r="E9704" s="5"/>
      <c r="F9704" s="5"/>
      <c r="G9704" s="5"/>
      <c r="H9704" s="5"/>
      <c r="I9704" s="5"/>
      <c r="J9704" s="5"/>
      <c r="K9704" s="5"/>
    </row>
    <row r="9705" spans="3:11" x14ac:dyDescent="0.35">
      <c r="C9705" s="112"/>
      <c r="D9705" s="5"/>
      <c r="E9705" s="5"/>
      <c r="F9705" s="5"/>
      <c r="G9705" s="5"/>
      <c r="H9705" s="5"/>
      <c r="I9705" s="5"/>
      <c r="J9705" s="5"/>
      <c r="K9705" s="5"/>
    </row>
    <row r="9706" spans="3:11" x14ac:dyDescent="0.35">
      <c r="C9706" s="112"/>
      <c r="D9706" s="5"/>
      <c r="E9706" s="5"/>
      <c r="F9706" s="5"/>
      <c r="G9706" s="5"/>
      <c r="H9706" s="5"/>
      <c r="I9706" s="5"/>
      <c r="J9706" s="5"/>
      <c r="K9706" s="5"/>
    </row>
    <row r="9707" spans="3:11" x14ac:dyDescent="0.35">
      <c r="C9707" s="112"/>
      <c r="D9707" s="5"/>
      <c r="E9707" s="5"/>
      <c r="F9707" s="5"/>
      <c r="G9707" s="5"/>
      <c r="H9707" s="5"/>
      <c r="I9707" s="5"/>
      <c r="J9707" s="5"/>
      <c r="K9707" s="5"/>
    </row>
    <row r="9708" spans="3:11" x14ac:dyDescent="0.35">
      <c r="C9708" s="112"/>
      <c r="D9708" s="5"/>
      <c r="E9708" s="5"/>
      <c r="F9708" s="5"/>
      <c r="G9708" s="5"/>
      <c r="H9708" s="5"/>
      <c r="I9708" s="5"/>
      <c r="J9708" s="5"/>
      <c r="K9708" s="5"/>
    </row>
    <row r="9709" spans="3:11" x14ac:dyDescent="0.35">
      <c r="C9709" s="112"/>
      <c r="D9709" s="5"/>
      <c r="E9709" s="5"/>
      <c r="F9709" s="5"/>
      <c r="G9709" s="5"/>
      <c r="H9709" s="5"/>
      <c r="I9709" s="5"/>
      <c r="J9709" s="5"/>
      <c r="K9709" s="5"/>
    </row>
    <row r="9710" spans="3:11" x14ac:dyDescent="0.35">
      <c r="C9710" s="112"/>
      <c r="D9710" s="5"/>
      <c r="E9710" s="5"/>
      <c r="F9710" s="5"/>
      <c r="G9710" s="5"/>
      <c r="H9710" s="5"/>
      <c r="I9710" s="5"/>
      <c r="J9710" s="5"/>
      <c r="K9710" s="5"/>
    </row>
    <row r="9711" spans="3:11" x14ac:dyDescent="0.35">
      <c r="C9711" s="112"/>
      <c r="D9711" s="5"/>
      <c r="E9711" s="5"/>
      <c r="F9711" s="5"/>
      <c r="G9711" s="5"/>
      <c r="H9711" s="5"/>
      <c r="I9711" s="5"/>
      <c r="J9711" s="5"/>
      <c r="K9711" s="5"/>
    </row>
    <row r="9712" spans="3:11" x14ac:dyDescent="0.35">
      <c r="C9712" s="112"/>
      <c r="D9712" s="5"/>
      <c r="E9712" s="5"/>
      <c r="F9712" s="5"/>
      <c r="G9712" s="5"/>
      <c r="H9712" s="5"/>
      <c r="I9712" s="5"/>
      <c r="J9712" s="5"/>
      <c r="K9712" s="5"/>
    </row>
    <row r="9713" spans="3:11" x14ac:dyDescent="0.35">
      <c r="C9713" s="112"/>
      <c r="D9713" s="5"/>
      <c r="E9713" s="5"/>
      <c r="F9713" s="5"/>
      <c r="G9713" s="5"/>
      <c r="H9713" s="5"/>
      <c r="I9713" s="5"/>
      <c r="J9713" s="5"/>
      <c r="K9713" s="5"/>
    </row>
    <row r="9714" spans="3:11" x14ac:dyDescent="0.35">
      <c r="C9714" s="112"/>
      <c r="D9714" s="5"/>
      <c r="E9714" s="5"/>
      <c r="F9714" s="5"/>
      <c r="G9714" s="5"/>
      <c r="H9714" s="5"/>
      <c r="I9714" s="5"/>
      <c r="J9714" s="5"/>
      <c r="K9714" s="5"/>
    </row>
    <row r="9715" spans="3:11" x14ac:dyDescent="0.35">
      <c r="C9715" s="112"/>
      <c r="D9715" s="5"/>
      <c r="E9715" s="5"/>
      <c r="F9715" s="5"/>
      <c r="G9715" s="5"/>
      <c r="H9715" s="5"/>
      <c r="I9715" s="5"/>
      <c r="J9715" s="5"/>
      <c r="K9715" s="5"/>
    </row>
    <row r="9716" spans="3:11" x14ac:dyDescent="0.35">
      <c r="C9716" s="112"/>
      <c r="D9716" s="5"/>
      <c r="E9716" s="5"/>
      <c r="F9716" s="5"/>
      <c r="G9716" s="5"/>
      <c r="H9716" s="5"/>
      <c r="I9716" s="5"/>
      <c r="J9716" s="5"/>
      <c r="K9716" s="5"/>
    </row>
    <row r="9717" spans="3:11" x14ac:dyDescent="0.35">
      <c r="C9717" s="112"/>
      <c r="D9717" s="5"/>
      <c r="E9717" s="5"/>
      <c r="F9717" s="5"/>
      <c r="G9717" s="5"/>
      <c r="H9717" s="5"/>
      <c r="I9717" s="5"/>
      <c r="J9717" s="5"/>
      <c r="K9717" s="5"/>
    </row>
    <row r="9718" spans="3:11" x14ac:dyDescent="0.35">
      <c r="C9718" s="112"/>
      <c r="D9718" s="5"/>
      <c r="E9718" s="5"/>
      <c r="F9718" s="5"/>
      <c r="G9718" s="5"/>
      <c r="H9718" s="5"/>
      <c r="I9718" s="5"/>
      <c r="J9718" s="5"/>
      <c r="K9718" s="5"/>
    </row>
    <row r="9719" spans="3:11" x14ac:dyDescent="0.35">
      <c r="C9719" s="112"/>
      <c r="D9719" s="5"/>
      <c r="E9719" s="5"/>
      <c r="F9719" s="5"/>
      <c r="G9719" s="5"/>
      <c r="H9719" s="5"/>
      <c r="I9719" s="5"/>
      <c r="J9719" s="5"/>
      <c r="K9719" s="5"/>
    </row>
    <row r="9720" spans="3:11" x14ac:dyDescent="0.35">
      <c r="C9720" s="112"/>
      <c r="D9720" s="5"/>
      <c r="E9720" s="5"/>
      <c r="F9720" s="5"/>
      <c r="G9720" s="5"/>
      <c r="H9720" s="5"/>
      <c r="I9720" s="5"/>
      <c r="J9720" s="5"/>
      <c r="K9720" s="5"/>
    </row>
    <row r="9721" spans="3:11" x14ac:dyDescent="0.35">
      <c r="C9721" s="112"/>
      <c r="D9721" s="5"/>
      <c r="E9721" s="5"/>
      <c r="F9721" s="5"/>
      <c r="G9721" s="5"/>
      <c r="H9721" s="5"/>
      <c r="I9721" s="5"/>
      <c r="J9721" s="5"/>
      <c r="K9721" s="5"/>
    </row>
    <row r="9722" spans="3:11" x14ac:dyDescent="0.35">
      <c r="C9722" s="112"/>
      <c r="D9722" s="5"/>
      <c r="E9722" s="5"/>
      <c r="F9722" s="5"/>
      <c r="G9722" s="5"/>
      <c r="H9722" s="5"/>
      <c r="I9722" s="5"/>
      <c r="J9722" s="5"/>
      <c r="K9722" s="5"/>
    </row>
    <row r="9723" spans="3:11" x14ac:dyDescent="0.35">
      <c r="C9723" s="112"/>
      <c r="D9723" s="5"/>
      <c r="E9723" s="5"/>
      <c r="F9723" s="5"/>
      <c r="G9723" s="5"/>
      <c r="H9723" s="5"/>
      <c r="I9723" s="5"/>
      <c r="J9723" s="5"/>
      <c r="K9723" s="5"/>
    </row>
    <row r="9724" spans="3:11" x14ac:dyDescent="0.35">
      <c r="C9724" s="112"/>
      <c r="D9724" s="5"/>
      <c r="E9724" s="5"/>
      <c r="F9724" s="5"/>
      <c r="G9724" s="5"/>
      <c r="H9724" s="5"/>
      <c r="I9724" s="5"/>
      <c r="J9724" s="5"/>
      <c r="K9724" s="5"/>
    </row>
    <row r="9725" spans="3:11" x14ac:dyDescent="0.35">
      <c r="C9725" s="112"/>
      <c r="D9725" s="5"/>
      <c r="E9725" s="5"/>
      <c r="F9725" s="5"/>
      <c r="G9725" s="5"/>
      <c r="H9725" s="5"/>
      <c r="I9725" s="5"/>
      <c r="J9725" s="5"/>
      <c r="K9725" s="5"/>
    </row>
    <row r="9726" spans="3:11" x14ac:dyDescent="0.35">
      <c r="C9726" s="112"/>
      <c r="D9726" s="5"/>
      <c r="E9726" s="5"/>
      <c r="F9726" s="5"/>
      <c r="G9726" s="5"/>
      <c r="H9726" s="5"/>
      <c r="I9726" s="5"/>
      <c r="J9726" s="5"/>
      <c r="K9726" s="5"/>
    </row>
    <row r="9727" spans="3:11" x14ac:dyDescent="0.35">
      <c r="C9727" s="112"/>
      <c r="D9727" s="5"/>
      <c r="E9727" s="5"/>
      <c r="F9727" s="5"/>
      <c r="G9727" s="5"/>
      <c r="H9727" s="5"/>
      <c r="I9727" s="5"/>
      <c r="J9727" s="5"/>
      <c r="K9727" s="5"/>
    </row>
    <row r="9728" spans="3:11" x14ac:dyDescent="0.35">
      <c r="C9728" s="112"/>
      <c r="D9728" s="5"/>
      <c r="E9728" s="5"/>
      <c r="F9728" s="5"/>
      <c r="G9728" s="5"/>
      <c r="H9728" s="5"/>
      <c r="I9728" s="5"/>
      <c r="J9728" s="5"/>
      <c r="K9728" s="5"/>
    </row>
    <row r="9729" spans="3:11" x14ac:dyDescent="0.35">
      <c r="C9729" s="112"/>
      <c r="D9729" s="5"/>
      <c r="E9729" s="5"/>
      <c r="F9729" s="5"/>
      <c r="G9729" s="5"/>
      <c r="H9729" s="5"/>
      <c r="I9729" s="5"/>
      <c r="J9729" s="5"/>
      <c r="K9729" s="5"/>
    </row>
    <row r="9730" spans="3:11" x14ac:dyDescent="0.35">
      <c r="C9730" s="112"/>
      <c r="D9730" s="5"/>
      <c r="E9730" s="5"/>
      <c r="F9730" s="5"/>
      <c r="G9730" s="5"/>
      <c r="H9730" s="5"/>
      <c r="I9730" s="5"/>
      <c r="J9730" s="5"/>
      <c r="K9730" s="5"/>
    </row>
    <row r="9731" spans="3:11" x14ac:dyDescent="0.35">
      <c r="C9731" s="112"/>
      <c r="D9731" s="5"/>
      <c r="E9731" s="5"/>
      <c r="F9731" s="5"/>
      <c r="G9731" s="5"/>
      <c r="H9731" s="5"/>
      <c r="I9731" s="5"/>
      <c r="J9731" s="5"/>
      <c r="K9731" s="5"/>
    </row>
    <row r="9732" spans="3:11" x14ac:dyDescent="0.35">
      <c r="C9732" s="112"/>
      <c r="D9732" s="5"/>
      <c r="E9732" s="5"/>
      <c r="F9732" s="5"/>
      <c r="G9732" s="5"/>
      <c r="H9732" s="5"/>
      <c r="I9732" s="5"/>
      <c r="J9732" s="5"/>
      <c r="K9732" s="5"/>
    </row>
    <row r="9733" spans="3:11" x14ac:dyDescent="0.35">
      <c r="C9733" s="112"/>
      <c r="D9733" s="5"/>
      <c r="E9733" s="5"/>
      <c r="F9733" s="5"/>
      <c r="G9733" s="5"/>
      <c r="H9733" s="5"/>
      <c r="I9733" s="5"/>
      <c r="J9733" s="5"/>
      <c r="K9733" s="5"/>
    </row>
    <row r="9734" spans="3:11" x14ac:dyDescent="0.35">
      <c r="C9734" s="112"/>
      <c r="D9734" s="5"/>
      <c r="E9734" s="5"/>
      <c r="F9734" s="5"/>
      <c r="G9734" s="5"/>
      <c r="H9734" s="5"/>
      <c r="I9734" s="5"/>
      <c r="J9734" s="5"/>
      <c r="K9734" s="5"/>
    </row>
    <row r="9735" spans="3:11" x14ac:dyDescent="0.35">
      <c r="C9735" s="112"/>
      <c r="D9735" s="5"/>
      <c r="E9735" s="5"/>
      <c r="F9735" s="5"/>
      <c r="G9735" s="5"/>
      <c r="H9735" s="5"/>
      <c r="I9735" s="5"/>
      <c r="J9735" s="5"/>
      <c r="K9735" s="5"/>
    </row>
    <row r="9736" spans="3:11" x14ac:dyDescent="0.35">
      <c r="C9736" s="112"/>
      <c r="D9736" s="5"/>
      <c r="E9736" s="5"/>
      <c r="F9736" s="5"/>
      <c r="G9736" s="5"/>
      <c r="H9736" s="5"/>
      <c r="I9736" s="5"/>
      <c r="J9736" s="5"/>
      <c r="K9736" s="5"/>
    </row>
    <row r="9737" spans="3:11" x14ac:dyDescent="0.35">
      <c r="C9737" s="112"/>
      <c r="D9737" s="5"/>
      <c r="E9737" s="5"/>
      <c r="F9737" s="5"/>
      <c r="G9737" s="5"/>
      <c r="H9737" s="5"/>
      <c r="I9737" s="5"/>
      <c r="J9737" s="5"/>
      <c r="K9737" s="5"/>
    </row>
    <row r="9738" spans="3:11" x14ac:dyDescent="0.35">
      <c r="C9738" s="112"/>
      <c r="D9738" s="5"/>
      <c r="E9738" s="5"/>
      <c r="F9738" s="5"/>
      <c r="G9738" s="5"/>
      <c r="H9738" s="5"/>
      <c r="I9738" s="5"/>
      <c r="J9738" s="5"/>
      <c r="K9738" s="5"/>
    </row>
    <row r="9739" spans="3:11" x14ac:dyDescent="0.35">
      <c r="C9739" s="112"/>
      <c r="D9739" s="5"/>
      <c r="E9739" s="5"/>
      <c r="F9739" s="5"/>
      <c r="G9739" s="5"/>
      <c r="H9739" s="5"/>
      <c r="I9739" s="5"/>
      <c r="J9739" s="5"/>
      <c r="K9739" s="5"/>
    </row>
    <row r="9740" spans="3:11" x14ac:dyDescent="0.35">
      <c r="C9740" s="112"/>
      <c r="D9740" s="5"/>
      <c r="E9740" s="5"/>
      <c r="F9740" s="5"/>
      <c r="G9740" s="5"/>
      <c r="H9740" s="5"/>
      <c r="I9740" s="5"/>
      <c r="J9740" s="5"/>
      <c r="K9740" s="5"/>
    </row>
    <row r="9741" spans="3:11" x14ac:dyDescent="0.35">
      <c r="C9741" s="112"/>
      <c r="D9741" s="5"/>
      <c r="E9741" s="5"/>
      <c r="F9741" s="5"/>
      <c r="G9741" s="5"/>
      <c r="H9741" s="5"/>
      <c r="I9741" s="5"/>
      <c r="J9741" s="5"/>
      <c r="K9741" s="5"/>
    </row>
    <row r="9742" spans="3:11" x14ac:dyDescent="0.35">
      <c r="C9742" s="112"/>
      <c r="D9742" s="5"/>
      <c r="E9742" s="5"/>
      <c r="F9742" s="5"/>
      <c r="G9742" s="5"/>
      <c r="H9742" s="5"/>
      <c r="I9742" s="5"/>
      <c r="J9742" s="5"/>
      <c r="K9742" s="5"/>
    </row>
    <row r="9743" spans="3:11" x14ac:dyDescent="0.35">
      <c r="C9743" s="112"/>
      <c r="D9743" s="5"/>
      <c r="E9743" s="5"/>
      <c r="F9743" s="5"/>
      <c r="G9743" s="5"/>
      <c r="H9743" s="5"/>
      <c r="I9743" s="5"/>
      <c r="J9743" s="5"/>
      <c r="K9743" s="5"/>
    </row>
    <row r="9744" spans="3:11" x14ac:dyDescent="0.35">
      <c r="C9744" s="112"/>
      <c r="D9744" s="5"/>
      <c r="E9744" s="5"/>
      <c r="F9744" s="5"/>
      <c r="G9744" s="5"/>
      <c r="H9744" s="5"/>
      <c r="I9744" s="5"/>
      <c r="J9744" s="5"/>
      <c r="K9744" s="5"/>
    </row>
    <row r="9745" spans="3:11" x14ac:dyDescent="0.35">
      <c r="C9745" s="112"/>
      <c r="D9745" s="5"/>
      <c r="E9745" s="5"/>
      <c r="F9745" s="5"/>
      <c r="G9745" s="5"/>
      <c r="H9745" s="5"/>
      <c r="I9745" s="5"/>
      <c r="J9745" s="5"/>
      <c r="K9745" s="5"/>
    </row>
    <row r="9746" spans="3:11" x14ac:dyDescent="0.35">
      <c r="C9746" s="112"/>
      <c r="D9746" s="5"/>
      <c r="E9746" s="5"/>
      <c r="F9746" s="5"/>
      <c r="G9746" s="5"/>
      <c r="H9746" s="5"/>
      <c r="I9746" s="5"/>
      <c r="J9746" s="5"/>
      <c r="K9746" s="5"/>
    </row>
    <row r="9747" spans="3:11" x14ac:dyDescent="0.35">
      <c r="C9747" s="112"/>
      <c r="D9747" s="5"/>
      <c r="E9747" s="5"/>
      <c r="F9747" s="5"/>
      <c r="G9747" s="5"/>
      <c r="H9747" s="5"/>
      <c r="I9747" s="5"/>
      <c r="J9747" s="5"/>
      <c r="K9747" s="5"/>
    </row>
    <row r="9748" spans="3:11" x14ac:dyDescent="0.35">
      <c r="C9748" s="112"/>
      <c r="D9748" s="5"/>
      <c r="E9748" s="5"/>
      <c r="F9748" s="5"/>
      <c r="G9748" s="5"/>
      <c r="H9748" s="5"/>
      <c r="I9748" s="5"/>
      <c r="J9748" s="5"/>
      <c r="K9748" s="5"/>
    </row>
    <row r="9749" spans="3:11" x14ac:dyDescent="0.35">
      <c r="C9749" s="112"/>
      <c r="D9749" s="5"/>
      <c r="E9749" s="5"/>
      <c r="F9749" s="5"/>
      <c r="G9749" s="5"/>
      <c r="H9749" s="5"/>
      <c r="I9749" s="5"/>
      <c r="J9749" s="5"/>
      <c r="K9749" s="5"/>
    </row>
    <row r="9750" spans="3:11" x14ac:dyDescent="0.35">
      <c r="C9750" s="112"/>
      <c r="D9750" s="5"/>
      <c r="E9750" s="5"/>
      <c r="F9750" s="5"/>
      <c r="G9750" s="5"/>
      <c r="H9750" s="5"/>
      <c r="I9750" s="5"/>
      <c r="J9750" s="5"/>
      <c r="K9750" s="5"/>
    </row>
    <row r="9751" spans="3:11" x14ac:dyDescent="0.35">
      <c r="C9751" s="112"/>
      <c r="D9751" s="5"/>
      <c r="E9751" s="5"/>
      <c r="F9751" s="5"/>
      <c r="G9751" s="5"/>
      <c r="H9751" s="5"/>
      <c r="I9751" s="5"/>
      <c r="J9751" s="5"/>
      <c r="K9751" s="5"/>
    </row>
    <row r="9752" spans="3:11" x14ac:dyDescent="0.35">
      <c r="C9752" s="112"/>
      <c r="D9752" s="5"/>
      <c r="E9752" s="5"/>
      <c r="F9752" s="5"/>
      <c r="G9752" s="5"/>
      <c r="H9752" s="5"/>
      <c r="I9752" s="5"/>
      <c r="J9752" s="5"/>
      <c r="K9752" s="5"/>
    </row>
    <row r="9753" spans="3:11" x14ac:dyDescent="0.35">
      <c r="C9753" s="112"/>
      <c r="D9753" s="5"/>
      <c r="E9753" s="5"/>
      <c r="F9753" s="5"/>
      <c r="G9753" s="5"/>
      <c r="H9753" s="5"/>
      <c r="I9753" s="5"/>
      <c r="J9753" s="5"/>
      <c r="K9753" s="5"/>
    </row>
    <row r="9754" spans="3:11" x14ac:dyDescent="0.35">
      <c r="C9754" s="112"/>
      <c r="D9754" s="5"/>
      <c r="E9754" s="5"/>
      <c r="F9754" s="5"/>
      <c r="G9754" s="5"/>
      <c r="H9754" s="5"/>
      <c r="I9754" s="5"/>
      <c r="J9754" s="5"/>
      <c r="K9754" s="5"/>
    </row>
    <row r="9755" spans="3:11" x14ac:dyDescent="0.35">
      <c r="C9755" s="112"/>
      <c r="D9755" s="5"/>
      <c r="E9755" s="5"/>
      <c r="F9755" s="5"/>
      <c r="G9755" s="5"/>
      <c r="H9755" s="5"/>
      <c r="I9755" s="5"/>
      <c r="J9755" s="5"/>
      <c r="K9755" s="5"/>
    </row>
    <row r="9756" spans="3:11" x14ac:dyDescent="0.35">
      <c r="C9756" s="112"/>
      <c r="D9756" s="5"/>
      <c r="E9756" s="5"/>
      <c r="F9756" s="5"/>
      <c r="G9756" s="5"/>
      <c r="H9756" s="5"/>
      <c r="I9756" s="5"/>
      <c r="J9756" s="5"/>
      <c r="K9756" s="5"/>
    </row>
    <row r="9757" spans="3:11" x14ac:dyDescent="0.35">
      <c r="C9757" s="112"/>
      <c r="D9757" s="5"/>
      <c r="E9757" s="5"/>
      <c r="F9757" s="5"/>
      <c r="G9757" s="5"/>
      <c r="H9757" s="5"/>
      <c r="I9757" s="5"/>
      <c r="J9757" s="5"/>
      <c r="K9757" s="5"/>
    </row>
    <row r="9758" spans="3:11" x14ac:dyDescent="0.35">
      <c r="C9758" s="112"/>
      <c r="D9758" s="5"/>
      <c r="E9758" s="5"/>
      <c r="F9758" s="5"/>
      <c r="G9758" s="5"/>
      <c r="H9758" s="5"/>
      <c r="I9758" s="5"/>
      <c r="J9758" s="5"/>
      <c r="K9758" s="5"/>
    </row>
    <row r="9759" spans="3:11" x14ac:dyDescent="0.35">
      <c r="C9759" s="112"/>
      <c r="D9759" s="5"/>
      <c r="E9759" s="5"/>
      <c r="F9759" s="5"/>
      <c r="G9759" s="5"/>
      <c r="H9759" s="5"/>
      <c r="I9759" s="5"/>
      <c r="J9759" s="5"/>
      <c r="K9759" s="5"/>
    </row>
    <row r="9760" spans="3:11" x14ac:dyDescent="0.35">
      <c r="C9760" s="112"/>
      <c r="D9760" s="5"/>
      <c r="E9760" s="5"/>
      <c r="F9760" s="5"/>
      <c r="G9760" s="5"/>
      <c r="H9760" s="5"/>
      <c r="I9760" s="5"/>
      <c r="J9760" s="5"/>
      <c r="K9760" s="5"/>
    </row>
    <row r="9761" spans="3:11" x14ac:dyDescent="0.35">
      <c r="C9761" s="112"/>
      <c r="D9761" s="5"/>
      <c r="E9761" s="5"/>
      <c r="F9761" s="5"/>
      <c r="G9761" s="5"/>
      <c r="H9761" s="5"/>
      <c r="I9761" s="5"/>
      <c r="J9761" s="5"/>
      <c r="K9761" s="5"/>
    </row>
    <row r="9762" spans="3:11" x14ac:dyDescent="0.35">
      <c r="C9762" s="112"/>
      <c r="D9762" s="5"/>
      <c r="E9762" s="5"/>
      <c r="F9762" s="5"/>
      <c r="G9762" s="5"/>
      <c r="H9762" s="5"/>
      <c r="I9762" s="5"/>
      <c r="J9762" s="5"/>
      <c r="K9762" s="5"/>
    </row>
    <row r="9763" spans="3:11" x14ac:dyDescent="0.35">
      <c r="C9763" s="112"/>
      <c r="D9763" s="5"/>
      <c r="E9763" s="5"/>
      <c r="F9763" s="5"/>
      <c r="G9763" s="5"/>
      <c r="H9763" s="5"/>
      <c r="I9763" s="5"/>
      <c r="J9763" s="5"/>
      <c r="K9763" s="5"/>
    </row>
    <row r="9764" spans="3:11" x14ac:dyDescent="0.35">
      <c r="C9764" s="112"/>
      <c r="D9764" s="5"/>
      <c r="E9764" s="5"/>
      <c r="F9764" s="5"/>
      <c r="G9764" s="5"/>
      <c r="H9764" s="5"/>
      <c r="I9764" s="5"/>
      <c r="J9764" s="5"/>
      <c r="K9764" s="5"/>
    </row>
    <row r="9765" spans="3:11" x14ac:dyDescent="0.35">
      <c r="C9765" s="112"/>
      <c r="D9765" s="5"/>
      <c r="E9765" s="5"/>
      <c r="F9765" s="5"/>
      <c r="G9765" s="5"/>
      <c r="H9765" s="5"/>
      <c r="I9765" s="5"/>
      <c r="J9765" s="5"/>
      <c r="K9765" s="5"/>
    </row>
    <row r="9766" spans="3:11" x14ac:dyDescent="0.35">
      <c r="C9766" s="112"/>
      <c r="D9766" s="5"/>
      <c r="E9766" s="5"/>
      <c r="F9766" s="5"/>
      <c r="G9766" s="5"/>
      <c r="H9766" s="5"/>
      <c r="I9766" s="5"/>
      <c r="J9766" s="5"/>
      <c r="K9766" s="5"/>
    </row>
    <row r="9767" spans="3:11" x14ac:dyDescent="0.35">
      <c r="C9767" s="112"/>
      <c r="D9767" s="5"/>
      <c r="E9767" s="5"/>
      <c r="F9767" s="5"/>
      <c r="G9767" s="5"/>
      <c r="H9767" s="5"/>
      <c r="I9767" s="5"/>
      <c r="J9767" s="5"/>
      <c r="K9767" s="5"/>
    </row>
    <row r="9768" spans="3:11" x14ac:dyDescent="0.35">
      <c r="C9768" s="112"/>
      <c r="D9768" s="5"/>
      <c r="E9768" s="5"/>
      <c r="F9768" s="5"/>
      <c r="G9768" s="5"/>
      <c r="H9768" s="5"/>
      <c r="I9768" s="5"/>
      <c r="J9768" s="5"/>
      <c r="K9768" s="5"/>
    </row>
    <row r="9769" spans="3:11" x14ac:dyDescent="0.35">
      <c r="C9769" s="112"/>
      <c r="D9769" s="5"/>
      <c r="E9769" s="5"/>
      <c r="F9769" s="5"/>
      <c r="G9769" s="5"/>
      <c r="H9769" s="5"/>
      <c r="I9769" s="5"/>
      <c r="J9769" s="5"/>
      <c r="K9769" s="5"/>
    </row>
    <row r="9770" spans="3:11" x14ac:dyDescent="0.35">
      <c r="C9770" s="112"/>
      <c r="D9770" s="5"/>
      <c r="E9770" s="5"/>
      <c r="F9770" s="5"/>
      <c r="G9770" s="5"/>
      <c r="H9770" s="5"/>
      <c r="I9770" s="5"/>
      <c r="J9770" s="5"/>
      <c r="K9770" s="5"/>
    </row>
    <row r="9771" spans="3:11" x14ac:dyDescent="0.35">
      <c r="C9771" s="112"/>
      <c r="D9771" s="5"/>
      <c r="E9771" s="5"/>
      <c r="F9771" s="5"/>
      <c r="G9771" s="5"/>
      <c r="H9771" s="5"/>
      <c r="I9771" s="5"/>
      <c r="J9771" s="5"/>
      <c r="K9771" s="5"/>
    </row>
    <row r="9772" spans="3:11" x14ac:dyDescent="0.35">
      <c r="C9772" s="112"/>
      <c r="D9772" s="5"/>
      <c r="E9772" s="5"/>
      <c r="F9772" s="5"/>
      <c r="G9772" s="5"/>
      <c r="H9772" s="5"/>
      <c r="I9772" s="5"/>
      <c r="J9772" s="5"/>
      <c r="K9772" s="5"/>
    </row>
    <row r="9773" spans="3:11" x14ac:dyDescent="0.35">
      <c r="C9773" s="112"/>
      <c r="D9773" s="5"/>
      <c r="E9773" s="5"/>
      <c r="F9773" s="5"/>
      <c r="G9773" s="5"/>
      <c r="H9773" s="5"/>
      <c r="I9773" s="5"/>
      <c r="J9773" s="5"/>
      <c r="K9773" s="5"/>
    </row>
    <row r="9774" spans="3:11" x14ac:dyDescent="0.35">
      <c r="C9774" s="112"/>
      <c r="D9774" s="5"/>
      <c r="E9774" s="5"/>
      <c r="F9774" s="5"/>
      <c r="G9774" s="5"/>
      <c r="H9774" s="5"/>
      <c r="I9774" s="5"/>
      <c r="J9774" s="5"/>
      <c r="K9774" s="5"/>
    </row>
    <row r="9775" spans="3:11" x14ac:dyDescent="0.35">
      <c r="C9775" s="112"/>
      <c r="D9775" s="5"/>
      <c r="E9775" s="5"/>
      <c r="F9775" s="5"/>
      <c r="G9775" s="5"/>
      <c r="H9775" s="5"/>
      <c r="I9775" s="5"/>
      <c r="J9775" s="5"/>
      <c r="K9775" s="5"/>
    </row>
    <row r="9776" spans="3:11" x14ac:dyDescent="0.35">
      <c r="C9776" s="112"/>
      <c r="D9776" s="5"/>
      <c r="E9776" s="5"/>
      <c r="F9776" s="5"/>
      <c r="G9776" s="5"/>
      <c r="H9776" s="5"/>
      <c r="I9776" s="5"/>
      <c r="J9776" s="5"/>
      <c r="K9776" s="5"/>
    </row>
    <row r="9777" spans="3:11" x14ac:dyDescent="0.35">
      <c r="C9777" s="112"/>
      <c r="D9777" s="5"/>
      <c r="E9777" s="5"/>
      <c r="F9777" s="5"/>
      <c r="G9777" s="5"/>
      <c r="H9777" s="5"/>
      <c r="I9777" s="5"/>
      <c r="J9777" s="5"/>
      <c r="K9777" s="5"/>
    </row>
    <row r="9778" spans="3:11" x14ac:dyDescent="0.35">
      <c r="C9778" s="112"/>
      <c r="D9778" s="5"/>
      <c r="E9778" s="5"/>
      <c r="F9778" s="5"/>
      <c r="G9778" s="5"/>
      <c r="H9778" s="5"/>
      <c r="I9778" s="5"/>
      <c r="J9778" s="5"/>
      <c r="K9778" s="5"/>
    </row>
    <row r="9779" spans="3:11" x14ac:dyDescent="0.35">
      <c r="C9779" s="112"/>
      <c r="D9779" s="5"/>
      <c r="E9779" s="5"/>
      <c r="F9779" s="5"/>
      <c r="G9779" s="5"/>
      <c r="H9779" s="5"/>
      <c r="I9779" s="5"/>
      <c r="J9779" s="5"/>
      <c r="K9779" s="5"/>
    </row>
    <row r="9780" spans="3:11" x14ac:dyDescent="0.35">
      <c r="C9780" s="112"/>
      <c r="D9780" s="5"/>
      <c r="E9780" s="5"/>
      <c r="F9780" s="5"/>
      <c r="G9780" s="5"/>
      <c r="H9780" s="5"/>
      <c r="I9780" s="5"/>
      <c r="J9780" s="5"/>
      <c r="K9780" s="5"/>
    </row>
    <row r="9781" spans="3:11" x14ac:dyDescent="0.35">
      <c r="C9781" s="112"/>
      <c r="D9781" s="5"/>
      <c r="E9781" s="5"/>
      <c r="F9781" s="5"/>
      <c r="G9781" s="5"/>
      <c r="H9781" s="5"/>
      <c r="I9781" s="5"/>
      <c r="J9781" s="5"/>
      <c r="K9781" s="5"/>
    </row>
    <row r="9782" spans="3:11" x14ac:dyDescent="0.35">
      <c r="C9782" s="112"/>
      <c r="D9782" s="5"/>
      <c r="E9782" s="5"/>
      <c r="F9782" s="5"/>
      <c r="G9782" s="5"/>
      <c r="H9782" s="5"/>
      <c r="I9782" s="5"/>
      <c r="J9782" s="5"/>
      <c r="K9782" s="5"/>
    </row>
    <row r="9783" spans="3:11" x14ac:dyDescent="0.35">
      <c r="C9783" s="112"/>
      <c r="D9783" s="5"/>
      <c r="E9783" s="5"/>
      <c r="F9783" s="5"/>
      <c r="G9783" s="5"/>
      <c r="H9783" s="5"/>
      <c r="I9783" s="5"/>
      <c r="J9783" s="5"/>
      <c r="K9783" s="5"/>
    </row>
    <row r="9784" spans="3:11" x14ac:dyDescent="0.35">
      <c r="C9784" s="112"/>
      <c r="D9784" s="5"/>
      <c r="E9784" s="5"/>
      <c r="F9784" s="5"/>
      <c r="G9784" s="5"/>
      <c r="H9784" s="5"/>
      <c r="I9784" s="5"/>
      <c r="J9784" s="5"/>
      <c r="K9784" s="5"/>
    </row>
    <row r="9785" spans="3:11" x14ac:dyDescent="0.35">
      <c r="C9785" s="112"/>
      <c r="D9785" s="5"/>
      <c r="E9785" s="5"/>
      <c r="F9785" s="5"/>
      <c r="G9785" s="5"/>
      <c r="H9785" s="5"/>
      <c r="I9785" s="5"/>
      <c r="J9785" s="5"/>
      <c r="K9785" s="5"/>
    </row>
    <row r="9786" spans="3:11" x14ac:dyDescent="0.35">
      <c r="C9786" s="112"/>
      <c r="D9786" s="5"/>
      <c r="E9786" s="5"/>
      <c r="F9786" s="5"/>
      <c r="G9786" s="5"/>
      <c r="H9786" s="5"/>
      <c r="I9786" s="5"/>
      <c r="J9786" s="5"/>
      <c r="K9786" s="5"/>
    </row>
    <row r="9787" spans="3:11" x14ac:dyDescent="0.35">
      <c r="C9787" s="112"/>
      <c r="D9787" s="5"/>
      <c r="E9787" s="5"/>
      <c r="F9787" s="5"/>
      <c r="G9787" s="5"/>
      <c r="H9787" s="5"/>
      <c r="I9787" s="5"/>
      <c r="J9787" s="5"/>
      <c r="K9787" s="5"/>
    </row>
    <row r="9788" spans="3:11" x14ac:dyDescent="0.35">
      <c r="C9788" s="112"/>
      <c r="D9788" s="5"/>
      <c r="E9788" s="5"/>
      <c r="F9788" s="5"/>
      <c r="G9788" s="5"/>
      <c r="H9788" s="5"/>
      <c r="I9788" s="5"/>
      <c r="J9788" s="5"/>
      <c r="K9788" s="5"/>
    </row>
    <row r="9789" spans="3:11" x14ac:dyDescent="0.35">
      <c r="C9789" s="112"/>
      <c r="D9789" s="5"/>
      <c r="E9789" s="5"/>
      <c r="F9789" s="5"/>
      <c r="G9789" s="5"/>
      <c r="H9789" s="5"/>
      <c r="I9789" s="5"/>
      <c r="J9789" s="5"/>
      <c r="K9789" s="5"/>
    </row>
    <row r="9790" spans="3:11" x14ac:dyDescent="0.35">
      <c r="C9790" s="112"/>
      <c r="D9790" s="5"/>
      <c r="E9790" s="5"/>
      <c r="F9790" s="5"/>
      <c r="G9790" s="5"/>
      <c r="H9790" s="5"/>
      <c r="I9790" s="5"/>
      <c r="J9790" s="5"/>
      <c r="K9790" s="5"/>
    </row>
    <row r="9791" spans="3:11" x14ac:dyDescent="0.35">
      <c r="C9791" s="112"/>
      <c r="D9791" s="5"/>
      <c r="E9791" s="5"/>
      <c r="F9791" s="5"/>
      <c r="G9791" s="5"/>
      <c r="H9791" s="5"/>
      <c r="I9791" s="5"/>
      <c r="J9791" s="5"/>
      <c r="K9791" s="5"/>
    </row>
    <row r="9792" spans="3:11" x14ac:dyDescent="0.35">
      <c r="C9792" s="112"/>
      <c r="D9792" s="5"/>
      <c r="E9792" s="5"/>
      <c r="F9792" s="5"/>
      <c r="G9792" s="5"/>
      <c r="H9792" s="5"/>
      <c r="I9792" s="5"/>
      <c r="J9792" s="5"/>
      <c r="K9792" s="5"/>
    </row>
    <row r="9793" spans="3:11" x14ac:dyDescent="0.35">
      <c r="C9793" s="112"/>
      <c r="D9793" s="5"/>
      <c r="E9793" s="5"/>
      <c r="F9793" s="5"/>
      <c r="G9793" s="5"/>
      <c r="H9793" s="5"/>
      <c r="I9793" s="5"/>
      <c r="J9793" s="5"/>
      <c r="K9793" s="5"/>
    </row>
    <row r="9794" spans="3:11" x14ac:dyDescent="0.35">
      <c r="C9794" s="112"/>
      <c r="D9794" s="5"/>
      <c r="E9794" s="5"/>
      <c r="F9794" s="5"/>
      <c r="G9794" s="5"/>
      <c r="H9794" s="5"/>
      <c r="I9794" s="5"/>
      <c r="J9794" s="5"/>
      <c r="K9794" s="5"/>
    </row>
    <row r="9795" spans="3:11" x14ac:dyDescent="0.35">
      <c r="C9795" s="112"/>
      <c r="D9795" s="5"/>
      <c r="E9795" s="5"/>
      <c r="F9795" s="5"/>
      <c r="G9795" s="5"/>
      <c r="H9795" s="5"/>
      <c r="I9795" s="5"/>
      <c r="J9795" s="5"/>
      <c r="K9795" s="5"/>
    </row>
    <row r="9796" spans="3:11" x14ac:dyDescent="0.35">
      <c r="C9796" s="112"/>
      <c r="D9796" s="5"/>
      <c r="E9796" s="5"/>
      <c r="F9796" s="5"/>
      <c r="G9796" s="5"/>
      <c r="H9796" s="5"/>
      <c r="I9796" s="5"/>
      <c r="J9796" s="5"/>
      <c r="K9796" s="5"/>
    </row>
    <row r="9797" spans="3:11" x14ac:dyDescent="0.35">
      <c r="C9797" s="112"/>
      <c r="D9797" s="5"/>
      <c r="E9797" s="5"/>
      <c r="F9797" s="5"/>
      <c r="G9797" s="5"/>
      <c r="H9797" s="5"/>
      <c r="I9797" s="5"/>
      <c r="J9797" s="5"/>
      <c r="K9797" s="5"/>
    </row>
    <row r="9798" spans="3:11" x14ac:dyDescent="0.35">
      <c r="C9798" s="112"/>
      <c r="D9798" s="5"/>
      <c r="E9798" s="5"/>
      <c r="F9798" s="5"/>
      <c r="G9798" s="5"/>
      <c r="H9798" s="5"/>
      <c r="I9798" s="5"/>
      <c r="J9798" s="5"/>
      <c r="K9798" s="5"/>
    </row>
    <row r="9799" spans="3:11" x14ac:dyDescent="0.35">
      <c r="C9799" s="112"/>
      <c r="D9799" s="5"/>
      <c r="E9799" s="5"/>
      <c r="F9799" s="5"/>
      <c r="G9799" s="5"/>
      <c r="H9799" s="5"/>
      <c r="I9799" s="5"/>
      <c r="J9799" s="5"/>
      <c r="K9799" s="5"/>
    </row>
    <row r="9800" spans="3:11" x14ac:dyDescent="0.35">
      <c r="C9800" s="112"/>
      <c r="D9800" s="5"/>
      <c r="E9800" s="5"/>
      <c r="F9800" s="5"/>
      <c r="G9800" s="5"/>
      <c r="H9800" s="5"/>
      <c r="I9800" s="5"/>
      <c r="J9800" s="5"/>
      <c r="K9800" s="5"/>
    </row>
    <row r="9801" spans="3:11" x14ac:dyDescent="0.35">
      <c r="C9801" s="112"/>
      <c r="D9801" s="5"/>
      <c r="E9801" s="5"/>
      <c r="F9801" s="5"/>
      <c r="G9801" s="5"/>
      <c r="H9801" s="5"/>
      <c r="I9801" s="5"/>
      <c r="J9801" s="5"/>
      <c r="K9801" s="5"/>
    </row>
    <row r="9802" spans="3:11" x14ac:dyDescent="0.35">
      <c r="C9802" s="112"/>
      <c r="D9802" s="5"/>
      <c r="E9802" s="5"/>
      <c r="F9802" s="5"/>
      <c r="G9802" s="5"/>
      <c r="H9802" s="5"/>
      <c r="I9802" s="5"/>
      <c r="J9802" s="5"/>
      <c r="K9802" s="5"/>
    </row>
    <row r="9803" spans="3:11" x14ac:dyDescent="0.35">
      <c r="C9803" s="112"/>
      <c r="D9803" s="5"/>
      <c r="E9803" s="5"/>
      <c r="F9803" s="5"/>
      <c r="G9803" s="5"/>
      <c r="H9803" s="5"/>
      <c r="I9803" s="5"/>
      <c r="J9803" s="5"/>
      <c r="K9803" s="5"/>
    </row>
    <row r="9804" spans="3:11" x14ac:dyDescent="0.35">
      <c r="C9804" s="112"/>
      <c r="D9804" s="5"/>
      <c r="E9804" s="5"/>
      <c r="F9804" s="5"/>
      <c r="G9804" s="5"/>
      <c r="H9804" s="5"/>
      <c r="I9804" s="5"/>
      <c r="J9804" s="5"/>
      <c r="K9804" s="5"/>
    </row>
    <row r="9805" spans="3:11" x14ac:dyDescent="0.35">
      <c r="C9805" s="112"/>
      <c r="D9805" s="5"/>
      <c r="E9805" s="5"/>
      <c r="F9805" s="5"/>
      <c r="G9805" s="5"/>
      <c r="H9805" s="5"/>
      <c r="I9805" s="5"/>
      <c r="J9805" s="5"/>
      <c r="K9805" s="5"/>
    </row>
    <row r="9806" spans="3:11" x14ac:dyDescent="0.35">
      <c r="C9806" s="112"/>
      <c r="D9806" s="5"/>
      <c r="E9806" s="5"/>
      <c r="F9806" s="5"/>
      <c r="G9806" s="5"/>
      <c r="H9806" s="5"/>
      <c r="I9806" s="5"/>
      <c r="J9806" s="5"/>
      <c r="K9806" s="5"/>
    </row>
    <row r="9807" spans="3:11" x14ac:dyDescent="0.35">
      <c r="C9807" s="112"/>
      <c r="D9807" s="5"/>
      <c r="E9807" s="5"/>
      <c r="F9807" s="5"/>
      <c r="G9807" s="5"/>
      <c r="H9807" s="5"/>
      <c r="I9807" s="5"/>
      <c r="J9807" s="5"/>
      <c r="K9807" s="5"/>
    </row>
    <row r="9808" spans="3:11" x14ac:dyDescent="0.35">
      <c r="C9808" s="112"/>
      <c r="D9808" s="5"/>
      <c r="E9808" s="5"/>
      <c r="F9808" s="5"/>
      <c r="G9808" s="5"/>
      <c r="H9808" s="5"/>
      <c r="I9808" s="5"/>
      <c r="J9808" s="5"/>
      <c r="K9808" s="5"/>
    </row>
    <row r="9809" spans="3:11" x14ac:dyDescent="0.35">
      <c r="C9809" s="112"/>
      <c r="D9809" s="5"/>
      <c r="E9809" s="5"/>
      <c r="F9809" s="5"/>
      <c r="G9809" s="5"/>
      <c r="H9809" s="5"/>
      <c r="I9809" s="5"/>
      <c r="J9809" s="5"/>
      <c r="K9809" s="5"/>
    </row>
    <row r="9810" spans="3:11" x14ac:dyDescent="0.35">
      <c r="C9810" s="112"/>
      <c r="D9810" s="5"/>
      <c r="E9810" s="5"/>
      <c r="F9810" s="5"/>
      <c r="G9810" s="5"/>
      <c r="H9810" s="5"/>
      <c r="I9810" s="5"/>
      <c r="J9810" s="5"/>
      <c r="K9810" s="5"/>
    </row>
    <row r="9811" spans="3:11" x14ac:dyDescent="0.35">
      <c r="C9811" s="112"/>
      <c r="D9811" s="5"/>
      <c r="E9811" s="5"/>
      <c r="F9811" s="5"/>
      <c r="G9811" s="5"/>
      <c r="H9811" s="5"/>
      <c r="I9811" s="5"/>
      <c r="J9811" s="5"/>
      <c r="K9811" s="5"/>
    </row>
    <row r="9812" spans="3:11" x14ac:dyDescent="0.35">
      <c r="C9812" s="112"/>
      <c r="D9812" s="5"/>
      <c r="E9812" s="5"/>
      <c r="F9812" s="5"/>
      <c r="G9812" s="5"/>
      <c r="H9812" s="5"/>
      <c r="I9812" s="5"/>
      <c r="J9812" s="5"/>
      <c r="K9812" s="5"/>
    </row>
    <row r="9813" spans="3:11" x14ac:dyDescent="0.35">
      <c r="C9813" s="112"/>
      <c r="D9813" s="5"/>
      <c r="E9813" s="5"/>
      <c r="F9813" s="5"/>
      <c r="G9813" s="5"/>
      <c r="H9813" s="5"/>
      <c r="I9813" s="5"/>
      <c r="J9813" s="5"/>
      <c r="K9813" s="5"/>
    </row>
    <row r="9814" spans="3:11" x14ac:dyDescent="0.35">
      <c r="C9814" s="112"/>
      <c r="D9814" s="5"/>
      <c r="E9814" s="5"/>
      <c r="F9814" s="5"/>
      <c r="G9814" s="5"/>
      <c r="H9814" s="5"/>
      <c r="I9814" s="5"/>
      <c r="J9814" s="5"/>
      <c r="K9814" s="5"/>
    </row>
    <row r="9815" spans="3:11" x14ac:dyDescent="0.35">
      <c r="C9815" s="112"/>
      <c r="D9815" s="5"/>
      <c r="E9815" s="5"/>
      <c r="F9815" s="5"/>
      <c r="G9815" s="5"/>
      <c r="H9815" s="5"/>
      <c r="I9815" s="5"/>
      <c r="J9815" s="5"/>
      <c r="K9815" s="5"/>
    </row>
    <row r="9816" spans="3:11" x14ac:dyDescent="0.35">
      <c r="C9816" s="112"/>
      <c r="D9816" s="5"/>
      <c r="E9816" s="5"/>
      <c r="F9816" s="5"/>
      <c r="G9816" s="5"/>
      <c r="H9816" s="5"/>
      <c r="I9816" s="5"/>
      <c r="J9816" s="5"/>
      <c r="K9816" s="5"/>
    </row>
    <row r="9817" spans="3:11" x14ac:dyDescent="0.35">
      <c r="C9817" s="112"/>
      <c r="D9817" s="5"/>
      <c r="E9817" s="5"/>
      <c r="F9817" s="5"/>
      <c r="G9817" s="5"/>
      <c r="H9817" s="5"/>
      <c r="I9817" s="5"/>
      <c r="J9817" s="5"/>
      <c r="K9817" s="5"/>
    </row>
    <row r="9818" spans="3:11" x14ac:dyDescent="0.35">
      <c r="C9818" s="112"/>
      <c r="D9818" s="5"/>
      <c r="E9818" s="5"/>
      <c r="F9818" s="5"/>
      <c r="G9818" s="5"/>
      <c r="H9818" s="5"/>
      <c r="I9818" s="5"/>
      <c r="J9818" s="5"/>
      <c r="K9818" s="5"/>
    </row>
    <row r="9819" spans="3:11" x14ac:dyDescent="0.35">
      <c r="C9819" s="112"/>
      <c r="D9819" s="5"/>
      <c r="E9819" s="5"/>
      <c r="F9819" s="5"/>
      <c r="G9819" s="5"/>
      <c r="H9819" s="5"/>
      <c r="I9819" s="5"/>
      <c r="J9819" s="5"/>
      <c r="K9819" s="5"/>
    </row>
    <row r="9820" spans="3:11" x14ac:dyDescent="0.35">
      <c r="C9820" s="112"/>
      <c r="D9820" s="5"/>
      <c r="E9820" s="5"/>
      <c r="F9820" s="5"/>
      <c r="G9820" s="5"/>
      <c r="H9820" s="5"/>
      <c r="I9820" s="5"/>
      <c r="J9820" s="5"/>
      <c r="K9820" s="5"/>
    </row>
    <row r="9821" spans="3:11" x14ac:dyDescent="0.35">
      <c r="C9821" s="112"/>
      <c r="D9821" s="5"/>
      <c r="E9821" s="5"/>
      <c r="F9821" s="5"/>
      <c r="G9821" s="5"/>
      <c r="H9821" s="5"/>
      <c r="I9821" s="5"/>
      <c r="J9821" s="5"/>
      <c r="K9821" s="5"/>
    </row>
    <row r="9822" spans="3:11" x14ac:dyDescent="0.35">
      <c r="C9822" s="112"/>
      <c r="D9822" s="5"/>
      <c r="E9822" s="5"/>
      <c r="F9822" s="5"/>
      <c r="G9822" s="5"/>
      <c r="H9822" s="5"/>
      <c r="I9822" s="5"/>
      <c r="J9822" s="5"/>
      <c r="K9822" s="5"/>
    </row>
    <row r="9823" spans="3:11" x14ac:dyDescent="0.35">
      <c r="C9823" s="112"/>
      <c r="D9823" s="5"/>
      <c r="E9823" s="5"/>
      <c r="F9823" s="5"/>
      <c r="G9823" s="5"/>
      <c r="H9823" s="5"/>
      <c r="I9823" s="5"/>
      <c r="J9823" s="5"/>
      <c r="K9823" s="5"/>
    </row>
    <row r="9824" spans="3:11" x14ac:dyDescent="0.35">
      <c r="C9824" s="112"/>
      <c r="D9824" s="5"/>
      <c r="E9824" s="5"/>
      <c r="F9824" s="5"/>
      <c r="G9824" s="5"/>
      <c r="H9824" s="5"/>
      <c r="I9824" s="5"/>
      <c r="J9824" s="5"/>
      <c r="K9824" s="5"/>
    </row>
    <row r="9825" spans="3:11" x14ac:dyDescent="0.35">
      <c r="C9825" s="112"/>
      <c r="D9825" s="5"/>
      <c r="E9825" s="5"/>
      <c r="F9825" s="5"/>
      <c r="G9825" s="5"/>
      <c r="H9825" s="5"/>
      <c r="I9825" s="5"/>
      <c r="J9825" s="5"/>
      <c r="K9825" s="5"/>
    </row>
    <row r="9826" spans="3:11" x14ac:dyDescent="0.35">
      <c r="C9826" s="112"/>
      <c r="D9826" s="5"/>
      <c r="E9826" s="5"/>
      <c r="F9826" s="5"/>
      <c r="G9826" s="5"/>
      <c r="H9826" s="5"/>
      <c r="I9826" s="5"/>
      <c r="J9826" s="5"/>
      <c r="K9826" s="5"/>
    </row>
    <row r="9827" spans="3:11" x14ac:dyDescent="0.35">
      <c r="C9827" s="112"/>
      <c r="D9827" s="5"/>
      <c r="E9827" s="5"/>
      <c r="F9827" s="5"/>
      <c r="G9827" s="5"/>
      <c r="H9827" s="5"/>
      <c r="I9827" s="5"/>
      <c r="J9827" s="5"/>
      <c r="K9827" s="5"/>
    </row>
    <row r="9828" spans="3:11" x14ac:dyDescent="0.35">
      <c r="C9828" s="112"/>
      <c r="D9828" s="5"/>
      <c r="E9828" s="5"/>
      <c r="F9828" s="5"/>
      <c r="G9828" s="5"/>
      <c r="H9828" s="5"/>
      <c r="I9828" s="5"/>
      <c r="J9828" s="5"/>
      <c r="K9828" s="5"/>
    </row>
    <row r="9829" spans="3:11" x14ac:dyDescent="0.35">
      <c r="C9829" s="112"/>
      <c r="D9829" s="5"/>
      <c r="E9829" s="5"/>
      <c r="F9829" s="5"/>
      <c r="G9829" s="5"/>
      <c r="H9829" s="5"/>
      <c r="I9829" s="5"/>
      <c r="J9829" s="5"/>
      <c r="K9829" s="5"/>
    </row>
    <row r="9830" spans="3:11" x14ac:dyDescent="0.35">
      <c r="C9830" s="112"/>
      <c r="D9830" s="5"/>
      <c r="E9830" s="5"/>
      <c r="F9830" s="5"/>
      <c r="G9830" s="5"/>
      <c r="H9830" s="5"/>
      <c r="I9830" s="5"/>
      <c r="J9830" s="5"/>
      <c r="K9830" s="5"/>
    </row>
    <row r="9831" spans="3:11" x14ac:dyDescent="0.35">
      <c r="C9831" s="112"/>
      <c r="D9831" s="5"/>
      <c r="E9831" s="5"/>
      <c r="F9831" s="5"/>
      <c r="G9831" s="5"/>
      <c r="H9831" s="5"/>
      <c r="I9831" s="5"/>
      <c r="J9831" s="5"/>
      <c r="K9831" s="5"/>
    </row>
    <row r="9832" spans="3:11" x14ac:dyDescent="0.35">
      <c r="C9832" s="112"/>
      <c r="D9832" s="5"/>
      <c r="E9832" s="5"/>
      <c r="F9832" s="5"/>
      <c r="G9832" s="5"/>
      <c r="H9832" s="5"/>
      <c r="I9832" s="5"/>
      <c r="J9832" s="5"/>
      <c r="K9832" s="5"/>
    </row>
    <row r="9833" spans="3:11" x14ac:dyDescent="0.35">
      <c r="C9833" s="112"/>
      <c r="D9833" s="5"/>
      <c r="E9833" s="5"/>
      <c r="F9833" s="5"/>
      <c r="G9833" s="5"/>
      <c r="H9833" s="5"/>
      <c r="I9833" s="5"/>
      <c r="J9833" s="5"/>
      <c r="K9833" s="5"/>
    </row>
    <row r="9834" spans="3:11" x14ac:dyDescent="0.35">
      <c r="C9834" s="112"/>
      <c r="D9834" s="5"/>
      <c r="E9834" s="5"/>
      <c r="F9834" s="5"/>
      <c r="G9834" s="5"/>
      <c r="H9834" s="5"/>
      <c r="I9834" s="5"/>
      <c r="J9834" s="5"/>
      <c r="K9834" s="5"/>
    </row>
    <row r="9835" spans="3:11" x14ac:dyDescent="0.35">
      <c r="C9835" s="112"/>
      <c r="D9835" s="5"/>
      <c r="E9835" s="5"/>
      <c r="F9835" s="5"/>
      <c r="G9835" s="5"/>
      <c r="H9835" s="5"/>
      <c r="I9835" s="5"/>
      <c r="J9835" s="5"/>
      <c r="K9835" s="5"/>
    </row>
    <row r="9836" spans="3:11" x14ac:dyDescent="0.35">
      <c r="C9836" s="112"/>
      <c r="D9836" s="5"/>
      <c r="E9836" s="5"/>
      <c r="F9836" s="5"/>
      <c r="G9836" s="5"/>
      <c r="H9836" s="5"/>
      <c r="I9836" s="5"/>
      <c r="J9836" s="5"/>
      <c r="K9836" s="5"/>
    </row>
    <row r="9837" spans="3:11" x14ac:dyDescent="0.35">
      <c r="C9837" s="112"/>
      <c r="D9837" s="5"/>
      <c r="E9837" s="5"/>
      <c r="F9837" s="5"/>
      <c r="G9837" s="5"/>
      <c r="H9837" s="5"/>
      <c r="I9837" s="5"/>
      <c r="J9837" s="5"/>
      <c r="K9837" s="5"/>
    </row>
    <row r="9838" spans="3:11" x14ac:dyDescent="0.35">
      <c r="C9838" s="112"/>
      <c r="D9838" s="5"/>
      <c r="E9838" s="5"/>
      <c r="F9838" s="5"/>
      <c r="G9838" s="5"/>
      <c r="H9838" s="5"/>
      <c r="I9838" s="5"/>
      <c r="J9838" s="5"/>
      <c r="K9838" s="5"/>
    </row>
    <row r="9839" spans="3:11" x14ac:dyDescent="0.35">
      <c r="C9839" s="112"/>
      <c r="D9839" s="5"/>
      <c r="E9839" s="5"/>
      <c r="F9839" s="5"/>
      <c r="G9839" s="5"/>
      <c r="H9839" s="5"/>
      <c r="I9839" s="5"/>
      <c r="J9839" s="5"/>
      <c r="K9839" s="5"/>
    </row>
    <row r="9840" spans="3:11" x14ac:dyDescent="0.35">
      <c r="C9840" s="112"/>
      <c r="D9840" s="5"/>
      <c r="E9840" s="5"/>
      <c r="F9840" s="5"/>
      <c r="G9840" s="5"/>
      <c r="H9840" s="5"/>
      <c r="I9840" s="5"/>
      <c r="J9840" s="5"/>
      <c r="K9840" s="5"/>
    </row>
    <row r="9841" spans="3:11" x14ac:dyDescent="0.35">
      <c r="C9841" s="112"/>
      <c r="D9841" s="5"/>
      <c r="E9841" s="5"/>
      <c r="F9841" s="5"/>
      <c r="G9841" s="5"/>
      <c r="H9841" s="5"/>
      <c r="I9841" s="5"/>
      <c r="J9841" s="5"/>
      <c r="K9841" s="5"/>
    </row>
    <row r="9842" spans="3:11" x14ac:dyDescent="0.35">
      <c r="C9842" s="112"/>
      <c r="D9842" s="5"/>
      <c r="E9842" s="5"/>
      <c r="F9842" s="5"/>
      <c r="G9842" s="5"/>
      <c r="H9842" s="5"/>
      <c r="I9842" s="5"/>
      <c r="J9842" s="5"/>
      <c r="K9842" s="5"/>
    </row>
    <row r="9843" spans="3:11" x14ac:dyDescent="0.35">
      <c r="C9843" s="112"/>
      <c r="D9843" s="5"/>
      <c r="E9843" s="5"/>
      <c r="F9843" s="5"/>
      <c r="G9843" s="5"/>
      <c r="H9843" s="5"/>
      <c r="I9843" s="5"/>
      <c r="J9843" s="5"/>
      <c r="K9843" s="5"/>
    </row>
    <row r="9844" spans="3:11" x14ac:dyDescent="0.35">
      <c r="C9844" s="112"/>
      <c r="D9844" s="5"/>
      <c r="E9844" s="5"/>
      <c r="F9844" s="5"/>
      <c r="G9844" s="5"/>
      <c r="H9844" s="5"/>
      <c r="I9844" s="5"/>
      <c r="J9844" s="5"/>
      <c r="K9844" s="5"/>
    </row>
    <row r="9845" spans="3:11" x14ac:dyDescent="0.35">
      <c r="C9845" s="112"/>
      <c r="D9845" s="5"/>
      <c r="E9845" s="5"/>
      <c r="F9845" s="5"/>
      <c r="G9845" s="5"/>
      <c r="H9845" s="5"/>
      <c r="I9845" s="5"/>
      <c r="J9845" s="5"/>
      <c r="K9845" s="5"/>
    </row>
    <row r="9846" spans="3:11" x14ac:dyDescent="0.35">
      <c r="C9846" s="112"/>
      <c r="D9846" s="5"/>
      <c r="E9846" s="5"/>
      <c r="F9846" s="5"/>
      <c r="G9846" s="5"/>
      <c r="H9846" s="5"/>
      <c r="I9846" s="5"/>
      <c r="J9846" s="5"/>
      <c r="K9846" s="5"/>
    </row>
    <row r="9847" spans="3:11" x14ac:dyDescent="0.35">
      <c r="C9847" s="112"/>
      <c r="D9847" s="5"/>
      <c r="E9847" s="5"/>
      <c r="F9847" s="5"/>
      <c r="G9847" s="5"/>
      <c r="H9847" s="5"/>
      <c r="I9847" s="5"/>
      <c r="J9847" s="5"/>
      <c r="K9847" s="5"/>
    </row>
    <row r="9848" spans="3:11" x14ac:dyDescent="0.35">
      <c r="C9848" s="112"/>
      <c r="D9848" s="5"/>
      <c r="E9848" s="5"/>
      <c r="F9848" s="5"/>
      <c r="G9848" s="5"/>
      <c r="H9848" s="5"/>
      <c r="I9848" s="5"/>
      <c r="J9848" s="5"/>
      <c r="K9848" s="5"/>
    </row>
    <row r="9849" spans="3:11" x14ac:dyDescent="0.35">
      <c r="C9849" s="112"/>
      <c r="D9849" s="5"/>
      <c r="E9849" s="5"/>
      <c r="F9849" s="5"/>
      <c r="G9849" s="5"/>
      <c r="H9849" s="5"/>
      <c r="I9849" s="5"/>
      <c r="J9849" s="5"/>
      <c r="K9849" s="5"/>
    </row>
    <row r="9850" spans="3:11" x14ac:dyDescent="0.35">
      <c r="C9850" s="112"/>
      <c r="D9850" s="5"/>
      <c r="E9850" s="5"/>
      <c r="F9850" s="5"/>
      <c r="G9850" s="5"/>
      <c r="H9850" s="5"/>
      <c r="I9850" s="5"/>
      <c r="J9850" s="5"/>
      <c r="K9850" s="5"/>
    </row>
    <row r="9851" spans="3:11" x14ac:dyDescent="0.35">
      <c r="C9851" s="112"/>
      <c r="D9851" s="5"/>
      <c r="E9851" s="5"/>
      <c r="F9851" s="5"/>
      <c r="G9851" s="5"/>
      <c r="H9851" s="5"/>
      <c r="I9851" s="5"/>
      <c r="J9851" s="5"/>
      <c r="K9851" s="5"/>
    </row>
    <row r="9852" spans="3:11" x14ac:dyDescent="0.35">
      <c r="C9852" s="112"/>
      <c r="D9852" s="5"/>
      <c r="E9852" s="5"/>
      <c r="F9852" s="5"/>
      <c r="G9852" s="5"/>
      <c r="H9852" s="5"/>
      <c r="I9852" s="5"/>
      <c r="J9852" s="5"/>
      <c r="K9852" s="5"/>
    </row>
    <row r="9853" spans="3:11" x14ac:dyDescent="0.35">
      <c r="C9853" s="112"/>
      <c r="D9853" s="5"/>
      <c r="E9853" s="5"/>
      <c r="F9853" s="5"/>
      <c r="G9853" s="5"/>
      <c r="H9853" s="5"/>
      <c r="I9853" s="5"/>
      <c r="J9853" s="5"/>
      <c r="K9853" s="5"/>
    </row>
    <row r="9854" spans="3:11" x14ac:dyDescent="0.35">
      <c r="C9854" s="112"/>
      <c r="D9854" s="5"/>
      <c r="E9854" s="5"/>
      <c r="F9854" s="5"/>
      <c r="G9854" s="5"/>
      <c r="H9854" s="5"/>
      <c r="I9854" s="5"/>
      <c r="J9854" s="5"/>
      <c r="K9854" s="5"/>
    </row>
    <row r="9855" spans="3:11" x14ac:dyDescent="0.35">
      <c r="C9855" s="112"/>
      <c r="D9855" s="5"/>
      <c r="E9855" s="5"/>
      <c r="F9855" s="5"/>
      <c r="G9855" s="5"/>
      <c r="H9855" s="5"/>
      <c r="I9855" s="5"/>
      <c r="J9855" s="5"/>
      <c r="K9855" s="5"/>
    </row>
    <row r="9856" spans="3:11" x14ac:dyDescent="0.35">
      <c r="C9856" s="112"/>
      <c r="D9856" s="5"/>
      <c r="E9856" s="5"/>
      <c r="F9856" s="5"/>
      <c r="G9856" s="5"/>
      <c r="H9856" s="5"/>
      <c r="I9856" s="5"/>
      <c r="J9856" s="5"/>
      <c r="K9856" s="5"/>
    </row>
    <row r="9857" spans="3:11" x14ac:dyDescent="0.35">
      <c r="C9857" s="112"/>
      <c r="D9857" s="5"/>
      <c r="E9857" s="5"/>
      <c r="F9857" s="5"/>
      <c r="G9857" s="5"/>
      <c r="H9857" s="5"/>
      <c r="I9857" s="5"/>
      <c r="J9857" s="5"/>
      <c r="K9857" s="5"/>
    </row>
    <row r="9858" spans="3:11" x14ac:dyDescent="0.35">
      <c r="C9858" s="112"/>
      <c r="D9858" s="5"/>
      <c r="E9858" s="5"/>
      <c r="F9858" s="5"/>
      <c r="G9858" s="5"/>
      <c r="H9858" s="5"/>
      <c r="I9858" s="5"/>
      <c r="J9858" s="5"/>
      <c r="K9858" s="5"/>
    </row>
    <row r="9859" spans="3:11" x14ac:dyDescent="0.35">
      <c r="C9859" s="112"/>
      <c r="D9859" s="5"/>
      <c r="E9859" s="5"/>
      <c r="F9859" s="5"/>
      <c r="G9859" s="5"/>
      <c r="H9859" s="5"/>
      <c r="I9859" s="5"/>
      <c r="J9859" s="5"/>
      <c r="K9859" s="5"/>
    </row>
    <row r="9860" spans="3:11" x14ac:dyDescent="0.35">
      <c r="C9860" s="112"/>
      <c r="D9860" s="5"/>
      <c r="E9860" s="5"/>
      <c r="F9860" s="5"/>
      <c r="G9860" s="5"/>
      <c r="H9860" s="5"/>
      <c r="I9860" s="5"/>
      <c r="J9860" s="5"/>
      <c r="K9860" s="5"/>
    </row>
    <row r="9861" spans="3:11" x14ac:dyDescent="0.35">
      <c r="C9861" s="112"/>
      <c r="D9861" s="5"/>
      <c r="E9861" s="5"/>
      <c r="F9861" s="5"/>
      <c r="G9861" s="5"/>
      <c r="H9861" s="5"/>
      <c r="I9861" s="5"/>
      <c r="J9861" s="5"/>
      <c r="K9861" s="5"/>
    </row>
    <row r="9862" spans="3:11" x14ac:dyDescent="0.35">
      <c r="C9862" s="112"/>
      <c r="D9862" s="5"/>
      <c r="E9862" s="5"/>
      <c r="F9862" s="5"/>
      <c r="G9862" s="5"/>
      <c r="H9862" s="5"/>
      <c r="I9862" s="5"/>
      <c r="J9862" s="5"/>
      <c r="K9862" s="5"/>
    </row>
    <row r="9863" spans="3:11" x14ac:dyDescent="0.35">
      <c r="C9863" s="112"/>
      <c r="D9863" s="5"/>
      <c r="E9863" s="5"/>
      <c r="F9863" s="5"/>
      <c r="G9863" s="5"/>
      <c r="H9863" s="5"/>
      <c r="I9863" s="5"/>
      <c r="J9863" s="5"/>
      <c r="K9863" s="5"/>
    </row>
    <row r="9864" spans="3:11" x14ac:dyDescent="0.35">
      <c r="C9864" s="112"/>
      <c r="D9864" s="5"/>
      <c r="E9864" s="5"/>
      <c r="F9864" s="5"/>
      <c r="G9864" s="5"/>
      <c r="H9864" s="5"/>
      <c r="I9864" s="5"/>
      <c r="J9864" s="5"/>
      <c r="K9864" s="5"/>
    </row>
    <row r="9865" spans="3:11" x14ac:dyDescent="0.35">
      <c r="C9865" s="112"/>
      <c r="D9865" s="5"/>
      <c r="E9865" s="5"/>
      <c r="F9865" s="5"/>
      <c r="G9865" s="5"/>
      <c r="H9865" s="5"/>
      <c r="I9865" s="5"/>
      <c r="J9865" s="5"/>
      <c r="K9865" s="5"/>
    </row>
    <row r="9866" spans="3:11" x14ac:dyDescent="0.35">
      <c r="C9866" s="112"/>
      <c r="D9866" s="5"/>
      <c r="E9866" s="5"/>
      <c r="F9866" s="5"/>
      <c r="G9866" s="5"/>
      <c r="H9866" s="5"/>
      <c r="I9866" s="5"/>
      <c r="J9866" s="5"/>
      <c r="K9866" s="5"/>
    </row>
    <row r="9867" spans="3:11" x14ac:dyDescent="0.35">
      <c r="C9867" s="112"/>
      <c r="D9867" s="5"/>
      <c r="E9867" s="5"/>
      <c r="F9867" s="5"/>
      <c r="G9867" s="5"/>
      <c r="H9867" s="5"/>
      <c r="I9867" s="5"/>
      <c r="J9867" s="5"/>
      <c r="K9867" s="5"/>
    </row>
    <row r="9868" spans="3:11" x14ac:dyDescent="0.35">
      <c r="C9868" s="112"/>
      <c r="D9868" s="5"/>
      <c r="E9868" s="5"/>
      <c r="F9868" s="5"/>
      <c r="G9868" s="5"/>
      <c r="H9868" s="5"/>
      <c r="I9868" s="5"/>
      <c r="J9868" s="5"/>
      <c r="K9868" s="5"/>
    </row>
    <row r="9869" spans="3:11" x14ac:dyDescent="0.35">
      <c r="C9869" s="112"/>
      <c r="D9869" s="5"/>
      <c r="E9869" s="5"/>
      <c r="F9869" s="5"/>
      <c r="G9869" s="5"/>
      <c r="H9869" s="5"/>
      <c r="I9869" s="5"/>
      <c r="J9869" s="5"/>
      <c r="K9869" s="5"/>
    </row>
    <row r="9870" spans="3:11" x14ac:dyDescent="0.35">
      <c r="C9870" s="112"/>
      <c r="D9870" s="5"/>
      <c r="E9870" s="5"/>
      <c r="F9870" s="5"/>
      <c r="G9870" s="5"/>
      <c r="H9870" s="5"/>
      <c r="I9870" s="5"/>
      <c r="J9870" s="5"/>
      <c r="K9870" s="5"/>
    </row>
    <row r="9871" spans="3:11" x14ac:dyDescent="0.35">
      <c r="C9871" s="112"/>
      <c r="D9871" s="5"/>
      <c r="E9871" s="5"/>
      <c r="F9871" s="5"/>
      <c r="G9871" s="5"/>
      <c r="H9871" s="5"/>
      <c r="I9871" s="5"/>
      <c r="J9871" s="5"/>
      <c r="K9871" s="5"/>
    </row>
    <row r="9872" spans="3:11" x14ac:dyDescent="0.35">
      <c r="C9872" s="112"/>
      <c r="D9872" s="5"/>
      <c r="E9872" s="5"/>
      <c r="F9872" s="5"/>
      <c r="G9872" s="5"/>
      <c r="H9872" s="5"/>
      <c r="I9872" s="5"/>
      <c r="J9872" s="5"/>
      <c r="K9872" s="5"/>
    </row>
    <row r="9873" spans="3:11" x14ac:dyDescent="0.35">
      <c r="C9873" s="112"/>
      <c r="D9873" s="5"/>
      <c r="E9873" s="5"/>
      <c r="F9873" s="5"/>
      <c r="G9873" s="5"/>
      <c r="H9873" s="5"/>
      <c r="I9873" s="5"/>
      <c r="J9873" s="5"/>
      <c r="K9873" s="5"/>
    </row>
    <row r="9874" spans="3:11" x14ac:dyDescent="0.35">
      <c r="C9874" s="112"/>
      <c r="D9874" s="5"/>
      <c r="E9874" s="5"/>
      <c r="F9874" s="5"/>
      <c r="G9874" s="5"/>
      <c r="H9874" s="5"/>
      <c r="I9874" s="5"/>
      <c r="J9874" s="5"/>
      <c r="K9874" s="5"/>
    </row>
    <row r="9875" spans="3:11" x14ac:dyDescent="0.35">
      <c r="C9875" s="112"/>
      <c r="D9875" s="5"/>
      <c r="E9875" s="5"/>
      <c r="F9875" s="5"/>
      <c r="G9875" s="5"/>
      <c r="H9875" s="5"/>
      <c r="I9875" s="5"/>
      <c r="J9875" s="5"/>
      <c r="K9875" s="5"/>
    </row>
    <row r="9876" spans="3:11" x14ac:dyDescent="0.35">
      <c r="C9876" s="112"/>
      <c r="D9876" s="5"/>
      <c r="E9876" s="5"/>
      <c r="F9876" s="5"/>
      <c r="G9876" s="5"/>
      <c r="H9876" s="5"/>
      <c r="I9876" s="5"/>
      <c r="J9876" s="5"/>
      <c r="K9876" s="5"/>
    </row>
    <row r="9877" spans="3:11" x14ac:dyDescent="0.35">
      <c r="C9877" s="112"/>
      <c r="D9877" s="5"/>
      <c r="E9877" s="5"/>
      <c r="F9877" s="5"/>
      <c r="G9877" s="5"/>
      <c r="H9877" s="5"/>
      <c r="I9877" s="5"/>
      <c r="J9877" s="5"/>
      <c r="K9877" s="5"/>
    </row>
    <row r="9878" spans="3:11" x14ac:dyDescent="0.35">
      <c r="C9878" s="112"/>
      <c r="D9878" s="5"/>
      <c r="E9878" s="5"/>
      <c r="F9878" s="5"/>
      <c r="G9878" s="5"/>
      <c r="H9878" s="5"/>
      <c r="I9878" s="5"/>
      <c r="J9878" s="5"/>
      <c r="K9878" s="5"/>
    </row>
    <row r="9879" spans="3:11" x14ac:dyDescent="0.35">
      <c r="C9879" s="112"/>
      <c r="D9879" s="5"/>
      <c r="E9879" s="5"/>
      <c r="F9879" s="5"/>
      <c r="G9879" s="5"/>
      <c r="H9879" s="5"/>
      <c r="I9879" s="5"/>
      <c r="J9879" s="5"/>
      <c r="K9879" s="5"/>
    </row>
    <row r="9880" spans="3:11" x14ac:dyDescent="0.35">
      <c r="C9880" s="112"/>
      <c r="D9880" s="5"/>
      <c r="E9880" s="5"/>
      <c r="F9880" s="5"/>
      <c r="G9880" s="5"/>
      <c r="H9880" s="5"/>
      <c r="I9880" s="5"/>
      <c r="J9880" s="5"/>
      <c r="K9880" s="5"/>
    </row>
    <row r="9881" spans="3:11" x14ac:dyDescent="0.35">
      <c r="C9881" s="112"/>
      <c r="D9881" s="5"/>
      <c r="E9881" s="5"/>
      <c r="F9881" s="5"/>
      <c r="G9881" s="5"/>
      <c r="H9881" s="5"/>
      <c r="I9881" s="5"/>
      <c r="J9881" s="5"/>
      <c r="K9881" s="5"/>
    </row>
    <row r="9882" spans="3:11" x14ac:dyDescent="0.35">
      <c r="C9882" s="112"/>
      <c r="D9882" s="5"/>
      <c r="E9882" s="5"/>
      <c r="F9882" s="5"/>
      <c r="G9882" s="5"/>
      <c r="H9882" s="5"/>
      <c r="I9882" s="5"/>
      <c r="J9882" s="5"/>
      <c r="K9882" s="5"/>
    </row>
    <row r="9883" spans="3:11" x14ac:dyDescent="0.35">
      <c r="C9883" s="112"/>
      <c r="D9883" s="5"/>
      <c r="E9883" s="5"/>
      <c r="F9883" s="5"/>
      <c r="G9883" s="5"/>
      <c r="H9883" s="5"/>
      <c r="I9883" s="5"/>
      <c r="J9883" s="5"/>
      <c r="K9883" s="5"/>
    </row>
    <row r="9884" spans="3:11" x14ac:dyDescent="0.35">
      <c r="C9884" s="112"/>
      <c r="D9884" s="5"/>
      <c r="E9884" s="5"/>
      <c r="F9884" s="5"/>
      <c r="G9884" s="5"/>
      <c r="H9884" s="5"/>
      <c r="I9884" s="5"/>
      <c r="J9884" s="5"/>
      <c r="K9884" s="5"/>
    </row>
    <row r="9885" spans="3:11" x14ac:dyDescent="0.35">
      <c r="C9885" s="112"/>
      <c r="D9885" s="5"/>
      <c r="E9885" s="5"/>
      <c r="F9885" s="5"/>
      <c r="G9885" s="5"/>
      <c r="H9885" s="5"/>
      <c r="I9885" s="5"/>
      <c r="J9885" s="5"/>
      <c r="K9885" s="5"/>
    </row>
    <row r="9886" spans="3:11" x14ac:dyDescent="0.35">
      <c r="C9886" s="112"/>
      <c r="D9886" s="5"/>
      <c r="E9886" s="5"/>
      <c r="F9886" s="5"/>
      <c r="G9886" s="5"/>
      <c r="H9886" s="5"/>
      <c r="I9886" s="5"/>
      <c r="J9886" s="5"/>
      <c r="K9886" s="5"/>
    </row>
    <row r="9887" spans="3:11" x14ac:dyDescent="0.35">
      <c r="C9887" s="112"/>
      <c r="D9887" s="5"/>
      <c r="E9887" s="5"/>
      <c r="F9887" s="5"/>
      <c r="G9887" s="5"/>
      <c r="H9887" s="5"/>
      <c r="I9887" s="5"/>
      <c r="J9887" s="5"/>
      <c r="K9887" s="5"/>
    </row>
    <row r="9888" spans="3:11" x14ac:dyDescent="0.35">
      <c r="C9888" s="112"/>
      <c r="D9888" s="5"/>
      <c r="E9888" s="5"/>
      <c r="F9888" s="5"/>
      <c r="G9888" s="5"/>
      <c r="H9888" s="5"/>
      <c r="I9888" s="5"/>
      <c r="J9888" s="5"/>
      <c r="K9888" s="5"/>
    </row>
    <row r="9889" spans="3:11" x14ac:dyDescent="0.35">
      <c r="C9889" s="112"/>
      <c r="D9889" s="5"/>
      <c r="E9889" s="5"/>
      <c r="F9889" s="5"/>
      <c r="G9889" s="5"/>
      <c r="H9889" s="5"/>
      <c r="I9889" s="5"/>
      <c r="J9889" s="5"/>
      <c r="K9889" s="5"/>
    </row>
    <row r="9890" spans="3:11" x14ac:dyDescent="0.35">
      <c r="C9890" s="112"/>
      <c r="D9890" s="5"/>
      <c r="E9890" s="5"/>
      <c r="F9890" s="5"/>
      <c r="G9890" s="5"/>
      <c r="H9890" s="5"/>
      <c r="I9890" s="5"/>
      <c r="J9890" s="5"/>
      <c r="K9890" s="5"/>
    </row>
    <row r="9891" spans="3:11" x14ac:dyDescent="0.35">
      <c r="C9891" s="112"/>
      <c r="D9891" s="5"/>
      <c r="E9891" s="5"/>
      <c r="F9891" s="5"/>
      <c r="G9891" s="5"/>
      <c r="H9891" s="5"/>
      <c r="I9891" s="5"/>
      <c r="J9891" s="5"/>
      <c r="K9891" s="5"/>
    </row>
    <row r="9892" spans="3:11" x14ac:dyDescent="0.35">
      <c r="C9892" s="112"/>
      <c r="D9892" s="5"/>
      <c r="E9892" s="5"/>
      <c r="F9892" s="5"/>
      <c r="G9892" s="5"/>
      <c r="H9892" s="5"/>
      <c r="I9892" s="5"/>
      <c r="J9892" s="5"/>
      <c r="K9892" s="5"/>
    </row>
    <row r="9893" spans="3:11" x14ac:dyDescent="0.35">
      <c r="C9893" s="112"/>
      <c r="D9893" s="5"/>
      <c r="E9893" s="5"/>
      <c r="F9893" s="5"/>
      <c r="G9893" s="5"/>
      <c r="H9893" s="5"/>
      <c r="I9893" s="5"/>
      <c r="J9893" s="5"/>
      <c r="K9893" s="5"/>
    </row>
    <row r="9894" spans="3:11" x14ac:dyDescent="0.35">
      <c r="C9894" s="112"/>
      <c r="D9894" s="5"/>
      <c r="E9894" s="5"/>
      <c r="F9894" s="5"/>
      <c r="G9894" s="5"/>
      <c r="H9894" s="5"/>
      <c r="I9894" s="5"/>
      <c r="J9894" s="5"/>
      <c r="K9894" s="5"/>
    </row>
    <row r="9895" spans="3:11" x14ac:dyDescent="0.35">
      <c r="C9895" s="112"/>
      <c r="D9895" s="5"/>
      <c r="E9895" s="5"/>
      <c r="F9895" s="5"/>
      <c r="G9895" s="5"/>
      <c r="H9895" s="5"/>
      <c r="I9895" s="5"/>
      <c r="J9895" s="5"/>
      <c r="K9895" s="5"/>
    </row>
    <row r="9896" spans="3:11" x14ac:dyDescent="0.35">
      <c r="C9896" s="112"/>
      <c r="D9896" s="5"/>
      <c r="E9896" s="5"/>
      <c r="F9896" s="5"/>
      <c r="G9896" s="5"/>
      <c r="H9896" s="5"/>
      <c r="I9896" s="5"/>
      <c r="J9896" s="5"/>
      <c r="K9896" s="5"/>
    </row>
    <row r="9897" spans="3:11" x14ac:dyDescent="0.35">
      <c r="C9897" s="112"/>
      <c r="D9897" s="5"/>
      <c r="E9897" s="5"/>
      <c r="F9897" s="5"/>
      <c r="G9897" s="5"/>
      <c r="H9897" s="5"/>
      <c r="I9897" s="5"/>
      <c r="J9897" s="5"/>
      <c r="K9897" s="5"/>
    </row>
    <row r="9898" spans="3:11" x14ac:dyDescent="0.35">
      <c r="C9898" s="112"/>
      <c r="D9898" s="5"/>
      <c r="E9898" s="5"/>
      <c r="F9898" s="5"/>
      <c r="G9898" s="5"/>
      <c r="H9898" s="5"/>
      <c r="I9898" s="5"/>
      <c r="J9898" s="5"/>
      <c r="K9898" s="5"/>
    </row>
    <row r="9899" spans="3:11" x14ac:dyDescent="0.35">
      <c r="C9899" s="112"/>
      <c r="D9899" s="5"/>
      <c r="E9899" s="5"/>
      <c r="F9899" s="5"/>
      <c r="G9899" s="5"/>
      <c r="H9899" s="5"/>
      <c r="I9899" s="5"/>
      <c r="J9899" s="5"/>
      <c r="K9899" s="5"/>
    </row>
    <row r="9900" spans="3:11" x14ac:dyDescent="0.35">
      <c r="C9900" s="112"/>
      <c r="D9900" s="5"/>
      <c r="E9900" s="5"/>
      <c r="F9900" s="5"/>
      <c r="G9900" s="5"/>
      <c r="H9900" s="5"/>
      <c r="I9900" s="5"/>
      <c r="J9900" s="5"/>
      <c r="K9900" s="5"/>
    </row>
    <row r="9901" spans="3:11" x14ac:dyDescent="0.35">
      <c r="C9901" s="112"/>
      <c r="D9901" s="5"/>
      <c r="E9901" s="5"/>
      <c r="F9901" s="5"/>
      <c r="G9901" s="5"/>
      <c r="H9901" s="5"/>
      <c r="I9901" s="5"/>
      <c r="J9901" s="5"/>
      <c r="K9901" s="5"/>
    </row>
    <row r="9902" spans="3:11" x14ac:dyDescent="0.35">
      <c r="C9902" s="112"/>
      <c r="D9902" s="5"/>
      <c r="E9902" s="5"/>
      <c r="F9902" s="5"/>
      <c r="G9902" s="5"/>
      <c r="H9902" s="5"/>
      <c r="I9902" s="5"/>
      <c r="J9902" s="5"/>
      <c r="K9902" s="5"/>
    </row>
    <row r="9903" spans="3:11" x14ac:dyDescent="0.35">
      <c r="C9903" s="112"/>
      <c r="D9903" s="5"/>
      <c r="E9903" s="5"/>
      <c r="F9903" s="5"/>
      <c r="G9903" s="5"/>
      <c r="H9903" s="5"/>
      <c r="I9903" s="5"/>
      <c r="J9903" s="5"/>
      <c r="K9903" s="5"/>
    </row>
    <row r="9904" spans="3:11" x14ac:dyDescent="0.35">
      <c r="C9904" s="112"/>
      <c r="D9904" s="5"/>
      <c r="E9904" s="5"/>
      <c r="F9904" s="5"/>
      <c r="G9904" s="5"/>
      <c r="H9904" s="5"/>
      <c r="I9904" s="5"/>
      <c r="J9904" s="5"/>
      <c r="K9904" s="5"/>
    </row>
    <row r="9905" spans="3:11" x14ac:dyDescent="0.35">
      <c r="C9905" s="112"/>
      <c r="D9905" s="5"/>
      <c r="E9905" s="5"/>
      <c r="F9905" s="5"/>
      <c r="G9905" s="5"/>
      <c r="H9905" s="5"/>
      <c r="I9905" s="5"/>
      <c r="J9905" s="5"/>
      <c r="K9905" s="5"/>
    </row>
    <row r="9906" spans="3:11" x14ac:dyDescent="0.35">
      <c r="C9906" s="112"/>
      <c r="D9906" s="5"/>
      <c r="E9906" s="5"/>
      <c r="F9906" s="5"/>
      <c r="G9906" s="5"/>
      <c r="H9906" s="5"/>
      <c r="I9906" s="5"/>
      <c r="J9906" s="5"/>
      <c r="K9906" s="5"/>
    </row>
    <row r="9907" spans="3:11" x14ac:dyDescent="0.35">
      <c r="C9907" s="112"/>
      <c r="D9907" s="5"/>
      <c r="E9907" s="5"/>
      <c r="F9907" s="5"/>
      <c r="G9907" s="5"/>
      <c r="H9907" s="5"/>
      <c r="I9907" s="5"/>
      <c r="J9907" s="5"/>
      <c r="K9907" s="5"/>
    </row>
    <row r="9908" spans="3:11" x14ac:dyDescent="0.35">
      <c r="C9908" s="112"/>
      <c r="D9908" s="5"/>
      <c r="E9908" s="5"/>
      <c r="F9908" s="5"/>
      <c r="G9908" s="5"/>
      <c r="H9908" s="5"/>
      <c r="I9908" s="5"/>
      <c r="J9908" s="5"/>
      <c r="K9908" s="5"/>
    </row>
    <row r="9909" spans="3:11" x14ac:dyDescent="0.35">
      <c r="C9909" s="112"/>
      <c r="D9909" s="5"/>
      <c r="E9909" s="5"/>
      <c r="F9909" s="5"/>
      <c r="G9909" s="5"/>
      <c r="H9909" s="5"/>
      <c r="I9909" s="5"/>
      <c r="J9909" s="5"/>
      <c r="K9909" s="5"/>
    </row>
    <row r="9910" spans="3:11" x14ac:dyDescent="0.35">
      <c r="C9910" s="112"/>
      <c r="D9910" s="5"/>
      <c r="E9910" s="5"/>
      <c r="F9910" s="5"/>
      <c r="G9910" s="5"/>
      <c r="H9910" s="5"/>
      <c r="I9910" s="5"/>
      <c r="J9910" s="5"/>
      <c r="K9910" s="5"/>
    </row>
    <row r="9911" spans="3:11" x14ac:dyDescent="0.35">
      <c r="C9911" s="112"/>
      <c r="D9911" s="5"/>
      <c r="E9911" s="5"/>
      <c r="F9911" s="5"/>
      <c r="G9911" s="5"/>
      <c r="H9911" s="5"/>
      <c r="I9911" s="5"/>
      <c r="J9911" s="5"/>
      <c r="K9911" s="5"/>
    </row>
    <row r="9912" spans="3:11" x14ac:dyDescent="0.35">
      <c r="C9912" s="112"/>
      <c r="D9912" s="5"/>
      <c r="E9912" s="5"/>
      <c r="F9912" s="5"/>
      <c r="G9912" s="5"/>
      <c r="H9912" s="5"/>
      <c r="I9912" s="5"/>
      <c r="J9912" s="5"/>
      <c r="K9912" s="5"/>
    </row>
    <row r="9913" spans="3:11" x14ac:dyDescent="0.35">
      <c r="C9913" s="112"/>
      <c r="D9913" s="5"/>
      <c r="E9913" s="5"/>
      <c r="F9913" s="5"/>
      <c r="G9913" s="5"/>
      <c r="H9913" s="5"/>
      <c r="I9913" s="5"/>
      <c r="J9913" s="5"/>
      <c r="K9913" s="5"/>
    </row>
    <row r="9914" spans="3:11" x14ac:dyDescent="0.35">
      <c r="C9914" s="112"/>
      <c r="D9914" s="5"/>
      <c r="E9914" s="5"/>
      <c r="F9914" s="5"/>
      <c r="G9914" s="5"/>
      <c r="H9914" s="5"/>
      <c r="I9914" s="5"/>
      <c r="J9914" s="5"/>
      <c r="K9914" s="5"/>
    </row>
    <row r="9915" spans="3:11" x14ac:dyDescent="0.35">
      <c r="C9915" s="112"/>
      <c r="D9915" s="5"/>
      <c r="E9915" s="5"/>
      <c r="F9915" s="5"/>
      <c r="G9915" s="5"/>
      <c r="H9915" s="5"/>
      <c r="I9915" s="5"/>
      <c r="J9915" s="5"/>
      <c r="K9915" s="5"/>
    </row>
    <row r="9916" spans="3:11" x14ac:dyDescent="0.35">
      <c r="C9916" s="112"/>
      <c r="D9916" s="5"/>
      <c r="E9916" s="5"/>
      <c r="F9916" s="5"/>
      <c r="G9916" s="5"/>
      <c r="H9916" s="5"/>
      <c r="I9916" s="5"/>
      <c r="J9916" s="5"/>
      <c r="K9916" s="5"/>
    </row>
    <row r="9917" spans="3:11" x14ac:dyDescent="0.35">
      <c r="C9917" s="112"/>
      <c r="D9917" s="5"/>
      <c r="E9917" s="5"/>
      <c r="F9917" s="5"/>
      <c r="G9917" s="5"/>
      <c r="H9917" s="5"/>
      <c r="I9917" s="5"/>
      <c r="J9917" s="5"/>
      <c r="K9917" s="5"/>
    </row>
    <row r="9918" spans="3:11" x14ac:dyDescent="0.35">
      <c r="C9918" s="112"/>
      <c r="D9918" s="5"/>
      <c r="E9918" s="5"/>
      <c r="F9918" s="5"/>
      <c r="G9918" s="5"/>
      <c r="H9918" s="5"/>
      <c r="I9918" s="5"/>
      <c r="J9918" s="5"/>
      <c r="K9918" s="5"/>
    </row>
    <row r="9919" spans="3:11" x14ac:dyDescent="0.35">
      <c r="C9919" s="112"/>
      <c r="D9919" s="5"/>
      <c r="E9919" s="5"/>
      <c r="F9919" s="5"/>
      <c r="G9919" s="5"/>
      <c r="H9919" s="5"/>
      <c r="I9919" s="5"/>
      <c r="J9919" s="5"/>
      <c r="K9919" s="5"/>
    </row>
    <row r="9920" spans="3:11" x14ac:dyDescent="0.35">
      <c r="C9920" s="112"/>
      <c r="D9920" s="5"/>
      <c r="E9920" s="5"/>
      <c r="F9920" s="5"/>
      <c r="G9920" s="5"/>
      <c r="H9920" s="5"/>
      <c r="I9920" s="5"/>
      <c r="J9920" s="5"/>
      <c r="K9920" s="5"/>
    </row>
    <row r="9921" spans="3:11" x14ac:dyDescent="0.35">
      <c r="C9921" s="112"/>
      <c r="D9921" s="5"/>
      <c r="E9921" s="5"/>
      <c r="F9921" s="5"/>
      <c r="G9921" s="5"/>
      <c r="H9921" s="5"/>
      <c r="I9921" s="5"/>
      <c r="J9921" s="5"/>
      <c r="K9921" s="5"/>
    </row>
    <row r="9922" spans="3:11" x14ac:dyDescent="0.35">
      <c r="C9922" s="112"/>
      <c r="D9922" s="5"/>
      <c r="E9922" s="5"/>
      <c r="F9922" s="5"/>
      <c r="G9922" s="5"/>
      <c r="H9922" s="5"/>
      <c r="I9922" s="5"/>
      <c r="J9922" s="5"/>
      <c r="K9922" s="5"/>
    </row>
    <row r="9923" spans="3:11" x14ac:dyDescent="0.35">
      <c r="C9923" s="112"/>
      <c r="D9923" s="5"/>
      <c r="E9923" s="5"/>
      <c r="F9923" s="5"/>
      <c r="G9923" s="5"/>
      <c r="H9923" s="5"/>
      <c r="I9923" s="5"/>
      <c r="J9923" s="5"/>
      <c r="K9923" s="5"/>
    </row>
    <row r="9924" spans="3:11" x14ac:dyDescent="0.35">
      <c r="C9924" s="112"/>
      <c r="D9924" s="5"/>
      <c r="E9924" s="5"/>
      <c r="F9924" s="5"/>
      <c r="G9924" s="5"/>
      <c r="H9924" s="5"/>
      <c r="I9924" s="5"/>
      <c r="J9924" s="5"/>
      <c r="K9924" s="5"/>
    </row>
    <row r="9925" spans="3:11" x14ac:dyDescent="0.35">
      <c r="C9925" s="112"/>
      <c r="D9925" s="5"/>
      <c r="E9925" s="5"/>
      <c r="F9925" s="5"/>
      <c r="G9925" s="5"/>
      <c r="H9925" s="5"/>
      <c r="I9925" s="5"/>
      <c r="J9925" s="5"/>
      <c r="K9925" s="5"/>
    </row>
    <row r="9926" spans="3:11" x14ac:dyDescent="0.35">
      <c r="C9926" s="112"/>
      <c r="D9926" s="5"/>
      <c r="E9926" s="5"/>
      <c r="F9926" s="5"/>
      <c r="G9926" s="5"/>
      <c r="H9926" s="5"/>
      <c r="I9926" s="5"/>
      <c r="J9926" s="5"/>
      <c r="K9926" s="5"/>
    </row>
    <row r="9927" spans="3:11" x14ac:dyDescent="0.35">
      <c r="C9927" s="112"/>
      <c r="D9927" s="5"/>
      <c r="E9927" s="5"/>
      <c r="F9927" s="5"/>
      <c r="G9927" s="5"/>
      <c r="H9927" s="5"/>
      <c r="I9927" s="5"/>
      <c r="J9927" s="5"/>
      <c r="K9927" s="5"/>
    </row>
    <row r="9928" spans="3:11" x14ac:dyDescent="0.35">
      <c r="C9928" s="112"/>
      <c r="D9928" s="5"/>
      <c r="E9928" s="5"/>
      <c r="F9928" s="5"/>
      <c r="G9928" s="5"/>
      <c r="H9928" s="5"/>
      <c r="I9928" s="5"/>
      <c r="J9928" s="5"/>
      <c r="K9928" s="5"/>
    </row>
    <row r="9929" spans="3:11" x14ac:dyDescent="0.35">
      <c r="C9929" s="112"/>
      <c r="D9929" s="5"/>
      <c r="E9929" s="5"/>
      <c r="F9929" s="5"/>
      <c r="G9929" s="5"/>
      <c r="H9929" s="5"/>
      <c r="I9929" s="5"/>
      <c r="J9929" s="5"/>
      <c r="K9929" s="5"/>
    </row>
    <row r="9930" spans="3:11" x14ac:dyDescent="0.35">
      <c r="C9930" s="112"/>
      <c r="D9930" s="5"/>
      <c r="E9930" s="5"/>
      <c r="F9930" s="5"/>
      <c r="G9930" s="5"/>
      <c r="H9930" s="5"/>
      <c r="I9930" s="5"/>
      <c r="J9930" s="5"/>
      <c r="K9930" s="5"/>
    </row>
    <row r="9931" spans="3:11" x14ac:dyDescent="0.35">
      <c r="C9931" s="112"/>
      <c r="D9931" s="5"/>
      <c r="E9931" s="5"/>
      <c r="F9931" s="5"/>
      <c r="G9931" s="5"/>
      <c r="H9931" s="5"/>
      <c r="I9931" s="5"/>
      <c r="J9931" s="5"/>
      <c r="K9931" s="5"/>
    </row>
    <row r="9932" spans="3:11" x14ac:dyDescent="0.35">
      <c r="C9932" s="112"/>
      <c r="D9932" s="5"/>
      <c r="E9932" s="5"/>
      <c r="F9932" s="5"/>
      <c r="G9932" s="5"/>
      <c r="H9932" s="5"/>
      <c r="I9932" s="5"/>
      <c r="J9932" s="5"/>
      <c r="K9932" s="5"/>
    </row>
    <row r="9933" spans="3:11" x14ac:dyDescent="0.35">
      <c r="C9933" s="112"/>
      <c r="D9933" s="5"/>
      <c r="E9933" s="5"/>
      <c r="F9933" s="5"/>
      <c r="G9933" s="5"/>
      <c r="H9933" s="5"/>
      <c r="I9933" s="5"/>
      <c r="J9933" s="5"/>
      <c r="K9933" s="5"/>
    </row>
    <row r="9934" spans="3:11" x14ac:dyDescent="0.35">
      <c r="C9934" s="112"/>
      <c r="D9934" s="5"/>
      <c r="E9934" s="5"/>
      <c r="F9934" s="5"/>
      <c r="G9934" s="5"/>
      <c r="H9934" s="5"/>
      <c r="I9934" s="5"/>
      <c r="J9934" s="5"/>
      <c r="K9934" s="5"/>
    </row>
    <row r="9935" spans="3:11" x14ac:dyDescent="0.35">
      <c r="C9935" s="112"/>
      <c r="D9935" s="5"/>
      <c r="E9935" s="5"/>
      <c r="F9935" s="5"/>
      <c r="G9935" s="5"/>
      <c r="H9935" s="5"/>
      <c r="I9935" s="5"/>
      <c r="J9935" s="5"/>
      <c r="K9935" s="5"/>
    </row>
    <row r="9936" spans="3:11" x14ac:dyDescent="0.35">
      <c r="C9936" s="112"/>
      <c r="D9936" s="5"/>
      <c r="E9936" s="5"/>
      <c r="F9936" s="5"/>
      <c r="G9936" s="5"/>
      <c r="H9936" s="5"/>
      <c r="I9936" s="5"/>
      <c r="J9936" s="5"/>
      <c r="K9936" s="5"/>
    </row>
    <row r="9937" spans="3:11" x14ac:dyDescent="0.35">
      <c r="C9937" s="112"/>
      <c r="D9937" s="5"/>
      <c r="E9937" s="5"/>
      <c r="F9937" s="5"/>
      <c r="G9937" s="5"/>
      <c r="H9937" s="5"/>
      <c r="I9937" s="5"/>
      <c r="J9937" s="5"/>
      <c r="K9937" s="5"/>
    </row>
    <row r="9938" spans="3:11" x14ac:dyDescent="0.35">
      <c r="C9938" s="112"/>
      <c r="D9938" s="5"/>
      <c r="E9938" s="5"/>
      <c r="F9938" s="5"/>
      <c r="G9938" s="5"/>
      <c r="H9938" s="5"/>
      <c r="I9938" s="5"/>
      <c r="J9938" s="5"/>
      <c r="K9938" s="5"/>
    </row>
    <row r="9939" spans="3:11" x14ac:dyDescent="0.35">
      <c r="C9939" s="112"/>
      <c r="D9939" s="5"/>
      <c r="E9939" s="5"/>
      <c r="F9939" s="5"/>
      <c r="G9939" s="5"/>
      <c r="H9939" s="5"/>
      <c r="I9939" s="5"/>
      <c r="J9939" s="5"/>
      <c r="K9939" s="5"/>
    </row>
    <row r="9940" spans="3:11" x14ac:dyDescent="0.35">
      <c r="C9940" s="112"/>
      <c r="D9940" s="5"/>
      <c r="E9940" s="5"/>
      <c r="F9940" s="5"/>
      <c r="G9940" s="5"/>
      <c r="H9940" s="5"/>
      <c r="I9940" s="5"/>
      <c r="J9940" s="5"/>
      <c r="K9940" s="5"/>
    </row>
    <row r="9941" spans="3:11" x14ac:dyDescent="0.35">
      <c r="C9941" s="112"/>
      <c r="D9941" s="5"/>
      <c r="E9941" s="5"/>
      <c r="F9941" s="5"/>
      <c r="G9941" s="5"/>
      <c r="H9941" s="5"/>
      <c r="I9941" s="5"/>
      <c r="J9941" s="5"/>
      <c r="K9941" s="5"/>
    </row>
    <row r="9942" spans="3:11" x14ac:dyDescent="0.35">
      <c r="C9942" s="112"/>
      <c r="D9942" s="5"/>
      <c r="E9942" s="5"/>
      <c r="F9942" s="5"/>
      <c r="G9942" s="5"/>
      <c r="H9942" s="5"/>
      <c r="I9942" s="5"/>
      <c r="J9942" s="5"/>
      <c r="K9942" s="5"/>
    </row>
    <row r="9943" spans="3:11" x14ac:dyDescent="0.35">
      <c r="C9943" s="112"/>
      <c r="D9943" s="5"/>
      <c r="E9943" s="5"/>
      <c r="F9943" s="5"/>
      <c r="G9943" s="5"/>
      <c r="H9943" s="5"/>
      <c r="I9943" s="5"/>
      <c r="J9943" s="5"/>
      <c r="K9943" s="5"/>
    </row>
    <row r="9944" spans="3:11" x14ac:dyDescent="0.35">
      <c r="C9944" s="112"/>
      <c r="D9944" s="5"/>
      <c r="E9944" s="5"/>
      <c r="F9944" s="5"/>
      <c r="G9944" s="5"/>
      <c r="H9944" s="5"/>
      <c r="I9944" s="5"/>
      <c r="J9944" s="5"/>
      <c r="K9944" s="5"/>
    </row>
    <row r="9945" spans="3:11" x14ac:dyDescent="0.35">
      <c r="C9945" s="112"/>
      <c r="D9945" s="5"/>
      <c r="E9945" s="5"/>
      <c r="F9945" s="5"/>
      <c r="G9945" s="5"/>
      <c r="H9945" s="5"/>
      <c r="I9945" s="5"/>
      <c r="J9945" s="5"/>
      <c r="K9945" s="5"/>
    </row>
    <row r="9946" spans="3:11" x14ac:dyDescent="0.35">
      <c r="C9946" s="112"/>
      <c r="D9946" s="5"/>
      <c r="E9946" s="5"/>
      <c r="F9946" s="5"/>
      <c r="G9946" s="5"/>
      <c r="H9946" s="5"/>
      <c r="I9946" s="5"/>
      <c r="J9946" s="5"/>
      <c r="K9946" s="5"/>
    </row>
    <row r="9947" spans="3:11" x14ac:dyDescent="0.35">
      <c r="C9947" s="112"/>
      <c r="D9947" s="5"/>
      <c r="E9947" s="5"/>
      <c r="F9947" s="5"/>
      <c r="G9947" s="5"/>
      <c r="H9947" s="5"/>
      <c r="I9947" s="5"/>
      <c r="J9947" s="5"/>
      <c r="K9947" s="5"/>
    </row>
    <row r="9948" spans="3:11" x14ac:dyDescent="0.35">
      <c r="C9948" s="112"/>
      <c r="D9948" s="5"/>
      <c r="E9948" s="5"/>
      <c r="F9948" s="5"/>
      <c r="G9948" s="5"/>
      <c r="H9948" s="5"/>
      <c r="I9948" s="5"/>
      <c r="J9948" s="5"/>
      <c r="K9948" s="5"/>
    </row>
    <row r="9949" spans="3:11" x14ac:dyDescent="0.35">
      <c r="C9949" s="112"/>
      <c r="D9949" s="5"/>
      <c r="E9949" s="5"/>
      <c r="F9949" s="5"/>
      <c r="G9949" s="5"/>
      <c r="H9949" s="5"/>
      <c r="I9949" s="5"/>
      <c r="J9949" s="5"/>
      <c r="K9949" s="5"/>
    </row>
    <row r="9950" spans="3:11" x14ac:dyDescent="0.35">
      <c r="C9950" s="112"/>
      <c r="D9950" s="5"/>
      <c r="E9950" s="5"/>
      <c r="F9950" s="5"/>
      <c r="G9950" s="5"/>
      <c r="H9950" s="5"/>
      <c r="I9950" s="5"/>
      <c r="J9950" s="5"/>
      <c r="K9950" s="5"/>
    </row>
    <row r="9951" spans="3:11" x14ac:dyDescent="0.35">
      <c r="C9951" s="112"/>
      <c r="D9951" s="5"/>
      <c r="E9951" s="5"/>
      <c r="F9951" s="5"/>
      <c r="G9951" s="5"/>
      <c r="H9951" s="5"/>
      <c r="I9951" s="5"/>
      <c r="J9951" s="5"/>
      <c r="K9951" s="5"/>
    </row>
    <row r="9952" spans="3:11" x14ac:dyDescent="0.35">
      <c r="C9952" s="112"/>
      <c r="D9952" s="5"/>
      <c r="E9952" s="5"/>
      <c r="F9952" s="5"/>
      <c r="G9952" s="5"/>
      <c r="H9952" s="5"/>
      <c r="I9952" s="5"/>
      <c r="J9952" s="5"/>
      <c r="K9952" s="5"/>
    </row>
    <row r="9953" spans="3:11" x14ac:dyDescent="0.35">
      <c r="C9953" s="112"/>
      <c r="D9953" s="5"/>
      <c r="E9953" s="5"/>
      <c r="F9953" s="5"/>
      <c r="G9953" s="5"/>
      <c r="H9953" s="5"/>
      <c r="I9953" s="5"/>
      <c r="J9953" s="5"/>
      <c r="K9953" s="5"/>
    </row>
    <row r="9954" spans="3:11" x14ac:dyDescent="0.35">
      <c r="C9954" s="112"/>
      <c r="D9954" s="5"/>
      <c r="E9954" s="5"/>
      <c r="F9954" s="5"/>
      <c r="G9954" s="5"/>
      <c r="H9954" s="5"/>
      <c r="I9954" s="5"/>
      <c r="J9954" s="5"/>
      <c r="K9954" s="5"/>
    </row>
    <row r="9955" spans="3:11" x14ac:dyDescent="0.35">
      <c r="C9955" s="112"/>
      <c r="D9955" s="5"/>
      <c r="E9955" s="5"/>
      <c r="F9955" s="5"/>
      <c r="G9955" s="5"/>
      <c r="H9955" s="5"/>
      <c r="I9955" s="5"/>
      <c r="J9955" s="5"/>
      <c r="K9955" s="5"/>
    </row>
    <row r="9956" spans="3:11" x14ac:dyDescent="0.35">
      <c r="C9956" s="112"/>
      <c r="D9956" s="5"/>
      <c r="E9956" s="5"/>
      <c r="F9956" s="5"/>
      <c r="G9956" s="5"/>
      <c r="H9956" s="5"/>
      <c r="I9956" s="5"/>
      <c r="J9956" s="5"/>
      <c r="K9956" s="5"/>
    </row>
    <row r="9957" spans="3:11" x14ac:dyDescent="0.35">
      <c r="C9957" s="112"/>
      <c r="D9957" s="5"/>
      <c r="E9957" s="5"/>
      <c r="F9957" s="5"/>
      <c r="G9957" s="5"/>
      <c r="H9957" s="5"/>
      <c r="I9957" s="5"/>
      <c r="J9957" s="5"/>
      <c r="K9957" s="5"/>
    </row>
    <row r="9958" spans="3:11" x14ac:dyDescent="0.35">
      <c r="C9958" s="112"/>
      <c r="D9958" s="5"/>
      <c r="E9958" s="5"/>
      <c r="F9958" s="5"/>
      <c r="G9958" s="5"/>
      <c r="H9958" s="5"/>
      <c r="I9958" s="5"/>
      <c r="J9958" s="5"/>
      <c r="K9958" s="5"/>
    </row>
    <row r="9959" spans="3:11" x14ac:dyDescent="0.35">
      <c r="C9959" s="112"/>
      <c r="D9959" s="5"/>
      <c r="E9959" s="5"/>
      <c r="F9959" s="5"/>
      <c r="G9959" s="5"/>
      <c r="H9959" s="5"/>
      <c r="I9959" s="5"/>
      <c r="J9959" s="5"/>
      <c r="K9959" s="5"/>
    </row>
    <row r="9960" spans="3:11" x14ac:dyDescent="0.35">
      <c r="C9960" s="112"/>
      <c r="D9960" s="5"/>
      <c r="E9960" s="5"/>
      <c r="F9960" s="5"/>
      <c r="G9960" s="5"/>
      <c r="H9960" s="5"/>
      <c r="I9960" s="5"/>
      <c r="J9960" s="5"/>
      <c r="K9960" s="5"/>
    </row>
    <row r="9961" spans="3:11" x14ac:dyDescent="0.35">
      <c r="C9961" s="112"/>
      <c r="D9961" s="5"/>
      <c r="E9961" s="5"/>
      <c r="F9961" s="5"/>
      <c r="G9961" s="5"/>
      <c r="H9961" s="5"/>
      <c r="I9961" s="5"/>
      <c r="J9961" s="5"/>
      <c r="K9961" s="5"/>
    </row>
    <row r="9962" spans="3:11" x14ac:dyDescent="0.35">
      <c r="C9962" s="112"/>
      <c r="D9962" s="5"/>
      <c r="E9962" s="5"/>
      <c r="F9962" s="5"/>
      <c r="G9962" s="5"/>
      <c r="H9962" s="5"/>
      <c r="I9962" s="5"/>
      <c r="J9962" s="5"/>
      <c r="K9962" s="5"/>
    </row>
    <row r="9963" spans="3:11" x14ac:dyDescent="0.35">
      <c r="C9963" s="112"/>
      <c r="D9963" s="5"/>
      <c r="E9963" s="5"/>
      <c r="F9963" s="5"/>
      <c r="G9963" s="5"/>
      <c r="H9963" s="5"/>
      <c r="I9963" s="5"/>
      <c r="J9963" s="5"/>
      <c r="K9963" s="5"/>
    </row>
    <row r="9964" spans="3:11" x14ac:dyDescent="0.35">
      <c r="C9964" s="112"/>
      <c r="D9964" s="5"/>
      <c r="E9964" s="5"/>
      <c r="F9964" s="5"/>
      <c r="G9964" s="5"/>
      <c r="H9964" s="5"/>
      <c r="I9964" s="5"/>
      <c r="J9964" s="5"/>
      <c r="K9964" s="5"/>
    </row>
    <row r="9965" spans="3:11" x14ac:dyDescent="0.35">
      <c r="C9965" s="112"/>
      <c r="D9965" s="5"/>
      <c r="E9965" s="5"/>
      <c r="F9965" s="5"/>
      <c r="G9965" s="5"/>
      <c r="H9965" s="5"/>
      <c r="I9965" s="5"/>
      <c r="J9965" s="5"/>
      <c r="K9965" s="5"/>
    </row>
    <row r="9966" spans="3:11" x14ac:dyDescent="0.35">
      <c r="C9966" s="112"/>
      <c r="D9966" s="5"/>
      <c r="E9966" s="5"/>
      <c r="F9966" s="5"/>
      <c r="G9966" s="5"/>
      <c r="H9966" s="5"/>
      <c r="I9966" s="5"/>
      <c r="J9966" s="5"/>
      <c r="K9966" s="5"/>
    </row>
    <row r="9967" spans="3:11" x14ac:dyDescent="0.35">
      <c r="C9967" s="112"/>
      <c r="D9967" s="5"/>
      <c r="E9967" s="5"/>
      <c r="F9967" s="5"/>
      <c r="G9967" s="5"/>
      <c r="H9967" s="5"/>
      <c r="I9967" s="5"/>
      <c r="J9967" s="5"/>
      <c r="K9967" s="5"/>
    </row>
    <row r="9968" spans="3:11" x14ac:dyDescent="0.35">
      <c r="C9968" s="112"/>
      <c r="D9968" s="5"/>
      <c r="E9968" s="5"/>
      <c r="F9968" s="5"/>
      <c r="G9968" s="5"/>
      <c r="H9968" s="5"/>
      <c r="I9968" s="5"/>
      <c r="J9968" s="5"/>
      <c r="K9968" s="5"/>
    </row>
    <row r="9969" spans="3:11" x14ac:dyDescent="0.35">
      <c r="C9969" s="112"/>
      <c r="D9969" s="5"/>
      <c r="E9969" s="5"/>
      <c r="F9969" s="5"/>
      <c r="G9969" s="5"/>
      <c r="H9969" s="5"/>
      <c r="I9969" s="5"/>
      <c r="J9969" s="5"/>
      <c r="K9969" s="5"/>
    </row>
    <row r="9970" spans="3:11" x14ac:dyDescent="0.35">
      <c r="C9970" s="112"/>
      <c r="D9970" s="5"/>
      <c r="E9970" s="5"/>
      <c r="F9970" s="5"/>
      <c r="G9970" s="5"/>
      <c r="H9970" s="5"/>
      <c r="I9970" s="5"/>
      <c r="J9970" s="5"/>
      <c r="K9970" s="5"/>
    </row>
    <row r="9971" spans="3:11" x14ac:dyDescent="0.35">
      <c r="C9971" s="112"/>
      <c r="D9971" s="5"/>
      <c r="E9971" s="5"/>
      <c r="F9971" s="5"/>
      <c r="G9971" s="5"/>
      <c r="H9971" s="5"/>
      <c r="I9971" s="5"/>
      <c r="J9971" s="5"/>
      <c r="K9971" s="5"/>
    </row>
    <row r="9972" spans="3:11" x14ac:dyDescent="0.35">
      <c r="C9972" s="112"/>
      <c r="D9972" s="5"/>
      <c r="E9972" s="5"/>
      <c r="F9972" s="5"/>
      <c r="G9972" s="5"/>
      <c r="H9972" s="5"/>
      <c r="I9972" s="5"/>
      <c r="J9972" s="5"/>
      <c r="K9972" s="5"/>
    </row>
    <row r="9973" spans="3:11" x14ac:dyDescent="0.35">
      <c r="C9973" s="112"/>
      <c r="D9973" s="5"/>
      <c r="E9973" s="5"/>
      <c r="F9973" s="5"/>
      <c r="G9973" s="5"/>
      <c r="H9973" s="5"/>
      <c r="I9973" s="5"/>
      <c r="J9973" s="5"/>
      <c r="K9973" s="5"/>
    </row>
    <row r="9974" spans="3:11" x14ac:dyDescent="0.35">
      <c r="C9974" s="112"/>
      <c r="D9974" s="5"/>
      <c r="E9974" s="5"/>
      <c r="F9974" s="5"/>
      <c r="G9974" s="5"/>
      <c r="H9974" s="5"/>
      <c r="I9974" s="5"/>
      <c r="J9974" s="5"/>
      <c r="K9974" s="5"/>
    </row>
    <row r="9975" spans="3:11" x14ac:dyDescent="0.35">
      <c r="C9975" s="112"/>
      <c r="D9975" s="5"/>
      <c r="E9975" s="5"/>
      <c r="F9975" s="5"/>
      <c r="G9975" s="5"/>
      <c r="H9975" s="5"/>
      <c r="I9975" s="5"/>
      <c r="J9975" s="5"/>
      <c r="K9975" s="5"/>
    </row>
    <row r="9976" spans="3:11" x14ac:dyDescent="0.35">
      <c r="C9976" s="112"/>
      <c r="D9976" s="5"/>
      <c r="E9976" s="5"/>
      <c r="F9976" s="5"/>
      <c r="G9976" s="5"/>
      <c r="H9976" s="5"/>
      <c r="I9976" s="5"/>
      <c r="J9976" s="5"/>
      <c r="K9976" s="5"/>
    </row>
    <row r="9977" spans="3:11" x14ac:dyDescent="0.35">
      <c r="C9977" s="112"/>
      <c r="D9977" s="5"/>
      <c r="E9977" s="5"/>
      <c r="F9977" s="5"/>
      <c r="G9977" s="5"/>
      <c r="H9977" s="5"/>
      <c r="I9977" s="5"/>
      <c r="J9977" s="5"/>
      <c r="K9977" s="5"/>
    </row>
    <row r="9978" spans="3:11" x14ac:dyDescent="0.35">
      <c r="C9978" s="112"/>
      <c r="D9978" s="5"/>
      <c r="E9978" s="5"/>
      <c r="F9978" s="5"/>
      <c r="G9978" s="5"/>
      <c r="H9978" s="5"/>
      <c r="I9978" s="5"/>
      <c r="J9978" s="5"/>
      <c r="K9978" s="5"/>
    </row>
    <row r="9979" spans="3:11" x14ac:dyDescent="0.35">
      <c r="C9979" s="112"/>
      <c r="D9979" s="5"/>
      <c r="E9979" s="5"/>
      <c r="F9979" s="5"/>
      <c r="G9979" s="5"/>
      <c r="H9979" s="5"/>
      <c r="I9979" s="5"/>
      <c r="J9979" s="5"/>
      <c r="K9979" s="5"/>
    </row>
    <row r="9980" spans="3:11" x14ac:dyDescent="0.35">
      <c r="C9980" s="112"/>
      <c r="D9980" s="5"/>
      <c r="E9980" s="5"/>
      <c r="F9980" s="5"/>
      <c r="G9980" s="5"/>
      <c r="H9980" s="5"/>
      <c r="I9980" s="5"/>
      <c r="J9980" s="5"/>
      <c r="K9980" s="5"/>
    </row>
    <row r="9981" spans="3:11" x14ac:dyDescent="0.35">
      <c r="C9981" s="112"/>
      <c r="D9981" s="5"/>
      <c r="E9981" s="5"/>
      <c r="F9981" s="5"/>
      <c r="G9981" s="5"/>
      <c r="H9981" s="5"/>
      <c r="I9981" s="5"/>
      <c r="J9981" s="5"/>
      <c r="K9981" s="5"/>
    </row>
    <row r="9982" spans="3:11" x14ac:dyDescent="0.35">
      <c r="C9982" s="112"/>
      <c r="D9982" s="5"/>
      <c r="E9982" s="5"/>
      <c r="F9982" s="5"/>
      <c r="G9982" s="5"/>
      <c r="H9982" s="5"/>
      <c r="I9982" s="5"/>
      <c r="J9982" s="5"/>
      <c r="K9982" s="5"/>
    </row>
    <row r="9983" spans="3:11" x14ac:dyDescent="0.35">
      <c r="C9983" s="112"/>
      <c r="D9983" s="5"/>
      <c r="E9983" s="5"/>
      <c r="F9983" s="5"/>
      <c r="G9983" s="5"/>
      <c r="H9983" s="5"/>
      <c r="I9983" s="5"/>
      <c r="J9983" s="5"/>
      <c r="K9983" s="5"/>
    </row>
    <row r="9984" spans="3:11" x14ac:dyDescent="0.35">
      <c r="C9984" s="112"/>
      <c r="D9984" s="5"/>
      <c r="E9984" s="5"/>
      <c r="F9984" s="5"/>
      <c r="G9984" s="5"/>
      <c r="H9984" s="5"/>
      <c r="I9984" s="5"/>
      <c r="J9984" s="5"/>
      <c r="K9984" s="5"/>
    </row>
    <row r="9985" spans="3:11" x14ac:dyDescent="0.35">
      <c r="C9985" s="112"/>
      <c r="D9985" s="5"/>
      <c r="E9985" s="5"/>
      <c r="F9985" s="5"/>
      <c r="G9985" s="5"/>
      <c r="H9985" s="5"/>
      <c r="I9985" s="5"/>
      <c r="J9985" s="5"/>
      <c r="K9985" s="5"/>
    </row>
    <row r="9986" spans="3:11" x14ac:dyDescent="0.35">
      <c r="C9986" s="112"/>
      <c r="D9986" s="5"/>
      <c r="E9986" s="5"/>
      <c r="F9986" s="5"/>
      <c r="G9986" s="5"/>
      <c r="H9986" s="5"/>
      <c r="I9986" s="5"/>
      <c r="J9986" s="5"/>
      <c r="K9986" s="5"/>
    </row>
    <row r="9987" spans="3:11" x14ac:dyDescent="0.35">
      <c r="C9987" s="112"/>
      <c r="D9987" s="5"/>
      <c r="E9987" s="5"/>
      <c r="F9987" s="5"/>
      <c r="G9987" s="5"/>
      <c r="H9987" s="5"/>
      <c r="I9987" s="5"/>
      <c r="J9987" s="5"/>
      <c r="K9987" s="5"/>
    </row>
    <row r="9988" spans="3:11" x14ac:dyDescent="0.35">
      <c r="C9988" s="112"/>
      <c r="D9988" s="5"/>
      <c r="E9988" s="5"/>
      <c r="F9988" s="5"/>
      <c r="G9988" s="5"/>
      <c r="H9988" s="5"/>
      <c r="I9988" s="5"/>
      <c r="J9988" s="5"/>
      <c r="K9988" s="5"/>
    </row>
    <row r="9989" spans="3:11" x14ac:dyDescent="0.35">
      <c r="C9989" s="112"/>
      <c r="D9989" s="5"/>
      <c r="E9989" s="5"/>
      <c r="F9989" s="5"/>
      <c r="G9989" s="5"/>
      <c r="H9989" s="5"/>
      <c r="I9989" s="5"/>
      <c r="J9989" s="5"/>
      <c r="K9989" s="5"/>
    </row>
    <row r="9990" spans="3:11" x14ac:dyDescent="0.35">
      <c r="C9990" s="112"/>
      <c r="D9990" s="5"/>
      <c r="E9990" s="5"/>
      <c r="F9990" s="5"/>
      <c r="G9990" s="5"/>
      <c r="H9990" s="5"/>
      <c r="I9990" s="5"/>
      <c r="J9990" s="5"/>
      <c r="K9990" s="5"/>
    </row>
    <row r="9991" spans="3:11" x14ac:dyDescent="0.35">
      <c r="C9991" s="112"/>
      <c r="D9991" s="5"/>
      <c r="E9991" s="5"/>
      <c r="F9991" s="5"/>
      <c r="G9991" s="5"/>
      <c r="H9991" s="5"/>
      <c r="I9991" s="5"/>
      <c r="J9991" s="5"/>
      <c r="K9991" s="5"/>
    </row>
    <row r="9992" spans="3:11" x14ac:dyDescent="0.35">
      <c r="C9992" s="112"/>
      <c r="D9992" s="5"/>
      <c r="E9992" s="5"/>
      <c r="F9992" s="5"/>
      <c r="G9992" s="5"/>
      <c r="H9992" s="5"/>
      <c r="I9992" s="5"/>
      <c r="J9992" s="5"/>
      <c r="K9992" s="5"/>
    </row>
    <row r="9993" spans="3:11" x14ac:dyDescent="0.35">
      <c r="C9993" s="112"/>
      <c r="D9993" s="5"/>
      <c r="E9993" s="5"/>
      <c r="F9993" s="5"/>
      <c r="G9993" s="5"/>
      <c r="H9993" s="5"/>
      <c r="I9993" s="5"/>
      <c r="J9993" s="5"/>
      <c r="K9993" s="5"/>
    </row>
    <row r="9994" spans="3:11" x14ac:dyDescent="0.35">
      <c r="C9994" s="112"/>
      <c r="D9994" s="5"/>
      <c r="E9994" s="5"/>
      <c r="F9994" s="5"/>
      <c r="G9994" s="5"/>
      <c r="H9994" s="5"/>
      <c r="I9994" s="5"/>
      <c r="J9994" s="5"/>
      <c r="K9994" s="5"/>
    </row>
    <row r="9995" spans="3:11" x14ac:dyDescent="0.35">
      <c r="C9995" s="112"/>
      <c r="D9995" s="5"/>
      <c r="E9995" s="5"/>
      <c r="F9995" s="5"/>
      <c r="G9995" s="5"/>
      <c r="H9995" s="5"/>
      <c r="I9995" s="5"/>
      <c r="J9995" s="5"/>
      <c r="K9995" s="5"/>
    </row>
    <row r="9996" spans="3:11" x14ac:dyDescent="0.35">
      <c r="C9996" s="112"/>
      <c r="D9996" s="5"/>
      <c r="E9996" s="5"/>
      <c r="F9996" s="5"/>
      <c r="G9996" s="5"/>
      <c r="H9996" s="5"/>
      <c r="I9996" s="5"/>
      <c r="J9996" s="5"/>
      <c r="K9996" s="5"/>
    </row>
    <row r="9997" spans="3:11" x14ac:dyDescent="0.35">
      <c r="C9997" s="112"/>
      <c r="D9997" s="5"/>
      <c r="E9997" s="5"/>
      <c r="F9997" s="5"/>
      <c r="G9997" s="5"/>
      <c r="H9997" s="5"/>
      <c r="I9997" s="5"/>
      <c r="J9997" s="5"/>
      <c r="K9997" s="5"/>
    </row>
    <row r="9998" spans="3:11" x14ac:dyDescent="0.35">
      <c r="C9998" s="112"/>
      <c r="D9998" s="5"/>
      <c r="E9998" s="5"/>
      <c r="F9998" s="5"/>
      <c r="G9998" s="5"/>
      <c r="H9998" s="5"/>
      <c r="I9998" s="5"/>
      <c r="J9998" s="5"/>
      <c r="K9998" s="5"/>
    </row>
    <row r="9999" spans="3:11" x14ac:dyDescent="0.35">
      <c r="C9999" s="112"/>
      <c r="D9999" s="5"/>
      <c r="E9999" s="5"/>
      <c r="F9999" s="5"/>
      <c r="G9999" s="5"/>
      <c r="H9999" s="5"/>
      <c r="I9999" s="5"/>
      <c r="J9999" s="5"/>
      <c r="K9999" s="5"/>
    </row>
    <row r="10000" spans="3:11" x14ac:dyDescent="0.35">
      <c r="C10000" s="112"/>
      <c r="D10000" s="5"/>
      <c r="E10000" s="5"/>
      <c r="F10000" s="5"/>
      <c r="G10000" s="5"/>
      <c r="H10000" s="5"/>
      <c r="I10000" s="5"/>
      <c r="J10000" s="5"/>
      <c r="K10000" s="5"/>
    </row>
    <row r="10001" spans="3:11" x14ac:dyDescent="0.35">
      <c r="C10001" s="112"/>
      <c r="D10001" s="5"/>
      <c r="E10001" s="5"/>
      <c r="F10001" s="5"/>
      <c r="G10001" s="5"/>
      <c r="H10001" s="5"/>
      <c r="I10001" s="5"/>
      <c r="J10001" s="5"/>
      <c r="K10001" s="5"/>
    </row>
    <row r="10002" spans="3:11" x14ac:dyDescent="0.35">
      <c r="C10002" s="112"/>
      <c r="D10002" s="5"/>
      <c r="E10002" s="5"/>
      <c r="F10002" s="5"/>
      <c r="G10002" s="5"/>
      <c r="H10002" s="5"/>
      <c r="I10002" s="5"/>
      <c r="J10002" s="5"/>
      <c r="K10002" s="5"/>
    </row>
    <row r="10003" spans="3:11" x14ac:dyDescent="0.35">
      <c r="C10003" s="112"/>
      <c r="D10003" s="5"/>
      <c r="E10003" s="5"/>
      <c r="F10003" s="5"/>
      <c r="G10003" s="5"/>
      <c r="H10003" s="5"/>
      <c r="I10003" s="5"/>
      <c r="J10003" s="5"/>
      <c r="K10003" s="5"/>
    </row>
    <row r="10004" spans="3:11" x14ac:dyDescent="0.35">
      <c r="C10004" s="112"/>
      <c r="D10004" s="5"/>
      <c r="E10004" s="5"/>
      <c r="F10004" s="5"/>
      <c r="G10004" s="5"/>
      <c r="H10004" s="5"/>
      <c r="I10004" s="5"/>
      <c r="J10004" s="5"/>
      <c r="K10004" s="5"/>
    </row>
    <row r="10005" spans="3:11" x14ac:dyDescent="0.35">
      <c r="C10005" s="112"/>
      <c r="D10005" s="5"/>
      <c r="E10005" s="5"/>
      <c r="F10005" s="5"/>
      <c r="G10005" s="5"/>
      <c r="H10005" s="5"/>
      <c r="I10005" s="5"/>
      <c r="J10005" s="5"/>
      <c r="K10005" s="5"/>
    </row>
    <row r="10006" spans="3:11" x14ac:dyDescent="0.35">
      <c r="C10006" s="112"/>
      <c r="D10006" s="5"/>
      <c r="E10006" s="5"/>
      <c r="F10006" s="5"/>
      <c r="G10006" s="5"/>
      <c r="H10006" s="5"/>
      <c r="I10006" s="5"/>
      <c r="J10006" s="5"/>
      <c r="K10006" s="5"/>
    </row>
    <row r="10007" spans="3:11" x14ac:dyDescent="0.35">
      <c r="C10007" s="112"/>
      <c r="D10007" s="5"/>
      <c r="E10007" s="5"/>
      <c r="F10007" s="5"/>
      <c r="G10007" s="5"/>
      <c r="H10007" s="5"/>
      <c r="I10007" s="5"/>
      <c r="J10007" s="5"/>
      <c r="K10007" s="5"/>
    </row>
    <row r="10008" spans="3:11" x14ac:dyDescent="0.35">
      <c r="C10008" s="112"/>
      <c r="D10008" s="5"/>
      <c r="E10008" s="5"/>
      <c r="F10008" s="5"/>
      <c r="G10008" s="5"/>
      <c r="H10008" s="5"/>
      <c r="I10008" s="5"/>
      <c r="J10008" s="5"/>
      <c r="K10008" s="5"/>
    </row>
    <row r="10009" spans="3:11" x14ac:dyDescent="0.35">
      <c r="C10009" s="112"/>
      <c r="D10009" s="5"/>
      <c r="E10009" s="5"/>
      <c r="F10009" s="5"/>
      <c r="G10009" s="5"/>
      <c r="H10009" s="5"/>
      <c r="I10009" s="5"/>
      <c r="J10009" s="5"/>
      <c r="K10009" s="5"/>
    </row>
    <row r="10010" spans="3:11" x14ac:dyDescent="0.35">
      <c r="C10010" s="112"/>
      <c r="D10010" s="5"/>
      <c r="E10010" s="5"/>
      <c r="F10010" s="5"/>
      <c r="G10010" s="5"/>
      <c r="H10010" s="5"/>
      <c r="I10010" s="5"/>
      <c r="J10010" s="5"/>
      <c r="K10010" s="5"/>
    </row>
    <row r="10011" spans="3:11" x14ac:dyDescent="0.35">
      <c r="C10011" s="112"/>
      <c r="D10011" s="5"/>
      <c r="E10011" s="5"/>
      <c r="F10011" s="5"/>
      <c r="G10011" s="5"/>
      <c r="H10011" s="5"/>
      <c r="I10011" s="5"/>
      <c r="J10011" s="5"/>
      <c r="K10011" s="5"/>
    </row>
    <row r="10012" spans="3:11" x14ac:dyDescent="0.35">
      <c r="C10012" s="112"/>
      <c r="D10012" s="5"/>
      <c r="E10012" s="5"/>
      <c r="F10012" s="5"/>
      <c r="G10012" s="5"/>
      <c r="H10012" s="5"/>
      <c r="I10012" s="5"/>
      <c r="J10012" s="5"/>
      <c r="K10012" s="5"/>
    </row>
    <row r="10013" spans="3:11" x14ac:dyDescent="0.35">
      <c r="C10013" s="112"/>
      <c r="D10013" s="5"/>
      <c r="E10013" s="5"/>
      <c r="F10013" s="5"/>
      <c r="G10013" s="5"/>
      <c r="H10013" s="5"/>
      <c r="I10013" s="5"/>
      <c r="J10013" s="5"/>
      <c r="K10013" s="5"/>
    </row>
    <row r="10014" spans="3:11" x14ac:dyDescent="0.35">
      <c r="C10014" s="112"/>
      <c r="D10014" s="5"/>
      <c r="E10014" s="5"/>
      <c r="F10014" s="5"/>
      <c r="G10014" s="5"/>
      <c r="H10014" s="5"/>
      <c r="I10014" s="5"/>
      <c r="J10014" s="5"/>
      <c r="K10014" s="5"/>
    </row>
    <row r="10015" spans="3:11" x14ac:dyDescent="0.35">
      <c r="C10015" s="112"/>
      <c r="D10015" s="5"/>
      <c r="E10015" s="5"/>
      <c r="F10015" s="5"/>
      <c r="G10015" s="5"/>
      <c r="H10015" s="5"/>
      <c r="I10015" s="5"/>
      <c r="J10015" s="5"/>
      <c r="K10015" s="5"/>
    </row>
    <row r="10016" spans="3:11" x14ac:dyDescent="0.35">
      <c r="C10016" s="112"/>
      <c r="D10016" s="5"/>
      <c r="E10016" s="5"/>
      <c r="F10016" s="5"/>
      <c r="G10016" s="5"/>
      <c r="H10016" s="5"/>
      <c r="I10016" s="5"/>
      <c r="J10016" s="5"/>
      <c r="K10016" s="5"/>
    </row>
    <row r="10017" spans="3:11" x14ac:dyDescent="0.35">
      <c r="C10017" s="112"/>
      <c r="D10017" s="5"/>
      <c r="E10017" s="5"/>
      <c r="F10017" s="5"/>
      <c r="G10017" s="5"/>
      <c r="H10017" s="5"/>
      <c r="I10017" s="5"/>
      <c r="J10017" s="5"/>
      <c r="K10017" s="5"/>
    </row>
    <row r="10018" spans="3:11" x14ac:dyDescent="0.35">
      <c r="C10018" s="112"/>
      <c r="D10018" s="5"/>
      <c r="E10018" s="5"/>
      <c r="F10018" s="5"/>
      <c r="G10018" s="5"/>
      <c r="H10018" s="5"/>
      <c r="I10018" s="5"/>
      <c r="J10018" s="5"/>
      <c r="K10018" s="5"/>
    </row>
    <row r="10019" spans="3:11" x14ac:dyDescent="0.35">
      <c r="C10019" s="112"/>
      <c r="D10019" s="5"/>
      <c r="E10019" s="5"/>
      <c r="F10019" s="5"/>
      <c r="G10019" s="5"/>
      <c r="H10019" s="5"/>
      <c r="I10019" s="5"/>
      <c r="J10019" s="5"/>
      <c r="K10019" s="5"/>
    </row>
    <row r="10020" spans="3:11" x14ac:dyDescent="0.35">
      <c r="C10020" s="112"/>
      <c r="D10020" s="5"/>
      <c r="E10020" s="5"/>
      <c r="F10020" s="5"/>
      <c r="G10020" s="5"/>
      <c r="H10020" s="5"/>
      <c r="I10020" s="5"/>
      <c r="J10020" s="5"/>
      <c r="K10020" s="5"/>
    </row>
    <row r="10021" spans="3:11" x14ac:dyDescent="0.35">
      <c r="C10021" s="112"/>
      <c r="D10021" s="5"/>
      <c r="E10021" s="5"/>
      <c r="F10021" s="5"/>
      <c r="G10021" s="5"/>
      <c r="H10021" s="5"/>
      <c r="I10021" s="5"/>
      <c r="J10021" s="5"/>
      <c r="K10021" s="5"/>
    </row>
    <row r="10022" spans="3:11" x14ac:dyDescent="0.35">
      <c r="C10022" s="112"/>
      <c r="D10022" s="5"/>
      <c r="E10022" s="5"/>
      <c r="F10022" s="5"/>
      <c r="G10022" s="5"/>
      <c r="H10022" s="5"/>
      <c r="I10022" s="5"/>
      <c r="J10022" s="5"/>
      <c r="K10022" s="5"/>
    </row>
    <row r="10023" spans="3:11" x14ac:dyDescent="0.35">
      <c r="C10023" s="112"/>
      <c r="D10023" s="5"/>
      <c r="E10023" s="5"/>
      <c r="F10023" s="5"/>
      <c r="G10023" s="5"/>
      <c r="H10023" s="5"/>
      <c r="I10023" s="5"/>
      <c r="J10023" s="5"/>
      <c r="K10023" s="5"/>
    </row>
    <row r="10024" spans="3:11" x14ac:dyDescent="0.35">
      <c r="C10024" s="112"/>
      <c r="D10024" s="5"/>
      <c r="E10024" s="5"/>
      <c r="F10024" s="5"/>
      <c r="G10024" s="5"/>
      <c r="H10024" s="5"/>
      <c r="I10024" s="5"/>
      <c r="J10024" s="5"/>
      <c r="K10024" s="5"/>
    </row>
    <row r="10025" spans="3:11" x14ac:dyDescent="0.35">
      <c r="C10025" s="112"/>
      <c r="D10025" s="5"/>
      <c r="E10025" s="5"/>
      <c r="F10025" s="5"/>
      <c r="G10025" s="5"/>
      <c r="H10025" s="5"/>
      <c r="I10025" s="5"/>
      <c r="J10025" s="5"/>
      <c r="K10025" s="5"/>
    </row>
    <row r="10026" spans="3:11" x14ac:dyDescent="0.35">
      <c r="C10026" s="112"/>
      <c r="D10026" s="5"/>
      <c r="E10026" s="5"/>
      <c r="F10026" s="5"/>
      <c r="G10026" s="5"/>
      <c r="H10026" s="5"/>
      <c r="I10026" s="5"/>
      <c r="J10026" s="5"/>
      <c r="K10026" s="5"/>
    </row>
    <row r="10027" spans="3:11" x14ac:dyDescent="0.35">
      <c r="C10027" s="112"/>
      <c r="D10027" s="5"/>
      <c r="E10027" s="5"/>
      <c r="F10027" s="5"/>
      <c r="G10027" s="5"/>
      <c r="H10027" s="5"/>
      <c r="I10027" s="5"/>
      <c r="J10027" s="5"/>
      <c r="K10027" s="5"/>
    </row>
    <row r="10028" spans="3:11" x14ac:dyDescent="0.35">
      <c r="C10028" s="112"/>
      <c r="D10028" s="5"/>
      <c r="E10028" s="5"/>
      <c r="F10028" s="5"/>
      <c r="G10028" s="5"/>
      <c r="H10028" s="5"/>
      <c r="I10028" s="5"/>
      <c r="J10028" s="5"/>
      <c r="K10028" s="5"/>
    </row>
    <row r="10029" spans="3:11" x14ac:dyDescent="0.35">
      <c r="C10029" s="112"/>
      <c r="D10029" s="5"/>
      <c r="E10029" s="5"/>
      <c r="F10029" s="5"/>
      <c r="G10029" s="5"/>
      <c r="H10029" s="5"/>
      <c r="I10029" s="5"/>
      <c r="J10029" s="5"/>
      <c r="K10029" s="5"/>
    </row>
    <row r="10030" spans="3:11" x14ac:dyDescent="0.35">
      <c r="C10030" s="112"/>
      <c r="D10030" s="5"/>
      <c r="E10030" s="5"/>
      <c r="F10030" s="5"/>
      <c r="G10030" s="5"/>
      <c r="H10030" s="5"/>
      <c r="I10030" s="5"/>
      <c r="J10030" s="5"/>
      <c r="K10030" s="5"/>
    </row>
    <row r="10031" spans="3:11" x14ac:dyDescent="0.35">
      <c r="C10031" s="112"/>
      <c r="D10031" s="5"/>
      <c r="E10031" s="5"/>
      <c r="F10031" s="5"/>
      <c r="G10031" s="5"/>
      <c r="H10031" s="5"/>
      <c r="I10031" s="5"/>
      <c r="J10031" s="5"/>
      <c r="K10031" s="5"/>
    </row>
    <row r="10032" spans="3:11" x14ac:dyDescent="0.35">
      <c r="C10032" s="112"/>
      <c r="D10032" s="5"/>
      <c r="E10032" s="5"/>
      <c r="F10032" s="5"/>
      <c r="G10032" s="5"/>
      <c r="H10032" s="5"/>
      <c r="I10032" s="5"/>
      <c r="J10032" s="5"/>
      <c r="K10032" s="5"/>
    </row>
    <row r="10033" spans="3:11" x14ac:dyDescent="0.35">
      <c r="C10033" s="112"/>
      <c r="D10033" s="5"/>
      <c r="E10033" s="5"/>
      <c r="F10033" s="5"/>
      <c r="G10033" s="5"/>
      <c r="H10033" s="5"/>
      <c r="I10033" s="5"/>
      <c r="J10033" s="5"/>
      <c r="K10033" s="5"/>
    </row>
    <row r="10034" spans="3:11" x14ac:dyDescent="0.35">
      <c r="C10034" s="112"/>
      <c r="D10034" s="5"/>
      <c r="E10034" s="5"/>
      <c r="F10034" s="5"/>
      <c r="G10034" s="5"/>
      <c r="H10034" s="5"/>
      <c r="I10034" s="5"/>
      <c r="J10034" s="5"/>
      <c r="K10034" s="5"/>
    </row>
    <row r="10035" spans="3:11" x14ac:dyDescent="0.35">
      <c r="C10035" s="112"/>
      <c r="D10035" s="5"/>
      <c r="E10035" s="5"/>
      <c r="F10035" s="5"/>
      <c r="G10035" s="5"/>
      <c r="H10035" s="5"/>
      <c r="I10035" s="5"/>
      <c r="J10035" s="5"/>
      <c r="K10035" s="5"/>
    </row>
    <row r="10036" spans="3:11" x14ac:dyDescent="0.35">
      <c r="C10036" s="112"/>
      <c r="D10036" s="5"/>
      <c r="E10036" s="5"/>
      <c r="F10036" s="5"/>
      <c r="G10036" s="5"/>
      <c r="H10036" s="5"/>
      <c r="I10036" s="5"/>
      <c r="J10036" s="5"/>
      <c r="K10036" s="5"/>
    </row>
    <row r="10037" spans="3:11" x14ac:dyDescent="0.35">
      <c r="C10037" s="112"/>
      <c r="D10037" s="5"/>
      <c r="E10037" s="5"/>
      <c r="F10037" s="5"/>
      <c r="G10037" s="5"/>
      <c r="H10037" s="5"/>
      <c r="I10037" s="5"/>
      <c r="J10037" s="5"/>
      <c r="K10037" s="5"/>
    </row>
    <row r="10038" spans="3:11" x14ac:dyDescent="0.35">
      <c r="C10038" s="112"/>
      <c r="D10038" s="5"/>
      <c r="E10038" s="5"/>
      <c r="F10038" s="5"/>
      <c r="G10038" s="5"/>
      <c r="H10038" s="5"/>
      <c r="I10038" s="5"/>
      <c r="J10038" s="5"/>
      <c r="K10038" s="5"/>
    </row>
    <row r="10039" spans="3:11" x14ac:dyDescent="0.35">
      <c r="C10039" s="112"/>
      <c r="D10039" s="5"/>
      <c r="E10039" s="5"/>
      <c r="F10039" s="5"/>
      <c r="G10039" s="5"/>
      <c r="H10039" s="5"/>
      <c r="I10039" s="5"/>
      <c r="J10039" s="5"/>
      <c r="K10039" s="5"/>
    </row>
    <row r="10040" spans="3:11" x14ac:dyDescent="0.35">
      <c r="C10040" s="112"/>
      <c r="D10040" s="5"/>
      <c r="E10040" s="5"/>
      <c r="F10040" s="5"/>
      <c r="G10040" s="5"/>
      <c r="H10040" s="5"/>
      <c r="I10040" s="5"/>
      <c r="J10040" s="5"/>
      <c r="K10040" s="5"/>
    </row>
    <row r="10041" spans="3:11" x14ac:dyDescent="0.35">
      <c r="C10041" s="112"/>
      <c r="D10041" s="5"/>
      <c r="E10041" s="5"/>
      <c r="F10041" s="5"/>
      <c r="G10041" s="5"/>
      <c r="H10041" s="5"/>
      <c r="I10041" s="5"/>
      <c r="J10041" s="5"/>
      <c r="K10041" s="5"/>
    </row>
    <row r="10042" spans="3:11" x14ac:dyDescent="0.35">
      <c r="C10042" s="112"/>
      <c r="D10042" s="5"/>
      <c r="E10042" s="5"/>
      <c r="F10042" s="5"/>
      <c r="G10042" s="5"/>
      <c r="H10042" s="5"/>
      <c r="I10042" s="5"/>
      <c r="J10042" s="5"/>
      <c r="K10042" s="5"/>
    </row>
    <row r="10043" spans="3:11" x14ac:dyDescent="0.35">
      <c r="C10043" s="112"/>
      <c r="D10043" s="5"/>
      <c r="E10043" s="5"/>
      <c r="F10043" s="5"/>
      <c r="G10043" s="5"/>
      <c r="H10043" s="5"/>
      <c r="I10043" s="5"/>
      <c r="J10043" s="5"/>
      <c r="K10043" s="5"/>
    </row>
    <row r="10044" spans="3:11" x14ac:dyDescent="0.35">
      <c r="C10044" s="112"/>
      <c r="D10044" s="5"/>
      <c r="E10044" s="5"/>
      <c r="F10044" s="5"/>
      <c r="G10044" s="5"/>
      <c r="H10044" s="5"/>
      <c r="I10044" s="5"/>
      <c r="J10044" s="5"/>
      <c r="K10044" s="5"/>
    </row>
    <row r="10045" spans="3:11" x14ac:dyDescent="0.35">
      <c r="C10045" s="112"/>
      <c r="D10045" s="5"/>
      <c r="E10045" s="5"/>
      <c r="F10045" s="5"/>
      <c r="G10045" s="5"/>
      <c r="H10045" s="5"/>
      <c r="I10045" s="5"/>
      <c r="J10045" s="5"/>
      <c r="K10045" s="5"/>
    </row>
    <row r="10046" spans="3:11" x14ac:dyDescent="0.35">
      <c r="C10046" s="112"/>
      <c r="D10046" s="5"/>
      <c r="E10046" s="5"/>
      <c r="F10046" s="5"/>
      <c r="G10046" s="5"/>
      <c r="H10046" s="5"/>
      <c r="I10046" s="5"/>
      <c r="J10046" s="5"/>
      <c r="K10046" s="5"/>
    </row>
    <row r="10047" spans="3:11" x14ac:dyDescent="0.35">
      <c r="C10047" s="112"/>
      <c r="D10047" s="5"/>
      <c r="E10047" s="5"/>
      <c r="F10047" s="5"/>
      <c r="G10047" s="5"/>
      <c r="H10047" s="5"/>
      <c r="I10047" s="5"/>
      <c r="J10047" s="5"/>
      <c r="K10047" s="5"/>
    </row>
    <row r="10048" spans="3:11" x14ac:dyDescent="0.35">
      <c r="C10048" s="112"/>
      <c r="D10048" s="5"/>
      <c r="E10048" s="5"/>
      <c r="F10048" s="5"/>
      <c r="G10048" s="5"/>
      <c r="H10048" s="5"/>
      <c r="I10048" s="5"/>
      <c r="J10048" s="5"/>
      <c r="K10048" s="5"/>
    </row>
    <row r="10049" spans="3:11" x14ac:dyDescent="0.35">
      <c r="C10049" s="112"/>
      <c r="D10049" s="5"/>
      <c r="E10049" s="5"/>
      <c r="F10049" s="5"/>
      <c r="G10049" s="5"/>
      <c r="H10049" s="5"/>
      <c r="I10049" s="5"/>
      <c r="J10049" s="5"/>
      <c r="K10049" s="5"/>
    </row>
    <row r="10050" spans="3:11" x14ac:dyDescent="0.35">
      <c r="C10050" s="112"/>
      <c r="D10050" s="5"/>
      <c r="E10050" s="5"/>
      <c r="F10050" s="5"/>
      <c r="G10050" s="5"/>
      <c r="H10050" s="5"/>
      <c r="I10050" s="5"/>
      <c r="J10050" s="5"/>
      <c r="K10050" s="5"/>
    </row>
    <row r="10051" spans="3:11" x14ac:dyDescent="0.35">
      <c r="C10051" s="112"/>
      <c r="D10051" s="5"/>
      <c r="E10051" s="5"/>
      <c r="F10051" s="5"/>
      <c r="G10051" s="5"/>
      <c r="H10051" s="5"/>
      <c r="I10051" s="5"/>
      <c r="J10051" s="5"/>
      <c r="K10051" s="5"/>
    </row>
    <row r="10052" spans="3:11" x14ac:dyDescent="0.35">
      <c r="C10052" s="112"/>
      <c r="D10052" s="5"/>
      <c r="E10052" s="5"/>
      <c r="F10052" s="5"/>
      <c r="G10052" s="5"/>
      <c r="H10052" s="5"/>
      <c r="I10052" s="5"/>
      <c r="J10052" s="5"/>
      <c r="K10052" s="5"/>
    </row>
    <row r="10053" spans="3:11" x14ac:dyDescent="0.35">
      <c r="C10053" s="112"/>
      <c r="D10053" s="5"/>
      <c r="E10053" s="5"/>
      <c r="F10053" s="5"/>
      <c r="G10053" s="5"/>
      <c r="H10053" s="5"/>
      <c r="I10053" s="5"/>
      <c r="J10053" s="5"/>
      <c r="K10053" s="5"/>
    </row>
    <row r="10054" spans="3:11" x14ac:dyDescent="0.35">
      <c r="C10054" s="112"/>
      <c r="D10054" s="5"/>
      <c r="E10054" s="5"/>
      <c r="F10054" s="5"/>
      <c r="G10054" s="5"/>
      <c r="H10054" s="5"/>
      <c r="I10054" s="5"/>
      <c r="J10054" s="5"/>
      <c r="K10054" s="5"/>
    </row>
    <row r="10055" spans="3:11" x14ac:dyDescent="0.35">
      <c r="C10055" s="112"/>
      <c r="D10055" s="5"/>
      <c r="E10055" s="5"/>
      <c r="F10055" s="5"/>
      <c r="G10055" s="5"/>
      <c r="H10055" s="5"/>
      <c r="I10055" s="5"/>
      <c r="J10055" s="5"/>
      <c r="K10055" s="5"/>
    </row>
    <row r="10056" spans="3:11" x14ac:dyDescent="0.35">
      <c r="C10056" s="112"/>
      <c r="D10056" s="5"/>
      <c r="E10056" s="5"/>
      <c r="F10056" s="5"/>
      <c r="G10056" s="5"/>
      <c r="H10056" s="5"/>
      <c r="I10056" s="5"/>
      <c r="J10056" s="5"/>
      <c r="K10056" s="5"/>
    </row>
    <row r="10057" spans="3:11" x14ac:dyDescent="0.35">
      <c r="C10057" s="112"/>
      <c r="D10057" s="5"/>
      <c r="E10057" s="5"/>
      <c r="F10057" s="5"/>
      <c r="G10057" s="5"/>
      <c r="H10057" s="5"/>
      <c r="I10057" s="5"/>
      <c r="J10057" s="5"/>
      <c r="K10057" s="5"/>
    </row>
    <row r="10058" spans="3:11" x14ac:dyDescent="0.35">
      <c r="C10058" s="112"/>
      <c r="D10058" s="5"/>
      <c r="E10058" s="5"/>
      <c r="F10058" s="5"/>
      <c r="G10058" s="5"/>
      <c r="H10058" s="5"/>
      <c r="I10058" s="5"/>
      <c r="J10058" s="5"/>
      <c r="K10058" s="5"/>
    </row>
    <row r="10059" spans="3:11" x14ac:dyDescent="0.35">
      <c r="C10059" s="112"/>
      <c r="D10059" s="5"/>
      <c r="E10059" s="5"/>
      <c r="F10059" s="5"/>
      <c r="G10059" s="5"/>
      <c r="H10059" s="5"/>
      <c r="I10059" s="5"/>
      <c r="J10059" s="5"/>
      <c r="K10059" s="5"/>
    </row>
    <row r="10060" spans="3:11" x14ac:dyDescent="0.35">
      <c r="C10060" s="112"/>
      <c r="D10060" s="5"/>
      <c r="E10060" s="5"/>
      <c r="F10060" s="5"/>
      <c r="G10060" s="5"/>
      <c r="H10060" s="5"/>
      <c r="I10060" s="5"/>
      <c r="J10060" s="5"/>
      <c r="K10060" s="5"/>
    </row>
    <row r="10061" spans="3:11" x14ac:dyDescent="0.35">
      <c r="C10061" s="112"/>
      <c r="D10061" s="5"/>
      <c r="E10061" s="5"/>
      <c r="F10061" s="5"/>
      <c r="G10061" s="5"/>
      <c r="H10061" s="5"/>
      <c r="I10061" s="5"/>
      <c r="J10061" s="5"/>
      <c r="K10061" s="5"/>
    </row>
    <row r="10062" spans="3:11" x14ac:dyDescent="0.35">
      <c r="C10062" s="112"/>
      <c r="D10062" s="5"/>
      <c r="E10062" s="5"/>
      <c r="F10062" s="5"/>
      <c r="G10062" s="5"/>
      <c r="H10062" s="5"/>
      <c r="I10062" s="5"/>
      <c r="J10062" s="5"/>
      <c r="K10062" s="5"/>
    </row>
    <row r="10063" spans="3:11" x14ac:dyDescent="0.35">
      <c r="C10063" s="112"/>
      <c r="D10063" s="5"/>
      <c r="E10063" s="5"/>
      <c r="F10063" s="5"/>
      <c r="G10063" s="5"/>
      <c r="H10063" s="5"/>
      <c r="I10063" s="5"/>
      <c r="J10063" s="5"/>
      <c r="K10063" s="5"/>
    </row>
    <row r="10064" spans="3:11" x14ac:dyDescent="0.35">
      <c r="C10064" s="112"/>
      <c r="D10064" s="5"/>
      <c r="E10064" s="5"/>
      <c r="F10064" s="5"/>
      <c r="G10064" s="5"/>
      <c r="H10064" s="5"/>
      <c r="I10064" s="5"/>
      <c r="J10064" s="5"/>
      <c r="K10064" s="5"/>
    </row>
    <row r="10065" spans="3:11" x14ac:dyDescent="0.35">
      <c r="C10065" s="112"/>
      <c r="D10065" s="5"/>
      <c r="E10065" s="5"/>
      <c r="F10065" s="5"/>
      <c r="G10065" s="5"/>
      <c r="H10065" s="5"/>
      <c r="I10065" s="5"/>
      <c r="J10065" s="5"/>
      <c r="K10065" s="5"/>
    </row>
    <row r="10066" spans="3:11" x14ac:dyDescent="0.35">
      <c r="C10066" s="112"/>
      <c r="D10066" s="5"/>
      <c r="E10066" s="5"/>
      <c r="F10066" s="5"/>
      <c r="G10066" s="5"/>
      <c r="H10066" s="5"/>
      <c r="I10066" s="5"/>
      <c r="J10066" s="5"/>
      <c r="K10066" s="5"/>
    </row>
    <row r="10067" spans="3:11" x14ac:dyDescent="0.35">
      <c r="C10067" s="112"/>
      <c r="D10067" s="5"/>
      <c r="E10067" s="5"/>
      <c r="F10067" s="5"/>
      <c r="G10067" s="5"/>
      <c r="H10067" s="5"/>
      <c r="I10067" s="5"/>
      <c r="J10067" s="5"/>
      <c r="K10067" s="5"/>
    </row>
    <row r="10068" spans="3:11" x14ac:dyDescent="0.35">
      <c r="C10068" s="112"/>
      <c r="D10068" s="5"/>
      <c r="E10068" s="5"/>
      <c r="F10068" s="5"/>
      <c r="G10068" s="5"/>
      <c r="H10068" s="5"/>
      <c r="I10068" s="5"/>
      <c r="J10068" s="5"/>
      <c r="K10068" s="5"/>
    </row>
    <row r="10069" spans="3:11" x14ac:dyDescent="0.35">
      <c r="C10069" s="112"/>
      <c r="D10069" s="5"/>
      <c r="E10069" s="5"/>
      <c r="F10069" s="5"/>
      <c r="G10069" s="5"/>
      <c r="H10069" s="5"/>
      <c r="I10069" s="5"/>
      <c r="J10069" s="5"/>
      <c r="K10069" s="5"/>
    </row>
    <row r="10070" spans="3:11" x14ac:dyDescent="0.35">
      <c r="C10070" s="112"/>
      <c r="D10070" s="5"/>
      <c r="E10070" s="5"/>
      <c r="F10070" s="5"/>
      <c r="G10070" s="5"/>
      <c r="H10070" s="5"/>
      <c r="I10070" s="5"/>
      <c r="J10070" s="5"/>
      <c r="K10070" s="5"/>
    </row>
    <row r="10071" spans="3:11" x14ac:dyDescent="0.35">
      <c r="C10071" s="112"/>
      <c r="D10071" s="5"/>
      <c r="E10071" s="5"/>
      <c r="F10071" s="5"/>
      <c r="G10071" s="5"/>
      <c r="H10071" s="5"/>
      <c r="I10071" s="5"/>
      <c r="J10071" s="5"/>
      <c r="K10071" s="5"/>
    </row>
    <row r="10072" spans="3:11" x14ac:dyDescent="0.35">
      <c r="C10072" s="112"/>
      <c r="D10072" s="5"/>
      <c r="E10072" s="5"/>
      <c r="F10072" s="5"/>
      <c r="G10072" s="5"/>
      <c r="H10072" s="5"/>
      <c r="I10072" s="5"/>
      <c r="J10072" s="5"/>
      <c r="K10072" s="5"/>
    </row>
    <row r="10073" spans="3:11" x14ac:dyDescent="0.35">
      <c r="C10073" s="112"/>
      <c r="D10073" s="5"/>
      <c r="E10073" s="5"/>
      <c r="F10073" s="5"/>
      <c r="G10073" s="5"/>
      <c r="H10073" s="5"/>
      <c r="I10073" s="5"/>
      <c r="J10073" s="5"/>
      <c r="K10073" s="5"/>
    </row>
    <row r="10074" spans="3:11" x14ac:dyDescent="0.35">
      <c r="C10074" s="112"/>
      <c r="D10074" s="5"/>
      <c r="E10074" s="5"/>
      <c r="F10074" s="5"/>
      <c r="G10074" s="5"/>
      <c r="H10074" s="5"/>
      <c r="I10074" s="5"/>
      <c r="J10074" s="5"/>
      <c r="K10074" s="5"/>
    </row>
    <row r="10075" spans="3:11" x14ac:dyDescent="0.35">
      <c r="C10075" s="112"/>
      <c r="D10075" s="5"/>
      <c r="E10075" s="5"/>
      <c r="F10075" s="5"/>
      <c r="G10075" s="5"/>
      <c r="H10075" s="5"/>
      <c r="I10075" s="5"/>
      <c r="J10075" s="5"/>
      <c r="K10075" s="5"/>
    </row>
    <row r="10076" spans="3:11" x14ac:dyDescent="0.35">
      <c r="C10076" s="112"/>
      <c r="D10076" s="5"/>
      <c r="E10076" s="5"/>
      <c r="F10076" s="5"/>
      <c r="G10076" s="5"/>
      <c r="H10076" s="5"/>
      <c r="I10076" s="5"/>
      <c r="J10076" s="5"/>
      <c r="K10076" s="5"/>
    </row>
    <row r="10077" spans="3:11" x14ac:dyDescent="0.35">
      <c r="C10077" s="112"/>
      <c r="D10077" s="5"/>
      <c r="E10077" s="5"/>
      <c r="F10077" s="5"/>
      <c r="G10077" s="5"/>
      <c r="H10077" s="5"/>
      <c r="I10077" s="5"/>
      <c r="J10077" s="5"/>
      <c r="K10077" s="5"/>
    </row>
    <row r="10078" spans="3:11" x14ac:dyDescent="0.35">
      <c r="C10078" s="112"/>
      <c r="D10078" s="5"/>
      <c r="E10078" s="5"/>
      <c r="F10078" s="5"/>
      <c r="G10078" s="5"/>
      <c r="H10078" s="5"/>
      <c r="I10078" s="5"/>
      <c r="J10078" s="5"/>
      <c r="K10078" s="5"/>
    </row>
    <row r="10079" spans="3:11" x14ac:dyDescent="0.35">
      <c r="C10079" s="112"/>
      <c r="D10079" s="5"/>
      <c r="E10079" s="5"/>
      <c r="F10079" s="5"/>
      <c r="G10079" s="5"/>
      <c r="H10079" s="5"/>
      <c r="I10079" s="5"/>
      <c r="J10079" s="5"/>
      <c r="K10079" s="5"/>
    </row>
    <row r="10080" spans="3:11" x14ac:dyDescent="0.35">
      <c r="C10080" s="112"/>
      <c r="D10080" s="5"/>
      <c r="E10080" s="5"/>
      <c r="F10080" s="5"/>
      <c r="G10080" s="5"/>
      <c r="H10080" s="5"/>
      <c r="I10080" s="5"/>
      <c r="J10080" s="5"/>
      <c r="K10080" s="5"/>
    </row>
    <row r="10081" spans="3:11" x14ac:dyDescent="0.35">
      <c r="C10081" s="112"/>
      <c r="D10081" s="5"/>
      <c r="E10081" s="5"/>
      <c r="F10081" s="5"/>
      <c r="G10081" s="5"/>
      <c r="H10081" s="5"/>
      <c r="I10081" s="5"/>
      <c r="J10081" s="5"/>
      <c r="K10081" s="5"/>
    </row>
    <row r="10082" spans="3:11" x14ac:dyDescent="0.35">
      <c r="C10082" s="112"/>
      <c r="D10082" s="5"/>
      <c r="E10082" s="5"/>
      <c r="F10082" s="5"/>
      <c r="G10082" s="5"/>
      <c r="H10082" s="5"/>
      <c r="I10082" s="5"/>
      <c r="J10082" s="5"/>
      <c r="K10082" s="5"/>
    </row>
    <row r="10083" spans="3:11" x14ac:dyDescent="0.35">
      <c r="C10083" s="112"/>
      <c r="D10083" s="5"/>
      <c r="E10083" s="5"/>
      <c r="F10083" s="5"/>
      <c r="G10083" s="5"/>
      <c r="H10083" s="5"/>
      <c r="I10083" s="5"/>
      <c r="J10083" s="5"/>
      <c r="K10083" s="5"/>
    </row>
    <row r="10084" spans="3:11" x14ac:dyDescent="0.35">
      <c r="C10084" s="112"/>
      <c r="D10084" s="5"/>
      <c r="E10084" s="5"/>
      <c r="F10084" s="5"/>
      <c r="G10084" s="5"/>
      <c r="H10084" s="5"/>
      <c r="I10084" s="5"/>
      <c r="J10084" s="5"/>
      <c r="K10084" s="5"/>
    </row>
    <row r="10085" spans="3:11" x14ac:dyDescent="0.35">
      <c r="C10085" s="112"/>
      <c r="D10085" s="5"/>
      <c r="E10085" s="5"/>
      <c r="F10085" s="5"/>
      <c r="G10085" s="5"/>
      <c r="H10085" s="5"/>
      <c r="I10085" s="5"/>
      <c r="J10085" s="5"/>
      <c r="K10085" s="5"/>
    </row>
    <row r="10086" spans="3:11" x14ac:dyDescent="0.35">
      <c r="C10086" s="112"/>
      <c r="D10086" s="5"/>
      <c r="E10086" s="5"/>
      <c r="F10086" s="5"/>
      <c r="G10086" s="5"/>
      <c r="H10086" s="5"/>
      <c r="I10086" s="5"/>
      <c r="J10086" s="5"/>
      <c r="K10086" s="5"/>
    </row>
    <row r="10087" spans="3:11" x14ac:dyDescent="0.35">
      <c r="C10087" s="112"/>
      <c r="D10087" s="5"/>
      <c r="E10087" s="5"/>
      <c r="F10087" s="5"/>
      <c r="G10087" s="5"/>
      <c r="H10087" s="5"/>
      <c r="I10087" s="5"/>
      <c r="J10087" s="5"/>
      <c r="K10087" s="5"/>
    </row>
    <row r="10088" spans="3:11" x14ac:dyDescent="0.35">
      <c r="C10088" s="112"/>
      <c r="D10088" s="5"/>
      <c r="E10088" s="5"/>
      <c r="F10088" s="5"/>
      <c r="G10088" s="5"/>
      <c r="H10088" s="5"/>
      <c r="I10088" s="5"/>
      <c r="J10088" s="5"/>
      <c r="K10088" s="5"/>
    </row>
    <row r="10089" spans="3:11" x14ac:dyDescent="0.35">
      <c r="C10089" s="112"/>
      <c r="D10089" s="5"/>
      <c r="E10089" s="5"/>
      <c r="F10089" s="5"/>
      <c r="G10089" s="5"/>
      <c r="H10089" s="5"/>
      <c r="I10089" s="5"/>
      <c r="J10089" s="5"/>
      <c r="K10089" s="5"/>
    </row>
    <row r="10090" spans="3:11" x14ac:dyDescent="0.35">
      <c r="C10090" s="112"/>
      <c r="D10090" s="5"/>
      <c r="E10090" s="5"/>
      <c r="F10090" s="5"/>
      <c r="G10090" s="5"/>
      <c r="H10090" s="5"/>
      <c r="I10090" s="5"/>
      <c r="J10090" s="5"/>
      <c r="K10090" s="5"/>
    </row>
    <row r="10091" spans="3:11" x14ac:dyDescent="0.35">
      <c r="C10091" s="112"/>
      <c r="D10091" s="5"/>
      <c r="E10091" s="5"/>
      <c r="F10091" s="5"/>
      <c r="G10091" s="5"/>
      <c r="H10091" s="5"/>
      <c r="I10091" s="5"/>
      <c r="J10091" s="5"/>
      <c r="K10091" s="5"/>
    </row>
    <row r="10092" spans="3:11" x14ac:dyDescent="0.35">
      <c r="C10092" s="112"/>
      <c r="D10092" s="5"/>
      <c r="E10092" s="5"/>
      <c r="F10092" s="5"/>
      <c r="G10092" s="5"/>
      <c r="H10092" s="5"/>
      <c r="I10092" s="5"/>
      <c r="J10092" s="5"/>
      <c r="K10092" s="5"/>
    </row>
    <row r="10093" spans="3:11" x14ac:dyDescent="0.35">
      <c r="C10093" s="112"/>
      <c r="D10093" s="5"/>
      <c r="E10093" s="5"/>
      <c r="F10093" s="5"/>
      <c r="G10093" s="5"/>
      <c r="H10093" s="5"/>
      <c r="I10093" s="5"/>
      <c r="J10093" s="5"/>
      <c r="K10093" s="5"/>
    </row>
    <row r="10094" spans="3:11" x14ac:dyDescent="0.35">
      <c r="C10094" s="112"/>
      <c r="D10094" s="5"/>
      <c r="E10094" s="5"/>
      <c r="F10094" s="5"/>
      <c r="G10094" s="5"/>
      <c r="H10094" s="5"/>
      <c r="I10094" s="5"/>
      <c r="J10094" s="5"/>
      <c r="K10094" s="5"/>
    </row>
    <row r="10095" spans="3:11" x14ac:dyDescent="0.35">
      <c r="C10095" s="112"/>
      <c r="D10095" s="5"/>
      <c r="E10095" s="5"/>
      <c r="F10095" s="5"/>
      <c r="G10095" s="5"/>
      <c r="H10095" s="5"/>
      <c r="I10095" s="5"/>
      <c r="J10095" s="5"/>
      <c r="K10095" s="5"/>
    </row>
    <row r="10096" spans="3:11" x14ac:dyDescent="0.35">
      <c r="C10096" s="112"/>
      <c r="D10096" s="5"/>
      <c r="E10096" s="5"/>
      <c r="F10096" s="5"/>
      <c r="G10096" s="5"/>
      <c r="H10096" s="5"/>
      <c r="I10096" s="5"/>
      <c r="J10096" s="5"/>
      <c r="K10096" s="5"/>
    </row>
    <row r="10097" spans="3:11" x14ac:dyDescent="0.35">
      <c r="C10097" s="112"/>
      <c r="D10097" s="5"/>
      <c r="E10097" s="5"/>
      <c r="F10097" s="5"/>
      <c r="G10097" s="5"/>
      <c r="H10097" s="5"/>
      <c r="I10097" s="5"/>
      <c r="J10097" s="5"/>
      <c r="K10097" s="5"/>
    </row>
    <row r="10098" spans="3:11" x14ac:dyDescent="0.35">
      <c r="C10098" s="112"/>
      <c r="D10098" s="5"/>
      <c r="E10098" s="5"/>
      <c r="F10098" s="5"/>
      <c r="G10098" s="5"/>
      <c r="H10098" s="5"/>
      <c r="I10098" s="5"/>
      <c r="J10098" s="5"/>
      <c r="K10098" s="5"/>
    </row>
    <row r="10099" spans="3:11" x14ac:dyDescent="0.35">
      <c r="C10099" s="112"/>
      <c r="D10099" s="5"/>
      <c r="E10099" s="5"/>
      <c r="F10099" s="5"/>
      <c r="G10099" s="5"/>
      <c r="H10099" s="5"/>
      <c r="I10099" s="5"/>
      <c r="J10099" s="5"/>
      <c r="K10099" s="5"/>
    </row>
    <row r="10100" spans="3:11" x14ac:dyDescent="0.35">
      <c r="C10100" s="112"/>
      <c r="D10100" s="5"/>
      <c r="E10100" s="5"/>
      <c r="F10100" s="5"/>
      <c r="G10100" s="5"/>
      <c r="H10100" s="5"/>
      <c r="I10100" s="5"/>
      <c r="J10100" s="5"/>
      <c r="K10100" s="5"/>
    </row>
    <row r="10101" spans="3:11" x14ac:dyDescent="0.35">
      <c r="C10101" s="112"/>
      <c r="D10101" s="5"/>
      <c r="E10101" s="5"/>
      <c r="F10101" s="5"/>
      <c r="G10101" s="5"/>
      <c r="H10101" s="5"/>
      <c r="I10101" s="5"/>
      <c r="J10101" s="5"/>
      <c r="K10101" s="5"/>
    </row>
    <row r="10102" spans="3:11" x14ac:dyDescent="0.35">
      <c r="C10102" s="112"/>
      <c r="D10102" s="5"/>
      <c r="E10102" s="5"/>
      <c r="F10102" s="5"/>
      <c r="G10102" s="5"/>
      <c r="H10102" s="5"/>
      <c r="I10102" s="5"/>
      <c r="J10102" s="5"/>
      <c r="K10102" s="5"/>
    </row>
    <row r="10103" spans="3:11" x14ac:dyDescent="0.35">
      <c r="C10103" s="112"/>
      <c r="D10103" s="5"/>
      <c r="E10103" s="5"/>
      <c r="F10103" s="5"/>
      <c r="G10103" s="5"/>
      <c r="H10103" s="5"/>
      <c r="I10103" s="5"/>
      <c r="J10103" s="5"/>
      <c r="K10103" s="5"/>
    </row>
    <row r="10104" spans="3:11" x14ac:dyDescent="0.35">
      <c r="C10104" s="112"/>
      <c r="D10104" s="5"/>
      <c r="E10104" s="5"/>
      <c r="F10104" s="5"/>
      <c r="G10104" s="5"/>
      <c r="H10104" s="5"/>
      <c r="I10104" s="5"/>
      <c r="J10104" s="5"/>
      <c r="K10104" s="5"/>
    </row>
    <row r="10105" spans="3:11" x14ac:dyDescent="0.35">
      <c r="C10105" s="112"/>
      <c r="D10105" s="5"/>
      <c r="E10105" s="5"/>
      <c r="F10105" s="5"/>
      <c r="G10105" s="5"/>
      <c r="H10105" s="5"/>
      <c r="I10105" s="5"/>
      <c r="J10105" s="5"/>
      <c r="K10105" s="5"/>
    </row>
    <row r="10106" spans="3:11" x14ac:dyDescent="0.35">
      <c r="C10106" s="112"/>
      <c r="D10106" s="5"/>
      <c r="E10106" s="5"/>
      <c r="F10106" s="5"/>
      <c r="G10106" s="5"/>
      <c r="H10106" s="5"/>
      <c r="I10106" s="5"/>
      <c r="J10106" s="5"/>
      <c r="K10106" s="5"/>
    </row>
    <row r="10107" spans="3:11" x14ac:dyDescent="0.35">
      <c r="C10107" s="112"/>
      <c r="D10107" s="5"/>
      <c r="E10107" s="5"/>
      <c r="F10107" s="5"/>
      <c r="G10107" s="5"/>
      <c r="H10107" s="5"/>
      <c r="I10107" s="5"/>
      <c r="J10107" s="5"/>
      <c r="K10107" s="5"/>
    </row>
    <row r="10108" spans="3:11" x14ac:dyDescent="0.35">
      <c r="C10108" s="112"/>
      <c r="D10108" s="5"/>
      <c r="E10108" s="5"/>
      <c r="F10108" s="5"/>
      <c r="G10108" s="5"/>
      <c r="H10108" s="5"/>
      <c r="I10108" s="5"/>
      <c r="J10108" s="5"/>
      <c r="K10108" s="5"/>
    </row>
    <row r="10109" spans="3:11" x14ac:dyDescent="0.35">
      <c r="C10109" s="112"/>
      <c r="D10109" s="5"/>
      <c r="E10109" s="5"/>
      <c r="F10109" s="5"/>
      <c r="G10109" s="5"/>
      <c r="H10109" s="5"/>
      <c r="I10109" s="5"/>
      <c r="J10109" s="5"/>
      <c r="K10109" s="5"/>
    </row>
    <row r="10110" spans="3:11" x14ac:dyDescent="0.35">
      <c r="C10110" s="112"/>
      <c r="D10110" s="5"/>
      <c r="E10110" s="5"/>
      <c r="F10110" s="5"/>
      <c r="G10110" s="5"/>
      <c r="H10110" s="5"/>
      <c r="I10110" s="5"/>
      <c r="J10110" s="5"/>
      <c r="K10110" s="5"/>
    </row>
    <row r="10111" spans="3:11" x14ac:dyDescent="0.35">
      <c r="C10111" s="112"/>
      <c r="D10111" s="5"/>
      <c r="E10111" s="5"/>
      <c r="F10111" s="5"/>
      <c r="G10111" s="5"/>
      <c r="H10111" s="5"/>
      <c r="I10111" s="5"/>
      <c r="J10111" s="5"/>
      <c r="K10111" s="5"/>
    </row>
    <row r="10112" spans="3:11" x14ac:dyDescent="0.35">
      <c r="C10112" s="112"/>
      <c r="D10112" s="5"/>
      <c r="E10112" s="5"/>
      <c r="F10112" s="5"/>
      <c r="G10112" s="5"/>
      <c r="H10112" s="5"/>
      <c r="I10112" s="5"/>
      <c r="J10112" s="5"/>
      <c r="K10112" s="5"/>
    </row>
    <row r="10113" spans="3:11" x14ac:dyDescent="0.35">
      <c r="C10113" s="112"/>
      <c r="D10113" s="5"/>
      <c r="E10113" s="5"/>
      <c r="F10113" s="5"/>
      <c r="G10113" s="5"/>
      <c r="H10113" s="5"/>
      <c r="I10113" s="5"/>
      <c r="J10113" s="5"/>
      <c r="K10113" s="5"/>
    </row>
    <row r="10114" spans="3:11" x14ac:dyDescent="0.35">
      <c r="C10114" s="112"/>
      <c r="D10114" s="5"/>
      <c r="E10114" s="5"/>
      <c r="F10114" s="5"/>
      <c r="G10114" s="5"/>
      <c r="H10114" s="5"/>
      <c r="I10114" s="5"/>
      <c r="J10114" s="5"/>
      <c r="K10114" s="5"/>
    </row>
    <row r="10115" spans="3:11" x14ac:dyDescent="0.35">
      <c r="C10115" s="112"/>
      <c r="D10115" s="5"/>
      <c r="E10115" s="5"/>
      <c r="F10115" s="5"/>
      <c r="G10115" s="5"/>
      <c r="H10115" s="5"/>
      <c r="I10115" s="5"/>
      <c r="J10115" s="5"/>
      <c r="K10115" s="5"/>
    </row>
    <row r="10116" spans="3:11" x14ac:dyDescent="0.35">
      <c r="C10116" s="112"/>
      <c r="D10116" s="5"/>
      <c r="E10116" s="5"/>
      <c r="F10116" s="5"/>
      <c r="G10116" s="5"/>
      <c r="H10116" s="5"/>
      <c r="I10116" s="5"/>
      <c r="J10116" s="5"/>
      <c r="K10116" s="5"/>
    </row>
    <row r="10117" spans="3:11" x14ac:dyDescent="0.35">
      <c r="C10117" s="112"/>
      <c r="D10117" s="5"/>
      <c r="E10117" s="5"/>
      <c r="F10117" s="5"/>
      <c r="G10117" s="5"/>
      <c r="H10117" s="5"/>
      <c r="I10117" s="5"/>
      <c r="J10117" s="5"/>
      <c r="K10117" s="5"/>
    </row>
    <row r="10118" spans="3:11" x14ac:dyDescent="0.35">
      <c r="C10118" s="112"/>
      <c r="D10118" s="5"/>
      <c r="E10118" s="5"/>
      <c r="F10118" s="5"/>
      <c r="G10118" s="5"/>
      <c r="H10118" s="5"/>
      <c r="I10118" s="5"/>
      <c r="J10118" s="5"/>
      <c r="K10118" s="5"/>
    </row>
    <row r="10119" spans="3:11" x14ac:dyDescent="0.35">
      <c r="C10119" s="112"/>
      <c r="D10119" s="5"/>
      <c r="E10119" s="5"/>
      <c r="F10119" s="5"/>
      <c r="G10119" s="5"/>
      <c r="H10119" s="5"/>
      <c r="I10119" s="5"/>
      <c r="J10119" s="5"/>
      <c r="K10119" s="5"/>
    </row>
    <row r="10120" spans="3:11" x14ac:dyDescent="0.35">
      <c r="C10120" s="112"/>
      <c r="D10120" s="5"/>
      <c r="E10120" s="5"/>
      <c r="F10120" s="5"/>
      <c r="G10120" s="5"/>
      <c r="H10120" s="5"/>
      <c r="I10120" s="5"/>
      <c r="J10120" s="5"/>
      <c r="K10120" s="5"/>
    </row>
    <row r="10121" spans="3:11" x14ac:dyDescent="0.35">
      <c r="C10121" s="112"/>
      <c r="D10121" s="5"/>
      <c r="E10121" s="5"/>
      <c r="F10121" s="5"/>
      <c r="G10121" s="5"/>
      <c r="H10121" s="5"/>
      <c r="I10121" s="5"/>
      <c r="J10121" s="5"/>
      <c r="K10121" s="5"/>
    </row>
    <row r="10122" spans="3:11" x14ac:dyDescent="0.35">
      <c r="C10122" s="112"/>
      <c r="D10122" s="5"/>
      <c r="E10122" s="5"/>
      <c r="F10122" s="5"/>
      <c r="G10122" s="5"/>
      <c r="H10122" s="5"/>
      <c r="I10122" s="5"/>
      <c r="J10122" s="5"/>
      <c r="K10122" s="5"/>
    </row>
    <row r="10123" spans="3:11" x14ac:dyDescent="0.35">
      <c r="C10123" s="112"/>
      <c r="D10123" s="5"/>
      <c r="E10123" s="5"/>
      <c r="F10123" s="5"/>
      <c r="G10123" s="5"/>
      <c r="H10123" s="5"/>
      <c r="I10123" s="5"/>
      <c r="J10123" s="5"/>
      <c r="K10123" s="5"/>
    </row>
    <row r="10124" spans="3:11" x14ac:dyDescent="0.35">
      <c r="C10124" s="112"/>
      <c r="D10124" s="5"/>
      <c r="E10124" s="5"/>
      <c r="F10124" s="5"/>
      <c r="G10124" s="5"/>
      <c r="H10124" s="5"/>
      <c r="I10124" s="5"/>
      <c r="J10124" s="5"/>
      <c r="K10124" s="5"/>
    </row>
    <row r="10125" spans="3:11" x14ac:dyDescent="0.35">
      <c r="C10125" s="112"/>
      <c r="D10125" s="5"/>
      <c r="E10125" s="5"/>
      <c r="F10125" s="5"/>
      <c r="G10125" s="5"/>
      <c r="H10125" s="5"/>
      <c r="I10125" s="5"/>
      <c r="J10125" s="5"/>
      <c r="K10125" s="5"/>
    </row>
    <row r="10126" spans="3:11" x14ac:dyDescent="0.35">
      <c r="C10126" s="112"/>
      <c r="D10126" s="5"/>
      <c r="E10126" s="5"/>
      <c r="F10126" s="5"/>
      <c r="G10126" s="5"/>
      <c r="H10126" s="5"/>
      <c r="I10126" s="5"/>
      <c r="J10126" s="5"/>
      <c r="K10126" s="5"/>
    </row>
    <row r="10127" spans="3:11" x14ac:dyDescent="0.35">
      <c r="C10127" s="112"/>
      <c r="D10127" s="5"/>
      <c r="E10127" s="5"/>
      <c r="F10127" s="5"/>
      <c r="G10127" s="5"/>
      <c r="H10127" s="5"/>
      <c r="I10127" s="5"/>
      <c r="J10127" s="5"/>
      <c r="K10127" s="5"/>
    </row>
    <row r="10128" spans="3:11" x14ac:dyDescent="0.35">
      <c r="C10128" s="112"/>
      <c r="D10128" s="5"/>
      <c r="E10128" s="5"/>
      <c r="F10128" s="5"/>
      <c r="G10128" s="5"/>
      <c r="H10128" s="5"/>
      <c r="I10128" s="5"/>
      <c r="J10128" s="5"/>
      <c r="K10128" s="5"/>
    </row>
    <row r="10129" spans="3:11" x14ac:dyDescent="0.35">
      <c r="C10129" s="112"/>
      <c r="D10129" s="5"/>
      <c r="E10129" s="5"/>
      <c r="F10129" s="5"/>
      <c r="G10129" s="5"/>
      <c r="H10129" s="5"/>
      <c r="I10129" s="5"/>
      <c r="J10129" s="5"/>
      <c r="K10129" s="5"/>
    </row>
    <row r="10130" spans="3:11" x14ac:dyDescent="0.35">
      <c r="C10130" s="112"/>
      <c r="D10130" s="5"/>
      <c r="E10130" s="5"/>
      <c r="F10130" s="5"/>
      <c r="G10130" s="5"/>
      <c r="H10130" s="5"/>
      <c r="I10130" s="5"/>
      <c r="J10130" s="5"/>
      <c r="K10130" s="5"/>
    </row>
    <row r="10131" spans="3:11" x14ac:dyDescent="0.35">
      <c r="C10131" s="112"/>
      <c r="D10131" s="5"/>
      <c r="E10131" s="5"/>
      <c r="F10131" s="5"/>
      <c r="G10131" s="5"/>
      <c r="H10131" s="5"/>
      <c r="I10131" s="5"/>
      <c r="J10131" s="5"/>
      <c r="K10131" s="5"/>
    </row>
    <row r="10132" spans="3:11" x14ac:dyDescent="0.35">
      <c r="C10132" s="112"/>
      <c r="D10132" s="5"/>
      <c r="E10132" s="5"/>
      <c r="F10132" s="5"/>
      <c r="G10132" s="5"/>
      <c r="H10132" s="5"/>
      <c r="I10132" s="5"/>
      <c r="J10132" s="5"/>
      <c r="K10132" s="5"/>
    </row>
    <row r="10133" spans="3:11" x14ac:dyDescent="0.35">
      <c r="C10133" s="112"/>
      <c r="D10133" s="5"/>
      <c r="E10133" s="5"/>
      <c r="F10133" s="5"/>
      <c r="G10133" s="5"/>
      <c r="H10133" s="5"/>
      <c r="I10133" s="5"/>
      <c r="J10133" s="5"/>
      <c r="K10133" s="5"/>
    </row>
    <row r="10134" spans="3:11" x14ac:dyDescent="0.35">
      <c r="C10134" s="112"/>
      <c r="D10134" s="5"/>
      <c r="E10134" s="5"/>
      <c r="F10134" s="5"/>
      <c r="G10134" s="5"/>
      <c r="H10134" s="5"/>
      <c r="I10134" s="5"/>
      <c r="J10134" s="5"/>
      <c r="K10134" s="5"/>
    </row>
    <row r="10135" spans="3:11" x14ac:dyDescent="0.35">
      <c r="C10135" s="112"/>
      <c r="D10135" s="5"/>
      <c r="E10135" s="5"/>
      <c r="F10135" s="5"/>
      <c r="G10135" s="5"/>
      <c r="H10135" s="5"/>
      <c r="I10135" s="5"/>
      <c r="J10135" s="5"/>
      <c r="K10135" s="5"/>
    </row>
    <row r="10136" spans="3:11" x14ac:dyDescent="0.35">
      <c r="C10136" s="112"/>
      <c r="D10136" s="5"/>
      <c r="E10136" s="5"/>
      <c r="F10136" s="5"/>
      <c r="G10136" s="5"/>
      <c r="H10136" s="5"/>
      <c r="I10136" s="5"/>
      <c r="J10136" s="5"/>
      <c r="K10136" s="5"/>
    </row>
    <row r="10137" spans="3:11" x14ac:dyDescent="0.35">
      <c r="C10137" s="112"/>
      <c r="D10137" s="5"/>
      <c r="E10137" s="5"/>
      <c r="F10137" s="5"/>
      <c r="G10137" s="5"/>
      <c r="H10137" s="5"/>
      <c r="I10137" s="5"/>
      <c r="J10137" s="5"/>
      <c r="K10137" s="5"/>
    </row>
    <row r="10138" spans="3:11" x14ac:dyDescent="0.35">
      <c r="C10138" s="112"/>
      <c r="D10138" s="5"/>
      <c r="E10138" s="5"/>
      <c r="F10138" s="5"/>
      <c r="G10138" s="5"/>
      <c r="H10138" s="5"/>
      <c r="I10138" s="5"/>
      <c r="J10138" s="5"/>
      <c r="K10138" s="5"/>
    </row>
    <row r="10139" spans="3:11" x14ac:dyDescent="0.35">
      <c r="C10139" s="112"/>
      <c r="D10139" s="5"/>
      <c r="E10139" s="5"/>
      <c r="F10139" s="5"/>
      <c r="G10139" s="5"/>
      <c r="H10139" s="5"/>
      <c r="I10139" s="5"/>
      <c r="J10139" s="5"/>
      <c r="K10139" s="5"/>
    </row>
    <row r="10140" spans="3:11" x14ac:dyDescent="0.35">
      <c r="C10140" s="112"/>
      <c r="D10140" s="5"/>
      <c r="E10140" s="5"/>
      <c r="F10140" s="5"/>
      <c r="G10140" s="5"/>
      <c r="H10140" s="5"/>
      <c r="I10140" s="5"/>
      <c r="J10140" s="5"/>
      <c r="K10140" s="5"/>
    </row>
    <row r="10141" spans="3:11" x14ac:dyDescent="0.35">
      <c r="C10141" s="112"/>
      <c r="D10141" s="5"/>
      <c r="E10141" s="5"/>
      <c r="F10141" s="5"/>
      <c r="G10141" s="5"/>
      <c r="H10141" s="5"/>
      <c r="I10141" s="5"/>
      <c r="J10141" s="5"/>
      <c r="K10141" s="5"/>
    </row>
    <row r="10142" spans="3:11" x14ac:dyDescent="0.35">
      <c r="C10142" s="112"/>
      <c r="D10142" s="5"/>
      <c r="E10142" s="5"/>
      <c r="F10142" s="5"/>
      <c r="G10142" s="5"/>
      <c r="H10142" s="5"/>
      <c r="I10142" s="5"/>
      <c r="J10142" s="5"/>
      <c r="K10142" s="5"/>
    </row>
    <row r="10143" spans="3:11" x14ac:dyDescent="0.35">
      <c r="C10143" s="112"/>
      <c r="D10143" s="5"/>
      <c r="E10143" s="5"/>
      <c r="F10143" s="5"/>
      <c r="G10143" s="5"/>
      <c r="H10143" s="5"/>
      <c r="I10143" s="5"/>
      <c r="J10143" s="5"/>
      <c r="K10143" s="5"/>
    </row>
    <row r="10144" spans="3:11" x14ac:dyDescent="0.35">
      <c r="C10144" s="112"/>
      <c r="D10144" s="5"/>
      <c r="E10144" s="5"/>
      <c r="F10144" s="5"/>
      <c r="G10144" s="5"/>
      <c r="H10144" s="5"/>
      <c r="I10144" s="5"/>
      <c r="J10144" s="5"/>
      <c r="K10144" s="5"/>
    </row>
    <row r="10145" spans="3:11" x14ac:dyDescent="0.35">
      <c r="C10145" s="112"/>
      <c r="D10145" s="5"/>
      <c r="E10145" s="5"/>
      <c r="F10145" s="5"/>
      <c r="G10145" s="5"/>
      <c r="H10145" s="5"/>
      <c r="I10145" s="5"/>
      <c r="J10145" s="5"/>
      <c r="K10145" s="5"/>
    </row>
    <row r="10146" spans="3:11" x14ac:dyDescent="0.35">
      <c r="C10146" s="112"/>
      <c r="D10146" s="5"/>
      <c r="E10146" s="5"/>
      <c r="F10146" s="5"/>
      <c r="G10146" s="5"/>
      <c r="H10146" s="5"/>
      <c r="I10146" s="5"/>
      <c r="J10146" s="5"/>
      <c r="K10146" s="5"/>
    </row>
    <row r="10147" spans="3:11" x14ac:dyDescent="0.35">
      <c r="C10147" s="112"/>
      <c r="D10147" s="5"/>
      <c r="E10147" s="5"/>
      <c r="F10147" s="5"/>
      <c r="G10147" s="5"/>
      <c r="H10147" s="5"/>
      <c r="I10147" s="5"/>
      <c r="J10147" s="5"/>
      <c r="K10147" s="5"/>
    </row>
    <row r="10148" spans="3:11" x14ac:dyDescent="0.35">
      <c r="C10148" s="112"/>
      <c r="D10148" s="5"/>
      <c r="E10148" s="5"/>
      <c r="F10148" s="5"/>
      <c r="G10148" s="5"/>
      <c r="H10148" s="5"/>
      <c r="I10148" s="5"/>
      <c r="J10148" s="5"/>
      <c r="K10148" s="5"/>
    </row>
    <row r="10149" spans="3:11" x14ac:dyDescent="0.35">
      <c r="C10149" s="112"/>
      <c r="D10149" s="5"/>
      <c r="E10149" s="5"/>
      <c r="F10149" s="5"/>
      <c r="G10149" s="5"/>
      <c r="H10149" s="5"/>
      <c r="I10149" s="5"/>
      <c r="J10149" s="5"/>
      <c r="K10149" s="5"/>
    </row>
    <row r="10150" spans="3:11" x14ac:dyDescent="0.35">
      <c r="C10150" s="112"/>
      <c r="D10150" s="5"/>
      <c r="E10150" s="5"/>
      <c r="F10150" s="5"/>
      <c r="G10150" s="5"/>
      <c r="H10150" s="5"/>
      <c r="I10150" s="5"/>
      <c r="J10150" s="5"/>
      <c r="K10150" s="5"/>
    </row>
    <row r="10151" spans="3:11" x14ac:dyDescent="0.35">
      <c r="C10151" s="112"/>
      <c r="D10151" s="5"/>
      <c r="E10151" s="5"/>
      <c r="F10151" s="5"/>
      <c r="G10151" s="5"/>
      <c r="H10151" s="5"/>
      <c r="I10151" s="5"/>
      <c r="J10151" s="5"/>
      <c r="K10151" s="5"/>
    </row>
    <row r="10152" spans="3:11" x14ac:dyDescent="0.35">
      <c r="C10152" s="112"/>
      <c r="D10152" s="5"/>
      <c r="E10152" s="5"/>
      <c r="F10152" s="5"/>
      <c r="G10152" s="5"/>
      <c r="H10152" s="5"/>
      <c r="I10152" s="5"/>
      <c r="J10152" s="5"/>
      <c r="K10152" s="5"/>
    </row>
    <row r="10153" spans="3:11" x14ac:dyDescent="0.35">
      <c r="C10153" s="112"/>
      <c r="D10153" s="5"/>
      <c r="E10153" s="5"/>
      <c r="F10153" s="5"/>
      <c r="G10153" s="5"/>
      <c r="H10153" s="5"/>
      <c r="I10153" s="5"/>
      <c r="J10153" s="5"/>
      <c r="K10153" s="5"/>
    </row>
    <row r="10154" spans="3:11" x14ac:dyDescent="0.35">
      <c r="C10154" s="112"/>
      <c r="D10154" s="5"/>
      <c r="E10154" s="5"/>
      <c r="F10154" s="5"/>
      <c r="G10154" s="5"/>
      <c r="H10154" s="5"/>
      <c r="I10154" s="5"/>
      <c r="J10154" s="5"/>
      <c r="K10154" s="5"/>
    </row>
    <row r="10155" spans="3:11" x14ac:dyDescent="0.35">
      <c r="C10155" s="112"/>
      <c r="D10155" s="5"/>
      <c r="E10155" s="5"/>
      <c r="F10155" s="5"/>
      <c r="G10155" s="5"/>
      <c r="H10155" s="5"/>
      <c r="I10155" s="5"/>
      <c r="J10155" s="5"/>
      <c r="K10155" s="5"/>
    </row>
    <row r="10156" spans="3:11" x14ac:dyDescent="0.35">
      <c r="C10156" s="112"/>
      <c r="D10156" s="5"/>
      <c r="E10156" s="5"/>
      <c r="F10156" s="5"/>
      <c r="G10156" s="5"/>
      <c r="H10156" s="5"/>
      <c r="I10156" s="5"/>
      <c r="J10156" s="5"/>
      <c r="K10156" s="5"/>
    </row>
    <row r="10157" spans="3:11" x14ac:dyDescent="0.35">
      <c r="C10157" s="112"/>
      <c r="D10157" s="5"/>
      <c r="E10157" s="5"/>
      <c r="F10157" s="5"/>
      <c r="G10157" s="5"/>
      <c r="H10157" s="5"/>
      <c r="I10157" s="5"/>
      <c r="J10157" s="5"/>
      <c r="K10157" s="5"/>
    </row>
    <row r="10158" spans="3:11" x14ac:dyDescent="0.35">
      <c r="C10158" s="112"/>
      <c r="D10158" s="5"/>
      <c r="E10158" s="5"/>
      <c r="F10158" s="5"/>
      <c r="G10158" s="5"/>
      <c r="H10158" s="5"/>
      <c r="I10158" s="5"/>
      <c r="J10158" s="5"/>
      <c r="K10158" s="5"/>
    </row>
    <row r="10159" spans="3:11" x14ac:dyDescent="0.35">
      <c r="C10159" s="112"/>
      <c r="D10159" s="5"/>
      <c r="E10159" s="5"/>
      <c r="F10159" s="5"/>
      <c r="G10159" s="5"/>
      <c r="H10159" s="5"/>
      <c r="I10159" s="5"/>
      <c r="J10159" s="5"/>
      <c r="K10159" s="5"/>
    </row>
    <row r="10160" spans="3:11" x14ac:dyDescent="0.35">
      <c r="C10160" s="112"/>
      <c r="D10160" s="5"/>
      <c r="E10160" s="5"/>
      <c r="F10160" s="5"/>
      <c r="G10160" s="5"/>
      <c r="H10160" s="5"/>
      <c r="I10160" s="5"/>
      <c r="J10160" s="5"/>
      <c r="K10160" s="5"/>
    </row>
    <row r="10161" spans="3:11" x14ac:dyDescent="0.35">
      <c r="C10161" s="112"/>
      <c r="D10161" s="5"/>
      <c r="E10161" s="5"/>
      <c r="F10161" s="5"/>
      <c r="G10161" s="5"/>
      <c r="H10161" s="5"/>
      <c r="I10161" s="5"/>
      <c r="J10161" s="5"/>
      <c r="K10161" s="5"/>
    </row>
    <row r="10162" spans="3:11" x14ac:dyDescent="0.35">
      <c r="C10162" s="112"/>
      <c r="D10162" s="5"/>
      <c r="E10162" s="5"/>
      <c r="F10162" s="5"/>
      <c r="G10162" s="5"/>
      <c r="H10162" s="5"/>
      <c r="I10162" s="5"/>
      <c r="J10162" s="5"/>
      <c r="K10162" s="5"/>
    </row>
    <row r="10163" spans="3:11" x14ac:dyDescent="0.35">
      <c r="C10163" s="112"/>
      <c r="D10163" s="5"/>
      <c r="E10163" s="5"/>
      <c r="F10163" s="5"/>
      <c r="G10163" s="5"/>
      <c r="H10163" s="5"/>
      <c r="I10163" s="5"/>
      <c r="J10163" s="5"/>
      <c r="K10163" s="5"/>
    </row>
    <row r="10164" spans="3:11" x14ac:dyDescent="0.35">
      <c r="C10164" s="112"/>
      <c r="D10164" s="5"/>
      <c r="E10164" s="5"/>
      <c r="F10164" s="5"/>
      <c r="G10164" s="5"/>
      <c r="H10164" s="5"/>
      <c r="I10164" s="5"/>
      <c r="J10164" s="5"/>
      <c r="K10164" s="5"/>
    </row>
    <row r="10165" spans="3:11" x14ac:dyDescent="0.35">
      <c r="C10165" s="112"/>
      <c r="D10165" s="5"/>
      <c r="E10165" s="5"/>
      <c r="F10165" s="5"/>
      <c r="G10165" s="5"/>
      <c r="H10165" s="5"/>
      <c r="I10165" s="5"/>
      <c r="J10165" s="5"/>
      <c r="K10165" s="5"/>
    </row>
    <row r="10166" spans="3:11" x14ac:dyDescent="0.35">
      <c r="C10166" s="112"/>
      <c r="D10166" s="5"/>
      <c r="E10166" s="5"/>
      <c r="F10166" s="5"/>
      <c r="G10166" s="5"/>
      <c r="H10166" s="5"/>
      <c r="I10166" s="5"/>
      <c r="J10166" s="5"/>
      <c r="K10166" s="5"/>
    </row>
    <row r="10167" spans="3:11" x14ac:dyDescent="0.35">
      <c r="C10167" s="112"/>
      <c r="D10167" s="5"/>
      <c r="E10167" s="5"/>
      <c r="F10167" s="5"/>
      <c r="G10167" s="5"/>
      <c r="H10167" s="5"/>
      <c r="I10167" s="5"/>
      <c r="J10167" s="5"/>
      <c r="K10167" s="5"/>
    </row>
    <row r="10168" spans="3:11" x14ac:dyDescent="0.35">
      <c r="C10168" s="112"/>
      <c r="D10168" s="5"/>
      <c r="E10168" s="5"/>
      <c r="F10168" s="5"/>
      <c r="G10168" s="5"/>
      <c r="H10168" s="5"/>
      <c r="I10168" s="5"/>
      <c r="J10168" s="5"/>
      <c r="K10168" s="5"/>
    </row>
    <row r="10169" spans="3:11" x14ac:dyDescent="0.35">
      <c r="C10169" s="112"/>
      <c r="D10169" s="5"/>
      <c r="E10169" s="5"/>
      <c r="F10169" s="5"/>
      <c r="G10169" s="5"/>
      <c r="H10169" s="5"/>
      <c r="I10169" s="5"/>
      <c r="J10169" s="5"/>
      <c r="K10169" s="5"/>
    </row>
    <row r="10170" spans="3:11" x14ac:dyDescent="0.35">
      <c r="C10170" s="112"/>
      <c r="D10170" s="5"/>
      <c r="E10170" s="5"/>
      <c r="F10170" s="5"/>
      <c r="G10170" s="5"/>
      <c r="H10170" s="5"/>
      <c r="I10170" s="5"/>
      <c r="J10170" s="5"/>
      <c r="K10170" s="5"/>
    </row>
    <row r="10171" spans="3:11" x14ac:dyDescent="0.35">
      <c r="C10171" s="112"/>
      <c r="D10171" s="5"/>
      <c r="E10171" s="5"/>
      <c r="F10171" s="5"/>
      <c r="G10171" s="5"/>
      <c r="H10171" s="5"/>
      <c r="I10171" s="5"/>
      <c r="J10171" s="5"/>
      <c r="K10171" s="5"/>
    </row>
    <row r="10172" spans="3:11" x14ac:dyDescent="0.35">
      <c r="C10172" s="112"/>
      <c r="D10172" s="5"/>
      <c r="E10172" s="5"/>
      <c r="F10172" s="5"/>
      <c r="G10172" s="5"/>
      <c r="H10172" s="5"/>
      <c r="I10172" s="5"/>
      <c r="J10172" s="5"/>
      <c r="K10172" s="5"/>
    </row>
    <row r="10173" spans="3:11" x14ac:dyDescent="0.35">
      <c r="C10173" s="112"/>
      <c r="D10173" s="5"/>
      <c r="E10173" s="5"/>
      <c r="F10173" s="5"/>
      <c r="G10173" s="5"/>
      <c r="H10173" s="5"/>
      <c r="I10173" s="5"/>
      <c r="J10173" s="5"/>
      <c r="K10173" s="5"/>
    </row>
    <row r="10174" spans="3:11" x14ac:dyDescent="0.35">
      <c r="C10174" s="112"/>
      <c r="D10174" s="5"/>
      <c r="E10174" s="5"/>
      <c r="F10174" s="5"/>
      <c r="G10174" s="5"/>
      <c r="H10174" s="5"/>
      <c r="I10174" s="5"/>
      <c r="J10174" s="5"/>
      <c r="K10174" s="5"/>
    </row>
    <row r="10175" spans="3:11" x14ac:dyDescent="0.35">
      <c r="C10175" s="112"/>
      <c r="D10175" s="5"/>
      <c r="E10175" s="5"/>
      <c r="F10175" s="5"/>
      <c r="G10175" s="5"/>
      <c r="H10175" s="5"/>
      <c r="I10175" s="5"/>
      <c r="J10175" s="5"/>
      <c r="K10175" s="5"/>
    </row>
    <row r="10176" spans="3:11" x14ac:dyDescent="0.35">
      <c r="C10176" s="112"/>
      <c r="D10176" s="5"/>
      <c r="E10176" s="5"/>
      <c r="F10176" s="5"/>
      <c r="G10176" s="5"/>
      <c r="H10176" s="5"/>
      <c r="I10176" s="5"/>
      <c r="J10176" s="5"/>
      <c r="K10176" s="5"/>
    </row>
    <row r="10177" spans="3:11" x14ac:dyDescent="0.35">
      <c r="C10177" s="112"/>
      <c r="D10177" s="5"/>
      <c r="E10177" s="5"/>
      <c r="F10177" s="5"/>
      <c r="G10177" s="5"/>
      <c r="H10177" s="5"/>
      <c r="I10177" s="5"/>
      <c r="J10177" s="5"/>
      <c r="K10177" s="5"/>
    </row>
    <row r="10178" spans="3:11" x14ac:dyDescent="0.35">
      <c r="C10178" s="112"/>
      <c r="D10178" s="5"/>
      <c r="E10178" s="5"/>
      <c r="F10178" s="5"/>
      <c r="G10178" s="5"/>
      <c r="H10178" s="5"/>
      <c r="I10178" s="5"/>
      <c r="J10178" s="5"/>
      <c r="K10178" s="5"/>
    </row>
    <row r="10179" spans="3:11" x14ac:dyDescent="0.35">
      <c r="C10179" s="112"/>
      <c r="D10179" s="5"/>
      <c r="E10179" s="5"/>
      <c r="F10179" s="5"/>
      <c r="G10179" s="5"/>
      <c r="H10179" s="5"/>
      <c r="I10179" s="5"/>
      <c r="J10179" s="5"/>
      <c r="K10179" s="5"/>
    </row>
    <row r="10180" spans="3:11" x14ac:dyDescent="0.35">
      <c r="C10180" s="112"/>
      <c r="D10180" s="5"/>
      <c r="E10180" s="5"/>
      <c r="F10180" s="5"/>
      <c r="G10180" s="5"/>
      <c r="H10180" s="5"/>
      <c r="I10180" s="5"/>
      <c r="J10180" s="5"/>
      <c r="K10180" s="5"/>
    </row>
    <row r="10181" spans="3:11" x14ac:dyDescent="0.35">
      <c r="C10181" s="112"/>
      <c r="D10181" s="5"/>
      <c r="E10181" s="5"/>
      <c r="F10181" s="5"/>
      <c r="G10181" s="5"/>
      <c r="H10181" s="5"/>
      <c r="I10181" s="5"/>
      <c r="J10181" s="5"/>
      <c r="K10181" s="5"/>
    </row>
    <row r="10182" spans="3:11" x14ac:dyDescent="0.35">
      <c r="C10182" s="112"/>
      <c r="D10182" s="5"/>
      <c r="E10182" s="5"/>
      <c r="F10182" s="5"/>
      <c r="G10182" s="5"/>
      <c r="H10182" s="5"/>
      <c r="I10182" s="5"/>
      <c r="J10182" s="5"/>
      <c r="K10182" s="5"/>
    </row>
    <row r="10183" spans="3:11" x14ac:dyDescent="0.35">
      <c r="C10183" s="112"/>
      <c r="D10183" s="5"/>
      <c r="E10183" s="5"/>
      <c r="F10183" s="5"/>
      <c r="G10183" s="5"/>
      <c r="H10183" s="5"/>
      <c r="I10183" s="5"/>
      <c r="J10183" s="5"/>
      <c r="K10183" s="5"/>
    </row>
    <row r="10184" spans="3:11" x14ac:dyDescent="0.35">
      <c r="C10184" s="112"/>
      <c r="D10184" s="5"/>
      <c r="E10184" s="5"/>
      <c r="F10184" s="5"/>
      <c r="G10184" s="5"/>
      <c r="H10184" s="5"/>
      <c r="I10184" s="5"/>
      <c r="J10184" s="5"/>
      <c r="K10184" s="5"/>
    </row>
    <row r="10185" spans="3:11" x14ac:dyDescent="0.35">
      <c r="C10185" s="112"/>
      <c r="D10185" s="5"/>
      <c r="E10185" s="5"/>
      <c r="F10185" s="5"/>
      <c r="G10185" s="5"/>
      <c r="H10185" s="5"/>
      <c r="I10185" s="5"/>
      <c r="J10185" s="5"/>
      <c r="K10185" s="5"/>
    </row>
    <row r="10186" spans="3:11" x14ac:dyDescent="0.35">
      <c r="C10186" s="112"/>
      <c r="D10186" s="5"/>
      <c r="E10186" s="5"/>
      <c r="F10186" s="5"/>
      <c r="G10186" s="5"/>
      <c r="H10186" s="5"/>
      <c r="I10186" s="5"/>
      <c r="J10186" s="5"/>
      <c r="K10186" s="5"/>
    </row>
    <row r="10187" spans="3:11" x14ac:dyDescent="0.35">
      <c r="C10187" s="112"/>
      <c r="D10187" s="5"/>
      <c r="E10187" s="5"/>
      <c r="F10187" s="5"/>
      <c r="G10187" s="5"/>
      <c r="H10187" s="5"/>
      <c r="I10187" s="5"/>
      <c r="J10187" s="5"/>
      <c r="K10187" s="5"/>
    </row>
    <row r="10188" spans="3:11" x14ac:dyDescent="0.35">
      <c r="C10188" s="112"/>
      <c r="D10188" s="5"/>
      <c r="E10188" s="5"/>
      <c r="F10188" s="5"/>
      <c r="G10188" s="5"/>
      <c r="H10188" s="5"/>
      <c r="I10188" s="5"/>
      <c r="J10188" s="5"/>
      <c r="K10188" s="5"/>
    </row>
    <row r="10189" spans="3:11" x14ac:dyDescent="0.35">
      <c r="C10189" s="112"/>
      <c r="D10189" s="5"/>
      <c r="E10189" s="5"/>
      <c r="F10189" s="5"/>
      <c r="G10189" s="5"/>
      <c r="H10189" s="5"/>
      <c r="I10189" s="5"/>
      <c r="J10189" s="5"/>
      <c r="K10189" s="5"/>
    </row>
    <row r="10190" spans="3:11" x14ac:dyDescent="0.35">
      <c r="C10190" s="112"/>
      <c r="D10190" s="5"/>
      <c r="E10190" s="5"/>
      <c r="F10190" s="5"/>
      <c r="G10190" s="5"/>
      <c r="H10190" s="5"/>
      <c r="I10190" s="5"/>
      <c r="J10190" s="5"/>
      <c r="K10190" s="5"/>
    </row>
    <row r="10191" spans="3:11" x14ac:dyDescent="0.35">
      <c r="C10191" s="112"/>
      <c r="D10191" s="5"/>
      <c r="E10191" s="5"/>
      <c r="F10191" s="5"/>
      <c r="G10191" s="5"/>
      <c r="H10191" s="5"/>
      <c r="I10191" s="5"/>
      <c r="J10191" s="5"/>
      <c r="K10191" s="5"/>
    </row>
    <row r="10192" spans="3:11" x14ac:dyDescent="0.35">
      <c r="C10192" s="112"/>
      <c r="D10192" s="5"/>
      <c r="E10192" s="5"/>
      <c r="F10192" s="5"/>
      <c r="G10192" s="5"/>
      <c r="H10192" s="5"/>
      <c r="I10192" s="5"/>
      <c r="J10192" s="5"/>
      <c r="K10192" s="5"/>
    </row>
    <row r="10193" spans="3:11" x14ac:dyDescent="0.35">
      <c r="C10193" s="112"/>
      <c r="D10193" s="5"/>
      <c r="E10193" s="5"/>
      <c r="F10193" s="5"/>
      <c r="G10193" s="5"/>
      <c r="H10193" s="5"/>
      <c r="I10193" s="5"/>
      <c r="J10193" s="5"/>
      <c r="K10193" s="5"/>
    </row>
    <row r="10194" spans="3:11" x14ac:dyDescent="0.35">
      <c r="C10194" s="112"/>
      <c r="D10194" s="5"/>
      <c r="E10194" s="5"/>
      <c r="F10194" s="5"/>
      <c r="G10194" s="5"/>
      <c r="H10194" s="5"/>
      <c r="I10194" s="5"/>
      <c r="J10194" s="5"/>
      <c r="K10194" s="5"/>
    </row>
    <row r="10195" spans="3:11" x14ac:dyDescent="0.35">
      <c r="C10195" s="112"/>
      <c r="D10195" s="5"/>
      <c r="E10195" s="5"/>
      <c r="F10195" s="5"/>
      <c r="G10195" s="5"/>
      <c r="H10195" s="5"/>
      <c r="I10195" s="5"/>
      <c r="J10195" s="5"/>
      <c r="K10195" s="5"/>
    </row>
    <row r="10196" spans="3:11" x14ac:dyDescent="0.35">
      <c r="C10196" s="112"/>
      <c r="D10196" s="5"/>
      <c r="E10196" s="5"/>
      <c r="F10196" s="5"/>
      <c r="G10196" s="5"/>
      <c r="H10196" s="5"/>
      <c r="I10196" s="5"/>
      <c r="J10196" s="5"/>
      <c r="K10196" s="5"/>
    </row>
    <row r="10197" spans="3:11" x14ac:dyDescent="0.35">
      <c r="C10197" s="112"/>
      <c r="D10197" s="5"/>
      <c r="E10197" s="5"/>
      <c r="F10197" s="5"/>
      <c r="G10197" s="5"/>
      <c r="H10197" s="5"/>
      <c r="I10197" s="5"/>
      <c r="J10197" s="5"/>
      <c r="K10197" s="5"/>
    </row>
    <row r="10198" spans="3:11" x14ac:dyDescent="0.35">
      <c r="C10198" s="112"/>
      <c r="D10198" s="5"/>
      <c r="E10198" s="5"/>
      <c r="F10198" s="5"/>
      <c r="G10198" s="5"/>
      <c r="H10198" s="5"/>
      <c r="I10198" s="5"/>
      <c r="J10198" s="5"/>
      <c r="K10198" s="5"/>
    </row>
    <row r="10199" spans="3:11" x14ac:dyDescent="0.35">
      <c r="C10199" s="112"/>
      <c r="D10199" s="5"/>
      <c r="E10199" s="5"/>
      <c r="F10199" s="5"/>
      <c r="G10199" s="5"/>
      <c r="H10199" s="5"/>
      <c r="I10199" s="5"/>
      <c r="J10199" s="5"/>
      <c r="K10199" s="5"/>
    </row>
    <row r="10200" spans="3:11" x14ac:dyDescent="0.35">
      <c r="C10200" s="112"/>
      <c r="D10200" s="5"/>
      <c r="E10200" s="5"/>
      <c r="F10200" s="5"/>
      <c r="G10200" s="5"/>
      <c r="H10200" s="5"/>
      <c r="I10200" s="5"/>
      <c r="J10200" s="5"/>
      <c r="K10200" s="5"/>
    </row>
    <row r="10201" spans="3:11" x14ac:dyDescent="0.35">
      <c r="C10201" s="112"/>
      <c r="D10201" s="5"/>
      <c r="E10201" s="5"/>
      <c r="F10201" s="5"/>
      <c r="G10201" s="5"/>
      <c r="H10201" s="5"/>
      <c r="I10201" s="5"/>
      <c r="J10201" s="5"/>
      <c r="K10201" s="5"/>
    </row>
    <row r="10202" spans="3:11" x14ac:dyDescent="0.35">
      <c r="C10202" s="112"/>
      <c r="D10202" s="5"/>
      <c r="E10202" s="5"/>
      <c r="F10202" s="5"/>
      <c r="G10202" s="5"/>
      <c r="H10202" s="5"/>
      <c r="I10202" s="5"/>
      <c r="J10202" s="5"/>
      <c r="K10202" s="5"/>
    </row>
    <row r="10203" spans="3:11" x14ac:dyDescent="0.35">
      <c r="C10203" s="112"/>
      <c r="D10203" s="5"/>
      <c r="E10203" s="5"/>
      <c r="F10203" s="5"/>
      <c r="G10203" s="5"/>
      <c r="H10203" s="5"/>
      <c r="I10203" s="5"/>
      <c r="J10203" s="5"/>
      <c r="K10203" s="5"/>
    </row>
    <row r="10204" spans="3:11" x14ac:dyDescent="0.35">
      <c r="C10204" s="112"/>
      <c r="D10204" s="5"/>
      <c r="E10204" s="5"/>
      <c r="F10204" s="5"/>
      <c r="G10204" s="5"/>
      <c r="H10204" s="5"/>
      <c r="I10204" s="5"/>
      <c r="J10204" s="5"/>
      <c r="K10204" s="5"/>
    </row>
    <row r="10205" spans="3:11" x14ac:dyDescent="0.35">
      <c r="C10205" s="112"/>
      <c r="D10205" s="5"/>
      <c r="E10205" s="5"/>
      <c r="F10205" s="5"/>
      <c r="G10205" s="5"/>
      <c r="H10205" s="5"/>
      <c r="I10205" s="5"/>
      <c r="J10205" s="5"/>
      <c r="K10205" s="5"/>
    </row>
    <row r="10206" spans="3:11" x14ac:dyDescent="0.35">
      <c r="C10206" s="112"/>
      <c r="D10206" s="5"/>
      <c r="E10206" s="5"/>
      <c r="F10206" s="5"/>
      <c r="G10206" s="5"/>
      <c r="H10206" s="5"/>
      <c r="I10206" s="5"/>
      <c r="J10206" s="5"/>
      <c r="K10206" s="5"/>
    </row>
    <row r="10207" spans="3:11" x14ac:dyDescent="0.35">
      <c r="C10207" s="112"/>
      <c r="D10207" s="5"/>
      <c r="E10207" s="5"/>
      <c r="F10207" s="5"/>
      <c r="G10207" s="5"/>
      <c r="H10207" s="5"/>
      <c r="I10207" s="5"/>
      <c r="J10207" s="5"/>
      <c r="K10207" s="5"/>
    </row>
    <row r="10208" spans="3:11" x14ac:dyDescent="0.35">
      <c r="C10208" s="112"/>
      <c r="D10208" s="5"/>
      <c r="E10208" s="5"/>
      <c r="F10208" s="5"/>
      <c r="G10208" s="5"/>
      <c r="H10208" s="5"/>
      <c r="I10208" s="5"/>
      <c r="J10208" s="5"/>
      <c r="K10208" s="5"/>
    </row>
    <row r="10209" spans="3:11" x14ac:dyDescent="0.35">
      <c r="C10209" s="112"/>
      <c r="D10209" s="5"/>
      <c r="E10209" s="5"/>
      <c r="F10209" s="5"/>
      <c r="G10209" s="5"/>
      <c r="H10209" s="5"/>
      <c r="I10209" s="5"/>
      <c r="J10209" s="5"/>
      <c r="K10209" s="5"/>
    </row>
    <row r="10210" spans="3:11" x14ac:dyDescent="0.35">
      <c r="C10210" s="112"/>
      <c r="D10210" s="5"/>
      <c r="E10210" s="5"/>
      <c r="F10210" s="5"/>
      <c r="G10210" s="5"/>
      <c r="H10210" s="5"/>
      <c r="I10210" s="5"/>
      <c r="J10210" s="5"/>
      <c r="K10210" s="5"/>
    </row>
    <row r="10211" spans="3:11" x14ac:dyDescent="0.35">
      <c r="C10211" s="112"/>
      <c r="D10211" s="5"/>
      <c r="E10211" s="5"/>
      <c r="F10211" s="5"/>
      <c r="G10211" s="5"/>
      <c r="H10211" s="5"/>
      <c r="I10211" s="5"/>
      <c r="J10211" s="5"/>
      <c r="K10211" s="5"/>
    </row>
    <row r="10212" spans="3:11" x14ac:dyDescent="0.35">
      <c r="C10212" s="112"/>
      <c r="D10212" s="5"/>
      <c r="E10212" s="5"/>
      <c r="F10212" s="5"/>
      <c r="G10212" s="5"/>
      <c r="H10212" s="5"/>
      <c r="I10212" s="5"/>
      <c r="J10212" s="5"/>
      <c r="K10212" s="5"/>
    </row>
    <row r="10213" spans="3:11" x14ac:dyDescent="0.35">
      <c r="C10213" s="112"/>
      <c r="D10213" s="5"/>
      <c r="E10213" s="5"/>
      <c r="F10213" s="5"/>
      <c r="G10213" s="5"/>
      <c r="H10213" s="5"/>
      <c r="I10213" s="5"/>
      <c r="J10213" s="5"/>
      <c r="K10213" s="5"/>
    </row>
    <row r="10214" spans="3:11" x14ac:dyDescent="0.35">
      <c r="C10214" s="112"/>
      <c r="D10214" s="5"/>
      <c r="E10214" s="5"/>
      <c r="F10214" s="5"/>
      <c r="G10214" s="5"/>
      <c r="H10214" s="5"/>
      <c r="I10214" s="5"/>
      <c r="J10214" s="5"/>
      <c r="K10214" s="5"/>
    </row>
    <row r="10215" spans="3:11" x14ac:dyDescent="0.35">
      <c r="C10215" s="112"/>
      <c r="D10215" s="5"/>
      <c r="E10215" s="5"/>
      <c r="F10215" s="5"/>
      <c r="G10215" s="5"/>
      <c r="H10215" s="5"/>
      <c r="I10215" s="5"/>
      <c r="J10215" s="5"/>
      <c r="K10215" s="5"/>
    </row>
    <row r="10216" spans="3:11" x14ac:dyDescent="0.35">
      <c r="C10216" s="112"/>
      <c r="D10216" s="5"/>
      <c r="E10216" s="5"/>
      <c r="F10216" s="5"/>
      <c r="G10216" s="5"/>
      <c r="H10216" s="5"/>
      <c r="I10216" s="5"/>
      <c r="J10216" s="5"/>
      <c r="K10216" s="5"/>
    </row>
    <row r="10217" spans="3:11" x14ac:dyDescent="0.35">
      <c r="C10217" s="112"/>
      <c r="D10217" s="5"/>
      <c r="E10217" s="5"/>
      <c r="F10217" s="5"/>
      <c r="G10217" s="5"/>
      <c r="H10217" s="5"/>
      <c r="I10217" s="5"/>
      <c r="J10217" s="5"/>
      <c r="K10217" s="5"/>
    </row>
    <row r="10218" spans="3:11" x14ac:dyDescent="0.35">
      <c r="C10218" s="112"/>
      <c r="D10218" s="5"/>
      <c r="E10218" s="5"/>
      <c r="F10218" s="5"/>
      <c r="G10218" s="5"/>
      <c r="H10218" s="5"/>
      <c r="I10218" s="5"/>
      <c r="J10218" s="5"/>
      <c r="K10218" s="5"/>
    </row>
    <row r="10219" spans="3:11" x14ac:dyDescent="0.35">
      <c r="C10219" s="112"/>
      <c r="D10219" s="5"/>
      <c r="E10219" s="5"/>
      <c r="F10219" s="5"/>
      <c r="G10219" s="5"/>
      <c r="H10219" s="5"/>
      <c r="I10219" s="5"/>
      <c r="J10219" s="5"/>
      <c r="K10219" s="5"/>
    </row>
    <row r="10220" spans="3:11" x14ac:dyDescent="0.35">
      <c r="C10220" s="112"/>
      <c r="D10220" s="5"/>
      <c r="E10220" s="5"/>
      <c r="F10220" s="5"/>
      <c r="G10220" s="5"/>
      <c r="H10220" s="5"/>
      <c r="I10220" s="5"/>
      <c r="J10220" s="5"/>
      <c r="K10220" s="5"/>
    </row>
    <row r="10221" spans="3:11" x14ac:dyDescent="0.35">
      <c r="C10221" s="112"/>
      <c r="D10221" s="5"/>
      <c r="E10221" s="5"/>
      <c r="F10221" s="5"/>
      <c r="G10221" s="5"/>
      <c r="H10221" s="5"/>
      <c r="I10221" s="5"/>
      <c r="J10221" s="5"/>
      <c r="K10221" s="5"/>
    </row>
    <row r="10222" spans="3:11" x14ac:dyDescent="0.35">
      <c r="C10222" s="112"/>
      <c r="D10222" s="5"/>
      <c r="E10222" s="5"/>
      <c r="F10222" s="5"/>
      <c r="G10222" s="5"/>
      <c r="H10222" s="5"/>
      <c r="I10222" s="5"/>
      <c r="J10222" s="5"/>
      <c r="K10222" s="5"/>
    </row>
    <row r="10223" spans="3:11" x14ac:dyDescent="0.35">
      <c r="C10223" s="112"/>
      <c r="D10223" s="5"/>
      <c r="E10223" s="5"/>
      <c r="F10223" s="5"/>
      <c r="G10223" s="5"/>
      <c r="H10223" s="5"/>
      <c r="I10223" s="5"/>
      <c r="J10223" s="5"/>
      <c r="K10223" s="5"/>
    </row>
    <row r="10224" spans="3:11" x14ac:dyDescent="0.35">
      <c r="C10224" s="112"/>
      <c r="D10224" s="5"/>
      <c r="E10224" s="5"/>
      <c r="F10224" s="5"/>
      <c r="G10224" s="5"/>
      <c r="H10224" s="5"/>
      <c r="I10224" s="5"/>
      <c r="J10224" s="5"/>
      <c r="K10224" s="5"/>
    </row>
    <row r="10225" spans="3:11" x14ac:dyDescent="0.35">
      <c r="C10225" s="112"/>
      <c r="D10225" s="5"/>
      <c r="E10225" s="5"/>
      <c r="F10225" s="5"/>
      <c r="G10225" s="5"/>
      <c r="H10225" s="5"/>
      <c r="I10225" s="5"/>
      <c r="J10225" s="5"/>
      <c r="K10225" s="5"/>
    </row>
    <row r="10226" spans="3:11" x14ac:dyDescent="0.35">
      <c r="C10226" s="112"/>
      <c r="D10226" s="5"/>
      <c r="E10226" s="5"/>
      <c r="F10226" s="5"/>
      <c r="G10226" s="5"/>
      <c r="H10226" s="5"/>
      <c r="I10226" s="5"/>
      <c r="J10226" s="5"/>
      <c r="K10226" s="5"/>
    </row>
    <row r="10227" spans="3:11" x14ac:dyDescent="0.35">
      <c r="C10227" s="112"/>
      <c r="D10227" s="5"/>
      <c r="E10227" s="5"/>
      <c r="F10227" s="5"/>
      <c r="G10227" s="5"/>
      <c r="H10227" s="5"/>
      <c r="I10227" s="5"/>
      <c r="J10227" s="5"/>
      <c r="K10227" s="5"/>
    </row>
    <row r="10228" spans="3:11" x14ac:dyDescent="0.35">
      <c r="C10228" s="112"/>
      <c r="D10228" s="5"/>
      <c r="E10228" s="5"/>
      <c r="F10228" s="5"/>
      <c r="G10228" s="5"/>
      <c r="H10228" s="5"/>
      <c r="I10228" s="5"/>
      <c r="J10228" s="5"/>
      <c r="K10228" s="5"/>
    </row>
    <row r="10229" spans="3:11" x14ac:dyDescent="0.35">
      <c r="C10229" s="112"/>
      <c r="D10229" s="5"/>
      <c r="E10229" s="5"/>
      <c r="F10229" s="5"/>
      <c r="G10229" s="5"/>
      <c r="H10229" s="5"/>
      <c r="I10229" s="5"/>
      <c r="J10229" s="5"/>
      <c r="K10229" s="5"/>
    </row>
    <row r="10230" spans="3:11" x14ac:dyDescent="0.35">
      <c r="C10230" s="112"/>
      <c r="D10230" s="5"/>
      <c r="E10230" s="5"/>
      <c r="F10230" s="5"/>
      <c r="G10230" s="5"/>
      <c r="H10230" s="5"/>
      <c r="I10230" s="5"/>
      <c r="J10230" s="5"/>
      <c r="K10230" s="5"/>
    </row>
    <row r="10231" spans="3:11" x14ac:dyDescent="0.35">
      <c r="C10231" s="112"/>
      <c r="D10231" s="5"/>
      <c r="E10231" s="5"/>
      <c r="F10231" s="5"/>
      <c r="G10231" s="5"/>
      <c r="H10231" s="5"/>
      <c r="I10231" s="5"/>
      <c r="J10231" s="5"/>
      <c r="K10231" s="5"/>
    </row>
    <row r="10232" spans="3:11" x14ac:dyDescent="0.35">
      <c r="C10232" s="112"/>
      <c r="D10232" s="5"/>
      <c r="E10232" s="5"/>
      <c r="F10232" s="5"/>
      <c r="G10232" s="5"/>
      <c r="H10232" s="5"/>
      <c r="I10232" s="5"/>
      <c r="J10232" s="5"/>
      <c r="K10232" s="5"/>
    </row>
    <row r="10233" spans="3:11" x14ac:dyDescent="0.35">
      <c r="C10233" s="112"/>
      <c r="D10233" s="5"/>
      <c r="E10233" s="5"/>
      <c r="F10233" s="5"/>
      <c r="G10233" s="5"/>
      <c r="H10233" s="5"/>
      <c r="I10233" s="5"/>
      <c r="J10233" s="5"/>
      <c r="K10233" s="5"/>
    </row>
    <row r="10234" spans="3:11" x14ac:dyDescent="0.35">
      <c r="C10234" s="112"/>
      <c r="D10234" s="5"/>
      <c r="E10234" s="5"/>
      <c r="F10234" s="5"/>
      <c r="G10234" s="5"/>
      <c r="H10234" s="5"/>
      <c r="I10234" s="5"/>
      <c r="J10234" s="5"/>
      <c r="K10234" s="5"/>
    </row>
    <row r="10235" spans="3:11" x14ac:dyDescent="0.35">
      <c r="C10235" s="112"/>
      <c r="D10235" s="5"/>
      <c r="E10235" s="5"/>
      <c r="F10235" s="5"/>
      <c r="G10235" s="5"/>
      <c r="H10235" s="5"/>
      <c r="I10235" s="5"/>
      <c r="J10235" s="5"/>
      <c r="K10235" s="5"/>
    </row>
    <row r="10236" spans="3:11" x14ac:dyDescent="0.35">
      <c r="C10236" s="112"/>
      <c r="D10236" s="5"/>
      <c r="E10236" s="5"/>
      <c r="F10236" s="5"/>
      <c r="G10236" s="5"/>
      <c r="H10236" s="5"/>
      <c r="I10236" s="5"/>
      <c r="J10236" s="5"/>
      <c r="K10236" s="5"/>
    </row>
    <row r="10237" spans="3:11" x14ac:dyDescent="0.35">
      <c r="C10237" s="112"/>
      <c r="D10237" s="5"/>
      <c r="E10237" s="5"/>
      <c r="F10237" s="5"/>
      <c r="G10237" s="5"/>
      <c r="H10237" s="5"/>
      <c r="I10237" s="5"/>
      <c r="J10237" s="5"/>
      <c r="K10237" s="5"/>
    </row>
    <row r="10238" spans="3:11" x14ac:dyDescent="0.35">
      <c r="C10238" s="112"/>
      <c r="D10238" s="5"/>
      <c r="E10238" s="5"/>
      <c r="F10238" s="5"/>
      <c r="G10238" s="5"/>
      <c r="H10238" s="5"/>
      <c r="I10238" s="5"/>
      <c r="J10238" s="5"/>
      <c r="K10238" s="5"/>
    </row>
    <row r="10239" spans="3:11" x14ac:dyDescent="0.35">
      <c r="C10239" s="112"/>
      <c r="D10239" s="5"/>
      <c r="E10239" s="5"/>
      <c r="F10239" s="5"/>
      <c r="G10239" s="5"/>
      <c r="H10239" s="5"/>
      <c r="I10239" s="5"/>
      <c r="J10239" s="5"/>
      <c r="K10239" s="5"/>
    </row>
    <row r="10240" spans="3:11" x14ac:dyDescent="0.35">
      <c r="C10240" s="112"/>
      <c r="D10240" s="5"/>
      <c r="E10240" s="5"/>
      <c r="F10240" s="5"/>
      <c r="G10240" s="5"/>
      <c r="H10240" s="5"/>
      <c r="I10240" s="5"/>
      <c r="J10240" s="5"/>
      <c r="K10240" s="5"/>
    </row>
    <row r="10241" spans="3:11" x14ac:dyDescent="0.35">
      <c r="C10241" s="112"/>
      <c r="D10241" s="5"/>
      <c r="E10241" s="5"/>
      <c r="F10241" s="5"/>
      <c r="G10241" s="5"/>
      <c r="H10241" s="5"/>
      <c r="I10241" s="5"/>
      <c r="J10241" s="5"/>
      <c r="K10241" s="5"/>
    </row>
    <row r="10242" spans="3:11" x14ac:dyDescent="0.35">
      <c r="C10242" s="112"/>
      <c r="D10242" s="5"/>
      <c r="E10242" s="5"/>
      <c r="F10242" s="5"/>
      <c r="G10242" s="5"/>
      <c r="H10242" s="5"/>
      <c r="I10242" s="5"/>
      <c r="J10242" s="5"/>
      <c r="K10242" s="5"/>
    </row>
    <row r="10243" spans="3:11" x14ac:dyDescent="0.35">
      <c r="C10243" s="112"/>
      <c r="D10243" s="5"/>
      <c r="E10243" s="5"/>
      <c r="F10243" s="5"/>
      <c r="G10243" s="5"/>
      <c r="H10243" s="5"/>
      <c r="I10243" s="5"/>
      <c r="J10243" s="5"/>
      <c r="K10243" s="5"/>
    </row>
    <row r="10244" spans="3:11" x14ac:dyDescent="0.35">
      <c r="C10244" s="112"/>
      <c r="D10244" s="5"/>
      <c r="E10244" s="5"/>
      <c r="F10244" s="5"/>
      <c r="G10244" s="5"/>
      <c r="H10244" s="5"/>
      <c r="I10244" s="5"/>
      <c r="J10244" s="5"/>
      <c r="K10244" s="5"/>
    </row>
    <row r="10245" spans="3:11" x14ac:dyDescent="0.35">
      <c r="C10245" s="112"/>
      <c r="D10245" s="5"/>
      <c r="E10245" s="5"/>
      <c r="F10245" s="5"/>
      <c r="G10245" s="5"/>
      <c r="H10245" s="5"/>
      <c r="I10245" s="5"/>
      <c r="J10245" s="5"/>
      <c r="K10245" s="5"/>
    </row>
    <row r="10246" spans="3:11" x14ac:dyDescent="0.35">
      <c r="C10246" s="112"/>
      <c r="D10246" s="5"/>
      <c r="E10246" s="5"/>
      <c r="F10246" s="5"/>
      <c r="G10246" s="5"/>
      <c r="H10246" s="5"/>
      <c r="I10246" s="5"/>
      <c r="J10246" s="5"/>
      <c r="K10246" s="5"/>
    </row>
    <row r="10247" spans="3:11" x14ac:dyDescent="0.35">
      <c r="C10247" s="112"/>
      <c r="D10247" s="5"/>
      <c r="E10247" s="5"/>
      <c r="F10247" s="5"/>
      <c r="G10247" s="5"/>
      <c r="H10247" s="5"/>
      <c r="I10247" s="5"/>
      <c r="J10247" s="5"/>
      <c r="K10247" s="5"/>
    </row>
    <row r="10248" spans="3:11" x14ac:dyDescent="0.35">
      <c r="C10248" s="112"/>
      <c r="D10248" s="5"/>
      <c r="E10248" s="5"/>
      <c r="F10248" s="5"/>
      <c r="G10248" s="5"/>
      <c r="H10248" s="5"/>
      <c r="I10248" s="5"/>
      <c r="J10248" s="5"/>
      <c r="K10248" s="5"/>
    </row>
    <row r="10249" spans="3:11" x14ac:dyDescent="0.35">
      <c r="C10249" s="112"/>
      <c r="D10249" s="5"/>
      <c r="E10249" s="5"/>
      <c r="F10249" s="5"/>
      <c r="G10249" s="5"/>
      <c r="H10249" s="5"/>
      <c r="I10249" s="5"/>
      <c r="J10249" s="5"/>
      <c r="K10249" s="5"/>
    </row>
    <row r="10250" spans="3:11" x14ac:dyDescent="0.35">
      <c r="C10250" s="112"/>
      <c r="D10250" s="5"/>
      <c r="E10250" s="5"/>
      <c r="F10250" s="5"/>
      <c r="G10250" s="5"/>
      <c r="H10250" s="5"/>
      <c r="I10250" s="5"/>
      <c r="J10250" s="5"/>
      <c r="K10250" s="5"/>
    </row>
    <row r="10251" spans="3:11" x14ac:dyDescent="0.35">
      <c r="C10251" s="112"/>
      <c r="D10251" s="5"/>
      <c r="E10251" s="5"/>
      <c r="F10251" s="5"/>
      <c r="G10251" s="5"/>
      <c r="H10251" s="5"/>
      <c r="I10251" s="5"/>
      <c r="J10251" s="5"/>
      <c r="K10251" s="5"/>
    </row>
    <row r="10252" spans="3:11" x14ac:dyDescent="0.35">
      <c r="C10252" s="112"/>
      <c r="D10252" s="5"/>
      <c r="E10252" s="5"/>
      <c r="F10252" s="5"/>
      <c r="G10252" s="5"/>
      <c r="H10252" s="5"/>
      <c r="I10252" s="5"/>
      <c r="J10252" s="5"/>
      <c r="K10252" s="5"/>
    </row>
    <row r="10253" spans="3:11" x14ac:dyDescent="0.35">
      <c r="C10253" s="112"/>
      <c r="D10253" s="5"/>
      <c r="E10253" s="5"/>
      <c r="F10253" s="5"/>
      <c r="G10253" s="5"/>
      <c r="H10253" s="5"/>
      <c r="I10253" s="5"/>
      <c r="J10253" s="5"/>
      <c r="K10253" s="5"/>
    </row>
    <row r="10254" spans="3:11" x14ac:dyDescent="0.35">
      <c r="C10254" s="112"/>
      <c r="D10254" s="5"/>
      <c r="E10254" s="5"/>
      <c r="F10254" s="5"/>
      <c r="G10254" s="5"/>
      <c r="H10254" s="5"/>
      <c r="I10254" s="5"/>
      <c r="J10254" s="5"/>
      <c r="K10254" s="5"/>
    </row>
    <row r="10255" spans="3:11" x14ac:dyDescent="0.35">
      <c r="C10255" s="112"/>
      <c r="D10255" s="5"/>
      <c r="E10255" s="5"/>
      <c r="F10255" s="5"/>
      <c r="G10255" s="5"/>
      <c r="H10255" s="5"/>
      <c r="I10255" s="5"/>
      <c r="J10255" s="5"/>
      <c r="K10255" s="5"/>
    </row>
    <row r="10256" spans="3:11" x14ac:dyDescent="0.35">
      <c r="C10256" s="112"/>
      <c r="D10256" s="5"/>
      <c r="E10256" s="5"/>
      <c r="F10256" s="5"/>
      <c r="G10256" s="5"/>
      <c r="H10256" s="5"/>
      <c r="I10256" s="5"/>
      <c r="J10256" s="5"/>
      <c r="K10256" s="5"/>
    </row>
    <row r="10257" spans="3:11" x14ac:dyDescent="0.35">
      <c r="C10257" s="112"/>
      <c r="D10257" s="5"/>
      <c r="E10257" s="5"/>
      <c r="F10257" s="5"/>
      <c r="G10257" s="5"/>
      <c r="H10257" s="5"/>
      <c r="I10257" s="5"/>
      <c r="J10257" s="5"/>
      <c r="K10257" s="5"/>
    </row>
    <row r="10258" spans="3:11" x14ac:dyDescent="0.35">
      <c r="C10258" s="112"/>
      <c r="D10258" s="5"/>
      <c r="E10258" s="5"/>
      <c r="F10258" s="5"/>
      <c r="G10258" s="5"/>
      <c r="H10258" s="5"/>
      <c r="I10258" s="5"/>
      <c r="J10258" s="5"/>
      <c r="K10258" s="5"/>
    </row>
    <row r="10259" spans="3:11" x14ac:dyDescent="0.35">
      <c r="C10259" s="112"/>
      <c r="D10259" s="5"/>
      <c r="E10259" s="5"/>
      <c r="F10259" s="5"/>
      <c r="G10259" s="5"/>
      <c r="H10259" s="5"/>
      <c r="I10259" s="5"/>
      <c r="J10259" s="5"/>
      <c r="K10259" s="5"/>
    </row>
    <row r="10260" spans="3:11" x14ac:dyDescent="0.35">
      <c r="C10260" s="112"/>
      <c r="D10260" s="5"/>
      <c r="E10260" s="5"/>
      <c r="F10260" s="5"/>
      <c r="G10260" s="5"/>
      <c r="H10260" s="5"/>
      <c r="I10260" s="5"/>
      <c r="J10260" s="5"/>
      <c r="K10260" s="5"/>
    </row>
    <row r="10261" spans="3:11" x14ac:dyDescent="0.35">
      <c r="C10261" s="112"/>
      <c r="D10261" s="5"/>
      <c r="E10261" s="5"/>
      <c r="F10261" s="5"/>
      <c r="G10261" s="5"/>
      <c r="H10261" s="5"/>
      <c r="I10261" s="5"/>
      <c r="J10261" s="5"/>
      <c r="K10261" s="5"/>
    </row>
    <row r="10262" spans="3:11" x14ac:dyDescent="0.35">
      <c r="C10262" s="112"/>
      <c r="D10262" s="5"/>
      <c r="E10262" s="5"/>
      <c r="F10262" s="5"/>
      <c r="G10262" s="5"/>
      <c r="H10262" s="5"/>
      <c r="I10262" s="5"/>
      <c r="J10262" s="5"/>
      <c r="K10262" s="5"/>
    </row>
    <row r="10263" spans="3:11" x14ac:dyDescent="0.35">
      <c r="C10263" s="112"/>
      <c r="D10263" s="5"/>
      <c r="E10263" s="5"/>
      <c r="F10263" s="5"/>
      <c r="G10263" s="5"/>
      <c r="H10263" s="5"/>
      <c r="I10263" s="5"/>
      <c r="J10263" s="5"/>
      <c r="K10263" s="5"/>
    </row>
    <row r="10264" spans="3:11" x14ac:dyDescent="0.35">
      <c r="C10264" s="112"/>
      <c r="D10264" s="5"/>
      <c r="E10264" s="5"/>
      <c r="F10264" s="5"/>
      <c r="G10264" s="5"/>
      <c r="H10264" s="5"/>
      <c r="I10264" s="5"/>
      <c r="J10264" s="5"/>
      <c r="K10264" s="5"/>
    </row>
    <row r="10265" spans="3:11" x14ac:dyDescent="0.35">
      <c r="C10265" s="112"/>
      <c r="D10265" s="5"/>
      <c r="E10265" s="5"/>
      <c r="F10265" s="5"/>
      <c r="G10265" s="5"/>
      <c r="H10265" s="5"/>
      <c r="I10265" s="5"/>
      <c r="J10265" s="5"/>
      <c r="K10265" s="5"/>
    </row>
    <row r="10266" spans="3:11" x14ac:dyDescent="0.35">
      <c r="C10266" s="112"/>
      <c r="D10266" s="5"/>
      <c r="E10266" s="5"/>
      <c r="F10266" s="5"/>
      <c r="G10266" s="5"/>
      <c r="H10266" s="5"/>
      <c r="I10266" s="5"/>
      <c r="J10266" s="5"/>
      <c r="K10266" s="5"/>
    </row>
    <row r="10267" spans="3:11" x14ac:dyDescent="0.35">
      <c r="C10267" s="112"/>
      <c r="D10267" s="5"/>
      <c r="E10267" s="5"/>
      <c r="F10267" s="5"/>
      <c r="G10267" s="5"/>
      <c r="H10267" s="5"/>
      <c r="I10267" s="5"/>
      <c r="J10267" s="5"/>
      <c r="K10267" s="5"/>
    </row>
    <row r="10268" spans="3:11" x14ac:dyDescent="0.35">
      <c r="C10268" s="112"/>
      <c r="D10268" s="5"/>
      <c r="E10268" s="5"/>
      <c r="F10268" s="5"/>
      <c r="G10268" s="5"/>
      <c r="H10268" s="5"/>
      <c r="I10268" s="5"/>
      <c r="J10268" s="5"/>
      <c r="K10268" s="5"/>
    </row>
    <row r="10269" spans="3:11" x14ac:dyDescent="0.35">
      <c r="C10269" s="112"/>
      <c r="D10269" s="5"/>
      <c r="E10269" s="5"/>
      <c r="F10269" s="5"/>
      <c r="G10269" s="5"/>
      <c r="H10269" s="5"/>
      <c r="I10269" s="5"/>
      <c r="J10269" s="5"/>
      <c r="K10269" s="5"/>
    </row>
    <row r="10270" spans="3:11" x14ac:dyDescent="0.35">
      <c r="C10270" s="112"/>
      <c r="D10270" s="5"/>
      <c r="E10270" s="5"/>
      <c r="F10270" s="5"/>
      <c r="G10270" s="5"/>
      <c r="H10270" s="5"/>
      <c r="I10270" s="5"/>
      <c r="J10270" s="5"/>
      <c r="K10270" s="5"/>
    </row>
    <row r="10271" spans="3:11" x14ac:dyDescent="0.35">
      <c r="C10271" s="112"/>
      <c r="D10271" s="5"/>
      <c r="E10271" s="5"/>
      <c r="F10271" s="5"/>
      <c r="G10271" s="5"/>
      <c r="H10271" s="5"/>
      <c r="I10271" s="5"/>
      <c r="J10271" s="5"/>
      <c r="K10271" s="5"/>
    </row>
    <row r="10272" spans="3:11" x14ac:dyDescent="0.35">
      <c r="C10272" s="112"/>
      <c r="D10272" s="5"/>
      <c r="E10272" s="5"/>
      <c r="F10272" s="5"/>
      <c r="G10272" s="5"/>
      <c r="H10272" s="5"/>
      <c r="I10272" s="5"/>
      <c r="J10272" s="5"/>
      <c r="K10272" s="5"/>
    </row>
    <row r="10273" spans="3:11" x14ac:dyDescent="0.35">
      <c r="C10273" s="112"/>
      <c r="D10273" s="5"/>
      <c r="E10273" s="5"/>
      <c r="F10273" s="5"/>
      <c r="G10273" s="5"/>
      <c r="H10273" s="5"/>
      <c r="I10273" s="5"/>
      <c r="J10273" s="5"/>
      <c r="K10273" s="5"/>
    </row>
    <row r="10274" spans="3:11" x14ac:dyDescent="0.35">
      <c r="C10274" s="112"/>
      <c r="D10274" s="5"/>
      <c r="E10274" s="5"/>
      <c r="F10274" s="5"/>
      <c r="G10274" s="5"/>
      <c r="H10274" s="5"/>
      <c r="I10274" s="5"/>
      <c r="J10274" s="5"/>
      <c r="K10274" s="5"/>
    </row>
    <row r="10275" spans="3:11" x14ac:dyDescent="0.35">
      <c r="C10275" s="112"/>
      <c r="D10275" s="5"/>
      <c r="E10275" s="5"/>
      <c r="F10275" s="5"/>
      <c r="G10275" s="5"/>
      <c r="H10275" s="5"/>
      <c r="I10275" s="5"/>
      <c r="J10275" s="5"/>
      <c r="K10275" s="5"/>
    </row>
    <row r="10276" spans="3:11" x14ac:dyDescent="0.35">
      <c r="C10276" s="112"/>
      <c r="D10276" s="5"/>
      <c r="E10276" s="5"/>
      <c r="F10276" s="5"/>
      <c r="G10276" s="5"/>
      <c r="H10276" s="5"/>
      <c r="I10276" s="5"/>
      <c r="J10276" s="5"/>
      <c r="K10276" s="5"/>
    </row>
    <row r="10277" spans="3:11" x14ac:dyDescent="0.35">
      <c r="C10277" s="112"/>
      <c r="D10277" s="5"/>
      <c r="E10277" s="5"/>
      <c r="F10277" s="5"/>
      <c r="G10277" s="5"/>
      <c r="H10277" s="5"/>
      <c r="I10277" s="5"/>
      <c r="J10277" s="5"/>
      <c r="K10277" s="5"/>
    </row>
    <row r="10278" spans="3:11" x14ac:dyDescent="0.35">
      <c r="C10278" s="112"/>
      <c r="D10278" s="5"/>
      <c r="E10278" s="5"/>
      <c r="F10278" s="5"/>
      <c r="G10278" s="5"/>
      <c r="H10278" s="5"/>
      <c r="I10278" s="5"/>
      <c r="J10278" s="5"/>
      <c r="K10278" s="5"/>
    </row>
    <row r="10279" spans="3:11" x14ac:dyDescent="0.35">
      <c r="C10279" s="112"/>
      <c r="D10279" s="5"/>
      <c r="E10279" s="5"/>
      <c r="F10279" s="5"/>
      <c r="G10279" s="5"/>
      <c r="H10279" s="5"/>
      <c r="I10279" s="5"/>
      <c r="J10279" s="5"/>
      <c r="K10279" s="5"/>
    </row>
    <row r="10280" spans="3:11" x14ac:dyDescent="0.35">
      <c r="C10280" s="112"/>
      <c r="D10280" s="5"/>
      <c r="E10280" s="5"/>
      <c r="F10280" s="5"/>
      <c r="G10280" s="5"/>
      <c r="H10280" s="5"/>
      <c r="I10280" s="5"/>
      <c r="J10280" s="5"/>
      <c r="K10280" s="5"/>
    </row>
    <row r="10281" spans="3:11" x14ac:dyDescent="0.35">
      <c r="C10281" s="112"/>
      <c r="D10281" s="5"/>
      <c r="E10281" s="5"/>
      <c r="F10281" s="5"/>
      <c r="G10281" s="5"/>
      <c r="H10281" s="5"/>
      <c r="I10281" s="5"/>
      <c r="J10281" s="5"/>
      <c r="K10281" s="5"/>
    </row>
    <row r="10282" spans="3:11" x14ac:dyDescent="0.35">
      <c r="C10282" s="112"/>
      <c r="D10282" s="5"/>
      <c r="E10282" s="5"/>
      <c r="F10282" s="5"/>
      <c r="G10282" s="5"/>
      <c r="H10282" s="5"/>
      <c r="I10282" s="5"/>
      <c r="J10282" s="5"/>
      <c r="K10282" s="5"/>
    </row>
    <row r="10283" spans="3:11" x14ac:dyDescent="0.35">
      <c r="C10283" s="112"/>
      <c r="D10283" s="5"/>
      <c r="E10283" s="5"/>
      <c r="F10283" s="5"/>
      <c r="G10283" s="5"/>
      <c r="H10283" s="5"/>
      <c r="I10283" s="5"/>
      <c r="J10283" s="5"/>
      <c r="K10283" s="5"/>
    </row>
    <row r="10284" spans="3:11" x14ac:dyDescent="0.35">
      <c r="C10284" s="112"/>
      <c r="D10284" s="5"/>
      <c r="E10284" s="5"/>
      <c r="F10284" s="5"/>
      <c r="G10284" s="5"/>
      <c r="H10284" s="5"/>
      <c r="I10284" s="5"/>
      <c r="J10284" s="5"/>
      <c r="K10284" s="5"/>
    </row>
    <row r="10285" spans="3:11" x14ac:dyDescent="0.35">
      <c r="C10285" s="112"/>
      <c r="D10285" s="5"/>
      <c r="E10285" s="5"/>
      <c r="F10285" s="5"/>
      <c r="G10285" s="5"/>
      <c r="H10285" s="5"/>
      <c r="I10285" s="5"/>
      <c r="J10285" s="5"/>
      <c r="K10285" s="5"/>
    </row>
    <row r="10286" spans="3:11" x14ac:dyDescent="0.35">
      <c r="C10286" s="112"/>
      <c r="D10286" s="5"/>
      <c r="E10286" s="5"/>
      <c r="F10286" s="5"/>
      <c r="G10286" s="5"/>
      <c r="H10286" s="5"/>
      <c r="I10286" s="5"/>
      <c r="J10286" s="5"/>
      <c r="K10286" s="5"/>
    </row>
    <row r="10287" spans="3:11" x14ac:dyDescent="0.35">
      <c r="C10287" s="112"/>
      <c r="D10287" s="5"/>
      <c r="E10287" s="5"/>
      <c r="F10287" s="5"/>
      <c r="G10287" s="5"/>
      <c r="H10287" s="5"/>
      <c r="I10287" s="5"/>
      <c r="J10287" s="5"/>
      <c r="K10287" s="5"/>
    </row>
    <row r="10288" spans="3:11" x14ac:dyDescent="0.35">
      <c r="C10288" s="112"/>
      <c r="D10288" s="5"/>
      <c r="E10288" s="5"/>
      <c r="F10288" s="5"/>
      <c r="G10288" s="5"/>
      <c r="H10288" s="5"/>
      <c r="I10288" s="5"/>
      <c r="J10288" s="5"/>
      <c r="K10288" s="5"/>
    </row>
    <row r="10289" spans="3:11" x14ac:dyDescent="0.35">
      <c r="C10289" s="112"/>
      <c r="D10289" s="5"/>
      <c r="E10289" s="5"/>
      <c r="F10289" s="5"/>
      <c r="G10289" s="5"/>
      <c r="H10289" s="5"/>
      <c r="I10289" s="5"/>
      <c r="J10289" s="5"/>
      <c r="K10289" s="5"/>
    </row>
    <row r="10290" spans="3:11" x14ac:dyDescent="0.35">
      <c r="C10290" s="112"/>
      <c r="D10290" s="5"/>
      <c r="E10290" s="5"/>
      <c r="F10290" s="5"/>
      <c r="G10290" s="5"/>
      <c r="H10290" s="5"/>
      <c r="I10290" s="5"/>
      <c r="J10290" s="5"/>
      <c r="K10290" s="5"/>
    </row>
    <row r="10291" spans="3:11" x14ac:dyDescent="0.35">
      <c r="C10291" s="112"/>
      <c r="D10291" s="5"/>
      <c r="E10291" s="5"/>
      <c r="F10291" s="5"/>
      <c r="G10291" s="5"/>
      <c r="H10291" s="5"/>
      <c r="I10291" s="5"/>
      <c r="J10291" s="5"/>
      <c r="K10291" s="5"/>
    </row>
    <row r="10292" spans="3:11" x14ac:dyDescent="0.35">
      <c r="C10292" s="112"/>
      <c r="D10292" s="5"/>
      <c r="E10292" s="5"/>
      <c r="F10292" s="5"/>
      <c r="G10292" s="5"/>
      <c r="H10292" s="5"/>
      <c r="I10292" s="5"/>
      <c r="J10292" s="5"/>
      <c r="K10292" s="5"/>
    </row>
    <row r="10293" spans="3:11" x14ac:dyDescent="0.35">
      <c r="C10293" s="112"/>
      <c r="D10293" s="5"/>
      <c r="E10293" s="5"/>
      <c r="F10293" s="5"/>
      <c r="G10293" s="5"/>
      <c r="H10293" s="5"/>
      <c r="I10293" s="5"/>
      <c r="J10293" s="5"/>
      <c r="K10293" s="5"/>
    </row>
    <row r="10294" spans="3:11" x14ac:dyDescent="0.35">
      <c r="C10294" s="112"/>
      <c r="D10294" s="5"/>
      <c r="E10294" s="5"/>
      <c r="F10294" s="5"/>
      <c r="G10294" s="5"/>
      <c r="H10294" s="5"/>
      <c r="I10294" s="5"/>
      <c r="J10294" s="5"/>
      <c r="K10294" s="5"/>
    </row>
    <row r="10295" spans="3:11" x14ac:dyDescent="0.35">
      <c r="C10295" s="112"/>
      <c r="D10295" s="5"/>
      <c r="E10295" s="5"/>
      <c r="F10295" s="5"/>
      <c r="G10295" s="5"/>
      <c r="H10295" s="5"/>
      <c r="I10295" s="5"/>
      <c r="J10295" s="5"/>
      <c r="K10295" s="5"/>
    </row>
    <row r="10296" spans="3:11" x14ac:dyDescent="0.35">
      <c r="C10296" s="112"/>
      <c r="D10296" s="5"/>
      <c r="E10296" s="5"/>
      <c r="F10296" s="5"/>
      <c r="G10296" s="5"/>
      <c r="H10296" s="5"/>
      <c r="I10296" s="5"/>
      <c r="J10296" s="5"/>
      <c r="K10296" s="5"/>
    </row>
    <row r="10297" spans="3:11" x14ac:dyDescent="0.35">
      <c r="C10297" s="112"/>
      <c r="D10297" s="5"/>
      <c r="E10297" s="5"/>
      <c r="F10297" s="5"/>
      <c r="G10297" s="5"/>
      <c r="H10297" s="5"/>
      <c r="I10297" s="5"/>
      <c r="J10297" s="5"/>
      <c r="K10297" s="5"/>
    </row>
    <row r="10298" spans="3:11" x14ac:dyDescent="0.35">
      <c r="C10298" s="112"/>
      <c r="D10298" s="5"/>
      <c r="E10298" s="5"/>
      <c r="F10298" s="5"/>
      <c r="G10298" s="5"/>
      <c r="H10298" s="5"/>
      <c r="I10298" s="5"/>
      <c r="J10298" s="5"/>
      <c r="K10298" s="5"/>
    </row>
    <row r="10299" spans="3:11" x14ac:dyDescent="0.35">
      <c r="C10299" s="112"/>
      <c r="D10299" s="5"/>
      <c r="E10299" s="5"/>
      <c r="F10299" s="5"/>
      <c r="G10299" s="5"/>
      <c r="H10299" s="5"/>
      <c r="I10299" s="5"/>
      <c r="J10299" s="5"/>
      <c r="K10299" s="5"/>
    </row>
    <row r="10300" spans="3:11" x14ac:dyDescent="0.35">
      <c r="C10300" s="112"/>
      <c r="D10300" s="5"/>
      <c r="E10300" s="5"/>
      <c r="F10300" s="5"/>
      <c r="G10300" s="5"/>
      <c r="H10300" s="5"/>
      <c r="I10300" s="5"/>
      <c r="J10300" s="5"/>
      <c r="K10300" s="5"/>
    </row>
    <row r="10301" spans="3:11" x14ac:dyDescent="0.35">
      <c r="C10301" s="112"/>
      <c r="D10301" s="5"/>
      <c r="E10301" s="5"/>
      <c r="F10301" s="5"/>
      <c r="G10301" s="5"/>
      <c r="H10301" s="5"/>
      <c r="I10301" s="5"/>
      <c r="J10301" s="5"/>
      <c r="K10301" s="5"/>
    </row>
    <row r="10302" spans="3:11" x14ac:dyDescent="0.35">
      <c r="C10302" s="112"/>
      <c r="D10302" s="5"/>
      <c r="E10302" s="5"/>
      <c r="F10302" s="5"/>
      <c r="G10302" s="5"/>
      <c r="H10302" s="5"/>
      <c r="I10302" s="5"/>
      <c r="J10302" s="5"/>
      <c r="K10302" s="5"/>
    </row>
    <row r="10303" spans="3:11" x14ac:dyDescent="0.35">
      <c r="C10303" s="112"/>
      <c r="D10303" s="5"/>
      <c r="E10303" s="5"/>
      <c r="F10303" s="5"/>
      <c r="G10303" s="5"/>
      <c r="H10303" s="5"/>
      <c r="I10303" s="5"/>
      <c r="J10303" s="5"/>
      <c r="K10303" s="5"/>
    </row>
    <row r="10304" spans="3:11" x14ac:dyDescent="0.35">
      <c r="C10304" s="112"/>
      <c r="D10304" s="5"/>
      <c r="E10304" s="5"/>
      <c r="F10304" s="5"/>
      <c r="G10304" s="5"/>
      <c r="H10304" s="5"/>
      <c r="I10304" s="5"/>
      <c r="J10304" s="5"/>
      <c r="K10304" s="5"/>
    </row>
    <row r="10305" spans="3:11" x14ac:dyDescent="0.35">
      <c r="C10305" s="112"/>
      <c r="D10305" s="5"/>
      <c r="E10305" s="5"/>
      <c r="F10305" s="5"/>
      <c r="G10305" s="5"/>
      <c r="H10305" s="5"/>
      <c r="I10305" s="5"/>
      <c r="J10305" s="5"/>
      <c r="K10305" s="5"/>
    </row>
    <row r="10306" spans="3:11" x14ac:dyDescent="0.35">
      <c r="C10306" s="112"/>
      <c r="D10306" s="5"/>
      <c r="E10306" s="5"/>
      <c r="F10306" s="5"/>
      <c r="G10306" s="5"/>
      <c r="H10306" s="5"/>
      <c r="I10306" s="5"/>
      <c r="J10306" s="5"/>
      <c r="K10306" s="5"/>
    </row>
    <row r="10307" spans="3:11" x14ac:dyDescent="0.35">
      <c r="C10307" s="112"/>
      <c r="D10307" s="5"/>
      <c r="E10307" s="5"/>
      <c r="F10307" s="5"/>
      <c r="G10307" s="5"/>
      <c r="H10307" s="5"/>
      <c r="I10307" s="5"/>
      <c r="J10307" s="5"/>
      <c r="K10307" s="5"/>
    </row>
    <row r="10308" spans="3:11" x14ac:dyDescent="0.35">
      <c r="C10308" s="112"/>
      <c r="D10308" s="5"/>
      <c r="E10308" s="5"/>
      <c r="F10308" s="5"/>
      <c r="G10308" s="5"/>
      <c r="H10308" s="5"/>
      <c r="I10308" s="5"/>
      <c r="J10308" s="5"/>
      <c r="K10308" s="5"/>
    </row>
    <row r="10309" spans="3:11" x14ac:dyDescent="0.35">
      <c r="C10309" s="112"/>
      <c r="D10309" s="5"/>
      <c r="E10309" s="5"/>
      <c r="F10309" s="5"/>
      <c r="G10309" s="5"/>
      <c r="H10309" s="5"/>
      <c r="I10309" s="5"/>
      <c r="J10309" s="5"/>
      <c r="K10309" s="5"/>
    </row>
    <row r="10310" spans="3:11" x14ac:dyDescent="0.35">
      <c r="C10310" s="112"/>
      <c r="D10310" s="5"/>
      <c r="E10310" s="5"/>
      <c r="F10310" s="5"/>
      <c r="G10310" s="5"/>
      <c r="H10310" s="5"/>
      <c r="I10310" s="5"/>
      <c r="J10310" s="5"/>
      <c r="K10310" s="5"/>
    </row>
    <row r="10311" spans="3:11" x14ac:dyDescent="0.35">
      <c r="C10311" s="112"/>
      <c r="D10311" s="5"/>
      <c r="E10311" s="5"/>
      <c r="F10311" s="5"/>
      <c r="G10311" s="5"/>
      <c r="H10311" s="5"/>
      <c r="I10311" s="5"/>
      <c r="J10311" s="5"/>
      <c r="K10311" s="5"/>
    </row>
    <row r="10312" spans="3:11" x14ac:dyDescent="0.35">
      <c r="C10312" s="112"/>
      <c r="D10312" s="5"/>
      <c r="E10312" s="5"/>
      <c r="F10312" s="5"/>
      <c r="G10312" s="5"/>
      <c r="H10312" s="5"/>
      <c r="I10312" s="5"/>
      <c r="J10312" s="5"/>
      <c r="K10312" s="5"/>
    </row>
    <row r="10313" spans="3:11" x14ac:dyDescent="0.35">
      <c r="C10313" s="112"/>
      <c r="D10313" s="5"/>
      <c r="E10313" s="5"/>
      <c r="F10313" s="5"/>
      <c r="G10313" s="5"/>
      <c r="H10313" s="5"/>
      <c r="I10313" s="5"/>
      <c r="J10313" s="5"/>
      <c r="K10313" s="5"/>
    </row>
    <row r="10314" spans="3:11" x14ac:dyDescent="0.35">
      <c r="C10314" s="112"/>
      <c r="D10314" s="5"/>
      <c r="E10314" s="5"/>
      <c r="F10314" s="5"/>
      <c r="G10314" s="5"/>
      <c r="H10314" s="5"/>
      <c r="I10314" s="5"/>
      <c r="J10314" s="5"/>
      <c r="K10314" s="5"/>
    </row>
    <row r="10315" spans="3:11" x14ac:dyDescent="0.35">
      <c r="C10315" s="112"/>
      <c r="D10315" s="5"/>
      <c r="E10315" s="5"/>
      <c r="F10315" s="5"/>
      <c r="G10315" s="5"/>
      <c r="H10315" s="5"/>
      <c r="I10315" s="5"/>
      <c r="J10315" s="5"/>
      <c r="K10315" s="5"/>
    </row>
    <row r="10316" spans="3:11" x14ac:dyDescent="0.35">
      <c r="C10316" s="112"/>
      <c r="D10316" s="5"/>
      <c r="E10316" s="5"/>
      <c r="F10316" s="5"/>
      <c r="G10316" s="5"/>
      <c r="H10316" s="5"/>
      <c r="I10316" s="5"/>
      <c r="J10316" s="5"/>
      <c r="K10316" s="5"/>
    </row>
    <row r="10317" spans="3:11" x14ac:dyDescent="0.35">
      <c r="C10317" s="112"/>
      <c r="D10317" s="5"/>
      <c r="E10317" s="5"/>
      <c r="F10317" s="5"/>
      <c r="G10317" s="5"/>
      <c r="H10317" s="5"/>
      <c r="I10317" s="5"/>
      <c r="J10317" s="5"/>
      <c r="K10317" s="5"/>
    </row>
    <row r="10318" spans="3:11" x14ac:dyDescent="0.35">
      <c r="C10318" s="112"/>
      <c r="D10318" s="5"/>
      <c r="E10318" s="5"/>
      <c r="F10318" s="5"/>
      <c r="G10318" s="5"/>
      <c r="H10318" s="5"/>
      <c r="I10318" s="5"/>
      <c r="J10318" s="5"/>
      <c r="K10318" s="5"/>
    </row>
    <row r="10319" spans="3:11" x14ac:dyDescent="0.35">
      <c r="C10319" s="112"/>
      <c r="D10319" s="5"/>
      <c r="E10319" s="5"/>
      <c r="F10319" s="5"/>
      <c r="G10319" s="5"/>
      <c r="H10319" s="5"/>
      <c r="I10319" s="5"/>
      <c r="J10319" s="5"/>
      <c r="K10319" s="5"/>
    </row>
    <row r="10320" spans="3:11" x14ac:dyDescent="0.35">
      <c r="C10320" s="112"/>
      <c r="D10320" s="5"/>
      <c r="E10320" s="5"/>
      <c r="F10320" s="5"/>
      <c r="G10320" s="5"/>
      <c r="H10320" s="5"/>
      <c r="I10320" s="5"/>
      <c r="J10320" s="5"/>
      <c r="K10320" s="5"/>
    </row>
    <row r="10321" spans="3:11" x14ac:dyDescent="0.35">
      <c r="C10321" s="112"/>
      <c r="D10321" s="5"/>
      <c r="E10321" s="5"/>
      <c r="F10321" s="5"/>
      <c r="G10321" s="5"/>
      <c r="H10321" s="5"/>
      <c r="I10321" s="5"/>
      <c r="J10321" s="5"/>
      <c r="K10321" s="5"/>
    </row>
    <row r="10322" spans="3:11" x14ac:dyDescent="0.35">
      <c r="C10322" s="112"/>
      <c r="D10322" s="5"/>
      <c r="E10322" s="5"/>
      <c r="F10322" s="5"/>
      <c r="G10322" s="5"/>
      <c r="H10322" s="5"/>
      <c r="I10322" s="5"/>
      <c r="J10322" s="5"/>
      <c r="K10322" s="5"/>
    </row>
    <row r="10323" spans="3:11" x14ac:dyDescent="0.35">
      <c r="C10323" s="112"/>
      <c r="D10323" s="5"/>
      <c r="E10323" s="5"/>
      <c r="F10323" s="5"/>
      <c r="G10323" s="5"/>
      <c r="H10323" s="5"/>
      <c r="I10323" s="5"/>
      <c r="J10323" s="5"/>
      <c r="K10323" s="5"/>
    </row>
    <row r="10324" spans="3:11" x14ac:dyDescent="0.35">
      <c r="C10324" s="112"/>
      <c r="D10324" s="5"/>
      <c r="E10324" s="5"/>
      <c r="F10324" s="5"/>
      <c r="G10324" s="5"/>
      <c r="H10324" s="5"/>
      <c r="I10324" s="5"/>
      <c r="J10324" s="5"/>
      <c r="K10324" s="5"/>
    </row>
    <row r="10325" spans="3:11" x14ac:dyDescent="0.35">
      <c r="C10325" s="112"/>
      <c r="D10325" s="5"/>
      <c r="E10325" s="5"/>
      <c r="F10325" s="5"/>
      <c r="G10325" s="5"/>
      <c r="H10325" s="5"/>
      <c r="I10325" s="5"/>
      <c r="J10325" s="5"/>
      <c r="K10325" s="5"/>
    </row>
    <row r="10326" spans="3:11" x14ac:dyDescent="0.35">
      <c r="C10326" s="112"/>
      <c r="D10326" s="5"/>
      <c r="E10326" s="5"/>
      <c r="F10326" s="5"/>
      <c r="G10326" s="5"/>
      <c r="H10326" s="5"/>
      <c r="I10326" s="5"/>
      <c r="J10326" s="5"/>
      <c r="K10326" s="5"/>
    </row>
    <row r="10327" spans="3:11" x14ac:dyDescent="0.35">
      <c r="C10327" s="112"/>
      <c r="D10327" s="5"/>
      <c r="E10327" s="5"/>
      <c r="F10327" s="5"/>
      <c r="G10327" s="5"/>
      <c r="H10327" s="5"/>
      <c r="I10327" s="5"/>
      <c r="J10327" s="5"/>
      <c r="K10327" s="5"/>
    </row>
    <row r="10328" spans="3:11" x14ac:dyDescent="0.35">
      <c r="C10328" s="112"/>
      <c r="D10328" s="5"/>
      <c r="E10328" s="5"/>
      <c r="F10328" s="5"/>
      <c r="G10328" s="5"/>
      <c r="H10328" s="5"/>
      <c r="I10328" s="5"/>
      <c r="J10328" s="5"/>
      <c r="K10328" s="5"/>
    </row>
    <row r="10329" spans="3:11" x14ac:dyDescent="0.35">
      <c r="C10329" s="112"/>
      <c r="D10329" s="5"/>
      <c r="E10329" s="5"/>
      <c r="F10329" s="5"/>
      <c r="G10329" s="5"/>
      <c r="H10329" s="5"/>
      <c r="I10329" s="5"/>
      <c r="J10329" s="5"/>
      <c r="K10329" s="5"/>
    </row>
    <row r="10330" spans="3:11" x14ac:dyDescent="0.35">
      <c r="C10330" s="112"/>
      <c r="D10330" s="5"/>
      <c r="E10330" s="5"/>
      <c r="F10330" s="5"/>
      <c r="G10330" s="5"/>
      <c r="H10330" s="5"/>
      <c r="I10330" s="5"/>
      <c r="J10330" s="5"/>
      <c r="K10330" s="5"/>
    </row>
    <row r="10331" spans="3:11" x14ac:dyDescent="0.35">
      <c r="C10331" s="112"/>
      <c r="D10331" s="5"/>
      <c r="E10331" s="5"/>
      <c r="F10331" s="5"/>
      <c r="G10331" s="5"/>
      <c r="H10331" s="5"/>
      <c r="I10331" s="5"/>
      <c r="J10331" s="5"/>
      <c r="K10331" s="5"/>
    </row>
    <row r="10332" spans="3:11" x14ac:dyDescent="0.35">
      <c r="C10332" s="112"/>
      <c r="D10332" s="5"/>
      <c r="E10332" s="5"/>
      <c r="F10332" s="5"/>
      <c r="G10332" s="5"/>
      <c r="H10332" s="5"/>
      <c r="I10332" s="5"/>
      <c r="J10332" s="5"/>
      <c r="K10332" s="5"/>
    </row>
    <row r="10333" spans="3:11" x14ac:dyDescent="0.35">
      <c r="C10333" s="112"/>
      <c r="D10333" s="5"/>
      <c r="E10333" s="5"/>
      <c r="F10333" s="5"/>
      <c r="G10333" s="5"/>
      <c r="H10333" s="5"/>
      <c r="I10333" s="5"/>
      <c r="J10333" s="5"/>
      <c r="K10333" s="5"/>
    </row>
    <row r="10334" spans="3:11" x14ac:dyDescent="0.35">
      <c r="C10334" s="112"/>
      <c r="D10334" s="5"/>
      <c r="E10334" s="5"/>
      <c r="F10334" s="5"/>
      <c r="G10334" s="5"/>
      <c r="H10334" s="5"/>
      <c r="I10334" s="5"/>
      <c r="J10334" s="5"/>
      <c r="K10334" s="5"/>
    </row>
    <row r="10335" spans="3:11" x14ac:dyDescent="0.35">
      <c r="C10335" s="112"/>
      <c r="D10335" s="5"/>
      <c r="E10335" s="5"/>
      <c r="F10335" s="5"/>
      <c r="G10335" s="5"/>
      <c r="H10335" s="5"/>
      <c r="I10335" s="5"/>
      <c r="J10335" s="5"/>
      <c r="K10335" s="5"/>
    </row>
    <row r="10336" spans="3:11" x14ac:dyDescent="0.35">
      <c r="C10336" s="112"/>
      <c r="D10336" s="5"/>
      <c r="E10336" s="5"/>
      <c r="F10336" s="5"/>
      <c r="G10336" s="5"/>
      <c r="H10336" s="5"/>
      <c r="I10336" s="5"/>
      <c r="J10336" s="5"/>
      <c r="K10336" s="5"/>
    </row>
    <row r="10337" spans="3:11" x14ac:dyDescent="0.35">
      <c r="C10337" s="112"/>
      <c r="D10337" s="5"/>
      <c r="E10337" s="5"/>
      <c r="F10337" s="5"/>
      <c r="G10337" s="5"/>
      <c r="H10337" s="5"/>
      <c r="I10337" s="5"/>
      <c r="J10337" s="5"/>
      <c r="K10337" s="5"/>
    </row>
    <row r="10338" spans="3:11" x14ac:dyDescent="0.35">
      <c r="C10338" s="112"/>
      <c r="D10338" s="5"/>
      <c r="E10338" s="5"/>
      <c r="F10338" s="5"/>
      <c r="G10338" s="5"/>
      <c r="H10338" s="5"/>
      <c r="I10338" s="5"/>
      <c r="J10338" s="5"/>
      <c r="K10338" s="5"/>
    </row>
    <row r="10339" spans="3:11" x14ac:dyDescent="0.35">
      <c r="C10339" s="112"/>
      <c r="D10339" s="5"/>
      <c r="E10339" s="5"/>
      <c r="F10339" s="5"/>
      <c r="G10339" s="5"/>
      <c r="H10339" s="5"/>
      <c r="I10339" s="5"/>
      <c r="J10339" s="5"/>
      <c r="K10339" s="5"/>
    </row>
    <row r="10340" spans="3:11" x14ac:dyDescent="0.35">
      <c r="C10340" s="112"/>
      <c r="D10340" s="5"/>
      <c r="E10340" s="5"/>
      <c r="F10340" s="5"/>
      <c r="G10340" s="5"/>
      <c r="H10340" s="5"/>
      <c r="I10340" s="5"/>
      <c r="J10340" s="5"/>
      <c r="K10340" s="5"/>
    </row>
    <row r="10341" spans="3:11" x14ac:dyDescent="0.35">
      <c r="C10341" s="112"/>
      <c r="D10341" s="5"/>
      <c r="E10341" s="5"/>
      <c r="F10341" s="5"/>
      <c r="G10341" s="5"/>
      <c r="H10341" s="5"/>
      <c r="I10341" s="5"/>
      <c r="J10341" s="5"/>
      <c r="K10341" s="5"/>
    </row>
    <row r="10342" spans="3:11" x14ac:dyDescent="0.35">
      <c r="C10342" s="112"/>
      <c r="D10342" s="5"/>
      <c r="E10342" s="5"/>
      <c r="F10342" s="5"/>
      <c r="G10342" s="5"/>
      <c r="H10342" s="5"/>
      <c r="I10342" s="5"/>
      <c r="J10342" s="5"/>
      <c r="K10342" s="5"/>
    </row>
    <row r="10343" spans="3:11" x14ac:dyDescent="0.35">
      <c r="C10343" s="112"/>
      <c r="D10343" s="5"/>
      <c r="E10343" s="5"/>
      <c r="F10343" s="5"/>
      <c r="G10343" s="5"/>
      <c r="H10343" s="5"/>
      <c r="I10343" s="5"/>
      <c r="J10343" s="5"/>
      <c r="K10343" s="5"/>
    </row>
    <row r="10344" spans="3:11" x14ac:dyDescent="0.35">
      <c r="C10344" s="112"/>
      <c r="D10344" s="5"/>
      <c r="E10344" s="5"/>
      <c r="F10344" s="5"/>
      <c r="G10344" s="5"/>
      <c r="H10344" s="5"/>
      <c r="I10344" s="5"/>
      <c r="J10344" s="5"/>
      <c r="K10344" s="5"/>
    </row>
    <row r="10345" spans="3:11" x14ac:dyDescent="0.35">
      <c r="C10345" s="112"/>
      <c r="D10345" s="5"/>
      <c r="E10345" s="5"/>
      <c r="F10345" s="5"/>
      <c r="G10345" s="5"/>
      <c r="H10345" s="5"/>
      <c r="I10345" s="5"/>
      <c r="J10345" s="5"/>
      <c r="K10345" s="5"/>
    </row>
    <row r="10346" spans="3:11" x14ac:dyDescent="0.35">
      <c r="C10346" s="112"/>
      <c r="D10346" s="5"/>
      <c r="E10346" s="5"/>
      <c r="F10346" s="5"/>
      <c r="G10346" s="5"/>
      <c r="H10346" s="5"/>
      <c r="I10346" s="5"/>
      <c r="J10346" s="5"/>
      <c r="K10346" s="5"/>
    </row>
    <row r="10347" spans="3:11" x14ac:dyDescent="0.35">
      <c r="C10347" s="112"/>
      <c r="D10347" s="5"/>
      <c r="E10347" s="5"/>
      <c r="F10347" s="5"/>
      <c r="G10347" s="5"/>
      <c r="H10347" s="5"/>
      <c r="I10347" s="5"/>
      <c r="J10347" s="5"/>
      <c r="K10347" s="5"/>
    </row>
    <row r="10348" spans="3:11" x14ac:dyDescent="0.35">
      <c r="C10348" s="112"/>
      <c r="D10348" s="5"/>
      <c r="E10348" s="5"/>
      <c r="F10348" s="5"/>
      <c r="G10348" s="5"/>
      <c r="H10348" s="5"/>
      <c r="I10348" s="5"/>
      <c r="J10348" s="5"/>
      <c r="K10348" s="5"/>
    </row>
    <row r="10349" spans="3:11" x14ac:dyDescent="0.35">
      <c r="C10349" s="112"/>
      <c r="D10349" s="5"/>
      <c r="E10349" s="5"/>
      <c r="F10349" s="5"/>
      <c r="G10349" s="5"/>
      <c r="H10349" s="5"/>
      <c r="I10349" s="5"/>
      <c r="J10349" s="5"/>
      <c r="K10349" s="5"/>
    </row>
    <row r="10350" spans="3:11" x14ac:dyDescent="0.35">
      <c r="C10350" s="112"/>
      <c r="D10350" s="5"/>
      <c r="E10350" s="5"/>
      <c r="F10350" s="5"/>
      <c r="G10350" s="5"/>
      <c r="H10350" s="5"/>
      <c r="I10350" s="5"/>
      <c r="J10350" s="5"/>
      <c r="K10350" s="5"/>
    </row>
    <row r="10351" spans="3:11" x14ac:dyDescent="0.35">
      <c r="C10351" s="112"/>
      <c r="D10351" s="5"/>
      <c r="E10351" s="5"/>
      <c r="F10351" s="5"/>
      <c r="G10351" s="5"/>
      <c r="H10351" s="5"/>
      <c r="I10351" s="5"/>
      <c r="J10351" s="5"/>
      <c r="K10351" s="5"/>
    </row>
    <row r="10352" spans="3:11" x14ac:dyDescent="0.35">
      <c r="C10352" s="112"/>
      <c r="D10352" s="5"/>
      <c r="E10352" s="5"/>
      <c r="F10352" s="5"/>
      <c r="G10352" s="5"/>
      <c r="H10352" s="5"/>
      <c r="I10352" s="5"/>
      <c r="J10352" s="5"/>
      <c r="K10352" s="5"/>
    </row>
    <row r="10353" spans="3:11" x14ac:dyDescent="0.35">
      <c r="C10353" s="112"/>
      <c r="D10353" s="5"/>
      <c r="E10353" s="5"/>
      <c r="F10353" s="5"/>
      <c r="G10353" s="5"/>
      <c r="H10353" s="5"/>
      <c r="I10353" s="5"/>
      <c r="J10353" s="5"/>
      <c r="K10353" s="5"/>
    </row>
    <row r="10354" spans="3:11" x14ac:dyDescent="0.35">
      <c r="C10354" s="112"/>
      <c r="D10354" s="5"/>
      <c r="E10354" s="5"/>
      <c r="F10354" s="5"/>
      <c r="G10354" s="5"/>
      <c r="H10354" s="5"/>
      <c r="I10354" s="5"/>
      <c r="J10354" s="5"/>
      <c r="K10354" s="5"/>
    </row>
    <row r="10355" spans="3:11" x14ac:dyDescent="0.35">
      <c r="C10355" s="112"/>
      <c r="D10355" s="5"/>
      <c r="E10355" s="5"/>
      <c r="F10355" s="5"/>
      <c r="G10355" s="5"/>
      <c r="H10355" s="5"/>
      <c r="I10355" s="5"/>
      <c r="J10355" s="5"/>
      <c r="K10355" s="5"/>
    </row>
    <row r="10356" spans="3:11" x14ac:dyDescent="0.35">
      <c r="C10356" s="112"/>
      <c r="D10356" s="5"/>
      <c r="E10356" s="5"/>
      <c r="F10356" s="5"/>
      <c r="G10356" s="5"/>
      <c r="H10356" s="5"/>
      <c r="I10356" s="5"/>
      <c r="J10356" s="5"/>
      <c r="K10356" s="5"/>
    </row>
    <row r="10357" spans="3:11" x14ac:dyDescent="0.35">
      <c r="C10357" s="112"/>
      <c r="D10357" s="5"/>
      <c r="E10357" s="5"/>
      <c r="F10357" s="5"/>
      <c r="G10357" s="5"/>
      <c r="H10357" s="5"/>
      <c r="I10357" s="5"/>
      <c r="J10357" s="5"/>
      <c r="K10357" s="5"/>
    </row>
    <row r="10358" spans="3:11" x14ac:dyDescent="0.35">
      <c r="C10358" s="112"/>
      <c r="D10358" s="5"/>
      <c r="E10358" s="5"/>
      <c r="F10358" s="5"/>
      <c r="G10358" s="5"/>
      <c r="H10358" s="5"/>
      <c r="I10358" s="5"/>
      <c r="J10358" s="5"/>
      <c r="K10358" s="5"/>
    </row>
    <row r="10359" spans="3:11" x14ac:dyDescent="0.35">
      <c r="C10359" s="112"/>
      <c r="D10359" s="5"/>
      <c r="E10359" s="5"/>
      <c r="F10359" s="5"/>
      <c r="G10359" s="5"/>
      <c r="H10359" s="5"/>
      <c r="I10359" s="5"/>
      <c r="J10359" s="5"/>
      <c r="K10359" s="5"/>
    </row>
    <row r="10360" spans="3:11" x14ac:dyDescent="0.35">
      <c r="C10360" s="112"/>
      <c r="D10360" s="5"/>
      <c r="E10360" s="5"/>
      <c r="F10360" s="5"/>
      <c r="G10360" s="5"/>
      <c r="H10360" s="5"/>
      <c r="I10360" s="5"/>
      <c r="J10360" s="5"/>
      <c r="K10360" s="5"/>
    </row>
    <row r="10361" spans="3:11" x14ac:dyDescent="0.35">
      <c r="C10361" s="112"/>
      <c r="D10361" s="5"/>
      <c r="E10361" s="5"/>
      <c r="F10361" s="5"/>
      <c r="G10361" s="5"/>
      <c r="H10361" s="5"/>
      <c r="I10361" s="5"/>
      <c r="J10361" s="5"/>
      <c r="K10361" s="5"/>
    </row>
    <row r="10362" spans="3:11" x14ac:dyDescent="0.35">
      <c r="C10362" s="112"/>
      <c r="D10362" s="5"/>
      <c r="E10362" s="5"/>
      <c r="F10362" s="5"/>
      <c r="G10362" s="5"/>
      <c r="H10362" s="5"/>
      <c r="I10362" s="5"/>
      <c r="J10362" s="5"/>
      <c r="K10362" s="5"/>
    </row>
    <row r="10363" spans="3:11" x14ac:dyDescent="0.35">
      <c r="C10363" s="112"/>
      <c r="D10363" s="5"/>
      <c r="E10363" s="5"/>
      <c r="F10363" s="5"/>
      <c r="G10363" s="5"/>
      <c r="H10363" s="5"/>
      <c r="I10363" s="5"/>
      <c r="J10363" s="5"/>
      <c r="K10363" s="5"/>
    </row>
    <row r="10364" spans="3:11" x14ac:dyDescent="0.35">
      <c r="C10364" s="112"/>
      <c r="D10364" s="5"/>
      <c r="E10364" s="5"/>
      <c r="F10364" s="5"/>
      <c r="G10364" s="5"/>
      <c r="H10364" s="5"/>
      <c r="I10364" s="5"/>
      <c r="J10364" s="5"/>
      <c r="K10364" s="5"/>
    </row>
    <row r="10365" spans="3:11" x14ac:dyDescent="0.35">
      <c r="C10365" s="112"/>
      <c r="D10365" s="5"/>
      <c r="E10365" s="5"/>
      <c r="F10365" s="5"/>
      <c r="G10365" s="5"/>
      <c r="H10365" s="5"/>
      <c r="I10365" s="5"/>
      <c r="J10365" s="5"/>
      <c r="K10365" s="5"/>
    </row>
    <row r="10366" spans="3:11" x14ac:dyDescent="0.35">
      <c r="C10366" s="112"/>
      <c r="D10366" s="5"/>
      <c r="E10366" s="5"/>
      <c r="F10366" s="5"/>
      <c r="G10366" s="5"/>
      <c r="H10366" s="5"/>
      <c r="I10366" s="5"/>
      <c r="J10366" s="5"/>
      <c r="K10366" s="5"/>
    </row>
    <row r="10367" spans="3:11" x14ac:dyDescent="0.35">
      <c r="C10367" s="112"/>
      <c r="D10367" s="5"/>
      <c r="E10367" s="5"/>
      <c r="F10367" s="5"/>
      <c r="G10367" s="5"/>
      <c r="H10367" s="5"/>
      <c r="I10367" s="5"/>
      <c r="J10367" s="5"/>
      <c r="K10367" s="5"/>
    </row>
    <row r="10368" spans="3:11" x14ac:dyDescent="0.35">
      <c r="C10368" s="112"/>
      <c r="D10368" s="5"/>
      <c r="E10368" s="5"/>
      <c r="F10368" s="5"/>
      <c r="G10368" s="5"/>
      <c r="H10368" s="5"/>
      <c r="I10368" s="5"/>
      <c r="J10368" s="5"/>
      <c r="K10368" s="5"/>
    </row>
    <row r="10369" spans="3:11" x14ac:dyDescent="0.35">
      <c r="C10369" s="112"/>
      <c r="D10369" s="5"/>
      <c r="E10369" s="5"/>
      <c r="F10369" s="5"/>
      <c r="G10369" s="5"/>
      <c r="H10369" s="5"/>
      <c r="I10369" s="5"/>
      <c r="J10369" s="5"/>
      <c r="K10369" s="5"/>
    </row>
    <row r="10370" spans="3:11" x14ac:dyDescent="0.35">
      <c r="C10370" s="112"/>
      <c r="D10370" s="5"/>
      <c r="E10370" s="5"/>
      <c r="F10370" s="5"/>
      <c r="G10370" s="5"/>
      <c r="H10370" s="5"/>
      <c r="I10370" s="5"/>
      <c r="J10370" s="5"/>
      <c r="K10370" s="5"/>
    </row>
    <row r="10371" spans="3:11" x14ac:dyDescent="0.35">
      <c r="C10371" s="112"/>
      <c r="D10371" s="5"/>
      <c r="E10371" s="5"/>
      <c r="F10371" s="5"/>
      <c r="G10371" s="5"/>
      <c r="H10371" s="5"/>
      <c r="I10371" s="5"/>
      <c r="J10371" s="5"/>
      <c r="K10371" s="5"/>
    </row>
    <row r="10372" spans="3:11" x14ac:dyDescent="0.35">
      <c r="C10372" s="112"/>
      <c r="D10372" s="5"/>
      <c r="E10372" s="5"/>
      <c r="F10372" s="5"/>
      <c r="G10372" s="5"/>
      <c r="H10372" s="5"/>
      <c r="I10372" s="5"/>
      <c r="J10372" s="5"/>
      <c r="K10372" s="5"/>
    </row>
    <row r="10373" spans="3:11" x14ac:dyDescent="0.35">
      <c r="C10373" s="112"/>
      <c r="D10373" s="5"/>
      <c r="E10373" s="5"/>
      <c r="F10373" s="5"/>
      <c r="G10373" s="5"/>
      <c r="H10373" s="5"/>
      <c r="I10373" s="5"/>
      <c r="J10373" s="5"/>
      <c r="K10373" s="5"/>
    </row>
    <row r="10374" spans="3:11" x14ac:dyDescent="0.35">
      <c r="C10374" s="112"/>
      <c r="D10374" s="5"/>
      <c r="E10374" s="5"/>
      <c r="F10374" s="5"/>
      <c r="G10374" s="5"/>
      <c r="H10374" s="5"/>
      <c r="I10374" s="5"/>
      <c r="J10374" s="5"/>
      <c r="K10374" s="5"/>
    </row>
    <row r="10375" spans="3:11" x14ac:dyDescent="0.35">
      <c r="C10375" s="112"/>
      <c r="D10375" s="5"/>
      <c r="E10375" s="5"/>
      <c r="F10375" s="5"/>
      <c r="G10375" s="5"/>
      <c r="H10375" s="5"/>
      <c r="I10375" s="5"/>
      <c r="J10375" s="5"/>
      <c r="K10375" s="5"/>
    </row>
    <row r="10376" spans="3:11" x14ac:dyDescent="0.35">
      <c r="C10376" s="112"/>
      <c r="D10376" s="5"/>
      <c r="E10376" s="5"/>
      <c r="F10376" s="5"/>
      <c r="G10376" s="5"/>
      <c r="H10376" s="5"/>
      <c r="I10376" s="5"/>
      <c r="J10376" s="5"/>
      <c r="K10376" s="5"/>
    </row>
    <row r="10377" spans="3:11" x14ac:dyDescent="0.35">
      <c r="C10377" s="112"/>
      <c r="D10377" s="5"/>
      <c r="E10377" s="5"/>
      <c r="F10377" s="5"/>
      <c r="G10377" s="5"/>
      <c r="H10377" s="5"/>
      <c r="I10377" s="5"/>
      <c r="J10377" s="5"/>
      <c r="K10377" s="5"/>
    </row>
    <row r="10378" spans="3:11" x14ac:dyDescent="0.35">
      <c r="C10378" s="112"/>
      <c r="D10378" s="5"/>
      <c r="E10378" s="5"/>
      <c r="F10378" s="5"/>
      <c r="G10378" s="5"/>
      <c r="H10378" s="5"/>
      <c r="I10378" s="5"/>
      <c r="J10378" s="5"/>
      <c r="K10378" s="5"/>
    </row>
    <row r="10379" spans="3:11" x14ac:dyDescent="0.35">
      <c r="C10379" s="112"/>
      <c r="D10379" s="5"/>
      <c r="E10379" s="5"/>
      <c r="F10379" s="5"/>
      <c r="G10379" s="5"/>
      <c r="H10379" s="5"/>
      <c r="I10379" s="5"/>
      <c r="J10379" s="5"/>
      <c r="K10379" s="5"/>
    </row>
    <row r="10380" spans="3:11" x14ac:dyDescent="0.35">
      <c r="C10380" s="112"/>
      <c r="D10380" s="5"/>
      <c r="E10380" s="5"/>
      <c r="F10380" s="5"/>
      <c r="G10380" s="5"/>
      <c r="H10380" s="5"/>
      <c r="I10380" s="5"/>
      <c r="J10380" s="5"/>
      <c r="K10380" s="5"/>
    </row>
    <row r="10381" spans="3:11" x14ac:dyDescent="0.35">
      <c r="C10381" s="112"/>
      <c r="D10381" s="5"/>
      <c r="E10381" s="5"/>
      <c r="F10381" s="5"/>
      <c r="G10381" s="5"/>
      <c r="H10381" s="5"/>
      <c r="I10381" s="5"/>
      <c r="J10381" s="5"/>
      <c r="K10381" s="5"/>
    </row>
    <row r="10382" spans="3:11" x14ac:dyDescent="0.35">
      <c r="C10382" s="112"/>
      <c r="D10382" s="5"/>
      <c r="E10382" s="5"/>
      <c r="F10382" s="5"/>
      <c r="G10382" s="5"/>
      <c r="H10382" s="5"/>
      <c r="I10382" s="5"/>
      <c r="J10382" s="5"/>
      <c r="K10382" s="5"/>
    </row>
    <row r="10383" spans="3:11" x14ac:dyDescent="0.35">
      <c r="C10383" s="112"/>
      <c r="D10383" s="5"/>
      <c r="E10383" s="5"/>
      <c r="F10383" s="5"/>
      <c r="G10383" s="5"/>
      <c r="H10383" s="5"/>
      <c r="I10383" s="5"/>
      <c r="J10383" s="5"/>
      <c r="K10383" s="5"/>
    </row>
    <row r="10384" spans="3:11" x14ac:dyDescent="0.35">
      <c r="C10384" s="112"/>
      <c r="D10384" s="5"/>
      <c r="E10384" s="5"/>
      <c r="F10384" s="5"/>
      <c r="G10384" s="5"/>
      <c r="H10384" s="5"/>
      <c r="I10384" s="5"/>
      <c r="J10384" s="5"/>
      <c r="K10384" s="5"/>
    </row>
    <row r="10385" spans="3:11" x14ac:dyDescent="0.35">
      <c r="C10385" s="112"/>
      <c r="D10385" s="5"/>
      <c r="E10385" s="5"/>
      <c r="F10385" s="5"/>
      <c r="G10385" s="5"/>
      <c r="H10385" s="5"/>
      <c r="I10385" s="5"/>
      <c r="J10385" s="5"/>
      <c r="K10385" s="5"/>
    </row>
    <row r="10386" spans="3:11" x14ac:dyDescent="0.35">
      <c r="C10386" s="112"/>
      <c r="D10386" s="5"/>
      <c r="E10386" s="5"/>
      <c r="F10386" s="5"/>
      <c r="G10386" s="5"/>
      <c r="H10386" s="5"/>
      <c r="I10386" s="5"/>
      <c r="J10386" s="5"/>
      <c r="K10386" s="5"/>
    </row>
    <row r="10387" spans="3:11" x14ac:dyDescent="0.35">
      <c r="C10387" s="112"/>
      <c r="D10387" s="5"/>
      <c r="E10387" s="5"/>
      <c r="F10387" s="5"/>
      <c r="G10387" s="5"/>
      <c r="H10387" s="5"/>
      <c r="I10387" s="5"/>
      <c r="J10387" s="5"/>
      <c r="K10387" s="5"/>
    </row>
    <row r="10388" spans="3:11" x14ac:dyDescent="0.35">
      <c r="C10388" s="112"/>
      <c r="D10388" s="5"/>
      <c r="E10388" s="5"/>
      <c r="F10388" s="5"/>
      <c r="G10388" s="5"/>
      <c r="H10388" s="5"/>
      <c r="I10388" s="5"/>
      <c r="J10388" s="5"/>
      <c r="K10388" s="5"/>
    </row>
    <row r="10389" spans="3:11" x14ac:dyDescent="0.35">
      <c r="C10389" s="112"/>
      <c r="D10389" s="5"/>
      <c r="E10389" s="5"/>
      <c r="F10389" s="5"/>
      <c r="G10389" s="5"/>
      <c r="H10389" s="5"/>
      <c r="I10389" s="5"/>
      <c r="J10389" s="5"/>
      <c r="K10389" s="5"/>
    </row>
    <row r="10390" spans="3:11" x14ac:dyDescent="0.35">
      <c r="C10390" s="112"/>
      <c r="D10390" s="5"/>
      <c r="E10390" s="5"/>
      <c r="F10390" s="5"/>
      <c r="G10390" s="5"/>
      <c r="H10390" s="5"/>
      <c r="I10390" s="5"/>
      <c r="J10390" s="5"/>
      <c r="K10390" s="5"/>
    </row>
    <row r="10391" spans="3:11" x14ac:dyDescent="0.35">
      <c r="C10391" s="112"/>
      <c r="D10391" s="5"/>
      <c r="E10391" s="5"/>
      <c r="F10391" s="5"/>
      <c r="G10391" s="5"/>
      <c r="H10391" s="5"/>
      <c r="I10391" s="5"/>
      <c r="J10391" s="5"/>
      <c r="K10391" s="5"/>
    </row>
    <row r="10392" spans="3:11" x14ac:dyDescent="0.35">
      <c r="C10392" s="112"/>
      <c r="D10392" s="5"/>
      <c r="E10392" s="5"/>
      <c r="F10392" s="5"/>
      <c r="G10392" s="5"/>
      <c r="H10392" s="5"/>
      <c r="I10392" s="5"/>
      <c r="J10392" s="5"/>
      <c r="K10392" s="5"/>
    </row>
    <row r="10393" spans="3:11" x14ac:dyDescent="0.35">
      <c r="C10393" s="112"/>
      <c r="D10393" s="5"/>
      <c r="E10393" s="5"/>
      <c r="F10393" s="5"/>
      <c r="G10393" s="5"/>
      <c r="H10393" s="5"/>
      <c r="I10393" s="5"/>
      <c r="J10393" s="5"/>
      <c r="K10393" s="5"/>
    </row>
    <row r="10394" spans="3:11" x14ac:dyDescent="0.35">
      <c r="C10394" s="112"/>
      <c r="D10394" s="5"/>
      <c r="E10394" s="5"/>
      <c r="F10394" s="5"/>
      <c r="G10394" s="5"/>
      <c r="H10394" s="5"/>
      <c r="I10394" s="5"/>
      <c r="J10394" s="5"/>
      <c r="K10394" s="5"/>
    </row>
    <row r="10395" spans="3:11" x14ac:dyDescent="0.35">
      <c r="C10395" s="112"/>
      <c r="D10395" s="5"/>
      <c r="E10395" s="5"/>
      <c r="F10395" s="5"/>
      <c r="G10395" s="5"/>
      <c r="H10395" s="5"/>
      <c r="I10395" s="5"/>
      <c r="J10395" s="5"/>
      <c r="K10395" s="5"/>
    </row>
    <row r="10396" spans="3:11" x14ac:dyDescent="0.35">
      <c r="C10396" s="112"/>
      <c r="D10396" s="5"/>
      <c r="E10396" s="5"/>
      <c r="F10396" s="5"/>
      <c r="G10396" s="5"/>
      <c r="H10396" s="5"/>
      <c r="I10396" s="5"/>
      <c r="J10396" s="5"/>
      <c r="K10396" s="5"/>
    </row>
    <row r="10397" spans="3:11" x14ac:dyDescent="0.35">
      <c r="C10397" s="112"/>
      <c r="D10397" s="5"/>
      <c r="E10397" s="5"/>
      <c r="F10397" s="5"/>
      <c r="G10397" s="5"/>
      <c r="H10397" s="5"/>
      <c r="I10397" s="5"/>
      <c r="J10397" s="5"/>
      <c r="K10397" s="5"/>
    </row>
    <row r="10398" spans="3:11" x14ac:dyDescent="0.35">
      <c r="C10398" s="112"/>
      <c r="D10398" s="5"/>
      <c r="E10398" s="5"/>
      <c r="F10398" s="5"/>
      <c r="G10398" s="5"/>
      <c r="H10398" s="5"/>
      <c r="I10398" s="5"/>
      <c r="J10398" s="5"/>
      <c r="K10398" s="5"/>
    </row>
    <row r="10399" spans="3:11" x14ac:dyDescent="0.35">
      <c r="C10399" s="112"/>
      <c r="D10399" s="5"/>
      <c r="E10399" s="5"/>
      <c r="F10399" s="5"/>
      <c r="G10399" s="5"/>
      <c r="H10399" s="5"/>
      <c r="I10399" s="5"/>
      <c r="J10399" s="5"/>
      <c r="K10399" s="5"/>
    </row>
    <row r="10400" spans="3:11" x14ac:dyDescent="0.35">
      <c r="C10400" s="112"/>
      <c r="D10400" s="5"/>
      <c r="E10400" s="5"/>
      <c r="F10400" s="5"/>
      <c r="G10400" s="5"/>
      <c r="H10400" s="5"/>
      <c r="I10400" s="5"/>
      <c r="J10400" s="5"/>
      <c r="K10400" s="5"/>
    </row>
    <row r="10401" spans="3:11" x14ac:dyDescent="0.35">
      <c r="C10401" s="112"/>
      <c r="D10401" s="5"/>
      <c r="E10401" s="5"/>
      <c r="F10401" s="5"/>
      <c r="G10401" s="5"/>
      <c r="H10401" s="5"/>
      <c r="I10401" s="5"/>
      <c r="J10401" s="5"/>
      <c r="K10401" s="5"/>
    </row>
    <row r="10402" spans="3:11" x14ac:dyDescent="0.35">
      <c r="C10402" s="112"/>
      <c r="D10402" s="5"/>
      <c r="E10402" s="5"/>
      <c r="F10402" s="5"/>
      <c r="G10402" s="5"/>
      <c r="H10402" s="5"/>
      <c r="I10402" s="5"/>
      <c r="J10402" s="5"/>
      <c r="K10402" s="5"/>
    </row>
    <row r="10403" spans="3:11" x14ac:dyDescent="0.35">
      <c r="C10403" s="112"/>
      <c r="D10403" s="5"/>
      <c r="E10403" s="5"/>
      <c r="F10403" s="5"/>
      <c r="G10403" s="5"/>
      <c r="H10403" s="5"/>
      <c r="I10403" s="5"/>
      <c r="J10403" s="5"/>
      <c r="K10403" s="5"/>
    </row>
    <row r="10404" spans="3:11" x14ac:dyDescent="0.35">
      <c r="C10404" s="112"/>
      <c r="D10404" s="5"/>
      <c r="E10404" s="5"/>
      <c r="F10404" s="5"/>
      <c r="G10404" s="5"/>
      <c r="H10404" s="5"/>
      <c r="I10404" s="5"/>
      <c r="J10404" s="5"/>
      <c r="K10404" s="5"/>
    </row>
    <row r="10405" spans="3:11" x14ac:dyDescent="0.35">
      <c r="C10405" s="112"/>
      <c r="D10405" s="5"/>
      <c r="E10405" s="5"/>
      <c r="F10405" s="5"/>
      <c r="G10405" s="5"/>
      <c r="H10405" s="5"/>
      <c r="I10405" s="5"/>
      <c r="J10405" s="5"/>
      <c r="K10405" s="5"/>
    </row>
    <row r="10406" spans="3:11" x14ac:dyDescent="0.35">
      <c r="C10406" s="112"/>
      <c r="D10406" s="5"/>
      <c r="E10406" s="5"/>
      <c r="F10406" s="5"/>
      <c r="G10406" s="5"/>
      <c r="H10406" s="5"/>
      <c r="I10406" s="5"/>
      <c r="J10406" s="5"/>
      <c r="K10406" s="5"/>
    </row>
    <row r="10407" spans="3:11" x14ac:dyDescent="0.35">
      <c r="C10407" s="112"/>
      <c r="D10407" s="5"/>
      <c r="E10407" s="5"/>
      <c r="F10407" s="5"/>
      <c r="G10407" s="5"/>
      <c r="H10407" s="5"/>
      <c r="I10407" s="5"/>
      <c r="J10407" s="5"/>
      <c r="K10407" s="5"/>
    </row>
    <row r="10408" spans="3:11" x14ac:dyDescent="0.35">
      <c r="C10408" s="112"/>
      <c r="D10408" s="5"/>
      <c r="E10408" s="5"/>
      <c r="F10408" s="5"/>
      <c r="G10408" s="5"/>
      <c r="H10408" s="5"/>
      <c r="I10408" s="5"/>
      <c r="J10408" s="5"/>
      <c r="K10408" s="5"/>
    </row>
    <row r="10409" spans="3:11" x14ac:dyDescent="0.35">
      <c r="C10409" s="112"/>
      <c r="D10409" s="5"/>
      <c r="E10409" s="5"/>
      <c r="F10409" s="5"/>
      <c r="G10409" s="5"/>
      <c r="H10409" s="5"/>
      <c r="I10409" s="5"/>
      <c r="J10409" s="5"/>
      <c r="K10409" s="5"/>
    </row>
    <row r="10410" spans="3:11" x14ac:dyDescent="0.35">
      <c r="C10410" s="112"/>
      <c r="D10410" s="5"/>
      <c r="E10410" s="5"/>
      <c r="F10410" s="5"/>
      <c r="G10410" s="5"/>
      <c r="H10410" s="5"/>
      <c r="I10410" s="5"/>
      <c r="J10410" s="5"/>
      <c r="K10410" s="5"/>
    </row>
    <row r="10411" spans="3:11" x14ac:dyDescent="0.35">
      <c r="C10411" s="112"/>
      <c r="D10411" s="5"/>
      <c r="E10411" s="5"/>
      <c r="F10411" s="5"/>
      <c r="G10411" s="5"/>
      <c r="H10411" s="5"/>
      <c r="I10411" s="5"/>
      <c r="J10411" s="5"/>
      <c r="K10411" s="5"/>
    </row>
    <row r="10412" spans="3:11" x14ac:dyDescent="0.35">
      <c r="C10412" s="112"/>
      <c r="D10412" s="5"/>
      <c r="E10412" s="5"/>
      <c r="F10412" s="5"/>
      <c r="G10412" s="5"/>
      <c r="H10412" s="5"/>
      <c r="I10412" s="5"/>
      <c r="J10412" s="5"/>
      <c r="K10412" s="5"/>
    </row>
    <row r="10413" spans="3:11" x14ac:dyDescent="0.35">
      <c r="C10413" s="112"/>
      <c r="D10413" s="5"/>
      <c r="E10413" s="5"/>
      <c r="F10413" s="5"/>
      <c r="G10413" s="5"/>
      <c r="H10413" s="5"/>
      <c r="I10413" s="5"/>
      <c r="J10413" s="5"/>
      <c r="K10413" s="5"/>
    </row>
    <row r="10414" spans="3:11" x14ac:dyDescent="0.35">
      <c r="C10414" s="112"/>
      <c r="D10414" s="5"/>
      <c r="E10414" s="5"/>
      <c r="F10414" s="5"/>
      <c r="G10414" s="5"/>
      <c r="H10414" s="5"/>
      <c r="I10414" s="5"/>
      <c r="J10414" s="5"/>
      <c r="K10414" s="5"/>
    </row>
    <row r="10415" spans="3:11" x14ac:dyDescent="0.35">
      <c r="C10415" s="112"/>
      <c r="D10415" s="5"/>
      <c r="E10415" s="5"/>
      <c r="F10415" s="5"/>
      <c r="G10415" s="5"/>
      <c r="H10415" s="5"/>
      <c r="I10415" s="5"/>
      <c r="J10415" s="5"/>
      <c r="K10415" s="5"/>
    </row>
    <row r="10416" spans="3:11" x14ac:dyDescent="0.35">
      <c r="C10416" s="112"/>
      <c r="D10416" s="5"/>
      <c r="E10416" s="5"/>
      <c r="F10416" s="5"/>
      <c r="G10416" s="5"/>
      <c r="H10416" s="5"/>
      <c r="I10416" s="5"/>
      <c r="J10416" s="5"/>
      <c r="K10416" s="5"/>
    </row>
    <row r="10417" spans="3:11" x14ac:dyDescent="0.35">
      <c r="C10417" s="112"/>
      <c r="D10417" s="5"/>
      <c r="E10417" s="5"/>
      <c r="F10417" s="5"/>
      <c r="G10417" s="5"/>
      <c r="H10417" s="5"/>
      <c r="I10417" s="5"/>
      <c r="J10417" s="5"/>
      <c r="K10417" s="5"/>
    </row>
    <row r="10418" spans="3:11" x14ac:dyDescent="0.35">
      <c r="C10418" s="112"/>
      <c r="D10418" s="5"/>
      <c r="E10418" s="5"/>
      <c r="F10418" s="5"/>
      <c r="G10418" s="5"/>
      <c r="H10418" s="5"/>
      <c r="I10418" s="5"/>
      <c r="J10418" s="5"/>
      <c r="K10418" s="5"/>
    </row>
    <row r="10419" spans="3:11" x14ac:dyDescent="0.35">
      <c r="C10419" s="112"/>
      <c r="D10419" s="5"/>
      <c r="E10419" s="5"/>
      <c r="F10419" s="5"/>
      <c r="G10419" s="5"/>
      <c r="H10419" s="5"/>
      <c r="I10419" s="5"/>
      <c r="J10419" s="5"/>
      <c r="K10419" s="5"/>
    </row>
    <row r="10420" spans="3:11" x14ac:dyDescent="0.35">
      <c r="C10420" s="112"/>
      <c r="D10420" s="5"/>
      <c r="E10420" s="5"/>
      <c r="F10420" s="5"/>
      <c r="G10420" s="5"/>
      <c r="H10420" s="5"/>
      <c r="I10420" s="5"/>
      <c r="J10420" s="5"/>
      <c r="K10420" s="5"/>
    </row>
    <row r="10421" spans="3:11" x14ac:dyDescent="0.35">
      <c r="C10421" s="112"/>
      <c r="D10421" s="5"/>
      <c r="E10421" s="5"/>
      <c r="F10421" s="5"/>
      <c r="G10421" s="5"/>
      <c r="H10421" s="5"/>
      <c r="I10421" s="5"/>
      <c r="J10421" s="5"/>
      <c r="K10421" s="5"/>
    </row>
    <row r="10422" spans="3:11" x14ac:dyDescent="0.35">
      <c r="C10422" s="112"/>
      <c r="D10422" s="5"/>
      <c r="E10422" s="5"/>
      <c r="F10422" s="5"/>
      <c r="G10422" s="5"/>
      <c r="H10422" s="5"/>
      <c r="I10422" s="5"/>
      <c r="J10422" s="5"/>
      <c r="K10422" s="5"/>
    </row>
    <row r="10423" spans="3:11" x14ac:dyDescent="0.35">
      <c r="C10423" s="112"/>
      <c r="D10423" s="5"/>
      <c r="E10423" s="5"/>
      <c r="F10423" s="5"/>
      <c r="G10423" s="5"/>
      <c r="H10423" s="5"/>
      <c r="I10423" s="5"/>
      <c r="J10423" s="5"/>
      <c r="K10423" s="5"/>
    </row>
    <row r="10424" spans="3:11" x14ac:dyDescent="0.35">
      <c r="C10424" s="112"/>
      <c r="D10424" s="5"/>
      <c r="E10424" s="5"/>
      <c r="F10424" s="5"/>
      <c r="G10424" s="5"/>
      <c r="H10424" s="5"/>
      <c r="I10424" s="5"/>
      <c r="J10424" s="5"/>
      <c r="K10424" s="5"/>
    </row>
    <row r="10425" spans="3:11" x14ac:dyDescent="0.35">
      <c r="C10425" s="112"/>
      <c r="D10425" s="5"/>
      <c r="E10425" s="5"/>
      <c r="F10425" s="5"/>
      <c r="G10425" s="5"/>
      <c r="H10425" s="5"/>
      <c r="I10425" s="5"/>
      <c r="J10425" s="5"/>
      <c r="K10425" s="5"/>
    </row>
    <row r="10426" spans="3:11" x14ac:dyDescent="0.35">
      <c r="C10426" s="112"/>
      <c r="D10426" s="5"/>
      <c r="E10426" s="5"/>
      <c r="F10426" s="5"/>
      <c r="G10426" s="5"/>
      <c r="H10426" s="5"/>
      <c r="I10426" s="5"/>
      <c r="J10426" s="5"/>
      <c r="K10426" s="5"/>
    </row>
    <row r="10427" spans="3:11" x14ac:dyDescent="0.35">
      <c r="C10427" s="112"/>
      <c r="D10427" s="5"/>
      <c r="E10427" s="5"/>
      <c r="F10427" s="5"/>
      <c r="G10427" s="5"/>
      <c r="H10427" s="5"/>
      <c r="I10427" s="5"/>
      <c r="J10427" s="5"/>
      <c r="K10427" s="5"/>
    </row>
    <row r="10428" spans="3:11" x14ac:dyDescent="0.35">
      <c r="C10428" s="112"/>
      <c r="D10428" s="5"/>
      <c r="E10428" s="5"/>
      <c r="F10428" s="5"/>
      <c r="G10428" s="5"/>
      <c r="H10428" s="5"/>
      <c r="I10428" s="5"/>
      <c r="J10428" s="5"/>
      <c r="K10428" s="5"/>
    </row>
    <row r="10429" spans="3:11" x14ac:dyDescent="0.35">
      <c r="C10429" s="112"/>
      <c r="D10429" s="5"/>
      <c r="E10429" s="5"/>
      <c r="F10429" s="5"/>
      <c r="G10429" s="5"/>
      <c r="H10429" s="5"/>
      <c r="I10429" s="5"/>
      <c r="J10429" s="5"/>
      <c r="K10429" s="5"/>
    </row>
    <row r="10430" spans="3:11" x14ac:dyDescent="0.35">
      <c r="C10430" s="112"/>
      <c r="D10430" s="5"/>
      <c r="E10430" s="5"/>
      <c r="F10430" s="5"/>
      <c r="G10430" s="5"/>
      <c r="H10430" s="5"/>
      <c r="I10430" s="5"/>
      <c r="J10430" s="5"/>
      <c r="K10430" s="5"/>
    </row>
    <row r="10431" spans="3:11" x14ac:dyDescent="0.35">
      <c r="C10431" s="112"/>
      <c r="D10431" s="5"/>
      <c r="E10431" s="5"/>
      <c r="F10431" s="5"/>
      <c r="G10431" s="5"/>
      <c r="H10431" s="5"/>
      <c r="I10431" s="5"/>
      <c r="J10431" s="5"/>
      <c r="K10431" s="5"/>
    </row>
    <row r="10432" spans="3:11" x14ac:dyDescent="0.35">
      <c r="C10432" s="112"/>
      <c r="D10432" s="5"/>
      <c r="E10432" s="5"/>
      <c r="F10432" s="5"/>
      <c r="G10432" s="5"/>
      <c r="H10432" s="5"/>
      <c r="I10432" s="5"/>
      <c r="J10432" s="5"/>
      <c r="K10432" s="5"/>
    </row>
    <row r="10433" spans="3:11" x14ac:dyDescent="0.35">
      <c r="C10433" s="112"/>
      <c r="D10433" s="5"/>
      <c r="E10433" s="5"/>
      <c r="F10433" s="5"/>
      <c r="G10433" s="5"/>
      <c r="H10433" s="5"/>
      <c r="I10433" s="5"/>
      <c r="J10433" s="5"/>
      <c r="K10433" s="5"/>
    </row>
    <row r="10434" spans="3:11" x14ac:dyDescent="0.35">
      <c r="C10434" s="112"/>
      <c r="D10434" s="5"/>
      <c r="E10434" s="5"/>
      <c r="F10434" s="5"/>
      <c r="G10434" s="5"/>
      <c r="H10434" s="5"/>
      <c r="I10434" s="5"/>
      <c r="J10434" s="5"/>
      <c r="K10434" s="5"/>
    </row>
    <row r="10435" spans="3:11" x14ac:dyDescent="0.35">
      <c r="C10435" s="112"/>
      <c r="D10435" s="5"/>
      <c r="E10435" s="5"/>
      <c r="F10435" s="5"/>
      <c r="G10435" s="5"/>
      <c r="H10435" s="5"/>
      <c r="I10435" s="5"/>
      <c r="J10435" s="5"/>
      <c r="K10435" s="5"/>
    </row>
    <row r="10436" spans="3:11" x14ac:dyDescent="0.35">
      <c r="C10436" s="112"/>
      <c r="D10436" s="5"/>
      <c r="E10436" s="5"/>
      <c r="F10436" s="5"/>
      <c r="G10436" s="5"/>
      <c r="H10436" s="5"/>
      <c r="I10436" s="5"/>
      <c r="J10436" s="5"/>
      <c r="K10436" s="5"/>
    </row>
    <row r="10437" spans="3:11" x14ac:dyDescent="0.35">
      <c r="C10437" s="112"/>
      <c r="D10437" s="5"/>
      <c r="E10437" s="5"/>
      <c r="F10437" s="5"/>
      <c r="G10437" s="5"/>
      <c r="H10437" s="5"/>
      <c r="I10437" s="5"/>
      <c r="J10437" s="5"/>
      <c r="K10437" s="5"/>
    </row>
    <row r="10438" spans="3:11" x14ac:dyDescent="0.35">
      <c r="C10438" s="112"/>
      <c r="D10438" s="5"/>
      <c r="E10438" s="5"/>
      <c r="F10438" s="5"/>
      <c r="G10438" s="5"/>
      <c r="H10438" s="5"/>
      <c r="I10438" s="5"/>
      <c r="J10438" s="5"/>
      <c r="K10438" s="5"/>
    </row>
    <row r="10439" spans="3:11" x14ac:dyDescent="0.35">
      <c r="C10439" s="112"/>
      <c r="D10439" s="5"/>
      <c r="E10439" s="5"/>
      <c r="F10439" s="5"/>
      <c r="G10439" s="5"/>
      <c r="H10439" s="5"/>
      <c r="I10439" s="5"/>
      <c r="J10439" s="5"/>
      <c r="K10439" s="5"/>
    </row>
    <row r="10440" spans="3:11" x14ac:dyDescent="0.35">
      <c r="C10440" s="112"/>
      <c r="D10440" s="5"/>
      <c r="E10440" s="5"/>
      <c r="F10440" s="5"/>
      <c r="G10440" s="5"/>
      <c r="H10440" s="5"/>
      <c r="I10440" s="5"/>
      <c r="J10440" s="5"/>
      <c r="K10440" s="5"/>
    </row>
    <row r="10441" spans="3:11" x14ac:dyDescent="0.35">
      <c r="C10441" s="112"/>
      <c r="D10441" s="5"/>
      <c r="E10441" s="5"/>
      <c r="F10441" s="5"/>
      <c r="G10441" s="5"/>
      <c r="H10441" s="5"/>
      <c r="I10441" s="5"/>
      <c r="J10441" s="5"/>
      <c r="K10441" s="5"/>
    </row>
    <row r="10442" spans="3:11" x14ac:dyDescent="0.35">
      <c r="C10442" s="112"/>
      <c r="D10442" s="5"/>
      <c r="E10442" s="5"/>
      <c r="F10442" s="5"/>
      <c r="G10442" s="5"/>
      <c r="H10442" s="5"/>
      <c r="I10442" s="5"/>
      <c r="J10442" s="5"/>
      <c r="K10442" s="5"/>
    </row>
    <row r="10443" spans="3:11" x14ac:dyDescent="0.35">
      <c r="C10443" s="112"/>
      <c r="D10443" s="5"/>
      <c r="E10443" s="5"/>
      <c r="F10443" s="5"/>
      <c r="G10443" s="5"/>
      <c r="H10443" s="5"/>
      <c r="I10443" s="5"/>
      <c r="J10443" s="5"/>
      <c r="K10443" s="5"/>
    </row>
    <row r="10444" spans="3:11" x14ac:dyDescent="0.35">
      <c r="C10444" s="112"/>
      <c r="D10444" s="5"/>
      <c r="E10444" s="5"/>
      <c r="F10444" s="5"/>
      <c r="G10444" s="5"/>
      <c r="H10444" s="5"/>
      <c r="I10444" s="5"/>
      <c r="J10444" s="5"/>
      <c r="K10444" s="5"/>
    </row>
    <row r="10445" spans="3:11" x14ac:dyDescent="0.35">
      <c r="C10445" s="112"/>
      <c r="D10445" s="5"/>
      <c r="E10445" s="5"/>
      <c r="F10445" s="5"/>
      <c r="G10445" s="5"/>
      <c r="H10445" s="5"/>
      <c r="I10445" s="5"/>
      <c r="J10445" s="5"/>
      <c r="K10445" s="5"/>
    </row>
    <row r="10446" spans="3:11" x14ac:dyDescent="0.35">
      <c r="C10446" s="112"/>
      <c r="D10446" s="5"/>
      <c r="E10446" s="5"/>
      <c r="F10446" s="5"/>
      <c r="G10446" s="5"/>
      <c r="H10446" s="5"/>
      <c r="I10446" s="5"/>
      <c r="J10446" s="5"/>
      <c r="K10446" s="5"/>
    </row>
    <row r="10447" spans="3:11" x14ac:dyDescent="0.35">
      <c r="C10447" s="112"/>
      <c r="D10447" s="5"/>
      <c r="E10447" s="5"/>
      <c r="F10447" s="5"/>
      <c r="G10447" s="5"/>
      <c r="H10447" s="5"/>
      <c r="I10447" s="5"/>
      <c r="J10447" s="5"/>
      <c r="K10447" s="5"/>
    </row>
    <row r="10448" spans="3:11" x14ac:dyDescent="0.35">
      <c r="C10448" s="112"/>
      <c r="D10448" s="5"/>
      <c r="E10448" s="5"/>
      <c r="F10448" s="5"/>
      <c r="G10448" s="5"/>
      <c r="H10448" s="5"/>
      <c r="I10448" s="5"/>
      <c r="J10448" s="5"/>
      <c r="K10448" s="5"/>
    </row>
    <row r="10449" spans="3:11" x14ac:dyDescent="0.35">
      <c r="C10449" s="112"/>
      <c r="D10449" s="5"/>
      <c r="E10449" s="5"/>
      <c r="F10449" s="5"/>
      <c r="G10449" s="5"/>
      <c r="H10449" s="5"/>
      <c r="I10449" s="5"/>
      <c r="J10449" s="5"/>
      <c r="K10449" s="5"/>
    </row>
    <row r="10450" spans="3:11" x14ac:dyDescent="0.35">
      <c r="C10450" s="112"/>
      <c r="D10450" s="5"/>
      <c r="E10450" s="5"/>
      <c r="F10450" s="5"/>
      <c r="G10450" s="5"/>
      <c r="H10450" s="5"/>
      <c r="I10450" s="5"/>
      <c r="J10450" s="5"/>
      <c r="K10450" s="5"/>
    </row>
    <row r="10451" spans="3:11" x14ac:dyDescent="0.35">
      <c r="C10451" s="112"/>
      <c r="D10451" s="5"/>
      <c r="E10451" s="5"/>
      <c r="F10451" s="5"/>
      <c r="G10451" s="5"/>
      <c r="H10451" s="5"/>
      <c r="I10451" s="5"/>
      <c r="J10451" s="5"/>
      <c r="K10451" s="5"/>
    </row>
    <row r="10452" spans="3:11" x14ac:dyDescent="0.35">
      <c r="C10452" s="112"/>
      <c r="D10452" s="5"/>
      <c r="E10452" s="5"/>
      <c r="F10452" s="5"/>
      <c r="G10452" s="5"/>
      <c r="H10452" s="5"/>
      <c r="I10452" s="5"/>
      <c r="J10452" s="5"/>
      <c r="K10452" s="5"/>
    </row>
    <row r="10453" spans="3:11" x14ac:dyDescent="0.35">
      <c r="C10453" s="112"/>
      <c r="D10453" s="5"/>
      <c r="E10453" s="5"/>
      <c r="F10453" s="5"/>
      <c r="G10453" s="5"/>
      <c r="H10453" s="5"/>
      <c r="I10453" s="5"/>
      <c r="J10453" s="5"/>
      <c r="K10453" s="5"/>
    </row>
    <row r="10454" spans="3:11" x14ac:dyDescent="0.35">
      <c r="C10454" s="112"/>
      <c r="D10454" s="5"/>
      <c r="E10454" s="5"/>
      <c r="F10454" s="5"/>
      <c r="G10454" s="5"/>
      <c r="H10454" s="5"/>
      <c r="I10454" s="5"/>
      <c r="J10454" s="5"/>
      <c r="K10454" s="5"/>
    </row>
    <row r="10455" spans="3:11" x14ac:dyDescent="0.35">
      <c r="C10455" s="112"/>
      <c r="D10455" s="5"/>
      <c r="E10455" s="5"/>
      <c r="F10455" s="5"/>
      <c r="G10455" s="5"/>
      <c r="H10455" s="5"/>
      <c r="I10455" s="5"/>
      <c r="J10455" s="5"/>
      <c r="K10455" s="5"/>
    </row>
    <row r="10456" spans="3:11" x14ac:dyDescent="0.35">
      <c r="C10456" s="112"/>
      <c r="D10456" s="5"/>
      <c r="E10456" s="5"/>
      <c r="F10456" s="5"/>
      <c r="G10456" s="5"/>
      <c r="H10456" s="5"/>
      <c r="I10456" s="5"/>
      <c r="J10456" s="5"/>
      <c r="K10456" s="5"/>
    </row>
    <row r="10457" spans="3:11" x14ac:dyDescent="0.35">
      <c r="C10457" s="112"/>
      <c r="D10457" s="5"/>
      <c r="E10457" s="5"/>
      <c r="F10457" s="5"/>
      <c r="G10457" s="5"/>
      <c r="H10457" s="5"/>
      <c r="I10457" s="5"/>
      <c r="J10457" s="5"/>
      <c r="K10457" s="5"/>
    </row>
    <row r="10458" spans="3:11" x14ac:dyDescent="0.35">
      <c r="C10458" s="112"/>
      <c r="D10458" s="5"/>
      <c r="E10458" s="5"/>
      <c r="F10458" s="5"/>
      <c r="G10458" s="5"/>
      <c r="H10458" s="5"/>
      <c r="I10458" s="5"/>
      <c r="J10458" s="5"/>
      <c r="K10458" s="5"/>
    </row>
    <row r="10459" spans="3:11" x14ac:dyDescent="0.35">
      <c r="C10459" s="112"/>
      <c r="D10459" s="5"/>
      <c r="E10459" s="5"/>
      <c r="F10459" s="5"/>
      <c r="G10459" s="5"/>
      <c r="H10459" s="5"/>
      <c r="I10459" s="5"/>
      <c r="J10459" s="5"/>
      <c r="K10459" s="5"/>
    </row>
    <row r="10460" spans="3:11" x14ac:dyDescent="0.35">
      <c r="C10460" s="112"/>
      <c r="D10460" s="5"/>
      <c r="E10460" s="5"/>
      <c r="F10460" s="5"/>
      <c r="G10460" s="5"/>
      <c r="H10460" s="5"/>
      <c r="I10460" s="5"/>
      <c r="J10460" s="5"/>
      <c r="K10460" s="5"/>
    </row>
    <row r="10461" spans="3:11" x14ac:dyDescent="0.35">
      <c r="C10461" s="112"/>
      <c r="D10461" s="5"/>
      <c r="E10461" s="5"/>
      <c r="F10461" s="5"/>
      <c r="G10461" s="5"/>
      <c r="H10461" s="5"/>
      <c r="I10461" s="5"/>
      <c r="J10461" s="5"/>
      <c r="K10461" s="5"/>
    </row>
    <row r="10462" spans="3:11" x14ac:dyDescent="0.35">
      <c r="C10462" s="112"/>
      <c r="D10462" s="5"/>
      <c r="E10462" s="5"/>
      <c r="F10462" s="5"/>
      <c r="G10462" s="5"/>
      <c r="H10462" s="5"/>
      <c r="I10462" s="5"/>
      <c r="J10462" s="5"/>
      <c r="K10462" s="5"/>
    </row>
    <row r="10463" spans="3:11" x14ac:dyDescent="0.35">
      <c r="C10463" s="112"/>
      <c r="D10463" s="5"/>
      <c r="E10463" s="5"/>
      <c r="F10463" s="5"/>
      <c r="G10463" s="5"/>
      <c r="H10463" s="5"/>
      <c r="I10463" s="5"/>
      <c r="J10463" s="5"/>
      <c r="K10463" s="5"/>
    </row>
    <row r="10464" spans="3:11" x14ac:dyDescent="0.35">
      <c r="C10464" s="112"/>
      <c r="D10464" s="5"/>
      <c r="E10464" s="5"/>
      <c r="F10464" s="5"/>
      <c r="G10464" s="5"/>
      <c r="H10464" s="5"/>
      <c r="I10464" s="5"/>
      <c r="J10464" s="5"/>
      <c r="K10464" s="5"/>
    </row>
    <row r="10465" spans="3:11" x14ac:dyDescent="0.35">
      <c r="C10465" s="112"/>
      <c r="D10465" s="5"/>
      <c r="E10465" s="5"/>
      <c r="F10465" s="5"/>
      <c r="G10465" s="5"/>
      <c r="H10465" s="5"/>
      <c r="I10465" s="5"/>
      <c r="J10465" s="5"/>
      <c r="K10465" s="5"/>
    </row>
    <row r="10466" spans="3:11" x14ac:dyDescent="0.35">
      <c r="C10466" s="112"/>
      <c r="D10466" s="5"/>
      <c r="E10466" s="5"/>
      <c r="F10466" s="5"/>
      <c r="G10466" s="5"/>
      <c r="H10466" s="5"/>
      <c r="I10466" s="5"/>
      <c r="J10466" s="5"/>
      <c r="K10466" s="5"/>
    </row>
    <row r="10467" spans="3:11" x14ac:dyDescent="0.35">
      <c r="C10467" s="112"/>
      <c r="D10467" s="5"/>
      <c r="E10467" s="5"/>
      <c r="F10467" s="5"/>
      <c r="G10467" s="5"/>
      <c r="H10467" s="5"/>
      <c r="I10467" s="5"/>
      <c r="J10467" s="5"/>
      <c r="K10467" s="5"/>
    </row>
    <row r="10468" spans="3:11" x14ac:dyDescent="0.35">
      <c r="C10468" s="112"/>
      <c r="D10468" s="5"/>
      <c r="E10468" s="5"/>
      <c r="F10468" s="5"/>
      <c r="G10468" s="5"/>
      <c r="H10468" s="5"/>
      <c r="I10468" s="5"/>
      <c r="J10468" s="5"/>
      <c r="K10468" s="5"/>
    </row>
    <row r="10469" spans="3:11" x14ac:dyDescent="0.35">
      <c r="C10469" s="112"/>
      <c r="D10469" s="5"/>
      <c r="E10469" s="5"/>
      <c r="F10469" s="5"/>
      <c r="G10469" s="5"/>
      <c r="H10469" s="5"/>
      <c r="I10469" s="5"/>
      <c r="J10469" s="5"/>
      <c r="K10469" s="5"/>
    </row>
    <row r="10470" spans="3:11" x14ac:dyDescent="0.35">
      <c r="C10470" s="112"/>
      <c r="D10470" s="5"/>
      <c r="E10470" s="5"/>
      <c r="F10470" s="5"/>
      <c r="G10470" s="5"/>
      <c r="H10470" s="5"/>
      <c r="I10470" s="5"/>
      <c r="J10470" s="5"/>
      <c r="K10470" s="5"/>
    </row>
    <row r="10471" spans="3:11" x14ac:dyDescent="0.35">
      <c r="C10471" s="112"/>
      <c r="D10471" s="5"/>
      <c r="E10471" s="5"/>
      <c r="F10471" s="5"/>
      <c r="G10471" s="5"/>
      <c r="H10471" s="5"/>
      <c r="I10471" s="5"/>
      <c r="J10471" s="5"/>
      <c r="K10471" s="5"/>
    </row>
    <row r="10472" spans="3:11" x14ac:dyDescent="0.35">
      <c r="C10472" s="112"/>
      <c r="D10472" s="5"/>
      <c r="E10472" s="5"/>
      <c r="F10472" s="5"/>
      <c r="G10472" s="5"/>
      <c r="H10472" s="5"/>
      <c r="I10472" s="5"/>
      <c r="J10472" s="5"/>
      <c r="K10472" s="5"/>
    </row>
    <row r="10473" spans="3:11" x14ac:dyDescent="0.35">
      <c r="C10473" s="112"/>
      <c r="D10473" s="5"/>
      <c r="E10473" s="5"/>
      <c r="F10473" s="5"/>
      <c r="G10473" s="5"/>
      <c r="H10473" s="5"/>
      <c r="I10473" s="5"/>
      <c r="J10473" s="5"/>
      <c r="K10473" s="5"/>
    </row>
    <row r="10474" spans="3:11" x14ac:dyDescent="0.35">
      <c r="C10474" s="112"/>
      <c r="D10474" s="5"/>
      <c r="E10474" s="5"/>
      <c r="F10474" s="5"/>
      <c r="G10474" s="5"/>
      <c r="H10474" s="5"/>
      <c r="I10474" s="5"/>
      <c r="J10474" s="5"/>
      <c r="K10474" s="5"/>
    </row>
    <row r="10475" spans="3:11" x14ac:dyDescent="0.35">
      <c r="C10475" s="112"/>
      <c r="D10475" s="5"/>
      <c r="E10475" s="5"/>
      <c r="F10475" s="5"/>
      <c r="G10475" s="5"/>
      <c r="H10475" s="5"/>
      <c r="I10475" s="5"/>
      <c r="J10475" s="5"/>
      <c r="K10475" s="5"/>
    </row>
    <row r="10476" spans="3:11" x14ac:dyDescent="0.35">
      <c r="C10476" s="112"/>
      <c r="D10476" s="5"/>
      <c r="E10476" s="5"/>
      <c r="F10476" s="5"/>
      <c r="G10476" s="5"/>
      <c r="H10476" s="5"/>
      <c r="I10476" s="5"/>
      <c r="J10476" s="5"/>
      <c r="K10476" s="5"/>
    </row>
    <row r="10477" spans="3:11" x14ac:dyDescent="0.35">
      <c r="C10477" s="112"/>
      <c r="D10477" s="5"/>
      <c r="E10477" s="5"/>
      <c r="F10477" s="5"/>
      <c r="G10477" s="5"/>
      <c r="H10477" s="5"/>
      <c r="I10477" s="5"/>
      <c r="J10477" s="5"/>
      <c r="K10477" s="5"/>
    </row>
    <row r="10478" spans="3:11" x14ac:dyDescent="0.35">
      <c r="C10478" s="112"/>
      <c r="D10478" s="5"/>
      <c r="E10478" s="5"/>
      <c r="F10478" s="5"/>
      <c r="G10478" s="5"/>
      <c r="H10478" s="5"/>
      <c r="I10478" s="5"/>
      <c r="J10478" s="5"/>
      <c r="K10478" s="5"/>
    </row>
    <row r="10479" spans="3:11" x14ac:dyDescent="0.35">
      <c r="C10479" s="112"/>
      <c r="D10479" s="5"/>
      <c r="E10479" s="5"/>
      <c r="F10479" s="5"/>
      <c r="G10479" s="5"/>
      <c r="H10479" s="5"/>
      <c r="I10479" s="5"/>
      <c r="J10479" s="5"/>
      <c r="K10479" s="5"/>
    </row>
    <row r="10480" spans="3:11" x14ac:dyDescent="0.35">
      <c r="C10480" s="112"/>
      <c r="D10480" s="5"/>
      <c r="E10480" s="5"/>
      <c r="F10480" s="5"/>
      <c r="G10480" s="5"/>
      <c r="H10480" s="5"/>
      <c r="I10480" s="5"/>
      <c r="J10480" s="5"/>
      <c r="K10480" s="5"/>
    </row>
    <row r="10481" spans="3:11" x14ac:dyDescent="0.35">
      <c r="C10481" s="112"/>
      <c r="D10481" s="5"/>
      <c r="E10481" s="5"/>
      <c r="F10481" s="5"/>
      <c r="G10481" s="5"/>
      <c r="H10481" s="5"/>
      <c r="I10481" s="5"/>
      <c r="J10481" s="5"/>
      <c r="K10481" s="5"/>
    </row>
    <row r="10482" spans="3:11" x14ac:dyDescent="0.35">
      <c r="C10482" s="112"/>
      <c r="D10482" s="5"/>
      <c r="E10482" s="5"/>
      <c r="F10482" s="5"/>
      <c r="G10482" s="5"/>
      <c r="H10482" s="5"/>
      <c r="I10482" s="5"/>
      <c r="J10482" s="5"/>
      <c r="K10482" s="5"/>
    </row>
    <row r="10483" spans="3:11" x14ac:dyDescent="0.35">
      <c r="C10483" s="112"/>
      <c r="D10483" s="5"/>
      <c r="E10483" s="5"/>
      <c r="F10483" s="5"/>
      <c r="G10483" s="5"/>
      <c r="H10483" s="5"/>
      <c r="I10483" s="5"/>
      <c r="J10483" s="5"/>
      <c r="K10483" s="5"/>
    </row>
    <row r="10484" spans="3:11" x14ac:dyDescent="0.35">
      <c r="C10484" s="112"/>
      <c r="D10484" s="5"/>
      <c r="E10484" s="5"/>
      <c r="F10484" s="5"/>
      <c r="G10484" s="5"/>
      <c r="H10484" s="5"/>
      <c r="I10484" s="5"/>
      <c r="J10484" s="5"/>
      <c r="K10484" s="5"/>
    </row>
    <row r="10485" spans="3:11" x14ac:dyDescent="0.35">
      <c r="C10485" s="112"/>
      <c r="D10485" s="5"/>
      <c r="E10485" s="5"/>
      <c r="F10485" s="5"/>
      <c r="G10485" s="5"/>
      <c r="H10485" s="5"/>
      <c r="I10485" s="5"/>
      <c r="J10485" s="5"/>
      <c r="K10485" s="5"/>
    </row>
    <row r="10486" spans="3:11" x14ac:dyDescent="0.35">
      <c r="C10486" s="112"/>
      <c r="D10486" s="5"/>
      <c r="E10486" s="5"/>
      <c r="F10486" s="5"/>
      <c r="G10486" s="5"/>
      <c r="H10486" s="5"/>
      <c r="I10486" s="5"/>
      <c r="J10486" s="5"/>
      <c r="K10486" s="5"/>
    </row>
    <row r="10487" spans="3:11" x14ac:dyDescent="0.35">
      <c r="C10487" s="112"/>
      <c r="D10487" s="5"/>
      <c r="E10487" s="5"/>
      <c r="F10487" s="5"/>
      <c r="G10487" s="5"/>
      <c r="H10487" s="5"/>
      <c r="I10487" s="5"/>
      <c r="J10487" s="5"/>
      <c r="K10487" s="5"/>
    </row>
    <row r="10488" spans="3:11" x14ac:dyDescent="0.35">
      <c r="C10488" s="112"/>
      <c r="D10488" s="5"/>
      <c r="E10488" s="5"/>
      <c r="F10488" s="5"/>
      <c r="G10488" s="5"/>
      <c r="H10488" s="5"/>
      <c r="I10488" s="5"/>
      <c r="J10488" s="5"/>
      <c r="K10488" s="5"/>
    </row>
    <row r="10489" spans="3:11" x14ac:dyDescent="0.35">
      <c r="C10489" s="112"/>
      <c r="D10489" s="5"/>
      <c r="E10489" s="5"/>
      <c r="F10489" s="5"/>
      <c r="G10489" s="5"/>
      <c r="H10489" s="5"/>
      <c r="I10489" s="5"/>
      <c r="J10489" s="5"/>
      <c r="K10489" s="5"/>
    </row>
    <row r="10490" spans="3:11" x14ac:dyDescent="0.35">
      <c r="C10490" s="112"/>
      <c r="D10490" s="5"/>
      <c r="E10490" s="5"/>
      <c r="F10490" s="5"/>
      <c r="G10490" s="5"/>
      <c r="H10490" s="5"/>
      <c r="I10490" s="5"/>
      <c r="J10490" s="5"/>
      <c r="K10490" s="5"/>
    </row>
    <row r="10491" spans="3:11" x14ac:dyDescent="0.35">
      <c r="C10491" s="112"/>
      <c r="D10491" s="5"/>
      <c r="E10491" s="5"/>
      <c r="F10491" s="5"/>
      <c r="G10491" s="5"/>
      <c r="H10491" s="5"/>
      <c r="I10491" s="5"/>
      <c r="J10491" s="5"/>
      <c r="K10491" s="5"/>
    </row>
    <row r="10492" spans="3:11" x14ac:dyDescent="0.35">
      <c r="C10492" s="112"/>
      <c r="D10492" s="5"/>
      <c r="E10492" s="5"/>
      <c r="F10492" s="5"/>
      <c r="G10492" s="5"/>
      <c r="H10492" s="5"/>
      <c r="I10492" s="5"/>
      <c r="J10492" s="5"/>
      <c r="K10492" s="5"/>
    </row>
    <row r="10493" spans="3:11" x14ac:dyDescent="0.35">
      <c r="C10493" s="112"/>
      <c r="D10493" s="5"/>
      <c r="E10493" s="5"/>
      <c r="F10493" s="5"/>
      <c r="G10493" s="5"/>
      <c r="H10493" s="5"/>
      <c r="I10493" s="5"/>
      <c r="J10493" s="5"/>
      <c r="K10493" s="5"/>
    </row>
    <row r="10494" spans="3:11" x14ac:dyDescent="0.35">
      <c r="C10494" s="112"/>
      <c r="D10494" s="5"/>
      <c r="E10494" s="5"/>
      <c r="F10494" s="5"/>
      <c r="G10494" s="5"/>
      <c r="H10494" s="5"/>
      <c r="I10494" s="5"/>
      <c r="J10494" s="5"/>
      <c r="K10494" s="5"/>
    </row>
    <row r="10495" spans="3:11" x14ac:dyDescent="0.35">
      <c r="C10495" s="112"/>
      <c r="D10495" s="5"/>
      <c r="E10495" s="5"/>
      <c r="F10495" s="5"/>
      <c r="G10495" s="5"/>
      <c r="H10495" s="5"/>
      <c r="I10495" s="5"/>
      <c r="J10495" s="5"/>
      <c r="K10495" s="5"/>
    </row>
    <row r="10496" spans="3:11" x14ac:dyDescent="0.35">
      <c r="C10496" s="112"/>
      <c r="D10496" s="5"/>
      <c r="E10496" s="5"/>
      <c r="F10496" s="5"/>
      <c r="G10496" s="5"/>
      <c r="H10496" s="5"/>
      <c r="I10496" s="5"/>
      <c r="J10496" s="5"/>
      <c r="K10496" s="5"/>
    </row>
    <row r="10497" spans="3:11" x14ac:dyDescent="0.35">
      <c r="C10497" s="112"/>
      <c r="D10497" s="5"/>
      <c r="E10497" s="5"/>
      <c r="F10497" s="5"/>
      <c r="G10497" s="5"/>
      <c r="H10497" s="5"/>
      <c r="I10497" s="5"/>
      <c r="J10497" s="5"/>
      <c r="K10497" s="5"/>
    </row>
    <row r="10498" spans="3:11" x14ac:dyDescent="0.35">
      <c r="C10498" s="112"/>
      <c r="D10498" s="5"/>
      <c r="E10498" s="5"/>
      <c r="F10498" s="5"/>
      <c r="G10498" s="5"/>
      <c r="H10498" s="5"/>
      <c r="I10498" s="5"/>
      <c r="J10498" s="5"/>
      <c r="K10498" s="5"/>
    </row>
    <row r="10499" spans="3:11" x14ac:dyDescent="0.35">
      <c r="C10499" s="112"/>
      <c r="D10499" s="5"/>
      <c r="E10499" s="5"/>
      <c r="F10499" s="5"/>
      <c r="G10499" s="5"/>
      <c r="H10499" s="5"/>
      <c r="I10499" s="5"/>
      <c r="J10499" s="5"/>
      <c r="K10499" s="5"/>
    </row>
    <row r="10500" spans="3:11" x14ac:dyDescent="0.35">
      <c r="C10500" s="112"/>
      <c r="D10500" s="5"/>
      <c r="E10500" s="5"/>
      <c r="F10500" s="5"/>
      <c r="G10500" s="5"/>
      <c r="H10500" s="5"/>
      <c r="I10500" s="5"/>
      <c r="J10500" s="5"/>
      <c r="K10500" s="5"/>
    </row>
    <row r="10501" spans="3:11" x14ac:dyDescent="0.35">
      <c r="C10501" s="112"/>
      <c r="D10501" s="5"/>
      <c r="E10501" s="5"/>
      <c r="F10501" s="5"/>
      <c r="G10501" s="5"/>
      <c r="H10501" s="5"/>
      <c r="I10501" s="5"/>
      <c r="J10501" s="5"/>
      <c r="K10501" s="5"/>
    </row>
    <row r="10502" spans="3:11" x14ac:dyDescent="0.35">
      <c r="C10502" s="112"/>
      <c r="D10502" s="5"/>
      <c r="E10502" s="5"/>
      <c r="F10502" s="5"/>
      <c r="G10502" s="5"/>
      <c r="H10502" s="5"/>
      <c r="I10502" s="5"/>
      <c r="J10502" s="5"/>
      <c r="K10502" s="5"/>
    </row>
    <row r="10503" spans="3:11" x14ac:dyDescent="0.35">
      <c r="C10503" s="112"/>
      <c r="D10503" s="5"/>
      <c r="E10503" s="5"/>
      <c r="F10503" s="5"/>
      <c r="G10503" s="5"/>
      <c r="H10503" s="5"/>
      <c r="I10503" s="5"/>
      <c r="J10503" s="5"/>
      <c r="K10503" s="5"/>
    </row>
    <row r="10504" spans="3:11" x14ac:dyDescent="0.35">
      <c r="C10504" s="112"/>
      <c r="D10504" s="5"/>
      <c r="E10504" s="5"/>
      <c r="F10504" s="5"/>
      <c r="G10504" s="5"/>
      <c r="H10504" s="5"/>
      <c r="I10504" s="5"/>
      <c r="J10504" s="5"/>
      <c r="K10504" s="5"/>
    </row>
    <row r="10505" spans="3:11" x14ac:dyDescent="0.35">
      <c r="C10505" s="112"/>
      <c r="D10505" s="5"/>
      <c r="E10505" s="5"/>
      <c r="F10505" s="5"/>
      <c r="G10505" s="5"/>
      <c r="H10505" s="5"/>
      <c r="I10505" s="5"/>
      <c r="J10505" s="5"/>
      <c r="K10505" s="5"/>
    </row>
    <row r="10506" spans="3:11" x14ac:dyDescent="0.35">
      <c r="C10506" s="112"/>
      <c r="D10506" s="5"/>
      <c r="E10506" s="5"/>
      <c r="F10506" s="5"/>
      <c r="G10506" s="5"/>
      <c r="H10506" s="5"/>
      <c r="I10506" s="5"/>
      <c r="J10506" s="5"/>
      <c r="K10506" s="5"/>
    </row>
    <row r="10507" spans="3:11" x14ac:dyDescent="0.35">
      <c r="C10507" s="112"/>
      <c r="D10507" s="5"/>
      <c r="E10507" s="5"/>
      <c r="F10507" s="5"/>
      <c r="G10507" s="5"/>
      <c r="H10507" s="5"/>
      <c r="I10507" s="5"/>
      <c r="J10507" s="5"/>
      <c r="K10507" s="5"/>
    </row>
    <row r="10508" spans="3:11" x14ac:dyDescent="0.35">
      <c r="C10508" s="112"/>
      <c r="D10508" s="5"/>
      <c r="E10508" s="5"/>
      <c r="F10508" s="5"/>
      <c r="G10508" s="5"/>
      <c r="H10508" s="5"/>
      <c r="I10508" s="5"/>
      <c r="J10508" s="5"/>
      <c r="K10508" s="5"/>
    </row>
    <row r="10509" spans="3:11" x14ac:dyDescent="0.35">
      <c r="C10509" s="112"/>
      <c r="D10509" s="5"/>
      <c r="E10509" s="5"/>
      <c r="F10509" s="5"/>
      <c r="G10509" s="5"/>
      <c r="H10509" s="5"/>
      <c r="I10509" s="5"/>
      <c r="J10509" s="5"/>
      <c r="K10509" s="5"/>
    </row>
    <row r="10510" spans="3:11" x14ac:dyDescent="0.35">
      <c r="C10510" s="112"/>
      <c r="D10510" s="5"/>
      <c r="E10510" s="5"/>
      <c r="F10510" s="5"/>
      <c r="G10510" s="5"/>
      <c r="H10510" s="5"/>
      <c r="I10510" s="5"/>
      <c r="J10510" s="5"/>
      <c r="K10510" s="5"/>
    </row>
    <row r="10511" spans="3:11" x14ac:dyDescent="0.35">
      <c r="C10511" s="112"/>
      <c r="D10511" s="5"/>
      <c r="E10511" s="5"/>
      <c r="F10511" s="5"/>
      <c r="G10511" s="5"/>
      <c r="H10511" s="5"/>
      <c r="I10511" s="5"/>
      <c r="J10511" s="5"/>
      <c r="K10511" s="5"/>
    </row>
    <row r="10512" spans="3:11" x14ac:dyDescent="0.35">
      <c r="C10512" s="112"/>
      <c r="D10512" s="5"/>
      <c r="E10512" s="5"/>
      <c r="F10512" s="5"/>
      <c r="G10512" s="5"/>
      <c r="H10512" s="5"/>
      <c r="I10512" s="5"/>
      <c r="J10512" s="5"/>
      <c r="K10512" s="5"/>
    </row>
    <row r="10513" spans="3:11" x14ac:dyDescent="0.35">
      <c r="C10513" s="112"/>
      <c r="D10513" s="5"/>
      <c r="E10513" s="5"/>
      <c r="F10513" s="5"/>
      <c r="G10513" s="5"/>
      <c r="H10513" s="5"/>
      <c r="I10513" s="5"/>
      <c r="J10513" s="5"/>
      <c r="K10513" s="5"/>
    </row>
    <row r="10514" spans="3:11" x14ac:dyDescent="0.35">
      <c r="C10514" s="112"/>
      <c r="D10514" s="5"/>
      <c r="E10514" s="5"/>
      <c r="F10514" s="5"/>
      <c r="G10514" s="5"/>
      <c r="H10514" s="5"/>
      <c r="I10514" s="5"/>
      <c r="J10514" s="5"/>
      <c r="K10514" s="5"/>
    </row>
    <row r="10515" spans="3:11" x14ac:dyDescent="0.35">
      <c r="C10515" s="112"/>
      <c r="D10515" s="5"/>
      <c r="E10515" s="5"/>
      <c r="F10515" s="5"/>
      <c r="G10515" s="5"/>
      <c r="H10515" s="5"/>
      <c r="I10515" s="5"/>
      <c r="J10515" s="5"/>
      <c r="K10515" s="5"/>
    </row>
    <row r="10516" spans="3:11" x14ac:dyDescent="0.35">
      <c r="C10516" s="112"/>
      <c r="D10516" s="5"/>
      <c r="E10516" s="5"/>
      <c r="F10516" s="5"/>
      <c r="G10516" s="5"/>
      <c r="H10516" s="5"/>
      <c r="I10516" s="5"/>
      <c r="J10516" s="5"/>
      <c r="K10516" s="5"/>
    </row>
    <row r="10517" spans="3:11" x14ac:dyDescent="0.35">
      <c r="C10517" s="112"/>
      <c r="D10517" s="5"/>
      <c r="E10517" s="5"/>
      <c r="F10517" s="5"/>
      <c r="G10517" s="5"/>
      <c r="H10517" s="5"/>
      <c r="I10517" s="5"/>
      <c r="J10517" s="5"/>
      <c r="K10517" s="5"/>
    </row>
    <row r="10518" spans="3:11" x14ac:dyDescent="0.35">
      <c r="C10518" s="112"/>
      <c r="D10518" s="5"/>
      <c r="E10518" s="5"/>
      <c r="F10518" s="5"/>
      <c r="G10518" s="5"/>
      <c r="H10518" s="5"/>
      <c r="I10518" s="5"/>
      <c r="J10518" s="5"/>
      <c r="K10518" s="5"/>
    </row>
    <row r="10519" spans="3:11" x14ac:dyDescent="0.35">
      <c r="C10519" s="112"/>
      <c r="D10519" s="5"/>
      <c r="E10519" s="5"/>
      <c r="F10519" s="5"/>
      <c r="G10519" s="5"/>
      <c r="H10519" s="5"/>
      <c r="I10519" s="5"/>
      <c r="J10519" s="5"/>
      <c r="K10519" s="5"/>
    </row>
    <row r="10520" spans="3:11" x14ac:dyDescent="0.35">
      <c r="C10520" s="112"/>
      <c r="D10520" s="5"/>
      <c r="E10520" s="5"/>
      <c r="F10520" s="5"/>
      <c r="G10520" s="5"/>
      <c r="H10520" s="5"/>
      <c r="I10520" s="5"/>
      <c r="J10520" s="5"/>
      <c r="K10520" s="5"/>
    </row>
    <row r="10521" spans="3:11" x14ac:dyDescent="0.35">
      <c r="C10521" s="112"/>
      <c r="D10521" s="5"/>
      <c r="E10521" s="5"/>
      <c r="F10521" s="5"/>
      <c r="G10521" s="5"/>
      <c r="H10521" s="5"/>
      <c r="I10521" s="5"/>
      <c r="J10521" s="5"/>
      <c r="K10521" s="5"/>
    </row>
    <row r="10522" spans="3:11" x14ac:dyDescent="0.35">
      <c r="C10522" s="112"/>
      <c r="D10522" s="5"/>
      <c r="E10522" s="5"/>
      <c r="F10522" s="5"/>
      <c r="G10522" s="5"/>
      <c r="H10522" s="5"/>
      <c r="I10522" s="5"/>
      <c r="J10522" s="5"/>
      <c r="K10522" s="5"/>
    </row>
    <row r="10523" spans="3:11" x14ac:dyDescent="0.35">
      <c r="C10523" s="112"/>
      <c r="D10523" s="5"/>
      <c r="E10523" s="5"/>
      <c r="F10523" s="5"/>
      <c r="G10523" s="5"/>
      <c r="H10523" s="5"/>
      <c r="I10523" s="5"/>
      <c r="J10523" s="5"/>
      <c r="K10523" s="5"/>
    </row>
    <row r="10524" spans="3:11" x14ac:dyDescent="0.35">
      <c r="C10524" s="112"/>
      <c r="D10524" s="5"/>
      <c r="E10524" s="5"/>
      <c r="F10524" s="5"/>
      <c r="G10524" s="5"/>
      <c r="H10524" s="5"/>
      <c r="I10524" s="5"/>
      <c r="J10524" s="5"/>
      <c r="K10524" s="5"/>
    </row>
    <row r="10525" spans="3:11" x14ac:dyDescent="0.35">
      <c r="C10525" s="112"/>
      <c r="D10525" s="5"/>
      <c r="E10525" s="5"/>
      <c r="F10525" s="5"/>
      <c r="G10525" s="5"/>
      <c r="H10525" s="5"/>
      <c r="I10525" s="5"/>
      <c r="J10525" s="5"/>
      <c r="K10525" s="5"/>
    </row>
    <row r="10526" spans="3:11" x14ac:dyDescent="0.35">
      <c r="C10526" s="112"/>
      <c r="D10526" s="5"/>
      <c r="E10526" s="5"/>
      <c r="F10526" s="5"/>
      <c r="G10526" s="5"/>
      <c r="H10526" s="5"/>
      <c r="I10526" s="5"/>
      <c r="J10526" s="5"/>
      <c r="K10526" s="5"/>
    </row>
    <row r="10527" spans="3:11" x14ac:dyDescent="0.35">
      <c r="C10527" s="112"/>
      <c r="D10527" s="5"/>
      <c r="E10527" s="5"/>
      <c r="F10527" s="5"/>
      <c r="G10527" s="5"/>
      <c r="H10527" s="5"/>
      <c r="I10527" s="5"/>
      <c r="J10527" s="5"/>
      <c r="K10527" s="5"/>
    </row>
    <row r="10528" spans="3:11" x14ac:dyDescent="0.35">
      <c r="C10528" s="112"/>
      <c r="D10528" s="5"/>
      <c r="E10528" s="5"/>
      <c r="F10528" s="5"/>
      <c r="G10528" s="5"/>
      <c r="H10528" s="5"/>
      <c r="I10528" s="5"/>
      <c r="J10528" s="5"/>
      <c r="K10528" s="5"/>
    </row>
    <row r="10529" spans="3:11" x14ac:dyDescent="0.35">
      <c r="C10529" s="112"/>
      <c r="D10529" s="5"/>
      <c r="E10529" s="5"/>
      <c r="F10529" s="5"/>
      <c r="G10529" s="5"/>
      <c r="H10529" s="5"/>
      <c r="I10529" s="5"/>
      <c r="J10529" s="5"/>
      <c r="K10529" s="5"/>
    </row>
    <row r="10530" spans="3:11" x14ac:dyDescent="0.35">
      <c r="C10530" s="112"/>
      <c r="D10530" s="5"/>
      <c r="E10530" s="5"/>
      <c r="F10530" s="5"/>
      <c r="G10530" s="5"/>
      <c r="H10530" s="5"/>
      <c r="I10530" s="5"/>
      <c r="J10530" s="5"/>
      <c r="K10530" s="5"/>
    </row>
    <row r="10531" spans="3:11" x14ac:dyDescent="0.35">
      <c r="C10531" s="112"/>
      <c r="D10531" s="5"/>
      <c r="E10531" s="5"/>
      <c r="F10531" s="5"/>
      <c r="G10531" s="5"/>
      <c r="H10531" s="5"/>
      <c r="I10531" s="5"/>
      <c r="J10531" s="5"/>
      <c r="K10531" s="5"/>
    </row>
    <row r="10532" spans="3:11" x14ac:dyDescent="0.35">
      <c r="C10532" s="112"/>
      <c r="D10532" s="5"/>
      <c r="E10532" s="5"/>
      <c r="F10532" s="5"/>
      <c r="G10532" s="5"/>
      <c r="H10532" s="5"/>
      <c r="I10532" s="5"/>
      <c r="J10532" s="5"/>
      <c r="K10532" s="5"/>
    </row>
    <row r="10533" spans="3:11" x14ac:dyDescent="0.35">
      <c r="C10533" s="112"/>
      <c r="D10533" s="5"/>
      <c r="E10533" s="5"/>
      <c r="F10533" s="5"/>
      <c r="G10533" s="5"/>
      <c r="H10533" s="5"/>
      <c r="I10533" s="5"/>
      <c r="J10533" s="5"/>
      <c r="K10533" s="5"/>
    </row>
    <row r="10534" spans="3:11" x14ac:dyDescent="0.35">
      <c r="C10534" s="112"/>
      <c r="D10534" s="5"/>
      <c r="E10534" s="5"/>
      <c r="F10534" s="5"/>
      <c r="G10534" s="5"/>
      <c r="H10534" s="5"/>
      <c r="I10534" s="5"/>
      <c r="J10534" s="5"/>
      <c r="K10534" s="5"/>
    </row>
    <row r="10535" spans="3:11" x14ac:dyDescent="0.35">
      <c r="C10535" s="112"/>
      <c r="D10535" s="5"/>
      <c r="E10535" s="5"/>
      <c r="F10535" s="5"/>
      <c r="G10535" s="5"/>
      <c r="H10535" s="5"/>
      <c r="I10535" s="5"/>
      <c r="J10535" s="5"/>
      <c r="K10535" s="5"/>
    </row>
    <row r="10536" spans="3:11" x14ac:dyDescent="0.35">
      <c r="C10536" s="112"/>
      <c r="D10536" s="5"/>
      <c r="E10536" s="5"/>
      <c r="F10536" s="5"/>
      <c r="G10536" s="5"/>
      <c r="H10536" s="5"/>
      <c r="I10536" s="5"/>
      <c r="J10536" s="5"/>
      <c r="K10536" s="5"/>
    </row>
    <row r="10537" spans="3:11" x14ac:dyDescent="0.35">
      <c r="C10537" s="112"/>
      <c r="D10537" s="5"/>
      <c r="E10537" s="5"/>
      <c r="F10537" s="5"/>
      <c r="G10537" s="5"/>
      <c r="H10537" s="5"/>
      <c r="I10537" s="5"/>
      <c r="J10537" s="5"/>
      <c r="K10537" s="5"/>
    </row>
    <row r="10538" spans="3:11" x14ac:dyDescent="0.35">
      <c r="C10538" s="112"/>
      <c r="D10538" s="5"/>
      <c r="E10538" s="5"/>
      <c r="F10538" s="5"/>
      <c r="G10538" s="5"/>
      <c r="H10538" s="5"/>
      <c r="I10538" s="5"/>
      <c r="J10538" s="5"/>
      <c r="K10538" s="5"/>
    </row>
    <row r="10539" spans="3:11" x14ac:dyDescent="0.35">
      <c r="C10539" s="112"/>
      <c r="D10539" s="5"/>
      <c r="E10539" s="5"/>
      <c r="F10539" s="5"/>
      <c r="G10539" s="5"/>
      <c r="H10539" s="5"/>
      <c r="I10539" s="5"/>
      <c r="J10539" s="5"/>
      <c r="K10539" s="5"/>
    </row>
    <row r="10540" spans="3:11" x14ac:dyDescent="0.35">
      <c r="C10540" s="112"/>
      <c r="D10540" s="5"/>
      <c r="E10540" s="5"/>
      <c r="F10540" s="5"/>
      <c r="G10540" s="5"/>
      <c r="H10540" s="5"/>
      <c r="I10540" s="5"/>
      <c r="J10540" s="5"/>
      <c r="K10540" s="5"/>
    </row>
    <row r="10541" spans="3:11" x14ac:dyDescent="0.35">
      <c r="C10541" s="112"/>
      <c r="D10541" s="5"/>
      <c r="E10541" s="5"/>
      <c r="F10541" s="5"/>
      <c r="G10541" s="5"/>
      <c r="H10541" s="5"/>
      <c r="I10541" s="5"/>
      <c r="J10541" s="5"/>
      <c r="K10541" s="5"/>
    </row>
    <row r="10542" spans="3:11" x14ac:dyDescent="0.35">
      <c r="C10542" s="112"/>
      <c r="D10542" s="5"/>
      <c r="E10542" s="5"/>
      <c r="F10542" s="5"/>
      <c r="G10542" s="5"/>
      <c r="H10542" s="5"/>
      <c r="I10542" s="5"/>
      <c r="J10542" s="5"/>
      <c r="K10542" s="5"/>
    </row>
    <row r="10543" spans="3:11" x14ac:dyDescent="0.35">
      <c r="C10543" s="112"/>
      <c r="D10543" s="5"/>
      <c r="E10543" s="5"/>
      <c r="F10543" s="5"/>
      <c r="G10543" s="5"/>
      <c r="H10543" s="5"/>
      <c r="I10543" s="5"/>
      <c r="J10543" s="5"/>
      <c r="K10543" s="5"/>
    </row>
    <row r="10544" spans="3:11" x14ac:dyDescent="0.35">
      <c r="C10544" s="112"/>
      <c r="D10544" s="5"/>
      <c r="E10544" s="5"/>
      <c r="F10544" s="5"/>
      <c r="G10544" s="5"/>
      <c r="H10544" s="5"/>
      <c r="I10544" s="5"/>
      <c r="J10544" s="5"/>
      <c r="K10544" s="5"/>
    </row>
    <row r="10545" spans="3:11" x14ac:dyDescent="0.35">
      <c r="C10545" s="112"/>
      <c r="D10545" s="5"/>
      <c r="E10545" s="5"/>
      <c r="F10545" s="5"/>
      <c r="G10545" s="5"/>
      <c r="H10545" s="5"/>
      <c r="I10545" s="5"/>
      <c r="J10545" s="5"/>
      <c r="K10545" s="5"/>
    </row>
    <row r="10546" spans="3:11" x14ac:dyDescent="0.35">
      <c r="C10546" s="112"/>
      <c r="D10546" s="5"/>
      <c r="E10546" s="5"/>
      <c r="F10546" s="5"/>
      <c r="G10546" s="5"/>
      <c r="H10546" s="5"/>
      <c r="I10546" s="5"/>
      <c r="J10546" s="5"/>
      <c r="K10546" s="5"/>
    </row>
    <row r="10547" spans="3:11" x14ac:dyDescent="0.35">
      <c r="C10547" s="112"/>
      <c r="D10547" s="5"/>
      <c r="E10547" s="5"/>
      <c r="F10547" s="5"/>
      <c r="G10547" s="5"/>
      <c r="H10547" s="5"/>
      <c r="I10547" s="5"/>
      <c r="J10547" s="5"/>
      <c r="K10547" s="5"/>
    </row>
    <row r="10548" spans="3:11" x14ac:dyDescent="0.35">
      <c r="C10548" s="112"/>
      <c r="D10548" s="5"/>
      <c r="E10548" s="5"/>
      <c r="F10548" s="5"/>
      <c r="G10548" s="5"/>
      <c r="H10548" s="5"/>
      <c r="I10548" s="5"/>
      <c r="J10548" s="5"/>
      <c r="K10548" s="5"/>
    </row>
    <row r="10549" spans="3:11" x14ac:dyDescent="0.35">
      <c r="C10549" s="112"/>
      <c r="D10549" s="5"/>
      <c r="E10549" s="5"/>
      <c r="F10549" s="5"/>
      <c r="G10549" s="5"/>
      <c r="H10549" s="5"/>
      <c r="I10549" s="5"/>
      <c r="J10549" s="5"/>
      <c r="K10549" s="5"/>
    </row>
    <row r="10550" spans="3:11" x14ac:dyDescent="0.35">
      <c r="C10550" s="112"/>
      <c r="D10550" s="5"/>
      <c r="E10550" s="5"/>
      <c r="F10550" s="5"/>
      <c r="G10550" s="5"/>
      <c r="H10550" s="5"/>
      <c r="I10550" s="5"/>
      <c r="J10550" s="5"/>
      <c r="K10550" s="5"/>
    </row>
    <row r="10551" spans="3:11" x14ac:dyDescent="0.35">
      <c r="C10551" s="112"/>
      <c r="D10551" s="5"/>
      <c r="E10551" s="5"/>
      <c r="F10551" s="5"/>
      <c r="G10551" s="5"/>
      <c r="H10551" s="5"/>
      <c r="I10551" s="5"/>
      <c r="J10551" s="5"/>
      <c r="K10551" s="5"/>
    </row>
    <row r="10552" spans="3:11" x14ac:dyDescent="0.35">
      <c r="C10552" s="112"/>
      <c r="D10552" s="5"/>
      <c r="E10552" s="5"/>
      <c r="F10552" s="5"/>
      <c r="G10552" s="5"/>
      <c r="H10552" s="5"/>
      <c r="I10552" s="5"/>
      <c r="J10552" s="5"/>
      <c r="K10552" s="5"/>
    </row>
    <row r="10553" spans="3:11" x14ac:dyDescent="0.35">
      <c r="C10553" s="112"/>
      <c r="D10553" s="5"/>
      <c r="E10553" s="5"/>
      <c r="F10553" s="5"/>
      <c r="G10553" s="5"/>
      <c r="H10553" s="5"/>
      <c r="I10553" s="5"/>
      <c r="J10553" s="5"/>
      <c r="K10553" s="5"/>
    </row>
    <row r="10554" spans="3:11" x14ac:dyDescent="0.35">
      <c r="C10554" s="112"/>
      <c r="D10554" s="5"/>
      <c r="E10554" s="5"/>
      <c r="F10554" s="5"/>
      <c r="G10554" s="5"/>
      <c r="H10554" s="5"/>
      <c r="I10554" s="5"/>
      <c r="J10554" s="5"/>
      <c r="K10554" s="5"/>
    </row>
    <row r="10555" spans="3:11" x14ac:dyDescent="0.35">
      <c r="C10555" s="112"/>
      <c r="D10555" s="5"/>
      <c r="E10555" s="5"/>
      <c r="F10555" s="5"/>
      <c r="G10555" s="5"/>
      <c r="H10555" s="5"/>
      <c r="I10555" s="5"/>
      <c r="J10555" s="5"/>
      <c r="K10555" s="5"/>
    </row>
    <row r="10556" spans="3:11" x14ac:dyDescent="0.35">
      <c r="C10556" s="112"/>
      <c r="D10556" s="5"/>
      <c r="E10556" s="5"/>
      <c r="F10556" s="5"/>
      <c r="G10556" s="5"/>
      <c r="H10556" s="5"/>
      <c r="I10556" s="5"/>
      <c r="J10556" s="5"/>
      <c r="K10556" s="5"/>
    </row>
    <row r="10557" spans="3:11" x14ac:dyDescent="0.35">
      <c r="C10557" s="112"/>
      <c r="D10557" s="5"/>
      <c r="E10557" s="5"/>
      <c r="F10557" s="5"/>
      <c r="G10557" s="5"/>
      <c r="H10557" s="5"/>
      <c r="I10557" s="5"/>
      <c r="J10557" s="5"/>
      <c r="K10557" s="5"/>
    </row>
    <row r="10558" spans="3:11" x14ac:dyDescent="0.35">
      <c r="C10558" s="112"/>
      <c r="D10558" s="5"/>
      <c r="E10558" s="5"/>
      <c r="F10558" s="5"/>
      <c r="G10558" s="5"/>
      <c r="H10558" s="5"/>
      <c r="I10558" s="5"/>
      <c r="J10558" s="5"/>
      <c r="K10558" s="5"/>
    </row>
    <row r="10559" spans="3:11" x14ac:dyDescent="0.35">
      <c r="C10559" s="112"/>
      <c r="D10559" s="5"/>
      <c r="E10559" s="5"/>
      <c r="F10559" s="5"/>
      <c r="G10559" s="5"/>
      <c r="H10559" s="5"/>
      <c r="I10559" s="5"/>
      <c r="J10559" s="5"/>
      <c r="K10559" s="5"/>
    </row>
    <row r="10560" spans="3:11" x14ac:dyDescent="0.35">
      <c r="C10560" s="112"/>
      <c r="D10560" s="5"/>
      <c r="E10560" s="5"/>
      <c r="F10560" s="5"/>
      <c r="G10560" s="5"/>
      <c r="H10560" s="5"/>
      <c r="I10560" s="5"/>
      <c r="J10560" s="5"/>
      <c r="K10560" s="5"/>
    </row>
    <row r="10561" spans="3:11" x14ac:dyDescent="0.35">
      <c r="C10561" s="112"/>
      <c r="D10561" s="5"/>
      <c r="E10561" s="5"/>
      <c r="F10561" s="5"/>
      <c r="G10561" s="5"/>
      <c r="H10561" s="5"/>
      <c r="I10561" s="5"/>
      <c r="J10561" s="5"/>
      <c r="K10561" s="5"/>
    </row>
    <row r="10562" spans="3:11" x14ac:dyDescent="0.35">
      <c r="C10562" s="112"/>
      <c r="D10562" s="5"/>
      <c r="E10562" s="5"/>
      <c r="F10562" s="5"/>
      <c r="G10562" s="5"/>
      <c r="H10562" s="5"/>
      <c r="I10562" s="5"/>
      <c r="J10562" s="5"/>
      <c r="K10562" s="5"/>
    </row>
    <row r="10563" spans="3:11" x14ac:dyDescent="0.35">
      <c r="C10563" s="112"/>
      <c r="D10563" s="5"/>
      <c r="E10563" s="5"/>
      <c r="F10563" s="5"/>
      <c r="G10563" s="5"/>
      <c r="H10563" s="5"/>
      <c r="I10563" s="5"/>
      <c r="J10563" s="5"/>
      <c r="K10563" s="5"/>
    </row>
    <row r="10564" spans="3:11" x14ac:dyDescent="0.35">
      <c r="C10564" s="112"/>
      <c r="D10564" s="5"/>
      <c r="E10564" s="5"/>
      <c r="F10564" s="5"/>
      <c r="G10564" s="5"/>
      <c r="H10564" s="5"/>
      <c r="I10564" s="5"/>
      <c r="J10564" s="5"/>
      <c r="K10564" s="5"/>
    </row>
    <row r="10565" spans="3:11" x14ac:dyDescent="0.35">
      <c r="C10565" s="112"/>
      <c r="D10565" s="5"/>
      <c r="E10565" s="5"/>
      <c r="F10565" s="5"/>
      <c r="G10565" s="5"/>
      <c r="H10565" s="5"/>
      <c r="I10565" s="5"/>
      <c r="J10565" s="5"/>
      <c r="K10565" s="5"/>
    </row>
    <row r="10566" spans="3:11" x14ac:dyDescent="0.35">
      <c r="C10566" s="112"/>
      <c r="D10566" s="5"/>
      <c r="E10566" s="5"/>
      <c r="F10566" s="5"/>
      <c r="G10566" s="5"/>
      <c r="H10566" s="5"/>
      <c r="I10566" s="5"/>
      <c r="J10566" s="5"/>
      <c r="K10566" s="5"/>
    </row>
    <row r="10567" spans="3:11" x14ac:dyDescent="0.35">
      <c r="C10567" s="112"/>
      <c r="D10567" s="5"/>
      <c r="E10567" s="5"/>
      <c r="F10567" s="5"/>
      <c r="G10567" s="5"/>
      <c r="H10567" s="5"/>
      <c r="I10567" s="5"/>
      <c r="J10567" s="5"/>
      <c r="K10567" s="5"/>
    </row>
    <row r="10568" spans="3:11" x14ac:dyDescent="0.35">
      <c r="C10568" s="112"/>
      <c r="D10568" s="5"/>
      <c r="E10568" s="5"/>
      <c r="F10568" s="5"/>
      <c r="G10568" s="5"/>
      <c r="H10568" s="5"/>
      <c r="I10568" s="5"/>
      <c r="J10568" s="5"/>
      <c r="K10568" s="5"/>
    </row>
    <row r="10569" spans="3:11" x14ac:dyDescent="0.35">
      <c r="C10569" s="112"/>
      <c r="D10569" s="5"/>
      <c r="E10569" s="5"/>
      <c r="F10569" s="5"/>
      <c r="G10569" s="5"/>
      <c r="H10569" s="5"/>
      <c r="I10569" s="5"/>
      <c r="J10569" s="5"/>
      <c r="K10569" s="5"/>
    </row>
    <row r="10570" spans="3:11" x14ac:dyDescent="0.35">
      <c r="C10570" s="112"/>
      <c r="D10570" s="5"/>
      <c r="E10570" s="5"/>
      <c r="F10570" s="5"/>
      <c r="G10570" s="5"/>
      <c r="H10570" s="5"/>
      <c r="I10570" s="5"/>
      <c r="J10570" s="5"/>
      <c r="K10570" s="5"/>
    </row>
    <row r="10571" spans="3:11" x14ac:dyDescent="0.35">
      <c r="C10571" s="112"/>
      <c r="D10571" s="5"/>
      <c r="E10571" s="5"/>
      <c r="F10571" s="5"/>
      <c r="G10571" s="5"/>
      <c r="H10571" s="5"/>
      <c r="I10571" s="5"/>
      <c r="J10571" s="5"/>
      <c r="K10571" s="5"/>
    </row>
    <row r="10572" spans="3:11" x14ac:dyDescent="0.35">
      <c r="C10572" s="112"/>
      <c r="D10572" s="5"/>
      <c r="E10572" s="5"/>
      <c r="F10572" s="5"/>
      <c r="G10572" s="5"/>
      <c r="H10572" s="5"/>
      <c r="I10572" s="5"/>
      <c r="J10572" s="5"/>
      <c r="K10572" s="5"/>
    </row>
    <row r="10573" spans="3:11" x14ac:dyDescent="0.35">
      <c r="C10573" s="112"/>
      <c r="D10573" s="5"/>
      <c r="E10573" s="5"/>
      <c r="F10573" s="5"/>
      <c r="G10573" s="5"/>
      <c r="H10573" s="5"/>
      <c r="I10573" s="5"/>
      <c r="J10573" s="5"/>
      <c r="K10573" s="5"/>
    </row>
    <row r="10574" spans="3:11" x14ac:dyDescent="0.35">
      <c r="C10574" s="112"/>
      <c r="D10574" s="5"/>
      <c r="E10574" s="5"/>
      <c r="F10574" s="5"/>
      <c r="G10574" s="5"/>
      <c r="H10574" s="5"/>
      <c r="I10574" s="5"/>
      <c r="J10574" s="5"/>
      <c r="K10574" s="5"/>
    </row>
    <row r="10575" spans="3:11" x14ac:dyDescent="0.35">
      <c r="C10575" s="112"/>
      <c r="D10575" s="5"/>
      <c r="E10575" s="5"/>
      <c r="F10575" s="5"/>
      <c r="G10575" s="5"/>
      <c r="H10575" s="5"/>
      <c r="I10575" s="5"/>
      <c r="J10575" s="5"/>
      <c r="K10575" s="5"/>
    </row>
    <row r="10576" spans="3:11" x14ac:dyDescent="0.35">
      <c r="C10576" s="112"/>
      <c r="D10576" s="5"/>
      <c r="E10576" s="5"/>
      <c r="F10576" s="5"/>
      <c r="G10576" s="5"/>
      <c r="H10576" s="5"/>
      <c r="I10576" s="5"/>
      <c r="J10576" s="5"/>
      <c r="K10576" s="5"/>
    </row>
    <row r="10577" spans="3:11" x14ac:dyDescent="0.35">
      <c r="C10577" s="112"/>
      <c r="D10577" s="5"/>
      <c r="E10577" s="5"/>
      <c r="F10577" s="5"/>
      <c r="G10577" s="5"/>
      <c r="H10577" s="5"/>
      <c r="I10577" s="5"/>
      <c r="J10577" s="5"/>
      <c r="K10577" s="5"/>
    </row>
    <row r="10578" spans="3:11" x14ac:dyDescent="0.35">
      <c r="C10578" s="112"/>
      <c r="D10578" s="5"/>
      <c r="E10578" s="5"/>
      <c r="F10578" s="5"/>
      <c r="G10578" s="5"/>
      <c r="H10578" s="5"/>
      <c r="I10578" s="5"/>
      <c r="J10578" s="5"/>
      <c r="K10578" s="5"/>
    </row>
    <row r="10579" spans="3:11" x14ac:dyDescent="0.35">
      <c r="C10579" s="112"/>
      <c r="D10579" s="5"/>
      <c r="E10579" s="5"/>
      <c r="F10579" s="5"/>
      <c r="G10579" s="5"/>
      <c r="H10579" s="5"/>
      <c r="I10579" s="5"/>
      <c r="J10579" s="5"/>
      <c r="K10579" s="5"/>
    </row>
    <row r="10580" spans="3:11" x14ac:dyDescent="0.35">
      <c r="C10580" s="112"/>
      <c r="D10580" s="5"/>
      <c r="E10580" s="5"/>
      <c r="F10580" s="5"/>
      <c r="G10580" s="5"/>
      <c r="H10580" s="5"/>
      <c r="I10580" s="5"/>
      <c r="J10580" s="5"/>
      <c r="K10580" s="5"/>
    </row>
    <row r="10581" spans="3:11" x14ac:dyDescent="0.35">
      <c r="C10581" s="112"/>
      <c r="D10581" s="5"/>
      <c r="E10581" s="5"/>
      <c r="F10581" s="5"/>
      <c r="G10581" s="5"/>
      <c r="H10581" s="5"/>
      <c r="I10581" s="5"/>
      <c r="J10581" s="5"/>
      <c r="K10581" s="5"/>
    </row>
    <row r="10582" spans="3:11" x14ac:dyDescent="0.35">
      <c r="C10582" s="112"/>
      <c r="D10582" s="5"/>
      <c r="E10582" s="5"/>
      <c r="F10582" s="5"/>
      <c r="G10582" s="5"/>
      <c r="H10582" s="5"/>
      <c r="I10582" s="5"/>
      <c r="J10582" s="5"/>
      <c r="K10582" s="5"/>
    </row>
    <row r="10583" spans="3:11" x14ac:dyDescent="0.35">
      <c r="C10583" s="112"/>
      <c r="D10583" s="5"/>
      <c r="E10583" s="5"/>
      <c r="F10583" s="5"/>
      <c r="G10583" s="5"/>
      <c r="H10583" s="5"/>
      <c r="I10583" s="5"/>
      <c r="J10583" s="5"/>
      <c r="K10583" s="5"/>
    </row>
    <row r="10584" spans="3:11" x14ac:dyDescent="0.35">
      <c r="C10584" s="112"/>
      <c r="D10584" s="5"/>
      <c r="E10584" s="5"/>
      <c r="F10584" s="5"/>
      <c r="G10584" s="5"/>
      <c r="H10584" s="5"/>
      <c r="I10584" s="5"/>
      <c r="J10584" s="5"/>
      <c r="K10584" s="5"/>
    </row>
    <row r="10585" spans="3:11" x14ac:dyDescent="0.35">
      <c r="C10585" s="112"/>
      <c r="D10585" s="5"/>
      <c r="E10585" s="5"/>
      <c r="F10585" s="5"/>
      <c r="G10585" s="5"/>
      <c r="H10585" s="5"/>
      <c r="I10585" s="5"/>
      <c r="J10585" s="5"/>
      <c r="K10585" s="5"/>
    </row>
    <row r="10586" spans="3:11" x14ac:dyDescent="0.35">
      <c r="C10586" s="112"/>
      <c r="D10586" s="5"/>
      <c r="E10586" s="5"/>
      <c r="F10586" s="5"/>
      <c r="G10586" s="5"/>
      <c r="H10586" s="5"/>
      <c r="I10586" s="5"/>
      <c r="J10586" s="5"/>
      <c r="K10586" s="5"/>
    </row>
    <row r="10587" spans="3:11" x14ac:dyDescent="0.35">
      <c r="C10587" s="112"/>
      <c r="D10587" s="5"/>
      <c r="E10587" s="5"/>
      <c r="F10587" s="5"/>
      <c r="G10587" s="5"/>
      <c r="H10587" s="5"/>
      <c r="I10587" s="5"/>
      <c r="J10587" s="5"/>
      <c r="K10587" s="5"/>
    </row>
    <row r="10588" spans="3:11" x14ac:dyDescent="0.35">
      <c r="C10588" s="112"/>
      <c r="D10588" s="5"/>
      <c r="E10588" s="5"/>
      <c r="F10588" s="5"/>
      <c r="G10588" s="5"/>
      <c r="H10588" s="5"/>
      <c r="I10588" s="5"/>
      <c r="J10588" s="5"/>
      <c r="K10588" s="5"/>
    </row>
    <row r="10589" spans="3:11" x14ac:dyDescent="0.35">
      <c r="C10589" s="112"/>
      <c r="D10589" s="5"/>
      <c r="E10589" s="5"/>
      <c r="F10589" s="5"/>
      <c r="G10589" s="5"/>
      <c r="H10589" s="5"/>
      <c r="I10589" s="5"/>
      <c r="J10589" s="5"/>
      <c r="K10589" s="5"/>
    </row>
    <row r="10590" spans="3:11" x14ac:dyDescent="0.35">
      <c r="C10590" s="112"/>
      <c r="D10590" s="5"/>
      <c r="E10590" s="5"/>
      <c r="F10590" s="5"/>
      <c r="G10590" s="5"/>
      <c r="H10590" s="5"/>
      <c r="I10590" s="5"/>
      <c r="J10590" s="5"/>
      <c r="K10590" s="5"/>
    </row>
    <row r="10591" spans="3:11" x14ac:dyDescent="0.35">
      <c r="C10591" s="112"/>
      <c r="D10591" s="5"/>
      <c r="E10591" s="5"/>
      <c r="F10591" s="5"/>
      <c r="G10591" s="5"/>
      <c r="H10591" s="5"/>
      <c r="I10591" s="5"/>
      <c r="J10591" s="5"/>
      <c r="K10591" s="5"/>
    </row>
    <row r="10592" spans="3:11" x14ac:dyDescent="0.35">
      <c r="C10592" s="112"/>
      <c r="D10592" s="5"/>
      <c r="E10592" s="5"/>
      <c r="F10592" s="5"/>
      <c r="G10592" s="5"/>
      <c r="H10592" s="5"/>
      <c r="I10592" s="5"/>
      <c r="J10592" s="5"/>
      <c r="K10592" s="5"/>
    </row>
    <row r="10593" spans="3:11" x14ac:dyDescent="0.35">
      <c r="C10593" s="112"/>
      <c r="D10593" s="5"/>
      <c r="E10593" s="5"/>
      <c r="F10593" s="5"/>
      <c r="G10593" s="5"/>
      <c r="H10593" s="5"/>
      <c r="I10593" s="5"/>
      <c r="J10593" s="5"/>
      <c r="K10593" s="5"/>
    </row>
    <row r="10594" spans="3:11" x14ac:dyDescent="0.35">
      <c r="C10594" s="112"/>
      <c r="D10594" s="5"/>
      <c r="E10594" s="5"/>
      <c r="F10594" s="5"/>
      <c r="G10594" s="5"/>
      <c r="H10594" s="5"/>
      <c r="I10594" s="5"/>
      <c r="J10594" s="5"/>
      <c r="K10594" s="5"/>
    </row>
    <row r="10595" spans="3:11" x14ac:dyDescent="0.35">
      <c r="C10595" s="112"/>
      <c r="D10595" s="5"/>
      <c r="E10595" s="5"/>
      <c r="F10595" s="5"/>
      <c r="G10595" s="5"/>
      <c r="H10595" s="5"/>
      <c r="I10595" s="5"/>
      <c r="J10595" s="5"/>
      <c r="K10595" s="5"/>
    </row>
    <row r="10596" spans="3:11" x14ac:dyDescent="0.35">
      <c r="C10596" s="112"/>
      <c r="D10596" s="5"/>
      <c r="E10596" s="5"/>
      <c r="F10596" s="5"/>
      <c r="G10596" s="5"/>
      <c r="H10596" s="5"/>
      <c r="I10596" s="5"/>
      <c r="J10596" s="5"/>
      <c r="K10596" s="5"/>
    </row>
    <row r="10597" spans="3:11" x14ac:dyDescent="0.35">
      <c r="C10597" s="112"/>
      <c r="D10597" s="5"/>
      <c r="E10597" s="5"/>
      <c r="F10597" s="5"/>
      <c r="G10597" s="5"/>
      <c r="H10597" s="5"/>
      <c r="I10597" s="5"/>
      <c r="J10597" s="5"/>
      <c r="K10597" s="5"/>
    </row>
    <row r="10598" spans="3:11" x14ac:dyDescent="0.35">
      <c r="C10598" s="112"/>
      <c r="D10598" s="5"/>
      <c r="E10598" s="5"/>
      <c r="F10598" s="5"/>
      <c r="G10598" s="5"/>
      <c r="H10598" s="5"/>
      <c r="I10598" s="5"/>
      <c r="J10598" s="5"/>
      <c r="K10598" s="5"/>
    </row>
    <row r="10599" spans="3:11" x14ac:dyDescent="0.35">
      <c r="C10599" s="112"/>
      <c r="D10599" s="5"/>
      <c r="E10599" s="5"/>
      <c r="F10599" s="5"/>
      <c r="G10599" s="5"/>
      <c r="H10599" s="5"/>
      <c r="I10599" s="5"/>
      <c r="J10599" s="5"/>
      <c r="K10599" s="5"/>
    </row>
    <row r="10600" spans="3:11" x14ac:dyDescent="0.35">
      <c r="C10600" s="112"/>
      <c r="D10600" s="5"/>
      <c r="E10600" s="5"/>
      <c r="F10600" s="5"/>
      <c r="G10600" s="5"/>
      <c r="H10600" s="5"/>
      <c r="I10600" s="5"/>
      <c r="J10600" s="5"/>
      <c r="K10600" s="5"/>
    </row>
    <row r="10601" spans="3:11" x14ac:dyDescent="0.35">
      <c r="C10601" s="112"/>
      <c r="D10601" s="5"/>
      <c r="E10601" s="5"/>
      <c r="F10601" s="5"/>
      <c r="G10601" s="5"/>
      <c r="H10601" s="5"/>
      <c r="I10601" s="5"/>
      <c r="J10601" s="5"/>
      <c r="K10601" s="5"/>
    </row>
    <row r="10602" spans="3:11" x14ac:dyDescent="0.35">
      <c r="C10602" s="112"/>
      <c r="D10602" s="5"/>
      <c r="E10602" s="5"/>
      <c r="F10602" s="5"/>
      <c r="G10602" s="5"/>
      <c r="H10602" s="5"/>
      <c r="I10602" s="5"/>
      <c r="J10602" s="5"/>
      <c r="K10602" s="5"/>
    </row>
    <row r="10603" spans="3:11" x14ac:dyDescent="0.35">
      <c r="C10603" s="112"/>
      <c r="D10603" s="5"/>
      <c r="E10603" s="5"/>
      <c r="F10603" s="5"/>
      <c r="G10603" s="5"/>
      <c r="H10603" s="5"/>
      <c r="I10603" s="5"/>
      <c r="J10603" s="5"/>
      <c r="K10603" s="5"/>
    </row>
    <row r="10604" spans="3:11" x14ac:dyDescent="0.35">
      <c r="C10604" s="112"/>
      <c r="D10604" s="5"/>
      <c r="E10604" s="5"/>
      <c r="F10604" s="5"/>
      <c r="G10604" s="5"/>
      <c r="H10604" s="5"/>
      <c r="I10604" s="5"/>
      <c r="J10604" s="5"/>
      <c r="K10604" s="5"/>
    </row>
    <row r="10605" spans="3:11" x14ac:dyDescent="0.35">
      <c r="C10605" s="112"/>
      <c r="D10605" s="5"/>
      <c r="E10605" s="5"/>
      <c r="F10605" s="5"/>
      <c r="G10605" s="5"/>
      <c r="H10605" s="5"/>
      <c r="I10605" s="5"/>
      <c r="J10605" s="5"/>
      <c r="K10605" s="5"/>
    </row>
    <row r="10606" spans="3:11" x14ac:dyDescent="0.35">
      <c r="C10606" s="112"/>
      <c r="D10606" s="5"/>
      <c r="E10606" s="5"/>
      <c r="F10606" s="5"/>
      <c r="G10606" s="5"/>
      <c r="H10606" s="5"/>
      <c r="I10606" s="5"/>
      <c r="J10606" s="5"/>
      <c r="K10606" s="5"/>
    </row>
    <row r="10607" spans="3:11" x14ac:dyDescent="0.35">
      <c r="C10607" s="112"/>
      <c r="D10607" s="5"/>
      <c r="E10607" s="5"/>
      <c r="F10607" s="5"/>
      <c r="G10607" s="5"/>
      <c r="H10607" s="5"/>
      <c r="I10607" s="5"/>
      <c r="J10607" s="5"/>
      <c r="K10607" s="5"/>
    </row>
    <row r="10608" spans="3:11" x14ac:dyDescent="0.35">
      <c r="C10608" s="112"/>
      <c r="D10608" s="5"/>
      <c r="E10608" s="5"/>
      <c r="F10608" s="5"/>
      <c r="G10608" s="5"/>
      <c r="H10608" s="5"/>
      <c r="I10608" s="5"/>
      <c r="J10608" s="5"/>
      <c r="K10608" s="5"/>
    </row>
    <row r="10609" spans="3:11" x14ac:dyDescent="0.35">
      <c r="C10609" s="112"/>
      <c r="D10609" s="5"/>
      <c r="E10609" s="5"/>
      <c r="F10609" s="5"/>
      <c r="G10609" s="5"/>
      <c r="H10609" s="5"/>
      <c r="I10609" s="5"/>
      <c r="J10609" s="5"/>
      <c r="K10609" s="5"/>
    </row>
    <row r="10610" spans="3:11" x14ac:dyDescent="0.35">
      <c r="C10610" s="112"/>
      <c r="D10610" s="5"/>
      <c r="E10610" s="5"/>
      <c r="F10610" s="5"/>
      <c r="G10610" s="5"/>
      <c r="H10610" s="5"/>
      <c r="I10610" s="5"/>
      <c r="J10610" s="5"/>
      <c r="K10610" s="5"/>
    </row>
    <row r="10611" spans="3:11" x14ac:dyDescent="0.35">
      <c r="C10611" s="112"/>
      <c r="D10611" s="5"/>
      <c r="E10611" s="5"/>
      <c r="F10611" s="5"/>
      <c r="G10611" s="5"/>
      <c r="H10611" s="5"/>
      <c r="I10611" s="5"/>
      <c r="J10611" s="5"/>
      <c r="K10611" s="5"/>
    </row>
    <row r="10612" spans="3:11" x14ac:dyDescent="0.35">
      <c r="C10612" s="112"/>
      <c r="D10612" s="5"/>
      <c r="E10612" s="5"/>
      <c r="F10612" s="5"/>
      <c r="G10612" s="5"/>
      <c r="H10612" s="5"/>
      <c r="I10612" s="5"/>
      <c r="J10612" s="5"/>
      <c r="K10612" s="5"/>
    </row>
    <row r="10613" spans="3:11" x14ac:dyDescent="0.35">
      <c r="C10613" s="112"/>
      <c r="D10613" s="5"/>
      <c r="E10613" s="5"/>
      <c r="F10613" s="5"/>
      <c r="G10613" s="5"/>
      <c r="H10613" s="5"/>
      <c r="I10613" s="5"/>
      <c r="J10613" s="5"/>
      <c r="K10613" s="5"/>
    </row>
    <row r="10614" spans="3:11" x14ac:dyDescent="0.35">
      <c r="C10614" s="112"/>
      <c r="D10614" s="5"/>
      <c r="E10614" s="5"/>
      <c r="F10614" s="5"/>
      <c r="G10614" s="5"/>
      <c r="H10614" s="5"/>
      <c r="I10614" s="5"/>
      <c r="J10614" s="5"/>
      <c r="K10614" s="5"/>
    </row>
    <row r="10615" spans="3:11" x14ac:dyDescent="0.35">
      <c r="C10615" s="112"/>
      <c r="D10615" s="5"/>
      <c r="E10615" s="5"/>
      <c r="F10615" s="5"/>
      <c r="G10615" s="5"/>
      <c r="H10615" s="5"/>
      <c r="I10615" s="5"/>
      <c r="J10615" s="5"/>
      <c r="K10615" s="5"/>
    </row>
    <row r="10616" spans="3:11" x14ac:dyDescent="0.35">
      <c r="C10616" s="112"/>
      <c r="D10616" s="5"/>
      <c r="E10616" s="5"/>
      <c r="F10616" s="5"/>
      <c r="G10616" s="5"/>
      <c r="H10616" s="5"/>
      <c r="I10616" s="5"/>
      <c r="J10616" s="5"/>
      <c r="K10616" s="5"/>
    </row>
    <row r="10617" spans="3:11" x14ac:dyDescent="0.35">
      <c r="C10617" s="112"/>
      <c r="D10617" s="5"/>
      <c r="E10617" s="5"/>
      <c r="F10617" s="5"/>
      <c r="G10617" s="5"/>
      <c r="H10617" s="5"/>
      <c r="I10617" s="5"/>
      <c r="J10617" s="5"/>
      <c r="K10617" s="5"/>
    </row>
    <row r="10618" spans="3:11" x14ac:dyDescent="0.35">
      <c r="C10618" s="112"/>
      <c r="D10618" s="5"/>
      <c r="E10618" s="5"/>
      <c r="F10618" s="5"/>
      <c r="G10618" s="5"/>
      <c r="H10618" s="5"/>
      <c r="I10618" s="5"/>
      <c r="J10618" s="5"/>
      <c r="K10618" s="5"/>
    </row>
    <row r="10619" spans="3:11" x14ac:dyDescent="0.35">
      <c r="C10619" s="112"/>
      <c r="D10619" s="5"/>
      <c r="E10619" s="5"/>
      <c r="F10619" s="5"/>
      <c r="G10619" s="5"/>
      <c r="H10619" s="5"/>
      <c r="I10619" s="5"/>
      <c r="J10619" s="5"/>
      <c r="K10619" s="5"/>
    </row>
    <row r="10620" spans="3:11" x14ac:dyDescent="0.35">
      <c r="C10620" s="112"/>
      <c r="D10620" s="5"/>
      <c r="E10620" s="5"/>
      <c r="F10620" s="5"/>
      <c r="G10620" s="5"/>
      <c r="H10620" s="5"/>
      <c r="I10620" s="5"/>
      <c r="J10620" s="5"/>
      <c r="K10620" s="5"/>
    </row>
    <row r="10621" spans="3:11" x14ac:dyDescent="0.35">
      <c r="C10621" s="112"/>
      <c r="D10621" s="5"/>
      <c r="E10621" s="5"/>
      <c r="F10621" s="5"/>
      <c r="G10621" s="5"/>
      <c r="H10621" s="5"/>
      <c r="I10621" s="5"/>
      <c r="J10621" s="5"/>
      <c r="K10621" s="5"/>
    </row>
    <row r="10622" spans="3:11" x14ac:dyDescent="0.35">
      <c r="C10622" s="112"/>
      <c r="D10622" s="5"/>
      <c r="E10622" s="5"/>
      <c r="F10622" s="5"/>
      <c r="G10622" s="5"/>
      <c r="H10622" s="5"/>
      <c r="I10622" s="5"/>
      <c r="J10622" s="5"/>
      <c r="K10622" s="5"/>
    </row>
    <row r="10623" spans="3:11" x14ac:dyDescent="0.35">
      <c r="C10623" s="112"/>
      <c r="D10623" s="5"/>
      <c r="E10623" s="5"/>
      <c r="F10623" s="5"/>
      <c r="G10623" s="5"/>
      <c r="H10623" s="5"/>
      <c r="I10623" s="5"/>
      <c r="J10623" s="5"/>
      <c r="K10623" s="5"/>
    </row>
    <row r="10624" spans="3:11" x14ac:dyDescent="0.35">
      <c r="C10624" s="112"/>
      <c r="D10624" s="5"/>
      <c r="E10624" s="5"/>
      <c r="F10624" s="5"/>
      <c r="G10624" s="5"/>
      <c r="H10624" s="5"/>
      <c r="I10624" s="5"/>
      <c r="J10624" s="5"/>
      <c r="K10624" s="5"/>
    </row>
    <row r="10625" spans="3:11" x14ac:dyDescent="0.35">
      <c r="C10625" s="112"/>
      <c r="D10625" s="5"/>
      <c r="E10625" s="5"/>
      <c r="F10625" s="5"/>
      <c r="G10625" s="5"/>
      <c r="H10625" s="5"/>
      <c r="I10625" s="5"/>
      <c r="J10625" s="5"/>
      <c r="K10625" s="5"/>
    </row>
    <row r="10626" spans="3:11" x14ac:dyDescent="0.35">
      <c r="C10626" s="112"/>
      <c r="D10626" s="5"/>
      <c r="E10626" s="5"/>
      <c r="F10626" s="5"/>
      <c r="G10626" s="5"/>
      <c r="H10626" s="5"/>
      <c r="I10626" s="5"/>
      <c r="J10626" s="5"/>
      <c r="K10626" s="5"/>
    </row>
    <row r="10627" spans="3:11" x14ac:dyDescent="0.35">
      <c r="C10627" s="112"/>
      <c r="D10627" s="5"/>
      <c r="E10627" s="5"/>
      <c r="F10627" s="5"/>
      <c r="G10627" s="5"/>
      <c r="H10627" s="5"/>
      <c r="I10627" s="5"/>
      <c r="J10627" s="5"/>
      <c r="K10627" s="5"/>
    </row>
    <row r="10628" spans="3:11" x14ac:dyDescent="0.35">
      <c r="C10628" s="112"/>
      <c r="D10628" s="5"/>
      <c r="E10628" s="5"/>
      <c r="F10628" s="5"/>
      <c r="G10628" s="5"/>
      <c r="H10628" s="5"/>
      <c r="I10628" s="5"/>
      <c r="J10628" s="5"/>
      <c r="K10628" s="5"/>
    </row>
    <row r="10629" spans="3:11" x14ac:dyDescent="0.35">
      <c r="C10629" s="112"/>
      <c r="D10629" s="5"/>
      <c r="E10629" s="5"/>
      <c r="F10629" s="5"/>
      <c r="G10629" s="5"/>
      <c r="H10629" s="5"/>
      <c r="I10629" s="5"/>
      <c r="J10629" s="5"/>
      <c r="K10629" s="5"/>
    </row>
    <row r="10630" spans="3:11" x14ac:dyDescent="0.35">
      <c r="C10630" s="112"/>
      <c r="D10630" s="5"/>
      <c r="E10630" s="5"/>
      <c r="F10630" s="5"/>
      <c r="G10630" s="5"/>
      <c r="H10630" s="5"/>
      <c r="I10630" s="5"/>
      <c r="J10630" s="5"/>
      <c r="K10630" s="5"/>
    </row>
    <row r="10631" spans="3:11" x14ac:dyDescent="0.35">
      <c r="C10631" s="112"/>
      <c r="D10631" s="5"/>
      <c r="E10631" s="5"/>
      <c r="F10631" s="5"/>
      <c r="G10631" s="5"/>
      <c r="H10631" s="5"/>
      <c r="I10631" s="5"/>
      <c r="J10631" s="5"/>
      <c r="K10631" s="5"/>
    </row>
    <row r="10632" spans="3:11" x14ac:dyDescent="0.35">
      <c r="C10632" s="112"/>
      <c r="D10632" s="5"/>
      <c r="E10632" s="5"/>
      <c r="F10632" s="5"/>
      <c r="G10632" s="5"/>
      <c r="H10632" s="5"/>
      <c r="I10632" s="5"/>
      <c r="J10632" s="5"/>
      <c r="K10632" s="5"/>
    </row>
    <row r="10633" spans="3:11" x14ac:dyDescent="0.35">
      <c r="C10633" s="112"/>
      <c r="D10633" s="5"/>
      <c r="E10633" s="5"/>
      <c r="F10633" s="5"/>
      <c r="G10633" s="5"/>
      <c r="H10633" s="5"/>
      <c r="I10633" s="5"/>
      <c r="J10633" s="5"/>
      <c r="K10633" s="5"/>
    </row>
    <row r="10634" spans="3:11" x14ac:dyDescent="0.35">
      <c r="C10634" s="112"/>
      <c r="D10634" s="5"/>
      <c r="E10634" s="5"/>
      <c r="F10634" s="5"/>
      <c r="G10634" s="5"/>
      <c r="H10634" s="5"/>
      <c r="I10634" s="5"/>
      <c r="J10634" s="5"/>
      <c r="K10634" s="5"/>
    </row>
    <row r="10635" spans="3:11" x14ac:dyDescent="0.35">
      <c r="C10635" s="112"/>
      <c r="D10635" s="5"/>
      <c r="E10635" s="5"/>
      <c r="F10635" s="5"/>
      <c r="G10635" s="5"/>
      <c r="H10635" s="5"/>
      <c r="I10635" s="5"/>
      <c r="J10635" s="5"/>
      <c r="K10635" s="5"/>
    </row>
    <row r="10636" spans="3:11" x14ac:dyDescent="0.35">
      <c r="C10636" s="112"/>
      <c r="D10636" s="5"/>
      <c r="E10636" s="5"/>
      <c r="F10636" s="5"/>
      <c r="G10636" s="5"/>
      <c r="H10636" s="5"/>
      <c r="I10636" s="5"/>
      <c r="J10636" s="5"/>
      <c r="K10636" s="5"/>
    </row>
    <row r="10637" spans="3:11" x14ac:dyDescent="0.35">
      <c r="C10637" s="112"/>
      <c r="D10637" s="5"/>
      <c r="E10637" s="5"/>
      <c r="F10637" s="5"/>
      <c r="G10637" s="5"/>
      <c r="H10637" s="5"/>
      <c r="I10637" s="5"/>
      <c r="J10637" s="5"/>
      <c r="K10637" s="5"/>
    </row>
    <row r="10638" spans="3:11" x14ac:dyDescent="0.35">
      <c r="C10638" s="112"/>
      <c r="D10638" s="5"/>
      <c r="E10638" s="5"/>
      <c r="F10638" s="5"/>
      <c r="G10638" s="5"/>
      <c r="H10638" s="5"/>
      <c r="I10638" s="5"/>
      <c r="J10638" s="5"/>
      <c r="K10638" s="5"/>
    </row>
    <row r="10639" spans="3:11" x14ac:dyDescent="0.35">
      <c r="C10639" s="112"/>
      <c r="D10639" s="5"/>
      <c r="E10639" s="5"/>
      <c r="F10639" s="5"/>
      <c r="G10639" s="5"/>
      <c r="H10639" s="5"/>
      <c r="I10639" s="5"/>
      <c r="J10639" s="5"/>
      <c r="K10639" s="5"/>
    </row>
    <row r="10640" spans="3:11" x14ac:dyDescent="0.35">
      <c r="C10640" s="112"/>
      <c r="D10640" s="5"/>
      <c r="E10640" s="5"/>
      <c r="F10640" s="5"/>
      <c r="G10640" s="5"/>
      <c r="H10640" s="5"/>
      <c r="I10640" s="5"/>
      <c r="J10640" s="5"/>
      <c r="K10640" s="5"/>
    </row>
    <row r="10641" spans="3:11" x14ac:dyDescent="0.35">
      <c r="C10641" s="112"/>
      <c r="D10641" s="5"/>
      <c r="E10641" s="5"/>
      <c r="F10641" s="5"/>
      <c r="G10641" s="5"/>
      <c r="H10641" s="5"/>
      <c r="I10641" s="5"/>
      <c r="J10641" s="5"/>
      <c r="K10641" s="5"/>
    </row>
    <row r="10642" spans="3:11" x14ac:dyDescent="0.35">
      <c r="C10642" s="112"/>
      <c r="D10642" s="5"/>
      <c r="E10642" s="5"/>
      <c r="F10642" s="5"/>
      <c r="G10642" s="5"/>
      <c r="H10642" s="5"/>
      <c r="I10642" s="5"/>
      <c r="J10642" s="5"/>
      <c r="K10642" s="5"/>
    </row>
    <row r="10643" spans="3:11" x14ac:dyDescent="0.35">
      <c r="C10643" s="112"/>
      <c r="D10643" s="5"/>
      <c r="E10643" s="5"/>
      <c r="F10643" s="5"/>
      <c r="G10643" s="5"/>
      <c r="H10643" s="5"/>
      <c r="I10643" s="5"/>
      <c r="J10643" s="5"/>
      <c r="K10643" s="5"/>
    </row>
    <row r="10644" spans="3:11" x14ac:dyDescent="0.35">
      <c r="C10644" s="112"/>
      <c r="D10644" s="5"/>
      <c r="E10644" s="5"/>
      <c r="F10644" s="5"/>
      <c r="G10644" s="5"/>
      <c r="H10644" s="5"/>
      <c r="I10644" s="5"/>
      <c r="J10644" s="5"/>
      <c r="K10644" s="5"/>
    </row>
    <row r="10645" spans="3:11" x14ac:dyDescent="0.35">
      <c r="C10645" s="112"/>
      <c r="D10645" s="5"/>
      <c r="E10645" s="5"/>
      <c r="F10645" s="5"/>
      <c r="G10645" s="5"/>
      <c r="H10645" s="5"/>
      <c r="I10645" s="5"/>
      <c r="J10645" s="5"/>
      <c r="K10645" s="5"/>
    </row>
    <row r="10646" spans="3:11" x14ac:dyDescent="0.35">
      <c r="C10646" s="112"/>
      <c r="D10646" s="5"/>
      <c r="E10646" s="5"/>
      <c r="F10646" s="5"/>
      <c r="G10646" s="5"/>
      <c r="H10646" s="5"/>
      <c r="I10646" s="5"/>
      <c r="J10646" s="5"/>
      <c r="K10646" s="5"/>
    </row>
    <row r="10647" spans="3:11" x14ac:dyDescent="0.35">
      <c r="C10647" s="112"/>
      <c r="D10647" s="5"/>
      <c r="E10647" s="5"/>
      <c r="F10647" s="5"/>
      <c r="G10647" s="5"/>
      <c r="H10647" s="5"/>
      <c r="I10647" s="5"/>
      <c r="J10647" s="5"/>
      <c r="K10647" s="5"/>
    </row>
    <row r="10648" spans="3:11" x14ac:dyDescent="0.35">
      <c r="C10648" s="112"/>
      <c r="D10648" s="5"/>
      <c r="E10648" s="5"/>
      <c r="F10648" s="5"/>
      <c r="G10648" s="5"/>
      <c r="H10648" s="5"/>
      <c r="I10648" s="5"/>
      <c r="J10648" s="5"/>
      <c r="K10648" s="5"/>
    </row>
    <row r="10649" spans="3:11" x14ac:dyDescent="0.35">
      <c r="C10649" s="112"/>
      <c r="D10649" s="5"/>
      <c r="E10649" s="5"/>
      <c r="F10649" s="5"/>
      <c r="G10649" s="5"/>
      <c r="H10649" s="5"/>
      <c r="I10649" s="5"/>
      <c r="J10649" s="5"/>
      <c r="K10649" s="5"/>
    </row>
    <row r="10650" spans="3:11" x14ac:dyDescent="0.35">
      <c r="C10650" s="112"/>
      <c r="D10650" s="5"/>
      <c r="E10650" s="5"/>
      <c r="F10650" s="5"/>
      <c r="G10650" s="5"/>
      <c r="H10650" s="5"/>
      <c r="I10650" s="5"/>
      <c r="J10650" s="5"/>
      <c r="K10650" s="5"/>
    </row>
    <row r="10651" spans="3:11" x14ac:dyDescent="0.35">
      <c r="C10651" s="112"/>
      <c r="D10651" s="5"/>
      <c r="E10651" s="5"/>
      <c r="F10651" s="5"/>
      <c r="G10651" s="5"/>
      <c r="H10651" s="5"/>
      <c r="I10651" s="5"/>
      <c r="J10651" s="5"/>
      <c r="K10651" s="5"/>
    </row>
    <row r="10652" spans="3:11" x14ac:dyDescent="0.35">
      <c r="C10652" s="112"/>
      <c r="D10652" s="5"/>
      <c r="E10652" s="5"/>
      <c r="F10652" s="5"/>
      <c r="G10652" s="5"/>
      <c r="H10652" s="5"/>
      <c r="I10652" s="5"/>
      <c r="J10652" s="5"/>
      <c r="K10652" s="5"/>
    </row>
    <row r="10653" spans="3:11" x14ac:dyDescent="0.35">
      <c r="C10653" s="112"/>
      <c r="D10653" s="5"/>
      <c r="E10653" s="5"/>
      <c r="F10653" s="5"/>
      <c r="G10653" s="5"/>
      <c r="H10653" s="5"/>
      <c r="I10653" s="5"/>
      <c r="J10653" s="5"/>
      <c r="K10653" s="5"/>
    </row>
    <row r="10654" spans="3:11" x14ac:dyDescent="0.35">
      <c r="C10654" s="112"/>
      <c r="D10654" s="5"/>
      <c r="E10654" s="5"/>
      <c r="F10654" s="5"/>
      <c r="G10654" s="5"/>
      <c r="H10654" s="5"/>
      <c r="I10654" s="5"/>
      <c r="J10654" s="5"/>
      <c r="K10654" s="5"/>
    </row>
    <row r="10655" spans="3:11" x14ac:dyDescent="0.35">
      <c r="C10655" s="112"/>
      <c r="D10655" s="5"/>
      <c r="E10655" s="5"/>
      <c r="F10655" s="5"/>
      <c r="G10655" s="5"/>
      <c r="H10655" s="5"/>
      <c r="I10655" s="5"/>
      <c r="J10655" s="5"/>
      <c r="K10655" s="5"/>
    </row>
    <row r="10656" spans="3:11" x14ac:dyDescent="0.35">
      <c r="C10656" s="112"/>
      <c r="D10656" s="5"/>
      <c r="E10656" s="5"/>
      <c r="F10656" s="5"/>
      <c r="G10656" s="5"/>
      <c r="H10656" s="5"/>
      <c r="I10656" s="5"/>
      <c r="J10656" s="5"/>
      <c r="K10656" s="5"/>
    </row>
    <row r="10657" spans="3:11" x14ac:dyDescent="0.35">
      <c r="C10657" s="112"/>
      <c r="D10657" s="5"/>
      <c r="E10657" s="5"/>
      <c r="F10657" s="5"/>
      <c r="G10657" s="5"/>
      <c r="H10657" s="5"/>
      <c r="I10657" s="5"/>
      <c r="J10657" s="5"/>
      <c r="K10657" s="5"/>
    </row>
    <row r="10658" spans="3:11" x14ac:dyDescent="0.35">
      <c r="C10658" s="112"/>
      <c r="D10658" s="5"/>
      <c r="E10658" s="5"/>
      <c r="F10658" s="5"/>
      <c r="G10658" s="5"/>
      <c r="H10658" s="5"/>
      <c r="I10658" s="5"/>
      <c r="J10658" s="5"/>
      <c r="K10658" s="5"/>
    </row>
    <row r="10659" spans="3:11" x14ac:dyDescent="0.35">
      <c r="C10659" s="112"/>
      <c r="D10659" s="5"/>
      <c r="E10659" s="5"/>
      <c r="F10659" s="5"/>
      <c r="G10659" s="5"/>
      <c r="H10659" s="5"/>
      <c r="I10659" s="5"/>
      <c r="J10659" s="5"/>
      <c r="K10659" s="5"/>
    </row>
    <row r="10660" spans="3:11" x14ac:dyDescent="0.35">
      <c r="C10660" s="112"/>
      <c r="D10660" s="5"/>
      <c r="E10660" s="5"/>
      <c r="F10660" s="5"/>
      <c r="G10660" s="5"/>
      <c r="H10660" s="5"/>
      <c r="I10660" s="5"/>
      <c r="J10660" s="5"/>
      <c r="K10660" s="5"/>
    </row>
    <row r="10661" spans="3:11" x14ac:dyDescent="0.35">
      <c r="C10661" s="112"/>
      <c r="D10661" s="5"/>
      <c r="E10661" s="5"/>
      <c r="F10661" s="5"/>
      <c r="G10661" s="5"/>
      <c r="H10661" s="5"/>
      <c r="I10661" s="5"/>
      <c r="J10661" s="5"/>
      <c r="K10661" s="5"/>
    </row>
    <row r="10662" spans="3:11" x14ac:dyDescent="0.35">
      <c r="C10662" s="112"/>
      <c r="D10662" s="5"/>
      <c r="E10662" s="5"/>
      <c r="F10662" s="5"/>
      <c r="G10662" s="5"/>
      <c r="H10662" s="5"/>
      <c r="I10662" s="5"/>
      <c r="J10662" s="5"/>
      <c r="K10662" s="5"/>
    </row>
    <row r="10663" spans="3:11" x14ac:dyDescent="0.35">
      <c r="C10663" s="112"/>
      <c r="D10663" s="5"/>
      <c r="E10663" s="5"/>
      <c r="F10663" s="5"/>
      <c r="G10663" s="5"/>
      <c r="H10663" s="5"/>
      <c r="I10663" s="5"/>
      <c r="J10663" s="5"/>
      <c r="K10663" s="5"/>
    </row>
    <row r="10664" spans="3:11" x14ac:dyDescent="0.35">
      <c r="C10664" s="112"/>
      <c r="D10664" s="5"/>
      <c r="E10664" s="5"/>
      <c r="F10664" s="5"/>
      <c r="G10664" s="5"/>
      <c r="H10664" s="5"/>
      <c r="I10664" s="5"/>
      <c r="J10664" s="5"/>
      <c r="K10664" s="5"/>
    </row>
    <row r="10665" spans="3:11" x14ac:dyDescent="0.35">
      <c r="C10665" s="112"/>
      <c r="D10665" s="5"/>
      <c r="E10665" s="5"/>
      <c r="F10665" s="5"/>
      <c r="G10665" s="5"/>
      <c r="H10665" s="5"/>
      <c r="I10665" s="5"/>
      <c r="J10665" s="5"/>
      <c r="K10665" s="5"/>
    </row>
    <row r="10666" spans="3:11" x14ac:dyDescent="0.35">
      <c r="C10666" s="112"/>
      <c r="D10666" s="5"/>
      <c r="E10666" s="5"/>
      <c r="F10666" s="5"/>
      <c r="G10666" s="5"/>
      <c r="H10666" s="5"/>
      <c r="I10666" s="5"/>
      <c r="J10666" s="5"/>
      <c r="K10666" s="5"/>
    </row>
    <row r="10667" spans="3:11" x14ac:dyDescent="0.35">
      <c r="C10667" s="112"/>
      <c r="D10667" s="5"/>
      <c r="E10667" s="5"/>
      <c r="F10667" s="5"/>
      <c r="G10667" s="5"/>
      <c r="H10667" s="5"/>
      <c r="I10667" s="5"/>
      <c r="J10667" s="5"/>
      <c r="K10667" s="5"/>
    </row>
    <row r="10668" spans="3:11" x14ac:dyDescent="0.35">
      <c r="C10668" s="112"/>
      <c r="D10668" s="5"/>
      <c r="E10668" s="5"/>
      <c r="F10668" s="5"/>
      <c r="G10668" s="5"/>
      <c r="H10668" s="5"/>
      <c r="I10668" s="5"/>
      <c r="J10668" s="5"/>
      <c r="K10668" s="5"/>
    </row>
    <row r="10669" spans="3:11" x14ac:dyDescent="0.35">
      <c r="C10669" s="112"/>
      <c r="D10669" s="5"/>
      <c r="E10669" s="5"/>
      <c r="F10669" s="5"/>
      <c r="G10669" s="5"/>
      <c r="H10669" s="5"/>
      <c r="I10669" s="5"/>
      <c r="J10669" s="5"/>
      <c r="K10669" s="5"/>
    </row>
    <row r="10670" spans="3:11" x14ac:dyDescent="0.35">
      <c r="C10670" s="112"/>
      <c r="D10670" s="5"/>
      <c r="E10670" s="5"/>
      <c r="F10670" s="5"/>
      <c r="G10670" s="5"/>
      <c r="H10670" s="5"/>
      <c r="I10670" s="5"/>
      <c r="J10670" s="5"/>
      <c r="K10670" s="5"/>
    </row>
    <row r="10671" spans="3:11" x14ac:dyDescent="0.35">
      <c r="C10671" s="112"/>
      <c r="D10671" s="5"/>
      <c r="E10671" s="5"/>
      <c r="F10671" s="5"/>
      <c r="G10671" s="5"/>
      <c r="H10671" s="5"/>
      <c r="I10671" s="5"/>
      <c r="J10671" s="5"/>
      <c r="K10671" s="5"/>
    </row>
    <row r="10672" spans="3:11" x14ac:dyDescent="0.35">
      <c r="C10672" s="112"/>
      <c r="D10672" s="5"/>
      <c r="E10672" s="5"/>
      <c r="F10672" s="5"/>
      <c r="G10672" s="5"/>
      <c r="H10672" s="5"/>
      <c r="I10672" s="5"/>
      <c r="J10672" s="5"/>
      <c r="K10672" s="5"/>
    </row>
    <row r="10673" spans="3:11" x14ac:dyDescent="0.35">
      <c r="C10673" s="112"/>
      <c r="D10673" s="5"/>
      <c r="E10673" s="5"/>
      <c r="F10673" s="5"/>
      <c r="G10673" s="5"/>
      <c r="H10673" s="5"/>
      <c r="I10673" s="5"/>
      <c r="J10673" s="5"/>
      <c r="K10673" s="5"/>
    </row>
    <row r="10674" spans="3:11" x14ac:dyDescent="0.35">
      <c r="C10674" s="112"/>
      <c r="D10674" s="5"/>
      <c r="E10674" s="5"/>
      <c r="F10674" s="5"/>
      <c r="G10674" s="5"/>
      <c r="H10674" s="5"/>
      <c r="I10674" s="5"/>
      <c r="J10674" s="5"/>
      <c r="K10674" s="5"/>
    </row>
    <row r="10675" spans="3:11" x14ac:dyDescent="0.35">
      <c r="C10675" s="112"/>
      <c r="D10675" s="5"/>
      <c r="E10675" s="5"/>
      <c r="F10675" s="5"/>
      <c r="G10675" s="5"/>
      <c r="H10675" s="5"/>
      <c r="I10675" s="5"/>
      <c r="J10675" s="5"/>
      <c r="K10675" s="5"/>
    </row>
    <row r="10676" spans="3:11" x14ac:dyDescent="0.35">
      <c r="C10676" s="112"/>
      <c r="D10676" s="5"/>
      <c r="E10676" s="5"/>
      <c r="F10676" s="5"/>
      <c r="G10676" s="5"/>
      <c r="H10676" s="5"/>
      <c r="I10676" s="5"/>
      <c r="J10676" s="5"/>
      <c r="K10676" s="5"/>
    </row>
    <row r="10677" spans="3:11" x14ac:dyDescent="0.35">
      <c r="C10677" s="112"/>
      <c r="D10677" s="5"/>
      <c r="E10677" s="5"/>
      <c r="F10677" s="5"/>
      <c r="G10677" s="5"/>
      <c r="H10677" s="5"/>
      <c r="I10677" s="5"/>
      <c r="J10677" s="5"/>
      <c r="K10677" s="5"/>
    </row>
    <row r="10678" spans="3:11" x14ac:dyDescent="0.35">
      <c r="C10678" s="112"/>
      <c r="D10678" s="5"/>
      <c r="E10678" s="5"/>
      <c r="F10678" s="5"/>
      <c r="G10678" s="5"/>
      <c r="H10678" s="5"/>
      <c r="I10678" s="5"/>
      <c r="J10678" s="5"/>
      <c r="K10678" s="5"/>
    </row>
    <row r="10679" spans="3:11" x14ac:dyDescent="0.35">
      <c r="C10679" s="112"/>
      <c r="D10679" s="5"/>
      <c r="E10679" s="5"/>
      <c r="F10679" s="5"/>
      <c r="G10679" s="5"/>
      <c r="H10679" s="5"/>
      <c r="I10679" s="5"/>
      <c r="J10679" s="5"/>
      <c r="K10679" s="5"/>
    </row>
    <row r="10680" spans="3:11" x14ac:dyDescent="0.35">
      <c r="C10680" s="112"/>
      <c r="D10680" s="5"/>
      <c r="E10680" s="5"/>
      <c r="F10680" s="5"/>
      <c r="G10680" s="5"/>
      <c r="H10680" s="5"/>
      <c r="I10680" s="5"/>
      <c r="J10680" s="5"/>
      <c r="K10680" s="5"/>
    </row>
    <row r="10681" spans="3:11" x14ac:dyDescent="0.35">
      <c r="C10681" s="112"/>
      <c r="D10681" s="5"/>
      <c r="E10681" s="5"/>
      <c r="F10681" s="5"/>
      <c r="G10681" s="5"/>
      <c r="H10681" s="5"/>
      <c r="I10681" s="5"/>
      <c r="J10681" s="5"/>
      <c r="K10681" s="5"/>
    </row>
    <row r="10682" spans="3:11" x14ac:dyDescent="0.35">
      <c r="C10682" s="112"/>
      <c r="D10682" s="5"/>
      <c r="E10682" s="5"/>
      <c r="F10682" s="5"/>
      <c r="G10682" s="5"/>
      <c r="H10682" s="5"/>
      <c r="I10682" s="5"/>
      <c r="J10682" s="5"/>
      <c r="K10682" s="5"/>
    </row>
    <row r="10683" spans="3:11" x14ac:dyDescent="0.35">
      <c r="C10683" s="112"/>
      <c r="D10683" s="5"/>
      <c r="E10683" s="5"/>
      <c r="F10683" s="5"/>
      <c r="G10683" s="5"/>
      <c r="H10683" s="5"/>
      <c r="I10683" s="5"/>
      <c r="J10683" s="5"/>
      <c r="K10683" s="5"/>
    </row>
    <row r="10684" spans="3:11" x14ac:dyDescent="0.35">
      <c r="C10684" s="112"/>
      <c r="D10684" s="5"/>
      <c r="E10684" s="5"/>
      <c r="F10684" s="5"/>
      <c r="G10684" s="5"/>
      <c r="H10684" s="5"/>
      <c r="I10684" s="5"/>
      <c r="J10684" s="5"/>
      <c r="K10684" s="5"/>
    </row>
    <row r="10685" spans="3:11" x14ac:dyDescent="0.35">
      <c r="C10685" s="112"/>
      <c r="D10685" s="5"/>
      <c r="E10685" s="5"/>
      <c r="F10685" s="5"/>
      <c r="G10685" s="5"/>
      <c r="H10685" s="5"/>
      <c r="I10685" s="5"/>
      <c r="J10685" s="5"/>
      <c r="K10685" s="5"/>
    </row>
    <row r="10686" spans="3:11" x14ac:dyDescent="0.35">
      <c r="C10686" s="112"/>
      <c r="D10686" s="5"/>
      <c r="E10686" s="5"/>
      <c r="F10686" s="5"/>
      <c r="G10686" s="5"/>
      <c r="H10686" s="5"/>
      <c r="I10686" s="5"/>
      <c r="J10686" s="5"/>
      <c r="K10686" s="5"/>
    </row>
    <row r="10687" spans="3:11" x14ac:dyDescent="0.35">
      <c r="C10687" s="112"/>
      <c r="D10687" s="5"/>
      <c r="E10687" s="5"/>
      <c r="F10687" s="5"/>
      <c r="G10687" s="5"/>
      <c r="H10687" s="5"/>
      <c r="I10687" s="5"/>
      <c r="J10687" s="5"/>
      <c r="K10687" s="5"/>
    </row>
    <row r="10688" spans="3:11" x14ac:dyDescent="0.35">
      <c r="C10688" s="112"/>
      <c r="D10688" s="5"/>
      <c r="E10688" s="5"/>
      <c r="F10688" s="5"/>
      <c r="G10688" s="5"/>
      <c r="H10688" s="5"/>
      <c r="I10688" s="5"/>
      <c r="J10688" s="5"/>
      <c r="K10688" s="5"/>
    </row>
    <row r="10689" spans="3:11" x14ac:dyDescent="0.35">
      <c r="C10689" s="112"/>
      <c r="D10689" s="5"/>
      <c r="E10689" s="5"/>
      <c r="F10689" s="5"/>
      <c r="G10689" s="5"/>
      <c r="H10689" s="5"/>
      <c r="I10689" s="5"/>
      <c r="J10689" s="5"/>
      <c r="K10689" s="5"/>
    </row>
    <row r="10690" spans="3:11" x14ac:dyDescent="0.35">
      <c r="C10690" s="112"/>
      <c r="D10690" s="5"/>
      <c r="E10690" s="5"/>
      <c r="F10690" s="5"/>
      <c r="G10690" s="5"/>
      <c r="H10690" s="5"/>
      <c r="I10690" s="5"/>
      <c r="J10690" s="5"/>
      <c r="K10690" s="5"/>
    </row>
    <row r="10691" spans="3:11" x14ac:dyDescent="0.35">
      <c r="C10691" s="112"/>
      <c r="D10691" s="5"/>
      <c r="E10691" s="5"/>
      <c r="F10691" s="5"/>
      <c r="G10691" s="5"/>
      <c r="H10691" s="5"/>
      <c r="I10691" s="5"/>
      <c r="J10691" s="5"/>
      <c r="K10691" s="5"/>
    </row>
    <row r="10692" spans="3:11" x14ac:dyDescent="0.35">
      <c r="C10692" s="112"/>
      <c r="D10692" s="5"/>
      <c r="E10692" s="5"/>
      <c r="F10692" s="5"/>
      <c r="G10692" s="5"/>
      <c r="H10692" s="5"/>
      <c r="I10692" s="5"/>
      <c r="J10692" s="5"/>
      <c r="K10692" s="5"/>
    </row>
    <row r="10693" spans="3:11" x14ac:dyDescent="0.35">
      <c r="C10693" s="112"/>
      <c r="D10693" s="5"/>
      <c r="E10693" s="5"/>
      <c r="F10693" s="5"/>
      <c r="G10693" s="5"/>
      <c r="H10693" s="5"/>
      <c r="I10693" s="5"/>
      <c r="J10693" s="5"/>
      <c r="K10693" s="5"/>
    </row>
    <row r="10694" spans="3:11" x14ac:dyDescent="0.35">
      <c r="C10694" s="112"/>
      <c r="D10694" s="5"/>
      <c r="E10694" s="5"/>
      <c r="F10694" s="5"/>
      <c r="G10694" s="5"/>
      <c r="H10694" s="5"/>
      <c r="I10694" s="5"/>
      <c r="J10694" s="5"/>
      <c r="K10694" s="5"/>
    </row>
    <row r="10695" spans="3:11" x14ac:dyDescent="0.35">
      <c r="C10695" s="112"/>
      <c r="D10695" s="5"/>
      <c r="E10695" s="5"/>
      <c r="F10695" s="5"/>
      <c r="G10695" s="5"/>
      <c r="H10695" s="5"/>
      <c r="I10695" s="5"/>
      <c r="J10695" s="5"/>
      <c r="K10695" s="5"/>
    </row>
    <row r="10696" spans="3:11" x14ac:dyDescent="0.35">
      <c r="C10696" s="112"/>
      <c r="D10696" s="5"/>
      <c r="E10696" s="5"/>
      <c r="F10696" s="5"/>
      <c r="G10696" s="5"/>
      <c r="H10696" s="5"/>
      <c r="I10696" s="5"/>
      <c r="J10696" s="5"/>
      <c r="K10696" s="5"/>
    </row>
    <row r="10697" spans="3:11" x14ac:dyDescent="0.35">
      <c r="C10697" s="112"/>
      <c r="D10697" s="5"/>
      <c r="E10697" s="5"/>
      <c r="F10697" s="5"/>
      <c r="G10697" s="5"/>
      <c r="H10697" s="5"/>
      <c r="I10697" s="5"/>
      <c r="J10697" s="5"/>
      <c r="K10697" s="5"/>
    </row>
    <row r="10698" spans="3:11" x14ac:dyDescent="0.35">
      <c r="C10698" s="112"/>
      <c r="D10698" s="5"/>
      <c r="E10698" s="5"/>
      <c r="F10698" s="5"/>
      <c r="G10698" s="5"/>
      <c r="H10698" s="5"/>
      <c r="I10698" s="5"/>
      <c r="J10698" s="5"/>
      <c r="K10698" s="5"/>
    </row>
    <row r="10699" spans="3:11" x14ac:dyDescent="0.35">
      <c r="C10699" s="112"/>
      <c r="D10699" s="5"/>
      <c r="E10699" s="5"/>
      <c r="F10699" s="5"/>
      <c r="G10699" s="5"/>
      <c r="H10699" s="5"/>
      <c r="I10699" s="5"/>
      <c r="J10699" s="5"/>
      <c r="K10699" s="5"/>
    </row>
    <row r="10700" spans="3:11" x14ac:dyDescent="0.35">
      <c r="C10700" s="112"/>
      <c r="D10700" s="5"/>
      <c r="E10700" s="5"/>
      <c r="F10700" s="5"/>
      <c r="G10700" s="5"/>
      <c r="H10700" s="5"/>
      <c r="I10700" s="5"/>
      <c r="J10700" s="5"/>
      <c r="K10700" s="5"/>
    </row>
    <row r="10701" spans="3:11" x14ac:dyDescent="0.35">
      <c r="C10701" s="112"/>
      <c r="D10701" s="5"/>
      <c r="E10701" s="5"/>
      <c r="F10701" s="5"/>
      <c r="G10701" s="5"/>
      <c r="H10701" s="5"/>
      <c r="I10701" s="5"/>
      <c r="J10701" s="5"/>
      <c r="K10701" s="5"/>
    </row>
    <row r="10702" spans="3:11" x14ac:dyDescent="0.35">
      <c r="C10702" s="112"/>
      <c r="D10702" s="5"/>
      <c r="E10702" s="5"/>
      <c r="F10702" s="5"/>
      <c r="G10702" s="5"/>
      <c r="H10702" s="5"/>
      <c r="I10702" s="5"/>
      <c r="J10702" s="5"/>
      <c r="K10702" s="5"/>
    </row>
    <row r="10703" spans="3:11" x14ac:dyDescent="0.35">
      <c r="C10703" s="112"/>
      <c r="D10703" s="5"/>
      <c r="E10703" s="5"/>
      <c r="F10703" s="5"/>
      <c r="G10703" s="5"/>
      <c r="H10703" s="5"/>
      <c r="I10703" s="5"/>
      <c r="J10703" s="5"/>
      <c r="K10703" s="5"/>
    </row>
    <row r="10704" spans="3:11" x14ac:dyDescent="0.35">
      <c r="C10704" s="112"/>
      <c r="D10704" s="5"/>
      <c r="E10704" s="5"/>
      <c r="F10704" s="5"/>
      <c r="G10704" s="5"/>
      <c r="H10704" s="5"/>
      <c r="I10704" s="5"/>
      <c r="J10704" s="5"/>
      <c r="K10704" s="5"/>
    </row>
    <row r="10705" spans="3:11" x14ac:dyDescent="0.35">
      <c r="C10705" s="112"/>
      <c r="D10705" s="5"/>
      <c r="E10705" s="5"/>
      <c r="F10705" s="5"/>
      <c r="G10705" s="5"/>
      <c r="H10705" s="5"/>
      <c r="I10705" s="5"/>
      <c r="J10705" s="5"/>
      <c r="K10705" s="5"/>
    </row>
    <row r="10706" spans="3:11" x14ac:dyDescent="0.35">
      <c r="C10706" s="112"/>
      <c r="D10706" s="5"/>
      <c r="E10706" s="5"/>
      <c r="F10706" s="5"/>
      <c r="G10706" s="5"/>
      <c r="H10706" s="5"/>
      <c r="I10706" s="5"/>
      <c r="J10706" s="5"/>
      <c r="K10706" s="5"/>
    </row>
    <row r="10707" spans="3:11" x14ac:dyDescent="0.35">
      <c r="C10707" s="112"/>
      <c r="D10707" s="5"/>
      <c r="E10707" s="5"/>
      <c r="F10707" s="5"/>
      <c r="G10707" s="5"/>
      <c r="H10707" s="5"/>
      <c r="I10707" s="5"/>
      <c r="J10707" s="5"/>
      <c r="K10707" s="5"/>
    </row>
    <row r="10708" spans="3:11" x14ac:dyDescent="0.35">
      <c r="C10708" s="112"/>
      <c r="D10708" s="5"/>
      <c r="E10708" s="5"/>
      <c r="F10708" s="5"/>
      <c r="G10708" s="5"/>
      <c r="H10708" s="5"/>
      <c r="I10708" s="5"/>
      <c r="J10708" s="5"/>
      <c r="K10708" s="5"/>
    </row>
    <row r="10709" spans="3:11" x14ac:dyDescent="0.35">
      <c r="C10709" s="112"/>
      <c r="D10709" s="5"/>
      <c r="E10709" s="5"/>
      <c r="F10709" s="5"/>
      <c r="G10709" s="5"/>
      <c r="H10709" s="5"/>
      <c r="I10709" s="5"/>
      <c r="J10709" s="5"/>
      <c r="K10709" s="5"/>
    </row>
    <row r="10710" spans="3:11" x14ac:dyDescent="0.35">
      <c r="C10710" s="112"/>
      <c r="D10710" s="5"/>
      <c r="E10710" s="5"/>
      <c r="F10710" s="5"/>
      <c r="G10710" s="5"/>
      <c r="H10710" s="5"/>
      <c r="I10710" s="5"/>
      <c r="J10710" s="5"/>
      <c r="K10710" s="5"/>
    </row>
    <row r="10711" spans="3:11" x14ac:dyDescent="0.35">
      <c r="C10711" s="112"/>
      <c r="D10711" s="5"/>
      <c r="E10711" s="5"/>
      <c r="F10711" s="5"/>
      <c r="G10711" s="5"/>
      <c r="H10711" s="5"/>
      <c r="I10711" s="5"/>
      <c r="J10711" s="5"/>
      <c r="K10711" s="5"/>
    </row>
    <row r="10712" spans="3:11" x14ac:dyDescent="0.35">
      <c r="C10712" s="112"/>
      <c r="D10712" s="5"/>
      <c r="E10712" s="5"/>
      <c r="F10712" s="5"/>
      <c r="G10712" s="5"/>
      <c r="H10712" s="5"/>
      <c r="I10712" s="5"/>
      <c r="J10712" s="5"/>
      <c r="K10712" s="5"/>
    </row>
    <row r="10713" spans="3:11" x14ac:dyDescent="0.35">
      <c r="C10713" s="112"/>
      <c r="D10713" s="5"/>
      <c r="E10713" s="5"/>
      <c r="F10713" s="5"/>
      <c r="G10713" s="5"/>
      <c r="H10713" s="5"/>
      <c r="I10713" s="5"/>
      <c r="J10713" s="5"/>
      <c r="K10713" s="5"/>
    </row>
    <row r="10714" spans="3:11" x14ac:dyDescent="0.35">
      <c r="C10714" s="112"/>
      <c r="D10714" s="5"/>
      <c r="E10714" s="5"/>
      <c r="F10714" s="5"/>
      <c r="G10714" s="5"/>
      <c r="H10714" s="5"/>
      <c r="I10714" s="5"/>
      <c r="J10714" s="5"/>
      <c r="K10714" s="5"/>
    </row>
    <row r="10715" spans="3:11" x14ac:dyDescent="0.35">
      <c r="C10715" s="112"/>
      <c r="D10715" s="5"/>
      <c r="E10715" s="5"/>
      <c r="F10715" s="5"/>
      <c r="G10715" s="5"/>
      <c r="H10715" s="5"/>
      <c r="I10715" s="5"/>
      <c r="J10715" s="5"/>
      <c r="K10715" s="5"/>
    </row>
    <row r="10716" spans="3:11" x14ac:dyDescent="0.35">
      <c r="C10716" s="112"/>
      <c r="D10716" s="5"/>
      <c r="E10716" s="5"/>
      <c r="F10716" s="5"/>
      <c r="G10716" s="5"/>
      <c r="H10716" s="5"/>
      <c r="I10716" s="5"/>
      <c r="J10716" s="5"/>
      <c r="K10716" s="5"/>
    </row>
    <row r="10717" spans="3:11" x14ac:dyDescent="0.35">
      <c r="C10717" s="112"/>
      <c r="D10717" s="5"/>
      <c r="E10717" s="5"/>
      <c r="F10717" s="5"/>
      <c r="G10717" s="5"/>
      <c r="H10717" s="5"/>
      <c r="I10717" s="5"/>
      <c r="J10717" s="5"/>
      <c r="K10717" s="5"/>
    </row>
    <row r="10718" spans="3:11" x14ac:dyDescent="0.35">
      <c r="C10718" s="112"/>
      <c r="D10718" s="5"/>
      <c r="E10718" s="5"/>
      <c r="F10718" s="5"/>
      <c r="G10718" s="5"/>
      <c r="H10718" s="5"/>
      <c r="I10718" s="5"/>
      <c r="J10718" s="5"/>
      <c r="K10718" s="5"/>
    </row>
    <row r="10719" spans="3:11" x14ac:dyDescent="0.35">
      <c r="C10719" s="112"/>
      <c r="D10719" s="5"/>
      <c r="E10719" s="5"/>
      <c r="F10719" s="5"/>
      <c r="G10719" s="5"/>
      <c r="H10719" s="5"/>
      <c r="I10719" s="5"/>
      <c r="J10719" s="5"/>
      <c r="K10719" s="5"/>
    </row>
    <row r="10720" spans="3:11" x14ac:dyDescent="0.35">
      <c r="C10720" s="112"/>
      <c r="D10720" s="5"/>
      <c r="E10720" s="5"/>
      <c r="F10720" s="5"/>
      <c r="G10720" s="5"/>
      <c r="H10720" s="5"/>
      <c r="I10720" s="5"/>
      <c r="J10720" s="5"/>
      <c r="K10720" s="5"/>
    </row>
    <row r="10721" spans="3:11" x14ac:dyDescent="0.35">
      <c r="C10721" s="112"/>
      <c r="D10721" s="5"/>
      <c r="E10721" s="5"/>
      <c r="F10721" s="5"/>
      <c r="G10721" s="5"/>
      <c r="H10721" s="5"/>
      <c r="I10721" s="5"/>
      <c r="J10721" s="5"/>
      <c r="K10721" s="5"/>
    </row>
    <row r="10722" spans="3:11" x14ac:dyDescent="0.35">
      <c r="C10722" s="112"/>
      <c r="D10722" s="5"/>
      <c r="E10722" s="5"/>
      <c r="F10722" s="5"/>
      <c r="G10722" s="5"/>
      <c r="H10722" s="5"/>
      <c r="I10722" s="5"/>
      <c r="J10722" s="5"/>
      <c r="K10722" s="5"/>
    </row>
    <row r="10723" spans="3:11" x14ac:dyDescent="0.35">
      <c r="C10723" s="112"/>
      <c r="D10723" s="5"/>
      <c r="E10723" s="5"/>
      <c r="F10723" s="5"/>
      <c r="G10723" s="5"/>
      <c r="H10723" s="5"/>
      <c r="I10723" s="5"/>
      <c r="J10723" s="5"/>
      <c r="K10723" s="5"/>
    </row>
    <row r="10724" spans="3:11" x14ac:dyDescent="0.35">
      <c r="C10724" s="112"/>
      <c r="D10724" s="5"/>
      <c r="E10724" s="5"/>
      <c r="F10724" s="5"/>
      <c r="G10724" s="5"/>
      <c r="H10724" s="5"/>
      <c r="I10724" s="5"/>
      <c r="J10724" s="5"/>
      <c r="K10724" s="5"/>
    </row>
    <row r="10725" spans="3:11" x14ac:dyDescent="0.35">
      <c r="C10725" s="112"/>
      <c r="D10725" s="5"/>
      <c r="E10725" s="5"/>
      <c r="F10725" s="5"/>
      <c r="G10725" s="5"/>
      <c r="H10725" s="5"/>
      <c r="I10725" s="5"/>
      <c r="J10725" s="5"/>
      <c r="K10725" s="5"/>
    </row>
    <row r="10726" spans="3:11" x14ac:dyDescent="0.35">
      <c r="C10726" s="112"/>
      <c r="D10726" s="5"/>
      <c r="E10726" s="5"/>
      <c r="F10726" s="5"/>
      <c r="G10726" s="5"/>
      <c r="H10726" s="5"/>
      <c r="I10726" s="5"/>
      <c r="J10726" s="5"/>
      <c r="K10726" s="5"/>
    </row>
    <row r="10727" spans="3:11" x14ac:dyDescent="0.35">
      <c r="C10727" s="112"/>
      <c r="D10727" s="5"/>
      <c r="E10727" s="5"/>
      <c r="F10727" s="5"/>
      <c r="G10727" s="5"/>
      <c r="H10727" s="5"/>
      <c r="I10727" s="5"/>
      <c r="J10727" s="5"/>
      <c r="K10727" s="5"/>
    </row>
    <row r="10728" spans="3:11" x14ac:dyDescent="0.35">
      <c r="C10728" s="112"/>
      <c r="D10728" s="5"/>
      <c r="E10728" s="5"/>
      <c r="F10728" s="5"/>
      <c r="G10728" s="5"/>
      <c r="H10728" s="5"/>
      <c r="I10728" s="5"/>
      <c r="J10728" s="5"/>
      <c r="K10728" s="5"/>
    </row>
    <row r="10729" spans="3:11" x14ac:dyDescent="0.35">
      <c r="C10729" s="112"/>
      <c r="D10729" s="5"/>
      <c r="E10729" s="5"/>
      <c r="F10729" s="5"/>
      <c r="G10729" s="5"/>
      <c r="H10729" s="5"/>
      <c r="I10729" s="5"/>
      <c r="J10729" s="5"/>
      <c r="K10729" s="5"/>
    </row>
    <row r="10730" spans="3:11" x14ac:dyDescent="0.35">
      <c r="C10730" s="112"/>
      <c r="D10730" s="5"/>
      <c r="E10730" s="5"/>
      <c r="F10730" s="5"/>
      <c r="G10730" s="5"/>
      <c r="H10730" s="5"/>
      <c r="I10730" s="5"/>
      <c r="J10730" s="5"/>
      <c r="K10730" s="5"/>
    </row>
    <row r="10731" spans="3:11" x14ac:dyDescent="0.35">
      <c r="C10731" s="112"/>
      <c r="D10731" s="5"/>
      <c r="E10731" s="5"/>
      <c r="F10731" s="5"/>
      <c r="G10731" s="5"/>
      <c r="H10731" s="5"/>
      <c r="I10731" s="5"/>
      <c r="J10731" s="5"/>
      <c r="K10731" s="5"/>
    </row>
    <row r="10732" spans="3:11" x14ac:dyDescent="0.35">
      <c r="C10732" s="112"/>
      <c r="D10732" s="5"/>
      <c r="E10732" s="5"/>
      <c r="F10732" s="5"/>
      <c r="G10732" s="5"/>
      <c r="H10732" s="5"/>
      <c r="I10732" s="5"/>
      <c r="J10732" s="5"/>
      <c r="K10732" s="5"/>
    </row>
    <row r="10733" spans="3:11" x14ac:dyDescent="0.35">
      <c r="C10733" s="112"/>
      <c r="D10733" s="5"/>
      <c r="E10733" s="5"/>
      <c r="F10733" s="5"/>
      <c r="G10733" s="5"/>
      <c r="H10733" s="5"/>
      <c r="I10733" s="5"/>
      <c r="J10733" s="5"/>
      <c r="K10733" s="5"/>
    </row>
    <row r="10734" spans="3:11" x14ac:dyDescent="0.35">
      <c r="C10734" s="112"/>
      <c r="D10734" s="5"/>
      <c r="E10734" s="5"/>
      <c r="F10734" s="5"/>
      <c r="G10734" s="5"/>
      <c r="H10734" s="5"/>
      <c r="I10734" s="5"/>
      <c r="J10734" s="5"/>
      <c r="K10734" s="5"/>
    </row>
    <row r="10735" spans="3:11" x14ac:dyDescent="0.35">
      <c r="C10735" s="112"/>
      <c r="D10735" s="5"/>
      <c r="E10735" s="5"/>
      <c r="F10735" s="5"/>
      <c r="G10735" s="5"/>
      <c r="H10735" s="5"/>
      <c r="I10735" s="5"/>
      <c r="J10735" s="5"/>
      <c r="K10735" s="5"/>
    </row>
    <row r="10736" spans="3:11" x14ac:dyDescent="0.35">
      <c r="C10736" s="112"/>
      <c r="D10736" s="5"/>
      <c r="E10736" s="5"/>
      <c r="F10736" s="5"/>
      <c r="G10736" s="5"/>
      <c r="H10736" s="5"/>
      <c r="I10736" s="5"/>
      <c r="J10736" s="5"/>
      <c r="K10736" s="5"/>
    </row>
    <row r="10737" spans="3:11" x14ac:dyDescent="0.35">
      <c r="C10737" s="112"/>
      <c r="D10737" s="5"/>
      <c r="E10737" s="5"/>
      <c r="F10737" s="5"/>
      <c r="G10737" s="5"/>
      <c r="H10737" s="5"/>
      <c r="I10737" s="5"/>
      <c r="J10737" s="5"/>
      <c r="K10737" s="5"/>
    </row>
    <row r="10738" spans="3:11" x14ac:dyDescent="0.35">
      <c r="C10738" s="112"/>
      <c r="D10738" s="5"/>
      <c r="E10738" s="5"/>
      <c r="F10738" s="5"/>
      <c r="G10738" s="5"/>
      <c r="H10738" s="5"/>
      <c r="I10738" s="5"/>
      <c r="J10738" s="5"/>
      <c r="K10738" s="5"/>
    </row>
    <row r="10739" spans="3:11" x14ac:dyDescent="0.35">
      <c r="C10739" s="112"/>
      <c r="D10739" s="5"/>
      <c r="E10739" s="5"/>
      <c r="F10739" s="5"/>
      <c r="G10739" s="5"/>
      <c r="H10739" s="5"/>
      <c r="I10739" s="5"/>
      <c r="J10739" s="5"/>
      <c r="K10739" s="5"/>
    </row>
    <row r="10740" spans="3:11" x14ac:dyDescent="0.35">
      <c r="C10740" s="112"/>
      <c r="D10740" s="5"/>
      <c r="E10740" s="5"/>
      <c r="F10740" s="5"/>
      <c r="G10740" s="5"/>
      <c r="H10740" s="5"/>
      <c r="I10740" s="5"/>
      <c r="J10740" s="5"/>
      <c r="K10740" s="5"/>
    </row>
    <row r="10741" spans="3:11" x14ac:dyDescent="0.35">
      <c r="C10741" s="112"/>
      <c r="D10741" s="5"/>
      <c r="E10741" s="5"/>
      <c r="F10741" s="5"/>
      <c r="G10741" s="5"/>
      <c r="H10741" s="5"/>
      <c r="I10741" s="5"/>
      <c r="J10741" s="5"/>
      <c r="K10741" s="5"/>
    </row>
    <row r="10742" spans="3:11" x14ac:dyDescent="0.35">
      <c r="C10742" s="112"/>
      <c r="D10742" s="5"/>
      <c r="E10742" s="5"/>
      <c r="F10742" s="5"/>
      <c r="G10742" s="5"/>
      <c r="H10742" s="5"/>
      <c r="I10742" s="5"/>
      <c r="J10742" s="5"/>
      <c r="K10742" s="5"/>
    </row>
    <row r="10743" spans="3:11" x14ac:dyDescent="0.35">
      <c r="C10743" s="112"/>
      <c r="D10743" s="5"/>
      <c r="E10743" s="5"/>
      <c r="F10743" s="5"/>
      <c r="G10743" s="5"/>
      <c r="H10743" s="5"/>
      <c r="I10743" s="5"/>
      <c r="J10743" s="5"/>
      <c r="K10743" s="5"/>
    </row>
    <row r="10744" spans="3:11" x14ac:dyDescent="0.35">
      <c r="C10744" s="112"/>
      <c r="D10744" s="5"/>
      <c r="E10744" s="5"/>
      <c r="F10744" s="5"/>
      <c r="G10744" s="5"/>
      <c r="H10744" s="5"/>
      <c r="I10744" s="5"/>
      <c r="J10744" s="5"/>
      <c r="K10744" s="5"/>
    </row>
    <row r="10745" spans="3:11" x14ac:dyDescent="0.35">
      <c r="C10745" s="112"/>
      <c r="D10745" s="5"/>
      <c r="E10745" s="5"/>
      <c r="F10745" s="5"/>
      <c r="G10745" s="5"/>
      <c r="H10745" s="5"/>
      <c r="I10745" s="5"/>
      <c r="J10745" s="5"/>
      <c r="K10745" s="5"/>
    </row>
    <row r="10746" spans="3:11" x14ac:dyDescent="0.35">
      <c r="C10746" s="112"/>
      <c r="D10746" s="5"/>
      <c r="E10746" s="5"/>
      <c r="F10746" s="5"/>
      <c r="G10746" s="5"/>
      <c r="H10746" s="5"/>
      <c r="I10746" s="5"/>
      <c r="J10746" s="5"/>
      <c r="K10746" s="5"/>
    </row>
    <row r="10747" spans="3:11" x14ac:dyDescent="0.35">
      <c r="C10747" s="112"/>
      <c r="D10747" s="5"/>
      <c r="E10747" s="5"/>
      <c r="F10747" s="5"/>
      <c r="G10747" s="5"/>
      <c r="H10747" s="5"/>
      <c r="I10747" s="5"/>
      <c r="J10747" s="5"/>
      <c r="K10747" s="5"/>
    </row>
    <row r="10748" spans="3:11" x14ac:dyDescent="0.35">
      <c r="C10748" s="112"/>
      <c r="D10748" s="5"/>
      <c r="E10748" s="5"/>
      <c r="F10748" s="5"/>
      <c r="G10748" s="5"/>
      <c r="H10748" s="5"/>
      <c r="I10748" s="5"/>
      <c r="J10748" s="5"/>
      <c r="K10748" s="5"/>
    </row>
    <row r="10749" spans="3:11" x14ac:dyDescent="0.35">
      <c r="C10749" s="112"/>
      <c r="D10749" s="5"/>
      <c r="E10749" s="5"/>
      <c r="F10749" s="5"/>
      <c r="G10749" s="5"/>
      <c r="H10749" s="5"/>
      <c r="I10749" s="5"/>
      <c r="J10749" s="5"/>
      <c r="K10749" s="5"/>
    </row>
    <row r="10750" spans="3:11" x14ac:dyDescent="0.35">
      <c r="C10750" s="112"/>
      <c r="D10750" s="5"/>
      <c r="E10750" s="5"/>
      <c r="F10750" s="5"/>
      <c r="G10750" s="5"/>
      <c r="H10750" s="5"/>
      <c r="I10750" s="5"/>
      <c r="J10750" s="5"/>
      <c r="K10750" s="5"/>
    </row>
    <row r="10751" spans="3:11" x14ac:dyDescent="0.35">
      <c r="C10751" s="112"/>
      <c r="D10751" s="5"/>
      <c r="E10751" s="5"/>
      <c r="F10751" s="5"/>
      <c r="G10751" s="5"/>
      <c r="H10751" s="5"/>
      <c r="I10751" s="5"/>
      <c r="J10751" s="5"/>
      <c r="K10751" s="5"/>
    </row>
    <row r="10752" spans="3:11" x14ac:dyDescent="0.35">
      <c r="C10752" s="112"/>
      <c r="D10752" s="5"/>
      <c r="E10752" s="5"/>
      <c r="F10752" s="5"/>
      <c r="G10752" s="5"/>
      <c r="H10752" s="5"/>
      <c r="I10752" s="5"/>
      <c r="J10752" s="5"/>
      <c r="K10752" s="5"/>
    </row>
    <row r="10753" spans="3:11" x14ac:dyDescent="0.35">
      <c r="C10753" s="112"/>
      <c r="D10753" s="5"/>
      <c r="E10753" s="5"/>
      <c r="F10753" s="5"/>
      <c r="G10753" s="5"/>
      <c r="H10753" s="5"/>
      <c r="I10753" s="5"/>
      <c r="J10753" s="5"/>
      <c r="K10753" s="5"/>
    </row>
    <row r="10754" spans="3:11" x14ac:dyDescent="0.35">
      <c r="C10754" s="112"/>
      <c r="D10754" s="5"/>
      <c r="E10754" s="5"/>
      <c r="F10754" s="5"/>
      <c r="G10754" s="5"/>
      <c r="H10754" s="5"/>
      <c r="I10754" s="5"/>
      <c r="J10754" s="5"/>
      <c r="K10754" s="5"/>
    </row>
    <row r="10755" spans="3:11" x14ac:dyDescent="0.35">
      <c r="C10755" s="112"/>
      <c r="D10755" s="5"/>
      <c r="E10755" s="5"/>
      <c r="F10755" s="5"/>
      <c r="G10755" s="5"/>
      <c r="H10755" s="5"/>
      <c r="I10755" s="5"/>
      <c r="J10755" s="5"/>
      <c r="K10755" s="5"/>
    </row>
    <row r="10756" spans="3:11" x14ac:dyDescent="0.35">
      <c r="C10756" s="112"/>
      <c r="D10756" s="5"/>
      <c r="E10756" s="5"/>
      <c r="F10756" s="5"/>
      <c r="G10756" s="5"/>
      <c r="H10756" s="5"/>
      <c r="I10756" s="5"/>
      <c r="J10756" s="5"/>
      <c r="K10756" s="5"/>
    </row>
    <row r="10757" spans="3:11" x14ac:dyDescent="0.35">
      <c r="C10757" s="112"/>
      <c r="D10757" s="5"/>
      <c r="E10757" s="5"/>
      <c r="F10757" s="5"/>
      <c r="G10757" s="5"/>
      <c r="H10757" s="5"/>
      <c r="I10757" s="5"/>
      <c r="J10757" s="5"/>
      <c r="K10757" s="5"/>
    </row>
    <row r="10758" spans="3:11" x14ac:dyDescent="0.35">
      <c r="C10758" s="112"/>
      <c r="D10758" s="5"/>
      <c r="E10758" s="5"/>
      <c r="F10758" s="5"/>
      <c r="G10758" s="5"/>
      <c r="H10758" s="5"/>
      <c r="I10758" s="5"/>
      <c r="J10758" s="5"/>
      <c r="K10758" s="5"/>
    </row>
    <row r="10759" spans="3:11" x14ac:dyDescent="0.35">
      <c r="C10759" s="112"/>
      <c r="D10759" s="5"/>
      <c r="E10759" s="5"/>
      <c r="F10759" s="5"/>
      <c r="G10759" s="5"/>
      <c r="H10759" s="5"/>
      <c r="I10759" s="5"/>
      <c r="J10759" s="5"/>
      <c r="K10759" s="5"/>
    </row>
    <row r="10760" spans="3:11" x14ac:dyDescent="0.35">
      <c r="C10760" s="112"/>
      <c r="D10760" s="5"/>
      <c r="E10760" s="5"/>
      <c r="F10760" s="5"/>
      <c r="G10760" s="5"/>
      <c r="H10760" s="5"/>
      <c r="I10760" s="5"/>
      <c r="J10760" s="5"/>
      <c r="K10760" s="5"/>
    </row>
    <row r="10761" spans="3:11" x14ac:dyDescent="0.35">
      <c r="C10761" s="112"/>
      <c r="D10761" s="5"/>
      <c r="E10761" s="5"/>
      <c r="F10761" s="5"/>
      <c r="G10761" s="5"/>
      <c r="H10761" s="5"/>
      <c r="I10761" s="5"/>
      <c r="J10761" s="5"/>
      <c r="K10761" s="5"/>
    </row>
    <row r="10762" spans="3:11" x14ac:dyDescent="0.35">
      <c r="C10762" s="112"/>
      <c r="D10762" s="5"/>
      <c r="E10762" s="5"/>
      <c r="F10762" s="5"/>
      <c r="G10762" s="5"/>
      <c r="H10762" s="5"/>
      <c r="I10762" s="5"/>
      <c r="J10762" s="5"/>
      <c r="K10762" s="5"/>
    </row>
    <row r="10763" spans="3:11" x14ac:dyDescent="0.35">
      <c r="C10763" s="112"/>
      <c r="D10763" s="5"/>
      <c r="E10763" s="5"/>
      <c r="F10763" s="5"/>
      <c r="G10763" s="5"/>
      <c r="H10763" s="5"/>
      <c r="I10763" s="5"/>
      <c r="J10763" s="5"/>
      <c r="K10763" s="5"/>
    </row>
    <row r="10764" spans="3:11" x14ac:dyDescent="0.35">
      <c r="C10764" s="112"/>
      <c r="D10764" s="5"/>
      <c r="E10764" s="5"/>
      <c r="F10764" s="5"/>
      <c r="G10764" s="5"/>
      <c r="H10764" s="5"/>
      <c r="I10764" s="5"/>
      <c r="J10764" s="5"/>
      <c r="K10764" s="5"/>
    </row>
    <row r="10765" spans="3:11" x14ac:dyDescent="0.35">
      <c r="C10765" s="112"/>
      <c r="D10765" s="5"/>
      <c r="E10765" s="5"/>
      <c r="F10765" s="5"/>
      <c r="G10765" s="5"/>
      <c r="H10765" s="5"/>
      <c r="I10765" s="5"/>
      <c r="J10765" s="5"/>
      <c r="K10765" s="5"/>
    </row>
    <row r="10766" spans="3:11" x14ac:dyDescent="0.35">
      <c r="C10766" s="112"/>
      <c r="D10766" s="5"/>
      <c r="E10766" s="5"/>
      <c r="F10766" s="5"/>
      <c r="G10766" s="5"/>
      <c r="H10766" s="5"/>
      <c r="I10766" s="5"/>
      <c r="J10766" s="5"/>
      <c r="K10766" s="5"/>
    </row>
    <row r="10767" spans="3:11" x14ac:dyDescent="0.35">
      <c r="C10767" s="112"/>
      <c r="D10767" s="5"/>
      <c r="E10767" s="5"/>
      <c r="F10767" s="5"/>
      <c r="G10767" s="5"/>
      <c r="H10767" s="5"/>
      <c r="I10767" s="5"/>
      <c r="J10767" s="5"/>
      <c r="K10767" s="5"/>
    </row>
    <row r="10768" spans="3:11" x14ac:dyDescent="0.35">
      <c r="C10768" s="112"/>
      <c r="D10768" s="5"/>
      <c r="E10768" s="5"/>
      <c r="F10768" s="5"/>
      <c r="G10768" s="5"/>
      <c r="H10768" s="5"/>
      <c r="I10768" s="5"/>
      <c r="J10768" s="5"/>
      <c r="K10768" s="5"/>
    </row>
    <row r="10769" spans="3:11" x14ac:dyDescent="0.35">
      <c r="C10769" s="112"/>
      <c r="D10769" s="5"/>
      <c r="E10769" s="5"/>
      <c r="F10769" s="5"/>
      <c r="G10769" s="5"/>
      <c r="H10769" s="5"/>
      <c r="I10769" s="5"/>
      <c r="J10769" s="5"/>
      <c r="K10769" s="5"/>
    </row>
    <row r="10770" spans="3:11" x14ac:dyDescent="0.35">
      <c r="C10770" s="112"/>
      <c r="D10770" s="5"/>
      <c r="E10770" s="5"/>
      <c r="F10770" s="5"/>
      <c r="G10770" s="5"/>
      <c r="H10770" s="5"/>
      <c r="I10770" s="5"/>
      <c r="J10770" s="5"/>
      <c r="K10770" s="5"/>
    </row>
    <row r="10771" spans="3:11" x14ac:dyDescent="0.35">
      <c r="C10771" s="112"/>
      <c r="D10771" s="5"/>
      <c r="E10771" s="5"/>
      <c r="F10771" s="5"/>
      <c r="G10771" s="5"/>
      <c r="H10771" s="5"/>
      <c r="I10771" s="5"/>
      <c r="J10771" s="5"/>
      <c r="K10771" s="5"/>
    </row>
    <row r="10772" spans="3:11" x14ac:dyDescent="0.35">
      <c r="C10772" s="112"/>
      <c r="D10772" s="5"/>
      <c r="E10772" s="5"/>
      <c r="F10772" s="5"/>
      <c r="G10772" s="5"/>
      <c r="H10772" s="5"/>
      <c r="I10772" s="5"/>
      <c r="J10772" s="5"/>
      <c r="K10772" s="5"/>
    </row>
    <row r="10773" spans="3:11" x14ac:dyDescent="0.35">
      <c r="C10773" s="112"/>
      <c r="D10773" s="5"/>
      <c r="E10773" s="5"/>
      <c r="F10773" s="5"/>
      <c r="G10773" s="5"/>
      <c r="H10773" s="5"/>
      <c r="I10773" s="5"/>
      <c r="J10773" s="5"/>
      <c r="K10773" s="5"/>
    </row>
    <row r="10774" spans="3:11" x14ac:dyDescent="0.35">
      <c r="C10774" s="112"/>
      <c r="D10774" s="5"/>
      <c r="E10774" s="5"/>
      <c r="F10774" s="5"/>
      <c r="G10774" s="5"/>
      <c r="H10774" s="5"/>
      <c r="I10774" s="5"/>
      <c r="J10774" s="5"/>
      <c r="K10774" s="5"/>
    </row>
    <row r="10775" spans="3:11" x14ac:dyDescent="0.35">
      <c r="C10775" s="112"/>
      <c r="D10775" s="5"/>
      <c r="E10775" s="5"/>
      <c r="F10775" s="5"/>
      <c r="G10775" s="5"/>
      <c r="H10775" s="5"/>
      <c r="I10775" s="5"/>
      <c r="J10775" s="5"/>
      <c r="K10775" s="5"/>
    </row>
    <row r="10776" spans="3:11" x14ac:dyDescent="0.35">
      <c r="C10776" s="112"/>
      <c r="D10776" s="5"/>
      <c r="E10776" s="5"/>
      <c r="F10776" s="5"/>
      <c r="G10776" s="5"/>
      <c r="H10776" s="5"/>
      <c r="I10776" s="5"/>
      <c r="J10776" s="5"/>
      <c r="K10776" s="5"/>
    </row>
    <row r="10777" spans="3:11" x14ac:dyDescent="0.35">
      <c r="C10777" s="112"/>
      <c r="D10777" s="5"/>
      <c r="E10777" s="5"/>
      <c r="F10777" s="5"/>
      <c r="G10777" s="5"/>
      <c r="H10777" s="5"/>
      <c r="I10777" s="5"/>
      <c r="J10777" s="5"/>
      <c r="K10777" s="5"/>
    </row>
    <row r="10778" spans="3:11" x14ac:dyDescent="0.35">
      <c r="C10778" s="112"/>
      <c r="D10778" s="5"/>
      <c r="E10778" s="5"/>
      <c r="F10778" s="5"/>
      <c r="G10778" s="5"/>
      <c r="H10778" s="5"/>
      <c r="I10778" s="5"/>
      <c r="J10778" s="5"/>
      <c r="K10778" s="5"/>
    </row>
    <row r="10779" spans="3:11" x14ac:dyDescent="0.35">
      <c r="C10779" s="112"/>
      <c r="D10779" s="5"/>
      <c r="E10779" s="5"/>
      <c r="F10779" s="5"/>
      <c r="G10779" s="5"/>
      <c r="H10779" s="5"/>
      <c r="I10779" s="5"/>
      <c r="J10779" s="5"/>
      <c r="K10779" s="5"/>
    </row>
    <row r="10780" spans="3:11" x14ac:dyDescent="0.35">
      <c r="C10780" s="112"/>
      <c r="D10780" s="5"/>
      <c r="E10780" s="5"/>
      <c r="F10780" s="5"/>
      <c r="G10780" s="5"/>
      <c r="H10780" s="5"/>
      <c r="I10780" s="5"/>
      <c r="J10780" s="5"/>
      <c r="K10780" s="5"/>
    </row>
    <row r="10781" spans="3:11" x14ac:dyDescent="0.35">
      <c r="C10781" s="112"/>
      <c r="D10781" s="5"/>
      <c r="E10781" s="5"/>
      <c r="F10781" s="5"/>
      <c r="G10781" s="5"/>
      <c r="H10781" s="5"/>
      <c r="I10781" s="5"/>
      <c r="J10781" s="5"/>
      <c r="K10781" s="5"/>
    </row>
    <row r="10782" spans="3:11" x14ac:dyDescent="0.35">
      <c r="C10782" s="112"/>
      <c r="D10782" s="5"/>
      <c r="E10782" s="5"/>
      <c r="F10782" s="5"/>
      <c r="G10782" s="5"/>
      <c r="H10782" s="5"/>
      <c r="I10782" s="5"/>
      <c r="J10782" s="5"/>
      <c r="K10782" s="5"/>
    </row>
    <row r="10783" spans="3:11" x14ac:dyDescent="0.35">
      <c r="C10783" s="112"/>
      <c r="D10783" s="5"/>
      <c r="E10783" s="5"/>
      <c r="F10783" s="5"/>
      <c r="G10783" s="5"/>
      <c r="H10783" s="5"/>
      <c r="I10783" s="5"/>
      <c r="J10783" s="5"/>
      <c r="K10783" s="5"/>
    </row>
    <row r="10784" spans="3:11" x14ac:dyDescent="0.35">
      <c r="C10784" s="112"/>
      <c r="D10784" s="5"/>
      <c r="E10784" s="5"/>
      <c r="F10784" s="5"/>
      <c r="G10784" s="5"/>
      <c r="H10784" s="5"/>
      <c r="I10784" s="5"/>
      <c r="J10784" s="5"/>
      <c r="K10784" s="5"/>
    </row>
    <row r="10785" spans="3:11" x14ac:dyDescent="0.35">
      <c r="C10785" s="112"/>
      <c r="D10785" s="5"/>
      <c r="E10785" s="5"/>
      <c r="F10785" s="5"/>
      <c r="G10785" s="5"/>
      <c r="H10785" s="5"/>
      <c r="I10785" s="5"/>
      <c r="J10785" s="5"/>
      <c r="K10785" s="5"/>
    </row>
    <row r="10786" spans="3:11" x14ac:dyDescent="0.35">
      <c r="C10786" s="112"/>
      <c r="D10786" s="5"/>
      <c r="E10786" s="5"/>
      <c r="F10786" s="5"/>
      <c r="G10786" s="5"/>
      <c r="H10786" s="5"/>
      <c r="I10786" s="5"/>
      <c r="J10786" s="5"/>
      <c r="K10786" s="5"/>
    </row>
    <row r="10787" spans="3:11" x14ac:dyDescent="0.35">
      <c r="C10787" s="112"/>
      <c r="D10787" s="5"/>
      <c r="E10787" s="5"/>
      <c r="F10787" s="5"/>
      <c r="G10787" s="5"/>
      <c r="H10787" s="5"/>
      <c r="I10787" s="5"/>
      <c r="J10787" s="5"/>
      <c r="K10787" s="5"/>
    </row>
    <row r="10788" spans="3:11" x14ac:dyDescent="0.35">
      <c r="C10788" s="112"/>
      <c r="D10788" s="5"/>
      <c r="E10788" s="5"/>
      <c r="F10788" s="5"/>
      <c r="G10788" s="5"/>
      <c r="H10788" s="5"/>
      <c r="I10788" s="5"/>
      <c r="J10788" s="5"/>
      <c r="K10788" s="5"/>
    </row>
    <row r="10789" spans="3:11" x14ac:dyDescent="0.35">
      <c r="C10789" s="112"/>
      <c r="D10789" s="5"/>
      <c r="E10789" s="5"/>
      <c r="F10789" s="5"/>
      <c r="G10789" s="5"/>
      <c r="H10789" s="5"/>
      <c r="I10789" s="5"/>
      <c r="J10789" s="5"/>
      <c r="K10789" s="5"/>
    </row>
    <row r="10790" spans="3:11" x14ac:dyDescent="0.35">
      <c r="C10790" s="112"/>
      <c r="D10790" s="5"/>
      <c r="E10790" s="5"/>
      <c r="F10790" s="5"/>
      <c r="G10790" s="5"/>
      <c r="H10790" s="5"/>
      <c r="I10790" s="5"/>
      <c r="J10790" s="5"/>
      <c r="K10790" s="5"/>
    </row>
    <row r="10791" spans="3:11" x14ac:dyDescent="0.35">
      <c r="C10791" s="112"/>
      <c r="D10791" s="5"/>
      <c r="E10791" s="5"/>
      <c r="F10791" s="5"/>
      <c r="G10791" s="5"/>
      <c r="H10791" s="5"/>
      <c r="I10791" s="5"/>
      <c r="J10791" s="5"/>
      <c r="K10791" s="5"/>
    </row>
    <row r="10792" spans="3:11" x14ac:dyDescent="0.35">
      <c r="C10792" s="112"/>
      <c r="D10792" s="5"/>
      <c r="E10792" s="5"/>
      <c r="F10792" s="5"/>
      <c r="G10792" s="5"/>
      <c r="H10792" s="5"/>
      <c r="I10792" s="5"/>
      <c r="J10792" s="5"/>
      <c r="K10792" s="5"/>
    </row>
    <row r="10793" spans="3:11" x14ac:dyDescent="0.35">
      <c r="C10793" s="112"/>
      <c r="D10793" s="5"/>
      <c r="E10793" s="5"/>
      <c r="F10793" s="5"/>
      <c r="G10793" s="5"/>
      <c r="H10793" s="5"/>
      <c r="I10793" s="5"/>
      <c r="J10793" s="5"/>
      <c r="K10793" s="5"/>
    </row>
    <row r="10794" spans="3:11" x14ac:dyDescent="0.35">
      <c r="C10794" s="112"/>
      <c r="D10794" s="5"/>
      <c r="E10794" s="5"/>
      <c r="F10794" s="5"/>
      <c r="G10794" s="5"/>
      <c r="H10794" s="5"/>
      <c r="I10794" s="5"/>
      <c r="J10794" s="5"/>
      <c r="K10794" s="5"/>
    </row>
    <row r="10795" spans="3:11" x14ac:dyDescent="0.35">
      <c r="C10795" s="112"/>
      <c r="D10795" s="5"/>
      <c r="E10795" s="5"/>
      <c r="F10795" s="5"/>
      <c r="G10795" s="5"/>
      <c r="H10795" s="5"/>
      <c r="I10795" s="5"/>
      <c r="J10795" s="5"/>
      <c r="K10795" s="5"/>
    </row>
    <row r="10796" spans="3:11" x14ac:dyDescent="0.35">
      <c r="C10796" s="112"/>
      <c r="D10796" s="5"/>
      <c r="E10796" s="5"/>
      <c r="F10796" s="5"/>
      <c r="G10796" s="5"/>
      <c r="H10796" s="5"/>
      <c r="I10796" s="5"/>
      <c r="J10796" s="5"/>
      <c r="K10796" s="5"/>
    </row>
    <row r="10797" spans="3:11" x14ac:dyDescent="0.35">
      <c r="C10797" s="112"/>
      <c r="D10797" s="5"/>
      <c r="E10797" s="5"/>
      <c r="F10797" s="5"/>
      <c r="G10797" s="5"/>
      <c r="H10797" s="5"/>
      <c r="I10797" s="5"/>
      <c r="J10797" s="5"/>
      <c r="K10797" s="5"/>
    </row>
    <row r="10798" spans="3:11" x14ac:dyDescent="0.35">
      <c r="C10798" s="112"/>
      <c r="D10798" s="5"/>
      <c r="E10798" s="5"/>
      <c r="F10798" s="5"/>
      <c r="G10798" s="5"/>
      <c r="H10798" s="5"/>
      <c r="I10798" s="5"/>
      <c r="J10798" s="5"/>
      <c r="K10798" s="5"/>
    </row>
    <row r="10799" spans="3:11" x14ac:dyDescent="0.35">
      <c r="C10799" s="112"/>
      <c r="D10799" s="5"/>
      <c r="E10799" s="5"/>
      <c r="F10799" s="5"/>
      <c r="G10799" s="5"/>
      <c r="H10799" s="5"/>
      <c r="I10799" s="5"/>
      <c r="J10799" s="5"/>
      <c r="K10799" s="5"/>
    </row>
    <row r="10800" spans="3:11" x14ac:dyDescent="0.35">
      <c r="C10800" s="112"/>
      <c r="D10800" s="5"/>
      <c r="E10800" s="5"/>
      <c r="F10800" s="5"/>
      <c r="G10800" s="5"/>
      <c r="H10800" s="5"/>
      <c r="I10800" s="5"/>
      <c r="J10800" s="5"/>
      <c r="K10800" s="5"/>
    </row>
    <row r="10801" spans="3:11" x14ac:dyDescent="0.35">
      <c r="C10801" s="112"/>
      <c r="D10801" s="5"/>
      <c r="E10801" s="5"/>
      <c r="F10801" s="5"/>
      <c r="G10801" s="5"/>
      <c r="H10801" s="5"/>
      <c r="I10801" s="5"/>
      <c r="J10801" s="5"/>
      <c r="K10801" s="5"/>
    </row>
    <row r="10802" spans="3:11" x14ac:dyDescent="0.35">
      <c r="C10802" s="112"/>
      <c r="D10802" s="5"/>
      <c r="E10802" s="5"/>
      <c r="F10802" s="5"/>
      <c r="G10802" s="5"/>
      <c r="H10802" s="5"/>
      <c r="I10802" s="5"/>
      <c r="J10802" s="5"/>
      <c r="K10802" s="5"/>
    </row>
    <row r="10803" spans="3:11" x14ac:dyDescent="0.35">
      <c r="C10803" s="112"/>
      <c r="D10803" s="5"/>
      <c r="E10803" s="5"/>
      <c r="F10803" s="5"/>
      <c r="G10803" s="5"/>
      <c r="H10803" s="5"/>
      <c r="I10803" s="5"/>
      <c r="J10803" s="5"/>
      <c r="K10803" s="5"/>
    </row>
    <row r="10804" spans="3:11" x14ac:dyDescent="0.35">
      <c r="C10804" s="112"/>
      <c r="D10804" s="5"/>
      <c r="E10804" s="5"/>
      <c r="F10804" s="5"/>
      <c r="G10804" s="5"/>
      <c r="H10804" s="5"/>
      <c r="I10804" s="5"/>
      <c r="J10804" s="5"/>
      <c r="K10804" s="5"/>
    </row>
    <row r="10805" spans="3:11" x14ac:dyDescent="0.35">
      <c r="C10805" s="112"/>
      <c r="D10805" s="5"/>
      <c r="E10805" s="5"/>
      <c r="F10805" s="5"/>
      <c r="G10805" s="5"/>
      <c r="H10805" s="5"/>
      <c r="I10805" s="5"/>
      <c r="J10805" s="5"/>
      <c r="K10805" s="5"/>
    </row>
    <row r="10806" spans="3:11" x14ac:dyDescent="0.35">
      <c r="C10806" s="112"/>
      <c r="D10806" s="5"/>
      <c r="E10806" s="5"/>
      <c r="F10806" s="5"/>
      <c r="G10806" s="5"/>
      <c r="H10806" s="5"/>
      <c r="I10806" s="5"/>
      <c r="J10806" s="5"/>
      <c r="K10806" s="5"/>
    </row>
    <row r="10807" spans="3:11" x14ac:dyDescent="0.35">
      <c r="C10807" s="112"/>
      <c r="D10807" s="5"/>
      <c r="E10807" s="5"/>
      <c r="F10807" s="5"/>
      <c r="G10807" s="5"/>
      <c r="H10807" s="5"/>
      <c r="I10807" s="5"/>
      <c r="J10807" s="5"/>
      <c r="K10807" s="5"/>
    </row>
    <row r="10808" spans="3:11" x14ac:dyDescent="0.35">
      <c r="C10808" s="112"/>
      <c r="D10808" s="5"/>
      <c r="E10808" s="5"/>
      <c r="F10808" s="5"/>
      <c r="G10808" s="5"/>
      <c r="H10808" s="5"/>
      <c r="I10808" s="5"/>
      <c r="J10808" s="5"/>
      <c r="K10808" s="5"/>
    </row>
    <row r="10809" spans="3:11" x14ac:dyDescent="0.35">
      <c r="C10809" s="112"/>
      <c r="D10809" s="5"/>
      <c r="E10809" s="5"/>
      <c r="F10809" s="5"/>
      <c r="G10809" s="5"/>
      <c r="H10809" s="5"/>
      <c r="I10809" s="5"/>
      <c r="J10809" s="5"/>
      <c r="K10809" s="5"/>
    </row>
    <row r="10810" spans="3:11" x14ac:dyDescent="0.35">
      <c r="C10810" s="112"/>
      <c r="D10810" s="5"/>
      <c r="E10810" s="5"/>
      <c r="F10810" s="5"/>
      <c r="G10810" s="5"/>
      <c r="H10810" s="5"/>
      <c r="I10810" s="5"/>
      <c r="J10810" s="5"/>
      <c r="K10810" s="5"/>
    </row>
    <row r="10811" spans="3:11" x14ac:dyDescent="0.35">
      <c r="C10811" s="112"/>
      <c r="D10811" s="5"/>
      <c r="E10811" s="5"/>
      <c r="F10811" s="5"/>
      <c r="G10811" s="5"/>
      <c r="H10811" s="5"/>
      <c r="I10811" s="5"/>
      <c r="J10811" s="5"/>
      <c r="K10811" s="5"/>
    </row>
    <row r="10812" spans="3:11" x14ac:dyDescent="0.35">
      <c r="C10812" s="112"/>
      <c r="D10812" s="5"/>
      <c r="E10812" s="5"/>
      <c r="F10812" s="5"/>
      <c r="G10812" s="5"/>
      <c r="H10812" s="5"/>
      <c r="I10812" s="5"/>
      <c r="J10812" s="5"/>
      <c r="K10812" s="5"/>
    </row>
    <row r="10813" spans="3:11" x14ac:dyDescent="0.35">
      <c r="C10813" s="112"/>
      <c r="D10813" s="5"/>
      <c r="E10813" s="5"/>
      <c r="F10813" s="5"/>
      <c r="G10813" s="5"/>
      <c r="H10813" s="5"/>
      <c r="I10813" s="5"/>
      <c r="J10813" s="5"/>
      <c r="K10813" s="5"/>
    </row>
    <row r="10814" spans="3:11" x14ac:dyDescent="0.35">
      <c r="C10814" s="112"/>
      <c r="D10814" s="5"/>
      <c r="E10814" s="5"/>
      <c r="F10814" s="5"/>
      <c r="G10814" s="5"/>
      <c r="H10814" s="5"/>
      <c r="I10814" s="5"/>
      <c r="J10814" s="5"/>
      <c r="K10814" s="5"/>
    </row>
    <row r="10815" spans="3:11" x14ac:dyDescent="0.35">
      <c r="C10815" s="112"/>
      <c r="D10815" s="5"/>
      <c r="E10815" s="5"/>
      <c r="F10815" s="5"/>
      <c r="G10815" s="5"/>
      <c r="H10815" s="5"/>
      <c r="I10815" s="5"/>
      <c r="J10815" s="5"/>
      <c r="K10815" s="5"/>
    </row>
    <row r="10816" spans="3:11" x14ac:dyDescent="0.35">
      <c r="C10816" s="112"/>
      <c r="D10816" s="5"/>
      <c r="E10816" s="5"/>
      <c r="F10816" s="5"/>
      <c r="G10816" s="5"/>
      <c r="H10816" s="5"/>
      <c r="I10816" s="5"/>
      <c r="J10816" s="5"/>
      <c r="K10816" s="5"/>
    </row>
    <row r="10817" spans="3:11" x14ac:dyDescent="0.35">
      <c r="C10817" s="112"/>
      <c r="D10817" s="5"/>
      <c r="E10817" s="5"/>
      <c r="F10817" s="5"/>
      <c r="G10817" s="5"/>
      <c r="H10817" s="5"/>
      <c r="I10817" s="5"/>
      <c r="J10817" s="5"/>
      <c r="K10817" s="5"/>
    </row>
    <row r="10818" spans="3:11" x14ac:dyDescent="0.35">
      <c r="C10818" s="112"/>
      <c r="D10818" s="5"/>
      <c r="E10818" s="5"/>
      <c r="F10818" s="5"/>
      <c r="G10818" s="5"/>
      <c r="H10818" s="5"/>
      <c r="I10818" s="5"/>
      <c r="J10818" s="5"/>
      <c r="K10818" s="5"/>
    </row>
    <row r="10819" spans="3:11" x14ac:dyDescent="0.35">
      <c r="C10819" s="112"/>
      <c r="D10819" s="5"/>
      <c r="E10819" s="5"/>
      <c r="F10819" s="5"/>
      <c r="G10819" s="5"/>
      <c r="H10819" s="5"/>
      <c r="I10819" s="5"/>
      <c r="J10819" s="5"/>
      <c r="K10819" s="5"/>
    </row>
    <row r="10820" spans="3:11" x14ac:dyDescent="0.35">
      <c r="C10820" s="112"/>
      <c r="D10820" s="5"/>
      <c r="E10820" s="5"/>
      <c r="F10820" s="5"/>
      <c r="G10820" s="5"/>
      <c r="H10820" s="5"/>
      <c r="I10820" s="5"/>
      <c r="J10820" s="5"/>
      <c r="K10820" s="5"/>
    </row>
    <row r="10821" spans="3:11" x14ac:dyDescent="0.35">
      <c r="C10821" s="112"/>
      <c r="D10821" s="5"/>
      <c r="E10821" s="5"/>
      <c r="F10821" s="5"/>
      <c r="G10821" s="5"/>
      <c r="H10821" s="5"/>
      <c r="I10821" s="5"/>
      <c r="J10821" s="5"/>
      <c r="K10821" s="5"/>
    </row>
    <row r="10822" spans="3:11" x14ac:dyDescent="0.35">
      <c r="C10822" s="112"/>
      <c r="D10822" s="5"/>
      <c r="E10822" s="5"/>
      <c r="F10822" s="5"/>
      <c r="G10822" s="5"/>
      <c r="H10822" s="5"/>
      <c r="I10822" s="5"/>
      <c r="J10822" s="5"/>
      <c r="K10822" s="5"/>
    </row>
    <row r="10823" spans="3:11" x14ac:dyDescent="0.35">
      <c r="C10823" s="112"/>
      <c r="D10823" s="5"/>
      <c r="E10823" s="5"/>
      <c r="F10823" s="5"/>
      <c r="G10823" s="5"/>
      <c r="H10823" s="5"/>
      <c r="I10823" s="5"/>
      <c r="J10823" s="5"/>
      <c r="K10823" s="5"/>
    </row>
    <row r="10824" spans="3:11" x14ac:dyDescent="0.35">
      <c r="C10824" s="112"/>
      <c r="D10824" s="5"/>
      <c r="E10824" s="5"/>
      <c r="F10824" s="5"/>
      <c r="G10824" s="5"/>
      <c r="H10824" s="5"/>
      <c r="I10824" s="5"/>
      <c r="J10824" s="5"/>
      <c r="K10824" s="5"/>
    </row>
    <row r="10825" spans="3:11" x14ac:dyDescent="0.35">
      <c r="C10825" s="112"/>
      <c r="D10825" s="5"/>
      <c r="E10825" s="5"/>
      <c r="F10825" s="5"/>
      <c r="G10825" s="5"/>
      <c r="H10825" s="5"/>
      <c r="I10825" s="5"/>
      <c r="J10825" s="5"/>
      <c r="K10825" s="5"/>
    </row>
    <row r="10826" spans="3:11" x14ac:dyDescent="0.35">
      <c r="C10826" s="112"/>
      <c r="D10826" s="5"/>
      <c r="E10826" s="5"/>
      <c r="F10826" s="5"/>
      <c r="G10826" s="5"/>
      <c r="H10826" s="5"/>
      <c r="I10826" s="5"/>
      <c r="J10826" s="5"/>
      <c r="K10826" s="5"/>
    </row>
    <row r="10827" spans="3:11" x14ac:dyDescent="0.35">
      <c r="C10827" s="112"/>
      <c r="D10827" s="5"/>
      <c r="E10827" s="5"/>
      <c r="F10827" s="5"/>
      <c r="G10827" s="5"/>
      <c r="H10827" s="5"/>
      <c r="I10827" s="5"/>
      <c r="J10827" s="5"/>
      <c r="K10827" s="5"/>
    </row>
    <row r="10828" spans="3:11" x14ac:dyDescent="0.35">
      <c r="C10828" s="112"/>
      <c r="D10828" s="5"/>
      <c r="E10828" s="5"/>
      <c r="F10828" s="5"/>
      <c r="G10828" s="5"/>
      <c r="H10828" s="5"/>
      <c r="I10828" s="5"/>
      <c r="J10828" s="5"/>
      <c r="K10828" s="5"/>
    </row>
    <row r="10829" spans="3:11" x14ac:dyDescent="0.35">
      <c r="C10829" s="112"/>
      <c r="D10829" s="5"/>
      <c r="E10829" s="5"/>
      <c r="F10829" s="5"/>
      <c r="G10829" s="5"/>
      <c r="H10829" s="5"/>
      <c r="I10829" s="5"/>
      <c r="J10829" s="5"/>
      <c r="K10829" s="5"/>
    </row>
    <row r="10830" spans="3:11" x14ac:dyDescent="0.35">
      <c r="C10830" s="112"/>
      <c r="D10830" s="5"/>
      <c r="E10830" s="5"/>
      <c r="F10830" s="5"/>
      <c r="G10830" s="5"/>
      <c r="H10830" s="5"/>
      <c r="I10830" s="5"/>
      <c r="J10830" s="5"/>
      <c r="K10830" s="5"/>
    </row>
    <row r="10831" spans="3:11" x14ac:dyDescent="0.35">
      <c r="C10831" s="112"/>
      <c r="D10831" s="5"/>
      <c r="E10831" s="5"/>
      <c r="F10831" s="5"/>
      <c r="G10831" s="5"/>
      <c r="H10831" s="5"/>
      <c r="I10831" s="5"/>
      <c r="J10831" s="5"/>
      <c r="K10831" s="5"/>
    </row>
    <row r="10832" spans="3:11" x14ac:dyDescent="0.35">
      <c r="C10832" s="112"/>
      <c r="D10832" s="5"/>
      <c r="E10832" s="5"/>
      <c r="F10832" s="5"/>
      <c r="G10832" s="5"/>
      <c r="H10832" s="5"/>
      <c r="I10832" s="5"/>
      <c r="J10832" s="5"/>
      <c r="K10832" s="5"/>
    </row>
    <row r="10833" spans="3:11" x14ac:dyDescent="0.35">
      <c r="C10833" s="112"/>
      <c r="D10833" s="5"/>
      <c r="E10833" s="5"/>
      <c r="F10833" s="5"/>
      <c r="G10833" s="5"/>
      <c r="H10833" s="5"/>
      <c r="I10833" s="5"/>
      <c r="J10833" s="5"/>
      <c r="K10833" s="5"/>
    </row>
    <row r="10834" spans="3:11" x14ac:dyDescent="0.35">
      <c r="C10834" s="112"/>
      <c r="D10834" s="5"/>
      <c r="E10834" s="5"/>
      <c r="F10834" s="5"/>
      <c r="G10834" s="5"/>
      <c r="H10834" s="5"/>
      <c r="I10834" s="5"/>
      <c r="J10834" s="5"/>
      <c r="K10834" s="5"/>
    </row>
    <row r="10835" spans="3:11" x14ac:dyDescent="0.35">
      <c r="C10835" s="112"/>
      <c r="D10835" s="5"/>
      <c r="E10835" s="5"/>
      <c r="F10835" s="5"/>
      <c r="G10835" s="5"/>
      <c r="H10835" s="5"/>
      <c r="I10835" s="5"/>
      <c r="J10835" s="5"/>
      <c r="K10835" s="5"/>
    </row>
    <row r="10836" spans="3:11" x14ac:dyDescent="0.35">
      <c r="C10836" s="112"/>
      <c r="D10836" s="5"/>
      <c r="E10836" s="5"/>
      <c r="F10836" s="5"/>
      <c r="G10836" s="5"/>
      <c r="H10836" s="5"/>
      <c r="I10836" s="5"/>
      <c r="J10836" s="5"/>
      <c r="K10836" s="5"/>
    </row>
    <row r="10837" spans="3:11" x14ac:dyDescent="0.35">
      <c r="C10837" s="112"/>
      <c r="D10837" s="5"/>
      <c r="E10837" s="5"/>
      <c r="F10837" s="5"/>
      <c r="G10837" s="5"/>
      <c r="H10837" s="5"/>
      <c r="I10837" s="5"/>
      <c r="J10837" s="5"/>
      <c r="K10837" s="5"/>
    </row>
    <row r="10838" spans="3:11" x14ac:dyDescent="0.35">
      <c r="C10838" s="112"/>
      <c r="D10838" s="5"/>
      <c r="E10838" s="5"/>
      <c r="F10838" s="5"/>
      <c r="G10838" s="5"/>
      <c r="H10838" s="5"/>
      <c r="I10838" s="5"/>
      <c r="J10838" s="5"/>
      <c r="K10838" s="5"/>
    </row>
    <row r="10839" spans="3:11" x14ac:dyDescent="0.35">
      <c r="C10839" s="112"/>
      <c r="D10839" s="5"/>
      <c r="E10839" s="5"/>
      <c r="F10839" s="5"/>
      <c r="G10839" s="5"/>
      <c r="H10839" s="5"/>
      <c r="I10839" s="5"/>
      <c r="J10839" s="5"/>
      <c r="K10839" s="5"/>
    </row>
    <row r="10840" spans="3:11" x14ac:dyDescent="0.35">
      <c r="C10840" s="112"/>
      <c r="D10840" s="5"/>
      <c r="E10840" s="5"/>
      <c r="F10840" s="5"/>
      <c r="G10840" s="5"/>
      <c r="H10840" s="5"/>
      <c r="I10840" s="5"/>
      <c r="J10840" s="5"/>
      <c r="K10840" s="5"/>
    </row>
    <row r="10841" spans="3:11" x14ac:dyDescent="0.35">
      <c r="C10841" s="112"/>
      <c r="D10841" s="5"/>
      <c r="E10841" s="5"/>
      <c r="F10841" s="5"/>
      <c r="G10841" s="5"/>
      <c r="H10841" s="5"/>
      <c r="I10841" s="5"/>
      <c r="J10841" s="5"/>
      <c r="K10841" s="5"/>
    </row>
    <row r="10842" spans="3:11" x14ac:dyDescent="0.35">
      <c r="C10842" s="112"/>
      <c r="D10842" s="5"/>
      <c r="E10842" s="5"/>
      <c r="F10842" s="5"/>
      <c r="G10842" s="5"/>
      <c r="H10842" s="5"/>
      <c r="I10842" s="5"/>
      <c r="J10842" s="5"/>
      <c r="K10842" s="5"/>
    </row>
    <row r="10843" spans="3:11" x14ac:dyDescent="0.35">
      <c r="C10843" s="112"/>
      <c r="D10843" s="5"/>
      <c r="E10843" s="5"/>
      <c r="F10843" s="5"/>
      <c r="G10843" s="5"/>
      <c r="H10843" s="5"/>
      <c r="I10843" s="5"/>
      <c r="J10843" s="5"/>
      <c r="K10843" s="5"/>
    </row>
    <row r="10844" spans="3:11" x14ac:dyDescent="0.35">
      <c r="C10844" s="112"/>
      <c r="D10844" s="5"/>
      <c r="E10844" s="5"/>
      <c r="F10844" s="5"/>
      <c r="G10844" s="5"/>
      <c r="H10844" s="5"/>
      <c r="I10844" s="5"/>
      <c r="J10844" s="5"/>
      <c r="K10844" s="5"/>
    </row>
    <row r="10845" spans="3:11" x14ac:dyDescent="0.35">
      <c r="C10845" s="112"/>
      <c r="D10845" s="5"/>
      <c r="E10845" s="5"/>
      <c r="F10845" s="5"/>
      <c r="G10845" s="5"/>
      <c r="H10845" s="5"/>
      <c r="I10845" s="5"/>
      <c r="J10845" s="5"/>
      <c r="K10845" s="5"/>
    </row>
    <row r="10846" spans="3:11" x14ac:dyDescent="0.35">
      <c r="C10846" s="112"/>
      <c r="D10846" s="5"/>
      <c r="E10846" s="5"/>
      <c r="F10846" s="5"/>
      <c r="G10846" s="5"/>
      <c r="H10846" s="5"/>
      <c r="I10846" s="5"/>
      <c r="J10846" s="5"/>
      <c r="K10846" s="5"/>
    </row>
    <row r="10847" spans="3:11" x14ac:dyDescent="0.35">
      <c r="C10847" s="112"/>
      <c r="D10847" s="5"/>
      <c r="E10847" s="5"/>
      <c r="F10847" s="5"/>
      <c r="G10847" s="5"/>
      <c r="H10847" s="5"/>
      <c r="I10847" s="5"/>
      <c r="J10847" s="5"/>
      <c r="K10847" s="5"/>
    </row>
    <row r="10848" spans="3:11" x14ac:dyDescent="0.35">
      <c r="C10848" s="112"/>
      <c r="D10848" s="5"/>
      <c r="E10848" s="5"/>
      <c r="F10848" s="5"/>
      <c r="G10848" s="5"/>
      <c r="H10848" s="5"/>
      <c r="I10848" s="5"/>
      <c r="J10848" s="5"/>
      <c r="K10848" s="5"/>
    </row>
    <row r="10849" spans="3:11" x14ac:dyDescent="0.35">
      <c r="C10849" s="112"/>
      <c r="D10849" s="5"/>
      <c r="E10849" s="5"/>
      <c r="F10849" s="5"/>
      <c r="G10849" s="5"/>
      <c r="H10849" s="5"/>
      <c r="I10849" s="5"/>
      <c r="J10849" s="5"/>
      <c r="K10849" s="5"/>
    </row>
    <row r="10850" spans="3:11" x14ac:dyDescent="0.35">
      <c r="C10850" s="112"/>
      <c r="D10850" s="5"/>
      <c r="E10850" s="5"/>
      <c r="F10850" s="5"/>
      <c r="G10850" s="5"/>
      <c r="H10850" s="5"/>
      <c r="I10850" s="5"/>
      <c r="J10850" s="5"/>
      <c r="K10850" s="5"/>
    </row>
    <row r="10851" spans="3:11" x14ac:dyDescent="0.35">
      <c r="C10851" s="112"/>
      <c r="D10851" s="5"/>
      <c r="E10851" s="5"/>
      <c r="F10851" s="5"/>
      <c r="G10851" s="5"/>
      <c r="H10851" s="5"/>
      <c r="I10851" s="5"/>
      <c r="J10851" s="5"/>
      <c r="K10851" s="5"/>
    </row>
    <row r="10852" spans="3:11" x14ac:dyDescent="0.35">
      <c r="C10852" s="112"/>
      <c r="D10852" s="5"/>
      <c r="E10852" s="5"/>
      <c r="F10852" s="5"/>
      <c r="G10852" s="5"/>
      <c r="H10852" s="5"/>
      <c r="I10852" s="5"/>
      <c r="J10852" s="5"/>
      <c r="K10852" s="5"/>
    </row>
    <row r="10853" spans="3:11" x14ac:dyDescent="0.35">
      <c r="C10853" s="112"/>
      <c r="D10853" s="5"/>
      <c r="E10853" s="5"/>
      <c r="F10853" s="5"/>
      <c r="G10853" s="5"/>
      <c r="H10853" s="5"/>
      <c r="I10853" s="5"/>
      <c r="J10853" s="5"/>
      <c r="K10853" s="5"/>
    </row>
    <row r="10854" spans="3:11" x14ac:dyDescent="0.35">
      <c r="C10854" s="112"/>
      <c r="D10854" s="5"/>
      <c r="E10854" s="5"/>
      <c r="F10854" s="5"/>
      <c r="G10854" s="5"/>
      <c r="H10854" s="5"/>
      <c r="I10854" s="5"/>
      <c r="J10854" s="5"/>
      <c r="K10854" s="5"/>
    </row>
    <row r="10855" spans="3:11" x14ac:dyDescent="0.35">
      <c r="C10855" s="112"/>
      <c r="D10855" s="5"/>
      <c r="E10855" s="5"/>
      <c r="F10855" s="5"/>
      <c r="G10855" s="5"/>
      <c r="H10855" s="5"/>
      <c r="I10855" s="5"/>
      <c r="J10855" s="5"/>
      <c r="K10855" s="5"/>
    </row>
    <row r="10856" spans="3:11" x14ac:dyDescent="0.35">
      <c r="C10856" s="112"/>
      <c r="D10856" s="5"/>
      <c r="E10856" s="5"/>
      <c r="F10856" s="5"/>
      <c r="G10856" s="5"/>
      <c r="H10856" s="5"/>
      <c r="I10856" s="5"/>
      <c r="J10856" s="5"/>
      <c r="K10856" s="5"/>
    </row>
    <row r="10857" spans="3:11" x14ac:dyDescent="0.35">
      <c r="C10857" s="112"/>
      <c r="D10857" s="5"/>
      <c r="E10857" s="5"/>
      <c r="F10857" s="5"/>
      <c r="G10857" s="5"/>
      <c r="H10857" s="5"/>
      <c r="I10857" s="5"/>
      <c r="J10857" s="5"/>
      <c r="K10857" s="5"/>
    </row>
    <row r="10858" spans="3:11" x14ac:dyDescent="0.35">
      <c r="C10858" s="112"/>
      <c r="D10858" s="5"/>
      <c r="E10858" s="5"/>
      <c r="F10858" s="5"/>
      <c r="G10858" s="5"/>
      <c r="H10858" s="5"/>
      <c r="I10858" s="5"/>
      <c r="J10858" s="5"/>
      <c r="K10858" s="5"/>
    </row>
    <row r="10859" spans="3:11" x14ac:dyDescent="0.35">
      <c r="C10859" s="112"/>
      <c r="D10859" s="5"/>
      <c r="E10859" s="5"/>
      <c r="F10859" s="5"/>
      <c r="G10859" s="5"/>
      <c r="H10859" s="5"/>
      <c r="I10859" s="5"/>
      <c r="J10859" s="5"/>
      <c r="K10859" s="5"/>
    </row>
    <row r="10860" spans="3:11" x14ac:dyDescent="0.35">
      <c r="C10860" s="112"/>
      <c r="D10860" s="5"/>
      <c r="E10860" s="5"/>
      <c r="F10860" s="5"/>
      <c r="G10860" s="5"/>
      <c r="H10860" s="5"/>
      <c r="I10860" s="5"/>
      <c r="J10860" s="5"/>
      <c r="K10860" s="5"/>
    </row>
    <row r="10861" spans="3:11" x14ac:dyDescent="0.35">
      <c r="C10861" s="112"/>
      <c r="D10861" s="5"/>
      <c r="E10861" s="5"/>
      <c r="F10861" s="5"/>
      <c r="G10861" s="5"/>
      <c r="H10861" s="5"/>
      <c r="I10861" s="5"/>
      <c r="J10861" s="5"/>
      <c r="K10861" s="5"/>
    </row>
    <row r="10862" spans="3:11" x14ac:dyDescent="0.35">
      <c r="C10862" s="112"/>
      <c r="D10862" s="5"/>
      <c r="E10862" s="5"/>
      <c r="F10862" s="5"/>
      <c r="G10862" s="5"/>
      <c r="H10862" s="5"/>
      <c r="I10862" s="5"/>
      <c r="J10862" s="5"/>
      <c r="K10862" s="5"/>
    </row>
    <row r="10863" spans="3:11" x14ac:dyDescent="0.35">
      <c r="C10863" s="112"/>
      <c r="D10863" s="5"/>
      <c r="E10863" s="5"/>
      <c r="F10863" s="5"/>
      <c r="G10863" s="5"/>
      <c r="H10863" s="5"/>
      <c r="I10863" s="5"/>
      <c r="J10863" s="5"/>
      <c r="K10863" s="5"/>
    </row>
    <row r="10864" spans="3:11" x14ac:dyDescent="0.35">
      <c r="C10864" s="112"/>
      <c r="D10864" s="5"/>
      <c r="E10864" s="5"/>
      <c r="F10864" s="5"/>
      <c r="G10864" s="5"/>
      <c r="H10864" s="5"/>
      <c r="I10864" s="5"/>
      <c r="J10864" s="5"/>
      <c r="K10864" s="5"/>
    </row>
    <row r="10865" spans="3:11" x14ac:dyDescent="0.35">
      <c r="C10865" s="112"/>
      <c r="D10865" s="5"/>
      <c r="E10865" s="5"/>
      <c r="F10865" s="5"/>
      <c r="G10865" s="5"/>
      <c r="H10865" s="5"/>
      <c r="I10865" s="5"/>
      <c r="J10865" s="5"/>
      <c r="K10865" s="5"/>
    </row>
    <row r="10866" spans="3:11" x14ac:dyDescent="0.35">
      <c r="C10866" s="112"/>
      <c r="D10866" s="5"/>
      <c r="E10866" s="5"/>
      <c r="F10866" s="5"/>
      <c r="G10866" s="5"/>
      <c r="H10866" s="5"/>
      <c r="I10866" s="5"/>
      <c r="J10866" s="5"/>
      <c r="K10866" s="5"/>
    </row>
    <row r="10867" spans="3:11" x14ac:dyDescent="0.35">
      <c r="C10867" s="112"/>
      <c r="D10867" s="5"/>
      <c r="E10867" s="5"/>
      <c r="F10867" s="5"/>
      <c r="G10867" s="5"/>
      <c r="H10867" s="5"/>
      <c r="I10867" s="5"/>
      <c r="J10867" s="5"/>
      <c r="K10867" s="5"/>
    </row>
    <row r="10868" spans="3:11" x14ac:dyDescent="0.35">
      <c r="C10868" s="112"/>
      <c r="D10868" s="5"/>
      <c r="E10868" s="5"/>
      <c r="F10868" s="5"/>
      <c r="G10868" s="5"/>
      <c r="H10868" s="5"/>
      <c r="I10868" s="5"/>
      <c r="J10868" s="5"/>
      <c r="K10868" s="5"/>
    </row>
    <row r="10869" spans="3:11" x14ac:dyDescent="0.35">
      <c r="C10869" s="112"/>
      <c r="D10869" s="5"/>
      <c r="E10869" s="5"/>
      <c r="F10869" s="5"/>
      <c r="G10869" s="5"/>
      <c r="H10869" s="5"/>
      <c r="I10869" s="5"/>
      <c r="J10869" s="5"/>
      <c r="K10869" s="5"/>
    </row>
    <row r="10870" spans="3:11" x14ac:dyDescent="0.35">
      <c r="C10870" s="112"/>
      <c r="D10870" s="5"/>
      <c r="E10870" s="5"/>
      <c r="F10870" s="5"/>
      <c r="G10870" s="5"/>
      <c r="H10870" s="5"/>
      <c r="I10870" s="5"/>
      <c r="J10870" s="5"/>
      <c r="K10870" s="5"/>
    </row>
    <row r="10871" spans="3:11" x14ac:dyDescent="0.35">
      <c r="C10871" s="112"/>
      <c r="D10871" s="5"/>
      <c r="E10871" s="5"/>
      <c r="F10871" s="5"/>
      <c r="G10871" s="5"/>
      <c r="H10871" s="5"/>
      <c r="I10871" s="5"/>
      <c r="J10871" s="5"/>
      <c r="K10871" s="5"/>
    </row>
    <row r="10872" spans="3:11" x14ac:dyDescent="0.35">
      <c r="C10872" s="112"/>
      <c r="D10872" s="5"/>
      <c r="E10872" s="5"/>
      <c r="F10872" s="5"/>
      <c r="G10872" s="5"/>
      <c r="H10872" s="5"/>
      <c r="I10872" s="5"/>
      <c r="J10872" s="5"/>
      <c r="K10872" s="5"/>
    </row>
    <row r="10873" spans="3:11" x14ac:dyDescent="0.35">
      <c r="C10873" s="112"/>
      <c r="D10873" s="5"/>
      <c r="E10873" s="5"/>
      <c r="F10873" s="5"/>
      <c r="G10873" s="5"/>
      <c r="H10873" s="5"/>
      <c r="I10873" s="5"/>
      <c r="J10873" s="5"/>
      <c r="K10873" s="5"/>
    </row>
    <row r="10874" spans="3:11" x14ac:dyDescent="0.35">
      <c r="C10874" s="112"/>
      <c r="D10874" s="5"/>
      <c r="E10874" s="5"/>
      <c r="F10874" s="5"/>
      <c r="G10874" s="5"/>
      <c r="H10874" s="5"/>
      <c r="I10874" s="5"/>
      <c r="J10874" s="5"/>
      <c r="K10874" s="5"/>
    </row>
    <row r="10875" spans="3:11" x14ac:dyDescent="0.35">
      <c r="C10875" s="112"/>
      <c r="D10875" s="5"/>
      <c r="E10875" s="5"/>
      <c r="F10875" s="5"/>
      <c r="G10875" s="5"/>
      <c r="H10875" s="5"/>
      <c r="I10875" s="5"/>
      <c r="J10875" s="5"/>
      <c r="K10875" s="5"/>
    </row>
    <row r="10876" spans="3:11" x14ac:dyDescent="0.35">
      <c r="C10876" s="112"/>
      <c r="D10876" s="5"/>
      <c r="E10876" s="5"/>
      <c r="F10876" s="5"/>
      <c r="G10876" s="5"/>
      <c r="H10876" s="5"/>
      <c r="I10876" s="5"/>
      <c r="J10876" s="5"/>
      <c r="K10876" s="5"/>
    </row>
    <row r="10877" spans="3:11" x14ac:dyDescent="0.35">
      <c r="C10877" s="112"/>
      <c r="D10877" s="5"/>
      <c r="E10877" s="5"/>
      <c r="F10877" s="5"/>
      <c r="G10877" s="5"/>
      <c r="H10877" s="5"/>
      <c r="I10877" s="5"/>
      <c r="J10877" s="5"/>
      <c r="K10877" s="5"/>
    </row>
    <row r="10878" spans="3:11" x14ac:dyDescent="0.35">
      <c r="C10878" s="112"/>
      <c r="D10878" s="5"/>
      <c r="E10878" s="5"/>
      <c r="F10878" s="5"/>
      <c r="G10878" s="5"/>
      <c r="H10878" s="5"/>
      <c r="I10878" s="5"/>
      <c r="J10878" s="5"/>
      <c r="K10878" s="5"/>
    </row>
    <row r="10879" spans="3:11" x14ac:dyDescent="0.35">
      <c r="C10879" s="112"/>
      <c r="D10879" s="5"/>
      <c r="E10879" s="5"/>
      <c r="F10879" s="5"/>
      <c r="G10879" s="5"/>
      <c r="H10879" s="5"/>
      <c r="I10879" s="5"/>
      <c r="J10879" s="5"/>
      <c r="K10879" s="5"/>
    </row>
    <row r="10880" spans="3:11" x14ac:dyDescent="0.35">
      <c r="C10880" s="112"/>
      <c r="D10880" s="5"/>
      <c r="E10880" s="5"/>
      <c r="F10880" s="5"/>
      <c r="G10880" s="5"/>
      <c r="H10880" s="5"/>
      <c r="I10880" s="5"/>
      <c r="J10880" s="5"/>
      <c r="K10880" s="5"/>
    </row>
    <row r="10881" spans="3:11" x14ac:dyDescent="0.35">
      <c r="C10881" s="112"/>
      <c r="D10881" s="5"/>
      <c r="E10881" s="5"/>
      <c r="F10881" s="5"/>
      <c r="G10881" s="5"/>
      <c r="H10881" s="5"/>
      <c r="I10881" s="5"/>
      <c r="J10881" s="5"/>
      <c r="K10881" s="5"/>
    </row>
    <row r="10882" spans="3:11" x14ac:dyDescent="0.35">
      <c r="C10882" s="112"/>
      <c r="D10882" s="5"/>
      <c r="E10882" s="5"/>
      <c r="F10882" s="5"/>
      <c r="G10882" s="5"/>
      <c r="H10882" s="5"/>
      <c r="I10882" s="5"/>
      <c r="J10882" s="5"/>
      <c r="K10882" s="5"/>
    </row>
    <row r="10883" spans="3:11" x14ac:dyDescent="0.35">
      <c r="C10883" s="112"/>
      <c r="D10883" s="5"/>
      <c r="E10883" s="5"/>
      <c r="F10883" s="5"/>
      <c r="G10883" s="5"/>
      <c r="H10883" s="5"/>
      <c r="I10883" s="5"/>
      <c r="J10883" s="5"/>
      <c r="K10883" s="5"/>
    </row>
    <row r="10884" spans="3:11" x14ac:dyDescent="0.35">
      <c r="C10884" s="112"/>
      <c r="D10884" s="5"/>
      <c r="E10884" s="5"/>
      <c r="F10884" s="5"/>
      <c r="G10884" s="5"/>
      <c r="H10884" s="5"/>
      <c r="I10884" s="5"/>
      <c r="J10884" s="5"/>
      <c r="K10884" s="5"/>
    </row>
    <row r="10885" spans="3:11" x14ac:dyDescent="0.35">
      <c r="C10885" s="112"/>
      <c r="D10885" s="5"/>
      <c r="E10885" s="5"/>
      <c r="F10885" s="5"/>
      <c r="G10885" s="5"/>
      <c r="H10885" s="5"/>
      <c r="I10885" s="5"/>
      <c r="J10885" s="5"/>
      <c r="K10885" s="5"/>
    </row>
    <row r="10886" spans="3:11" x14ac:dyDescent="0.35">
      <c r="C10886" s="112"/>
      <c r="D10886" s="5"/>
      <c r="E10886" s="5"/>
      <c r="F10886" s="5"/>
      <c r="G10886" s="5"/>
      <c r="H10886" s="5"/>
      <c r="I10886" s="5"/>
      <c r="J10886" s="5"/>
      <c r="K10886" s="5"/>
    </row>
    <row r="10887" spans="3:11" x14ac:dyDescent="0.35">
      <c r="C10887" s="112"/>
      <c r="D10887" s="5"/>
      <c r="E10887" s="5"/>
      <c r="F10887" s="5"/>
      <c r="G10887" s="5"/>
      <c r="H10887" s="5"/>
      <c r="I10887" s="5"/>
      <c r="J10887" s="5"/>
      <c r="K10887" s="5"/>
    </row>
    <row r="10888" spans="3:11" x14ac:dyDescent="0.35">
      <c r="C10888" s="112"/>
      <c r="D10888" s="5"/>
      <c r="E10888" s="5"/>
      <c r="F10888" s="5"/>
      <c r="G10888" s="5"/>
      <c r="H10888" s="5"/>
      <c r="I10888" s="5"/>
      <c r="J10888" s="5"/>
      <c r="K10888" s="5"/>
    </row>
    <row r="10889" spans="3:11" x14ac:dyDescent="0.35">
      <c r="C10889" s="112"/>
      <c r="D10889" s="5"/>
      <c r="E10889" s="5"/>
      <c r="F10889" s="5"/>
      <c r="G10889" s="5"/>
      <c r="H10889" s="5"/>
      <c r="I10889" s="5"/>
      <c r="J10889" s="5"/>
      <c r="K10889" s="5"/>
    </row>
    <row r="10890" spans="3:11" x14ac:dyDescent="0.35">
      <c r="C10890" s="112"/>
      <c r="D10890" s="5"/>
      <c r="E10890" s="5"/>
      <c r="F10890" s="5"/>
      <c r="G10890" s="5"/>
      <c r="H10890" s="5"/>
      <c r="I10890" s="5"/>
      <c r="J10890" s="5"/>
      <c r="K10890" s="5"/>
    </row>
    <row r="10891" spans="3:11" x14ac:dyDescent="0.35">
      <c r="C10891" s="112"/>
      <c r="D10891" s="5"/>
      <c r="E10891" s="5"/>
      <c r="F10891" s="5"/>
      <c r="G10891" s="5"/>
      <c r="H10891" s="5"/>
      <c r="I10891" s="5"/>
      <c r="J10891" s="5"/>
      <c r="K10891" s="5"/>
    </row>
    <row r="10892" spans="3:11" x14ac:dyDescent="0.35">
      <c r="C10892" s="112"/>
      <c r="D10892" s="5"/>
      <c r="E10892" s="5"/>
      <c r="F10892" s="5"/>
      <c r="G10892" s="5"/>
      <c r="H10892" s="5"/>
      <c r="I10892" s="5"/>
      <c r="J10892" s="5"/>
      <c r="K10892" s="5"/>
    </row>
    <row r="10893" spans="3:11" x14ac:dyDescent="0.35">
      <c r="C10893" s="112"/>
      <c r="D10893" s="5"/>
      <c r="E10893" s="5"/>
      <c r="F10893" s="5"/>
      <c r="G10893" s="5"/>
      <c r="H10893" s="5"/>
      <c r="I10893" s="5"/>
      <c r="J10893" s="5"/>
      <c r="K10893" s="5"/>
    </row>
    <row r="10894" spans="3:11" x14ac:dyDescent="0.35">
      <c r="C10894" s="112"/>
      <c r="D10894" s="5"/>
      <c r="E10894" s="5"/>
      <c r="F10894" s="5"/>
      <c r="G10894" s="5"/>
      <c r="H10894" s="5"/>
      <c r="I10894" s="5"/>
      <c r="J10894" s="5"/>
      <c r="K10894" s="5"/>
    </row>
    <row r="10895" spans="3:11" x14ac:dyDescent="0.35">
      <c r="C10895" s="112"/>
      <c r="D10895" s="5"/>
      <c r="E10895" s="5"/>
      <c r="F10895" s="5"/>
      <c r="G10895" s="5"/>
      <c r="H10895" s="5"/>
      <c r="I10895" s="5"/>
      <c r="J10895" s="5"/>
      <c r="K10895" s="5"/>
    </row>
    <row r="10896" spans="3:11" x14ac:dyDescent="0.35">
      <c r="C10896" s="112"/>
      <c r="D10896" s="5"/>
      <c r="E10896" s="5"/>
      <c r="F10896" s="5"/>
      <c r="G10896" s="5"/>
      <c r="H10896" s="5"/>
      <c r="I10896" s="5"/>
      <c r="J10896" s="5"/>
      <c r="K10896" s="5"/>
    </row>
    <row r="10897" spans="3:11" x14ac:dyDescent="0.35">
      <c r="C10897" s="112"/>
      <c r="D10897" s="5"/>
      <c r="E10897" s="5"/>
      <c r="F10897" s="5"/>
      <c r="G10897" s="5"/>
      <c r="H10897" s="5"/>
      <c r="I10897" s="5"/>
      <c r="J10897" s="5"/>
      <c r="K10897" s="5"/>
    </row>
    <row r="10898" spans="3:11" x14ac:dyDescent="0.35">
      <c r="C10898" s="112"/>
      <c r="D10898" s="5"/>
      <c r="E10898" s="5"/>
      <c r="F10898" s="5"/>
      <c r="G10898" s="5"/>
      <c r="H10898" s="5"/>
      <c r="I10898" s="5"/>
      <c r="J10898" s="5"/>
      <c r="K10898" s="5"/>
    </row>
    <row r="10899" spans="3:11" x14ac:dyDescent="0.35">
      <c r="C10899" s="112"/>
      <c r="D10899" s="5"/>
      <c r="E10899" s="5"/>
      <c r="F10899" s="5"/>
      <c r="G10899" s="5"/>
      <c r="H10899" s="5"/>
      <c r="I10899" s="5"/>
      <c r="J10899" s="5"/>
      <c r="K10899" s="5"/>
    </row>
    <row r="10900" spans="3:11" x14ac:dyDescent="0.35">
      <c r="C10900" s="112"/>
      <c r="D10900" s="5"/>
      <c r="E10900" s="5"/>
      <c r="F10900" s="5"/>
      <c r="G10900" s="5"/>
      <c r="H10900" s="5"/>
      <c r="I10900" s="5"/>
      <c r="J10900" s="5"/>
      <c r="K10900" s="5"/>
    </row>
    <row r="10901" spans="3:11" x14ac:dyDescent="0.35">
      <c r="C10901" s="112"/>
      <c r="D10901" s="5"/>
      <c r="E10901" s="5"/>
      <c r="F10901" s="5"/>
      <c r="G10901" s="5"/>
      <c r="H10901" s="5"/>
      <c r="I10901" s="5"/>
      <c r="J10901" s="5"/>
      <c r="K10901" s="5"/>
    </row>
    <row r="10902" spans="3:11" x14ac:dyDescent="0.35">
      <c r="C10902" s="112"/>
      <c r="D10902" s="5"/>
      <c r="E10902" s="5"/>
      <c r="F10902" s="5"/>
      <c r="G10902" s="5"/>
      <c r="H10902" s="5"/>
      <c r="I10902" s="5"/>
      <c r="J10902" s="5"/>
      <c r="K10902" s="5"/>
    </row>
    <row r="10903" spans="3:11" x14ac:dyDescent="0.35">
      <c r="C10903" s="112"/>
      <c r="D10903" s="5"/>
      <c r="E10903" s="5"/>
      <c r="F10903" s="5"/>
      <c r="G10903" s="5"/>
      <c r="H10903" s="5"/>
      <c r="I10903" s="5"/>
      <c r="J10903" s="5"/>
      <c r="K10903" s="5"/>
    </row>
    <row r="10904" spans="3:11" x14ac:dyDescent="0.35">
      <c r="C10904" s="112"/>
      <c r="D10904" s="5"/>
      <c r="E10904" s="5"/>
      <c r="F10904" s="5"/>
      <c r="G10904" s="5"/>
      <c r="H10904" s="5"/>
      <c r="I10904" s="5"/>
      <c r="J10904" s="5"/>
      <c r="K10904" s="5"/>
    </row>
    <row r="10905" spans="3:11" x14ac:dyDescent="0.35">
      <c r="C10905" s="112"/>
      <c r="D10905" s="5"/>
      <c r="E10905" s="5"/>
      <c r="F10905" s="5"/>
      <c r="G10905" s="5"/>
      <c r="H10905" s="5"/>
      <c r="I10905" s="5"/>
      <c r="J10905" s="5"/>
      <c r="K10905" s="5"/>
    </row>
    <row r="10906" spans="3:11" x14ac:dyDescent="0.35">
      <c r="C10906" s="112"/>
      <c r="D10906" s="5"/>
      <c r="E10906" s="5"/>
      <c r="F10906" s="5"/>
      <c r="G10906" s="5"/>
      <c r="H10906" s="5"/>
      <c r="I10906" s="5"/>
      <c r="J10906" s="5"/>
      <c r="K10906" s="5"/>
    </row>
    <row r="10907" spans="3:11" x14ac:dyDescent="0.35">
      <c r="C10907" s="112"/>
      <c r="D10907" s="5"/>
      <c r="E10907" s="5"/>
      <c r="F10907" s="5"/>
      <c r="G10907" s="5"/>
      <c r="H10907" s="5"/>
      <c r="I10907" s="5"/>
      <c r="J10907" s="5"/>
      <c r="K10907" s="5"/>
    </row>
    <row r="10908" spans="3:11" x14ac:dyDescent="0.35">
      <c r="C10908" s="112"/>
      <c r="D10908" s="5"/>
      <c r="E10908" s="5"/>
      <c r="F10908" s="5"/>
      <c r="G10908" s="5"/>
      <c r="H10908" s="5"/>
      <c r="I10908" s="5"/>
      <c r="J10908" s="5"/>
      <c r="K10908" s="5"/>
    </row>
    <row r="10909" spans="3:11" x14ac:dyDescent="0.35">
      <c r="C10909" s="112"/>
      <c r="D10909" s="5"/>
      <c r="E10909" s="5"/>
      <c r="F10909" s="5"/>
      <c r="G10909" s="5"/>
      <c r="H10909" s="5"/>
      <c r="I10909" s="5"/>
      <c r="J10909" s="5"/>
      <c r="K10909" s="5"/>
    </row>
    <row r="10910" spans="3:11" x14ac:dyDescent="0.35">
      <c r="C10910" s="112"/>
      <c r="D10910" s="5"/>
      <c r="E10910" s="5"/>
      <c r="F10910" s="5"/>
      <c r="G10910" s="5"/>
      <c r="H10910" s="5"/>
      <c r="I10910" s="5"/>
      <c r="J10910" s="5"/>
      <c r="K10910" s="5"/>
    </row>
    <row r="10911" spans="3:11" x14ac:dyDescent="0.35">
      <c r="C10911" s="112"/>
      <c r="D10911" s="5"/>
      <c r="E10911" s="5"/>
      <c r="F10911" s="5"/>
      <c r="G10911" s="5"/>
      <c r="H10911" s="5"/>
      <c r="I10911" s="5"/>
      <c r="J10911" s="5"/>
      <c r="K10911" s="5"/>
    </row>
    <row r="10912" spans="3:11" x14ac:dyDescent="0.35">
      <c r="C10912" s="112"/>
      <c r="D10912" s="5"/>
      <c r="E10912" s="5"/>
      <c r="F10912" s="5"/>
      <c r="G10912" s="5"/>
      <c r="H10912" s="5"/>
      <c r="I10912" s="5"/>
      <c r="J10912" s="5"/>
      <c r="K10912" s="5"/>
    </row>
    <row r="10913" spans="3:11" x14ac:dyDescent="0.35">
      <c r="C10913" s="112"/>
      <c r="D10913" s="5"/>
      <c r="E10913" s="5"/>
      <c r="F10913" s="5"/>
      <c r="G10913" s="5"/>
      <c r="H10913" s="5"/>
      <c r="I10913" s="5"/>
      <c r="J10913" s="5"/>
      <c r="K10913" s="5"/>
    </row>
    <row r="10914" spans="3:11" x14ac:dyDescent="0.35">
      <c r="C10914" s="112"/>
      <c r="D10914" s="5"/>
      <c r="E10914" s="5"/>
      <c r="F10914" s="5"/>
      <c r="G10914" s="5"/>
      <c r="H10914" s="5"/>
      <c r="I10914" s="5"/>
      <c r="J10914" s="5"/>
      <c r="K10914" s="5"/>
    </row>
    <row r="10915" spans="3:11" x14ac:dyDescent="0.35">
      <c r="C10915" s="112"/>
      <c r="D10915" s="5"/>
      <c r="E10915" s="5"/>
      <c r="F10915" s="5"/>
      <c r="G10915" s="5"/>
      <c r="H10915" s="5"/>
      <c r="I10915" s="5"/>
      <c r="J10915" s="5"/>
      <c r="K10915" s="5"/>
    </row>
    <row r="10916" spans="3:11" x14ac:dyDescent="0.35">
      <c r="C10916" s="112"/>
      <c r="D10916" s="5"/>
      <c r="E10916" s="5"/>
      <c r="F10916" s="5"/>
      <c r="G10916" s="5"/>
      <c r="H10916" s="5"/>
      <c r="I10916" s="5"/>
      <c r="J10916" s="5"/>
      <c r="K10916" s="5"/>
    </row>
    <row r="10917" spans="3:11" x14ac:dyDescent="0.35">
      <c r="C10917" s="112"/>
      <c r="D10917" s="5"/>
      <c r="E10917" s="5"/>
      <c r="F10917" s="5"/>
      <c r="G10917" s="5"/>
      <c r="H10917" s="5"/>
      <c r="I10917" s="5"/>
      <c r="J10917" s="5"/>
      <c r="K10917" s="5"/>
    </row>
    <row r="10918" spans="3:11" x14ac:dyDescent="0.35">
      <c r="C10918" s="112"/>
      <c r="D10918" s="5"/>
      <c r="E10918" s="5"/>
      <c r="F10918" s="5"/>
      <c r="G10918" s="5"/>
      <c r="H10918" s="5"/>
      <c r="I10918" s="5"/>
      <c r="J10918" s="5"/>
      <c r="K10918" s="5"/>
    </row>
    <row r="10919" spans="3:11" x14ac:dyDescent="0.35">
      <c r="C10919" s="112"/>
      <c r="D10919" s="5"/>
      <c r="E10919" s="5"/>
      <c r="F10919" s="5"/>
      <c r="G10919" s="5"/>
      <c r="H10919" s="5"/>
      <c r="I10919" s="5"/>
      <c r="J10919" s="5"/>
      <c r="K10919" s="5"/>
    </row>
    <row r="10920" spans="3:11" x14ac:dyDescent="0.35">
      <c r="C10920" s="112"/>
      <c r="D10920" s="5"/>
      <c r="E10920" s="5"/>
      <c r="F10920" s="5"/>
      <c r="G10920" s="5"/>
      <c r="H10920" s="5"/>
      <c r="I10920" s="5"/>
      <c r="J10920" s="5"/>
      <c r="K10920" s="5"/>
    </row>
    <row r="10921" spans="3:11" x14ac:dyDescent="0.35">
      <c r="C10921" s="112"/>
      <c r="D10921" s="5"/>
      <c r="E10921" s="5"/>
      <c r="F10921" s="5"/>
      <c r="G10921" s="5"/>
      <c r="H10921" s="5"/>
      <c r="I10921" s="5"/>
      <c r="J10921" s="5"/>
      <c r="K10921" s="5"/>
    </row>
    <row r="10922" spans="3:11" x14ac:dyDescent="0.35">
      <c r="C10922" s="112"/>
      <c r="D10922" s="5"/>
      <c r="E10922" s="5"/>
      <c r="F10922" s="5"/>
      <c r="G10922" s="5"/>
      <c r="H10922" s="5"/>
      <c r="I10922" s="5"/>
      <c r="J10922" s="5"/>
      <c r="K10922" s="5"/>
    </row>
    <row r="10923" spans="3:11" x14ac:dyDescent="0.35">
      <c r="C10923" s="112"/>
      <c r="D10923" s="5"/>
      <c r="E10923" s="5"/>
      <c r="F10923" s="5"/>
      <c r="G10923" s="5"/>
      <c r="H10923" s="5"/>
      <c r="I10923" s="5"/>
      <c r="J10923" s="5"/>
      <c r="K10923" s="5"/>
    </row>
    <row r="10924" spans="3:11" x14ac:dyDescent="0.35">
      <c r="C10924" s="112"/>
      <c r="D10924" s="5"/>
      <c r="E10924" s="5"/>
      <c r="F10924" s="5"/>
      <c r="G10924" s="5"/>
      <c r="H10924" s="5"/>
      <c r="I10924" s="5"/>
      <c r="J10924" s="5"/>
      <c r="K10924" s="5"/>
    </row>
    <row r="10925" spans="3:11" x14ac:dyDescent="0.35">
      <c r="C10925" s="112"/>
      <c r="D10925" s="5"/>
      <c r="E10925" s="5"/>
      <c r="F10925" s="5"/>
      <c r="G10925" s="5"/>
      <c r="H10925" s="5"/>
      <c r="I10925" s="5"/>
      <c r="J10925" s="5"/>
      <c r="K10925" s="5"/>
    </row>
    <row r="10926" spans="3:11" x14ac:dyDescent="0.35">
      <c r="C10926" s="112"/>
      <c r="D10926" s="5"/>
      <c r="E10926" s="5"/>
      <c r="F10926" s="5"/>
      <c r="G10926" s="5"/>
      <c r="H10926" s="5"/>
      <c r="I10926" s="5"/>
      <c r="J10926" s="5"/>
      <c r="K10926" s="5"/>
    </row>
    <row r="10927" spans="3:11" x14ac:dyDescent="0.35">
      <c r="C10927" s="112"/>
      <c r="D10927" s="5"/>
      <c r="E10927" s="5"/>
      <c r="F10927" s="5"/>
      <c r="G10927" s="5"/>
      <c r="H10927" s="5"/>
      <c r="I10927" s="5"/>
      <c r="J10927" s="5"/>
      <c r="K10927" s="5"/>
    </row>
    <row r="10928" spans="3:11" x14ac:dyDescent="0.35">
      <c r="C10928" s="112"/>
      <c r="D10928" s="5"/>
      <c r="E10928" s="5"/>
      <c r="F10928" s="5"/>
      <c r="G10928" s="5"/>
      <c r="H10928" s="5"/>
      <c r="I10928" s="5"/>
      <c r="J10928" s="5"/>
      <c r="K10928" s="5"/>
    </row>
    <row r="10929" spans="3:11" x14ac:dyDescent="0.35">
      <c r="C10929" s="112"/>
      <c r="D10929" s="5"/>
      <c r="E10929" s="5"/>
      <c r="F10929" s="5"/>
      <c r="G10929" s="5"/>
      <c r="H10929" s="5"/>
      <c r="I10929" s="5"/>
      <c r="J10929" s="5"/>
      <c r="K10929" s="5"/>
    </row>
    <row r="10930" spans="3:11" x14ac:dyDescent="0.35">
      <c r="C10930" s="112"/>
      <c r="D10930" s="5"/>
      <c r="E10930" s="5"/>
      <c r="F10930" s="5"/>
      <c r="G10930" s="5"/>
      <c r="H10930" s="5"/>
      <c r="I10930" s="5"/>
      <c r="J10930" s="5"/>
      <c r="K10930" s="5"/>
    </row>
    <row r="10931" spans="3:11" x14ac:dyDescent="0.35">
      <c r="C10931" s="112"/>
      <c r="D10931" s="5"/>
      <c r="E10931" s="5"/>
      <c r="F10931" s="5"/>
      <c r="G10931" s="5"/>
      <c r="H10931" s="5"/>
      <c r="I10931" s="5"/>
      <c r="J10931" s="5"/>
      <c r="K10931" s="5"/>
    </row>
    <row r="10932" spans="3:11" x14ac:dyDescent="0.35">
      <c r="C10932" s="112"/>
      <c r="D10932" s="5"/>
      <c r="E10932" s="5"/>
      <c r="F10932" s="5"/>
      <c r="G10932" s="5"/>
      <c r="H10932" s="5"/>
      <c r="I10932" s="5"/>
      <c r="J10932" s="5"/>
      <c r="K10932" s="5"/>
    </row>
    <row r="10933" spans="3:11" x14ac:dyDescent="0.35">
      <c r="C10933" s="112"/>
      <c r="D10933" s="5"/>
      <c r="E10933" s="5"/>
      <c r="F10933" s="5"/>
      <c r="G10933" s="5"/>
      <c r="H10933" s="5"/>
      <c r="I10933" s="5"/>
      <c r="J10933" s="5"/>
      <c r="K10933" s="5"/>
    </row>
    <row r="10934" spans="3:11" x14ac:dyDescent="0.35">
      <c r="C10934" s="112"/>
      <c r="D10934" s="5"/>
      <c r="E10934" s="5"/>
      <c r="F10934" s="5"/>
      <c r="G10934" s="5"/>
      <c r="H10934" s="5"/>
      <c r="I10934" s="5"/>
      <c r="J10934" s="5"/>
      <c r="K10934" s="5"/>
    </row>
    <row r="10935" spans="3:11" x14ac:dyDescent="0.35">
      <c r="C10935" s="112"/>
      <c r="D10935" s="5"/>
      <c r="E10935" s="5"/>
      <c r="F10935" s="5"/>
      <c r="G10935" s="5"/>
      <c r="H10935" s="5"/>
      <c r="I10935" s="5"/>
      <c r="J10935" s="5"/>
      <c r="K10935" s="5"/>
    </row>
    <row r="10936" spans="3:11" x14ac:dyDescent="0.35">
      <c r="C10936" s="112"/>
      <c r="D10936" s="5"/>
      <c r="E10936" s="5"/>
      <c r="F10936" s="5"/>
      <c r="G10936" s="5"/>
      <c r="H10936" s="5"/>
      <c r="I10936" s="5"/>
      <c r="J10936" s="5"/>
      <c r="K10936" s="5"/>
    </row>
    <row r="10937" spans="3:11" x14ac:dyDescent="0.35">
      <c r="C10937" s="112"/>
      <c r="D10937" s="5"/>
      <c r="E10937" s="5"/>
      <c r="F10937" s="5"/>
      <c r="G10937" s="5"/>
      <c r="H10937" s="5"/>
      <c r="I10937" s="5"/>
      <c r="J10937" s="5"/>
      <c r="K10937" s="5"/>
    </row>
    <row r="10938" spans="3:11" x14ac:dyDescent="0.35">
      <c r="C10938" s="112"/>
      <c r="D10938" s="5"/>
      <c r="E10938" s="5"/>
      <c r="F10938" s="5"/>
      <c r="G10938" s="5"/>
      <c r="H10938" s="5"/>
      <c r="I10938" s="5"/>
      <c r="J10938" s="5"/>
      <c r="K10938" s="5"/>
    </row>
    <row r="10939" spans="3:11" x14ac:dyDescent="0.35">
      <c r="C10939" s="112"/>
      <c r="D10939" s="5"/>
      <c r="E10939" s="5"/>
      <c r="F10939" s="5"/>
      <c r="G10939" s="5"/>
      <c r="H10939" s="5"/>
      <c r="I10939" s="5"/>
      <c r="J10939" s="5"/>
      <c r="K10939" s="5"/>
    </row>
    <row r="10940" spans="3:11" x14ac:dyDescent="0.35">
      <c r="C10940" s="112"/>
      <c r="D10940" s="5"/>
      <c r="E10940" s="5"/>
      <c r="F10940" s="5"/>
      <c r="G10940" s="5"/>
      <c r="H10940" s="5"/>
      <c r="I10940" s="5"/>
      <c r="J10940" s="5"/>
      <c r="K10940" s="5"/>
    </row>
    <row r="10941" spans="3:11" x14ac:dyDescent="0.35">
      <c r="C10941" s="112"/>
      <c r="D10941" s="5"/>
      <c r="E10941" s="5"/>
      <c r="F10941" s="5"/>
      <c r="G10941" s="5"/>
      <c r="H10941" s="5"/>
      <c r="I10941" s="5"/>
      <c r="J10941" s="5"/>
      <c r="K10941" s="5"/>
    </row>
    <row r="10942" spans="3:11" x14ac:dyDescent="0.35">
      <c r="C10942" s="112"/>
      <c r="D10942" s="5"/>
      <c r="E10942" s="5"/>
      <c r="F10942" s="5"/>
      <c r="G10942" s="5"/>
      <c r="H10942" s="5"/>
      <c r="I10942" s="5"/>
      <c r="J10942" s="5"/>
      <c r="K10942" s="5"/>
    </row>
    <row r="10943" spans="3:11" x14ac:dyDescent="0.35">
      <c r="C10943" s="112"/>
      <c r="D10943" s="5"/>
      <c r="E10943" s="5"/>
      <c r="F10943" s="5"/>
      <c r="G10943" s="5"/>
      <c r="H10943" s="5"/>
      <c r="I10943" s="5"/>
      <c r="J10943" s="5"/>
      <c r="K10943" s="5"/>
    </row>
    <row r="10944" spans="3:11" x14ac:dyDescent="0.35">
      <c r="C10944" s="112"/>
      <c r="D10944" s="5"/>
      <c r="E10944" s="5"/>
      <c r="F10944" s="5"/>
      <c r="G10944" s="5"/>
      <c r="H10944" s="5"/>
      <c r="I10944" s="5"/>
      <c r="J10944" s="5"/>
      <c r="K10944" s="5"/>
    </row>
    <row r="10945" spans="3:11" x14ac:dyDescent="0.35">
      <c r="C10945" s="112"/>
      <c r="D10945" s="5"/>
      <c r="E10945" s="5"/>
      <c r="F10945" s="5"/>
      <c r="G10945" s="5"/>
      <c r="H10945" s="5"/>
      <c r="I10945" s="5"/>
      <c r="J10945" s="5"/>
      <c r="K10945" s="5"/>
    </row>
    <row r="10946" spans="3:11" x14ac:dyDescent="0.35">
      <c r="C10946" s="112"/>
      <c r="D10946" s="5"/>
      <c r="E10946" s="5"/>
      <c r="F10946" s="5"/>
      <c r="G10946" s="5"/>
      <c r="H10946" s="5"/>
      <c r="I10946" s="5"/>
      <c r="J10946" s="5"/>
      <c r="K10946" s="5"/>
    </row>
    <row r="10947" spans="3:11" x14ac:dyDescent="0.35">
      <c r="C10947" s="112"/>
      <c r="D10947" s="5"/>
      <c r="E10947" s="5"/>
      <c r="F10947" s="5"/>
      <c r="G10947" s="5"/>
      <c r="H10947" s="5"/>
      <c r="I10947" s="5"/>
      <c r="J10947" s="5"/>
      <c r="K10947" s="5"/>
    </row>
    <row r="10948" spans="3:11" x14ac:dyDescent="0.35">
      <c r="C10948" s="112"/>
      <c r="D10948" s="5"/>
      <c r="E10948" s="5"/>
      <c r="F10948" s="5"/>
      <c r="G10948" s="5"/>
      <c r="H10948" s="5"/>
      <c r="I10948" s="5"/>
      <c r="J10948" s="5"/>
      <c r="K10948" s="5"/>
    </row>
    <row r="10949" spans="3:11" x14ac:dyDescent="0.35">
      <c r="C10949" s="112"/>
      <c r="D10949" s="5"/>
      <c r="E10949" s="5"/>
      <c r="F10949" s="5"/>
      <c r="G10949" s="5"/>
      <c r="H10949" s="5"/>
      <c r="I10949" s="5"/>
      <c r="J10949" s="5"/>
      <c r="K10949" s="5"/>
    </row>
    <row r="10950" spans="3:11" x14ac:dyDescent="0.35">
      <c r="C10950" s="112"/>
      <c r="D10950" s="5"/>
      <c r="E10950" s="5"/>
      <c r="F10950" s="5"/>
      <c r="G10950" s="5"/>
      <c r="H10950" s="5"/>
      <c r="I10950" s="5"/>
      <c r="J10950" s="5"/>
      <c r="K10950" s="5"/>
    </row>
    <row r="10951" spans="3:11" x14ac:dyDescent="0.35">
      <c r="C10951" s="112"/>
      <c r="D10951" s="5"/>
      <c r="E10951" s="5"/>
      <c r="F10951" s="5"/>
      <c r="G10951" s="5"/>
      <c r="H10951" s="5"/>
      <c r="I10951" s="5"/>
      <c r="J10951" s="5"/>
      <c r="K10951" s="5"/>
    </row>
    <row r="10952" spans="3:11" x14ac:dyDescent="0.35">
      <c r="C10952" s="112"/>
      <c r="D10952" s="5"/>
      <c r="E10952" s="5"/>
      <c r="F10952" s="5"/>
      <c r="G10952" s="5"/>
      <c r="H10952" s="5"/>
      <c r="I10952" s="5"/>
      <c r="J10952" s="5"/>
      <c r="K10952" s="5"/>
    </row>
    <row r="10953" spans="3:11" x14ac:dyDescent="0.35">
      <c r="C10953" s="112"/>
      <c r="D10953" s="5"/>
      <c r="E10953" s="5"/>
      <c r="F10953" s="5"/>
      <c r="G10953" s="5"/>
      <c r="H10953" s="5"/>
      <c r="I10953" s="5"/>
      <c r="J10953" s="5"/>
      <c r="K10953" s="5"/>
    </row>
    <row r="10954" spans="3:11" x14ac:dyDescent="0.35">
      <c r="C10954" s="112"/>
      <c r="D10954" s="5"/>
      <c r="E10954" s="5"/>
      <c r="F10954" s="5"/>
      <c r="G10954" s="5"/>
      <c r="H10954" s="5"/>
      <c r="I10954" s="5"/>
      <c r="J10954" s="5"/>
      <c r="K10954" s="5"/>
    </row>
    <row r="10955" spans="3:11" x14ac:dyDescent="0.35">
      <c r="C10955" s="112"/>
      <c r="D10955" s="5"/>
      <c r="E10955" s="5"/>
      <c r="F10955" s="5"/>
      <c r="G10955" s="5"/>
      <c r="H10955" s="5"/>
      <c r="I10955" s="5"/>
      <c r="J10955" s="5"/>
      <c r="K10955" s="5"/>
    </row>
    <row r="10956" spans="3:11" x14ac:dyDescent="0.35">
      <c r="C10956" s="112"/>
      <c r="D10956" s="5"/>
      <c r="E10956" s="5"/>
      <c r="F10956" s="5"/>
      <c r="G10956" s="5"/>
      <c r="H10956" s="5"/>
      <c r="I10956" s="5"/>
      <c r="J10956" s="5"/>
      <c r="K10956" s="5"/>
    </row>
    <row r="10957" spans="3:11" x14ac:dyDescent="0.35">
      <c r="C10957" s="112"/>
      <c r="D10957" s="5"/>
      <c r="E10957" s="5"/>
      <c r="F10957" s="5"/>
      <c r="G10957" s="5"/>
      <c r="H10957" s="5"/>
      <c r="I10957" s="5"/>
      <c r="J10957" s="5"/>
      <c r="K10957" s="5"/>
    </row>
    <row r="10958" spans="3:11" x14ac:dyDescent="0.35">
      <c r="C10958" s="112"/>
      <c r="D10958" s="5"/>
      <c r="E10958" s="5"/>
      <c r="F10958" s="5"/>
      <c r="G10958" s="5"/>
      <c r="H10958" s="5"/>
      <c r="I10958" s="5"/>
      <c r="J10958" s="5"/>
      <c r="K10958" s="5"/>
    </row>
    <row r="10959" spans="3:11" x14ac:dyDescent="0.35">
      <c r="C10959" s="112"/>
      <c r="D10959" s="5"/>
      <c r="E10959" s="5"/>
      <c r="F10959" s="5"/>
      <c r="G10959" s="5"/>
      <c r="H10959" s="5"/>
      <c r="I10959" s="5"/>
      <c r="J10959" s="5"/>
      <c r="K10959" s="5"/>
    </row>
    <row r="10960" spans="3:11" x14ac:dyDescent="0.35">
      <c r="C10960" s="112"/>
      <c r="D10960" s="5"/>
      <c r="E10960" s="5"/>
      <c r="F10960" s="5"/>
      <c r="G10960" s="5"/>
      <c r="H10960" s="5"/>
      <c r="I10960" s="5"/>
      <c r="J10960" s="5"/>
      <c r="K10960" s="5"/>
    </row>
    <row r="10961" spans="3:11" x14ac:dyDescent="0.35">
      <c r="C10961" s="112"/>
      <c r="D10961" s="5"/>
      <c r="E10961" s="5"/>
      <c r="F10961" s="5"/>
      <c r="G10961" s="5"/>
      <c r="H10961" s="5"/>
      <c r="I10961" s="5"/>
      <c r="J10961" s="5"/>
      <c r="K10961" s="5"/>
    </row>
    <row r="10962" spans="3:11" x14ac:dyDescent="0.35">
      <c r="C10962" s="112"/>
      <c r="D10962" s="5"/>
      <c r="E10962" s="5"/>
      <c r="F10962" s="5"/>
      <c r="G10962" s="5"/>
      <c r="H10962" s="5"/>
      <c r="I10962" s="5"/>
      <c r="J10962" s="5"/>
      <c r="K10962" s="5"/>
    </row>
    <row r="10963" spans="3:11" x14ac:dyDescent="0.35">
      <c r="C10963" s="112"/>
      <c r="D10963" s="5"/>
      <c r="E10963" s="5"/>
      <c r="F10963" s="5"/>
      <c r="G10963" s="5"/>
      <c r="H10963" s="5"/>
      <c r="I10963" s="5"/>
      <c r="J10963" s="5"/>
      <c r="K10963" s="5"/>
    </row>
    <row r="10964" spans="3:11" x14ac:dyDescent="0.35">
      <c r="C10964" s="112"/>
      <c r="D10964" s="5"/>
      <c r="E10964" s="5"/>
      <c r="F10964" s="5"/>
      <c r="G10964" s="5"/>
      <c r="H10964" s="5"/>
      <c r="I10964" s="5"/>
      <c r="J10964" s="5"/>
      <c r="K10964" s="5"/>
    </row>
    <row r="10965" spans="3:11" x14ac:dyDescent="0.35">
      <c r="C10965" s="112"/>
      <c r="D10965" s="5"/>
      <c r="E10965" s="5"/>
      <c r="F10965" s="5"/>
      <c r="G10965" s="5"/>
      <c r="H10965" s="5"/>
      <c r="I10965" s="5"/>
      <c r="J10965" s="5"/>
      <c r="K10965" s="5"/>
    </row>
    <row r="10966" spans="3:11" x14ac:dyDescent="0.35">
      <c r="C10966" s="112"/>
      <c r="D10966" s="5"/>
      <c r="E10966" s="5"/>
      <c r="F10966" s="5"/>
      <c r="G10966" s="5"/>
      <c r="H10966" s="5"/>
      <c r="I10966" s="5"/>
      <c r="J10966" s="5"/>
      <c r="K10966" s="5"/>
    </row>
    <row r="10967" spans="3:11" x14ac:dyDescent="0.35">
      <c r="C10967" s="112"/>
      <c r="D10967" s="5"/>
      <c r="E10967" s="5"/>
      <c r="F10967" s="5"/>
      <c r="G10967" s="5"/>
      <c r="H10967" s="5"/>
      <c r="I10967" s="5"/>
      <c r="J10967" s="5"/>
      <c r="K10967" s="5"/>
    </row>
    <row r="10968" spans="3:11" x14ac:dyDescent="0.35">
      <c r="C10968" s="112"/>
      <c r="D10968" s="5"/>
      <c r="E10968" s="5"/>
      <c r="F10968" s="5"/>
      <c r="G10968" s="5"/>
      <c r="H10968" s="5"/>
      <c r="I10968" s="5"/>
      <c r="J10968" s="5"/>
      <c r="K10968" s="5"/>
    </row>
    <row r="10969" spans="3:11" x14ac:dyDescent="0.35">
      <c r="C10969" s="112"/>
      <c r="D10969" s="5"/>
      <c r="E10969" s="5"/>
      <c r="F10969" s="5"/>
      <c r="G10969" s="5"/>
      <c r="H10969" s="5"/>
      <c r="I10969" s="5"/>
      <c r="J10969" s="5"/>
      <c r="K10969" s="5"/>
    </row>
    <row r="10970" spans="3:11" x14ac:dyDescent="0.35">
      <c r="C10970" s="112"/>
      <c r="D10970" s="5"/>
      <c r="E10970" s="5"/>
      <c r="F10970" s="5"/>
      <c r="G10970" s="5"/>
      <c r="H10970" s="5"/>
      <c r="I10970" s="5"/>
      <c r="J10970" s="5"/>
      <c r="K10970" s="5"/>
    </row>
    <row r="10971" spans="3:11" x14ac:dyDescent="0.35">
      <c r="C10971" s="112"/>
      <c r="D10971" s="5"/>
      <c r="E10971" s="5"/>
      <c r="F10971" s="5"/>
      <c r="G10971" s="5"/>
      <c r="H10971" s="5"/>
      <c r="I10971" s="5"/>
      <c r="J10971" s="5"/>
      <c r="K10971" s="5"/>
    </row>
    <row r="10972" spans="3:11" x14ac:dyDescent="0.35">
      <c r="C10972" s="112"/>
      <c r="D10972" s="5"/>
      <c r="E10972" s="5"/>
      <c r="F10972" s="5"/>
      <c r="G10972" s="5"/>
      <c r="H10972" s="5"/>
      <c r="I10972" s="5"/>
      <c r="J10972" s="5"/>
      <c r="K10972" s="5"/>
    </row>
    <row r="10973" spans="3:11" x14ac:dyDescent="0.35">
      <c r="C10973" s="112"/>
      <c r="D10973" s="5"/>
      <c r="E10973" s="5"/>
      <c r="F10973" s="5"/>
      <c r="G10973" s="5"/>
      <c r="H10973" s="5"/>
      <c r="I10973" s="5"/>
      <c r="J10973" s="5"/>
      <c r="K10973" s="5"/>
    </row>
    <row r="10974" spans="3:11" x14ac:dyDescent="0.35">
      <c r="C10974" s="112"/>
      <c r="D10974" s="5"/>
      <c r="E10974" s="5"/>
      <c r="F10974" s="5"/>
      <c r="G10974" s="5"/>
      <c r="H10974" s="5"/>
      <c r="I10974" s="5"/>
      <c r="J10974" s="5"/>
      <c r="K10974" s="5"/>
    </row>
    <row r="10975" spans="3:11" x14ac:dyDescent="0.35">
      <c r="C10975" s="112"/>
      <c r="D10975" s="5"/>
      <c r="E10975" s="5"/>
      <c r="F10975" s="5"/>
      <c r="G10975" s="5"/>
      <c r="H10975" s="5"/>
      <c r="I10975" s="5"/>
      <c r="J10975" s="5"/>
      <c r="K10975" s="5"/>
    </row>
    <row r="10976" spans="3:11" x14ac:dyDescent="0.35">
      <c r="C10976" s="112"/>
      <c r="D10976" s="5"/>
      <c r="E10976" s="5"/>
      <c r="F10976" s="5"/>
      <c r="G10976" s="5"/>
      <c r="H10976" s="5"/>
      <c r="I10976" s="5"/>
      <c r="J10976" s="5"/>
      <c r="K10976" s="5"/>
    </row>
    <row r="10977" spans="3:11" x14ac:dyDescent="0.35">
      <c r="C10977" s="112"/>
      <c r="D10977" s="5"/>
      <c r="E10977" s="5"/>
      <c r="F10977" s="5"/>
      <c r="G10977" s="5"/>
      <c r="H10977" s="5"/>
      <c r="I10977" s="5"/>
      <c r="J10977" s="5"/>
      <c r="K10977" s="5"/>
    </row>
    <row r="10978" spans="3:11" x14ac:dyDescent="0.35">
      <c r="C10978" s="112"/>
      <c r="D10978" s="5"/>
      <c r="E10978" s="5"/>
      <c r="F10978" s="5"/>
      <c r="G10978" s="5"/>
      <c r="H10978" s="5"/>
      <c r="I10978" s="5"/>
      <c r="J10978" s="5"/>
      <c r="K10978" s="5"/>
    </row>
    <row r="10979" spans="3:11" x14ac:dyDescent="0.35">
      <c r="C10979" s="112"/>
      <c r="D10979" s="5"/>
      <c r="E10979" s="5"/>
      <c r="F10979" s="5"/>
      <c r="G10979" s="5"/>
      <c r="H10979" s="5"/>
      <c r="I10979" s="5"/>
      <c r="J10979" s="5"/>
      <c r="K10979" s="5"/>
    </row>
    <row r="10980" spans="3:11" x14ac:dyDescent="0.35">
      <c r="C10980" s="112"/>
      <c r="D10980" s="5"/>
      <c r="E10980" s="5"/>
      <c r="F10980" s="5"/>
      <c r="G10980" s="5"/>
      <c r="H10980" s="5"/>
      <c r="I10980" s="5"/>
      <c r="J10980" s="5"/>
      <c r="K10980" s="5"/>
    </row>
    <row r="10981" spans="3:11" x14ac:dyDescent="0.35">
      <c r="C10981" s="112"/>
      <c r="D10981" s="5"/>
      <c r="E10981" s="5"/>
      <c r="F10981" s="5"/>
      <c r="G10981" s="5"/>
      <c r="H10981" s="5"/>
      <c r="I10981" s="5"/>
      <c r="J10981" s="5"/>
      <c r="K10981" s="5"/>
    </row>
    <row r="10982" spans="3:11" x14ac:dyDescent="0.35">
      <c r="C10982" s="112"/>
      <c r="D10982" s="5"/>
      <c r="E10982" s="5"/>
      <c r="F10982" s="5"/>
      <c r="G10982" s="5"/>
      <c r="H10982" s="5"/>
      <c r="I10982" s="5"/>
      <c r="J10982" s="5"/>
      <c r="K10982" s="5"/>
    </row>
    <row r="10983" spans="3:11" x14ac:dyDescent="0.35">
      <c r="C10983" s="112"/>
      <c r="D10983" s="5"/>
      <c r="E10983" s="5"/>
      <c r="F10983" s="5"/>
      <c r="G10983" s="5"/>
      <c r="H10983" s="5"/>
      <c r="I10983" s="5"/>
      <c r="J10983" s="5"/>
      <c r="K10983" s="5"/>
    </row>
    <row r="10984" spans="3:11" x14ac:dyDescent="0.35">
      <c r="C10984" s="112"/>
      <c r="D10984" s="5"/>
      <c r="E10984" s="5"/>
      <c r="F10984" s="5"/>
      <c r="G10984" s="5"/>
      <c r="H10984" s="5"/>
      <c r="I10984" s="5"/>
      <c r="J10984" s="5"/>
      <c r="K10984" s="5"/>
    </row>
    <row r="10985" spans="3:11" x14ac:dyDescent="0.35">
      <c r="C10985" s="112"/>
      <c r="D10985" s="5"/>
      <c r="E10985" s="5"/>
      <c r="F10985" s="5"/>
      <c r="G10985" s="5"/>
      <c r="H10985" s="5"/>
      <c r="I10985" s="5"/>
      <c r="J10985" s="5"/>
      <c r="K10985" s="5"/>
    </row>
    <row r="10986" spans="3:11" x14ac:dyDescent="0.35">
      <c r="C10986" s="112"/>
      <c r="D10986" s="5"/>
      <c r="E10986" s="5"/>
      <c r="F10986" s="5"/>
      <c r="G10986" s="5"/>
      <c r="H10986" s="5"/>
      <c r="I10986" s="5"/>
      <c r="J10986" s="5"/>
      <c r="K10986" s="5"/>
    </row>
    <row r="10987" spans="3:11" x14ac:dyDescent="0.35">
      <c r="C10987" s="112"/>
      <c r="D10987" s="5"/>
      <c r="E10987" s="5"/>
      <c r="F10987" s="5"/>
      <c r="G10987" s="5"/>
      <c r="H10987" s="5"/>
      <c r="I10987" s="5"/>
      <c r="J10987" s="5"/>
      <c r="K10987" s="5"/>
    </row>
    <row r="10988" spans="3:11" x14ac:dyDescent="0.35">
      <c r="C10988" s="112"/>
      <c r="D10988" s="5"/>
      <c r="E10988" s="5"/>
      <c r="F10988" s="5"/>
      <c r="G10988" s="5"/>
      <c r="H10988" s="5"/>
      <c r="I10988" s="5"/>
      <c r="J10988" s="5"/>
      <c r="K10988" s="5"/>
    </row>
    <row r="10989" spans="3:11" x14ac:dyDescent="0.35">
      <c r="C10989" s="112"/>
      <c r="D10989" s="5"/>
      <c r="E10989" s="5"/>
      <c r="F10989" s="5"/>
      <c r="G10989" s="5"/>
      <c r="H10989" s="5"/>
      <c r="I10989" s="5"/>
      <c r="J10989" s="5"/>
      <c r="K10989" s="5"/>
    </row>
    <row r="10990" spans="3:11" x14ac:dyDescent="0.35">
      <c r="C10990" s="112"/>
      <c r="D10990" s="5"/>
      <c r="E10990" s="5"/>
      <c r="F10990" s="5"/>
      <c r="G10990" s="5"/>
      <c r="H10990" s="5"/>
      <c r="I10990" s="5"/>
      <c r="J10990" s="5"/>
      <c r="K10990" s="5"/>
    </row>
    <row r="10991" spans="3:11" x14ac:dyDescent="0.35">
      <c r="C10991" s="112"/>
      <c r="D10991" s="5"/>
      <c r="E10991" s="5"/>
      <c r="F10991" s="5"/>
      <c r="G10991" s="5"/>
      <c r="H10991" s="5"/>
      <c r="I10991" s="5"/>
      <c r="J10991" s="5"/>
      <c r="K10991" s="5"/>
    </row>
    <row r="10992" spans="3:11" x14ac:dyDescent="0.35">
      <c r="C10992" s="112"/>
      <c r="D10992" s="5"/>
      <c r="E10992" s="5"/>
      <c r="F10992" s="5"/>
      <c r="G10992" s="5"/>
      <c r="H10992" s="5"/>
      <c r="I10992" s="5"/>
      <c r="J10992" s="5"/>
      <c r="K10992" s="5"/>
    </row>
    <row r="10993" spans="3:11" x14ac:dyDescent="0.35">
      <c r="C10993" s="112"/>
      <c r="D10993" s="5"/>
      <c r="E10993" s="5"/>
      <c r="F10993" s="5"/>
      <c r="G10993" s="5"/>
      <c r="H10993" s="5"/>
      <c r="I10993" s="5"/>
      <c r="J10993" s="5"/>
      <c r="K10993" s="5"/>
    </row>
    <row r="10994" spans="3:11" x14ac:dyDescent="0.35">
      <c r="C10994" s="112"/>
      <c r="D10994" s="5"/>
      <c r="E10994" s="5"/>
      <c r="F10994" s="5"/>
      <c r="G10994" s="5"/>
      <c r="H10994" s="5"/>
      <c r="I10994" s="5"/>
      <c r="J10994" s="5"/>
      <c r="K10994" s="5"/>
    </row>
    <row r="10995" spans="3:11" x14ac:dyDescent="0.35">
      <c r="C10995" s="112"/>
      <c r="D10995" s="5"/>
      <c r="E10995" s="5"/>
      <c r="F10995" s="5"/>
      <c r="G10995" s="5"/>
      <c r="H10995" s="5"/>
      <c r="I10995" s="5"/>
      <c r="J10995" s="5"/>
      <c r="K10995" s="5"/>
    </row>
    <row r="10996" spans="3:11" x14ac:dyDescent="0.35">
      <c r="C10996" s="112"/>
      <c r="D10996" s="5"/>
      <c r="E10996" s="5"/>
      <c r="F10996" s="5"/>
      <c r="G10996" s="5"/>
      <c r="H10996" s="5"/>
      <c r="I10996" s="5"/>
      <c r="J10996" s="5"/>
      <c r="K10996" s="5"/>
    </row>
    <row r="10997" spans="3:11" x14ac:dyDescent="0.35">
      <c r="C10997" s="112"/>
      <c r="D10997" s="5"/>
      <c r="E10997" s="5"/>
      <c r="F10997" s="5"/>
      <c r="G10997" s="5"/>
      <c r="H10997" s="5"/>
      <c r="I10997" s="5"/>
      <c r="J10997" s="5"/>
      <c r="K10997" s="5"/>
    </row>
    <row r="10998" spans="3:11" x14ac:dyDescent="0.35">
      <c r="C10998" s="112"/>
      <c r="D10998" s="5"/>
      <c r="E10998" s="5"/>
      <c r="F10998" s="5"/>
      <c r="G10998" s="5"/>
      <c r="H10998" s="5"/>
      <c r="I10998" s="5"/>
      <c r="J10998" s="5"/>
      <c r="K10998" s="5"/>
    </row>
    <row r="10999" spans="3:11" x14ac:dyDescent="0.35">
      <c r="C10999" s="112"/>
      <c r="D10999" s="5"/>
      <c r="E10999" s="5"/>
      <c r="F10999" s="5"/>
      <c r="G10999" s="5"/>
      <c r="H10999" s="5"/>
      <c r="I10999" s="5"/>
      <c r="J10999" s="5"/>
      <c r="K10999" s="5"/>
    </row>
    <row r="11000" spans="3:11" x14ac:dyDescent="0.35">
      <c r="C11000" s="112"/>
      <c r="D11000" s="5"/>
      <c r="E11000" s="5"/>
      <c r="F11000" s="5"/>
      <c r="G11000" s="5"/>
      <c r="H11000" s="5"/>
      <c r="I11000" s="5"/>
      <c r="J11000" s="5"/>
      <c r="K11000" s="5"/>
    </row>
    <row r="11001" spans="3:11" x14ac:dyDescent="0.35">
      <c r="C11001" s="112"/>
      <c r="D11001" s="5"/>
      <c r="E11001" s="5"/>
      <c r="F11001" s="5"/>
      <c r="G11001" s="5"/>
      <c r="H11001" s="5"/>
      <c r="I11001" s="5"/>
      <c r="J11001" s="5"/>
      <c r="K11001" s="5"/>
    </row>
    <row r="11002" spans="3:11" x14ac:dyDescent="0.35">
      <c r="C11002" s="112"/>
      <c r="D11002" s="5"/>
      <c r="E11002" s="5"/>
      <c r="F11002" s="5"/>
      <c r="G11002" s="5"/>
      <c r="H11002" s="5"/>
      <c r="I11002" s="5"/>
      <c r="J11002" s="5"/>
      <c r="K11002" s="5"/>
    </row>
    <row r="11003" spans="3:11" x14ac:dyDescent="0.35">
      <c r="C11003" s="112"/>
      <c r="D11003" s="5"/>
      <c r="E11003" s="5"/>
      <c r="F11003" s="5"/>
      <c r="G11003" s="5"/>
      <c r="H11003" s="5"/>
      <c r="I11003" s="5"/>
      <c r="J11003" s="5"/>
      <c r="K11003" s="5"/>
    </row>
    <row r="11004" spans="3:11" x14ac:dyDescent="0.35">
      <c r="C11004" s="112"/>
      <c r="D11004" s="5"/>
      <c r="E11004" s="5"/>
      <c r="F11004" s="5"/>
      <c r="G11004" s="5"/>
      <c r="H11004" s="5"/>
      <c r="I11004" s="5"/>
      <c r="J11004" s="5"/>
      <c r="K11004" s="5"/>
    </row>
    <row r="11005" spans="3:11" x14ac:dyDescent="0.35">
      <c r="C11005" s="112"/>
      <c r="D11005" s="5"/>
      <c r="E11005" s="5"/>
      <c r="F11005" s="5"/>
      <c r="G11005" s="5"/>
      <c r="H11005" s="5"/>
      <c r="I11005" s="5"/>
      <c r="J11005" s="5"/>
      <c r="K11005" s="5"/>
    </row>
    <row r="11006" spans="3:11" x14ac:dyDescent="0.35">
      <c r="C11006" s="112"/>
      <c r="D11006" s="5"/>
      <c r="E11006" s="5"/>
      <c r="F11006" s="5"/>
      <c r="G11006" s="5"/>
      <c r="H11006" s="5"/>
      <c r="I11006" s="5"/>
      <c r="J11006" s="5"/>
      <c r="K11006" s="5"/>
    </row>
    <row r="11007" spans="3:11" x14ac:dyDescent="0.35">
      <c r="C11007" s="112"/>
      <c r="D11007" s="5"/>
      <c r="E11007" s="5"/>
      <c r="F11007" s="5"/>
      <c r="G11007" s="5"/>
      <c r="H11007" s="5"/>
      <c r="I11007" s="5"/>
      <c r="J11007" s="5"/>
      <c r="K11007" s="5"/>
    </row>
    <row r="11008" spans="3:11" x14ac:dyDescent="0.35">
      <c r="C11008" s="112"/>
      <c r="D11008" s="5"/>
      <c r="E11008" s="5"/>
      <c r="F11008" s="5"/>
      <c r="G11008" s="5"/>
      <c r="H11008" s="5"/>
      <c r="I11008" s="5"/>
      <c r="J11008" s="5"/>
      <c r="K11008" s="5"/>
    </row>
    <row r="11009" spans="3:11" x14ac:dyDescent="0.35">
      <c r="C11009" s="112"/>
      <c r="D11009" s="5"/>
      <c r="E11009" s="5"/>
      <c r="F11009" s="5"/>
      <c r="G11009" s="5"/>
      <c r="H11009" s="5"/>
      <c r="I11009" s="5"/>
      <c r="J11009" s="5"/>
      <c r="K11009" s="5"/>
    </row>
    <row r="11010" spans="3:11" x14ac:dyDescent="0.35">
      <c r="C11010" s="112"/>
      <c r="D11010" s="5"/>
      <c r="E11010" s="5"/>
      <c r="F11010" s="5"/>
      <c r="G11010" s="5"/>
      <c r="H11010" s="5"/>
      <c r="I11010" s="5"/>
      <c r="J11010" s="5"/>
      <c r="K11010" s="5"/>
    </row>
    <row r="11011" spans="3:11" x14ac:dyDescent="0.35">
      <c r="C11011" s="112"/>
      <c r="D11011" s="5"/>
      <c r="E11011" s="5"/>
      <c r="F11011" s="5"/>
      <c r="G11011" s="5"/>
      <c r="H11011" s="5"/>
      <c r="I11011" s="5"/>
      <c r="J11011" s="5"/>
      <c r="K11011" s="5"/>
    </row>
    <row r="11012" spans="3:11" x14ac:dyDescent="0.35">
      <c r="C11012" s="112"/>
      <c r="D11012" s="5"/>
      <c r="E11012" s="5"/>
      <c r="F11012" s="5"/>
      <c r="G11012" s="5"/>
      <c r="H11012" s="5"/>
      <c r="I11012" s="5"/>
      <c r="J11012" s="5"/>
      <c r="K11012" s="5"/>
    </row>
    <row r="11013" spans="3:11" x14ac:dyDescent="0.35">
      <c r="C11013" s="112"/>
      <c r="D11013" s="5"/>
      <c r="E11013" s="5"/>
      <c r="F11013" s="5"/>
      <c r="G11013" s="5"/>
      <c r="H11013" s="5"/>
      <c r="I11013" s="5"/>
      <c r="J11013" s="5"/>
      <c r="K11013" s="5"/>
    </row>
    <row r="11014" spans="3:11" x14ac:dyDescent="0.35">
      <c r="C11014" s="112"/>
      <c r="D11014" s="5"/>
      <c r="E11014" s="5"/>
      <c r="F11014" s="5"/>
      <c r="G11014" s="5"/>
      <c r="H11014" s="5"/>
      <c r="I11014" s="5"/>
      <c r="J11014" s="5"/>
      <c r="K11014" s="5"/>
    </row>
    <row r="11015" spans="3:11" x14ac:dyDescent="0.35">
      <c r="C11015" s="112"/>
      <c r="D11015" s="5"/>
      <c r="E11015" s="5"/>
      <c r="F11015" s="5"/>
      <c r="G11015" s="5"/>
      <c r="H11015" s="5"/>
      <c r="I11015" s="5"/>
      <c r="J11015" s="5"/>
      <c r="K11015" s="5"/>
    </row>
    <row r="11016" spans="3:11" x14ac:dyDescent="0.35">
      <c r="C11016" s="112"/>
      <c r="D11016" s="5"/>
      <c r="E11016" s="5"/>
      <c r="F11016" s="5"/>
      <c r="G11016" s="5"/>
      <c r="H11016" s="5"/>
      <c r="I11016" s="5"/>
      <c r="J11016" s="5"/>
      <c r="K11016" s="5"/>
    </row>
    <row r="11017" spans="3:11" x14ac:dyDescent="0.35">
      <c r="C11017" s="112"/>
      <c r="D11017" s="5"/>
      <c r="E11017" s="5"/>
      <c r="F11017" s="5"/>
      <c r="G11017" s="5"/>
      <c r="H11017" s="5"/>
      <c r="I11017" s="5"/>
      <c r="J11017" s="5"/>
      <c r="K11017" s="5"/>
    </row>
    <row r="11018" spans="3:11" x14ac:dyDescent="0.35">
      <c r="C11018" s="112"/>
      <c r="D11018" s="5"/>
      <c r="E11018" s="5"/>
      <c r="F11018" s="5"/>
      <c r="G11018" s="5"/>
      <c r="H11018" s="5"/>
      <c r="I11018" s="5"/>
      <c r="J11018" s="5"/>
      <c r="K11018" s="5"/>
    </row>
    <row r="11019" spans="3:11" x14ac:dyDescent="0.35">
      <c r="C11019" s="112"/>
      <c r="D11019" s="5"/>
      <c r="E11019" s="5"/>
      <c r="F11019" s="5"/>
      <c r="G11019" s="5"/>
      <c r="H11019" s="5"/>
      <c r="I11019" s="5"/>
      <c r="J11019" s="5"/>
      <c r="K11019" s="5"/>
    </row>
    <row r="11020" spans="3:11" x14ac:dyDescent="0.35">
      <c r="C11020" s="112"/>
      <c r="D11020" s="5"/>
      <c r="E11020" s="5"/>
      <c r="F11020" s="5"/>
      <c r="G11020" s="5"/>
      <c r="H11020" s="5"/>
      <c r="I11020" s="5"/>
      <c r="J11020" s="5"/>
      <c r="K11020" s="5"/>
    </row>
    <row r="11021" spans="3:11" x14ac:dyDescent="0.35">
      <c r="C11021" s="112"/>
      <c r="D11021" s="5"/>
      <c r="E11021" s="5"/>
      <c r="F11021" s="5"/>
      <c r="G11021" s="5"/>
      <c r="H11021" s="5"/>
      <c r="I11021" s="5"/>
      <c r="J11021" s="5"/>
      <c r="K11021" s="5"/>
    </row>
    <row r="11022" spans="3:11" x14ac:dyDescent="0.35">
      <c r="C11022" s="112"/>
      <c r="D11022" s="5"/>
      <c r="E11022" s="5"/>
      <c r="F11022" s="5"/>
      <c r="G11022" s="5"/>
      <c r="H11022" s="5"/>
      <c r="I11022" s="5"/>
      <c r="J11022" s="5"/>
      <c r="K11022" s="5"/>
    </row>
    <row r="11023" spans="3:11" x14ac:dyDescent="0.35">
      <c r="C11023" s="112"/>
      <c r="D11023" s="5"/>
      <c r="E11023" s="5"/>
      <c r="F11023" s="5"/>
      <c r="G11023" s="5"/>
      <c r="H11023" s="5"/>
      <c r="I11023" s="5"/>
      <c r="J11023" s="5"/>
      <c r="K11023" s="5"/>
    </row>
    <row r="11024" spans="3:11" x14ac:dyDescent="0.35">
      <c r="C11024" s="112"/>
      <c r="D11024" s="5"/>
      <c r="E11024" s="5"/>
      <c r="F11024" s="5"/>
      <c r="G11024" s="5"/>
      <c r="H11024" s="5"/>
      <c r="I11024" s="5"/>
      <c r="J11024" s="5"/>
      <c r="K11024" s="5"/>
    </row>
    <row r="11025" spans="3:11" x14ac:dyDescent="0.35">
      <c r="C11025" s="112"/>
      <c r="D11025" s="5"/>
      <c r="E11025" s="5"/>
      <c r="F11025" s="5"/>
      <c r="G11025" s="5"/>
      <c r="H11025" s="5"/>
      <c r="I11025" s="5"/>
      <c r="J11025" s="5"/>
      <c r="K11025" s="5"/>
    </row>
    <row r="11026" spans="3:11" x14ac:dyDescent="0.35">
      <c r="C11026" s="112"/>
      <c r="D11026" s="5"/>
      <c r="E11026" s="5"/>
      <c r="F11026" s="5"/>
      <c r="G11026" s="5"/>
      <c r="H11026" s="5"/>
      <c r="I11026" s="5"/>
      <c r="J11026" s="5"/>
      <c r="K11026" s="5"/>
    </row>
    <row r="11027" spans="3:11" x14ac:dyDescent="0.35">
      <c r="C11027" s="112"/>
      <c r="D11027" s="5"/>
      <c r="E11027" s="5"/>
      <c r="F11027" s="5"/>
      <c r="G11027" s="5"/>
      <c r="H11027" s="5"/>
      <c r="I11027" s="5"/>
      <c r="J11027" s="5"/>
      <c r="K11027" s="5"/>
    </row>
    <row r="11028" spans="3:11" x14ac:dyDescent="0.35">
      <c r="C11028" s="112"/>
      <c r="D11028" s="5"/>
      <c r="E11028" s="5"/>
      <c r="F11028" s="5"/>
      <c r="G11028" s="5"/>
      <c r="H11028" s="5"/>
      <c r="I11028" s="5"/>
      <c r="J11028" s="5"/>
      <c r="K11028" s="5"/>
    </row>
    <row r="11029" spans="3:11" x14ac:dyDescent="0.35">
      <c r="C11029" s="112"/>
      <c r="D11029" s="5"/>
      <c r="E11029" s="5"/>
      <c r="F11029" s="5"/>
      <c r="G11029" s="5"/>
      <c r="H11029" s="5"/>
      <c r="I11029" s="5"/>
      <c r="J11029" s="5"/>
      <c r="K11029" s="5"/>
    </row>
    <row r="11030" spans="3:11" x14ac:dyDescent="0.35">
      <c r="C11030" s="112"/>
      <c r="D11030" s="5"/>
      <c r="E11030" s="5"/>
      <c r="F11030" s="5"/>
      <c r="G11030" s="5"/>
      <c r="H11030" s="5"/>
      <c r="I11030" s="5"/>
      <c r="J11030" s="5"/>
      <c r="K11030" s="5"/>
    </row>
    <row r="11031" spans="3:11" x14ac:dyDescent="0.35">
      <c r="C11031" s="112"/>
      <c r="D11031" s="5"/>
      <c r="E11031" s="5"/>
      <c r="F11031" s="5"/>
      <c r="G11031" s="5"/>
      <c r="H11031" s="5"/>
      <c r="I11031" s="5"/>
      <c r="J11031" s="5"/>
      <c r="K11031" s="5"/>
    </row>
    <row r="11032" spans="3:11" x14ac:dyDescent="0.35">
      <c r="C11032" s="112"/>
      <c r="D11032" s="5"/>
      <c r="E11032" s="5"/>
      <c r="F11032" s="5"/>
      <c r="G11032" s="5"/>
      <c r="H11032" s="5"/>
      <c r="I11032" s="5"/>
      <c r="J11032" s="5"/>
      <c r="K11032" s="5"/>
    </row>
    <row r="11033" spans="3:11" x14ac:dyDescent="0.35">
      <c r="C11033" s="112"/>
      <c r="D11033" s="5"/>
      <c r="E11033" s="5"/>
      <c r="F11033" s="5"/>
      <c r="G11033" s="5"/>
      <c r="H11033" s="5"/>
      <c r="I11033" s="5"/>
      <c r="J11033" s="5"/>
      <c r="K11033" s="5"/>
    </row>
    <row r="11034" spans="3:11" x14ac:dyDescent="0.35">
      <c r="C11034" s="112"/>
      <c r="D11034" s="5"/>
      <c r="E11034" s="5"/>
      <c r="F11034" s="5"/>
      <c r="G11034" s="5"/>
      <c r="H11034" s="5"/>
      <c r="I11034" s="5"/>
      <c r="J11034" s="5"/>
      <c r="K11034" s="5"/>
    </row>
    <row r="11035" spans="3:11" x14ac:dyDescent="0.35">
      <c r="C11035" s="112"/>
      <c r="D11035" s="5"/>
      <c r="E11035" s="5"/>
      <c r="F11035" s="5"/>
      <c r="G11035" s="5"/>
      <c r="H11035" s="5"/>
      <c r="I11035" s="5"/>
      <c r="J11035" s="5"/>
      <c r="K11035" s="5"/>
    </row>
    <row r="11036" spans="3:11" x14ac:dyDescent="0.35">
      <c r="C11036" s="112"/>
      <c r="D11036" s="5"/>
      <c r="E11036" s="5"/>
      <c r="F11036" s="5"/>
      <c r="G11036" s="5"/>
      <c r="H11036" s="5"/>
      <c r="I11036" s="5"/>
      <c r="J11036" s="5"/>
      <c r="K11036" s="5"/>
    </row>
    <row r="11037" spans="3:11" x14ac:dyDescent="0.35">
      <c r="C11037" s="112"/>
      <c r="D11037" s="5"/>
      <c r="E11037" s="5"/>
      <c r="F11037" s="5"/>
      <c r="G11037" s="5"/>
      <c r="H11037" s="5"/>
      <c r="I11037" s="5"/>
      <c r="J11037" s="5"/>
      <c r="K11037" s="5"/>
    </row>
    <row r="11038" spans="3:11" x14ac:dyDescent="0.35">
      <c r="C11038" s="112"/>
      <c r="D11038" s="5"/>
      <c r="E11038" s="5"/>
      <c r="F11038" s="5"/>
      <c r="G11038" s="5"/>
      <c r="H11038" s="5"/>
      <c r="I11038" s="5"/>
      <c r="J11038" s="5"/>
      <c r="K11038" s="5"/>
    </row>
    <row r="11039" spans="3:11" x14ac:dyDescent="0.35">
      <c r="C11039" s="112"/>
      <c r="D11039" s="5"/>
      <c r="E11039" s="5"/>
      <c r="F11039" s="5"/>
      <c r="G11039" s="5"/>
      <c r="H11039" s="5"/>
      <c r="I11039" s="5"/>
      <c r="J11039" s="5"/>
      <c r="K11039" s="5"/>
    </row>
    <row r="11040" spans="3:11" x14ac:dyDescent="0.35">
      <c r="C11040" s="112"/>
      <c r="D11040" s="5"/>
      <c r="E11040" s="5"/>
      <c r="F11040" s="5"/>
      <c r="G11040" s="5"/>
      <c r="H11040" s="5"/>
      <c r="I11040" s="5"/>
      <c r="J11040" s="5"/>
      <c r="K11040" s="5"/>
    </row>
    <row r="11041" spans="3:11" x14ac:dyDescent="0.35">
      <c r="C11041" s="112"/>
      <c r="D11041" s="5"/>
      <c r="E11041" s="5"/>
      <c r="F11041" s="5"/>
      <c r="G11041" s="5"/>
      <c r="H11041" s="5"/>
      <c r="I11041" s="5"/>
      <c r="J11041" s="5"/>
      <c r="K11041" s="5"/>
    </row>
    <row r="11042" spans="3:11" x14ac:dyDescent="0.35">
      <c r="C11042" s="112"/>
      <c r="D11042" s="5"/>
      <c r="E11042" s="5"/>
      <c r="F11042" s="5"/>
      <c r="G11042" s="5"/>
      <c r="H11042" s="5"/>
      <c r="I11042" s="5"/>
      <c r="J11042" s="5"/>
      <c r="K11042" s="5"/>
    </row>
    <row r="11043" spans="3:11" x14ac:dyDescent="0.35">
      <c r="C11043" s="112"/>
      <c r="D11043" s="5"/>
      <c r="E11043" s="5"/>
      <c r="F11043" s="5"/>
      <c r="G11043" s="5"/>
      <c r="H11043" s="5"/>
      <c r="I11043" s="5"/>
      <c r="J11043" s="5"/>
      <c r="K11043" s="5"/>
    </row>
    <row r="11044" spans="3:11" x14ac:dyDescent="0.35">
      <c r="C11044" s="112"/>
      <c r="D11044" s="5"/>
      <c r="E11044" s="5"/>
      <c r="F11044" s="5"/>
      <c r="G11044" s="5"/>
      <c r="H11044" s="5"/>
      <c r="I11044" s="5"/>
      <c r="J11044" s="5"/>
      <c r="K11044" s="5"/>
    </row>
    <row r="11045" spans="3:11" x14ac:dyDescent="0.35">
      <c r="C11045" s="112"/>
      <c r="D11045" s="5"/>
      <c r="E11045" s="5"/>
      <c r="F11045" s="5"/>
      <c r="G11045" s="5"/>
      <c r="H11045" s="5"/>
      <c r="I11045" s="5"/>
      <c r="J11045" s="5"/>
      <c r="K11045" s="5"/>
    </row>
    <row r="11046" spans="3:11" x14ac:dyDescent="0.35">
      <c r="C11046" s="112"/>
      <c r="D11046" s="5"/>
      <c r="E11046" s="5"/>
      <c r="F11046" s="5"/>
      <c r="G11046" s="5"/>
      <c r="H11046" s="5"/>
      <c r="I11046" s="5"/>
      <c r="J11046" s="5"/>
      <c r="K11046" s="5"/>
    </row>
    <row r="11047" spans="3:11" x14ac:dyDescent="0.35">
      <c r="C11047" s="112"/>
      <c r="D11047" s="5"/>
      <c r="E11047" s="5"/>
      <c r="F11047" s="5"/>
      <c r="G11047" s="5"/>
      <c r="H11047" s="5"/>
      <c r="I11047" s="5"/>
      <c r="J11047" s="5"/>
      <c r="K11047" s="5"/>
    </row>
    <row r="11048" spans="3:11" x14ac:dyDescent="0.35">
      <c r="C11048" s="112"/>
      <c r="D11048" s="5"/>
      <c r="E11048" s="5"/>
      <c r="F11048" s="5"/>
      <c r="G11048" s="5"/>
      <c r="H11048" s="5"/>
      <c r="I11048" s="5"/>
      <c r="J11048" s="5"/>
      <c r="K11048" s="5"/>
    </row>
    <row r="11049" spans="3:11" x14ac:dyDescent="0.35">
      <c r="C11049" s="112"/>
      <c r="D11049" s="5"/>
      <c r="E11049" s="5"/>
      <c r="F11049" s="5"/>
      <c r="G11049" s="5"/>
      <c r="H11049" s="5"/>
      <c r="I11049" s="5"/>
      <c r="J11049" s="5"/>
      <c r="K11049" s="5"/>
    </row>
    <row r="11050" spans="3:11" x14ac:dyDescent="0.35">
      <c r="C11050" s="112"/>
      <c r="D11050" s="5"/>
      <c r="E11050" s="5"/>
      <c r="F11050" s="5"/>
      <c r="G11050" s="5"/>
      <c r="H11050" s="5"/>
      <c r="I11050" s="5"/>
      <c r="J11050" s="5"/>
      <c r="K11050" s="5"/>
    </row>
    <row r="11051" spans="3:11" x14ac:dyDescent="0.35">
      <c r="C11051" s="112"/>
      <c r="D11051" s="5"/>
      <c r="E11051" s="5"/>
      <c r="F11051" s="5"/>
      <c r="G11051" s="5"/>
      <c r="H11051" s="5"/>
      <c r="I11051" s="5"/>
      <c r="J11051" s="5"/>
      <c r="K11051" s="5"/>
    </row>
    <row r="11052" spans="3:11" x14ac:dyDescent="0.35">
      <c r="C11052" s="112"/>
      <c r="D11052" s="5"/>
      <c r="E11052" s="5"/>
      <c r="F11052" s="5"/>
      <c r="G11052" s="5"/>
      <c r="H11052" s="5"/>
      <c r="I11052" s="5"/>
      <c r="J11052" s="5"/>
      <c r="K11052" s="5"/>
    </row>
    <row r="11053" spans="3:11" x14ac:dyDescent="0.35">
      <c r="C11053" s="112"/>
      <c r="D11053" s="5"/>
      <c r="E11053" s="5"/>
      <c r="F11053" s="5"/>
      <c r="G11053" s="5"/>
      <c r="H11053" s="5"/>
      <c r="I11053" s="5"/>
      <c r="J11053" s="5"/>
      <c r="K11053" s="5"/>
    </row>
    <row r="11054" spans="3:11" x14ac:dyDescent="0.35">
      <c r="C11054" s="112"/>
      <c r="D11054" s="5"/>
      <c r="E11054" s="5"/>
      <c r="F11054" s="5"/>
      <c r="G11054" s="5"/>
      <c r="H11054" s="5"/>
      <c r="I11054" s="5"/>
      <c r="J11054" s="5"/>
      <c r="K11054" s="5"/>
    </row>
    <row r="11055" spans="3:11" x14ac:dyDescent="0.35">
      <c r="C11055" s="112"/>
      <c r="D11055" s="5"/>
      <c r="E11055" s="5"/>
      <c r="F11055" s="5"/>
      <c r="G11055" s="5"/>
      <c r="H11055" s="5"/>
      <c r="I11055" s="5"/>
      <c r="J11055" s="5"/>
      <c r="K11055" s="5"/>
    </row>
    <row r="11056" spans="3:11" x14ac:dyDescent="0.35">
      <c r="C11056" s="112"/>
      <c r="D11056" s="5"/>
      <c r="E11056" s="5"/>
      <c r="F11056" s="5"/>
      <c r="G11056" s="5"/>
      <c r="H11056" s="5"/>
      <c r="I11056" s="5"/>
      <c r="J11056" s="5"/>
      <c r="K11056" s="5"/>
    </row>
    <row r="11057" spans="3:11" x14ac:dyDescent="0.35">
      <c r="C11057" s="112"/>
      <c r="D11057" s="5"/>
      <c r="E11057" s="5"/>
      <c r="F11057" s="5"/>
      <c r="G11057" s="5"/>
      <c r="H11057" s="5"/>
      <c r="I11057" s="5"/>
      <c r="J11057" s="5"/>
      <c r="K11057" s="5"/>
    </row>
    <row r="11058" spans="3:11" x14ac:dyDescent="0.35">
      <c r="C11058" s="112"/>
      <c r="D11058" s="5"/>
      <c r="E11058" s="5"/>
      <c r="F11058" s="5"/>
      <c r="G11058" s="5"/>
      <c r="H11058" s="5"/>
      <c r="I11058" s="5"/>
      <c r="J11058" s="5"/>
      <c r="K11058" s="5"/>
    </row>
    <row r="11059" spans="3:11" x14ac:dyDescent="0.35">
      <c r="C11059" s="112"/>
      <c r="D11059" s="5"/>
      <c r="E11059" s="5"/>
      <c r="F11059" s="5"/>
      <c r="G11059" s="5"/>
      <c r="H11059" s="5"/>
      <c r="I11059" s="5"/>
      <c r="J11059" s="5"/>
      <c r="K11059" s="5"/>
    </row>
    <row r="11060" spans="3:11" x14ac:dyDescent="0.35">
      <c r="C11060" s="112"/>
      <c r="D11060" s="5"/>
      <c r="E11060" s="5"/>
      <c r="F11060" s="5"/>
      <c r="G11060" s="5"/>
      <c r="H11060" s="5"/>
      <c r="I11060" s="5"/>
      <c r="J11060" s="5"/>
      <c r="K11060" s="5"/>
    </row>
    <row r="11061" spans="3:11" x14ac:dyDescent="0.35">
      <c r="C11061" s="112"/>
      <c r="D11061" s="5"/>
      <c r="E11061" s="5"/>
      <c r="F11061" s="5"/>
      <c r="G11061" s="5"/>
      <c r="H11061" s="5"/>
      <c r="I11061" s="5"/>
      <c r="J11061" s="5"/>
      <c r="K11061" s="5"/>
    </row>
    <row r="11062" spans="3:11" x14ac:dyDescent="0.35">
      <c r="C11062" s="112"/>
      <c r="D11062" s="5"/>
      <c r="E11062" s="5"/>
      <c r="F11062" s="5"/>
      <c r="G11062" s="5"/>
      <c r="H11062" s="5"/>
      <c r="I11062" s="5"/>
      <c r="J11062" s="5"/>
      <c r="K11062" s="5"/>
    </row>
    <row r="11063" spans="3:11" x14ac:dyDescent="0.35">
      <c r="C11063" s="112"/>
      <c r="D11063" s="5"/>
      <c r="E11063" s="5"/>
      <c r="F11063" s="5"/>
      <c r="G11063" s="5"/>
      <c r="H11063" s="5"/>
      <c r="I11063" s="5"/>
      <c r="J11063" s="5"/>
      <c r="K11063" s="5"/>
    </row>
    <row r="11064" spans="3:11" x14ac:dyDescent="0.35">
      <c r="C11064" s="112"/>
      <c r="D11064" s="5"/>
      <c r="E11064" s="5"/>
      <c r="F11064" s="5"/>
      <c r="G11064" s="5"/>
      <c r="H11064" s="5"/>
      <c r="I11064" s="5"/>
      <c r="J11064" s="5"/>
      <c r="K11064" s="5"/>
    </row>
    <row r="11065" spans="3:11" x14ac:dyDescent="0.35">
      <c r="C11065" s="112"/>
      <c r="D11065" s="5"/>
      <c r="E11065" s="5"/>
      <c r="F11065" s="5"/>
      <c r="G11065" s="5"/>
      <c r="H11065" s="5"/>
      <c r="I11065" s="5"/>
      <c r="J11065" s="5"/>
      <c r="K11065" s="5"/>
    </row>
    <row r="11066" spans="3:11" x14ac:dyDescent="0.35">
      <c r="C11066" s="112"/>
      <c r="D11066" s="5"/>
      <c r="E11066" s="5"/>
      <c r="F11066" s="5"/>
      <c r="G11066" s="5"/>
      <c r="H11066" s="5"/>
      <c r="I11066" s="5"/>
      <c r="J11066" s="5"/>
      <c r="K11066" s="5"/>
    </row>
    <row r="11067" spans="3:11" x14ac:dyDescent="0.35">
      <c r="C11067" s="112"/>
      <c r="D11067" s="5"/>
      <c r="E11067" s="5"/>
      <c r="F11067" s="5"/>
      <c r="G11067" s="5"/>
      <c r="H11067" s="5"/>
      <c r="I11067" s="5"/>
      <c r="J11067" s="5"/>
      <c r="K11067" s="5"/>
    </row>
    <row r="11068" spans="3:11" x14ac:dyDescent="0.35">
      <c r="C11068" s="112"/>
      <c r="D11068" s="5"/>
      <c r="E11068" s="5"/>
      <c r="F11068" s="5"/>
      <c r="G11068" s="5"/>
      <c r="H11068" s="5"/>
      <c r="I11068" s="5"/>
      <c r="J11068" s="5"/>
      <c r="K11068" s="5"/>
    </row>
    <row r="11069" spans="3:11" x14ac:dyDescent="0.35">
      <c r="C11069" s="112"/>
      <c r="D11069" s="5"/>
      <c r="E11069" s="5"/>
      <c r="F11069" s="5"/>
      <c r="G11069" s="5"/>
      <c r="H11069" s="5"/>
      <c r="I11069" s="5"/>
      <c r="J11069" s="5"/>
      <c r="K11069" s="5"/>
    </row>
    <row r="11070" spans="3:11" x14ac:dyDescent="0.35">
      <c r="C11070" s="112"/>
      <c r="D11070" s="5"/>
      <c r="E11070" s="5"/>
      <c r="F11070" s="5"/>
      <c r="G11070" s="5"/>
      <c r="H11070" s="5"/>
      <c r="I11070" s="5"/>
      <c r="J11070" s="5"/>
      <c r="K11070" s="5"/>
    </row>
    <row r="11071" spans="3:11" x14ac:dyDescent="0.35">
      <c r="C11071" s="112"/>
      <c r="D11071" s="5"/>
      <c r="E11071" s="5"/>
      <c r="F11071" s="5"/>
      <c r="G11071" s="5"/>
      <c r="H11071" s="5"/>
      <c r="I11071" s="5"/>
      <c r="J11071" s="5"/>
      <c r="K11071" s="5"/>
    </row>
    <row r="11072" spans="3:11" x14ac:dyDescent="0.35">
      <c r="C11072" s="112"/>
      <c r="D11072" s="5"/>
      <c r="E11072" s="5"/>
      <c r="F11072" s="5"/>
      <c r="G11072" s="5"/>
      <c r="H11072" s="5"/>
      <c r="I11072" s="5"/>
      <c r="J11072" s="5"/>
      <c r="K11072" s="5"/>
    </row>
    <row r="11073" spans="3:11" x14ac:dyDescent="0.35">
      <c r="C11073" s="112"/>
      <c r="D11073" s="5"/>
      <c r="E11073" s="5"/>
      <c r="F11073" s="5"/>
      <c r="G11073" s="5"/>
      <c r="H11073" s="5"/>
      <c r="I11073" s="5"/>
      <c r="J11073" s="5"/>
      <c r="K11073" s="5"/>
    </row>
    <row r="11074" spans="3:11" x14ac:dyDescent="0.35">
      <c r="C11074" s="112"/>
      <c r="D11074" s="5"/>
      <c r="E11074" s="5"/>
      <c r="F11074" s="5"/>
      <c r="G11074" s="5"/>
      <c r="H11074" s="5"/>
      <c r="I11074" s="5"/>
      <c r="J11074" s="5"/>
      <c r="K11074" s="5"/>
    </row>
  </sheetData>
  <conditionalFormatting sqref="B1:B1048576">
    <cfRule type="containsText" dxfId="1" priority="2" operator="containsText" text="RP">
      <formula>NOT(ISERROR(SEARCH("RP",B1)))</formula>
    </cfRule>
    <cfRule type="containsText" dxfId="0" priority="1" operator="containsText" text="/dtsf:Pozycja">
      <formula>NOT(ISERROR(SEARCH("/dtsf:Pozycja",B1)))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4</vt:i4>
      </vt:variant>
    </vt:vector>
  </HeadingPairs>
  <TitlesOfParts>
    <vt:vector size="6" baseType="lpstr">
      <vt:lpstr>FS_input_data</vt:lpstr>
      <vt:lpstr>Export</vt:lpstr>
      <vt:lpstr>capital_xml</vt:lpstr>
      <vt:lpstr>CF_xml</vt:lpstr>
      <vt:lpstr>FS_input_noty</vt:lpstr>
      <vt:lpstr>RP_tax</vt:lpstr>
    </vt:vector>
  </TitlesOfParts>
  <Company>Deloitte Touche Tohmatsu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Ewa Tusien</dc:creator>
  <cp:lastModifiedBy>PC</cp:lastModifiedBy>
  <dcterms:created xsi:type="dcterms:W3CDTF">2019-02-19T12:49:19Z</dcterms:created>
  <dcterms:modified xsi:type="dcterms:W3CDTF">2019-03-07T14:53:24Z</dcterms:modified>
</cp:coreProperties>
</file>